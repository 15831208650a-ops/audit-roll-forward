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874" firstSheet="0" activeTab="0" autoFilterDateGrouping="1"/>
  </bookViews>
  <sheets>
    <sheet name="汇总" sheetId="1" state="visible" r:id="rId1"/>
    <sheet name="Uexp_Lead" sheetId="2" state="visible" r:id="rId2"/>
    <sheet name="Uexp制造费用BKD" sheetId="3" state="visible" r:id="rId3"/>
    <sheet name="Uexp研发费用BKD" sheetId="4" state="visible" r:id="rId4"/>
    <sheet name="Uexp财务费用BKD" sheetId="5" state="visible" r:id="rId5"/>
    <sheet name="Uexp利息测试" sheetId="6" state="visible" r:id="rId6"/>
    <sheet name="Uexp其他收益BKD" sheetId="7" state="visible" r:id="rId7"/>
    <sheet name="Uexp投资收益BKD" sheetId="8" state="visible" r:id="rId8"/>
    <sheet name="Uexp公允价值变动损益BKD" sheetId="9" state="visible" r:id="rId9"/>
    <sheet name="Uexp信用减值损失BKD" sheetId="10" state="visible" r:id="rId10"/>
    <sheet name="Uexp资产减值损失BKD" sheetId="11" state="visible" r:id="rId11"/>
    <sheet name="Uexp资产处置损益BKD" sheetId="12" state="visible" r:id="rId12"/>
    <sheet name="Uexp营业外收入BKD" sheetId="13" state="visible" r:id="rId13"/>
    <sheet name="Uexp营业外支出BKD" sheetId="14" state="visible" r:id="rId14"/>
    <sheet name="Uexp债务重组利得和损失BKD" sheetId="15" state="visible" r:id="rId15"/>
    <sheet name="Uexp_Cutoff" sheetId="16" state="visible" r:id="rId16"/>
    <sheet name="Uexp_TOD" sheetId="17" state="visible" r:id="rId17"/>
    <sheet name="SkywindSettingSheet" sheetId="18" state="veryHidden" r:id="rId18"/>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feedback"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4" localSheetId="2" hidden="1">#REF!</definedName>
    <definedName name="XREF_COLUMN_5"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4" localSheetId="2" hidden="1">#REF!</definedName>
    <definedName name="XRefCopy15"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21"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_COLUMN_7" localSheetId="3" hidden="1">#REF!</definedName>
    <definedName name="XRefActiveRow" localSheetId="3" hidden="1">#REF!</definedName>
    <definedName name="XRefCopy1" localSheetId="3" hidden="1">#REF!</definedName>
    <definedName name="XRefCopy10" localSheetId="3" hidden="1">#REF!</definedName>
    <definedName name="XRefCopy11Row" localSheetId="3" hidden="1">#REF!</definedName>
    <definedName name="XRefCopy12" localSheetId="3" hidden="1">#REF!</definedName>
    <definedName name="XRefCopy13" localSheetId="3" hidden="1">#REF!</definedName>
    <definedName name="XRefCopy13Row" localSheetId="3" hidden="1">#REF!</definedName>
    <definedName name="XRefCopy14" localSheetId="3" hidden="1">#REF!</definedName>
    <definedName name="XRefCopy15" localSheetId="3" hidden="1">#REF!</definedName>
    <definedName name="XRefCopy16Row" localSheetId="3" hidden="1">#REF!</definedName>
    <definedName name="XRefCopy1Row" localSheetId="3" hidden="1">#REF!</definedName>
    <definedName name="XRefCopy2" localSheetId="3" hidden="1">#REF!</definedName>
    <definedName name="XRefCopy2Row" localSheetId="3" hidden="1">#REF!</definedName>
    <definedName name="XRefPaste24" localSheetId="3" hidden="1">#REF!</definedName>
    <definedName name="XRefPaste24Row" localSheetId="3" hidden="1">#REF!</definedName>
    <definedName name="XRefPaste25" localSheetId="3" hidden="1">#REF!</definedName>
    <definedName name="XRefPaste3" localSheetId="3" hidden="1">#REF!</definedName>
    <definedName name="XRefPaste3Row" localSheetId="3" hidden="1">#REF!</definedName>
    <definedName name="XRefPaste4" localSheetId="3" hidden="1">#REF!</definedName>
    <definedName name="XRefPaste7" localSheetId="3" hidden="1">#REF!</definedName>
    <definedName name="XRefPaste8" localSheetId="3" hidden="1">#REF!</definedName>
    <definedName name="XRefPaste9" localSheetId="3" hidden="1">#REF!</definedName>
    <definedName name="xzxsfd" localSheetId="3" hidden="1">{"M1Print",#N/A,FALSE,"M1"}</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ss" localSheetId="4" hidden="1">{#N/A,#N/A,TRUE,"CPRD";#N/A,#N/A,TRUE,"BCCPDR";#N/A,#N/A,TRUE,"EWRD";#N/A,#N/A,TRUE,"5100";#N/A,#N/A,TRUE,"5110"}</definedName>
    <definedName name="cashflow20030930" localSheetId="4" hidden="1">{"M1Print",#N/A,TRUE,"M1";"M2Print",#N/A,TRUE,"M2";"M1sPrint",#N/A,TRUE,"M1s";"M2aPrint",#N/A,TRUE,"M2a";"M4Print",#N/A,TRUE,"M4";"M5Print",#N/A,TRUE,"M5";"M6Print",#N/A,TRUE,"M6";"M6_1Print",#N/A,TRUE,"M6_1";"M6_2Print",#N/A,TRUE,"M6_2";"M7_1Print",#N/A,TRUE,"M7_1";"M7_2Print",#N/A,TRUE,"M7_2"}</definedName>
    <definedName name="doddd" localSheetId="4" hidden="1">{#N/A,#N/A,TRUE,"CPRD";#N/A,#N/A,TRUE,"BCCPDR";#N/A,#N/A,TRUE,"EWRD";#N/A,#N/A,TRUE,"5100";#N/A,#N/A,TRUE,"5110"}</definedName>
    <definedName name="dog" localSheetId="4" hidden="1">{#N/A,#N/A,TRUE,"CPRD";#N/A,#N/A,TRUE,"BCCPDR";#N/A,#N/A,TRUE,"EWRD";#N/A,#N/A,TRUE,"5100";#N/A,#N/A,TRUE,"5110"}</definedName>
    <definedName name="ExpenseUpload"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oard._.Reports." localSheetId="4" hidden="1">{#N/A,#N/A,FALSE,"M1s Board";#N/A,#N/A,FALSE,"M3 Board";#N/A,#N/A,FALSE,"M6 Board";#N/A,#N/A,FALSE,"M7";#N/A,#N/A,FALSE,"M7B";#N/A,#N/A,FALSE,"M8";#N/A,#N/A,FALSE,"M8A Board";#N/A,#N/A,FALSE,"AF1 Board"}</definedName>
    <definedName name="wrn.Deptartment._.Expenses." localSheetId="4" hidden="1">{#N/A,#N/A,TRUE,"CPRD";#N/A,#N/A,TRUE,"BCCPDR";#N/A,#N/A,TRUE,"EWRD";#N/A,#N/A,TRUE,"5100";#N/A,#N/A,TRUE,"5110"}</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n.all." localSheetId="4" hidden="1">{#N/A,#N/A,FALSE,"SUM";#N/A,#N/A,FALSE,"SK_TOT";#N/A,#N/A,FALSE,"YM";#N/A,#N/A,FALSE,"TSMC";#N/A,#N/A,FALSE,"ICW";#N/A,#N/A,FALSE,"Sheet1"}</definedName>
    <definedName name="XREF_COLUMN_10" localSheetId="4" hidden="1">#REF!</definedName>
    <definedName name="XREF_COLUMN_11" localSheetId="4" hidden="1">#REF!</definedName>
    <definedName name="XREF_COLUMN_12" localSheetId="4" hidden="1">#REF!</definedName>
    <definedName name="XREF_COLUMN_19" localSheetId="4" hidden="1">#REF!</definedName>
    <definedName name="XREF_COLUMN_2" localSheetId="4" hidden="1">#REF!</definedName>
    <definedName name="XREF_COLUMN_20" localSheetId="4" hidden="1">#REF!</definedName>
    <definedName name="XREF_COLUMN_21" localSheetId="4" hidden="1">#REF!</definedName>
    <definedName name="XREF_COLUMN_3" localSheetId="4" hidden="1">#REF!</definedName>
    <definedName name="XREF_COLUMN_4" localSheetId="4" hidden="1">#REF!</definedName>
    <definedName name="XREF_COLUMN_5" localSheetId="4" hidden="1">#REF!</definedName>
    <definedName name="XREF_COLUMN_6" localSheetId="4" hidden="1">#REF!</definedName>
    <definedName name="XREF_COLUMN_7" localSheetId="4" hidden="1">#REF!</definedName>
    <definedName name="XRefActiveRow" localSheetId="4" hidden="1">#REF!</definedName>
    <definedName name="XRefCopy1" localSheetId="4" hidden="1">#REF!</definedName>
    <definedName name="XRefCopy10" localSheetId="4" hidden="1">#REF!</definedName>
    <definedName name="XRefCopy11Row" localSheetId="4" hidden="1">#REF!</definedName>
    <definedName name="XRefCopy12" localSheetId="4" hidden="1">#REF!</definedName>
    <definedName name="XRefCopy13" localSheetId="4" hidden="1">#REF!</definedName>
    <definedName name="XRefCopy13Row" localSheetId="4" hidden="1">#REF!</definedName>
    <definedName name="XRefCopy14" localSheetId="4" hidden="1">#REF!</definedName>
    <definedName name="XRefCopy15" localSheetId="4" hidden="1">#REF!</definedName>
    <definedName name="XRefCopy16Row" localSheetId="4" hidden="1">#REF!</definedName>
    <definedName name="XRefCopy1Row" localSheetId="4" hidden="1">#REF!</definedName>
    <definedName name="XRefCopy2" localSheetId="4" hidden="1">#REF!</definedName>
    <definedName name="XRefCopy2Row" localSheetId="4" hidden="1">#REF!</definedName>
    <definedName name="XRefPaste24" localSheetId="4" hidden="1">#REF!</definedName>
    <definedName name="XRefPaste24Row" localSheetId="4" hidden="1">#REF!</definedName>
    <definedName name="XRefPaste25" localSheetId="4" hidden="1">#REF!</definedName>
    <definedName name="XRefPaste3" localSheetId="4" hidden="1">#REF!</definedName>
    <definedName name="XRefPaste3Row" localSheetId="4" hidden="1">#REF!</definedName>
    <definedName name="XRefPaste4" localSheetId="4" hidden="1">#REF!</definedName>
    <definedName name="XRefPaste7" localSheetId="4" hidden="1">#REF!</definedName>
    <definedName name="XRefPaste8" localSheetId="4" hidden="1">#REF!</definedName>
    <definedName name="XRefPaste9" localSheetId="4" hidden="1">#REF!</definedName>
    <definedName name="xzxsfd" localSheetId="4" hidden="1">{"M1Print",#N/A,FALSE,"M1"}</definedName>
    <definedName name="苛" localSheetId="4" hidden="1">{"M1sPrint",#N/A,FALSE,"M1s"}</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_Fill" localSheetId="5" hidden="1">#REF!</definedName>
    <definedName name="_Key1" localSheetId="5" hidden="1">#REF!</definedName>
    <definedName name="_Key2" localSheetId="5" hidden="1">#REF!</definedName>
    <definedName name="_Sort" localSheetId="5" hidden="1">#REF!</definedName>
    <definedName name="adas" localSheetId="5" hidden="1">{"M1Print",#N/A,TRUE,"M1";"M2Print",#N/A,TRUE,"M2";"M1sPrint",#N/A,TRUE,"M1s";"M2aPrint",#N/A,TRUE,"M2a";"M4Print",#N/A,TRUE,"M4";"M5Print",#N/A,TRUE,"M5";"M6Print",#N/A,TRUE,"M6";"M6_1Print",#N/A,TRUE,"M6_1";"M6_2Print",#N/A,TRUE,"M6_2";"M7_1Print",#N/A,TRUE,"M7_1";"M7_2Print",#N/A,TRUE,"M7_2"}</definedName>
    <definedName name="AS2TickmarkLS" localSheetId="5" hidden="1">#REF!</definedName>
    <definedName name="ass" localSheetId="5" hidden="1">{#N/A,#N/A,TRUE,"CPRD";#N/A,#N/A,TRUE,"BCCPDR";#N/A,#N/A,TRUE,"EWRD";#N/A,#N/A,TRUE,"5100";#N/A,#N/A,TRUE,"5110"}</definedName>
    <definedName name="BNE_MESSAGES_HIDDEN" localSheetId="5" hidden="1">#REF!</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LotusGraphChart1" localSheetId="5" hidden="1">#REF!</definedName>
    <definedName name="lotusgraphchart1b" localSheetId="5" hidden="1">#REF!</definedName>
    <definedName name="lotusgraphchart1x" localSheetId="5" hidden="1">#REF!</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Sheet1_BNE_MESSAGES" localSheetId="5" hidden="1">#REF!</definedName>
    <definedName name="Sheet1_BNE_MESSAGES_HIDDEN" localSheetId="5" hidden="1">#REF!</definedName>
    <definedName name="Sheet1_BNE_MESSAGES_LAMP" localSheetId="5" hidden="1">#REF!</definedName>
    <definedName name="Sheet1_BNE_UPLOAD" localSheetId="5" hidden="1">#REF!</definedName>
    <definedName name="Sheet1_GL_INTERFACE_ACCOUNTING_DATE" localSheetId="5" hidden="1">#REF!</definedName>
    <definedName name="Sheet1_GL_INTERFACE_ACTUAL_FLAG" localSheetId="5" hidden="1">#REF!</definedName>
    <definedName name="Sheet1_GL_INTERFACE_CURRENCY_CODE" localSheetId="5" hidden="1">#REF!</definedName>
    <definedName name="Sheet1_GL_INTERFACE_DATABASE" localSheetId="5" hidden="1">#REF!</definedName>
    <definedName name="Sheet1_GL_INTERFACE_ENTERED_CR" localSheetId="5" hidden="1">#REF!</definedName>
    <definedName name="Sheet1_GL_INTERFACE_ENTERED_DR" localSheetId="5" hidden="1">#REF!</definedName>
    <definedName name="Sheet1_GL_INTERFACE_REFERENCE1" localSheetId="5" hidden="1">#REF!</definedName>
    <definedName name="Sheet1_GL_INTERFACE_REFERENCE10" localSheetId="5" hidden="1">#REF!</definedName>
    <definedName name="Sheet1_GL_INTERFACE_REFERENCE4" localSheetId="5" hidden="1">#REF!</definedName>
    <definedName name="Sheet1_GL_INTERFACE_REFERENCE5" localSheetId="5" hidden="1">#REF!</definedName>
    <definedName name="Sheet1_GL_INTERFACE_REFERENCE6" localSheetId="5" hidden="1">#REF!</definedName>
    <definedName name="Sheet1_GL_INTERFACE_REFERENCE7" localSheetId="5" hidden="1">#REF!</definedName>
    <definedName name="Sheet1_GL_INTERFACE_REFERENCE8" localSheetId="5" hidden="1">#REF!</definedName>
    <definedName name="Sheet1_GL_INTERFACE_SEGMENT1" localSheetId="5" hidden="1">#REF!</definedName>
    <definedName name="Sheet1_GL_INTERFACE_SEGMENT2" localSheetId="5" hidden="1">#REF!</definedName>
    <definedName name="Sheet1_GL_INTERFACE_SEGMENT3" localSheetId="5" hidden="1">#REF!</definedName>
    <definedName name="Sheet1_GL_INTERFACE_SEGMENT4" localSheetId="5" hidden="1">#REF!</definedName>
    <definedName name="Sheet1_GL_INTERFACE_SEGMENT5" localSheetId="5" hidden="1">#REF!</definedName>
    <definedName name="Sheet1_GL_INTERFACE_SEGMENT6" localSheetId="5" hidden="1">#REF!</definedName>
    <definedName name="Sheet1_GL_INTERFACE_SET_OF_BOOKS_ID" localSheetId="5" hidden="1">#REF!</definedName>
    <definedName name="Sheet1_GL_INTERFACE_USER_JE_CATEGORY_NAME" localSheetId="5" hidden="1">#REF!</definedName>
    <definedName name="Sheet1_GL_INTERFACE_USER_JE_SOURCE_NAME" localSheetId="5" hidden="1">#REF!</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0" localSheetId="5" hidden="1">#REF!</definedName>
    <definedName name="XREF_COLUMN_11" localSheetId="5" hidden="1">#REF!</definedName>
    <definedName name="XREF_COLUMN_12" localSheetId="5" hidden="1">#REF!</definedName>
    <definedName name="XREF_COLUMN_19" localSheetId="5" hidden="1">#REF!</definedName>
    <definedName name="XREF_COLUMN_2" localSheetId="5" hidden="1">#REF!</definedName>
    <definedName name="XREF_COLUMN_20" localSheetId="5" hidden="1">#REF!</definedName>
    <definedName name="XREF_COLUMN_21" localSheetId="5" hidden="1">#REF!</definedName>
    <definedName name="XREF_COLUMN_3" localSheetId="5" hidden="1">#REF!</definedName>
    <definedName name="XREF_COLUMN_4" localSheetId="5" hidden="1">#REF!</definedName>
    <definedName name="XREF_COLUMN_5" localSheetId="5" hidden="1">#REF!</definedName>
    <definedName name="XREF_COLUMN_6" localSheetId="5" hidden="1">#REF!</definedName>
    <definedName name="XREF_COLUMN_7" localSheetId="5" hidden="1">#REF!</definedName>
    <definedName name="XRefActiveRow" localSheetId="5" hidden="1">#REF!</definedName>
    <definedName name="XRefCopy1" localSheetId="5" hidden="1">#REF!</definedName>
    <definedName name="XRefCopy10" localSheetId="5" hidden="1">#REF!</definedName>
    <definedName name="XRefCopy10Row" localSheetId="5" hidden="1">#REF!</definedName>
    <definedName name="XRefCopy11" localSheetId="5" hidden="1">#REF!</definedName>
    <definedName name="XRefCopy11Row" localSheetId="5" hidden="1">#REF!</definedName>
    <definedName name="XRefCopy12" localSheetId="5" hidden="1">#REF!</definedName>
    <definedName name="XRefCopy13" localSheetId="5" hidden="1">#REF!</definedName>
    <definedName name="XRefCopy13Row" localSheetId="5" hidden="1">#REF!</definedName>
    <definedName name="XRefCopy14" localSheetId="5" hidden="1">#REF!</definedName>
    <definedName name="XRefCopy15" localSheetId="5" hidden="1">#REF!</definedName>
    <definedName name="XRefCopy16Row" localSheetId="5" hidden="1">#REF!</definedName>
    <definedName name="XRefCopy1Row" localSheetId="5" hidden="1">#REF!</definedName>
    <definedName name="XRefCopy2" localSheetId="5" hidden="1">#REF!</definedName>
    <definedName name="XRefCopy2Row" localSheetId="5" hidden="1">#REF!</definedName>
    <definedName name="XRefCopy3" localSheetId="5" hidden="1">#REF!</definedName>
    <definedName name="XRefCopy3Row" localSheetId="5" hidden="1">#REF!</definedName>
    <definedName name="XRefCopy4" localSheetId="5" hidden="1">#REF!</definedName>
    <definedName name="XRefCopy46" localSheetId="5" hidden="1">#REF!</definedName>
    <definedName name="XRefCopy47" localSheetId="5" hidden="1">#REF!</definedName>
    <definedName name="XRefCopy47Row" localSheetId="5" hidden="1">#REF!</definedName>
    <definedName name="XRefCopy48" localSheetId="5" hidden="1">#REF!</definedName>
    <definedName name="XRefCopy48Row" localSheetId="5" hidden="1">#REF!</definedName>
    <definedName name="XRefCopy49" localSheetId="5" hidden="1">#REF!</definedName>
    <definedName name="XRefCopy49Row" localSheetId="5" hidden="1">#REF!</definedName>
    <definedName name="XRefCopy4Row" localSheetId="5" hidden="1">#REF!</definedName>
    <definedName name="XRefCopy5" localSheetId="5" hidden="1">#REF!</definedName>
    <definedName name="XRefCopy50" localSheetId="5" hidden="1">#REF!</definedName>
    <definedName name="XRefCopy50Row" localSheetId="5" hidden="1">#REF!</definedName>
    <definedName name="XRefCopy51" localSheetId="5" hidden="1">#REF!</definedName>
    <definedName name="XRefCopy52" localSheetId="5" hidden="1">#REF!</definedName>
    <definedName name="XRefCopy52Row" localSheetId="5" hidden="1">#REF!</definedName>
    <definedName name="XRefCopy53" localSheetId="5" hidden="1">#REF!</definedName>
    <definedName name="XRefCopy53Row" localSheetId="5" hidden="1">#REF!</definedName>
    <definedName name="XRefCopy54" localSheetId="5" hidden="1">#REF!</definedName>
    <definedName name="XRefCopy54Row" localSheetId="5" hidden="1">#REF!</definedName>
    <definedName name="XRefCopy55" localSheetId="5" hidden="1">#REF!</definedName>
    <definedName name="XRefCopy55Row" localSheetId="5" hidden="1">#REF!</definedName>
    <definedName name="XRefCopy56" localSheetId="5" hidden="1">#REF!</definedName>
    <definedName name="XRefCopy56Row" localSheetId="5" hidden="1">#REF!</definedName>
    <definedName name="XRefCopy57" localSheetId="5" hidden="1">#REF!</definedName>
    <definedName name="XRefCopy57Row" localSheetId="5" hidden="1">#REF!</definedName>
    <definedName name="XRefCopy5Row" localSheetId="5" hidden="1">#REF!</definedName>
    <definedName name="XRefCopy6" localSheetId="5" hidden="1">#REF!</definedName>
    <definedName name="XRefCopy6Row" localSheetId="5" hidden="1">#REF!</definedName>
    <definedName name="XRefCopy7" localSheetId="5" hidden="1">#REF!</definedName>
    <definedName name="XRefCopy7Row" localSheetId="5" hidden="1">#REF!</definedName>
    <definedName name="XRefCopy8" localSheetId="5" hidden="1">#REF!</definedName>
    <definedName name="XRefCopy8Row" localSheetId="5" hidden="1">#REF!</definedName>
    <definedName name="XRefCopy9" localSheetId="5" hidden="1">#REF!</definedName>
    <definedName name="XRefCopy9Row" localSheetId="5" hidden="1">#REF!</definedName>
    <definedName name="XRefPaste1" localSheetId="5" hidden="1">#REF!</definedName>
    <definedName name="XRefPaste10" localSheetId="5" hidden="1">#REF!</definedName>
    <definedName name="XRefPaste11" localSheetId="5" hidden="1">#REF!</definedName>
    <definedName name="XRefPaste1Row" localSheetId="5" hidden="1">#REF!</definedName>
    <definedName name="XRefPaste2" localSheetId="5" hidden="1">#REF!</definedName>
    <definedName name="XRefPaste24" localSheetId="5" hidden="1">#REF!</definedName>
    <definedName name="XRefPaste24Row" localSheetId="5" hidden="1">#REF!</definedName>
    <definedName name="XRefPaste25" localSheetId="5" hidden="1">#REF!</definedName>
    <definedName name="XRefPaste25Row" localSheetId="5" hidden="1">#REF!</definedName>
    <definedName name="XRefPaste26" localSheetId="5" hidden="1">#REF!</definedName>
    <definedName name="XRefPaste26Row" localSheetId="5" hidden="1">#REF!</definedName>
    <definedName name="XRefPaste27" localSheetId="5" hidden="1">#REF!</definedName>
    <definedName name="XRefPaste27Row" localSheetId="5" hidden="1">#REF!</definedName>
    <definedName name="XRefPaste28" localSheetId="5" hidden="1">#REF!</definedName>
    <definedName name="XRefPaste28Row" localSheetId="5" hidden="1">#REF!</definedName>
    <definedName name="XRefPaste29" localSheetId="5" hidden="1">#REF!</definedName>
    <definedName name="XRefPaste29Row" localSheetId="5" hidden="1">#REF!</definedName>
    <definedName name="XRefPaste2Row" localSheetId="5" hidden="1">#REF!</definedName>
    <definedName name="XRefPaste3" localSheetId="5" hidden="1">#REF!</definedName>
    <definedName name="XRefPaste3Row" localSheetId="5" hidden="1">#REF!</definedName>
    <definedName name="XRefPaste4" localSheetId="5" hidden="1">#REF!</definedName>
    <definedName name="XRefPaste4Row" localSheetId="5" hidden="1">#REF!</definedName>
    <definedName name="XRefPaste5" localSheetId="5" hidden="1">#REF!</definedName>
    <definedName name="XRefPaste6" localSheetId="5" hidden="1">#REF!</definedName>
    <definedName name="XRefPaste6Row" localSheetId="5" hidden="1">#REF!</definedName>
    <definedName name="XRefPaste7" localSheetId="5" hidden="1">#REF!</definedName>
    <definedName name="XRefPaste8" localSheetId="5" hidden="1">#REF!</definedName>
    <definedName name="XRefPaste9" localSheetId="5" hidden="1">#REF!</definedName>
    <definedName name="xzxsfd" localSheetId="5" hidden="1">{"M1Print",#N/A,FALSE,"M1"}</definedName>
    <definedName name="Z_1711050D_B2D8_42FB_A40D_E4BD90297684_.wvu.Cols" localSheetId="5" hidden="1">#REF!,#REF!,#REF!,#REF!,#REF!</definedName>
    <definedName name="Z_E738B51C_56AE_4F9F_8D8A_36AD6137B90D_.wvu.Cols" localSheetId="5" hidden="1">#REF!</definedName>
    <definedName name="Z_E738B51C_56AE_4F9F_8D8A_36AD6137B90D_.wvu.PrintArea" localSheetId="5" hidden="1">#REF!</definedName>
    <definedName name="Z_E738B51C_56AE_4F9F_8D8A_36AD6137B90D_.wvu.PrintTitles" localSheetId="5" hidden="1">#REF!,#REF!</definedName>
    <definedName name="Z_E738B51C_56AE_4F9F_8D8A_36AD6137B90D_.wvu.Rows" localSheetId="5" hidden="1">#REF!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123Graph_D" localSheetId="7" hidden="1">#REF!</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ss" localSheetId="7" hidden="1">{#N/A,#N/A,TRUE,"CPRD";#N/A,#N/A,TRUE,"BCCPDR";#N/A,#N/A,TRUE,"EWRD";#N/A,#N/A,TRUE,"5100";#N/A,#N/A,TRUE,"5110"}</definedName>
    <definedName name="BNE_MESSAGES_HIDDEN" localSheetId="7" hidden="1">#REF!</definedName>
    <definedName name="cashflow20030930" localSheetId="7" hidden="1">{"M1Print",#N/A,TRUE,"M1";"M2Print",#N/A,TRUE,"M2";"M1sPrint",#N/A,TRUE,"M1s";"M2aPrint",#N/A,TRUE,"M2a";"M4Print",#N/A,TRUE,"M4";"M5Print",#N/A,TRUE,"M5";"M6Print",#N/A,TRUE,"M6";"M6_1Print",#N/A,TRUE,"M6_1";"M6_2Print",#N/A,TRUE,"M6_2";"M7_1Print",#N/A,TRUE,"M7_1";"M7_2Print",#N/A,TRUE,"M7_2"}</definedName>
    <definedName name="doddd" localSheetId="7" hidden="1">{#N/A,#N/A,TRUE,"CPRD";#N/A,#N/A,TRUE,"BCCPDR";#N/A,#N/A,TRUE,"EWRD";#N/A,#N/A,TRUE,"5100";#N/A,#N/A,TRUE,"5110"}</definedName>
    <definedName name="dog" localSheetId="7" hidden="1">{#N/A,#N/A,TRUE,"CPRD";#N/A,#N/A,TRUE,"BCCPDR";#N/A,#N/A,TRUE,"EWRD";#N/A,#N/A,TRUE,"5100";#N/A,#N/A,TRUE,"5110"}</definedName>
    <definedName name="ExpenseUpload"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qwertyuiopasdfghjkl" localSheetId="7" hidden="1">{"M2aPrint",#N/A,FALSE,"M2a"}</definedName>
    <definedName name="qwwertyuiop" localSheetId="7" hidden="1">{"M2Print",#N/A,FALSE,"M2"}</definedName>
    <definedName name="Sheet1_BNE_MESSAGES" localSheetId="7" hidden="1">#REF!</definedName>
    <definedName name="Sheet1_BNE_MESSAGES_HIDDEN" localSheetId="7" hidden="1">#REF!</definedName>
    <definedName name="Sheet1_BNE_MESSAGES_LAMP" localSheetId="7" hidden="1">#REF!</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oard._.Reports." localSheetId="7" hidden="1">{#N/A,#N/A,FALSE,"M1s Board";#N/A,#N/A,FALSE,"M3 Board";#N/A,#N/A,FALSE,"M6 Board";#N/A,#N/A,FALSE,"M7";#N/A,#N/A,FALSE,"M7B";#N/A,#N/A,FALSE,"M8";#N/A,#N/A,FALSE,"M8A Board";#N/A,#N/A,FALSE,"AF1 Board"}</definedName>
    <definedName name="wrn.Deptartment._.Expenses." localSheetId="7" hidden="1">{#N/A,#N/A,TRUE,"CPRD";#N/A,#N/A,TRUE,"BCCPDR";#N/A,#N/A,TRUE,"EWRD";#N/A,#N/A,TRUE,"5100";#N/A,#N/A,TRUE,"5110"}</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n.all." localSheetId="7" hidden="1">{#N/A,#N/A,FALSE,"SUM";#N/A,#N/A,FALSE,"SK_TOT";#N/A,#N/A,FALSE,"YM";#N/A,#N/A,FALSE,"TSMC";#N/A,#N/A,FALSE,"ICW";#N/A,#N/A,FALSE,"Sheet1"}</definedName>
    <definedName name="XREF_COLUMN_10" localSheetId="7" hidden="1">#REF!</definedName>
    <definedName name="XREF_COLUMN_11" localSheetId="7" hidden="1">#REF!</definedName>
    <definedName name="XREF_COLUMN_19" localSheetId="7" hidden="1">#REF!</definedName>
    <definedName name="XREF_COLUMN_2" localSheetId="7" hidden="1">#REF!</definedName>
    <definedName name="XREF_COLUMN_20" localSheetId="7" hidden="1">#REF!</definedName>
    <definedName name="XREF_COLUMN_21" localSheetId="7" hidden="1">#REF!</definedName>
    <definedName name="XREF_COLUMN_3" localSheetId="7" hidden="1">#REF!</definedName>
    <definedName name="XREF_COLUMN_4" localSheetId="7" hidden="1">#REF!</definedName>
    <definedName name="XREF_COLUMN_5" localSheetId="7" hidden="1">#REF!</definedName>
    <definedName name="XREF_COLUMN_6" localSheetId="7" hidden="1">#REF!</definedName>
    <definedName name="XREF_COLUMN_7" localSheetId="7" hidden="1">#REF!</definedName>
    <definedName name="XRefActiveRow" localSheetId="7" hidden="1">#REF!</definedName>
    <definedName name="XRefCopy1" localSheetId="7" hidden="1">#REF!</definedName>
    <definedName name="XRefCopy10" localSheetId="7" hidden="1">#REF!</definedName>
    <definedName name="XRefCopy11Row" localSheetId="7" hidden="1">#REF!</definedName>
    <definedName name="XRefCopy12" localSheetId="7" hidden="1">#REF!</definedName>
    <definedName name="XRefCopy13" localSheetId="7" hidden="1">#REF!</definedName>
    <definedName name="XRefCopy13Row" localSheetId="7" hidden="1">#REF!</definedName>
    <definedName name="XRefCopy14" localSheetId="7" hidden="1">#REF!</definedName>
    <definedName name="XRefCopy15" localSheetId="7" hidden="1">#REF!</definedName>
    <definedName name="XRefCopy16Row" localSheetId="7" hidden="1">#REF!</definedName>
    <definedName name="XRefCopy1Row" localSheetId="7" hidden="1">#REF!</definedName>
    <definedName name="XRefCopy2" localSheetId="7" hidden="1">#REF!</definedName>
    <definedName name="XRefCopy2Row" localSheetId="7" hidden="1">#REF!</definedName>
    <definedName name="XRefPaste24" localSheetId="7" hidden="1">#REF!</definedName>
    <definedName name="XRefPaste24Row" localSheetId="7" hidden="1">#REF!</definedName>
    <definedName name="XRefPaste25" localSheetId="7" hidden="1">#REF!</definedName>
    <definedName name="XRefPaste3" localSheetId="7" hidden="1">#REF!</definedName>
    <definedName name="XRefPaste3Row" localSheetId="7" hidden="1">#REF!</definedName>
    <definedName name="XRefPaste4" localSheetId="7" hidden="1">#REF!</definedName>
    <definedName name="XRefPaste7" localSheetId="7" hidden="1">#REF!</definedName>
    <definedName name="XRefPaste8" localSheetId="7" hidden="1">#REF!</definedName>
    <definedName name="XRefPaste9" localSheetId="7" hidden="1">#REF!</definedName>
    <definedName name="xzxsfd" localSheetId="7" hidden="1">{"M1Print",#N/A,FALSE,"M1"}</definedName>
    <definedName name="Z_E738B51C_56AE_4F9F_8D8A_36AD6137B90D_.wvu.PrintTitles" localSheetId="7" hidden="1">#REF!,#REF!</definedName>
    <definedName name="Z_E738B51C_56AE_4F9F_8D8A_36AD6137B90D_.wvu.Rows" localSheetId="7" hidden="1">#REF!</definedName>
    <definedName name="苛" localSheetId="7"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123Graph_D" localSheetId="9" hidden="1">#REF!</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BNE_MESSAGES_HIDDEN" localSheetId="9" hidden="1">#REF!</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21"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_COLUMN_7" localSheetId="9" hidden="1">#REF!</definedName>
    <definedName name="XRefActiveRow" localSheetId="9" hidden="1">#REF!</definedName>
    <definedName name="XRefCopy1" localSheetId="9" hidden="1">#REF!</definedName>
    <definedName name="XRefCopy10" localSheetId="9" hidden="1">#REF!</definedName>
    <definedName name="XRefCopy11Row" localSheetId="9" hidden="1">#REF!</definedName>
    <definedName name="XRefCopy12" localSheetId="9" hidden="1">#REF!</definedName>
    <definedName name="XRefCopy13" localSheetId="9" hidden="1">#REF!</definedName>
    <definedName name="XRefCopy13Row" localSheetId="9" hidden="1">#REF!</definedName>
    <definedName name="XRefCopy14" localSheetId="9" hidden="1">#REF!</definedName>
    <definedName name="XRefCopy15" localSheetId="9" hidden="1">#REF!</definedName>
    <definedName name="XRefCopy16Row" localSheetId="9" hidden="1">#REF!</definedName>
    <definedName name="XRefCopy1Row" localSheetId="9" hidden="1">#REF!</definedName>
    <definedName name="XRefCopy2" localSheetId="9" hidden="1">#REF!</definedName>
    <definedName name="XRefCopy2Row" localSheetId="9" hidden="1">#REF!</definedName>
    <definedName name="XRefPaste24" localSheetId="9" hidden="1">#REF!</definedName>
    <definedName name="XRefPaste24Row" localSheetId="9" hidden="1">#REF!</definedName>
    <definedName name="XRefPaste25" localSheetId="9" hidden="1">#REF!</definedName>
    <definedName name="XRefPaste3" localSheetId="9" hidden="1">#REF!</definedName>
    <definedName name="XRefPaste3Row" localSheetId="9" hidden="1">#REF!</definedName>
    <definedName name="XRefPaste4" localSheetId="9" hidden="1">#REF!</definedName>
    <definedName name="XRefPaste7" localSheetId="9" hidden="1">#REF!</definedName>
    <definedName name="XRefPaste8" localSheetId="9" hidden="1">#REF!</definedName>
    <definedName name="XRefPaste9" localSheetId="9" hidden="1">#REF!</definedName>
    <definedName name="xzxsfd" localSheetId="9" hidden="1">{"M1Print",#N/A,FALSE,"M1"}</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123Graph_D" localSheetId="10" hidden="1">#REF!</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BNE_MESSAGES_HIDDEN" localSheetId="10" hidden="1">#REF!</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tartment._.Expenses." localSheetId="10" hidden="1">{#N/A,#N/A,TRUE,"CPRD";#N/A,#N/A,TRUE,"BCCPDR";#N/A,#N/A,TRUE,"EWRD";#N/A,#N/A,TRUE,"5100";#N/A,#N/A,TRUE,"5110"}</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n.all." localSheetId="10" hidden="1">{#N/A,#N/A,FALSE,"SUM";#N/A,#N/A,FALSE,"SK_TOT";#N/A,#N/A,FALSE,"YM";#N/A,#N/A,FALSE,"TSMC";#N/A,#N/A,FALSE,"ICW";#N/A,#N/A,FALSE,"Sheet1"}</definedName>
    <definedName name="XREF_COLUMN_10" localSheetId="10" hidden="1">#REF!</definedName>
    <definedName name="XREF_COLUMN_11" localSheetId="10" hidden="1">#REF!</definedName>
    <definedName name="XREF_COLUMN_19" localSheetId="10" hidden="1">#REF!</definedName>
    <definedName name="XREF_COLUMN_2" localSheetId="10" hidden="1">#REF!</definedName>
    <definedName name="XREF_COLUMN_20" localSheetId="10" hidden="1">#REF!</definedName>
    <definedName name="XREF_COLUMN_21" localSheetId="10" hidden="1">#REF!</definedName>
    <definedName name="XREF_COLUMN_3" localSheetId="10" hidden="1">#REF!</definedName>
    <definedName name="XREF_COLUMN_4" localSheetId="10" hidden="1">#REF!</definedName>
    <definedName name="XREF_COLUMN_5" localSheetId="10" hidden="1">#REF!</definedName>
    <definedName name="XREF_COLUMN_6" localSheetId="10" hidden="1">#REF!</definedName>
    <definedName name="XREF_COLUMN_7" localSheetId="10" hidden="1">#REF!</definedName>
    <definedName name="XRefActiveRow" localSheetId="10" hidden="1">#REF!</definedName>
    <definedName name="XRefCopy1" localSheetId="10" hidden="1">#REF!</definedName>
    <definedName name="XRefCopy10" localSheetId="10" hidden="1">#REF!</definedName>
    <definedName name="XRefCopy11Row" localSheetId="10" hidden="1">#REF!</definedName>
    <definedName name="XRefCopy12" localSheetId="10" hidden="1">#REF!</definedName>
    <definedName name="XRefCopy13" localSheetId="10" hidden="1">#REF!</definedName>
    <definedName name="XRefCopy13Row" localSheetId="10" hidden="1">#REF!</definedName>
    <definedName name="XRefCopy14" localSheetId="10" hidden="1">#REF!</definedName>
    <definedName name="XRefCopy15" localSheetId="10" hidden="1">#REF!</definedName>
    <definedName name="XRefCopy16Row" localSheetId="10" hidden="1">#REF!</definedName>
    <definedName name="XRefCopy1Row" localSheetId="10" hidden="1">#REF!</definedName>
    <definedName name="XRefCopy2" localSheetId="10" hidden="1">#REF!</definedName>
    <definedName name="XRefCopy2Row" localSheetId="10" hidden="1">#REF!</definedName>
    <definedName name="XRefPaste24" localSheetId="10" hidden="1">#REF!</definedName>
    <definedName name="XRefPaste24Row" localSheetId="10" hidden="1">#REF!</definedName>
    <definedName name="XRefPaste25" localSheetId="10" hidden="1">#REF!</definedName>
    <definedName name="XRefPaste3" localSheetId="10" hidden="1">#REF!</definedName>
    <definedName name="XRefPaste3Row" localSheetId="10" hidden="1">#REF!</definedName>
    <definedName name="XRefPaste4" localSheetId="10" hidden="1">#REF!</definedName>
    <definedName name="XRefPaste7" localSheetId="10" hidden="1">#REF!</definedName>
    <definedName name="XRefPaste8" localSheetId="10" hidden="1">#REF!</definedName>
    <definedName name="XRefPaste9" localSheetId="10" hidden="1">#REF!</definedName>
    <definedName name="xzxsfd" localSheetId="10" hidden="1">{"M1Print",#N/A,FALSE,"M1"}</definedName>
    <definedName name="Z_E738B51C_56AE_4F9F_8D8A_36AD6137B90D_.wvu.PrintTitles" localSheetId="10" hidden="1">#REF!,#REF!</definedName>
    <definedName name="Z_E738B51C_56AE_4F9F_8D8A_36AD6137B90D_.wvu.Rows" localSheetId="10" hidden="1">#REF!</definedName>
    <definedName name="苛" localSheetId="10" hidden="1">{"M1sPrint",#N/A,FALSE,"M1s"}</definedName>
    <definedName name="_____dod1" localSheetId="15" hidden="1">{#N/A,#N/A,TRUE,"CPRD";#N/A,#N/A,TRUE,"BCCPDR";#N/A,#N/A,TRUE,"EWRD";#N/A,#N/A,TRUE,"5100";#N/A,#N/A,TRUE,"5110"}</definedName>
    <definedName name="____dod1" localSheetId="15" hidden="1">{#N/A,#N/A,TRUE,"CPRD";#N/A,#N/A,TRUE,"BCCPDR";#N/A,#N/A,TRUE,"EWRD";#N/A,#N/A,TRUE,"5100";#N/A,#N/A,TRUE,"5110"}</definedName>
    <definedName name="___dod1" localSheetId="15" hidden="1">{#N/A,#N/A,TRUE,"CPRD";#N/A,#N/A,TRUE,"BCCPDR";#N/A,#N/A,TRUE,"EWRD";#N/A,#N/A,TRUE,"5100";#N/A,#N/A,TRUE,"5110"}</definedName>
    <definedName name="___dog1" localSheetId="15" hidden="1">{#N/A,#N/A,TRUE,"CPRD";#N/A,#N/A,TRUE,"BCCPDR";#N/A,#N/A,TRUE,"EWRD";#N/A,#N/A,TRUE,"5100";#N/A,#N/A,TRUE,"5110"}</definedName>
    <definedName name="__123Graph_A" localSheetId="15" hidden="1">#REF!</definedName>
    <definedName name="__123Graph_AGraph1" localSheetId="15" hidden="1">#REF!</definedName>
    <definedName name="__123Graph_B" localSheetId="15" hidden="1">#REF!</definedName>
    <definedName name="__123Graph_BGraph1" localSheetId="15" hidden="1">#REF!</definedName>
    <definedName name="__123Graph_C" localSheetId="15" hidden="1">#REF!</definedName>
    <definedName name="__123Graph_CGraph1" localSheetId="15" hidden="1">#REF!</definedName>
    <definedName name="__123Graph_DGraph1" localSheetId="15" hidden="1">#REF!</definedName>
    <definedName name="__123Graph_E" localSheetId="15" hidden="1">#REF!</definedName>
    <definedName name="__123Graph_EGraph1" localSheetId="15" hidden="1">#REF!</definedName>
    <definedName name="__123Graph_X" localSheetId="15" hidden="1">#REF!</definedName>
    <definedName name="__123Graph_XGraph1" localSheetId="15" hidden="1">#REF!</definedName>
    <definedName name="__dod1" localSheetId="15" hidden="1">{#N/A,#N/A,TRUE,"CPRD";#N/A,#N/A,TRUE,"BCCPDR";#N/A,#N/A,TRUE,"EWRD";#N/A,#N/A,TRUE,"5100";#N/A,#N/A,TRUE,"5110"}</definedName>
    <definedName name="__dog1" localSheetId="15" hidden="1">{#N/A,#N/A,TRUE,"CPRD";#N/A,#N/A,TRUE,"BCCPDR";#N/A,#N/A,TRUE,"EWRD";#N/A,#N/A,TRUE,"5100";#N/A,#N/A,TRUE,"5110"}</definedName>
    <definedName name="_dod1" localSheetId="15" hidden="1">{#N/A,#N/A,TRUE,"CPRD";#N/A,#N/A,TRUE,"BCCPDR";#N/A,#N/A,TRUE,"EWRD";#N/A,#N/A,TRUE,"5100";#N/A,#N/A,TRUE,"5110"}</definedName>
    <definedName name="_dog1" localSheetId="15" hidden="1">{#N/A,#N/A,TRUE,"CPRD";#N/A,#N/A,TRUE,"BCCPDR";#N/A,#N/A,TRUE,"EWRD";#N/A,#N/A,TRUE,"5100";#N/A,#N/A,TRUE,"5110"}</definedName>
    <definedName name="_Fill" localSheetId="15" hidden="1">#REF!</definedName>
    <definedName name="_Key1" localSheetId="15" hidden="1">#REF!</definedName>
    <definedName name="_Key2" localSheetId="15" hidden="1">#REF!</definedName>
    <definedName name="_Sort" localSheetId="15" hidden="1">#REF!</definedName>
    <definedName name="adas" localSheetId="15" hidden="1">{"M1Print",#N/A,TRUE,"M1";"M2Print",#N/A,TRUE,"M2";"M1sPrint",#N/A,TRUE,"M1s";"M2aPrint",#N/A,TRUE,"M2a";"M4Print",#N/A,TRUE,"M4";"M5Print",#N/A,TRUE,"M5";"M6Print",#N/A,TRUE,"M6";"M6_1Print",#N/A,TRUE,"M6_1";"M6_2Print",#N/A,TRUE,"M6_2";"M7_1Print",#N/A,TRUE,"M7_1";"M7_2Print",#N/A,TRUE,"M7_2"}</definedName>
    <definedName name="AS2TickmarkLS" localSheetId="15" hidden="1">#REF!</definedName>
    <definedName name="ass" localSheetId="15" hidden="1">{#N/A,#N/A,TRUE,"CPRD";#N/A,#N/A,TRUE,"BCCPDR";#N/A,#N/A,TRUE,"EWRD";#N/A,#N/A,TRUE,"5100";#N/A,#N/A,TRUE,"5110"}</definedName>
    <definedName name="BNE_MESSAGES_HIDDEN" localSheetId="15" hidden="1">#REF!</definedName>
    <definedName name="cashflow20030930" localSheetId="15" hidden="1">{"M1Print",#N/A,TRUE,"M1";"M2Print",#N/A,TRUE,"M2";"M1sPrint",#N/A,TRUE,"M1s";"M2aPrint",#N/A,TRUE,"M2a";"M4Print",#N/A,TRUE,"M4";"M5Print",#N/A,TRUE,"M5";"M6Print",#N/A,TRUE,"M6";"M6_1Print",#N/A,TRUE,"M6_1";"M6_2Print",#N/A,TRUE,"M6_2";"M7_1Print",#N/A,TRUE,"M7_1";"M7_2Print",#N/A,TRUE,"M7_2"}</definedName>
    <definedName name="doddd" localSheetId="15" hidden="1">{#N/A,#N/A,TRUE,"CPRD";#N/A,#N/A,TRUE,"BCCPDR";#N/A,#N/A,TRUE,"EWRD";#N/A,#N/A,TRUE,"5100";#N/A,#N/A,TRUE,"5110"}</definedName>
    <definedName name="dog" localSheetId="15" hidden="1">{#N/A,#N/A,TRUE,"CPRD";#N/A,#N/A,TRUE,"BCCPDR";#N/A,#N/A,TRUE,"EWRD";#N/A,#N/A,TRUE,"5100";#N/A,#N/A,TRUE,"5110"}</definedName>
    <definedName name="ExpenseUpload" localSheetId="15" hidden="1">{#N/A,#N/A,TRUE,"CPRD";#N/A,#N/A,TRUE,"BCCPDR";#N/A,#N/A,TRUE,"EWRD";#N/A,#N/A,TRUE,"5100";#N/A,#N/A,TRUE,"5110"}</definedName>
    <definedName name="HdctTrnd" localSheetId="15" hidden="1">{#N/A,#N/A,TRUE,"CPRD";#N/A,#N/A,TRUE,"BCCPDR";#N/A,#N/A,TRUE,"EWRD";#N/A,#N/A,TRUE,"5100";#N/A,#N/A,TRUE,"5110"}</definedName>
    <definedName name="HTML_Control" localSheetId="15" hidden="1">{"'Vxxe_times_J750 (2)'!$A$3:$E$14"}</definedName>
    <definedName name="notused" localSheetId="15" hidden="1">{#N/A,#N/A,TRUE,"CPRD";#N/A,#N/A,TRUE,"BCCPDR";#N/A,#N/A,TRUE,"EWRD";#N/A,#N/A,TRUE,"5100";#N/A,#N/A,TRUE,"5110"}</definedName>
    <definedName name="qwertyuiopasdfghjkl" localSheetId="15" hidden="1">{"M2aPrint",#N/A,FALSE,"M2a"}</definedName>
    <definedName name="qwwertyuiop" localSheetId="15" hidden="1">{"M2Print",#N/A,FALSE,"M2"}</definedName>
    <definedName name="Sheet1_BNE_MESSAGES" localSheetId="15" hidden="1">#REF!</definedName>
    <definedName name="Sheet1_BNE_MESSAGES_HIDDEN" localSheetId="15" hidden="1">#REF!</definedName>
    <definedName name="Sheet1_BNE_MESSAGES_LAMP" localSheetId="15" hidden="1">#REF!</definedName>
    <definedName name="Sheet1_BNE_UPLOAD" localSheetId="15" hidden="1">#REF!</definedName>
    <definedName name="Sheet1_GL_INTERFACE_ACCOUNTING_DATE" localSheetId="15" hidden="1">#REF!</definedName>
    <definedName name="Sheet1_GL_INTERFACE_ACTUAL_FLAG" localSheetId="15" hidden="1">#REF!</definedName>
    <definedName name="Sheet1_GL_INTERFACE_CURRENCY_CODE" localSheetId="15" hidden="1">#REF!</definedName>
    <definedName name="Sheet1_GL_INTERFACE_DATABASE" localSheetId="15" hidden="1">#REF!</definedName>
    <definedName name="Sheet1_GL_INTERFACE_ENTERED_CR" localSheetId="15" hidden="1">#REF!</definedName>
    <definedName name="Sheet1_GL_INTERFACE_ENTERED_DR" localSheetId="15" hidden="1">#REF!</definedName>
    <definedName name="Sheet1_GL_INTERFACE_REFERENCE1" localSheetId="15" hidden="1">#REF!</definedName>
    <definedName name="Sheet1_GL_INTERFACE_REFERENCE10" localSheetId="15" hidden="1">#REF!</definedName>
    <definedName name="Sheet1_GL_INTERFACE_REFERENCE4" localSheetId="15" hidden="1">#REF!</definedName>
    <definedName name="Sheet1_GL_INTERFACE_REFERENCE5" localSheetId="15" hidden="1">#REF!</definedName>
    <definedName name="Sheet1_GL_INTERFACE_REFERENCE7" localSheetId="15" hidden="1">#REF!</definedName>
    <definedName name="Sheet1_GL_INTERFACE_REFERENCE8" localSheetId="15" hidden="1">#REF!</definedName>
    <definedName name="Sheet1_GL_INTERFACE_SEGMENT1" localSheetId="15" hidden="1">#REF!</definedName>
    <definedName name="Sheet1_GL_INTERFACE_SEGMENT2" localSheetId="15" hidden="1">#REF!</definedName>
    <definedName name="Sheet1_GL_INTERFACE_SEGMENT3" localSheetId="15" hidden="1">#REF!</definedName>
    <definedName name="Sheet1_GL_INTERFACE_SEGMENT4" localSheetId="15" hidden="1">#REF!</definedName>
    <definedName name="Sheet1_GL_INTERFACE_SEGMENT5" localSheetId="15" hidden="1">#REF!</definedName>
    <definedName name="Sheet1_GL_INTERFACE_SEGMENT6" localSheetId="15" hidden="1">#REF!</definedName>
    <definedName name="Sheet1_GL_INTERFACE_SET_OF_BOOKS_ID" localSheetId="15" hidden="1">#REF!</definedName>
    <definedName name="Sheet1_GL_INTERFACE_USER_JE_CATEGORY_NAME" localSheetId="15" hidden="1">#REF!</definedName>
    <definedName name="Sheet1_GL_INTERFACE_USER_JE_SOURCE_NAME" localSheetId="15" hidden="1">#REF!</definedName>
    <definedName name="TextRefCopyRangeCount" localSheetId="15" hidden="1">4</definedName>
    <definedName name="wrn.Aging._.and._.Trend._.Analysis." localSheetId="15" hidden="1">{#N/A,#N/A,FALSE,"Aging Summary";#N/A,#N/A,FALSE,"Ratio Analysis";#N/A,#N/A,FALSE,"Test 120 Day Accts";#N/A,#N/A,FALSE,"Tickmarks"}</definedName>
    <definedName name="wrn.ALL." localSheetId="15" hidden="1">{#N/A,#N/A,FALSE,"SUM";#N/A,#N/A,FALSE,"SK_TOT";#N/A,#N/A,FALSE,"YM";#N/A,#N/A,FALSE,"TSMC";#N/A,#N/A,FALSE,"ICW";#N/A,#N/A,FALSE,"Sheet1"}</definedName>
    <definedName name="wrn.All._.M._.Schedules." localSheetId="15" hidden="1">{"M1Print",#N/A,TRUE,"M1";"M2Print",#N/A,TRUE,"M2";"M1sPrint",#N/A,TRUE,"M1s";"M2aPrint",#N/A,TRUE,"M2a";"M4Print",#N/A,TRUE,"M4";"M5Print",#N/A,TRUE,"M5";"M6Print",#N/A,TRUE,"M6";"M6_1Print",#N/A,TRUE,"M6_1";"M6_2Print",#N/A,TRUE,"M6_2";"M7_1Print",#N/A,TRUE,"M7_1";"M7_2Print",#N/A,TRUE,"M7_2"}</definedName>
    <definedName name="wrn.all._.M._.Schedules.1" localSheetId="15" hidden="1">{"M1Print",#N/A,TRUE,"M1";"M2Print",#N/A,TRUE,"M2";"M1sPrint",#N/A,TRUE,"M1s";"M2aPrint",#N/A,TRUE,"M2a";"M4Print",#N/A,TRUE,"M4";"M5Print",#N/A,TRUE,"M5";"M6Print",#N/A,TRUE,"M6";"M6_1Print",#N/A,TRUE,"M6_1";"M6_2Print",#N/A,TRUE,"M6_2";"M7_1Print",#N/A,TRUE,"M7_1";"M7_2Print",#N/A,TRUE,"M7_2"}</definedName>
    <definedName name="wrn.Board._.Reports." localSheetId="15" hidden="1">{#N/A,#N/A,FALSE,"M1s Board";#N/A,#N/A,FALSE,"M3 Board";#N/A,#N/A,FALSE,"M6 Board";#N/A,#N/A,FALSE,"M7";#N/A,#N/A,FALSE,"M7B";#N/A,#N/A,FALSE,"M8";#N/A,#N/A,FALSE,"M8A Board";#N/A,#N/A,FALSE,"AF1 Board"}</definedName>
    <definedName name="wrn.Deptartment._.Expenses." localSheetId="15" hidden="1">{#N/A,#N/A,TRUE,"CPRD";#N/A,#N/A,TRUE,"BCCPDR";#N/A,#N/A,TRUE,"EWRD";#N/A,#N/A,TRUE,"5100";#N/A,#N/A,TRUE,"5110"}</definedName>
    <definedName name="wrn.M1._.Operating._.Statement." localSheetId="15" hidden="1">{"M1Print",#N/A,FALSE,"M1"}</definedName>
    <definedName name="wrn.M1s._.Statistics." localSheetId="15" hidden="1">{"M1sPrint",#N/A,FALSE,"M1s"}</definedName>
    <definedName name="wrn.M2._.Balance._.Sheet." localSheetId="15" hidden="1">{"M2Print",#N/A,FALSE,"M2"}</definedName>
    <definedName name="wrn.M2a._.Cashflow." localSheetId="15" hidden="1">{"M2aPrint",#N/A,FALSE,"M2a"}</definedName>
    <definedName name="wrn.M4._.Inventories." localSheetId="15" hidden="1">{"M4Print",#N/A,FALSE,"M4"}</definedName>
    <definedName name="wrn.M5._.Flash._.and._.Forecast." localSheetId="15" hidden="1">{"M5Print",#N/A,FALSE,"M5"}</definedName>
    <definedName name="wrn.M6._.Management._.Summary." localSheetId="15" hidden="1">{"M6Print",#N/A,FALSE,"M6";"M6_1Print",#N/A,FALSE,"M6_1";"M6_2Print",#N/A,FALSE,"M6_2"}</definedName>
    <definedName name="wrn.M7._.Financial._.Controllers._.report." localSheetId="15" hidden="1">{"M7_1Print",#N/A,TRUE,"M7_1";"M7_2Print",#N/A,TRUE,"M7_2"}</definedName>
    <definedName name="wrnn.all." localSheetId="15" hidden="1">{#N/A,#N/A,FALSE,"SUM";#N/A,#N/A,FALSE,"SK_TOT";#N/A,#N/A,FALSE,"YM";#N/A,#N/A,FALSE,"TSMC";#N/A,#N/A,FALSE,"ICW";#N/A,#N/A,FALSE,"Sheet1"}</definedName>
    <definedName name="XREF_COLUMN_10" localSheetId="15" hidden="1">#REF!</definedName>
    <definedName name="XREF_COLUMN_11" localSheetId="15" hidden="1">#REF!</definedName>
    <definedName name="XREF_COLUMN_19" localSheetId="15" hidden="1">#REF!</definedName>
    <definedName name="XREF_COLUMN_2" localSheetId="15" hidden="1">#REF!</definedName>
    <definedName name="XREF_COLUMN_20" localSheetId="15" hidden="1">#REF!</definedName>
    <definedName name="XREF_COLUMN_21" localSheetId="15" hidden="1">#REF!</definedName>
    <definedName name="XREF_COLUMN_3" localSheetId="15" hidden="1">#REF!</definedName>
    <definedName name="XREF_COLUMN_4" localSheetId="15" hidden="1">#REF!</definedName>
    <definedName name="XREF_COLUMN_5" localSheetId="15" hidden="1">#REF!</definedName>
    <definedName name="XRefActiveRow" localSheetId="15" hidden="1">#REF!</definedName>
    <definedName name="XRefCopy1" localSheetId="15" hidden="1">#REF!</definedName>
    <definedName name="XRefCopy10" localSheetId="15" hidden="1">#REF!</definedName>
    <definedName name="XRefCopy10Row" localSheetId="15" hidden="1">#REF!</definedName>
    <definedName name="XRefCopy11" localSheetId="15" hidden="1">#REF!</definedName>
    <definedName name="XRefCopy11Row" localSheetId="15" hidden="1">#REF!</definedName>
    <definedName name="XRefCopy12" localSheetId="15" hidden="1">#REF!</definedName>
    <definedName name="XRefCopy13" localSheetId="15" hidden="1">#REF!</definedName>
    <definedName name="XRefCopy13Row" localSheetId="15" hidden="1">#REF!</definedName>
    <definedName name="XRefCopy14" localSheetId="15" hidden="1">#REF!</definedName>
    <definedName name="XRefCopy15" localSheetId="15" hidden="1">#REF!</definedName>
    <definedName name="XRefCopy16Row" localSheetId="15" hidden="1">#REF!</definedName>
    <definedName name="XRefCopy1Row" localSheetId="15" hidden="1">#REF!</definedName>
    <definedName name="XRefCopy2" localSheetId="15" hidden="1">#REF!</definedName>
    <definedName name="XRefCopy2Row" localSheetId="15" hidden="1">#REF!</definedName>
    <definedName name="XRefCopy3" localSheetId="15" hidden="1">#REF!</definedName>
    <definedName name="XRefCopy3Row" localSheetId="15" hidden="1">#REF!</definedName>
    <definedName name="XRefCopy4" localSheetId="15" hidden="1">#REF!</definedName>
    <definedName name="XRefCopy46" localSheetId="15" hidden="1">#REF!</definedName>
    <definedName name="XRefCopy47" localSheetId="15" hidden="1">#REF!</definedName>
    <definedName name="XRefCopy47Row" localSheetId="15" hidden="1">#REF!</definedName>
    <definedName name="XRefCopy48" localSheetId="15" hidden="1">#REF!</definedName>
    <definedName name="XRefCopy48Row" localSheetId="15" hidden="1">#REF!</definedName>
    <definedName name="XRefCopy49" localSheetId="15" hidden="1">#REF!</definedName>
    <definedName name="XRefCopy49Row" localSheetId="15" hidden="1">#REF!</definedName>
    <definedName name="XRefCopy4Row" localSheetId="15" hidden="1">#REF!</definedName>
    <definedName name="XRefCopy5" localSheetId="15" hidden="1">#REF!</definedName>
    <definedName name="XRefCopy50" localSheetId="15" hidden="1">#REF!</definedName>
    <definedName name="XRefCopy50Row" localSheetId="15" hidden="1">#REF!</definedName>
    <definedName name="XRefCopy51" localSheetId="15" hidden="1">#REF!</definedName>
    <definedName name="XRefCopy52" localSheetId="15" hidden="1">#REF!</definedName>
    <definedName name="XRefCopy52Row" localSheetId="15" hidden="1">#REF!</definedName>
    <definedName name="XRefCopy53" localSheetId="15" hidden="1">#REF!</definedName>
    <definedName name="XRefCopy53Row" localSheetId="15" hidden="1">#REF!</definedName>
    <definedName name="XRefCopy54" localSheetId="15" hidden="1">#REF!</definedName>
    <definedName name="XRefCopy54Row" localSheetId="15" hidden="1">#REF!</definedName>
    <definedName name="XRefCopy55" localSheetId="15" hidden="1">#REF!</definedName>
    <definedName name="XRefCopy55Row" localSheetId="15" hidden="1">#REF!</definedName>
    <definedName name="XRefCopy56" localSheetId="15" hidden="1">#REF!</definedName>
    <definedName name="XRefCopy56Row" localSheetId="15" hidden="1">#REF!</definedName>
    <definedName name="XRefCopy57" localSheetId="15" hidden="1">#REF!</definedName>
    <definedName name="XRefCopy57Row" localSheetId="15" hidden="1">#REF!</definedName>
    <definedName name="XRefCopy5Row" localSheetId="15" hidden="1">#REF!</definedName>
    <definedName name="XRefCopy6" localSheetId="15" hidden="1">#REF!</definedName>
    <definedName name="XRefCopy6Row" localSheetId="15" hidden="1">#REF!</definedName>
    <definedName name="XRefCopy7" localSheetId="15" hidden="1">#REF!</definedName>
    <definedName name="XRefCopy7Row" localSheetId="15" hidden="1">#REF!</definedName>
    <definedName name="XRefCopy8" localSheetId="15" hidden="1">#REF!</definedName>
    <definedName name="XRefCopy8Row" localSheetId="15" hidden="1">#REF!</definedName>
    <definedName name="XRefCopy9" localSheetId="15" hidden="1">#REF!</definedName>
    <definedName name="XRefCopy9Row" localSheetId="15" hidden="1">#REF!</definedName>
    <definedName name="XRefPaste1" localSheetId="15" hidden="1">#REF!</definedName>
    <definedName name="XRefPaste10" localSheetId="15" hidden="1">#REF!</definedName>
    <definedName name="XRefPaste11" localSheetId="15" hidden="1">#REF!</definedName>
    <definedName name="XRefPaste1Row" localSheetId="15" hidden="1">#REF!</definedName>
    <definedName name="XRefPaste2" localSheetId="15" hidden="1">#REF!</definedName>
    <definedName name="XRefPaste24" localSheetId="15" hidden="1">#REF!</definedName>
    <definedName name="XRefPaste24Row" localSheetId="15" hidden="1">#REF!</definedName>
    <definedName name="XRefPaste25" localSheetId="15" hidden="1">#REF!</definedName>
    <definedName name="XRefPaste25Row" localSheetId="15" hidden="1">#REF!</definedName>
    <definedName name="XRefPaste26" localSheetId="15" hidden="1">#REF!</definedName>
    <definedName name="XRefPaste26Row" localSheetId="15" hidden="1">#REF!</definedName>
    <definedName name="XRefPaste27" localSheetId="15" hidden="1">#REF!</definedName>
    <definedName name="XRefPaste27Row" localSheetId="15" hidden="1">#REF!</definedName>
    <definedName name="XRefPaste28" localSheetId="15" hidden="1">#REF!</definedName>
    <definedName name="XRefPaste28Row" localSheetId="15" hidden="1">#REF!</definedName>
    <definedName name="XRefPaste29" localSheetId="15" hidden="1">#REF!</definedName>
    <definedName name="XRefPaste29Row" localSheetId="15" hidden="1">#REF!</definedName>
    <definedName name="XRefPaste2Row" localSheetId="15" hidden="1">#REF!</definedName>
    <definedName name="XRefPaste3" localSheetId="15" hidden="1">#REF!</definedName>
    <definedName name="XRefPaste3Row" localSheetId="15" hidden="1">#REF!</definedName>
    <definedName name="XRefPaste4" localSheetId="15" hidden="1">#REF!</definedName>
    <definedName name="XRefPaste4Row" localSheetId="15" hidden="1">#REF!</definedName>
    <definedName name="XRefPaste5" localSheetId="15" hidden="1">#REF!</definedName>
    <definedName name="XRefPaste6" localSheetId="15" hidden="1">#REF!</definedName>
    <definedName name="XRefPaste6Row" localSheetId="15" hidden="1">#REF!</definedName>
    <definedName name="XRefPaste7" localSheetId="15" hidden="1">#REF!</definedName>
    <definedName name="XRefPaste8" localSheetId="15" hidden="1">#REF!</definedName>
    <definedName name="XRefPaste9" localSheetId="15" hidden="1">#REF!</definedName>
    <definedName name="xzxsfd" localSheetId="15" hidden="1">{"M1Print",#N/A,FALSE,"M1"}</definedName>
    <definedName name="Z_E738B51C_56AE_4F9F_8D8A_36AD6137B90D_.wvu.Cols" localSheetId="15" hidden="1">#REF!</definedName>
    <definedName name="Z_E738B51C_56AE_4F9F_8D8A_36AD6137B90D_.wvu.PrintArea" localSheetId="15" hidden="1">#REF!</definedName>
    <definedName name="Z_E738B51C_56AE_4F9F_8D8A_36AD6137B90D_.wvu.PrintTitles" localSheetId="15" hidden="1">#REF!,#REF!</definedName>
    <definedName name="Z_E738B51C_56AE_4F9F_8D8A_36AD6137B90D_.wvu.Rows" localSheetId="15" hidden="1">#REF!</definedName>
    <definedName name="苛" localSheetId="15"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 #,##0.00;[Red]\(#,##0.00\);&quot;-&quot;;\ @"/>
    <numFmt numFmtId="165" formatCode="_(* #,##0_);_(* \(#,##0\);_(* &quot;-&quot;??_);_(@_)"/>
    <numFmt numFmtId="166" formatCode="#,##0;\(#,##0\);0"/>
    <numFmt numFmtId="167" formatCode="#,##0.00_ ;[Red]\-#,##0.00\ "/>
    <numFmt numFmtId="168" formatCode="0_);[Red]\(0\)"/>
    <numFmt numFmtId="169" formatCode="#,##0;\(#,##0\);\-#,##0"/>
    <numFmt numFmtId="170" formatCode="0_);\(0\)"/>
    <numFmt numFmtId="171" formatCode="_(* #,##0.00_);_(* \(#,##0.00\);_(* &quot;-&quot;??_)"/>
    <numFmt numFmtId="172" formatCode="0.0%"/>
    <numFmt numFmtId="173" formatCode="_([$€-2]* #,##0.00_);_([$€-2]* \(#,##0.00\);_([$€-2]* &quot;-&quot;??_)"/>
    <numFmt numFmtId="174" formatCode="_-* #,##0.0000000000_-;\-* #,##0.0000000000_-;_-* &quot;-&quot;??_-;_-@_-"/>
    <numFmt numFmtId="175" formatCode="\¥#,##0;\-\¥#,##0"/>
    <numFmt numFmtId="176" formatCode="#,##0;\-#,##0;&quot;-&quot;"/>
    <numFmt numFmtId="177" formatCode="&quot;$&quot;#,##0;[Red]&quot;$&quot;&quot;$&quot;&quot;$&quot;&quot;$&quot;&quot;$&quot;&quot;$&quot;&quot;$&quot;\-#,##0"/>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_-* #,##0\ _k_r_-;\-* #,##0\ _k_r_-;_-* &quot;-&quot;\ _k_r_-;_-@_-"/>
    <numFmt numFmtId="186" formatCode="_-* #,##0.00\ _k_r_-;\-* #,##0.00\ _k_r_-;_-* &quot;-&quot;??\ _k_r_-;_-@_-"/>
    <numFmt numFmtId="187" formatCode="#,##0.00_);#,##0.00\)"/>
    <numFmt numFmtId="188" formatCode="0.00000&quot;  &quot;"/>
    <numFmt numFmtId="189" formatCode="_-* #,##0_-;\-* #,##0_-;_-* &quot;-&quot;_-;_-@_-"/>
    <numFmt numFmtId="190" formatCode="_-* #,##0.00_-;\-* #,##0.00_-;_-* &quot;-&quot;??_-;_-@_-"/>
    <numFmt numFmtId="191" formatCode="_([$€-2]* #,##0.00000_);_([$€-2]* \(#,##0.00000\);_([$€-2]* &quot;-&quot;??_)"/>
    <numFmt numFmtId="192" formatCode="_(\¥* #,##0.00_);_(\¥* \(#,##0.00\);_(\¥* &quot;-&quot;??_);_(@_)"/>
    <numFmt numFmtId="193" formatCode="_-&quot;$&quot;* #,##0_-;\-&quot;$&quot;* #,##0_-;_-&quot;$&quot;* &quot;-&quot;_-;_-@_-"/>
    <numFmt numFmtId="194" formatCode="_-&quot;$&quot;* #,##0.00_-;\-&quot;$&quot;* #,##0.00_-;_-&quot;$&quot;* &quot;-&quot;??_-;_-@_-"/>
    <numFmt numFmtId="195" formatCode="&quot;\&quot;#,##0;[Red]&quot;\&quot;&quot;\&quot;\-#,##0"/>
    <numFmt numFmtId="196" formatCode="&quot;\&quot;#,##0.00;[Red]&quot;\&quot;&quot;\&quot;&quot;\&quot;&quot;\&quot;&quot;\&quot;&quot;\&quot;\-#,##0.00"/>
    <numFmt numFmtId="197" formatCode="&quot;\&quot;#,##0.00;[Red]&quot;\&quot;\-#,##0.00"/>
    <numFmt numFmtId="198" formatCode="&quot;\&quot;#,##0;[Red]&quot;\&quot;\-#,##0"/>
    <numFmt numFmtId="199" formatCode="_(&quot;$&quot;* #,##0.00_);_(&quot;$&quot;* \(#,##0.00\);_(&quot;$&quot;* &quot;-&quot;??_);_(@_)"/>
    <numFmt numFmtId="200"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1" formatCode="yyyy/mm/dd"/>
  </numFmts>
  <fonts count="164">
    <font>
      <name val="宋体"/>
      <charset val="134"/>
      <family val="2"/>
      <sz val="10"/>
    </font>
    <font>
      <name val="Arial"/>
      <family val="2"/>
      <sz val="10"/>
    </font>
    <font>
      <name val="Arial"/>
      <family val="2"/>
      <color theme="1"/>
      <sz val="10"/>
    </font>
    <font>
      <name val="微软雅黑"/>
      <charset val="134"/>
      <family val="2"/>
      <sz val="10"/>
    </font>
    <font>
      <name val="微软雅黑"/>
      <charset val="134"/>
      <family val="2"/>
      <color theme="1"/>
      <sz val="10"/>
    </font>
    <font>
      <name val="Arial"/>
      <family val="2"/>
      <color rgb="FF000000"/>
      <sz val="10"/>
    </font>
    <font>
      <name val="Arial"/>
      <family val="2"/>
      <b val="1"/>
      <color rgb="FFFF0000"/>
      <sz val="10"/>
    </font>
    <font>
      <name val="Arial"/>
      <family val="2"/>
      <b val="1"/>
      <color theme="0"/>
      <sz val="10"/>
    </font>
    <font>
      <name val="Arial"/>
      <family val="2"/>
      <color theme="10"/>
      <sz val="10"/>
      <u val="single"/>
    </font>
    <font>
      <name val="Arial"/>
      <family val="2"/>
      <b val="1"/>
      <sz val="10"/>
    </font>
    <font>
      <name val="微软雅黑"/>
      <charset val="134"/>
      <family val="2"/>
      <b val="1"/>
      <sz val="10"/>
    </font>
    <font>
      <name val="Arial"/>
      <family val="2"/>
      <color rgb="FF0563C1"/>
      <sz val="10"/>
      <u val="single"/>
    </font>
    <font>
      <name val="Arial"/>
      <family val="2"/>
      <b val="1"/>
      <color rgb="FF000000"/>
      <sz val="10"/>
    </font>
    <font>
      <name val="Arial"/>
      <family val="2"/>
      <b val="1"/>
      <color indexed="10"/>
      <sz val="10"/>
    </font>
    <font>
      <name val="Arial"/>
      <family val="2"/>
      <color rgb="FFFF0000"/>
      <sz val="10"/>
      <u val="single"/>
    </font>
    <font>
      <name val="Arial"/>
      <family val="2"/>
      <b val="1"/>
      <sz val="14"/>
      <u val="single"/>
    </font>
    <font>
      <name val="Arial"/>
      <family val="2"/>
      <color theme="1"/>
      <sz val="14"/>
    </font>
    <font>
      <name val="Arial"/>
      <family val="2"/>
      <b val="1"/>
      <sz val="14"/>
    </font>
    <font>
      <name val="Arial"/>
      <family val="2"/>
      <sz val="14"/>
    </font>
    <font>
      <name val="Arial"/>
      <family val="2"/>
      <b val="1"/>
      <color rgb="FFFF0000"/>
      <sz val="14"/>
    </font>
    <font>
      <name val="Arial"/>
      <family val="2"/>
      <b val="1"/>
      <color indexed="8"/>
      <sz val="14"/>
    </font>
    <font>
      <name val="微软雅黑"/>
      <charset val="134"/>
      <family val="2"/>
      <sz val="14"/>
    </font>
    <font>
      <name val="微软雅黑"/>
      <charset val="134"/>
      <family val="2"/>
      <b val="1"/>
      <color rgb="FFFF0000"/>
      <sz val="14"/>
    </font>
    <font>
      <name val="微软雅黑"/>
      <charset val="134"/>
      <family val="2"/>
      <b val="1"/>
      <color rgb="FFFF0000"/>
      <sz val="10"/>
    </font>
    <font>
      <name val="微软雅黑"/>
      <charset val="134"/>
      <family val="2"/>
      <color indexed="8"/>
      <sz val="10"/>
    </font>
    <font>
      <name val="等线"/>
      <charset val="134"/>
      <family val="3"/>
      <color theme="1"/>
      <sz val="11"/>
      <scheme val="minor"/>
    </font>
    <font>
      <name val="Arial"/>
      <family val="2"/>
      <b val="1"/>
      <strike val="1"/>
      <color rgb="FF0000FF"/>
      <sz val="10"/>
    </font>
    <font>
      <name val="微软雅黑"/>
      <charset val="134"/>
      <family val="2"/>
      <color rgb="FF000000"/>
      <sz val="10"/>
    </font>
    <font>
      <name val="Arial"/>
      <family val="2"/>
      <b val="1"/>
      <color theme="1"/>
      <sz val="10"/>
    </font>
    <font>
      <name val="Arial"/>
      <family val="2"/>
      <b val="1"/>
      <color indexed="10"/>
      <sz val="14"/>
    </font>
    <font>
      <name val="Arial"/>
      <family val="2"/>
      <b val="1"/>
      <color rgb="FF0000FF"/>
      <sz val="10"/>
    </font>
    <font>
      <name val="Arial"/>
      <family val="2"/>
      <color indexed="8"/>
      <sz val="10"/>
    </font>
    <font>
      <name val="Arial"/>
      <family val="2"/>
      <sz val="10"/>
      <u val="doubleAccounting"/>
    </font>
    <font>
      <name val="Arial"/>
      <family val="2"/>
      <strike val="1"/>
      <sz val="10"/>
    </font>
    <font>
      <name val="Arial"/>
      <family val="2"/>
      <strike val="1"/>
      <color theme="1"/>
      <sz val="10"/>
    </font>
    <font>
      <name val="Arial"/>
      <family val="2"/>
      <color rgb="FFFF0000"/>
      <sz val="10"/>
    </font>
    <font>
      <name val="Arial"/>
      <family val="2"/>
      <color indexed="10"/>
      <sz val="10"/>
    </font>
    <font>
      <name val="微软雅黑"/>
      <charset val="134"/>
      <family val="2"/>
      <b val="1"/>
      <sz val="16"/>
    </font>
    <font>
      <name val="Arial"/>
      <family val="2"/>
      <b val="1"/>
      <color theme="1"/>
      <sz val="14"/>
      <u val="single"/>
    </font>
    <font>
      <name val="Arial"/>
      <family val="2"/>
      <color rgb="FF000000"/>
      <sz val="14"/>
    </font>
    <font>
      <name val="Arial"/>
      <family val="2"/>
      <b val="1"/>
      <color theme="1"/>
      <sz val="14"/>
    </font>
    <font>
      <name val="Arial"/>
      <family val="2"/>
      <color indexed="8"/>
      <sz val="14"/>
    </font>
    <font>
      <name val="Arial"/>
      <family val="2"/>
      <b val="1"/>
      <color indexed="8"/>
      <sz val="10"/>
    </font>
    <font>
      <name val="Arial"/>
      <family val="2"/>
      <b val="1"/>
      <strike val="1"/>
      <color indexed="12"/>
      <sz val="10"/>
    </font>
    <font>
      <name val="Arial"/>
      <family val="2"/>
      <b val="1"/>
      <color theme="1"/>
      <sz val="9"/>
    </font>
    <font>
      <name val="Arial"/>
      <family val="2"/>
      <color theme="1"/>
      <sz val="12"/>
    </font>
    <font>
      <name val="Arial"/>
      <family val="2"/>
      <color theme="1"/>
      <sz val="9"/>
    </font>
    <font>
      <name val="Arial"/>
      <family val="2"/>
      <b val="1"/>
      <strike val="1"/>
      <color rgb="FFFF0000"/>
      <sz val="10"/>
    </font>
    <font>
      <name val="Arial"/>
      <family val="2"/>
      <b val="1"/>
      <strike val="1"/>
      <sz val="10"/>
    </font>
    <font>
      <name val="Arial"/>
      <family val="2"/>
      <sz val="14"/>
      <u val="single"/>
    </font>
    <font>
      <name val="Arial"/>
      <family val="2"/>
      <b val="1"/>
      <i val="1"/>
      <sz val="10"/>
    </font>
    <font>
      <name val="Arial"/>
      <family val="2"/>
      <i val="1"/>
      <color theme="0"/>
      <sz val="10"/>
    </font>
    <font>
      <name val="Arial"/>
      <family val="2"/>
      <b val="1"/>
      <i val="1"/>
      <color rgb="FFFF0000"/>
      <sz val="10"/>
    </font>
    <font>
      <name val="宋体"/>
      <charset val="134"/>
      <family val="3"/>
      <sz val="10"/>
    </font>
    <font>
      <name val="宋体"/>
      <charset val="134"/>
      <family val="3"/>
      <color theme="1"/>
      <sz val="11"/>
    </font>
    <font>
      <name val="宋体"/>
      <charset val="134"/>
      <family val="3"/>
      <sz val="12"/>
    </font>
    <font>
      <name val="等线"/>
      <charset val="134"/>
      <family val="3"/>
      <color theme="1"/>
      <sz val="11"/>
      <scheme val="minor"/>
    </font>
    <font>
      <name val="Arial"/>
      <family val="2"/>
      <color theme="1"/>
      <sz val="9"/>
    </font>
    <font>
      <name val="等线"/>
      <charset val="134"/>
      <family val="3"/>
      <color theme="10"/>
      <sz val="11"/>
      <u val="single"/>
      <scheme val="minor"/>
    </font>
    <font>
      <name val="宋体"/>
      <charset val="134"/>
      <family val="3"/>
      <color indexed="12"/>
      <sz val="10"/>
      <u val="single"/>
    </font>
    <font>
      <name val="EYInterstate Light"/>
      <sz val="8"/>
    </font>
    <font>
      <name val="Calibri"/>
      <family val="2"/>
      <color indexed="8"/>
      <sz val="11"/>
    </font>
    <font>
      <name val="Invensys Andale"/>
      <family val="1"/>
      <sz val="10"/>
    </font>
    <font>
      <name val="Helv"/>
      <sz val="10"/>
    </font>
    <font>
      <name val="Tms Rmn"/>
      <family val="1"/>
      <sz val="13"/>
    </font>
    <font>
      <name val="宋体"/>
      <charset val="134"/>
      <family val="3"/>
      <color indexed="9"/>
      <sz val="12"/>
    </font>
    <font>
      <name val="宋体"/>
      <charset val="134"/>
      <family val="3"/>
      <color indexed="8"/>
      <sz val="12"/>
    </font>
    <font>
      <name val="等线"/>
      <charset val="134"/>
      <family val="3"/>
      <color theme="0"/>
      <sz val="11"/>
      <scheme val="minor"/>
    </font>
    <font>
      <name val="Helv"/>
      <b val="1"/>
      <sz val="10"/>
    </font>
    <font>
      <name val="等线"/>
      <charset val="134"/>
      <family val="3"/>
      <b val="1"/>
      <color theme="0"/>
      <sz val="11"/>
      <scheme val="minor"/>
    </font>
    <font>
      <name val="宋体"/>
      <charset val="134"/>
      <family val="3"/>
      <b val="1"/>
      <color theme="0"/>
      <sz val="11"/>
    </font>
    <font>
      <name val="Tms Rmn"/>
      <family val="1"/>
      <b val="1"/>
      <sz val="13"/>
    </font>
    <font>
      <name val="宋体"/>
      <charset val="134"/>
      <family val="3"/>
      <color indexed="8"/>
      <sz val="11"/>
    </font>
    <font>
      <name val="等线"/>
      <charset val="134"/>
      <family val="3"/>
      <color theme="1"/>
      <sz val="11"/>
      <scheme val="minor"/>
    </font>
    <font>
      <name val="Times New Roman"/>
      <family val="1"/>
      <sz val="12"/>
    </font>
    <font>
      <name val="Times New Roman"/>
      <family val="1"/>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b val="1"/>
      <sz val="12"/>
    </font>
    <font>
      <name val="Arial"/>
      <family val="2"/>
      <b val="1"/>
      <sz val="12"/>
    </font>
    <font>
      <name val="宋体"/>
      <charset val="134"/>
      <family val="3"/>
      <color theme="10"/>
      <sz val="11"/>
      <u val="single"/>
    </font>
    <font>
      <name val="Helv"/>
      <b val="1"/>
      <sz val="11"/>
    </font>
    <font>
      <name val="Tahoma"/>
      <family val="2"/>
      <sz val="10"/>
    </font>
    <font>
      <name val="Arial Unicode MS"/>
      <family val="2"/>
      <color theme="1"/>
      <sz val="9"/>
    </font>
    <font>
      <name val="MS Sans Serif"/>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255"/>
      <family val="1"/>
      <sz val="11"/>
    </font>
    <font>
      <name val="Arial Narrow"/>
      <family val="2"/>
      <sz val="10"/>
    </font>
    <font>
      <name val="柧挬"/>
      <charset val="134"/>
      <family val="3"/>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宋体"/>
      <charset val="134"/>
      <family val="3"/>
      <color indexed="12"/>
      <sz val="12"/>
      <u val="single"/>
    </font>
    <font>
      <name val="等线"/>
      <charset val="134"/>
      <family val="3"/>
      <color theme="10"/>
      <sz val="11"/>
      <u val="single"/>
      <scheme val="minor"/>
    </font>
    <font>
      <name val="等线"/>
      <charset val="134"/>
      <family val="3"/>
      <color theme="10"/>
      <sz val="11"/>
      <u val="single"/>
      <scheme val="minor"/>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sz val="10"/>
    </font>
    <font>
      <name val="新細明體"/>
      <family val="1"/>
      <sz val="12"/>
    </font>
    <font>
      <name val="官帕眉"/>
      <charset val="134"/>
      <family val="3"/>
      <sz val="12"/>
    </font>
    <font>
      <name val="奔覆眉"/>
      <charset val="134"/>
      <family val="3"/>
      <sz val="10"/>
    </font>
    <font>
      <name val="宋体"/>
      <charset val="134"/>
      <family val="3"/>
      <b val="1"/>
      <color indexed="8"/>
      <sz val="12"/>
    </font>
    <font>
      <name val="柧挬"/>
      <charset val="134"/>
      <family val="3"/>
      <sz val="12"/>
    </font>
    <font>
      <name val="ＭＳ Ｐゴシック"/>
      <charset val="134"/>
      <family val="3"/>
      <sz val="11"/>
    </font>
    <font>
      <name val="바탕체"/>
      <family val="3"/>
      <sz val="12"/>
    </font>
    <font>
      <name val="微软雅黑"/>
      <charset val="134"/>
      <family val="2"/>
      <b val="1"/>
      <color rgb="FF000000"/>
      <sz val="10"/>
    </font>
    <font>
      <name val="微软雅黑"/>
      <charset val="134"/>
      <family val="2"/>
      <color rgb="FFFF0000"/>
      <sz val="10"/>
      <u val="single"/>
    </font>
    <font>
      <name val="微软雅黑"/>
      <charset val="134"/>
      <family val="2"/>
      <b val="1"/>
      <color indexed="8"/>
      <sz val="14"/>
    </font>
    <font>
      <name val="微软雅黑"/>
      <charset val="134"/>
      <family val="2"/>
      <b val="1"/>
      <sz val="14"/>
    </font>
    <font>
      <name val="微软雅黑"/>
      <charset val="134"/>
      <family val="2"/>
      <b val="1"/>
      <color theme="1"/>
      <sz val="14"/>
      <u val="single"/>
    </font>
    <font>
      <name val="微软雅黑"/>
      <charset val="134"/>
      <family val="2"/>
      <b val="1"/>
      <color indexed="10"/>
      <sz val="14"/>
    </font>
    <font>
      <name val="微软雅黑"/>
      <charset val="134"/>
      <family val="2"/>
      <b val="1"/>
      <i val="1"/>
      <color rgb="FFFF0000"/>
      <sz val="10"/>
    </font>
    <font>
      <name val="微软雅黑"/>
      <charset val="134"/>
      <family val="2"/>
      <b val="1"/>
      <color indexed="8"/>
      <sz val="14"/>
      <u val="single"/>
    </font>
    <font>
      <name val="微软雅黑"/>
      <charset val="134"/>
      <family val="2"/>
      <color rgb="FF000000"/>
      <sz val="14"/>
    </font>
    <font>
      <name val="微软雅黑"/>
      <charset val="134"/>
      <family val="2"/>
      <b val="1"/>
      <color theme="1"/>
      <sz val="14"/>
    </font>
    <font>
      <name val="Arial"/>
      <family val="2"/>
      <color rgb="FF0070C0"/>
      <sz val="14"/>
    </font>
    <font>
      <name val="微软雅黑"/>
      <charset val="134"/>
      <family val="2"/>
      <color rgb="FF0070C0"/>
      <sz val="14"/>
    </font>
    <font>
      <name val="微软雅黑"/>
      <charset val="134"/>
      <family val="2"/>
      <b val="1"/>
      <color indexed="8"/>
      <sz val="10"/>
    </font>
    <font>
      <name val="微软雅黑"/>
      <charset val="134"/>
      <family val="2"/>
      <b val="1"/>
      <color theme="1"/>
      <sz val="10"/>
    </font>
    <font>
      <name val="微软雅黑"/>
      <charset val="134"/>
      <family val="2"/>
      <b val="1"/>
      <color indexed="10"/>
      <sz val="10"/>
    </font>
    <font>
      <name val="微软雅黑"/>
      <charset val="134"/>
      <family val="2"/>
      <b val="1"/>
      <i val="1"/>
      <sz val="10"/>
    </font>
    <font>
      <name val="宋体"/>
      <charset val="134"/>
      <family val="2"/>
      <sz val="9"/>
    </font>
    <font>
      <name val="等线"/>
      <charset val="134"/>
      <family val="2"/>
      <color theme="1"/>
      <sz val="11"/>
      <scheme val="minor"/>
    </font>
    <font>
      <name val="宋体"/>
      <charset val="134"/>
      <family val="3"/>
      <sz val="10"/>
    </font>
    <font>
      <name val="等线"/>
      <charset val="134"/>
      <family val="2"/>
      <sz val="9"/>
      <scheme val="minor"/>
    </font>
    <font>
      <name val="等线"/>
      <charset val="128"/>
      <family val="3"/>
      <sz val="6"/>
      <scheme val="minor"/>
    </font>
    <font>
      <name val="Arial"/>
      <family val="2"/>
      <color theme="0"/>
      <sz val="10"/>
    </font>
    <font>
      <name val="Arial"/>
      <family val="2"/>
      <i val="1"/>
      <color rgb="FFFF0000"/>
      <sz val="10"/>
    </font>
    <font>
      <name val="Arial"/>
      <family val="2"/>
      <color rgb="FFFFFFFF"/>
      <sz val="14"/>
      <u val="single"/>
    </font>
    <font>
      <name val="Arial"/>
      <family val="2"/>
      <b val="1"/>
      <sz val="18"/>
    </font>
    <font>
      <name val="Arial"/>
      <family val="2"/>
      <color theme="1"/>
      <sz val="11"/>
    </font>
    <font>
      <name val="宋体"/>
      <charset val="134"/>
      <family val="2"/>
      <color theme="10"/>
      <sz val="10"/>
      <u val="single"/>
    </font>
    <font>
      <name val="宋体"/>
      <charset val="134"/>
      <family val="3"/>
      <sz val="9"/>
    </font>
    <font>
      <name val="微软雅黑"/>
      <charset val="134"/>
      <family val="2"/>
      <i val="1"/>
      <color rgb="FFFF0000"/>
      <sz val="10"/>
    </font>
    <font>
      <name val="Arial"/>
      <family val="2"/>
      <b val="1"/>
      <color rgb="FFFFFFFF"/>
      <sz val="10"/>
    </font>
    <font>
      <name val="微软雅黑"/>
      <charset val="134"/>
      <family val="2"/>
      <color theme="10"/>
      <sz val="10"/>
      <u val="single"/>
    </font>
    <font>
      <name val="微软雅黑"/>
      <charset val="134"/>
      <family val="2"/>
      <color rgb="FFFF0000"/>
      <sz val="10"/>
    </font>
    <font>
      <name val="微软雅黑"/>
      <charset val="134"/>
      <family val="2"/>
      <b val="1"/>
      <color rgb="FFFF0000"/>
      <sz val="10"/>
      <u val="single"/>
    </font>
    <font>
      <name val="微软雅黑"/>
      <charset val="134"/>
      <family val="2"/>
      <color theme="1"/>
      <sz val="14"/>
    </font>
    <font>
      <name val="微软雅黑"/>
      <charset val="134"/>
      <family val="2"/>
      <b val="1"/>
      <sz val="14"/>
      <u val="single"/>
    </font>
    <font>
      <name val="Arial"/>
      <family val="2"/>
      <color rgb="FF000000"/>
      <sz val="11"/>
    </font>
    <font>
      <name val="Arial"/>
      <family val="2"/>
      <b val="1"/>
      <sz val="16"/>
    </font>
    <font>
      <name val="Arial"/>
      <family val="2"/>
      <b val="1"/>
      <color rgb="FF000000"/>
      <sz val="14"/>
    </font>
    <font>
      <name val="微软雅黑"/>
      <charset val="134"/>
      <family val="2"/>
      <b val="1"/>
      <color rgb="FF000000"/>
      <sz val="14"/>
    </font>
    <font>
      <name val="Arial"/>
      <family val="2"/>
      <b val="1"/>
      <color rgb="FFFFFFFF"/>
      <sz val="11"/>
    </font>
    <font>
      <name val="Arial"/>
      <charset val="134"/>
      <family val="2"/>
      <b val="1"/>
      <color rgb="FFFF0000"/>
      <sz val="10"/>
    </font>
    <font>
      <name val="Arial"/>
      <family val="2"/>
      <color theme="10"/>
      <sz val="14"/>
      <u val="single"/>
    </font>
    <font>
      <name val="宋体"/>
      <charset val="134"/>
      <family val="2"/>
      <sz val="14"/>
    </font>
    <font>
      <name val="微软雅黑"/>
      <charset val="134"/>
      <family val="2"/>
      <color theme="10"/>
      <sz val="14"/>
      <u val="single"/>
    </font>
  </fonts>
  <fills count="52">
    <fill>
      <patternFill/>
    </fill>
    <fill>
      <patternFill patternType="gray125"/>
    </fill>
    <fill>
      <patternFill patternType="solid">
        <fgColor theme="0"/>
        <bgColor indexed="64"/>
      </patternFill>
    </fill>
    <fill>
      <patternFill patternType="solid">
        <fgColor theme="4" tint="0.7999511703848384"/>
        <bgColor indexed="64"/>
      </patternFill>
    </fill>
    <fill>
      <patternFill patternType="solid">
        <fgColor theme="0" tint="-0.3499252296517838"/>
        <bgColor indexed="64"/>
      </patternFill>
    </fill>
    <fill>
      <patternFill patternType="solid">
        <fgColor rgb="FFFFFFFF"/>
        <bgColor indexed="64"/>
      </patternFill>
    </fill>
    <fill>
      <patternFill patternType="solid">
        <fgColor theme="6"/>
        <bgColor indexed="64"/>
      </patternFill>
    </fill>
    <fill>
      <patternFill patternType="solid">
        <fgColor theme="0" tint="-0.3499862666707358"/>
        <bgColor indexed="64"/>
      </patternFill>
    </fill>
    <fill>
      <patternFill patternType="solid">
        <fgColor theme="0" tint="-0.3499557481612598"/>
        <bgColor indexed="64"/>
      </patternFill>
    </fill>
    <fill>
      <patternFill patternType="solid">
        <fgColor rgb="FFA6A6A6"/>
        <bgColor rgb="FF000000"/>
      </patternFill>
    </fill>
    <fill>
      <patternFill patternType="solid">
        <fgColor rgb="FFFFFFFF"/>
        <bgColor rgb="FF000000"/>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tint="-0.3499862666707358"/>
        <bgColor rgb="FF000000"/>
      </patternFill>
    </fill>
    <fill>
      <patternFill patternType="solid">
        <fgColor theme="4" tint="0.7999816888943144"/>
        <bgColor indexed="64"/>
      </patternFill>
    </fill>
  </fills>
  <borders count="111">
    <border>
      <left/>
      <right/>
      <top/>
      <bottom/>
      <diagonal/>
    </border>
    <border>
      <left style="thin">
        <color indexed="64"/>
      </left>
      <right style="thin">
        <color auto="1"/>
      </right>
      <top style="thin">
        <color indexed="64"/>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style="thin">
        <color auto="1"/>
      </right>
      <top/>
      <bottom style="thin">
        <color auto="1"/>
      </bottom>
      <diagonal/>
    </border>
    <border>
      <left style="thin">
        <color auto="1"/>
      </left>
      <right style="medium">
        <color auto="1"/>
      </right>
      <top style="thin">
        <color auto="1"/>
      </top>
      <bottom/>
      <diagonal/>
    </border>
    <border>
      <left style="thin">
        <color indexed="64"/>
      </left>
      <right style="medium">
        <color indexed="64"/>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medium">
        <color auto="1"/>
      </top>
      <bottom style="medium">
        <color auto="1"/>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bottom style="thin">
        <color auto="1"/>
      </bottom>
      <diagonal/>
    </border>
    <border>
      <left/>
      <right style="thin">
        <color theme="1"/>
      </right>
      <top style="thin">
        <color theme="1"/>
      </top>
      <bottom style="thin">
        <color theme="1"/>
      </bottom>
      <diagonal/>
    </border>
    <border>
      <left style="thin">
        <color auto="1"/>
      </left>
      <right style="medium">
        <color auto="1"/>
      </right>
      <top/>
      <bottom/>
      <diagonal/>
    </border>
    <border>
      <left style="thin">
        <color auto="1"/>
      </left>
      <right style="medium">
        <color indexed="64"/>
      </right>
      <top/>
      <bottom style="medium">
        <color indexed="64"/>
      </bottom>
      <diagonal/>
    </border>
    <border>
      <left style="medium">
        <color auto="1"/>
      </left>
      <right style="thin">
        <color auto="1"/>
      </right>
      <top/>
      <bottom/>
      <diagonal/>
    </border>
    <border>
      <left/>
      <right/>
      <top style="thin">
        <color auto="1"/>
      </top>
      <bottom/>
      <diagonal/>
    </border>
    <border>
      <left/>
      <right/>
      <top/>
      <bottom style="thin">
        <color auto="1"/>
      </bottom>
      <diagonal/>
    </border>
    <border>
      <left style="thin">
        <color theme="1"/>
      </left>
      <right style="medium">
        <color theme="1"/>
      </right>
      <top style="thin">
        <color theme="1"/>
      </top>
      <bottom style="thin">
        <color theme="1"/>
      </bottom>
      <diagonal/>
    </border>
    <border>
      <left/>
      <right/>
      <top/>
      <bottom style="double">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auto="1"/>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auto="1"/>
      </top>
      <bottom style="double">
        <color auto="1"/>
      </bottom>
      <diagonal/>
    </border>
    <border>
      <left style="thin">
        <color auto="1"/>
      </left>
      <right style="medium">
        <color rgb="FF000000"/>
      </right>
      <top style="medium">
        <color rgb="FF000000"/>
      </top>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thin">
        <color rgb="FF000000"/>
      </top>
      <bottom style="thin">
        <color auto="1"/>
      </bottom>
      <diagonal/>
    </border>
    <border>
      <left style="medium">
        <color rgb="FF000000"/>
      </left>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diagonal/>
    </border>
    <border>
      <left style="medium">
        <color indexed="64"/>
      </left>
      <right/>
      <top style="medium">
        <color indexed="64"/>
      </top>
      <bottom style="thin">
        <color auto="1"/>
      </bottom>
      <diagonal/>
    </border>
    <border>
      <left style="medium">
        <color rgb="FF000000"/>
      </left>
      <right style="thin">
        <color auto="1"/>
      </right>
      <top style="medium">
        <color rgb="FF000000"/>
      </top>
      <bottom style="thin">
        <color auto="1"/>
      </bottom>
      <diagonal/>
    </border>
    <border>
      <left style="thin">
        <color indexed="64"/>
      </left>
      <right style="thin">
        <color auto="1"/>
      </right>
      <top style="medium">
        <color rgb="FF000000"/>
      </top>
      <bottom style="thin">
        <color auto="1"/>
      </bottom>
      <diagonal/>
    </border>
    <border>
      <left style="medium">
        <color rgb="FF000000"/>
      </left>
      <right/>
      <top style="thin">
        <color indexed="64"/>
      </top>
      <bottom/>
      <diagonal/>
    </border>
    <border>
      <left style="thin">
        <color indexed="64"/>
      </left>
      <right style="thin">
        <color auto="1"/>
      </right>
      <top style="thin">
        <color indexed="64"/>
      </top>
      <bottom style="medium">
        <color rgb="FF000000"/>
      </bottom>
      <diagonal/>
    </border>
    <border>
      <left style="medium">
        <color rgb="FF000000"/>
      </left>
      <right/>
      <top style="medium">
        <color rgb="FF000000"/>
      </top>
      <bottom/>
      <diagonal/>
    </border>
    <border>
      <left style="medium">
        <color rgb="FF000000"/>
      </left>
      <right style="thin">
        <color auto="1"/>
      </right>
      <top style="thin">
        <color auto="1"/>
      </top>
      <bottom style="medium">
        <color rgb="FF000000"/>
      </bottom>
      <diagonal/>
    </border>
    <border>
      <left style="thin">
        <color auto="1"/>
      </left>
      <right/>
      <top style="medium">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medium">
        <color rgb="FF000000"/>
      </top>
      <bottom style="thin">
        <color auto="1"/>
      </bottom>
      <diagonal/>
    </border>
    <border>
      <left/>
      <right/>
      <top style="thin">
        <color indexed="64"/>
      </top>
      <bottom style="medium">
        <color rgb="FF000000"/>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indexed="64"/>
      </right>
      <top style="thin">
        <color auto="1"/>
      </top>
      <bottom style="medium">
        <color indexed="64"/>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auto="1"/>
      </left>
      <right/>
      <top style="thin">
        <color auto="1"/>
      </top>
      <bottom style="thin">
        <color auto="1"/>
      </bottom>
      <diagonal/>
    </border>
    <border>
      <left style="medium">
        <color rgb="FF000000"/>
      </left>
      <right/>
      <top style="thin">
        <color auto="1"/>
      </top>
      <bottom style="thin">
        <color auto="1"/>
      </bottom>
      <diagonal/>
    </border>
    <border>
      <left style="medium">
        <color indexed="64"/>
      </left>
      <right style="thin">
        <color auto="1"/>
      </right>
      <top style="medium">
        <color indexed="64"/>
      </top>
      <bottom/>
      <diagonal/>
    </border>
    <border>
      <left style="thin">
        <color auto="1"/>
      </left>
      <right style="medium">
        <color auto="1"/>
      </right>
      <top style="medium">
        <color indexed="64"/>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style="medium">
        <color auto="1"/>
      </top>
      <bottom style="thin">
        <color auto="1"/>
      </bottom>
      <diagonal/>
    </border>
    <border>
      <left style="thin">
        <color auto="1"/>
      </left>
      <right style="medium">
        <color indexed="64"/>
      </right>
      <top style="thin">
        <color auto="1"/>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auto="1"/>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auto="1"/>
      </top>
      <bottom/>
      <diagonal/>
    </border>
    <border>
      <left/>
      <right style="thin">
        <color auto="1"/>
      </right>
      <top style="medium">
        <color auto="1"/>
      </top>
      <bottom/>
      <diagonal/>
    </border>
    <border>
      <left/>
      <right style="thin">
        <color auto="1"/>
      </right>
      <top style="thin">
        <color auto="1"/>
      </top>
      <bottom/>
      <diagonal/>
    </border>
    <border>
      <left style="medium">
        <color indexed="64"/>
      </left>
      <right style="medium">
        <color auto="1"/>
      </right>
      <top style="medium">
        <color indexed="64"/>
      </top>
      <bottom style="medium">
        <color auto="1"/>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auto="1"/>
      </right>
      <top/>
      <bottom style="thin">
        <color auto="1"/>
      </bottom>
      <diagonal/>
    </border>
  </borders>
  <cellStyleXfs count="2633">
    <xf numFmtId="0" fontId="0" fillId="0" borderId="0"/>
    <xf numFmtId="0" fontId="138" fillId="0" borderId="0"/>
    <xf numFmtId="0" fontId="73" fillId="0" borderId="0" applyAlignment="1">
      <alignment vertical="center"/>
    </xf>
    <xf numFmtId="0" fontId="138" fillId="0" borderId="0"/>
    <xf numFmtId="43" fontId="73" fillId="0" borderId="0"/>
    <xf numFmtId="0" fontId="54" fillId="0" borderId="0"/>
    <xf numFmtId="0" fontId="138" fillId="0" borderId="0"/>
    <xf numFmtId="43" fontId="73" fillId="0" borderId="0"/>
    <xf numFmtId="0" fontId="138" fillId="0" borderId="0"/>
    <xf numFmtId="43" fontId="138" fillId="0" borderId="0"/>
    <xf numFmtId="0" fontId="73" fillId="0" borderId="0"/>
    <xf numFmtId="164" fontId="138" fillId="0" borderId="0"/>
    <xf numFmtId="43" fontId="55" fillId="0" borderId="0"/>
    <xf numFmtId="43" fontId="55" fillId="0" borderId="0"/>
    <xf numFmtId="0" fontId="73" fillId="0" borderId="0"/>
    <xf numFmtId="0" fontId="73" fillId="0" borderId="0" applyAlignment="1">
      <alignment vertical="center"/>
    </xf>
    <xf numFmtId="0" fontId="138" fillId="0" borderId="0"/>
    <xf numFmtId="0" fontId="138" fillId="0" borderId="0"/>
    <xf numFmtId="0" fontId="73" fillId="0" borderId="0" applyAlignment="1">
      <alignment vertical="center"/>
    </xf>
    <xf numFmtId="0" fontId="57" fillId="0" borderId="0"/>
    <xf numFmtId="0" fontId="107" fillId="0" borderId="0"/>
    <xf numFmtId="0" fontId="1" fillId="0" borderId="0"/>
    <xf numFmtId="0" fontId="107" fillId="0" borderId="0"/>
    <xf numFmtId="0" fontId="107" fillId="0" borderId="0"/>
    <xf numFmtId="0" fontId="73" fillId="0" borderId="0"/>
    <xf numFmtId="0" fontId="1" fillId="0" borderId="0"/>
    <xf numFmtId="0" fontId="73" fillId="0" borderId="0"/>
    <xf numFmtId="43" fontId="73" fillId="0" borderId="0"/>
    <xf numFmtId="9" fontId="73" fillId="0" borderId="0"/>
    <xf numFmtId="0" fontId="73" fillId="0" borderId="0"/>
    <xf numFmtId="0" fontId="60" fillId="0" borderId="0" applyAlignment="1">
      <alignment vertical="center"/>
    </xf>
    <xf numFmtId="0" fontId="138" fillId="0" borderId="0"/>
    <xf numFmtId="9" fontId="138" fillId="0" borderId="0"/>
    <xf numFmtId="0" fontId="138" fillId="0" borderId="0"/>
    <xf numFmtId="0" fontId="73" fillId="0" borderId="0"/>
    <xf numFmtId="0" fontId="73" fillId="0" borderId="0"/>
    <xf numFmtId="0" fontId="61" fillId="0" borderId="0"/>
    <xf numFmtId="0" fontId="73" fillId="0" borderId="0"/>
    <xf numFmtId="0" fontId="73" fillId="0" borderId="0"/>
    <xf numFmtId="0" fontId="73" fillId="0" borderId="0"/>
    <xf numFmtId="9" fontId="73" fillId="0" borderId="0"/>
    <xf numFmtId="0" fontId="138" fillId="0" borderId="0"/>
    <xf numFmtId="0" fontId="73" fillId="0" borderId="0"/>
    <xf numFmtId="0" fontId="73" fillId="0" borderId="0"/>
    <xf numFmtId="0" fontId="33" fillId="0" borderId="0"/>
    <xf numFmtId="0" fontId="1" fillId="0" borderId="0"/>
    <xf numFmtId="0" fontId="60" fillId="0" borderId="0" applyAlignment="1">
      <alignment vertical="center"/>
    </xf>
    <xf numFmtId="0" fontId="73" fillId="0" borderId="0"/>
    <xf numFmtId="9" fontId="73" fillId="0" borderId="0"/>
    <xf numFmtId="0" fontId="73" fillId="0" borderId="0"/>
    <xf numFmtId="0" fontId="73" fillId="0" borderId="0" applyAlignment="1">
      <alignment vertical="center"/>
    </xf>
    <xf numFmtId="9" fontId="73" fillId="0" borderId="0"/>
    <xf numFmtId="0" fontId="138" fillId="0" borderId="0"/>
    <xf numFmtId="43" fontId="138" fillId="0" borderId="0"/>
    <xf numFmtId="0" fontId="73" fillId="0" borderId="0"/>
    <xf numFmtId="172" fontId="73" fillId="0" borderId="0"/>
    <xf numFmtId="0" fontId="8" fillId="0" borderId="0"/>
    <xf numFmtId="0" fontId="107" fillId="0" borderId="0"/>
    <xf numFmtId="0" fontId="73" fillId="0" borderId="0" applyAlignment="1">
      <alignment vertical="center"/>
    </xf>
    <xf numFmtId="43" fontId="73" fillId="0" borderId="0"/>
    <xf numFmtId="41" fontId="73" fillId="0" borderId="0"/>
    <xf numFmtId="0" fontId="55" fillId="0" borderId="0"/>
    <xf numFmtId="37" fontId="62" fillId="0" borderId="0"/>
    <xf numFmtId="0" fontId="73" fillId="0" borderId="0"/>
    <xf numFmtId="0" fontId="54" fillId="0" borderId="0"/>
    <xf numFmtId="0" fontId="138" fillId="0" borderId="0"/>
    <xf numFmtId="0" fontId="138" fillId="0" borderId="0"/>
    <xf numFmtId="0" fontId="59" fillId="0" borderId="0" applyProtection="1">
      <protection locked="0" hidden="0"/>
    </xf>
    <xf numFmtId="0" fontId="73" fillId="0" borderId="0"/>
    <xf numFmtId="0" fontId="138" fillId="0" borderId="0"/>
    <xf numFmtId="0" fontId="1" fillId="0" borderId="0"/>
    <xf numFmtId="0" fontId="73" fillId="0" borderId="0"/>
    <xf numFmtId="0" fontId="73" fillId="0" borderId="0"/>
    <xf numFmtId="0" fontId="1" fillId="0" borderId="0"/>
    <xf numFmtId="173" fontId="63" fillId="0" borderId="0" applyProtection="1">
      <protection locked="0" hidden="0"/>
    </xf>
    <xf numFmtId="174" fontId="55" fillId="0" borderId="0"/>
    <xf numFmtId="172" fontId="64" fillId="0" borderId="0"/>
    <xf numFmtId="10" fontId="64" fillId="0" borderId="0"/>
    <xf numFmtId="175" fontId="55" fillId="0" borderId="0"/>
    <xf numFmtId="0" fontId="65" fillId="11" borderId="0"/>
    <xf numFmtId="0" fontId="66" fillId="12" borderId="0"/>
    <xf numFmtId="0" fontId="66" fillId="12" borderId="0"/>
    <xf numFmtId="0" fontId="65" fillId="13" borderId="0"/>
    <xf numFmtId="0" fontId="67" fillId="14" borderId="0" applyAlignment="1">
      <alignment vertical="center"/>
    </xf>
    <xf numFmtId="0" fontId="65" fillId="15" borderId="0"/>
    <xf numFmtId="0" fontId="66" fillId="16" borderId="0"/>
    <xf numFmtId="0" fontId="66" fillId="17" borderId="0"/>
    <xf numFmtId="0" fontId="65" fillId="18" borderId="0"/>
    <xf numFmtId="0" fontId="67" fillId="19" borderId="0" applyAlignment="1">
      <alignment vertical="center"/>
    </xf>
    <xf numFmtId="0" fontId="65" fillId="18" borderId="0"/>
    <xf numFmtId="0" fontId="66" fillId="16" borderId="0"/>
    <xf numFmtId="0" fontId="66" fillId="20" borderId="0"/>
    <xf numFmtId="0" fontId="65" fillId="17" borderId="0"/>
    <xf numFmtId="0" fontId="67" fillId="6" borderId="0" applyAlignment="1">
      <alignment vertical="center"/>
    </xf>
    <xf numFmtId="0" fontId="65" fillId="11" borderId="0"/>
    <xf numFmtId="0" fontId="66" fillId="12" borderId="0"/>
    <xf numFmtId="0" fontId="66" fillId="17" borderId="0"/>
    <xf numFmtId="0" fontId="65" fillId="17" borderId="0"/>
    <xf numFmtId="0" fontId="67" fillId="21" borderId="0" applyAlignment="1">
      <alignment vertical="center"/>
    </xf>
    <xf numFmtId="0" fontId="65" fillId="22" borderId="0"/>
    <xf numFmtId="0" fontId="66" fillId="23" borderId="0"/>
    <xf numFmtId="0" fontId="66" fillId="12" borderId="0"/>
    <xf numFmtId="0" fontId="65" fillId="13" borderId="0"/>
    <xf numFmtId="0" fontId="67" fillId="24" borderId="0" applyAlignment="1">
      <alignment vertical="center"/>
    </xf>
    <xf numFmtId="0" fontId="65" fillId="25" borderId="0"/>
    <xf numFmtId="0" fontId="66" fillId="16" borderId="0"/>
    <xf numFmtId="0" fontId="66" fillId="26" borderId="0"/>
    <xf numFmtId="0" fontId="65" fillId="26" borderId="0"/>
    <xf numFmtId="0" fontId="67" fillId="27" borderId="0" applyAlignment="1">
      <alignment vertical="center"/>
    </xf>
    <xf numFmtId="176" fontId="31" fillId="0" borderId="0"/>
    <xf numFmtId="0" fontId="68" fillId="0" borderId="0"/>
    <xf numFmtId="4" fontId="73" fillId="0" borderId="29" applyAlignment="1">
      <alignment horizontal="right"/>
    </xf>
    <xf numFmtId="4" fontId="73" fillId="0" borderId="29" applyAlignment="1">
      <alignment horizontal="right"/>
    </xf>
    <xf numFmtId="4" fontId="73" fillId="0" borderId="1" applyAlignment="1">
      <alignment horizontal="right"/>
    </xf>
    <xf numFmtId="4" fontId="73" fillId="0" borderId="73" applyAlignment="1">
      <alignment horizontal="right"/>
    </xf>
    <xf numFmtId="4" fontId="73" fillId="0" borderId="1" applyAlignment="1">
      <alignment horizontal="right"/>
    </xf>
    <xf numFmtId="4" fontId="73" fillId="0" borderId="1" applyAlignment="1">
      <alignment horizontal="right"/>
    </xf>
    <xf numFmtId="4" fontId="73" fillId="0" borderId="73" applyAlignment="1">
      <alignment horizontal="right"/>
    </xf>
    <xf numFmtId="4" fontId="73" fillId="0" borderId="1" applyAlignment="1">
      <alignment horizontal="right"/>
    </xf>
    <xf numFmtId="0" fontId="69" fillId="28" borderId="31"/>
    <xf numFmtId="0" fontId="70" fillId="29" borderId="32"/>
    <xf numFmtId="0" fontId="69" fillId="28" borderId="31"/>
    <xf numFmtId="0" fontId="71" fillId="0" borderId="26" applyAlignment="1">
      <alignment horizontal="center"/>
    </xf>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2" fillId="0" borderId="0"/>
    <xf numFmtId="41" fontId="72"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164" fontId="138" fillId="0" borderId="0"/>
    <xf numFmtId="43" fontId="138" fillId="0" borderId="0"/>
    <xf numFmtId="43" fontId="138" fillId="0" borderId="0"/>
    <xf numFmtId="43" fontId="138" fillId="0" borderId="0"/>
    <xf numFmtId="43" fontId="1" fillId="0" borderId="0"/>
    <xf numFmtId="43" fontId="1"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3" fillId="0" borderId="0"/>
    <xf numFmtId="43" fontId="1" fillId="0" borderId="0"/>
    <xf numFmtId="43" fontId="1" fillId="0" borderId="0"/>
    <xf numFmtId="41" fontId="73" fillId="0" borderId="0"/>
    <xf numFmtId="41" fontId="72" fillId="0" borderId="0"/>
    <xf numFmtId="41" fontId="72" fillId="0" borderId="0"/>
    <xf numFmtId="43" fontId="1" fillId="0" borderId="0"/>
    <xf numFmtId="41" fontId="73" fillId="0" borderId="0"/>
    <xf numFmtId="41" fontId="73" fillId="0" borderId="0"/>
    <xf numFmtId="43" fontId="1" fillId="0" borderId="0"/>
    <xf numFmtId="43" fontId="1" fillId="0" borderId="0"/>
    <xf numFmtId="41" fontId="73" fillId="0" borderId="0"/>
    <xf numFmtId="43" fontId="1" fillId="0" borderId="0"/>
    <xf numFmtId="43" fontId="1" fillId="0" borderId="0"/>
    <xf numFmtId="41" fontId="73" fillId="0" borderId="0"/>
    <xf numFmtId="41" fontId="73" fillId="0" borderId="0"/>
    <xf numFmtId="43" fontId="1" fillId="0" borderId="0"/>
    <xf numFmtId="43" fontId="1" fillId="0" borderId="0"/>
    <xf numFmtId="43" fontId="1" fillId="0" borderId="0"/>
    <xf numFmtId="43" fontId="1" fillId="0" borderId="0"/>
    <xf numFmtId="41" fontId="73" fillId="0" borderId="0"/>
    <xf numFmtId="41" fontId="73" fillId="0" borderId="0"/>
    <xf numFmtId="41" fontId="73" fillId="0" borderId="0"/>
    <xf numFmtId="41" fontId="73" fillId="0" borderId="0"/>
    <xf numFmtId="41" fontId="73" fillId="0" borderId="0"/>
    <xf numFmtId="164" fontId="55" fillId="0" borderId="0"/>
    <xf numFmtId="43" fontId="55" fillId="0" borderId="0"/>
    <xf numFmtId="43" fontId="1"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38" fillId="0" borderId="0"/>
    <xf numFmtId="41" fontId="1" fillId="0" borderId="0"/>
    <xf numFmtId="41" fontId="1" fillId="0" borderId="0"/>
    <xf numFmtId="43" fontId="138" fillId="0" borderId="0"/>
    <xf numFmtId="43" fontId="73" fillId="0" borderId="0"/>
    <xf numFmtId="43" fontId="73" fillId="0" borderId="0"/>
    <xf numFmtId="164" fontId="55" fillId="0" borderId="0"/>
    <xf numFmtId="43" fontId="73" fillId="0" borderId="0"/>
    <xf numFmtId="43" fontId="73" fillId="0" borderId="0"/>
    <xf numFmtId="43" fontId="73"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74" fillId="0" borderId="0"/>
    <xf numFmtId="43" fontId="55" fillId="0" borderId="0"/>
    <xf numFmtId="43" fontId="55" fillId="0" borderId="0"/>
    <xf numFmtId="43" fontId="74" fillId="0" borderId="0"/>
    <xf numFmtId="43" fontId="55" fillId="0" borderId="0"/>
    <xf numFmtId="43" fontId="55" fillId="0" borderId="0"/>
    <xf numFmtId="43" fontId="55" fillId="0" borderId="0"/>
    <xf numFmtId="43" fontId="74" fillId="0" borderId="0"/>
    <xf numFmtId="43" fontId="74"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178" fontId="75" fillId="0" borderId="0"/>
    <xf numFmtId="37" fontId="64" fillId="0" borderId="0"/>
    <xf numFmtId="179" fontId="64" fillId="0" borderId="0"/>
    <xf numFmtId="39" fontId="64" fillId="0" borderId="0"/>
    <xf numFmtId="180" fontId="64" fillId="0" borderId="0"/>
    <xf numFmtId="181" fontId="64" fillId="0" borderId="0"/>
    <xf numFmtId="182" fontId="75" fillId="0" borderId="0"/>
    <xf numFmtId="0" fontId="73" fillId="0" borderId="29"/>
    <xf numFmtId="0" fontId="73" fillId="0" borderId="29"/>
    <xf numFmtId="0" fontId="73" fillId="0" borderId="1"/>
    <xf numFmtId="0" fontId="73" fillId="0" borderId="73"/>
    <xf numFmtId="0" fontId="73" fillId="0" borderId="1"/>
    <xf numFmtId="0" fontId="73" fillId="0" borderId="1"/>
    <xf numFmtId="0" fontId="73" fillId="0" borderId="73"/>
    <xf numFmtId="0" fontId="73" fillId="0" borderId="1"/>
    <xf numFmtId="0" fontId="73" fillId="0" borderId="29"/>
    <xf numFmtId="0" fontId="73" fillId="0" borderId="29"/>
    <xf numFmtId="0" fontId="73" fillId="0" borderId="1"/>
    <xf numFmtId="0" fontId="73" fillId="0" borderId="73"/>
    <xf numFmtId="0" fontId="73" fillId="0" borderId="1"/>
    <xf numFmtId="0" fontId="73" fillId="0" borderId="1"/>
    <xf numFmtId="0" fontId="73" fillId="0" borderId="73"/>
    <xf numFmtId="0" fontId="73" fillId="0" borderId="1"/>
    <xf numFmtId="183" fontId="75" fillId="0" borderId="0"/>
    <xf numFmtId="0" fontId="76" fillId="0" borderId="0" applyAlignment="1">
      <alignment horizontal="left"/>
    </xf>
    <xf numFmtId="0" fontId="77" fillId="30" borderId="1"/>
    <xf numFmtId="0" fontId="77" fillId="30" borderId="1"/>
    <xf numFmtId="0" fontId="77" fillId="30" borderId="73"/>
    <xf numFmtId="0" fontId="77" fillId="30" borderId="1"/>
    <xf numFmtId="0" fontId="77" fillId="30" borderId="29"/>
    <xf numFmtId="0" fontId="77" fillId="30" borderId="29"/>
    <xf numFmtId="0" fontId="77" fillId="30" borderId="1"/>
    <xf numFmtId="184" fontId="138" fillId="0" borderId="0"/>
    <xf numFmtId="184" fontId="138" fillId="0" borderId="0"/>
    <xf numFmtId="184" fontId="138" fillId="0" borderId="0"/>
    <xf numFmtId="184" fontId="138" fillId="0" borderId="0"/>
    <xf numFmtId="0" fontId="78" fillId="31" borderId="0"/>
    <xf numFmtId="0" fontId="79" fillId="32" borderId="0"/>
    <xf numFmtId="0" fontId="78" fillId="31" borderId="0"/>
    <xf numFmtId="0" fontId="77" fillId="17" borderId="0"/>
    <xf numFmtId="0" fontId="80" fillId="0" borderId="0" applyAlignment="1">
      <alignment horizontal="left"/>
    </xf>
    <xf numFmtId="0" fontId="81" fillId="0" borderId="15"/>
    <xf numFmtId="0" fontId="81" fillId="0" borderId="15"/>
    <xf numFmtId="0" fontId="81" fillId="0" borderId="15"/>
    <xf numFmtId="0" fontId="81" fillId="0" borderId="15"/>
    <xf numFmtId="0" fontId="81" fillId="0" borderId="70" applyAlignment="1">
      <alignment horizontal="left" vertical="center"/>
    </xf>
    <xf numFmtId="0" fontId="107" fillId="0" borderId="0"/>
    <xf numFmtId="0" fontId="82" fillId="0" borderId="0"/>
    <xf numFmtId="0" fontId="8" fillId="0" borderId="0"/>
    <xf numFmtId="0" fontId="8" fillId="0" borderId="0"/>
    <xf numFmtId="0" fontId="59" fillId="0" borderId="0" applyProtection="1">
      <protection locked="0" hidden="0"/>
    </xf>
    <xf numFmtId="0" fontId="8" fillId="0" borderId="0"/>
    <xf numFmtId="0" fontId="107" fillId="0" borderId="0"/>
    <xf numFmtId="0" fontId="107" fillId="0" borderId="0"/>
    <xf numFmtId="0" fontId="82" fillId="0" borderId="0"/>
    <xf numFmtId="0" fontId="107" fillId="0" borderId="0"/>
    <xf numFmtId="0" fontId="77" fillId="16" borderId="1"/>
    <xf numFmtId="0" fontId="77" fillId="16" borderId="1"/>
    <xf numFmtId="0" fontId="77" fillId="16" borderId="73"/>
    <xf numFmtId="0" fontId="77" fillId="16" borderId="1"/>
    <xf numFmtId="0" fontId="77" fillId="16" borderId="29"/>
    <xf numFmtId="0" fontId="77" fillId="16" borderId="29"/>
    <xf numFmtId="0" fontId="77" fillId="16" borderId="1"/>
    <xf numFmtId="0" fontId="83" fillId="0" borderId="5"/>
    <xf numFmtId="0" fontId="83" fillId="0" borderId="5"/>
    <xf numFmtId="172" fontId="55" fillId="0" borderId="0"/>
    <xf numFmtId="0" fontId="73" fillId="0" borderId="0"/>
    <xf numFmtId="0" fontId="73" fillId="0" borderId="0"/>
    <xf numFmtId="0" fontId="73"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38" fillId="0" borderId="0"/>
    <xf numFmtId="0" fontId="73" fillId="0" borderId="0"/>
    <xf numFmtId="0" fontId="73" fillId="0" borderId="0"/>
    <xf numFmtId="0" fontId="73" fillId="0" borderId="0"/>
    <xf numFmtId="0" fontId="73" fillId="0" borderId="0"/>
    <xf numFmtId="0" fontId="73" fillId="0" borderId="0" applyAlignment="1">
      <alignment vertical="center"/>
    </xf>
    <xf numFmtId="0" fontId="73" fillId="0" borderId="0"/>
    <xf numFmtId="0" fontId="73" fillId="0" borderId="0"/>
    <xf numFmtId="0" fontId="60" fillId="0" borderId="0" applyAlignment="1">
      <alignment vertical="center"/>
    </xf>
    <xf numFmtId="0" fontId="60" fillId="0" borderId="0" applyAlignment="1">
      <alignment vertical="center"/>
    </xf>
    <xf numFmtId="0" fontId="1" fillId="0" borderId="0"/>
    <xf numFmtId="0" fontId="60" fillId="0" borderId="0" applyAlignment="1">
      <alignment vertical="center"/>
    </xf>
    <xf numFmtId="0" fontId="8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2" fillId="0" borderId="0"/>
    <xf numFmtId="0" fontId="73" fillId="0" borderId="0"/>
    <xf numFmtId="0" fontId="60" fillId="0" borderId="0" applyAlignment="1">
      <alignment vertical="center"/>
    </xf>
    <xf numFmtId="0" fontId="138" fillId="0" borderId="0"/>
    <xf numFmtId="0" fontId="54" fillId="0" borderId="0"/>
    <xf numFmtId="0" fontId="138" fillId="0" borderId="0"/>
    <xf numFmtId="0" fontId="73" fillId="0" borderId="0"/>
    <xf numFmtId="0" fontId="138" fillId="0" borderId="0"/>
    <xf numFmtId="173" fontId="63" fillId="0" borderId="0" applyProtection="1">
      <protection locked="0" hidden="0"/>
    </xf>
    <xf numFmtId="0" fontId="73" fillId="0" borderId="0"/>
    <xf numFmtId="0" fontId="138" fillId="0" borderId="0"/>
    <xf numFmtId="0" fontId="138" fillId="0" borderId="0"/>
    <xf numFmtId="0" fontId="73" fillId="0" borderId="0"/>
    <xf numFmtId="0" fontId="73" fillId="0" borderId="0"/>
    <xf numFmtId="0" fontId="138" fillId="0" borderId="0"/>
    <xf numFmtId="0" fontId="138" fillId="0" borderId="0"/>
    <xf numFmtId="0" fontId="85" fillId="0" borderId="0"/>
    <xf numFmtId="0" fontId="138" fillId="0" borderId="0"/>
    <xf numFmtId="0" fontId="73" fillId="0" borderId="0"/>
    <xf numFmtId="173" fontId="63" fillId="0" borderId="0" applyProtection="1">
      <protection locked="0" hidden="0"/>
    </xf>
    <xf numFmtId="0" fontId="138" fillId="0" borderId="0"/>
    <xf numFmtId="0" fontId="73" fillId="0" borderId="0" applyAlignment="1">
      <alignment vertical="center"/>
    </xf>
    <xf numFmtId="0" fontId="138" fillId="0" borderId="0"/>
    <xf numFmtId="0" fontId="138" fillId="0" borderId="0"/>
    <xf numFmtId="0" fontId="138" fillId="0" borderId="0"/>
    <xf numFmtId="0" fontId="138" fillId="0" borderId="0"/>
    <xf numFmtId="0" fontId="73" fillId="0" borderId="0" applyAlignment="1">
      <alignment vertical="center"/>
    </xf>
    <xf numFmtId="0" fontId="73" fillId="0" borderId="0"/>
    <xf numFmtId="0" fontId="138" fillId="0" borderId="0"/>
    <xf numFmtId="0" fontId="55" fillId="0" borderId="0"/>
    <xf numFmtId="0" fontId="138" fillId="0" borderId="0"/>
    <xf numFmtId="0" fontId="138" fillId="0" borderId="0"/>
    <xf numFmtId="0" fontId="1" fillId="0" borderId="0"/>
    <xf numFmtId="0" fontId="55" fillId="0" borderId="0"/>
    <xf numFmtId="0" fontId="73" fillId="0" borderId="0"/>
    <xf numFmtId="0" fontId="73" fillId="0" borderId="0"/>
    <xf numFmtId="0" fontId="54" fillId="0" borderId="0"/>
    <xf numFmtId="0" fontId="73" fillId="0" borderId="0"/>
    <xf numFmtId="0" fontId="1" fillId="0" borderId="0"/>
    <xf numFmtId="0" fontId="73" fillId="0" borderId="0"/>
    <xf numFmtId="0" fontId="73" fillId="0" borderId="0"/>
    <xf numFmtId="0" fontId="73" fillId="0" borderId="0"/>
    <xf numFmtId="0" fontId="138" fillId="0" borderId="0"/>
    <xf numFmtId="0" fontId="73" fillId="0" borderId="0"/>
    <xf numFmtId="0" fontId="138" fillId="0" borderId="0"/>
    <xf numFmtId="0" fontId="138" fillId="0" borderId="0"/>
    <xf numFmtId="0" fontId="138" fillId="0" borderId="0"/>
    <xf numFmtId="0" fontId="73" fillId="0" borderId="0" applyAlignment="1">
      <alignment vertical="center"/>
    </xf>
    <xf numFmtId="0" fontId="73" fillId="0" borderId="0" applyAlignment="1">
      <alignment vertical="center"/>
    </xf>
    <xf numFmtId="0" fontId="86" fillId="0" borderId="0"/>
    <xf numFmtId="10" fontId="1" fillId="0" borderId="0"/>
    <xf numFmtId="172" fontId="73" fillId="0" borderId="0"/>
    <xf numFmtId="9" fontId="73" fillId="0" borderId="0"/>
    <xf numFmtId="172" fontId="73" fillId="0" borderId="0"/>
    <xf numFmtId="9" fontId="1" fillId="0" borderId="0"/>
    <xf numFmtId="9" fontId="73" fillId="0" borderId="0"/>
    <xf numFmtId="9" fontId="73" fillId="0" borderId="0"/>
    <xf numFmtId="9" fontId="73" fillId="0" borderId="0"/>
    <xf numFmtId="9" fontId="73" fillId="0" borderId="0"/>
    <xf numFmtId="0" fontId="77" fillId="17" borderId="1"/>
    <xf numFmtId="0" fontId="77" fillId="17" borderId="1"/>
    <xf numFmtId="0" fontId="77" fillId="17" borderId="73"/>
    <xf numFmtId="0" fontId="77" fillId="17" borderId="1"/>
    <xf numFmtId="0" fontId="77" fillId="17" borderId="29"/>
    <xf numFmtId="0" fontId="77" fillId="17" borderId="29"/>
    <xf numFmtId="0" fontId="77" fillId="17" borderId="1"/>
    <xf numFmtId="4" fontId="76" fillId="0" borderId="0" applyAlignment="1">
      <alignment horizontal="right"/>
    </xf>
    <xf numFmtId="4" fontId="87" fillId="0" borderId="0" applyAlignment="1">
      <alignment horizontal="right"/>
    </xf>
    <xf numFmtId="41" fontId="75" fillId="0" borderId="0"/>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4" borderId="0" applyAlignment="1">
      <alignment horizontal="left" vertical="center" indent="1"/>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31" fillId="44" borderId="0" applyAlignment="1">
      <alignment horizontal="left" vertical="center" indent="1"/>
    </xf>
    <xf numFmtId="0" fontId="89" fillId="11" borderId="0"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44" borderId="0" applyAlignment="1">
      <alignment horizontal="left" vertical="center" indent="1"/>
    </xf>
    <xf numFmtId="0" fontId="31" fillId="34" borderId="0"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91" fillId="45" borderId="0" applyAlignment="1">
      <alignment horizontal="left" vertical="center"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92" fillId="0" borderId="0" applyAlignment="1">
      <alignment horizontal="left"/>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83" fillId="0" borderId="0"/>
    <xf numFmtId="0" fontId="93" fillId="0" borderId="0" applyAlignment="1">
      <alignment horizontal="center"/>
    </xf>
    <xf numFmtId="185" fontId="1" fillId="0" borderId="0"/>
    <xf numFmtId="186" fontId="1" fillId="0" borderId="0"/>
    <xf numFmtId="187" fontId="55" fillId="0" borderId="0"/>
    <xf numFmtId="188" fontId="55" fillId="0" borderId="0"/>
    <xf numFmtId="9" fontId="94" fillId="0" borderId="0"/>
    <xf numFmtId="0" fontId="74" fillId="0" borderId="0"/>
    <xf numFmtId="0" fontId="95" fillId="0" borderId="0"/>
    <xf numFmtId="189" fontId="74" fillId="0" borderId="0"/>
    <xf numFmtId="190" fontId="74" fillId="0" borderId="0"/>
    <xf numFmtId="41" fontId="1" fillId="0" borderId="0"/>
    <xf numFmtId="9" fontId="74" fillId="0" borderId="0"/>
    <xf numFmtId="9" fontId="1" fillId="0" borderId="0"/>
    <xf numFmtId="9" fontId="55" fillId="0" borderId="0"/>
    <xf numFmtId="9" fontId="1" fillId="0" borderId="0"/>
    <xf numFmtId="9" fontId="55" fillId="0" borderId="0"/>
    <xf numFmtId="9" fontId="138" fillId="0" borderId="0"/>
    <xf numFmtId="9" fontId="138" fillId="0" borderId="0"/>
    <xf numFmtId="9" fontId="138" fillId="0" borderId="0"/>
    <xf numFmtId="9" fontId="55" fillId="0" borderId="0"/>
    <xf numFmtId="9" fontId="73" fillId="0" borderId="0"/>
    <xf numFmtId="9" fontId="73" fillId="0" borderId="0"/>
    <xf numFmtId="9" fontId="73" fillId="0" borderId="0"/>
    <xf numFmtId="9" fontId="73" fillId="0" borderId="0"/>
    <xf numFmtId="9" fontId="138" fillId="0" borderId="0"/>
    <xf numFmtId="0" fontId="96" fillId="0" borderId="0"/>
    <xf numFmtId="0" fontId="96" fillId="0" borderId="0"/>
    <xf numFmtId="0" fontId="97" fillId="0" borderId="0"/>
    <xf numFmtId="4" fontId="98" fillId="0" borderId="0" applyAlignment="1">
      <alignment horizontal="right"/>
    </xf>
    <xf numFmtId="0" fontId="99" fillId="0" borderId="0"/>
    <xf numFmtId="0" fontId="100" fillId="38" borderId="0"/>
    <xf numFmtId="0" fontId="101" fillId="35" borderId="0"/>
    <xf numFmtId="0" fontId="101" fillId="35" borderId="0"/>
    <xf numFmtId="0" fontId="102" fillId="35" borderId="0"/>
    <xf numFmtId="0" fontId="101" fillId="35" borderId="0"/>
    <xf numFmtId="0" fontId="101" fillId="35" borderId="0"/>
    <xf numFmtId="0" fontId="101" fillId="35" borderId="0"/>
    <xf numFmtId="0" fontId="101" fillId="35" borderId="0"/>
    <xf numFmtId="0" fontId="101" fillId="35" borderId="0"/>
    <xf numFmtId="0" fontId="101" fillId="35" borderId="0"/>
    <xf numFmtId="0" fontId="101" fillId="35" borderId="0"/>
    <xf numFmtId="0" fontId="100" fillId="38" borderId="0"/>
    <xf numFmtId="0" fontId="100" fillId="38" borderId="0"/>
    <xf numFmtId="0" fontId="103" fillId="30" borderId="0"/>
    <xf numFmtId="0" fontId="101" fillId="35" borderId="0"/>
    <xf numFmtId="0" fontId="100" fillId="38" borderId="0"/>
    <xf numFmtId="0" fontId="100" fillId="38" borderId="0"/>
    <xf numFmtId="0" fontId="103" fillId="30" borderId="0"/>
    <xf numFmtId="0" fontId="100" fillId="38" borderId="0"/>
    <xf numFmtId="0" fontId="100" fillId="38" borderId="0"/>
    <xf numFmtId="0" fontId="100" fillId="38" borderId="0"/>
    <xf numFmtId="0" fontId="101" fillId="35" borderId="0"/>
    <xf numFmtId="0" fontId="100" fillId="38" borderId="0"/>
    <xf numFmtId="0" fontId="100" fillId="38" borderId="0"/>
    <xf numFmtId="0" fontId="100" fillId="38" borderId="0"/>
    <xf numFmtId="0" fontId="100" fillId="38" borderId="0"/>
    <xf numFmtId="0" fontId="73" fillId="0" borderId="0"/>
    <xf numFmtId="0" fontId="73" fillId="0" borderId="0"/>
    <xf numFmtId="0" fontId="138" fillId="0" borderId="0"/>
    <xf numFmtId="191" fontId="138" fillId="0" borderId="0"/>
    <xf numFmtId="191" fontId="104" fillId="0" borderId="0"/>
    <xf numFmtId="0" fontId="55" fillId="0" borderId="0"/>
    <xf numFmtId="0" fontId="55" fillId="0" borderId="0"/>
    <xf numFmtId="0" fontId="55" fillId="0" borderId="0"/>
    <xf numFmtId="0" fontId="55" fillId="0" borderId="0"/>
    <xf numFmtId="0" fontId="138" fillId="0" borderId="0"/>
    <xf numFmtId="0" fontId="55" fillId="0" borderId="0"/>
    <xf numFmtId="0" fontId="61" fillId="0" borderId="0" applyProtection="1">
      <protection locked="0" hidden="0"/>
    </xf>
    <xf numFmtId="0" fontId="138" fillId="0" borderId="0"/>
    <xf numFmtId="0" fontId="55" fillId="0" borderId="0"/>
    <xf numFmtId="0" fontId="1" fillId="0" borderId="0" applyProtection="1">
      <protection locked="0" hidden="0"/>
    </xf>
    <xf numFmtId="0" fontId="55" fillId="0" borderId="0"/>
    <xf numFmtId="0" fontId="55" fillId="0" borderId="0"/>
    <xf numFmtId="0" fontId="55" fillId="0" borderId="0"/>
    <xf numFmtId="0" fontId="1" fillId="0" borderId="0" applyProtection="1">
      <protection locked="0" hidden="0"/>
    </xf>
    <xf numFmtId="0" fontId="73" fillId="0" borderId="0" applyAlignment="1">
      <alignment vertical="center"/>
    </xf>
    <xf numFmtId="0" fontId="138" fillId="0" borderId="0"/>
    <xf numFmtId="0" fontId="73" fillId="0" borderId="0" applyAlignment="1">
      <alignment vertical="center"/>
    </xf>
    <xf numFmtId="0" fontId="73" fillId="0" borderId="0" applyAlignment="1">
      <alignment vertical="center"/>
    </xf>
    <xf numFmtId="0" fontId="138" fillId="0" borderId="0"/>
    <xf numFmtId="173" fontId="1" fillId="0" borderId="0"/>
    <xf numFmtId="0" fontId="55" fillId="0" borderId="0" applyAlignment="1">
      <alignment vertical="top"/>
    </xf>
    <xf numFmtId="0" fontId="61" fillId="0" borderId="0" applyProtection="1">
      <protection locked="0" hidden="0"/>
    </xf>
    <xf numFmtId="191" fontId="138" fillId="0" borderId="0"/>
    <xf numFmtId="0" fontId="55" fillId="0" borderId="0"/>
    <xf numFmtId="0" fontId="55" fillId="0" borderId="0"/>
    <xf numFmtId="191" fontId="138" fillId="0" borderId="0"/>
    <xf numFmtId="191" fontId="138" fillId="0" borderId="0"/>
    <xf numFmtId="0" fontId="55" fillId="0" borderId="0"/>
    <xf numFmtId="0" fontId="55" fillId="0" borderId="0"/>
    <xf numFmtId="0" fontId="1" fillId="0" borderId="0" applyProtection="1">
      <protection locked="0" hidden="0"/>
    </xf>
    <xf numFmtId="0" fontId="73" fillId="0" borderId="0" applyAlignment="1" applyProtection="1">
      <alignment vertical="center"/>
      <protection locked="0" hidden="0"/>
    </xf>
    <xf numFmtId="0" fontId="138" fillId="0" borderId="0"/>
    <xf numFmtId="0" fontId="73" fillId="0" borderId="0" applyAlignment="1" applyProtection="1">
      <alignment vertical="center"/>
      <protection locked="0" hidden="0"/>
    </xf>
    <xf numFmtId="0" fontId="1" fillId="0" borderId="0" applyProtection="1">
      <protection locked="0" hidden="0"/>
    </xf>
    <xf numFmtId="0" fontId="138" fillId="0" borderId="0"/>
    <xf numFmtId="0" fontId="1" fillId="0" borderId="0" applyProtection="1">
      <protection locked="0" hidden="0"/>
    </xf>
    <xf numFmtId="0" fontId="1" fillId="0" borderId="0" applyProtection="1">
      <protection locked="0" hidden="0"/>
    </xf>
    <xf numFmtId="0" fontId="138" fillId="0" borderId="0"/>
    <xf numFmtId="0" fontId="138" fillId="0" borderId="0"/>
    <xf numFmtId="0" fontId="55" fillId="0" borderId="0"/>
    <xf numFmtId="0" fontId="73" fillId="0" borderId="0" applyAlignment="1">
      <alignment vertical="center"/>
    </xf>
    <xf numFmtId="0" fontId="73" fillId="0" borderId="0" applyAlignment="1">
      <alignment vertical="center"/>
    </xf>
    <xf numFmtId="0" fontId="73" fillId="0" borderId="0" applyAlignment="1">
      <alignment vertical="center"/>
    </xf>
    <xf numFmtId="0" fontId="138" fillId="0" borderId="0"/>
    <xf numFmtId="0" fontId="73" fillId="0" borderId="0"/>
    <xf numFmtId="0" fontId="138" fillId="0" borderId="0"/>
    <xf numFmtId="0" fontId="55" fillId="0" borderId="0"/>
    <xf numFmtId="0" fontId="138" fillId="0" borderId="0"/>
    <xf numFmtId="0" fontId="55" fillId="0" borderId="0" applyAlignment="1">
      <alignment vertical="center"/>
    </xf>
    <xf numFmtId="0" fontId="73" fillId="0" borderId="0" applyAlignment="1">
      <alignment vertical="center"/>
    </xf>
    <xf numFmtId="0" fontId="138" fillId="0" borderId="0"/>
    <xf numFmtId="0" fontId="73" fillId="0" borderId="0" applyAlignment="1">
      <alignment vertical="center"/>
    </xf>
    <xf numFmtId="0" fontId="138" fillId="0" borderId="0"/>
    <xf numFmtId="0" fontId="138" fillId="0" borderId="0"/>
    <xf numFmtId="0" fontId="138" fillId="0" borderId="0"/>
    <xf numFmtId="0" fontId="73" fillId="0" borderId="0"/>
    <xf numFmtId="0" fontId="138" fillId="0" borderId="0"/>
    <xf numFmtId="0" fontId="105" fillId="0" borderId="0" applyProtection="1">
      <protection locked="0" hidden="0"/>
    </xf>
    <xf numFmtId="0" fontId="107" fillId="0" borderId="0"/>
    <xf numFmtId="0" fontId="105" fillId="0" borderId="0" applyProtection="1">
      <protection locked="0" hidden="0"/>
    </xf>
    <xf numFmtId="0" fontId="8" fillId="0" borderId="0"/>
    <xf numFmtId="0" fontId="8" fillId="0" borderId="0"/>
    <xf numFmtId="0" fontId="8" fillId="0" borderId="0"/>
    <xf numFmtId="0" fontId="107" fillId="0" borderId="0"/>
    <xf numFmtId="0" fontId="107" fillId="0" borderId="0" applyAlignment="1">
      <alignment vertical="center"/>
    </xf>
    <xf numFmtId="0" fontId="105" fillId="0" borderId="0" applyProtection="1">
      <protection locked="0" hidden="0"/>
    </xf>
    <xf numFmtId="0" fontId="107" fillId="0" borderId="0" applyAlignment="1">
      <alignment vertical="center"/>
    </xf>
    <xf numFmtId="0" fontId="108" fillId="32" borderId="0"/>
    <xf numFmtId="0" fontId="109" fillId="20" borderId="0"/>
    <xf numFmtId="0" fontId="109" fillId="32" borderId="0"/>
    <xf numFmtId="0" fontId="109" fillId="32" borderId="0"/>
    <xf numFmtId="0" fontId="109" fillId="32" borderId="0"/>
    <xf numFmtId="0" fontId="109" fillId="20" borderId="0"/>
    <xf numFmtId="0" fontId="110" fillId="20" borderId="0"/>
    <xf numFmtId="0" fontId="109" fillId="20" borderId="0"/>
    <xf numFmtId="0" fontId="109" fillId="20" borderId="0"/>
    <xf numFmtId="0" fontId="109" fillId="20" borderId="0"/>
    <xf numFmtId="0" fontId="109" fillId="20" borderId="0"/>
    <xf numFmtId="0" fontId="109" fillId="20" borderId="0"/>
    <xf numFmtId="0" fontId="109" fillId="20" borderId="0"/>
    <xf numFmtId="0" fontId="109" fillId="20" borderId="0"/>
    <xf numFmtId="0" fontId="109" fillId="32" borderId="0"/>
    <xf numFmtId="0" fontId="108" fillId="32" borderId="0"/>
    <xf numFmtId="0" fontId="109" fillId="20" borderId="0"/>
    <xf numFmtId="0" fontId="108" fillId="32" borderId="0"/>
    <xf numFmtId="0" fontId="109" fillId="32" borderId="0"/>
    <xf numFmtId="0" fontId="108" fillId="32" borderId="0"/>
    <xf numFmtId="0" fontId="108" fillId="32" borderId="0"/>
    <xf numFmtId="0" fontId="111" fillId="46" borderId="0"/>
    <xf numFmtId="0" fontId="108" fillId="32" borderId="0"/>
    <xf numFmtId="0" fontId="111" fillId="46" borderId="0"/>
    <xf numFmtId="0" fontId="108" fillId="32" borderId="0"/>
    <xf numFmtId="0" fontId="108" fillId="32" borderId="0"/>
    <xf numFmtId="0" fontId="109" fillId="20" borderId="0"/>
    <xf numFmtId="0" fontId="109" fillId="32" borderId="0"/>
    <xf numFmtId="0" fontId="109" fillId="32" borderId="0"/>
    <xf numFmtId="0" fontId="108" fillId="32" borderId="0"/>
    <xf numFmtId="0" fontId="108" fillId="32" borderId="0"/>
    <xf numFmtId="0" fontId="109" fillId="32" borderId="0"/>
    <xf numFmtId="0" fontId="108" fillId="32" borderId="0"/>
    <xf numFmtId="0" fontId="109" fillId="32" borderId="0"/>
    <xf numFmtId="0" fontId="108" fillId="32" borderId="0"/>
    <xf numFmtId="0" fontId="108" fillId="32" borderId="0"/>
    <xf numFmtId="0" fontId="111" fillId="46" borderId="0"/>
    <xf numFmtId="0" fontId="108" fillId="32" borderId="0"/>
    <xf numFmtId="0" fontId="111" fillId="46" borderId="0"/>
    <xf numFmtId="0" fontId="109" fillId="32" borderId="0"/>
    <xf numFmtId="4" fontId="112" fillId="0" borderId="0"/>
    <xf numFmtId="41" fontId="1" fillId="0" borderId="0"/>
    <xf numFmtId="192" fontId="73" fillId="0" borderId="0"/>
    <xf numFmtId="192" fontId="73" fillId="0" borderId="0"/>
    <xf numFmtId="193" fontId="113" fillId="0" borderId="0"/>
    <xf numFmtId="194" fontId="113" fillId="0" borderId="0"/>
    <xf numFmtId="195" fontId="1" fillId="0" borderId="0"/>
    <xf numFmtId="196" fontId="1" fillId="0" borderId="0"/>
    <xf numFmtId="197" fontId="114" fillId="0" borderId="0"/>
    <xf numFmtId="198" fontId="114" fillId="0" borderId="0"/>
    <xf numFmtId="193" fontId="74" fillId="0" borderId="0"/>
    <xf numFmtId="194" fontId="74" fillId="0" borderId="0"/>
    <xf numFmtId="0" fontId="75" fillId="0" borderId="0"/>
    <xf numFmtId="41" fontId="75" fillId="0" borderId="0"/>
    <xf numFmtId="43" fontId="75" fillId="0" borderId="0"/>
    <xf numFmtId="41" fontId="55" fillId="0" borderId="0"/>
    <xf numFmtId="43" fontId="55" fillId="0" borderId="0"/>
    <xf numFmtId="43" fontId="73" fillId="0" borderId="0"/>
    <xf numFmtId="43" fontId="73" fillId="0" borderId="0"/>
    <xf numFmtId="43" fontId="73" fillId="0" borderId="0"/>
    <xf numFmtId="43" fontId="138" fillId="0" borderId="0"/>
    <xf numFmtId="43" fontId="1" fillId="0" borderId="0"/>
    <xf numFmtId="0" fontId="73" fillId="0" borderId="0"/>
    <xf numFmtId="43" fontId="61" fillId="0" borderId="0"/>
    <xf numFmtId="43" fontId="61" fillId="0" borderId="0"/>
    <xf numFmtId="43" fontId="61" fillId="0" borderId="0"/>
    <xf numFmtId="43" fontId="55" fillId="0" borderId="0"/>
    <xf numFmtId="43" fontId="55" fillId="0" borderId="0"/>
    <xf numFmtId="43" fontId="61" fillId="0" borderId="0"/>
    <xf numFmtId="43" fontId="1" fillId="0" borderId="0"/>
    <xf numFmtId="43" fontId="1" fillId="0" borderId="0"/>
    <xf numFmtId="43" fontId="55" fillId="0" borderId="0"/>
    <xf numFmtId="43" fontId="55" fillId="0" borderId="0"/>
    <xf numFmtId="0" fontId="73"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73" fillId="0" borderId="0"/>
    <xf numFmtId="43" fontId="138" fillId="0" borderId="0"/>
    <xf numFmtId="43" fontId="138" fillId="0" borderId="0"/>
    <xf numFmtId="43" fontId="138" fillId="0" borderId="0"/>
    <xf numFmtId="43" fontId="138" fillId="0" borderId="0"/>
    <xf numFmtId="43" fontId="73" fillId="0" borderId="0"/>
    <xf numFmtId="43" fontId="73" fillId="0" borderId="0"/>
    <xf numFmtId="43" fontId="138" fillId="0" borderId="0"/>
    <xf numFmtId="43" fontId="138" fillId="0" borderId="0"/>
    <xf numFmtId="43" fontId="73" fillId="0" borderId="0"/>
    <xf numFmtId="43" fontId="73" fillId="0" borderId="0"/>
    <xf numFmtId="43" fontId="73" fillId="0" borderId="0"/>
    <xf numFmtId="43" fontId="138" fillId="0" borderId="0"/>
    <xf numFmtId="43" fontId="138" fillId="0" borderId="0"/>
    <xf numFmtId="43" fontId="138" fillId="0" borderId="0"/>
    <xf numFmtId="43" fontId="73"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138"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138"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0" fontId="115" fillId="0" borderId="0"/>
    <xf numFmtId="0" fontId="116" fillId="47" borderId="0"/>
    <xf numFmtId="0" fontId="116" fillId="48" borderId="0"/>
    <xf numFmtId="0" fontId="116" fillId="49" borderId="0"/>
    <xf numFmtId="199" fontId="1" fillId="0" borderId="0"/>
    <xf numFmtId="200" fontId="112" fillId="0" borderId="0"/>
    <xf numFmtId="0" fontId="74" fillId="0" borderId="0"/>
    <xf numFmtId="0" fontId="73" fillId="0" borderId="0"/>
    <xf numFmtId="0" fontId="73" fillId="0" borderId="0"/>
    <xf numFmtId="0" fontId="55" fillId="0" borderId="0"/>
    <xf numFmtId="0" fontId="117" fillId="0" borderId="0"/>
    <xf numFmtId="40" fontId="96" fillId="0" borderId="0"/>
    <xf numFmtId="38" fontId="96" fillId="0" borderId="0"/>
    <xf numFmtId="0" fontId="1" fillId="0" borderId="1"/>
    <xf numFmtId="0" fontId="1" fillId="0" borderId="1"/>
    <xf numFmtId="0" fontId="1" fillId="0" borderId="73"/>
    <xf numFmtId="0" fontId="1" fillId="0" borderId="1"/>
    <xf numFmtId="0" fontId="1" fillId="0" borderId="29"/>
    <xf numFmtId="0" fontId="1" fillId="0" borderId="29"/>
    <xf numFmtId="0" fontId="1" fillId="0" borderId="1"/>
    <xf numFmtId="38" fontId="118" fillId="0" borderId="0"/>
    <xf numFmtId="40" fontId="118" fillId="0" borderId="0"/>
    <xf numFmtId="0" fontId="118" fillId="0" borderId="0"/>
    <xf numFmtId="0" fontId="118" fillId="0" borderId="0"/>
    <xf numFmtId="0" fontId="119" fillId="0" borderId="0"/>
    <xf numFmtId="0" fontId="138" fillId="0" borderId="0"/>
    <xf numFmtId="0" fontId="137" fillId="0" borderId="0" applyAlignment="1">
      <alignment vertical="center"/>
    </xf>
    <xf numFmtId="0" fontId="146" fillId="0" borderId="0"/>
    <xf numFmtId="0" fontId="1" fillId="34" borderId="71" applyAlignment="1">
      <alignment horizontal="left" vertical="center" indent="1"/>
    </xf>
    <xf numFmtId="0" fontId="1" fillId="11" borderId="71" applyAlignment="1">
      <alignment horizontal="left" vertical="center" indent="1"/>
    </xf>
    <xf numFmtId="0" fontId="31" fillId="25" borderId="71" applyAlignment="1">
      <alignment horizontal="right" vertical="center"/>
    </xf>
    <xf numFmtId="0" fontId="1" fillId="44" borderId="71" applyAlignment="1">
      <alignment horizontal="left" vertical="center" indent="1"/>
    </xf>
    <xf numFmtId="43" fontId="73" fillId="0" borderId="0"/>
    <xf numFmtId="0" fontId="31" fillId="25" borderId="71" applyAlignment="1">
      <alignment horizontal="right" vertical="center"/>
    </xf>
    <xf numFmtId="0" fontId="1" fillId="44" borderId="71" applyAlignment="1">
      <alignment horizontal="left" vertical="center" indent="1"/>
    </xf>
    <xf numFmtId="43" fontId="73" fillId="0" borderId="0"/>
    <xf numFmtId="0" fontId="1" fillId="44" borderId="71" applyAlignment="1">
      <alignment horizontal="left" vertical="center" indent="1"/>
    </xf>
    <xf numFmtId="43" fontId="138" fillId="0" borderId="0"/>
    <xf numFmtId="0" fontId="31" fillId="34" borderId="71" applyAlignment="1">
      <alignment horizontal="right" vertical="center"/>
    </xf>
    <xf numFmtId="0" fontId="1" fillId="13" borderId="71" applyAlignment="1">
      <alignment horizontal="left" vertical="top" indent="1"/>
    </xf>
    <xf numFmtId="43" fontId="55" fillId="0" borderId="0"/>
    <xf numFmtId="43" fontId="55" fillId="0" borderId="0"/>
    <xf numFmtId="0" fontId="31" fillId="40" borderId="71" applyAlignment="1">
      <alignment horizontal="right" vertical="center"/>
    </xf>
    <xf numFmtId="0" fontId="73" fillId="0" borderId="0" applyAlignment="1">
      <alignment vertical="center"/>
    </xf>
    <xf numFmtId="0" fontId="31" fillId="41" borderId="71" applyAlignment="1">
      <alignment horizontal="right" vertical="center"/>
    </xf>
    <xf numFmtId="0" fontId="1" fillId="13" borderId="71" applyAlignment="1">
      <alignment horizontal="left" vertical="top" indent="1"/>
    </xf>
    <xf numFmtId="0" fontId="73" fillId="0" borderId="0" applyAlignment="1">
      <alignment vertical="center"/>
    </xf>
    <xf numFmtId="0" fontId="57" fillId="0" borderId="0"/>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center" indent="1"/>
    </xf>
    <xf numFmtId="0" fontId="31" fillId="16" borderId="71" applyAlignment="1">
      <alignment vertical="center"/>
    </xf>
    <xf numFmtId="0" fontId="1" fillId="11" borderId="71" applyAlignment="1">
      <alignment horizontal="left" vertical="center" indent="1"/>
    </xf>
    <xf numFmtId="0" fontId="31" fillId="34" borderId="71" applyAlignment="1">
      <alignment horizontal="right" vertical="center"/>
    </xf>
    <xf numFmtId="0" fontId="73" fillId="0" borderId="0"/>
    <xf numFmtId="43" fontId="73" fillId="0" borderId="0"/>
    <xf numFmtId="9" fontId="73" fillId="0" borderId="0"/>
    <xf numFmtId="0" fontId="1" fillId="11" borderId="71" applyAlignment="1">
      <alignment horizontal="left" vertical="top" indent="1"/>
    </xf>
    <xf numFmtId="0" fontId="31" fillId="34" borderId="71" applyAlignment="1">
      <alignment horizontal="right" vertical="center"/>
    </xf>
    <xf numFmtId="0" fontId="31" fillId="34" borderId="71" applyAlignment="1">
      <alignment horizontal="right" vertical="center"/>
    </xf>
    <xf numFmtId="0" fontId="31" fillId="38" borderId="71" applyAlignment="1">
      <alignment horizontal="right" vertical="center"/>
    </xf>
    <xf numFmtId="0" fontId="31" fillId="16" borderId="71" applyAlignment="1">
      <alignment vertical="center"/>
    </xf>
    <xf numFmtId="0" fontId="73" fillId="0" borderId="0"/>
    <xf numFmtId="0" fontId="73" fillId="0" borderId="0"/>
    <xf numFmtId="0" fontId="31" fillId="41" borderId="71" applyAlignment="1">
      <alignment horizontal="right" vertical="center"/>
    </xf>
    <xf numFmtId="0" fontId="1" fillId="13" borderId="71" applyAlignment="1">
      <alignment horizontal="left" vertical="center" indent="1"/>
    </xf>
    <xf numFmtId="0" fontId="1" fillId="11" borderId="71" applyAlignment="1">
      <alignment horizontal="left" vertical="center" indent="1"/>
    </xf>
    <xf numFmtId="0" fontId="31" fillId="42" borderId="71" applyAlignment="1">
      <alignment horizontal="right" vertical="center"/>
    </xf>
    <xf numFmtId="0" fontId="31" fillId="37" borderId="71" applyAlignment="1">
      <alignment horizontal="right" vertical="center"/>
    </xf>
    <xf numFmtId="0" fontId="31" fillId="42" borderId="71" applyAlignment="1">
      <alignment horizontal="right" vertical="center"/>
    </xf>
    <xf numFmtId="0" fontId="31" fillId="41" borderId="71" applyAlignment="1">
      <alignment horizontal="right" vertical="center"/>
    </xf>
    <xf numFmtId="0" fontId="1" fillId="11" borderId="71" applyAlignment="1">
      <alignment horizontal="left" vertical="top" indent="1"/>
    </xf>
    <xf numFmtId="0" fontId="31" fillId="38" borderId="71" applyAlignment="1">
      <alignment horizontal="right" vertical="center"/>
    </xf>
    <xf numFmtId="0" fontId="31" fillId="38" borderId="71" applyAlignment="1">
      <alignment horizontal="right" vertical="center"/>
    </xf>
    <xf numFmtId="0" fontId="31" fillId="41" borderId="71" applyAlignment="1">
      <alignment horizontal="right" vertical="center"/>
    </xf>
    <xf numFmtId="0" fontId="31" fillId="25" borderId="71" applyAlignment="1">
      <alignment horizontal="right" vertical="center"/>
    </xf>
    <xf numFmtId="0" fontId="31" fillId="38" borderId="71" applyAlignment="1">
      <alignment horizontal="right" vertical="center"/>
    </xf>
    <xf numFmtId="0" fontId="31" fillId="40" borderId="71" applyAlignment="1">
      <alignment horizontal="right" vertical="center"/>
    </xf>
    <xf numFmtId="43" fontId="138" fillId="0" borderId="0"/>
    <xf numFmtId="0" fontId="31" fillId="42" borderId="71" applyAlignment="1">
      <alignment horizontal="right" vertical="center"/>
    </xf>
    <xf numFmtId="0" fontId="31" fillId="38" borderId="71" applyAlignment="1">
      <alignment horizontal="right" vertical="center"/>
    </xf>
    <xf numFmtId="0" fontId="1" fillId="34" borderId="71" applyAlignment="1">
      <alignment horizontal="left" vertical="top" indent="1"/>
    </xf>
    <xf numFmtId="0" fontId="1" fillId="34" borderId="71" applyAlignment="1">
      <alignment horizontal="left" vertical="top" indent="1"/>
    </xf>
    <xf numFmtId="43" fontId="73" fillId="0" borderId="0"/>
    <xf numFmtId="41" fontId="73" fillId="0" borderId="0"/>
    <xf numFmtId="0" fontId="1" fillId="44" borderId="71" applyAlignment="1">
      <alignment horizontal="left" vertical="top" indent="1"/>
    </xf>
    <xf numFmtId="0" fontId="1" fillId="34" borderId="71" applyAlignment="1">
      <alignment horizontal="left" vertical="center" indent="1"/>
    </xf>
    <xf numFmtId="0" fontId="31" fillId="39" borderId="71" applyAlignment="1">
      <alignment horizontal="right" vertical="center"/>
    </xf>
    <xf numFmtId="0" fontId="1" fillId="44" borderId="71" applyAlignment="1">
      <alignment horizontal="left" vertical="center" indent="1"/>
    </xf>
    <xf numFmtId="0" fontId="1" fillId="11" borderId="71"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1" fillId="44" borderId="71" applyAlignment="1">
      <alignment horizontal="left" vertical="top" indent="1"/>
    </xf>
    <xf numFmtId="0" fontId="31" fillId="34" borderId="71" applyAlignment="1">
      <alignment horizontal="righ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2" fillId="0" borderId="0"/>
    <xf numFmtId="41" fontId="72"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0" fontId="1" fillId="13" borderId="71" applyAlignment="1">
      <alignment horizontal="left" vertical="top" indent="1"/>
    </xf>
    <xf numFmtId="43" fontId="138" fillId="0" borderId="0"/>
    <xf numFmtId="43" fontId="138" fillId="0" borderId="0"/>
    <xf numFmtId="43" fontId="138" fillId="0" borderId="0"/>
    <xf numFmtId="43" fontId="1" fillId="0" borderId="0"/>
    <xf numFmtId="43" fontId="1"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3" fillId="0" borderId="0"/>
    <xf numFmtId="43" fontId="1" fillId="0" borderId="0"/>
    <xf numFmtId="43" fontId="1" fillId="0" borderId="0"/>
    <xf numFmtId="41" fontId="73" fillId="0" borderId="0"/>
    <xf numFmtId="41" fontId="72" fillId="0" borderId="0"/>
    <xf numFmtId="41" fontId="72" fillId="0" borderId="0"/>
    <xf numFmtId="43" fontId="1" fillId="0" borderId="0"/>
    <xf numFmtId="41" fontId="73" fillId="0" borderId="0"/>
    <xf numFmtId="41" fontId="73" fillId="0" borderId="0"/>
    <xf numFmtId="43" fontId="1" fillId="0" borderId="0"/>
    <xf numFmtId="43" fontId="1" fillId="0" borderId="0"/>
    <xf numFmtId="41" fontId="73" fillId="0" borderId="0"/>
    <xf numFmtId="43" fontId="1" fillId="0" borderId="0"/>
    <xf numFmtId="43" fontId="1" fillId="0" borderId="0"/>
    <xf numFmtId="41" fontId="73" fillId="0" borderId="0"/>
    <xf numFmtId="41" fontId="73" fillId="0" borderId="0"/>
    <xf numFmtId="43" fontId="1" fillId="0" borderId="0"/>
    <xf numFmtId="43" fontId="1" fillId="0" borderId="0"/>
    <xf numFmtId="43" fontId="1" fillId="0" borderId="0"/>
    <xf numFmtId="43" fontId="1" fillId="0" borderId="0"/>
    <xf numFmtId="41" fontId="73" fillId="0" borderId="0"/>
    <xf numFmtId="41" fontId="73" fillId="0" borderId="0"/>
    <xf numFmtId="41" fontId="73" fillId="0" borderId="0"/>
    <xf numFmtId="41" fontId="73" fillId="0" borderId="0"/>
    <xf numFmtId="41" fontId="73" fillId="0" borderId="0"/>
    <xf numFmtId="0" fontId="1" fillId="13" borderId="71" applyAlignment="1">
      <alignment horizontal="left" vertical="top" indent="1"/>
    </xf>
    <xf numFmtId="43" fontId="55" fillId="0" borderId="0"/>
    <xf numFmtId="43" fontId="1"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38" fillId="0" borderId="0"/>
    <xf numFmtId="41" fontId="1" fillId="0" borderId="0"/>
    <xf numFmtId="41" fontId="1" fillId="0" borderId="0"/>
    <xf numFmtId="43" fontId="138" fillId="0" borderId="0"/>
    <xf numFmtId="43" fontId="73" fillId="0" borderId="0"/>
    <xf numFmtId="43" fontId="73" fillId="0" borderId="0"/>
    <xf numFmtId="0" fontId="1" fillId="13" borderId="71" applyAlignment="1">
      <alignment horizontal="left" vertical="top" indent="1"/>
    </xf>
    <xf numFmtId="43" fontId="73" fillId="0" borderId="0"/>
    <xf numFmtId="43" fontId="73" fillId="0" borderId="0"/>
    <xf numFmtId="43" fontId="73"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74" fillId="0" borderId="0"/>
    <xf numFmtId="43" fontId="55" fillId="0" borderId="0"/>
    <xf numFmtId="43" fontId="55" fillId="0" borderId="0"/>
    <xf numFmtId="43" fontId="74" fillId="0" borderId="0"/>
    <xf numFmtId="43" fontId="55" fillId="0" borderId="0"/>
    <xf numFmtId="43" fontId="55" fillId="0" borderId="0"/>
    <xf numFmtId="43" fontId="55" fillId="0" borderId="0"/>
    <xf numFmtId="43" fontId="74" fillId="0" borderId="0"/>
    <xf numFmtId="43" fontId="74"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1" fillId="13" borderId="71" applyAlignment="1">
      <alignment horizontal="left" vertical="center" indent="1"/>
    </xf>
    <xf numFmtId="0" fontId="1" fillId="13" borderId="71" applyAlignment="1">
      <alignment horizontal="left" vertical="center" indent="1"/>
    </xf>
    <xf numFmtId="0" fontId="77" fillId="30" borderId="73"/>
    <xf numFmtId="0" fontId="77" fillId="30" borderId="73"/>
    <xf numFmtId="0" fontId="77" fillId="30" borderId="73"/>
    <xf numFmtId="0" fontId="77" fillId="30" borderId="73"/>
    <xf numFmtId="0" fontId="77" fillId="30" borderId="73"/>
    <xf numFmtId="0" fontId="77" fillId="30" borderId="73"/>
    <xf numFmtId="0" fontId="77" fillId="30" borderId="73"/>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center" indent="1"/>
    </xf>
    <xf numFmtId="0" fontId="77" fillId="16" borderId="73"/>
    <xf numFmtId="0" fontId="77" fillId="16" borderId="73"/>
    <xf numFmtId="0" fontId="77" fillId="16" borderId="73"/>
    <xf numFmtId="0" fontId="77" fillId="16" borderId="73"/>
    <xf numFmtId="0" fontId="77" fillId="16" borderId="73"/>
    <xf numFmtId="0" fontId="77" fillId="16" borderId="73"/>
    <xf numFmtId="0" fontId="77" fillId="16" borderId="73"/>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73" fillId="0" borderId="0"/>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73" fillId="0" borderId="0"/>
    <xf numFmtId="0" fontId="73" fillId="0" borderId="0"/>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73" fillId="0" borderId="0"/>
    <xf numFmtId="0" fontId="73" fillId="0" borderId="0"/>
    <xf numFmtId="0" fontId="73" fillId="0" borderId="0" applyAlignment="1">
      <alignmen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42" borderId="71" applyAlignment="1">
      <alignment horizontal="right" vertical="center"/>
    </xf>
    <xf numFmtId="0" fontId="73" fillId="0" borderId="0"/>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73" fillId="0" borderId="0"/>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77" fillId="17" borderId="73"/>
    <xf numFmtId="0" fontId="77" fillId="17" borderId="73"/>
    <xf numFmtId="0" fontId="77" fillId="17" borderId="73"/>
    <xf numFmtId="0" fontId="77" fillId="17" borderId="73"/>
    <xf numFmtId="0" fontId="77" fillId="17" borderId="73"/>
    <xf numFmtId="0" fontId="77" fillId="17" borderId="73"/>
    <xf numFmtId="0" fontId="77" fillId="17" borderId="73"/>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1" fillId="0" borderId="70" applyAlignment="1">
      <alignment horizontal="left" vertical="center"/>
    </xf>
    <xf numFmtId="0" fontId="81" fillId="0" borderId="70" applyAlignment="1">
      <alignment horizontal="lef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73" fillId="0" borderId="0"/>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73" fillId="0" borderId="0" applyAlignment="1">
      <alignment vertical="center"/>
    </xf>
    <xf numFmtId="0" fontId="1" fillId="13" borderId="71" applyAlignment="1">
      <alignment horizontal="left" vertical="top" indent="1"/>
    </xf>
    <xf numFmtId="0" fontId="73" fillId="0" borderId="0" applyAlignment="1">
      <alignment vertical="center"/>
    </xf>
    <xf numFmtId="0" fontId="73" fillId="0" borderId="0" applyAlignment="1">
      <alignment vertical="center"/>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73" fillId="0" borderId="0" applyAlignment="1">
      <alignment vertical="center"/>
    </xf>
    <xf numFmtId="0" fontId="73" fillId="0" borderId="0" applyAlignment="1">
      <alignment vertical="center"/>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107" fillId="0" borderId="0"/>
    <xf numFmtId="0" fontId="31" fillId="16" borderId="71" applyAlignment="1">
      <alignment vertical="center"/>
    </xf>
    <xf numFmtId="0" fontId="31" fillId="16" borderId="71" applyAlignment="1">
      <alignment vertical="center"/>
    </xf>
    <xf numFmtId="0" fontId="31" fillId="16" borderId="71" applyAlignment="1">
      <alignment vertical="center"/>
    </xf>
    <xf numFmtId="0" fontId="90" fillId="16" borderId="71" applyAlignment="1">
      <alignment vertical="center"/>
    </xf>
    <xf numFmtId="0" fontId="90" fillId="16" borderId="71" applyAlignment="1">
      <alignment vertical="center"/>
    </xf>
    <xf numFmtId="0" fontId="107" fillId="0" borderId="0" applyAlignment="1">
      <alignment vertical="center"/>
    </xf>
    <xf numFmtId="0" fontId="107" fillId="0" borderId="0" applyAlignment="1">
      <alignment vertical="center"/>
    </xf>
    <xf numFmtId="0" fontId="1" fillId="13" borderId="71" applyAlignment="1">
      <alignment horizontal="left" vertical="center" indent="1"/>
    </xf>
    <xf numFmtId="0" fontId="31" fillId="34" borderId="71" applyAlignment="1">
      <alignment horizontal="right" vertical="center"/>
    </xf>
    <xf numFmtId="0" fontId="31" fillId="41" borderId="71" applyAlignment="1">
      <alignment horizontal="right" vertical="center"/>
    </xf>
    <xf numFmtId="43" fontId="73" fillId="0" borderId="0"/>
    <xf numFmtId="43" fontId="73" fillId="0" borderId="0"/>
    <xf numFmtId="43" fontId="73" fillId="0" borderId="0"/>
    <xf numFmtId="43" fontId="138" fillId="0" borderId="0"/>
    <xf numFmtId="43" fontId="1" fillId="0" borderId="0"/>
    <xf numFmtId="43" fontId="61" fillId="0" borderId="0"/>
    <xf numFmtId="43" fontId="61" fillId="0" borderId="0"/>
    <xf numFmtId="43" fontId="61" fillId="0" borderId="0"/>
    <xf numFmtId="43" fontId="55" fillId="0" borderId="0"/>
    <xf numFmtId="43" fontId="55" fillId="0" borderId="0"/>
    <xf numFmtId="43" fontId="61" fillId="0" borderId="0"/>
    <xf numFmtId="43" fontId="1"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73" fillId="0" borderId="0"/>
    <xf numFmtId="43" fontId="138" fillId="0" borderId="0"/>
    <xf numFmtId="43" fontId="138" fillId="0" borderId="0"/>
    <xf numFmtId="43" fontId="138" fillId="0" borderId="0"/>
    <xf numFmtId="43" fontId="138" fillId="0" borderId="0"/>
    <xf numFmtId="43" fontId="73" fillId="0" borderId="0"/>
    <xf numFmtId="43" fontId="73" fillId="0" borderId="0"/>
    <xf numFmtId="43" fontId="138" fillId="0" borderId="0"/>
    <xf numFmtId="43" fontId="138" fillId="0" borderId="0"/>
    <xf numFmtId="43" fontId="73" fillId="0" borderId="0"/>
    <xf numFmtId="43" fontId="73" fillId="0" borderId="0"/>
    <xf numFmtId="43" fontId="73" fillId="0" borderId="0"/>
    <xf numFmtId="43" fontId="138" fillId="0" borderId="0"/>
    <xf numFmtId="43" fontId="138" fillId="0" borderId="0"/>
    <xf numFmtId="43" fontId="138" fillId="0" borderId="0"/>
    <xf numFmtId="43" fontId="73"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138"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138"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0" fontId="31" fillId="36" borderId="71" applyAlignment="1">
      <alignment horizontal="right" vertical="center"/>
    </xf>
    <xf numFmtId="0" fontId="31" fillId="25" borderId="71" applyAlignment="1">
      <alignment horizontal="right" vertical="center"/>
    </xf>
    <xf numFmtId="0" fontId="31" fillId="41" borderId="71" applyAlignment="1">
      <alignment horizontal="right" vertical="center"/>
    </xf>
    <xf numFmtId="43" fontId="138" fillId="0" borderId="0"/>
    <xf numFmtId="0" fontId="73" fillId="0" borderId="0"/>
    <xf numFmtId="0" fontId="73" fillId="0" borderId="0"/>
    <xf numFmtId="0" fontId="31" fillId="42" borderId="71" applyAlignment="1">
      <alignment horizontal="right" vertical="center"/>
    </xf>
    <xf numFmtId="0" fontId="1" fillId="0" borderId="73"/>
    <xf numFmtId="0" fontId="1" fillId="0" borderId="73"/>
    <xf numFmtId="0" fontId="1" fillId="0" borderId="73"/>
    <xf numFmtId="0" fontId="1" fillId="0" borderId="73"/>
    <xf numFmtId="0" fontId="1" fillId="0" borderId="73"/>
    <xf numFmtId="0" fontId="1" fillId="0" borderId="73"/>
    <xf numFmtId="0" fontId="1" fillId="0" borderId="73"/>
    <xf numFmtId="0" fontId="31" fillId="42" borderId="71" applyAlignment="1">
      <alignment horizontal="right" vertical="center"/>
    </xf>
    <xf numFmtId="0" fontId="138" fillId="0" borderId="0"/>
    <xf numFmtId="0" fontId="31" fillId="34" borderId="71" applyAlignment="1">
      <alignment horizontal="righ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43" fontId="138" fillId="0" borderId="0"/>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146" fillId="0" borderId="0"/>
  </cellStyleXfs>
  <cellXfs count="1098">
    <xf numFmtId="0" fontId="0" fillId="0" borderId="0" pivotButton="0" quotePrefix="0" xfId="0"/>
    <xf numFmtId="0" fontId="1" fillId="0" borderId="0" pivotButton="0" quotePrefix="0" xfId="1"/>
    <xf numFmtId="0" fontId="2" fillId="2" borderId="0" applyAlignment="1" applyProtection="1" pivotButton="0" quotePrefix="0" xfId="0">
      <alignment vertical="center"/>
      <protection locked="0" hidden="0"/>
    </xf>
    <xf numFmtId="0" fontId="1" fillId="0" borderId="0" applyAlignment="1" applyProtection="1" pivotButton="0" quotePrefix="0" xfId="0">
      <alignment horizontal="center" vertical="center" wrapText="1"/>
      <protection locked="0" hidden="0"/>
    </xf>
    <xf numFmtId="0" fontId="1" fillId="0" borderId="0" applyAlignment="1" applyProtection="1" pivotButton="0" quotePrefix="0" xfId="0">
      <alignment vertical="center"/>
      <protection locked="0" hidden="0"/>
    </xf>
    <xf numFmtId="0" fontId="2" fillId="0" borderId="0" applyAlignment="1" applyProtection="1" pivotButton="0" quotePrefix="0" xfId="0">
      <alignment vertical="center"/>
      <protection locked="0" hidden="0"/>
    </xf>
    <xf numFmtId="0" fontId="2" fillId="0" borderId="0" applyAlignment="1" pivotButton="0" quotePrefix="0" xfId="2">
      <alignment vertical="center"/>
    </xf>
    <xf numFmtId="0" fontId="2" fillId="0" borderId="0" applyAlignment="1" pivotButton="0" quotePrefix="0" xfId="2">
      <alignment vertical="center" shrinkToFit="1"/>
    </xf>
    <xf numFmtId="43" fontId="1" fillId="0" borderId="0" applyAlignment="1" pivotButton="0" quotePrefix="0" xfId="2">
      <alignment vertical="center" shrinkToFit="1"/>
    </xf>
    <xf numFmtId="0" fontId="1" fillId="0" borderId="0" applyAlignment="1" pivotButton="0" quotePrefix="0" xfId="2">
      <alignment vertical="center"/>
    </xf>
    <xf numFmtId="0" fontId="1" fillId="0" borderId="0" applyAlignment="1" applyProtection="1" pivotButton="0" quotePrefix="0" xfId="3">
      <alignment horizontal="center" vertical="center" wrapText="1"/>
      <protection locked="0" hidden="0"/>
    </xf>
    <xf numFmtId="43" fontId="1" fillId="0" borderId="0" applyAlignment="1" applyProtection="1" pivotButton="0" quotePrefix="0" xfId="3">
      <alignment horizontal="right" vertical="center" shrinkToFit="1"/>
      <protection locked="0" hidden="0"/>
    </xf>
    <xf numFmtId="43" fontId="1" fillId="0" borderId="0" applyAlignment="1" applyProtection="1" pivotButton="0" quotePrefix="0" xfId="4">
      <alignment horizontal="right" vertical="center" shrinkToFit="1"/>
      <protection locked="0" hidden="0"/>
    </xf>
    <xf numFmtId="0" fontId="2" fillId="0" borderId="0" applyAlignment="1" pivotButton="0" quotePrefix="0" xfId="5">
      <alignment vertical="center"/>
    </xf>
    <xf numFmtId="0" fontId="1" fillId="0" borderId="0" applyAlignment="1" applyProtection="1" pivotButton="0" quotePrefix="0" xfId="6">
      <alignment horizontal="center" vertical="center" wrapText="1"/>
      <protection locked="0" hidden="0"/>
    </xf>
    <xf numFmtId="43" fontId="1" fillId="0" borderId="0" applyAlignment="1" applyProtection="1" pivotButton="0" quotePrefix="0" xfId="6">
      <alignment horizontal="right" vertical="center" shrinkToFit="1"/>
      <protection locked="0" hidden="0"/>
    </xf>
    <xf numFmtId="43" fontId="1" fillId="0" borderId="0" applyAlignment="1" applyProtection="1" pivotButton="0" quotePrefix="0" xfId="7">
      <alignment horizontal="right" vertical="center" shrinkToFit="1"/>
      <protection locked="0" hidden="0"/>
    </xf>
    <xf numFmtId="0" fontId="1" fillId="0" borderId="0" applyAlignment="1" applyProtection="1" pivotButton="0" quotePrefix="0" xfId="3">
      <alignment horizontal="center" vertical="center"/>
      <protection locked="0" hidden="0"/>
    </xf>
    <xf numFmtId="0" fontId="1" fillId="0" borderId="0" applyAlignment="1" applyProtection="1" pivotButton="0" quotePrefix="0" xfId="8">
      <alignment horizontal="center" vertical="center"/>
      <protection locked="0" hidden="0"/>
    </xf>
    <xf numFmtId="0" fontId="1" fillId="0" borderId="0" applyAlignment="1" applyProtection="1" pivotButton="0" quotePrefix="0" xfId="6">
      <alignment horizontal="center" vertical="center"/>
      <protection locked="0" hidden="0"/>
    </xf>
    <xf numFmtId="0" fontId="2" fillId="0" borderId="0" applyAlignment="1" pivotButton="0" quotePrefix="0" xfId="0">
      <alignment vertical="center"/>
    </xf>
    <xf numFmtId="0" fontId="1" fillId="0" borderId="0" pivotButton="0" quotePrefix="0" xfId="0"/>
    <xf numFmtId="43" fontId="2" fillId="0" borderId="0" applyAlignment="1" pivotButton="0" quotePrefix="0" xfId="7">
      <alignment vertical="center"/>
    </xf>
    <xf numFmtId="0" fontId="2" fillId="2" borderId="0" applyAlignment="1" pivotButton="0" quotePrefix="0" xfId="10">
      <alignment vertical="center"/>
    </xf>
    <xf numFmtId="0" fontId="2" fillId="0" borderId="0" applyAlignment="1" applyProtection="1" pivotButton="0" quotePrefix="0" xfId="10">
      <alignment vertical="center"/>
      <protection locked="0" hidden="0"/>
    </xf>
    <xf numFmtId="0" fontId="2" fillId="2" borderId="0" applyAlignment="1" pivotButton="0" quotePrefix="0" xfId="10">
      <alignment horizontal="left" vertical="center" wrapText="1"/>
    </xf>
    <xf numFmtId="0" fontId="2" fillId="2" borderId="0" applyAlignment="1" pivotButton="0" quotePrefix="0" xfId="10">
      <alignment vertical="center" wrapText="1"/>
    </xf>
    <xf numFmtId="164" fontId="2" fillId="0" borderId="0" applyAlignment="1" pivotButton="0" quotePrefix="0" xfId="11">
      <alignment vertical="center"/>
    </xf>
    <xf numFmtId="43" fontId="1" fillId="0" borderId="0" applyAlignment="1" applyProtection="1" pivotButton="0" quotePrefix="0" xfId="7">
      <alignment horizontal="right" vertical="center" shrinkToFit="1"/>
      <protection locked="0" hidden="0"/>
    </xf>
    <xf numFmtId="43" fontId="2" fillId="0" borderId="0" applyAlignment="1" pivotButton="0" quotePrefix="0" xfId="7">
      <alignment vertical="center"/>
    </xf>
    <xf numFmtId="43" fontId="2" fillId="0" borderId="0" applyAlignment="1" pivotButton="0" quotePrefix="0" xfId="12">
      <alignment vertical="center"/>
    </xf>
    <xf numFmtId="43" fontId="2" fillId="0" borderId="0" applyAlignment="1" pivotButton="0" quotePrefix="0" xfId="13">
      <alignment vertical="center"/>
    </xf>
    <xf numFmtId="0" fontId="2" fillId="0" borderId="0" applyAlignment="1" applyProtection="1" pivotButton="0" quotePrefix="0" xfId="0">
      <alignment horizontal="center" vertical="center"/>
      <protection locked="0" hidden="0"/>
    </xf>
    <xf numFmtId="0" fontId="2" fillId="0" borderId="0" applyAlignment="1" applyProtection="1" pivotButton="0" quotePrefix="0" xfId="0">
      <alignment horizontal="left" vertical="center"/>
      <protection locked="0" hidden="0"/>
    </xf>
    <xf numFmtId="0" fontId="2" fillId="0" borderId="0" applyAlignment="1" applyProtection="1" pivotButton="0" quotePrefix="0" xfId="0">
      <alignment horizontal="left"/>
      <protection locked="0" hidden="0"/>
    </xf>
    <xf numFmtId="0" fontId="6" fillId="0" borderId="0" applyAlignment="1" applyProtection="1" pivotButton="0" quotePrefix="0" xfId="0">
      <alignment horizontal="left" vertical="center"/>
      <protection locked="0" hidden="0"/>
    </xf>
    <xf numFmtId="0" fontId="8" fillId="0" borderId="0" applyAlignment="1" applyProtection="1" pivotButton="0" quotePrefix="0" xfId="20">
      <alignment horizontal="center" vertical="center"/>
      <protection locked="0" hidden="0"/>
    </xf>
    <xf numFmtId="0" fontId="2" fillId="0" borderId="0" applyProtection="1" pivotButton="0" quotePrefix="0" xfId="0">
      <protection locked="0" hidden="0"/>
    </xf>
    <xf numFmtId="0" fontId="8" fillId="0" borderId="0" applyProtection="1" pivotButton="0" quotePrefix="0" xfId="1326">
      <protection locked="0" hidden="0"/>
    </xf>
    <xf numFmtId="0" fontId="8" fillId="0" borderId="0" applyAlignment="1" applyProtection="1" pivotButton="0" quotePrefix="0" xfId="1326">
      <alignment vertical="center" wrapText="1"/>
      <protection locked="0" hidden="0"/>
    </xf>
    <xf numFmtId="0" fontId="2" fillId="4" borderId="5" applyAlignment="1" applyProtection="1" pivotButton="0" quotePrefix="0" xfId="0">
      <alignment vertical="center"/>
      <protection locked="0" hidden="0"/>
    </xf>
    <xf numFmtId="0" fontId="2" fillId="4" borderId="6" applyAlignment="1" applyProtection="1" pivotButton="0" quotePrefix="0" xfId="0">
      <alignment horizontal="left" vertical="center"/>
      <protection locked="0" hidden="0"/>
    </xf>
    <xf numFmtId="0" fontId="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2" fillId="2" borderId="0" applyAlignment="1" applyProtection="1" pivotButton="0" quotePrefix="0" xfId="0">
      <alignment horizontal="left"/>
      <protection locked="0" hidden="0"/>
    </xf>
    <xf numFmtId="0" fontId="2" fillId="0" borderId="0" applyAlignment="1" applyProtection="1" pivotButton="0" quotePrefix="0" xfId="0">
      <alignment horizontal="center" vertical="center" wrapText="1"/>
      <protection locked="0" hidden="0"/>
    </xf>
    <xf numFmtId="0" fontId="2" fillId="0" borderId="5" applyAlignment="1" applyProtection="1" pivotButton="0" quotePrefix="0" xfId="0">
      <alignment horizontal="left" vertical="center"/>
      <protection locked="0" hidden="0"/>
    </xf>
    <xf numFmtId="0" fontId="2" fillId="0" borderId="16" applyAlignment="1" applyProtection="1" pivotButton="0" quotePrefix="0" xfId="0">
      <alignment horizontal="center" vertical="center"/>
      <protection locked="0" hidden="0"/>
    </xf>
    <xf numFmtId="0" fontId="14" fillId="4" borderId="0" applyAlignment="1" pivotButton="0" quotePrefix="0" xfId="1326">
      <alignment vertical="center"/>
    </xf>
    <xf numFmtId="0" fontId="18" fillId="0" borderId="2" applyAlignment="1" pivotButton="0" quotePrefix="0" xfId="0">
      <alignment vertical="center"/>
    </xf>
    <xf numFmtId="0" fontId="16" fillId="0" borderId="0" applyAlignment="1" pivotButton="0" quotePrefix="0" xfId="29">
      <alignment vertical="center"/>
    </xf>
    <xf numFmtId="0" fontId="18" fillId="0" borderId="3" applyAlignment="1" pivotButton="0" quotePrefix="0" xfId="2">
      <alignment vertical="center"/>
    </xf>
    <xf numFmtId="0" fontId="7" fillId="0" borderId="0" applyAlignment="1" pivotButton="0" quotePrefix="0" xfId="2">
      <alignment horizontal="left" vertical="center"/>
    </xf>
    <xf numFmtId="0" fontId="6" fillId="0" borderId="0" applyAlignment="1" pivotButton="0" quotePrefix="0" xfId="2">
      <alignment horizontal="center" vertical="center"/>
    </xf>
    <xf numFmtId="0" fontId="13" fillId="0" borderId="0" applyAlignment="1" pivotButton="0" quotePrefix="0" xfId="0">
      <alignment vertical="center"/>
    </xf>
    <xf numFmtId="43" fontId="1" fillId="0" borderId="0" applyAlignment="1" applyProtection="1" pivotButton="0" quotePrefix="0" xfId="33">
      <alignment horizontal="center" vertical="center" shrinkToFit="1"/>
      <protection locked="0" hidden="0"/>
    </xf>
    <xf numFmtId="43" fontId="2" fillId="0" borderId="0" applyAlignment="1" applyProtection="1" pivotButton="0" quotePrefix="0" xfId="6">
      <alignment horizontal="right" vertical="center" shrinkToFit="1"/>
      <protection locked="0" hidden="0"/>
    </xf>
    <xf numFmtId="0" fontId="1" fillId="0" borderId="0" applyAlignment="1" pivotButton="0" quotePrefix="0" xfId="38">
      <alignment vertical="center"/>
    </xf>
    <xf numFmtId="0" fontId="9" fillId="0" borderId="0" applyAlignment="1" applyProtection="1" pivotButton="0" quotePrefix="0" xfId="6">
      <alignment horizontal="left" vertical="center"/>
      <protection locked="0" hidden="0"/>
    </xf>
    <xf numFmtId="0" fontId="6" fillId="0" borderId="0" applyAlignment="1" applyProtection="1" pivotButton="0" quotePrefix="0" xfId="6">
      <alignment horizontal="left" vertical="center"/>
      <protection locked="0" hidden="0"/>
    </xf>
    <xf numFmtId="0" fontId="28" fillId="0" borderId="0" applyAlignment="1" applyProtection="1" pivotButton="0" quotePrefix="0" xfId="39">
      <alignment vertical="center"/>
      <protection locked="0" hidden="0"/>
    </xf>
    <xf numFmtId="0" fontId="2" fillId="0" borderId="0" applyAlignment="1" pivotButton="0" quotePrefix="0" xfId="3">
      <alignment vertical="center"/>
    </xf>
    <xf numFmtId="0" fontId="2" fillId="0" borderId="0" applyAlignment="1" applyProtection="1" pivotButton="0" quotePrefix="0" xfId="3">
      <alignment vertical="center"/>
      <protection locked="0" hidden="0"/>
    </xf>
    <xf numFmtId="0" fontId="2" fillId="0" borderId="0" applyAlignment="1" pivotButton="0" quotePrefix="0" xfId="5">
      <alignment horizontal="left" vertical="center" wrapText="1"/>
    </xf>
    <xf numFmtId="0" fontId="2" fillId="0" borderId="0" applyAlignment="1" pivotButton="0" quotePrefix="0" xfId="5">
      <alignment horizontal="left" vertical="center"/>
    </xf>
    <xf numFmtId="9" fontId="2" fillId="0" borderId="0" applyAlignment="1" pivotButton="0" quotePrefix="0" xfId="5">
      <alignment horizontal="left" vertical="center"/>
    </xf>
    <xf numFmtId="9" fontId="2" fillId="0" borderId="0" applyAlignment="1" applyProtection="1" pivotButton="0" quotePrefix="0" xfId="3">
      <alignment vertical="center"/>
      <protection locked="0" hidden="0"/>
    </xf>
    <xf numFmtId="9" fontId="2" fillId="0" borderId="0" applyAlignment="1" applyProtection="1" pivotButton="0" quotePrefix="0" xfId="40">
      <alignment vertical="center"/>
      <protection locked="0" hidden="0"/>
    </xf>
    <xf numFmtId="0" fontId="1" fillId="0" borderId="0" applyAlignment="1" applyProtection="1" pivotButton="0" quotePrefix="0" xfId="3">
      <alignment vertical="center"/>
      <protection locked="0" hidden="0"/>
    </xf>
    <xf numFmtId="9" fontId="2" fillId="0" borderId="0" applyAlignment="1" pivotButton="0" quotePrefix="0" xfId="40">
      <alignment vertical="center"/>
    </xf>
    <xf numFmtId="0" fontId="1" fillId="0" borderId="0" applyAlignment="1" pivotButton="0" quotePrefix="0" xfId="41">
      <alignment horizontal="left" vertical="center"/>
    </xf>
    <xf numFmtId="0" fontId="18" fillId="0" borderId="2" applyAlignment="1" pivotButton="0" quotePrefix="0" xfId="1">
      <alignment vertical="center"/>
    </xf>
    <xf numFmtId="0" fontId="18" fillId="0" borderId="0" applyAlignment="1" pivotButton="0" quotePrefix="0" xfId="1">
      <alignment vertical="center"/>
    </xf>
    <xf numFmtId="0" fontId="18" fillId="0" borderId="3" applyAlignment="1" pivotButton="0" quotePrefix="0" xfId="1">
      <alignment vertical="center"/>
    </xf>
    <xf numFmtId="43" fontId="2" fillId="0" borderId="0" applyAlignment="1" pivotButton="0" quotePrefix="0" xfId="5">
      <alignment vertical="center" shrinkToFit="1"/>
    </xf>
    <xf numFmtId="9" fontId="2" fillId="0" borderId="0" applyAlignment="1" pivotButton="0" quotePrefix="0" xfId="40">
      <alignment vertical="center" shrinkToFit="1"/>
    </xf>
    <xf numFmtId="0" fontId="2" fillId="0" borderId="0" applyAlignment="1" pivotButton="0" quotePrefix="0" xfId="1">
      <alignment horizontal="center" vertical="center" wrapText="1"/>
    </xf>
    <xf numFmtId="0" fontId="2" fillId="0" borderId="0" applyAlignment="1" pivotButton="0" quotePrefix="0" xfId="1">
      <alignment horizontal="center" vertical="center"/>
    </xf>
    <xf numFmtId="0" fontId="1" fillId="0" borderId="0" applyAlignment="1" pivotButton="0" quotePrefix="0" xfId="1">
      <alignment vertical="center"/>
    </xf>
    <xf numFmtId="0" fontId="2" fillId="0" borderId="0" applyAlignment="1" pivotButton="0" quotePrefix="0" xfId="5">
      <alignment vertical="center" shrinkToFit="1"/>
    </xf>
    <xf numFmtId="0" fontId="1" fillId="0" borderId="0" applyAlignment="1" pivotButton="0" quotePrefix="0" xfId="5">
      <alignment vertical="center" shrinkToFit="1"/>
    </xf>
    <xf numFmtId="0" fontId="1" fillId="0" borderId="0" applyAlignment="1" pivotButton="0" quotePrefix="0" xfId="41">
      <alignment horizontal="left" vertical="center" wrapText="1"/>
    </xf>
    <xf numFmtId="43" fontId="1" fillId="0" borderId="0" applyAlignment="1" pivotButton="0" quotePrefix="0" xfId="5">
      <alignment vertical="center" shrinkToFit="1"/>
    </xf>
    <xf numFmtId="0" fontId="2" fillId="0" borderId="0" applyAlignment="1" pivotButton="0" quotePrefix="0" xfId="42">
      <alignment vertical="center"/>
    </xf>
    <xf numFmtId="0" fontId="18" fillId="0" borderId="4" applyAlignment="1" pivotButton="0" quotePrefix="0" xfId="1">
      <alignment vertical="center"/>
    </xf>
    <xf numFmtId="0" fontId="18" fillId="0" borderId="5" applyAlignment="1" pivotButton="0" quotePrefix="0" xfId="1">
      <alignment vertical="center"/>
    </xf>
    <xf numFmtId="0" fontId="18" fillId="0" borderId="6" applyAlignment="1" pivotButton="0" quotePrefix="0" xfId="1">
      <alignment vertical="center"/>
    </xf>
    <xf numFmtId="0" fontId="6" fillId="0" borderId="0" applyAlignment="1" pivotButton="0" quotePrefix="0" xfId="1">
      <alignment vertical="center"/>
    </xf>
    <xf numFmtId="0" fontId="6" fillId="0" borderId="0" applyAlignment="1" applyProtection="1" pivotButton="0" quotePrefix="0" xfId="3">
      <alignment horizontal="center" vertical="center"/>
      <protection locked="0" hidden="0"/>
    </xf>
    <xf numFmtId="49" fontId="6" fillId="0" borderId="0" applyAlignment="1" applyProtection="1" pivotButton="0" quotePrefix="0" xfId="3">
      <alignment horizontal="center" vertical="center" shrinkToFit="1"/>
      <protection locked="0" hidden="0"/>
    </xf>
    <xf numFmtId="49" fontId="6" fillId="0" borderId="0" applyAlignment="1" applyProtection="1" pivotButton="0" quotePrefix="0" xfId="3">
      <alignment horizontal="center" vertical="center" wrapText="1"/>
      <protection locked="0" hidden="0"/>
    </xf>
    <xf numFmtId="43" fontId="6" fillId="0" borderId="0" applyAlignment="1" applyProtection="1" pivotButton="0" quotePrefix="0" xfId="3">
      <alignment horizontal="center" vertical="center" shrinkToFit="1"/>
      <protection locked="0" hidden="0"/>
    </xf>
    <xf numFmtId="43" fontId="6" fillId="0" borderId="0" applyAlignment="1" applyProtection="1" pivotButton="0" quotePrefix="0" xfId="3">
      <alignment horizontal="right" vertical="center" wrapText="1"/>
      <protection locked="0" hidden="0"/>
    </xf>
    <xf numFmtId="43" fontId="6" fillId="0" borderId="0" applyAlignment="1" applyProtection="1" pivotButton="0" quotePrefix="0" xfId="3">
      <alignment horizontal="right" vertical="center" shrinkToFit="1"/>
      <protection locked="0" hidden="0"/>
    </xf>
    <xf numFmtId="10" fontId="6" fillId="0" borderId="0" applyAlignment="1" applyProtection="1" pivotButton="0" quotePrefix="0" xfId="3">
      <alignment horizontal="right" vertical="center" shrinkToFit="1"/>
      <protection locked="0" hidden="0"/>
    </xf>
    <xf numFmtId="10" fontId="6" fillId="0" borderId="0" applyAlignment="1" applyProtection="1" pivotButton="0" quotePrefix="0" xfId="40">
      <alignment horizontal="center" vertical="center" shrinkToFit="1"/>
      <protection locked="0" hidden="0"/>
    </xf>
    <xf numFmtId="9" fontId="6" fillId="0" borderId="0" applyAlignment="1" applyProtection="1" pivotButton="0" quotePrefix="0" xfId="40">
      <alignment horizontal="center" vertical="center" shrinkToFit="1"/>
      <protection locked="0" hidden="0"/>
    </xf>
    <xf numFmtId="0" fontId="6" fillId="0" borderId="0" applyAlignment="1" applyProtection="1" pivotButton="0" quotePrefix="0" xfId="3">
      <alignment horizontal="center" vertical="center" shrinkToFit="1"/>
      <protection locked="0" hidden="0"/>
    </xf>
    <xf numFmtId="49" fontId="1" fillId="0" borderId="13" applyAlignment="1" pivotButton="0" quotePrefix="0" xfId="3">
      <alignment horizontal="left" vertical="center" shrinkToFit="1"/>
    </xf>
    <xf numFmtId="49" fontId="1" fillId="0" borderId="8" applyAlignment="1" pivotButton="0" quotePrefix="0" xfId="3">
      <alignment horizontal="left" vertical="center" shrinkToFit="1"/>
    </xf>
    <xf numFmtId="49" fontId="1" fillId="0" borderId="14" applyAlignment="1" pivotButton="0" quotePrefix="0" xfId="3">
      <alignment horizontal="left" vertical="center" shrinkToFit="1"/>
    </xf>
    <xf numFmtId="43" fontId="1" fillId="0" borderId="13" applyAlignment="1" pivotButton="0" quotePrefix="0" xfId="3">
      <alignment horizontal="right" vertical="center" shrinkToFit="1"/>
    </xf>
    <xf numFmtId="43" fontId="1" fillId="0" borderId="8" applyAlignment="1" pivotButton="0" quotePrefix="0" xfId="3">
      <alignment horizontal="right" vertical="center" shrinkToFit="1"/>
    </xf>
    <xf numFmtId="10" fontId="1" fillId="0" borderId="8" applyAlignment="1" pivotButton="0" quotePrefix="0" xfId="3">
      <alignment horizontal="right" vertical="center" shrinkToFit="1"/>
    </xf>
    <xf numFmtId="43" fontId="1" fillId="0" borderId="11" applyAlignment="1" pivotButton="0" quotePrefix="0" xfId="3">
      <alignment horizontal="right" vertical="center" shrinkToFit="1"/>
    </xf>
    <xf numFmtId="49" fontId="1" fillId="0" borderId="11" applyAlignment="1" pivotButton="0" quotePrefix="0" xfId="3">
      <alignment horizontal="left" vertical="center" shrinkToFit="1"/>
    </xf>
    <xf numFmtId="0" fontId="1" fillId="0" borderId="2" applyAlignment="1" applyProtection="1" pivotButton="0" quotePrefix="0" xfId="3">
      <alignment horizontal="center" vertical="center"/>
      <protection locked="0" hidden="0"/>
    </xf>
    <xf numFmtId="9" fontId="2" fillId="0" borderId="0" applyAlignment="1" pivotButton="0" quotePrefix="0" xfId="40">
      <alignment vertical="center"/>
    </xf>
    <xf numFmtId="0" fontId="31" fillId="5" borderId="7" applyAlignment="1" applyProtection="1" pivotButton="0" quotePrefix="0" xfId="3">
      <alignment horizontal="center" vertical="top" wrapText="1"/>
      <protection locked="0" hidden="0"/>
    </xf>
    <xf numFmtId="0" fontId="31" fillId="5" borderId="10" applyAlignment="1" applyProtection="1" pivotButton="0" quotePrefix="0" xfId="3">
      <alignment horizontal="center" vertical="top" wrapText="1"/>
      <protection locked="0" hidden="0"/>
    </xf>
    <xf numFmtId="0" fontId="31" fillId="0" borderId="9" applyAlignment="1" applyProtection="1" pivotButton="0" quotePrefix="0" xfId="3">
      <alignment horizontal="center" vertical="center" wrapText="1"/>
      <protection locked="0" hidden="0"/>
    </xf>
    <xf numFmtId="49" fontId="31" fillId="4" borderId="9" applyAlignment="1" applyProtection="1" pivotButton="0" quotePrefix="0" xfId="3">
      <alignment horizontal="center" vertical="center" wrapText="1"/>
      <protection locked="0" hidden="0"/>
    </xf>
    <xf numFmtId="49" fontId="31" fillId="0" borderId="22" applyAlignment="1" applyProtection="1" pivotButton="0" quotePrefix="0" xfId="3">
      <alignment horizontal="center" vertical="center" wrapText="1"/>
      <protection locked="0" hidden="0"/>
    </xf>
    <xf numFmtId="0" fontId="31" fillId="0" borderId="24" applyAlignment="1" applyProtection="1" pivotButton="0" quotePrefix="0" xfId="3">
      <alignment horizontal="center" vertical="center" wrapText="1"/>
      <protection locked="0" hidden="0"/>
    </xf>
    <xf numFmtId="0" fontId="6" fillId="4" borderId="12" applyAlignment="1" applyProtection="1" pivotButton="0" quotePrefix="0" xfId="3">
      <alignment horizontal="center" vertical="top" wrapText="1"/>
      <protection locked="0" hidden="0"/>
    </xf>
    <xf numFmtId="0" fontId="1" fillId="0" borderId="2" applyAlignment="1" applyProtection="1" pivotButton="0" quotePrefix="0" xfId="3">
      <alignment horizontal="center" vertical="center" wrapText="1"/>
      <protection locked="0" hidden="0"/>
    </xf>
    <xf numFmtId="0" fontId="2" fillId="0" borderId="0" applyAlignment="1" pivotButton="0" quotePrefix="0" xfId="5">
      <alignment horizontal="center" vertical="center" wrapText="1"/>
    </xf>
    <xf numFmtId="0" fontId="2" fillId="0" borderId="0" applyAlignment="1" applyProtection="1" pivotButton="0" quotePrefix="0" xfId="3">
      <alignment horizontal="center" vertical="center" wrapText="1"/>
      <protection locked="0" hidden="0"/>
    </xf>
    <xf numFmtId="9" fontId="2" fillId="0" borderId="0" applyAlignment="1" pivotButton="0" quotePrefix="0" xfId="40">
      <alignment horizontal="center" vertical="center" wrapText="1"/>
    </xf>
    <xf numFmtId="49" fontId="1" fillId="0" borderId="24" applyAlignment="1" pivotButton="0" quotePrefix="0" xfId="3">
      <alignment horizontal="left" vertical="center" shrinkToFit="1"/>
    </xf>
    <xf numFmtId="43" fontId="1" fillId="0" borderId="25" applyAlignment="1" pivotButton="0" quotePrefix="0" xfId="3">
      <alignment horizontal="right" vertical="center" shrinkToFit="1"/>
    </xf>
    <xf numFmtId="49" fontId="1" fillId="0" borderId="22" applyAlignment="1" pivotButton="0" quotePrefix="0" xfId="3">
      <alignment horizontal="left" vertical="center" shrinkToFit="1"/>
    </xf>
    <xf numFmtId="43" fontId="1" fillId="0" borderId="2" applyAlignment="1" applyProtection="1" pivotButton="0" quotePrefix="0" xfId="3">
      <alignment horizontal="right" vertical="center" shrinkToFit="1"/>
      <protection locked="0" hidden="0"/>
    </xf>
    <xf numFmtId="0" fontId="2" fillId="0" borderId="0" applyAlignment="1" applyProtection="1" pivotButton="0" quotePrefix="0" xfId="3">
      <alignment vertical="center" shrinkToFit="1"/>
      <protection locked="0" hidden="0"/>
    </xf>
    <xf numFmtId="43" fontId="1" fillId="0" borderId="0" applyAlignment="1" applyProtection="1" pivotButton="0" quotePrefix="0" xfId="4">
      <alignment horizontal="right" vertical="center" shrinkToFit="1"/>
      <protection locked="0" hidden="0"/>
    </xf>
    <xf numFmtId="43" fontId="1" fillId="0" borderId="0" applyAlignment="1" applyProtection="1" pivotButton="0" quotePrefix="0" xfId="4">
      <alignment horizontal="center" vertical="center" shrinkToFit="1"/>
      <protection locked="0" hidden="0"/>
    </xf>
    <xf numFmtId="49" fontId="9" fillId="0" borderId="0" applyAlignment="1" applyProtection="1" pivotButton="0" quotePrefix="0" xfId="3">
      <alignment horizontal="center" vertical="center" shrinkToFit="1"/>
      <protection locked="0" hidden="0"/>
    </xf>
    <xf numFmtId="10" fontId="1" fillId="0" borderId="0" applyAlignment="1" pivotButton="0" quotePrefix="0" xfId="40">
      <alignment horizontal="right" vertical="center" shrinkToFit="1"/>
    </xf>
    <xf numFmtId="0" fontId="1" fillId="0" borderId="0" applyAlignment="1" pivotButton="0" quotePrefix="0" xfId="5">
      <alignment vertical="center"/>
    </xf>
    <xf numFmtId="9" fontId="1" fillId="0" borderId="0" applyAlignment="1" pivotButton="0" quotePrefix="0" xfId="40">
      <alignment vertical="center"/>
    </xf>
    <xf numFmtId="43" fontId="31" fillId="0" borderId="0" applyAlignment="1" applyProtection="1" pivotButton="0" quotePrefix="0" xfId="4">
      <alignment horizontal="center" vertical="center" shrinkToFit="1"/>
      <protection locked="0" hidden="0"/>
    </xf>
    <xf numFmtId="0" fontId="6" fillId="0" borderId="0" applyAlignment="1" pivotButton="0" quotePrefix="0" xfId="5">
      <alignment horizontal="center" vertical="center"/>
    </xf>
    <xf numFmtId="9" fontId="31" fillId="0" borderId="0" applyAlignment="1" applyProtection="1" pivotButton="0" quotePrefix="0" xfId="40">
      <alignment horizontal="right" vertical="center" shrinkToFit="1"/>
      <protection locked="0" hidden="0"/>
    </xf>
    <xf numFmtId="43" fontId="2" fillId="0" borderId="0" applyAlignment="1" pivotButton="0" quotePrefix="0" xfId="4">
      <alignment horizontal="right" vertical="center" shrinkToFit="1"/>
    </xf>
    <xf numFmtId="10" fontId="32" fillId="0" borderId="0" applyAlignment="1" pivotButton="0" quotePrefix="0" xfId="40">
      <alignment horizontal="right" vertical="center" shrinkToFit="1"/>
    </xf>
    <xf numFmtId="9" fontId="32" fillId="0" borderId="0" applyAlignment="1" pivotButton="0" quotePrefix="0" xfId="40">
      <alignment horizontal="right" vertical="center" shrinkToFit="1"/>
    </xf>
    <xf numFmtId="43" fontId="31" fillId="0" borderId="0" applyAlignment="1" applyProtection="1" pivotButton="0" quotePrefix="0" xfId="4">
      <alignment horizontal="right" vertical="center" shrinkToFit="1"/>
      <protection locked="0" hidden="0"/>
    </xf>
    <xf numFmtId="0" fontId="6" fillId="0" borderId="0" applyAlignment="1" pivotButton="0" quotePrefix="0" xfId="5">
      <alignment vertical="center"/>
    </xf>
    <xf numFmtId="43" fontId="2" fillId="0" borderId="0" applyAlignment="1" pivotButton="0" quotePrefix="0" xfId="4">
      <alignment vertical="center"/>
    </xf>
    <xf numFmtId="0" fontId="1" fillId="2" borderId="0" applyAlignment="1" applyProtection="1" pivotButton="0" quotePrefix="0" xfId="3">
      <alignment horizontal="center" vertical="center"/>
      <protection locked="0" hidden="0"/>
    </xf>
    <xf numFmtId="0" fontId="9" fillId="0" borderId="0" applyAlignment="1" applyProtection="1" pivotButton="0" quotePrefix="0" xfId="3">
      <alignment horizontal="left" vertical="center"/>
      <protection locked="0" hidden="0"/>
    </xf>
    <xf numFmtId="0" fontId="28" fillId="0" borderId="0" applyAlignment="1" applyProtection="1" pivotButton="0" quotePrefix="0" xfId="47">
      <alignment vertical="center"/>
      <protection locked="0" hidden="0"/>
    </xf>
    <xf numFmtId="0" fontId="2" fillId="0" borderId="0" applyAlignment="1" pivotButton="0" quotePrefix="0" xfId="6">
      <alignment vertical="center"/>
    </xf>
    <xf numFmtId="0" fontId="2" fillId="0" borderId="0" applyAlignment="1" applyProtection="1" pivotButton="0" quotePrefix="0" xfId="6">
      <alignment vertical="center"/>
      <protection locked="0" hidden="0"/>
    </xf>
    <xf numFmtId="0" fontId="2" fillId="0" borderId="0" applyAlignment="1" pivotButton="0" quotePrefix="0" xfId="2">
      <alignment horizontal="left" vertical="center" wrapText="1"/>
    </xf>
    <xf numFmtId="0" fontId="2" fillId="0" borderId="0" applyAlignment="1" pivotButton="0" quotePrefix="0" xfId="2">
      <alignment horizontal="left" vertical="center"/>
    </xf>
    <xf numFmtId="9" fontId="2" fillId="0" borderId="0" applyAlignment="1" pivotButton="0" quotePrefix="0" xfId="2">
      <alignment horizontal="left" vertical="center"/>
    </xf>
    <xf numFmtId="9" fontId="2" fillId="0" borderId="0" applyAlignment="1" applyProtection="1" pivotButton="0" quotePrefix="0" xfId="6">
      <alignment vertical="center"/>
      <protection locked="0" hidden="0"/>
    </xf>
    <xf numFmtId="9" fontId="2" fillId="0" borderId="0" applyAlignment="1" applyProtection="1" pivotButton="0" quotePrefix="0" xfId="48">
      <alignment vertical="center"/>
      <protection locked="0" hidden="0"/>
    </xf>
    <xf numFmtId="0" fontId="1" fillId="0" borderId="0" applyAlignment="1" applyProtection="1" pivotButton="0" quotePrefix="0" xfId="6">
      <alignment vertical="center"/>
      <protection locked="0" hidden="0"/>
    </xf>
    <xf numFmtId="9" fontId="2" fillId="0" borderId="0" applyAlignment="1" pivotButton="0" quotePrefix="0" xfId="48">
      <alignment vertical="center"/>
    </xf>
    <xf numFmtId="0" fontId="1" fillId="0" borderId="0" applyAlignment="1" pivotButton="0" quotePrefix="0" xfId="31">
      <alignment horizontal="left" vertical="center"/>
    </xf>
    <xf numFmtId="0" fontId="18" fillId="0" borderId="0" applyAlignment="1" pivotButton="0" quotePrefix="0" xfId="0">
      <alignment vertical="center"/>
    </xf>
    <xf numFmtId="0" fontId="18" fillId="0" borderId="3" applyAlignment="1" pivotButton="0" quotePrefix="0" xfId="0">
      <alignment vertical="center"/>
    </xf>
    <xf numFmtId="43" fontId="2" fillId="0" borderId="0" applyAlignment="1" pivotButton="0" quotePrefix="0" xfId="2">
      <alignment vertical="center" shrinkToFit="1"/>
    </xf>
    <xf numFmtId="9" fontId="2" fillId="0" borderId="0" applyAlignment="1" pivotButton="0" quotePrefix="0" xfId="48">
      <alignment vertical="center" shrinkToFit="1"/>
    </xf>
    <xf numFmtId="0" fontId="2" fillId="0" borderId="0" applyAlignment="1" pivotButton="0" quotePrefix="0" xfId="0">
      <alignment horizontal="center" vertical="center"/>
    </xf>
    <xf numFmtId="0" fontId="17" fillId="3" borderId="19" applyAlignment="1" applyProtection="1" pivotButton="0" quotePrefix="0" xfId="0">
      <alignment horizontal="left" vertical="center" wrapText="1"/>
      <protection locked="0" hidden="0"/>
    </xf>
    <xf numFmtId="0" fontId="1" fillId="0" borderId="0" applyAlignment="1" pivotButton="0" quotePrefix="0" xfId="0">
      <alignment vertical="center"/>
    </xf>
    <xf numFmtId="0" fontId="1" fillId="0" borderId="0" applyAlignment="1" pivotButton="0" quotePrefix="0" xfId="2">
      <alignment vertical="center" shrinkToFit="1"/>
    </xf>
    <xf numFmtId="0" fontId="1" fillId="0" borderId="0" applyAlignment="1" pivotButton="0" quotePrefix="0" xfId="31">
      <alignment horizontal="left" vertical="center" wrapText="1"/>
    </xf>
    <xf numFmtId="0" fontId="29" fillId="0" borderId="21" applyAlignment="1" applyProtection="1" pivotButton="0" quotePrefix="0" xfId="0">
      <alignment vertical="center" wrapText="1"/>
      <protection locked="0" hidden="0"/>
    </xf>
    <xf numFmtId="0" fontId="2" fillId="0" borderId="0" applyAlignment="1" pivotButton="0" quotePrefix="0" xfId="49">
      <alignment vertical="center"/>
    </xf>
    <xf numFmtId="0" fontId="6" fillId="0" borderId="0" applyAlignment="1" pivotButton="0" quotePrefix="0" xfId="0">
      <alignment vertical="center"/>
    </xf>
    <xf numFmtId="0" fontId="6" fillId="0" borderId="0" applyAlignment="1" applyProtection="1" pivotButton="0" quotePrefix="0" xfId="6">
      <alignment horizontal="center" vertical="center"/>
      <protection locked="0" hidden="0"/>
    </xf>
    <xf numFmtId="0" fontId="30" fillId="0" borderId="0" applyAlignment="1" pivotButton="0" quotePrefix="0" xfId="0">
      <alignment horizontal="center" vertical="center"/>
    </xf>
    <xf numFmtId="49" fontId="1" fillId="0" borderId="19" applyAlignment="1" pivotButton="0" quotePrefix="0" xfId="3">
      <alignment horizontal="left" vertical="center" shrinkToFit="1"/>
    </xf>
    <xf numFmtId="9" fontId="2" fillId="0" borderId="0" applyAlignment="1" pivotButton="0" quotePrefix="0" xfId="48">
      <alignment vertical="center"/>
    </xf>
    <xf numFmtId="0" fontId="31" fillId="5" borderId="12" applyAlignment="1" applyProtection="1" pivotButton="0" quotePrefix="0" xfId="3">
      <alignment horizontal="center" vertical="top" wrapText="1"/>
      <protection locked="0" hidden="0"/>
    </xf>
    <xf numFmtId="0" fontId="31" fillId="0" borderId="8" applyAlignment="1" applyProtection="1" pivotButton="0" quotePrefix="0" xfId="3">
      <alignment horizontal="center" vertical="center" wrapText="1"/>
      <protection locked="0" hidden="0"/>
    </xf>
    <xf numFmtId="49" fontId="31" fillId="4" borderId="8" applyAlignment="1" applyProtection="1" pivotButton="0" quotePrefix="0" xfId="3">
      <alignment horizontal="center" vertical="center" wrapText="1"/>
      <protection locked="0" hidden="0"/>
    </xf>
    <xf numFmtId="49" fontId="31" fillId="0" borderId="11" applyAlignment="1" applyProtection="1" pivotButton="0" quotePrefix="0" xfId="3">
      <alignment horizontal="center" vertical="center" wrapText="1"/>
      <protection locked="0" hidden="0"/>
    </xf>
    <xf numFmtId="0" fontId="31" fillId="0" borderId="13" applyAlignment="1" applyProtection="1" pivotButton="0" quotePrefix="0" xfId="3">
      <alignment horizontal="center" vertical="center" wrapText="1"/>
      <protection locked="0" hidden="0"/>
    </xf>
    <xf numFmtId="0" fontId="1" fillId="0" borderId="0" applyAlignment="1" applyProtection="1" pivotButton="0" quotePrefix="0" xfId="6">
      <alignment horizontal="right" vertical="center" shrinkToFit="1"/>
      <protection locked="0" hidden="0"/>
    </xf>
    <xf numFmtId="43" fontId="1" fillId="0" borderId="0" applyAlignment="1" applyProtection="1" pivotButton="0" quotePrefix="0" xfId="7">
      <alignment horizontal="right" vertical="center" shrinkToFit="1"/>
      <protection locked="0" hidden="0"/>
    </xf>
    <xf numFmtId="43" fontId="1" fillId="0" borderId="0" applyAlignment="1" applyProtection="1" pivotButton="0" quotePrefix="0" xfId="7">
      <alignment horizontal="center" vertical="center" shrinkToFit="1"/>
      <protection locked="0" hidden="0"/>
    </xf>
    <xf numFmtId="49" fontId="9" fillId="0" borderId="0" applyAlignment="1" applyProtection="1" pivotButton="0" quotePrefix="0" xfId="6">
      <alignment horizontal="center" vertical="center" shrinkToFit="1"/>
      <protection locked="0" hidden="0"/>
    </xf>
    <xf numFmtId="10" fontId="1" fillId="0" borderId="0" applyAlignment="1" pivotButton="0" quotePrefix="0" xfId="48">
      <alignment horizontal="right" vertical="center" shrinkToFit="1"/>
    </xf>
    <xf numFmtId="9" fontId="1" fillId="0" borderId="0" applyAlignment="1" pivotButton="0" quotePrefix="0" xfId="48">
      <alignment vertical="center"/>
    </xf>
    <xf numFmtId="43" fontId="31" fillId="0" borderId="0" applyAlignment="1" applyProtection="1" pivotButton="0" quotePrefix="0" xfId="7">
      <alignment horizontal="center" vertical="center" shrinkToFit="1"/>
      <protection locked="0" hidden="0"/>
    </xf>
    <xf numFmtId="9" fontId="31" fillId="0" borderId="0" applyAlignment="1" applyProtection="1" pivotButton="0" quotePrefix="0" xfId="48">
      <alignment horizontal="right" vertical="center" shrinkToFit="1"/>
      <protection locked="0" hidden="0"/>
    </xf>
    <xf numFmtId="43" fontId="2" fillId="0" borderId="0" applyAlignment="1" pivotButton="0" quotePrefix="0" xfId="7">
      <alignment horizontal="right" vertical="center" shrinkToFit="1"/>
    </xf>
    <xf numFmtId="10" fontId="32" fillId="0" borderId="0" applyAlignment="1" pivotButton="0" quotePrefix="0" xfId="48">
      <alignment horizontal="right" vertical="center" shrinkToFit="1"/>
    </xf>
    <xf numFmtId="9" fontId="32" fillId="0" borderId="0" applyAlignment="1" pivotButton="0" quotePrefix="0" xfId="48">
      <alignment horizontal="right" vertical="center" shrinkToFit="1"/>
    </xf>
    <xf numFmtId="43" fontId="31" fillId="0" borderId="0" applyAlignment="1" applyProtection="1" pivotButton="0" quotePrefix="0" xfId="7">
      <alignment horizontal="right" vertical="center" shrinkToFit="1"/>
      <protection locked="0" hidden="0"/>
    </xf>
    <xf numFmtId="43" fontId="6" fillId="0" borderId="0" applyAlignment="1" applyProtection="1" pivotButton="0" quotePrefix="0" xfId="6">
      <alignment horizontal="center" vertical="center" shrinkToFit="1"/>
      <protection locked="0" hidden="0"/>
    </xf>
    <xf numFmtId="10" fontId="13" fillId="0" borderId="0" applyAlignment="1" applyProtection="1" pivotButton="0" quotePrefix="0" xfId="6">
      <alignment horizontal="right" vertical="center" shrinkToFit="1"/>
      <protection locked="0" hidden="0"/>
    </xf>
    <xf numFmtId="43" fontId="13" fillId="0" borderId="0" applyAlignment="1" applyProtection="1" pivotButton="0" quotePrefix="0" xfId="6">
      <alignment horizontal="center" vertical="center" shrinkToFit="1"/>
      <protection locked="0" hidden="0"/>
    </xf>
    <xf numFmtId="43" fontId="2" fillId="0" borderId="0" applyAlignment="1" pivotButton="0" quotePrefix="0" xfId="9">
      <alignment horizontal="right" vertical="center" shrinkToFit="1"/>
    </xf>
    <xf numFmtId="10" fontId="9" fillId="0" borderId="0" applyAlignment="1" applyProtection="1" pivotButton="0" quotePrefix="0" xfId="6">
      <alignment horizontal="right" vertical="center" shrinkToFit="1"/>
      <protection locked="0" hidden="0"/>
    </xf>
    <xf numFmtId="43" fontId="2" fillId="0" borderId="0" applyAlignment="1" pivotButton="0" quotePrefix="0" xfId="7">
      <alignment vertical="center"/>
    </xf>
    <xf numFmtId="0" fontId="18" fillId="0" borderId="0" applyAlignment="1" pivotButton="0" quotePrefix="0" xfId="0">
      <alignment vertical="center" wrapText="1"/>
    </xf>
    <xf numFmtId="0" fontId="6" fillId="0" borderId="0" applyAlignment="1" pivotButton="0" quotePrefix="0" xfId="0">
      <alignment horizontal="center" vertical="center"/>
    </xf>
    <xf numFmtId="43" fontId="2" fillId="0" borderId="0" applyAlignment="1" pivotButton="0" quotePrefix="0" xfId="7">
      <alignment horizontal="right" vertical="center" shrinkToFit="1"/>
    </xf>
    <xf numFmtId="43" fontId="6" fillId="0" borderId="0" applyAlignment="1" pivotButton="0" quotePrefix="0" xfId="53">
      <alignment horizontal="center" vertical="center" shrinkToFit="1"/>
    </xf>
    <xf numFmtId="43" fontId="1" fillId="0" borderId="0" applyAlignment="1" applyProtection="1" pivotButton="0" quotePrefix="0" xfId="53">
      <alignment horizontal="center" vertical="center" shrinkToFit="1"/>
      <protection locked="0" hidden="0"/>
    </xf>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9" fontId="2" fillId="0" borderId="0" applyAlignment="1" pivotButton="0" quotePrefix="0" xfId="0">
      <alignment horizontal="left" vertical="center"/>
    </xf>
    <xf numFmtId="9" fontId="2" fillId="0" borderId="0" applyAlignment="1" applyProtection="1" pivotButton="0" quotePrefix="0" xfId="32">
      <alignment vertical="center"/>
      <protection locked="0" hidden="0"/>
    </xf>
    <xf numFmtId="9" fontId="2" fillId="0" borderId="0" applyAlignment="1" pivotButton="0" quotePrefix="0" xfId="48">
      <alignment vertical="center"/>
    </xf>
    <xf numFmtId="43" fontId="13" fillId="0" borderId="0" applyAlignment="1" applyProtection="1" pivotButton="0" quotePrefix="0" xfId="6">
      <alignment horizontal="right" vertical="center" shrinkToFit="1"/>
      <protection locked="0" hidden="0"/>
    </xf>
    <xf numFmtId="43" fontId="2" fillId="0" borderId="0" applyAlignment="1" pivotButton="0" quotePrefix="0" xfId="9">
      <alignment vertical="center"/>
    </xf>
    <xf numFmtId="9" fontId="2" fillId="0" borderId="0" applyAlignment="1" pivotButton="0" quotePrefix="0" xfId="32">
      <alignment vertical="center"/>
    </xf>
    <xf numFmtId="0" fontId="33" fillId="0" borderId="0" applyAlignment="1" applyProtection="1" pivotButton="0" quotePrefix="0" xfId="6">
      <alignment horizontal="center" vertical="center"/>
      <protection locked="0" hidden="0"/>
    </xf>
    <xf numFmtId="0" fontId="34" fillId="0" borderId="0" applyAlignment="1" pivotButton="0" quotePrefix="0" xfId="0">
      <alignment horizontal="left" vertical="center"/>
    </xf>
    <xf numFmtId="43" fontId="34" fillId="0" borderId="0" applyAlignment="1" pivotButton="0" quotePrefix="0" xfId="0">
      <alignment horizontal="right" vertical="center"/>
    </xf>
    <xf numFmtId="0" fontId="18" fillId="0" borderId="11" applyAlignment="1" pivotButton="0" quotePrefix="0" xfId="0">
      <alignment vertical="center" wrapText="1"/>
    </xf>
    <xf numFmtId="0" fontId="18" fillId="0" borderId="5" applyAlignment="1" pivotButton="0" quotePrefix="0" xfId="0">
      <alignment vertical="center"/>
    </xf>
    <xf numFmtId="0" fontId="35" fillId="0" borderId="0" applyAlignment="1" pivotButton="0" quotePrefix="0" xfId="0">
      <alignment vertical="center"/>
    </xf>
    <xf numFmtId="0" fontId="1" fillId="0" borderId="0" applyAlignment="1" pivotButton="0" quotePrefix="0" xfId="49">
      <alignment vertical="center"/>
    </xf>
    <xf numFmtId="0" fontId="36" fillId="0" borderId="0" applyAlignment="1" pivotButton="0" quotePrefix="0" xfId="0">
      <alignment vertical="center"/>
    </xf>
    <xf numFmtId="49" fontId="12" fillId="0" borderId="0" applyAlignment="1" applyProtection="1" pivotButton="0" quotePrefix="0" xfId="6">
      <alignment horizontal="center" vertical="center" shrinkToFit="1"/>
      <protection locked="0" hidden="0"/>
    </xf>
    <xf numFmtId="43" fontId="35" fillId="0" borderId="0" applyAlignment="1" applyProtection="1" pivotButton="0" quotePrefix="0" xfId="7">
      <alignment horizontal="right" vertical="center" shrinkToFit="1"/>
      <protection locked="0" hidden="0"/>
    </xf>
    <xf numFmtId="43" fontId="1" fillId="2" borderId="0" applyAlignment="1" applyProtection="1" pivotButton="0" quotePrefix="0" xfId="7">
      <alignment horizontal="center" vertical="center" shrinkToFit="1"/>
      <protection locked="0" hidden="0"/>
    </xf>
    <xf numFmtId="0" fontId="6" fillId="0" borderId="0" applyAlignment="1" pivotButton="0" quotePrefix="0" xfId="2">
      <alignment vertical="center"/>
    </xf>
    <xf numFmtId="43" fontId="2" fillId="0" borderId="0" applyAlignment="1" pivotButton="0" quotePrefix="0" xfId="7">
      <alignment vertical="center"/>
    </xf>
    <xf numFmtId="0" fontId="2" fillId="0" borderId="0" applyAlignment="1" pivotButton="0" quotePrefix="0" xfId="10">
      <alignment vertical="center"/>
    </xf>
    <xf numFmtId="0" fontId="14" fillId="8" borderId="0" applyAlignment="1" applyProtection="1" pivotButton="0" quotePrefix="0" xfId="57">
      <alignment vertical="center"/>
      <protection locked="0" hidden="0"/>
    </xf>
    <xf numFmtId="0" fontId="6" fillId="2" borderId="0" applyAlignment="1" pivotButton="0" quotePrefix="0" xfId="10">
      <alignment vertical="center"/>
    </xf>
    <xf numFmtId="0" fontId="39" fillId="0" borderId="2" applyAlignment="1" pivotButton="0" quotePrefix="0" xfId="10">
      <alignment vertical="center"/>
    </xf>
    <xf numFmtId="0" fontId="16" fillId="0" borderId="3" applyAlignment="1" pivotButton="0" quotePrefix="0" xfId="10">
      <alignment vertical="center"/>
    </xf>
    <xf numFmtId="0" fontId="16" fillId="0" borderId="2" applyAlignment="1" pivotButton="0" quotePrefix="0" xfId="10">
      <alignment horizontal="left" vertical="center" wrapText="1"/>
    </xf>
    <xf numFmtId="0" fontId="40" fillId="3" borderId="19" applyAlignment="1" applyProtection="1" pivotButton="0" quotePrefix="0" xfId="10">
      <alignment vertical="center"/>
      <protection locked="0" hidden="0"/>
    </xf>
    <xf numFmtId="0" fontId="19" fillId="0" borderId="19" applyAlignment="1" pivotButton="0" quotePrefix="0" xfId="10">
      <alignment vertical="center" wrapText="1"/>
    </xf>
    <xf numFmtId="0" fontId="19" fillId="0" borderId="19" applyAlignment="1" pivotButton="0" quotePrefix="0" xfId="10">
      <alignment vertical="center"/>
    </xf>
    <xf numFmtId="0" fontId="38" fillId="0" borderId="4" applyAlignment="1" applyProtection="1" pivotButton="0" quotePrefix="0" xfId="10">
      <alignment horizontal="left" vertical="center"/>
      <protection locked="0" hidden="0"/>
    </xf>
    <xf numFmtId="0" fontId="16" fillId="0" borderId="5" applyAlignment="1" pivotButton="0" quotePrefix="0" xfId="58">
      <alignment horizontal="left" vertical="center" wrapText="1"/>
    </xf>
    <xf numFmtId="0" fontId="16" fillId="0" borderId="6" applyAlignment="1" pivotButton="0" quotePrefix="0" xfId="58">
      <alignment horizontal="left" vertical="center" wrapText="1"/>
    </xf>
    <xf numFmtId="0" fontId="6" fillId="0" borderId="0" applyAlignment="1" pivotButton="0" quotePrefix="0" xfId="10">
      <alignment horizontal="center" vertical="center"/>
    </xf>
    <xf numFmtId="43" fontId="2" fillId="0" borderId="0" applyAlignment="1" pivotButton="0" quotePrefix="0" xfId="59">
      <alignment vertical="center"/>
    </xf>
    <xf numFmtId="43" fontId="9" fillId="0" borderId="0" applyAlignment="1" pivotButton="0" quotePrefix="0" xfId="59">
      <alignment horizontal="center" vertical="center"/>
    </xf>
    <xf numFmtId="0" fontId="28" fillId="2" borderId="0" applyAlignment="1" pivotButton="0" quotePrefix="0" xfId="10">
      <alignment horizontal="right" vertical="center"/>
    </xf>
    <xf numFmtId="41" fontId="2" fillId="2" borderId="0" applyAlignment="1" pivotButton="0" quotePrefix="0" xfId="60">
      <alignment horizontal="right" vertical="center"/>
    </xf>
    <xf numFmtId="43" fontId="2" fillId="2" borderId="0" applyAlignment="1" pivotButton="0" quotePrefix="0" xfId="59">
      <alignment vertical="center"/>
    </xf>
    <xf numFmtId="0" fontId="6" fillId="2" borderId="0" applyAlignment="1" pivotButton="0" quotePrefix="0" xfId="10">
      <alignment horizontal="right" vertical="center"/>
    </xf>
    <xf numFmtId="0" fontId="2" fillId="2" borderId="0" applyAlignment="1" pivotButton="0" quotePrefix="0" xfId="10">
      <alignment horizontal="right" vertical="center"/>
    </xf>
    <xf numFmtId="43" fontId="2" fillId="2" borderId="0" applyAlignment="1" pivotButton="0" quotePrefix="0" xfId="60">
      <alignment horizontal="right" vertical="center" shrinkToFit="1"/>
    </xf>
    <xf numFmtId="0" fontId="31" fillId="2" borderId="0" applyAlignment="1" pivotButton="0" quotePrefix="0" xfId="10">
      <alignment horizontal="right" vertical="center" wrapText="1"/>
    </xf>
    <xf numFmtId="43" fontId="2" fillId="0" borderId="0" applyAlignment="1" applyProtection="1" pivotButton="0" quotePrefix="0" xfId="59">
      <alignment horizontal="right" vertical="center" shrinkToFit="1"/>
      <protection locked="0" hidden="0"/>
    </xf>
    <xf numFmtId="41" fontId="2" fillId="2" borderId="0" applyAlignment="1" pivotButton="0" quotePrefix="0" xfId="60">
      <alignment vertical="center"/>
    </xf>
    <xf numFmtId="41" fontId="2" fillId="2" borderId="0" applyAlignment="1" pivotButton="0" quotePrefix="0" xfId="10">
      <alignment vertical="center"/>
    </xf>
    <xf numFmtId="14" fontId="2" fillId="2" borderId="0" applyAlignment="1" pivotButton="0" quotePrefix="0" xfId="10">
      <alignment horizontal="center" vertical="center"/>
    </xf>
    <xf numFmtId="0" fontId="2" fillId="2" borderId="0" applyAlignment="1" pivotButton="0" quotePrefix="0" xfId="10">
      <alignment horizontal="center" vertical="center"/>
    </xf>
    <xf numFmtId="0" fontId="28" fillId="0" borderId="0" applyAlignment="1" pivotButton="0" quotePrefix="0" xfId="10">
      <alignment horizontal="right" vertical="center"/>
    </xf>
    <xf numFmtId="0" fontId="6" fillId="0" borderId="0" applyAlignment="1" pivotButton="0" quotePrefix="0" xfId="10">
      <alignment horizontal="right" vertical="center"/>
    </xf>
    <xf numFmtId="0" fontId="2" fillId="0" borderId="0" applyAlignment="1" pivotButton="0" quotePrefix="0" xfId="10">
      <alignment horizontal="right" vertical="center"/>
    </xf>
    <xf numFmtId="43" fontId="2" fillId="0" borderId="0" applyAlignment="1" pivotButton="0" quotePrefix="0" xfId="60">
      <alignment horizontal="right" vertical="center" shrinkToFit="1"/>
    </xf>
    <xf numFmtId="0" fontId="31" fillId="2" borderId="0" applyAlignment="1" pivotButton="0" quotePrefix="0" xfId="10">
      <alignment horizontal="right" vertical="center"/>
    </xf>
    <xf numFmtId="0" fontId="28" fillId="0" borderId="0" applyAlignment="1" pivotButton="0" quotePrefix="0" xfId="10">
      <alignment vertical="center"/>
    </xf>
    <xf numFmtId="0" fontId="43" fillId="2" borderId="0" applyAlignment="1" pivotButton="0" quotePrefix="0" xfId="10">
      <alignment horizontal="left" vertical="center"/>
    </xf>
    <xf numFmtId="43" fontId="13" fillId="0" borderId="0" applyAlignment="1" applyProtection="1" pivotButton="0" quotePrefix="0" xfId="7">
      <alignment horizontal="right" vertical="center" shrinkToFit="1"/>
      <protection locked="0" hidden="0"/>
    </xf>
    <xf numFmtId="9" fontId="2" fillId="0" borderId="0" applyAlignment="1" applyProtection="1" pivotButton="0" quotePrefix="0" xfId="48">
      <alignment vertical="center"/>
      <protection locked="0" hidden="0"/>
    </xf>
    <xf numFmtId="0" fontId="18" fillId="0" borderId="4" applyAlignment="1" pivotButton="0" quotePrefix="0" xfId="0">
      <alignment vertical="center"/>
    </xf>
    <xf numFmtId="0" fontId="18" fillId="0" borderId="6" applyAlignment="1" pivotButton="0" quotePrefix="0" xfId="0">
      <alignment vertical="center"/>
    </xf>
    <xf numFmtId="43" fontId="1" fillId="0" borderId="0" applyAlignment="1" applyProtection="1" pivotButton="0" quotePrefix="0" xfId="6">
      <alignment horizontal="right" vertical="center"/>
      <protection locked="0" hidden="0"/>
    </xf>
    <xf numFmtId="164" fontId="1" fillId="2" borderId="0" applyAlignment="1" applyProtection="1" pivotButton="0" quotePrefix="0" xfId="11">
      <alignment horizontal="center" vertical="center" shrinkToFit="1"/>
      <protection locked="0" hidden="0"/>
    </xf>
    <xf numFmtId="164" fontId="1" fillId="0" borderId="0" applyAlignment="1" applyProtection="1" pivotButton="0" quotePrefix="0" xfId="11">
      <alignment horizontal="center" vertical="center" shrinkToFit="1"/>
      <protection locked="0" hidden="0"/>
    </xf>
    <xf numFmtId="43" fontId="2" fillId="0" borderId="0" applyAlignment="1" pivotButton="0" quotePrefix="0" xfId="9">
      <alignment horizontal="right" vertical="center" shrinkToFit="1"/>
    </xf>
    <xf numFmtId="10" fontId="31" fillId="0" borderId="0" applyAlignment="1" applyProtection="1" pivotButton="0" quotePrefix="0" xfId="48">
      <alignment horizontal="right" vertical="center" shrinkToFit="1"/>
      <protection locked="0" hidden="0"/>
    </xf>
    <xf numFmtId="0" fontId="13" fillId="0" borderId="0" applyAlignment="1" pivotButton="0" quotePrefix="0" xfId="0">
      <alignment horizontal="left" vertical="center"/>
    </xf>
    <xf numFmtId="43" fontId="1" fillId="0" borderId="0" applyAlignment="1" applyProtection="1" pivotButton="0" quotePrefix="0" xfId="6">
      <alignment horizontal="center" vertical="center"/>
      <protection locked="0" hidden="0"/>
    </xf>
    <xf numFmtId="43" fontId="6" fillId="0" borderId="0" applyAlignment="1" pivotButton="0" quotePrefix="0" xfId="7">
      <alignment vertical="center"/>
    </xf>
    <xf numFmtId="43" fontId="1" fillId="0" borderId="0" applyAlignment="1" applyProtection="1" pivotButton="0" quotePrefix="0" xfId="7">
      <alignment horizontal="right" vertical="center" shrinkToFit="1"/>
      <protection locked="0" hidden="0"/>
    </xf>
    <xf numFmtId="43" fontId="31" fillId="0" borderId="0" applyAlignment="1" applyProtection="1" pivotButton="0" quotePrefix="0" xfId="7">
      <alignment horizontal="center" vertical="center" shrinkToFit="1"/>
      <protection locked="0" hidden="0"/>
    </xf>
    <xf numFmtId="9" fontId="31" fillId="0" borderId="0" applyAlignment="1" applyProtection="1" pivotButton="0" quotePrefix="0" xfId="48">
      <alignment horizontal="right" vertical="center" shrinkToFit="1"/>
      <protection locked="0" hidden="0"/>
    </xf>
    <xf numFmtId="9" fontId="32" fillId="0" borderId="0" applyAlignment="1" pivotButton="0" quotePrefix="0" xfId="48">
      <alignment horizontal="right" vertical="center" shrinkToFit="1"/>
    </xf>
    <xf numFmtId="43" fontId="31" fillId="0" borderId="0" applyAlignment="1" applyProtection="1" pivotButton="0" quotePrefix="0" xfId="7">
      <alignment horizontal="right" vertical="center" shrinkToFit="1"/>
      <protection locked="0" hidden="0"/>
    </xf>
    <xf numFmtId="43" fontId="6" fillId="0" borderId="0" applyAlignment="1" pivotButton="0" quotePrefix="0" xfId="7">
      <alignment vertical="center"/>
    </xf>
    <xf numFmtId="43" fontId="13" fillId="0" borderId="0" applyAlignment="1" applyProtection="1" pivotButton="0" quotePrefix="0" xfId="7">
      <alignment horizontal="right" vertical="center" shrinkToFit="1"/>
      <protection locked="0" hidden="0"/>
    </xf>
    <xf numFmtId="43" fontId="1" fillId="2" borderId="0" applyAlignment="1" applyProtection="1" pivotButton="0" quotePrefix="0" xfId="7">
      <alignment horizontal="center" vertical="center" shrinkToFit="1"/>
      <protection locked="0" hidden="0"/>
    </xf>
    <xf numFmtId="43" fontId="1" fillId="0" borderId="0" applyAlignment="1" applyProtection="1" pivotButton="0" quotePrefix="0" xfId="7">
      <alignment horizontal="center" vertical="center" shrinkToFit="1"/>
      <protection locked="0" hidden="0"/>
    </xf>
    <xf numFmtId="0" fontId="1" fillId="0" borderId="0" applyAlignment="1" applyProtection="1" pivotButton="0" quotePrefix="0" xfId="61">
      <alignment vertical="center"/>
      <protection locked="0" hidden="0"/>
    </xf>
    <xf numFmtId="0" fontId="1" fillId="0" borderId="2" applyAlignment="1" pivotButton="0" quotePrefix="0" xfId="2">
      <alignment vertical="center"/>
    </xf>
    <xf numFmtId="0" fontId="9" fillId="0" borderId="0" applyAlignment="1" pivotButton="0" quotePrefix="0" xfId="64">
      <alignment vertical="center"/>
    </xf>
    <xf numFmtId="0" fontId="1" fillId="0" borderId="0" applyAlignment="1" pivotButton="0" quotePrefix="0" xfId="2">
      <alignment horizontal="center" vertical="center"/>
    </xf>
    <xf numFmtId="43" fontId="2" fillId="0" borderId="3" applyAlignment="1" pivotButton="0" quotePrefix="0" xfId="63">
      <alignment vertical="center" shrinkToFit="1"/>
    </xf>
    <xf numFmtId="43" fontId="35" fillId="0" borderId="2" applyAlignment="1" applyProtection="1" pivotButton="0" quotePrefix="0" xfId="7">
      <alignment vertical="center"/>
      <protection locked="0" hidden="0"/>
    </xf>
    <xf numFmtId="43" fontId="2" fillId="0" borderId="0" applyAlignment="1" applyProtection="1" pivotButton="0" quotePrefix="0" xfId="7">
      <alignment vertical="center"/>
      <protection locked="0" hidden="0"/>
    </xf>
    <xf numFmtId="0" fontId="2" fillId="0" borderId="3" applyAlignment="1" pivotButton="0" quotePrefix="0" xfId="63">
      <alignment vertical="center"/>
    </xf>
    <xf numFmtId="43" fontId="35" fillId="0" borderId="2" applyAlignment="1" pivotButton="0" quotePrefix="0" xfId="7">
      <alignment vertical="center"/>
    </xf>
    <xf numFmtId="43" fontId="2" fillId="0" borderId="28" applyAlignment="1" pivotButton="0" quotePrefix="0" xfId="7">
      <alignment horizontal="right" vertical="center" shrinkToFit="1"/>
    </xf>
    <xf numFmtId="0" fontId="1" fillId="0" borderId="0" applyAlignment="1" pivotButton="0" quotePrefix="0" xfId="2">
      <alignment horizontal="left" vertical="center"/>
    </xf>
    <xf numFmtId="0" fontId="2" fillId="2" borderId="4" applyAlignment="1" applyProtection="1" pivotButton="0" quotePrefix="0" xfId="63">
      <alignment vertical="center"/>
      <protection locked="0" hidden="0"/>
    </xf>
    <xf numFmtId="0" fontId="2" fillId="2" borderId="5" applyAlignment="1" applyProtection="1" pivotButton="0" quotePrefix="0" xfId="63">
      <alignment vertical="center"/>
      <protection locked="0" hidden="0"/>
    </xf>
    <xf numFmtId="0" fontId="2" fillId="2" borderId="6" applyAlignment="1" applyProtection="1" pivotButton="0" quotePrefix="0" xfId="63">
      <alignment vertical="center"/>
      <protection locked="0" hidden="0"/>
    </xf>
    <xf numFmtId="0" fontId="9" fillId="2" borderId="2" applyAlignment="1" pivotButton="0" quotePrefix="0" xfId="0">
      <alignment vertical="center"/>
    </xf>
    <xf numFmtId="0" fontId="9" fillId="2" borderId="0" applyAlignment="1" pivotButton="0" quotePrefix="0" xfId="0">
      <alignment vertical="center"/>
    </xf>
    <xf numFmtId="43" fontId="31" fillId="0" borderId="3" applyAlignment="1" applyProtection="1" pivotButton="0" quotePrefix="0" xfId="7">
      <alignment horizontal="center" vertical="center" shrinkToFit="1"/>
      <protection locked="0" hidden="0"/>
    </xf>
    <xf numFmtId="0" fontId="2" fillId="0" borderId="2" pivotButton="0" quotePrefix="0" xfId="2"/>
    <xf numFmtId="0" fontId="2" fillId="0" borderId="0" pivotButton="0" quotePrefix="0" xfId="2"/>
    <xf numFmtId="43" fontId="1" fillId="0" borderId="0" applyAlignment="1" pivotButton="0" quotePrefix="0" xfId="0">
      <alignment horizontal="right" vertical="center" shrinkToFit="1"/>
    </xf>
    <xf numFmtId="0" fontId="2" fillId="2" borderId="2" pivotButton="0" quotePrefix="0" xfId="2"/>
    <xf numFmtId="0" fontId="2" fillId="2" borderId="0" pivotButton="0" quotePrefix="0" xfId="2"/>
    <xf numFmtId="0" fontId="1" fillId="2" borderId="0" applyAlignment="1" pivotButton="0" quotePrefix="0" xfId="2">
      <alignment vertical="center"/>
    </xf>
    <xf numFmtId="0" fontId="1" fillId="2" borderId="2" applyAlignment="1" applyProtection="1" pivotButton="0" quotePrefix="0" xfId="6">
      <alignment horizontal="center" vertical="center"/>
      <protection locked="0" hidden="0"/>
    </xf>
    <xf numFmtId="0" fontId="9" fillId="0" borderId="0" applyAlignment="1" pivotButton="0" quotePrefix="0" xfId="2">
      <alignment horizontal="left" vertical="center"/>
    </xf>
    <xf numFmtId="43" fontId="1" fillId="2" borderId="26" applyAlignment="1" pivotButton="0" quotePrefix="0" xfId="13">
      <alignment horizontal="right" vertical="center" shrinkToFit="1"/>
    </xf>
    <xf numFmtId="43" fontId="1" fillId="2" borderId="0" applyAlignment="1" pivotButton="0" quotePrefix="0" xfId="13">
      <alignment horizontal="right" vertical="center" shrinkToFit="1"/>
    </xf>
    <xf numFmtId="43" fontId="1" fillId="2" borderId="28" applyAlignment="1" pivotButton="0" quotePrefix="0" xfId="13">
      <alignment horizontal="right" vertical="center" shrinkToFit="1"/>
    </xf>
    <xf numFmtId="0" fontId="1" fillId="2" borderId="0" applyAlignment="1" pivotButton="0" quotePrefix="0" xfId="2">
      <alignment horizontal="center" vertical="center"/>
    </xf>
    <xf numFmtId="43" fontId="31" fillId="0" borderId="4" applyAlignment="1" applyProtection="1" pivotButton="0" quotePrefix="0" xfId="7">
      <alignment horizontal="center" vertical="center" shrinkToFit="1"/>
      <protection locked="0" hidden="0"/>
    </xf>
    <xf numFmtId="43" fontId="31" fillId="0" borderId="5" applyAlignment="1" applyProtection="1" pivotButton="0" quotePrefix="0" xfId="7">
      <alignment horizontal="center" vertical="center" shrinkToFit="1"/>
      <protection locked="0" hidden="0"/>
    </xf>
    <xf numFmtId="43" fontId="31" fillId="0" borderId="6" applyAlignment="1" applyProtection="1" pivotButton="0" quotePrefix="0" xfId="7">
      <alignment horizontal="center" vertical="center" shrinkToFit="1"/>
      <protection locked="0" hidden="0"/>
    </xf>
    <xf numFmtId="43" fontId="2" fillId="0" borderId="0" applyAlignment="1" pivotButton="0" quotePrefix="0" xfId="12">
      <alignment vertical="center"/>
    </xf>
    <xf numFmtId="43" fontId="6" fillId="0" borderId="0" applyAlignment="1" pivotButton="0" quotePrefix="0" xfId="12">
      <alignment vertical="center"/>
    </xf>
    <xf numFmtId="43" fontId="13" fillId="0" borderId="0" applyAlignment="1" applyProtection="1" pivotButton="0" quotePrefix="0" xfId="12">
      <alignment horizontal="right" vertical="center" shrinkToFit="1"/>
      <protection locked="0" hidden="0"/>
    </xf>
    <xf numFmtId="43" fontId="13" fillId="0" borderId="0" applyAlignment="1" applyProtection="1" pivotButton="0" quotePrefix="0" xfId="12">
      <alignment horizontal="right" vertical="center" shrinkToFit="1"/>
      <protection locked="0" hidden="0"/>
    </xf>
    <xf numFmtId="43" fontId="1" fillId="2" borderId="0" applyAlignment="1" applyProtection="1" pivotButton="0" quotePrefix="0" xfId="12">
      <alignment horizontal="center" vertical="center" shrinkToFit="1"/>
      <protection locked="0" hidden="0"/>
    </xf>
    <xf numFmtId="43" fontId="1" fillId="0" borderId="0" applyAlignment="1" applyProtection="1" pivotButton="0" quotePrefix="0" xfId="12">
      <alignment horizontal="center" vertical="center" shrinkToFit="1"/>
      <protection locked="0" hidden="0"/>
    </xf>
    <xf numFmtId="0" fontId="1" fillId="0" borderId="3" applyAlignment="1" applyProtection="1" pivotButton="0" quotePrefix="0" xfId="6">
      <alignment horizontal="center" vertical="center"/>
      <protection locked="0" hidden="0"/>
    </xf>
    <xf numFmtId="49" fontId="2" fillId="0" borderId="2" applyAlignment="1" pivotButton="0" quotePrefix="0" xfId="2">
      <alignment horizontal="left" shrinkToFit="1"/>
    </xf>
    <xf numFmtId="49" fontId="2" fillId="0" borderId="0" applyAlignment="1" pivotButton="0" quotePrefix="0" xfId="2">
      <alignment horizontal="left" shrinkToFit="1"/>
    </xf>
    <xf numFmtId="43" fontId="1" fillId="0" borderId="0" applyAlignment="1" pivotButton="0" quotePrefix="0" xfId="12">
      <alignment horizontal="center" vertical="center" shrinkToFit="1"/>
    </xf>
    <xf numFmtId="43" fontId="1" fillId="0" borderId="26" applyAlignment="1" pivotButton="0" quotePrefix="0" xfId="12">
      <alignment horizontal="center" vertical="center" shrinkToFit="1"/>
    </xf>
    <xf numFmtId="43" fontId="1" fillId="0" borderId="0" applyAlignment="1" pivotButton="0" quotePrefix="0" xfId="2">
      <alignment horizontal="center" vertical="center" shrinkToFit="1"/>
    </xf>
    <xf numFmtId="0" fontId="2" fillId="0" borderId="4" pivotButton="0" quotePrefix="0" xfId="2"/>
    <xf numFmtId="0" fontId="2" fillId="0" borderId="5" pivotButton="0" quotePrefix="0" xfId="2"/>
    <xf numFmtId="0" fontId="1" fillId="0" borderId="5" applyAlignment="1" pivotButton="0" quotePrefix="0" xfId="2">
      <alignment vertical="center"/>
    </xf>
    <xf numFmtId="0" fontId="1" fillId="0" borderId="5" applyAlignment="1" pivotButton="0" quotePrefix="0" xfId="2">
      <alignment horizontal="center" vertical="center"/>
    </xf>
    <xf numFmtId="0" fontId="1" fillId="0" borderId="6" applyAlignment="1" applyProtection="1" pivotButton="0" quotePrefix="0" xfId="6">
      <alignment horizontal="center" vertical="center"/>
      <protection locked="0" hidden="0"/>
    </xf>
    <xf numFmtId="0" fontId="44" fillId="0" borderId="0" applyAlignment="1" applyProtection="1" pivotButton="0" quotePrefix="0" xfId="47">
      <alignment vertical="center"/>
      <protection locked="0" hidden="0"/>
    </xf>
    <xf numFmtId="0" fontId="45" fillId="0" borderId="0" applyAlignment="1" pivotButton="0" quotePrefix="0" xfId="2">
      <alignment horizontal="left" vertical="center" wrapText="1"/>
    </xf>
    <xf numFmtId="0" fontId="46" fillId="0" borderId="0" applyAlignment="1" pivotButton="0" quotePrefix="0" xfId="2">
      <alignment horizontal="left" vertical="center"/>
    </xf>
    <xf numFmtId="9" fontId="46" fillId="0" borderId="0" applyAlignment="1" pivotButton="0" quotePrefix="0" xfId="2">
      <alignment horizontal="left" vertical="center"/>
    </xf>
    <xf numFmtId="0" fontId="18" fillId="0" borderId="4" applyAlignment="1" applyProtection="1" pivotButton="0" quotePrefix="0" xfId="6">
      <alignment horizontal="center" vertical="center"/>
      <protection locked="0" hidden="0"/>
    </xf>
    <xf numFmtId="43" fontId="6" fillId="0" borderId="0" applyAlignment="1" pivotButton="0" quotePrefix="0" xfId="13">
      <alignment vertical="center"/>
    </xf>
    <xf numFmtId="43" fontId="13" fillId="0" borderId="0" applyAlignment="1" applyProtection="1" pivotButton="0" quotePrefix="0" xfId="13">
      <alignment horizontal="right" vertical="center" shrinkToFit="1"/>
      <protection locked="0" hidden="0"/>
    </xf>
    <xf numFmtId="43" fontId="1" fillId="2" borderId="0" applyAlignment="1" applyProtection="1" pivotButton="0" quotePrefix="0" xfId="13">
      <alignment horizontal="center" vertical="center" shrinkToFit="1"/>
      <protection locked="0" hidden="0"/>
    </xf>
    <xf numFmtId="43" fontId="1" fillId="0" borderId="0" applyAlignment="1" applyProtection="1" pivotButton="0" quotePrefix="0" xfId="13">
      <alignment horizontal="center" vertical="center" shrinkToFit="1"/>
      <protection locked="0" hidden="0"/>
    </xf>
    <xf numFmtId="43" fontId="2" fillId="0" borderId="0" applyAlignment="1" pivotButton="0" quotePrefix="0" xfId="0">
      <alignment horizontal="right" vertical="center" shrinkToFit="1"/>
    </xf>
    <xf numFmtId="0" fontId="47" fillId="0" borderId="0" applyAlignment="1" applyProtection="1" pivotButton="0" quotePrefix="0" xfId="66">
      <alignment horizontal="center" vertical="center"/>
      <protection locked="0" hidden="0"/>
    </xf>
    <xf numFmtId="0" fontId="48" fillId="0" borderId="0" applyAlignment="1" applyProtection="1" pivotButton="0" quotePrefix="0" xfId="66">
      <alignment horizontal="left" vertical="center"/>
      <protection locked="0" hidden="0"/>
    </xf>
    <xf numFmtId="0" fontId="33" fillId="0" borderId="0" applyAlignment="1" applyProtection="1" pivotButton="0" quotePrefix="0" xfId="8">
      <alignment horizontal="center" vertical="center"/>
      <protection locked="0" hidden="0"/>
    </xf>
    <xf numFmtId="0" fontId="9" fillId="0" borderId="0" applyAlignment="1" applyProtection="1" pivotButton="0" quotePrefix="0" xfId="66">
      <alignment horizontal="left" vertical="center"/>
      <protection locked="0" hidden="0"/>
    </xf>
    <xf numFmtId="0" fontId="6" fillId="0" borderId="0" applyAlignment="1" applyProtection="1" pivotButton="0" quotePrefix="0" xfId="66">
      <alignment horizontal="center" vertical="center"/>
      <protection locked="0" hidden="0"/>
    </xf>
    <xf numFmtId="0" fontId="6" fillId="0" borderId="0" applyAlignment="1" applyProtection="1" pivotButton="0" quotePrefix="0" xfId="8">
      <alignment horizontal="center" vertical="center"/>
      <protection locked="0" hidden="0"/>
    </xf>
    <xf numFmtId="0" fontId="6" fillId="0" borderId="0" applyAlignment="1" pivotButton="0" quotePrefix="0" xfId="65">
      <alignment horizontal="center" vertical="center" shrinkToFit="1"/>
    </xf>
    <xf numFmtId="0" fontId="2" fillId="0" borderId="0" applyAlignment="1" pivotButton="0" quotePrefix="0" xfId="65">
      <alignment horizontal="center" vertical="center" shrinkToFit="1"/>
    </xf>
    <xf numFmtId="0" fontId="6" fillId="0" borderId="0" applyAlignment="1" applyProtection="1" pivotButton="0" quotePrefix="0" xfId="66">
      <alignment horizontal="left" vertical="center"/>
      <protection locked="0" hidden="0"/>
    </xf>
    <xf numFmtId="0" fontId="2" fillId="2" borderId="0" applyAlignment="1" pivotButton="0" quotePrefix="0" xfId="58">
      <alignment vertical="center"/>
    </xf>
    <xf numFmtId="0" fontId="18" fillId="0" borderId="3" applyAlignment="1" applyProtection="1" pivotButton="0" quotePrefix="0" xfId="6">
      <alignment horizontal="center" vertical="center"/>
      <protection locked="0" hidden="0"/>
    </xf>
    <xf numFmtId="0" fontId="18" fillId="0" borderId="20" applyAlignment="1" pivotButton="0" quotePrefix="0" xfId="0">
      <alignment vertical="center"/>
    </xf>
    <xf numFmtId="0" fontId="13" fillId="0" borderId="0" applyAlignment="1" applyProtection="1" pivotButton="0" quotePrefix="0" xfId="0">
      <alignment vertical="center" wrapText="1"/>
      <protection locked="0" hidden="0"/>
    </xf>
    <xf numFmtId="0" fontId="28" fillId="2" borderId="0" applyAlignment="1" pivotButton="0" quotePrefix="0" xfId="58">
      <alignment vertical="center"/>
    </xf>
    <xf numFmtId="14" fontId="50" fillId="0" borderId="2" applyAlignment="1" applyProtection="1" pivotButton="0" quotePrefix="0" xfId="0">
      <alignment vertical="center"/>
      <protection locked="0" hidden="0"/>
    </xf>
    <xf numFmtId="0" fontId="9" fillId="0" borderId="0" applyAlignment="1" pivotButton="0" quotePrefix="0" xfId="0">
      <alignment horizontal="center" vertical="center" wrapText="1"/>
    </xf>
    <xf numFmtId="0" fontId="9" fillId="0" borderId="3" applyAlignment="1" pivotButton="0" quotePrefix="0" xfId="0">
      <alignment horizontal="center" vertical="center" wrapText="1"/>
    </xf>
    <xf numFmtId="14" fontId="51" fillId="0" borderId="0" applyAlignment="1" applyProtection="1" pivotButton="0" quotePrefix="0" xfId="0">
      <alignment vertical="center"/>
      <protection locked="0" hidden="0"/>
    </xf>
    <xf numFmtId="14" fontId="51" fillId="0" borderId="3" applyAlignment="1" applyProtection="1" pivotButton="0" quotePrefix="0" xfId="0">
      <alignment vertical="center"/>
      <protection locked="0" hidden="0"/>
    </xf>
    <xf numFmtId="0" fontId="6" fillId="2" borderId="0" applyAlignment="1" pivotButton="0" quotePrefix="0" xfId="58">
      <alignment horizontal="right" vertical="center"/>
    </xf>
    <xf numFmtId="0" fontId="2" fillId="2" borderId="0" applyAlignment="1" pivotButton="0" quotePrefix="0" xfId="58">
      <alignment vertical="center" wrapText="1"/>
    </xf>
    <xf numFmtId="49" fontId="0" fillId="0" borderId="0" pivotButton="0" quotePrefix="0" xfId="0"/>
    <xf numFmtId="0" fontId="2" fillId="0" borderId="0" applyAlignment="1" pivotButton="0" quotePrefix="0" xfId="0">
      <alignment horizontal="center" vertical="center" wrapText="1"/>
    </xf>
    <xf numFmtId="0" fontId="5" fillId="0" borderId="0" applyAlignment="1" applyProtection="1" pivotButton="0" quotePrefix="0" xfId="0">
      <alignment horizontal="left" vertical="center"/>
      <protection locked="0" hidden="0"/>
    </xf>
    <xf numFmtId="0" fontId="5" fillId="0" borderId="0" applyAlignment="1" applyProtection="1" pivotButton="0" quotePrefix="0" xfId="0">
      <alignment vertical="center" wrapText="1"/>
      <protection locked="0" hidden="0"/>
    </xf>
    <xf numFmtId="0" fontId="5" fillId="0" borderId="0" applyProtection="1" pivotButton="0" quotePrefix="0" xfId="0">
      <protection locked="0" hidden="0"/>
    </xf>
    <xf numFmtId="0" fontId="5" fillId="0" borderId="5" applyAlignment="1" applyProtection="1" pivotButton="0" quotePrefix="0" xfId="0">
      <alignment horizontal="left" vertical="center"/>
      <protection locked="0" hidden="0"/>
    </xf>
    <xf numFmtId="0" fontId="5" fillId="0" borderId="5" applyAlignment="1" applyProtection="1" pivotButton="0" quotePrefix="0" xfId="0">
      <alignment horizontal="center" vertical="center" wrapText="1"/>
      <protection locked="0" hidden="0"/>
    </xf>
    <xf numFmtId="0" fontId="5" fillId="0" borderId="5" applyAlignment="1" applyProtection="1" pivotButton="0" quotePrefix="0" xfId="0">
      <alignment horizontal="left" vertical="center" wrapText="1"/>
      <protection locked="0" hidden="0"/>
    </xf>
    <xf numFmtId="0"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left" vertical="center" wrapText="1"/>
      <protection locked="0" hidden="0"/>
    </xf>
    <xf numFmtId="0" fontId="5" fillId="0" borderId="17" applyAlignment="1" applyProtection="1" pivotButton="0" quotePrefix="0" xfId="0">
      <alignment vertical="center" wrapText="1"/>
      <protection locked="0" hidden="0"/>
    </xf>
    <xf numFmtId="0" fontId="5" fillId="0" borderId="24" applyAlignment="1" applyProtection="1" pivotButton="0" quotePrefix="0" xfId="3">
      <alignment horizontal="center" vertical="center" wrapText="1"/>
      <protection locked="0" hidden="0"/>
    </xf>
    <xf numFmtId="0" fontId="5" fillId="4" borderId="9" applyAlignment="1" applyProtection="1" pivotButton="0" quotePrefix="0" xfId="3">
      <alignment horizontal="center" vertical="center" wrapText="1"/>
      <protection locked="0" hidden="0"/>
    </xf>
    <xf numFmtId="49" fontId="1" fillId="0" borderId="36" applyAlignment="1" pivotButton="0" quotePrefix="0" xfId="3">
      <alignment horizontal="left" vertical="center" shrinkToFit="1"/>
    </xf>
    <xf numFmtId="0" fontId="5" fillId="0" borderId="13" applyAlignment="1" applyProtection="1" pivotButton="0" quotePrefix="0" xfId="3">
      <alignment horizontal="center" vertical="center" wrapText="1"/>
      <protection locked="0" hidden="0"/>
    </xf>
    <xf numFmtId="0" fontId="5" fillId="4" borderId="8" applyAlignment="1" applyProtection="1" pivotButton="0" quotePrefix="0" xfId="3">
      <alignment horizontal="center" vertical="center" wrapText="1"/>
      <protection locked="0" hidden="0"/>
    </xf>
    <xf numFmtId="0" fontId="18" fillId="0" borderId="27" applyAlignment="1" pivotButton="0" quotePrefix="0" xfId="0">
      <alignment vertical="center" wrapText="1"/>
    </xf>
    <xf numFmtId="0" fontId="35" fillId="0" borderId="0" applyAlignment="1" pivotButton="0" quotePrefix="0" xfId="5">
      <alignment vertical="center"/>
    </xf>
    <xf numFmtId="17" fontId="18" fillId="0" borderId="41" applyAlignment="1" pivotButton="0" quotePrefix="0" xfId="0">
      <alignment horizontal="center" vertical="center"/>
    </xf>
    <xf numFmtId="49" fontId="1" fillId="0" borderId="38" applyAlignment="1" applyProtection="1" pivotButton="0" quotePrefix="0" xfId="3">
      <alignment horizontal="left" vertical="center" shrinkToFit="1"/>
      <protection locked="0" hidden="0"/>
    </xf>
    <xf numFmtId="49" fontId="31" fillId="0" borderId="39" applyAlignment="1" applyProtection="1" pivotButton="0" quotePrefix="0" xfId="3">
      <alignment horizontal="left" vertical="center" shrinkToFit="1"/>
      <protection locked="0" hidden="0"/>
    </xf>
    <xf numFmtId="49" fontId="31" fillId="0" borderId="40" applyAlignment="1" applyProtection="1" pivotButton="0" quotePrefix="0" xfId="3">
      <alignment horizontal="left" vertical="center" shrinkToFit="1"/>
      <protection locked="0" hidden="0"/>
    </xf>
    <xf numFmtId="43" fontId="31" fillId="0" borderId="38" applyAlignment="1" applyProtection="1" pivotButton="0" quotePrefix="0" xfId="3">
      <alignment horizontal="right" vertical="center" shrinkToFit="1"/>
      <protection locked="0" hidden="0"/>
    </xf>
    <xf numFmtId="43" fontId="31" fillId="0" borderId="39" applyAlignment="1" applyProtection="1" pivotButton="0" quotePrefix="0" xfId="3">
      <alignment horizontal="right" vertical="center" shrinkToFit="1"/>
      <protection locked="0" hidden="0"/>
    </xf>
    <xf numFmtId="43" fontId="1" fillId="0" borderId="39" applyAlignment="1" pivotButton="0" quotePrefix="0" xfId="3">
      <alignment horizontal="right" vertical="center" shrinkToFit="1"/>
    </xf>
    <xf numFmtId="10" fontId="1" fillId="0" borderId="39" applyAlignment="1" pivotButton="0" quotePrefix="0" xfId="3">
      <alignment horizontal="right" vertical="center" shrinkToFit="1"/>
    </xf>
    <xf numFmtId="49" fontId="31" fillId="0" borderId="39" applyAlignment="1" applyProtection="1" pivotButton="0" quotePrefix="0" xfId="40">
      <alignment horizontal="left" vertical="center" shrinkToFit="1"/>
      <protection locked="0" hidden="0"/>
    </xf>
    <xf numFmtId="43" fontId="31" fillId="0" borderId="39" applyAlignment="1" applyProtection="1" pivotButton="0" quotePrefix="0" xfId="4">
      <alignment horizontal="right" vertical="center" shrinkToFit="1"/>
      <protection locked="0" hidden="0"/>
    </xf>
    <xf numFmtId="43" fontId="1" fillId="0" borderId="40" applyAlignment="1" pivotButton="0" quotePrefix="0" xfId="3">
      <alignment horizontal="right" vertical="center" shrinkToFit="1"/>
    </xf>
    <xf numFmtId="43" fontId="1" fillId="0" borderId="38" applyAlignment="1" pivotButton="0" quotePrefix="0" xfId="3">
      <alignment horizontal="right" vertical="center" shrinkToFit="1"/>
    </xf>
    <xf numFmtId="43" fontId="1" fillId="0" borderId="43" applyAlignment="1" pivotButton="0" quotePrefix="0" xfId="4">
      <alignment horizontal="right" vertical="center" shrinkToFit="1"/>
    </xf>
    <xf numFmtId="10" fontId="1" fillId="0" borderId="43" applyAlignment="1" pivotButton="0" quotePrefix="0" xfId="4">
      <alignment horizontal="right" vertical="center" shrinkToFit="1"/>
    </xf>
    <xf numFmtId="0" fontId="18" fillId="0" borderId="41" applyAlignment="1" pivotButton="0" quotePrefix="0" xfId="0">
      <alignment vertical="center"/>
    </xf>
    <xf numFmtId="49" fontId="31" fillId="0" borderId="42" applyAlignment="1" applyProtection="1" pivotButton="0" quotePrefix="0" xfId="3">
      <alignment horizontal="left" vertical="center" shrinkToFit="1"/>
      <protection locked="0" hidden="0"/>
    </xf>
    <xf numFmtId="43" fontId="1" fillId="0" borderId="43" applyAlignment="1" pivotButton="0" quotePrefix="0" xfId="7">
      <alignment horizontal="right" vertical="center" shrinkToFit="1"/>
    </xf>
    <xf numFmtId="10" fontId="1" fillId="0" borderId="43" applyAlignment="1" pivotButton="0" quotePrefix="0" xfId="7">
      <alignment horizontal="right" vertical="center" shrinkToFit="1"/>
    </xf>
    <xf numFmtId="43" fontId="2" fillId="0" borderId="43" applyAlignment="1" pivotButton="0" quotePrefix="0" xfId="7">
      <alignment horizontal="right" vertical="center" shrinkToFit="1"/>
    </xf>
    <xf numFmtId="10" fontId="2" fillId="0" borderId="43" applyAlignment="1" pivotButton="0" quotePrefix="0" xfId="7">
      <alignment horizontal="right" vertical="center" shrinkToFit="1"/>
    </xf>
    <xf numFmtId="49" fontId="2" fillId="0" borderId="38" applyAlignment="1" pivotButton="0" quotePrefix="0" xfId="10">
      <alignment horizontal="left" vertical="center"/>
    </xf>
    <xf numFmtId="49" fontId="2" fillId="0" borderId="39" applyAlignment="1" pivotButton="0" quotePrefix="0" xfId="10">
      <alignment horizontal="left" vertical="center"/>
    </xf>
    <xf numFmtId="43" fontId="2" fillId="0" borderId="39" applyAlignment="1" pivotButton="0" quotePrefix="0" xfId="59">
      <alignment horizontal="right" vertical="center"/>
    </xf>
    <xf numFmtId="43" fontId="1" fillId="2" borderId="39" applyAlignment="1" pivotButton="0" quotePrefix="0" xfId="59">
      <alignment horizontal="right" vertical="center"/>
    </xf>
    <xf numFmtId="10" fontId="2" fillId="0" borderId="39" applyAlignment="1" pivotButton="0" quotePrefix="0" xfId="10">
      <alignment horizontal="right" vertical="center"/>
    </xf>
    <xf numFmtId="0" fontId="2" fillId="0" borderId="39" applyAlignment="1" pivotButton="0" quotePrefix="0" xfId="10">
      <alignment horizontal="right" vertical="center"/>
    </xf>
    <xf numFmtId="43" fontId="2" fillId="2" borderId="40" applyAlignment="1" pivotButton="0" quotePrefix="0" xfId="59">
      <alignment horizontal="right" vertical="center"/>
    </xf>
    <xf numFmtId="43" fontId="2" fillId="2" borderId="43" applyAlignment="1" pivotButton="0" quotePrefix="0" xfId="59">
      <alignment vertical="center"/>
    </xf>
    <xf numFmtId="43" fontId="2" fillId="0" borderId="43" applyAlignment="1" pivotButton="0" quotePrefix="0" xfId="59">
      <alignment vertical="center"/>
    </xf>
    <xf numFmtId="43" fontId="2" fillId="2" borderId="43" applyAlignment="1" pivotButton="0" quotePrefix="0" xfId="59">
      <alignment horizontal="right" vertical="center"/>
    </xf>
    <xf numFmtId="49" fontId="1" fillId="0" borderId="38" applyAlignment="1" applyProtection="1" pivotButton="0" quotePrefix="0" xfId="6">
      <alignment horizontal="left" vertical="center" shrinkToFit="1"/>
      <protection locked="0" hidden="0"/>
    </xf>
    <xf numFmtId="43" fontId="1" fillId="0" borderId="39" applyAlignment="1" applyProtection="1" pivotButton="0" quotePrefix="0" xfId="6">
      <alignment horizontal="right" vertical="center" shrinkToFit="1"/>
      <protection locked="0" hidden="0"/>
    </xf>
    <xf numFmtId="49" fontId="1" fillId="0" borderId="39" applyAlignment="1" applyProtection="1" pivotButton="0" quotePrefix="0" xfId="6">
      <alignment horizontal="left" vertical="center" shrinkToFit="1"/>
      <protection locked="0" hidden="0"/>
    </xf>
    <xf numFmtId="0" fontId="1" fillId="0" borderId="39" applyAlignment="1" applyProtection="1" pivotButton="0" quotePrefix="0" xfId="8">
      <alignment horizontal="center" vertical="center"/>
      <protection locked="0" hidden="0"/>
    </xf>
    <xf numFmtId="0" fontId="1" fillId="0" borderId="40" applyAlignment="1" applyProtection="1" pivotButton="0" quotePrefix="0" xfId="8">
      <alignment horizontal="center" vertical="center"/>
      <protection locked="0" hidden="0"/>
    </xf>
    <xf numFmtId="43" fontId="1" fillId="0" borderId="43" applyAlignment="1" pivotButton="0" quotePrefix="0" xfId="12">
      <alignment horizontal="center" vertical="center" shrinkToFit="1"/>
    </xf>
    <xf numFmtId="41" fontId="1" fillId="0" borderId="38" applyAlignment="1" applyProtection="1" pivotButton="0" quotePrefix="0" xfId="0">
      <alignment vertical="center"/>
      <protection locked="0" hidden="0"/>
    </xf>
    <xf numFmtId="41" fontId="1" fillId="0" borderId="39" applyAlignment="1" applyProtection="1" pivotButton="0" quotePrefix="0" xfId="0">
      <alignment vertical="center"/>
      <protection locked="0" hidden="0"/>
    </xf>
    <xf numFmtId="1" fontId="1" fillId="0" borderId="39" applyAlignment="1" applyProtection="1" pivotButton="0" quotePrefix="0" xfId="0">
      <alignment horizontal="right"/>
      <protection locked="0" hidden="0"/>
    </xf>
    <xf numFmtId="41" fontId="1" fillId="0" borderId="40" applyAlignment="1" applyProtection="1" pivotButton="0" quotePrefix="0" xfId="0">
      <alignment vertical="center"/>
      <protection locked="0" hidden="0"/>
    </xf>
    <xf numFmtId="0" fontId="2" fillId="2" borderId="2" applyAlignment="1" applyProtection="1" pivotButton="0" quotePrefix="0" xfId="0">
      <alignment horizontal="left" vertical="center"/>
      <protection locked="0" hidden="0"/>
    </xf>
    <xf numFmtId="49" fontId="2" fillId="5" borderId="0" applyAlignment="1" applyProtection="1" pivotButton="0" quotePrefix="0" xfId="0">
      <alignment horizontal="center" vertical="center" shrinkToFit="1"/>
      <protection locked="0" hidden="0"/>
    </xf>
    <xf numFmtId="0" fontId="2" fillId="4" borderId="0" applyAlignment="1" applyProtection="1" pivotButton="0" quotePrefix="0" xfId="0">
      <alignment vertical="center"/>
      <protection locked="0" hidden="0"/>
    </xf>
    <xf numFmtId="43" fontId="2" fillId="2" borderId="3" applyAlignment="1" applyProtection="1" pivotButton="0" quotePrefix="0" xfId="0">
      <alignment horizontal="left" vertical="center" shrinkToFit="1"/>
      <protection locked="0" hidden="0"/>
    </xf>
    <xf numFmtId="0" fontId="2" fillId="4" borderId="2" applyAlignment="1" applyProtection="1" pivotButton="0" quotePrefix="0" xfId="0">
      <alignment vertical="center"/>
      <protection locked="0" hidden="0"/>
    </xf>
    <xf numFmtId="0" fontId="2" fillId="4" borderId="0" applyAlignment="1" applyProtection="1" pivotButton="0" quotePrefix="0" xfId="0">
      <alignment horizontal="left" vertical="center"/>
      <protection locked="0" hidden="0"/>
    </xf>
    <xf numFmtId="0" fontId="2" fillId="4" borderId="3" applyAlignment="1" applyProtection="1" pivotButton="0" quotePrefix="0" xfId="0">
      <alignment horizontal="left" vertical="center"/>
      <protection locked="0" hidden="0"/>
    </xf>
    <xf numFmtId="14" fontId="2" fillId="5" borderId="0" applyAlignment="1" applyProtection="1" pivotButton="0" quotePrefix="0" xfId="0">
      <alignment horizontal="center" vertical="center" shrinkToFit="1"/>
      <protection locked="0" hidden="0"/>
    </xf>
    <xf numFmtId="0" fontId="35" fillId="4" borderId="0" applyAlignment="1" applyProtection="1" pivotButton="0" quotePrefix="0" xfId="0">
      <alignment vertical="center"/>
      <protection locked="0" hidden="0"/>
    </xf>
    <xf numFmtId="0" fontId="2" fillId="7" borderId="0" applyAlignment="1" applyProtection="1" pivotButton="0" quotePrefix="0" xfId="0">
      <alignment horizontal="left" vertical="center"/>
      <protection locked="0" hidden="0"/>
    </xf>
    <xf numFmtId="0" fontId="2" fillId="7" borderId="3" applyAlignment="1" applyProtection="1" pivotButton="0" quotePrefix="0" xfId="0">
      <alignment horizontal="left" vertical="center"/>
      <protection locked="0" hidden="0"/>
    </xf>
    <xf numFmtId="0" fontId="2" fillId="4" borderId="4" applyAlignment="1" applyProtection="1" pivotButton="0" quotePrefix="0" xfId="0">
      <alignment vertical="center"/>
      <protection locked="0" hidden="0"/>
    </xf>
    <xf numFmtId="0" fontId="1" fillId="0" borderId="0" applyAlignment="1" applyProtection="1" pivotButton="0" quotePrefix="0" xfId="0">
      <alignment horizontal="right" vertical="center"/>
      <protection locked="0" hidden="0"/>
    </xf>
    <xf numFmtId="0" fontId="6" fillId="0" borderId="0" applyAlignment="1" pivotButton="0" quotePrefix="0" xfId="0">
      <alignment horizontal="left" vertical="center"/>
    </xf>
    <xf numFmtId="0" fontId="9" fillId="0" borderId="0" applyAlignment="1" pivotButton="0" quotePrefix="0" xfId="43">
      <alignment vertical="center"/>
    </xf>
    <xf numFmtId="0" fontId="141" fillId="0" borderId="0" applyAlignment="1" pivotButton="0" quotePrefix="0" xfId="43">
      <alignment vertical="center"/>
    </xf>
    <xf numFmtId="0" fontId="7" fillId="0" borderId="0" applyAlignment="1" pivotButton="0" quotePrefix="0" xfId="0">
      <alignment horizontal="center" vertical="center"/>
    </xf>
    <xf numFmtId="0" fontId="5" fillId="0" borderId="36" applyAlignment="1" pivotButton="0" quotePrefix="0" xfId="0">
      <alignment horizontal="center" vertical="center"/>
    </xf>
    <xf numFmtId="0" fontId="9" fillId="7" borderId="38" applyAlignment="1" pivotButton="0" quotePrefix="0" xfId="0">
      <alignment horizontal="center" vertical="center"/>
    </xf>
    <xf numFmtId="0" fontId="9" fillId="7" borderId="40" applyAlignment="1" pivotButton="0" quotePrefix="0" xfId="0">
      <alignment horizontal="center" vertical="center"/>
    </xf>
    <xf numFmtId="0" fontId="142" fillId="0" borderId="0" applyAlignment="1" applyProtection="1" pivotButton="0" quotePrefix="0" xfId="0">
      <alignment vertical="center"/>
      <protection locked="0" hidden="0"/>
    </xf>
    <xf numFmtId="0" fontId="5" fillId="2" borderId="0" applyAlignment="1" pivotButton="0" quotePrefix="0" xfId="0">
      <alignment horizontal="center" vertical="center" wrapText="1"/>
    </xf>
    <xf numFmtId="165" fontId="5" fillId="0" borderId="0" applyAlignment="1" applyProtection="1" pivotButton="0" quotePrefix="0" xfId="1236">
      <alignment horizontal="right" vertical="center"/>
      <protection locked="0" hidden="0"/>
    </xf>
    <xf numFmtId="165" fontId="2" fillId="0" borderId="0" applyAlignment="1" applyProtection="1" pivotButton="0" quotePrefix="0" xfId="1236">
      <alignment vertical="center"/>
      <protection locked="0" hidden="0"/>
    </xf>
    <xf numFmtId="0" fontId="6" fillId="0" borderId="7" applyAlignment="1" pivotButton="0" quotePrefix="0" xfId="452">
      <alignment horizontal="left" vertical="center"/>
    </xf>
    <xf numFmtId="0" fontId="1" fillId="0" borderId="12" applyAlignment="1" pivotButton="0" quotePrefix="0" xfId="452">
      <alignment vertical="center" wrapText="1"/>
    </xf>
    <xf numFmtId="0" fontId="6" fillId="0" borderId="38" applyAlignment="1" pivotButton="0" quotePrefix="0" xfId="452">
      <alignment horizontal="left" vertical="center"/>
    </xf>
    <xf numFmtId="0" fontId="1" fillId="0" borderId="40" applyAlignment="1" pivotButton="0" quotePrefix="0" xfId="452">
      <alignment vertical="center" wrapText="1"/>
    </xf>
    <xf numFmtId="166" fontId="18" fillId="0" borderId="0" applyAlignment="1" pivotButton="0" quotePrefix="0" xfId="29">
      <alignment horizontal="left" vertical="center"/>
    </xf>
    <xf numFmtId="166" fontId="6" fillId="0" borderId="0" applyAlignment="1" pivotButton="0" quotePrefix="0" xfId="29">
      <alignment horizontal="center" vertical="center"/>
    </xf>
    <xf numFmtId="0" fontId="6" fillId="2" borderId="0" applyAlignment="1" pivotButton="0" quotePrefix="0" xfId="10">
      <alignment horizontal="center" vertical="center"/>
    </xf>
    <xf numFmtId="0" fontId="6" fillId="2" borderId="0" applyAlignment="1" applyProtection="1" pivotButton="0" quotePrefix="0" xfId="6">
      <alignment horizontal="center" vertical="center"/>
      <protection locked="0" hidden="0"/>
    </xf>
    <xf numFmtId="166" fontId="143" fillId="0" borderId="0" applyAlignment="1" pivotButton="0" quotePrefix="0" xfId="43">
      <alignment horizontal="center" vertical="center"/>
    </xf>
    <xf numFmtId="165" fontId="2" fillId="0" borderId="11" applyAlignment="1" applyProtection="1" pivotButton="0" quotePrefix="0" xfId="1236">
      <alignment horizontal="center" vertical="center"/>
      <protection locked="0" hidden="0"/>
    </xf>
    <xf numFmtId="165" fontId="2" fillId="0" borderId="22" applyAlignment="1" applyProtection="1" pivotButton="0" quotePrefix="0" xfId="1236">
      <alignment horizontal="center" vertical="center"/>
      <protection locked="0" hidden="0"/>
    </xf>
    <xf numFmtId="165" fontId="2" fillId="0" borderId="23" applyAlignment="1" applyProtection="1" pivotButton="0" quotePrefix="0" xfId="1236">
      <alignment horizontal="center" vertical="center"/>
      <protection locked="0" hidden="0"/>
    </xf>
    <xf numFmtId="0" fontId="1" fillId="0" borderId="0" applyAlignment="1" applyProtection="1" pivotButton="0" quotePrefix="0" xfId="31">
      <alignment vertical="center"/>
      <protection locked="0" hidden="0"/>
    </xf>
    <xf numFmtId="0" fontId="2" fillId="0" borderId="4" applyAlignment="1" applyProtection="1" pivotButton="0" quotePrefix="0" xfId="24">
      <alignment vertical="center"/>
      <protection locked="0" hidden="0"/>
    </xf>
    <xf numFmtId="0" fontId="2" fillId="0" borderId="5" applyAlignment="1" applyProtection="1" pivotButton="0" quotePrefix="0" xfId="24">
      <alignment vertical="center"/>
      <protection locked="0" hidden="0"/>
    </xf>
    <xf numFmtId="0" fontId="6" fillId="0" borderId="5" applyAlignment="1" applyProtection="1" pivotButton="0" quotePrefix="0" xfId="24">
      <alignment vertical="center"/>
      <protection locked="0" hidden="0"/>
    </xf>
    <xf numFmtId="0" fontId="2" fillId="0" borderId="6" applyAlignment="1" applyProtection="1" pivotButton="0" quotePrefix="0" xfId="24">
      <alignment horizontal="left" vertical="center"/>
      <protection locked="0" hidden="0"/>
    </xf>
    <xf numFmtId="10" fontId="2" fillId="0" borderId="46" applyAlignment="1" pivotButton="0" quotePrefix="0" xfId="32">
      <alignment horizontal="right" vertical="center" shrinkToFit="1"/>
    </xf>
    <xf numFmtId="43" fontId="2" fillId="0" borderId="47" applyAlignment="1" pivotButton="0" quotePrefix="0" xfId="9">
      <alignment horizontal="right" vertical="center" shrinkToFit="1"/>
    </xf>
    <xf numFmtId="10" fontId="2" fillId="0" borderId="48" applyAlignment="1" pivotButton="0" quotePrefix="0" xfId="32">
      <alignment horizontal="right" vertical="center" shrinkToFit="1"/>
    </xf>
    <xf numFmtId="0" fontId="1" fillId="5" borderId="49" applyAlignment="1" applyProtection="1" pivotButton="0" quotePrefix="0" xfId="21">
      <alignment horizontal="center" vertical="center"/>
      <protection locked="0" hidden="0"/>
    </xf>
    <xf numFmtId="0" fontId="5" fillId="0" borderId="50" applyAlignment="1" applyProtection="1" pivotButton="0" quotePrefix="0" xfId="0">
      <alignment horizontal="center" vertical="center" wrapText="1"/>
      <protection locked="0" hidden="0"/>
    </xf>
    <xf numFmtId="0" fontId="5" fillId="0" borderId="51" applyAlignment="1" applyProtection="1" pivotButton="0" quotePrefix="0" xfId="0">
      <alignment horizontal="left" vertical="center" wrapText="1"/>
      <protection locked="0" hidden="0"/>
    </xf>
    <xf numFmtId="0" fontId="1" fillId="0" borderId="52" applyAlignment="1" applyProtection="1" pivotButton="0" quotePrefix="0" xfId="23">
      <alignment horizontal="left" vertical="center" wrapText="1"/>
      <protection locked="0" hidden="0"/>
    </xf>
    <xf numFmtId="0" fontId="1" fillId="9" borderId="53" applyAlignment="1" pivotButton="0" quotePrefix="0" xfId="0">
      <alignment horizontal="center" vertical="center" wrapText="1"/>
    </xf>
    <xf numFmtId="0" fontId="1" fillId="9" borderId="54" applyAlignment="1" pivotButton="0" quotePrefix="0" xfId="0">
      <alignment horizontal="center" vertical="center" wrapText="1"/>
    </xf>
    <xf numFmtId="0" fontId="6" fillId="7" borderId="12" applyAlignment="1" applyProtection="1" pivotButton="0" quotePrefix="0" xfId="3">
      <alignment horizontal="center" vertical="top" wrapText="1"/>
      <protection locked="0" hidden="0"/>
    </xf>
    <xf numFmtId="0" fontId="1" fillId="9" borderId="15" applyAlignment="1" pivotButton="0" quotePrefix="0" xfId="0">
      <alignment horizontal="center" vertical="center" wrapText="1"/>
    </xf>
    <xf numFmtId="0" fontId="31" fillId="0" borderId="55" applyAlignment="1" applyProtection="1" pivotButton="0" quotePrefix="0" xfId="3">
      <alignment horizontal="center" vertical="center" wrapText="1"/>
      <protection locked="0" hidden="0"/>
    </xf>
    <xf numFmtId="10" fontId="1" fillId="0" borderId="14" applyAlignment="1" pivotButton="0" quotePrefix="0" xfId="3">
      <alignment horizontal="right" vertical="center" shrinkToFit="1"/>
    </xf>
    <xf numFmtId="0" fontId="6" fillId="4" borderId="10" applyAlignment="1" applyProtection="1" pivotButton="0" quotePrefix="0" xfId="3">
      <alignment horizontal="center" vertical="top" wrapText="1"/>
      <protection locked="0" hidden="0"/>
    </xf>
    <xf numFmtId="0" fontId="31" fillId="0" borderId="14" applyAlignment="1" applyProtection="1" pivotButton="0" quotePrefix="0" xfId="3">
      <alignment horizontal="center" vertical="center" wrapText="1"/>
      <protection locked="0" hidden="0"/>
    </xf>
    <xf numFmtId="10" fontId="1" fillId="0" borderId="36" applyAlignment="1" pivotButton="0" quotePrefix="0" xfId="3">
      <alignment horizontal="right" vertical="center" shrinkToFit="1"/>
    </xf>
    <xf numFmtId="0" fontId="42" fillId="0" borderId="0" applyAlignment="1" pivotButton="0" quotePrefix="0" xfId="10">
      <alignment vertical="center"/>
    </xf>
    <xf numFmtId="0" fontId="5" fillId="0" borderId="0" applyAlignment="1" pivotButton="0" quotePrefix="0" xfId="0">
      <alignment horizontal="center" vertical="center"/>
    </xf>
    <xf numFmtId="0" fontId="9" fillId="7" borderId="56" applyAlignment="1" pivotButton="0" quotePrefix="0" xfId="0">
      <alignment horizontal="center" vertical="center"/>
    </xf>
    <xf numFmtId="0" fontId="5" fillId="2" borderId="41" applyAlignment="1" pivotButton="0" quotePrefix="0" xfId="0">
      <alignment horizontal="center" vertical="center" wrapText="1"/>
    </xf>
    <xf numFmtId="0" fontId="5" fillId="0" borderId="42" applyAlignment="1" pivotButton="0" quotePrefix="0" xfId="0">
      <alignment horizontal="center" vertical="center"/>
    </xf>
    <xf numFmtId="165" fontId="5" fillId="0" borderId="39" applyAlignment="1" applyProtection="1" pivotButton="0" quotePrefix="0" xfId="1236">
      <alignment horizontal="right" vertical="center"/>
      <protection locked="0" hidden="0"/>
    </xf>
    <xf numFmtId="0" fontId="144" fillId="0" borderId="0" applyAlignment="1" pivotButton="0" quotePrefix="0" xfId="0">
      <alignment vertical="center"/>
    </xf>
    <xf numFmtId="0" fontId="9" fillId="0" borderId="0" applyAlignment="1" pivotButton="0" quotePrefix="0" xfId="0">
      <alignment vertical="center"/>
    </xf>
    <xf numFmtId="0" fontId="9" fillId="50" borderId="38" applyAlignment="1" pivotButton="0" quotePrefix="0" xfId="0">
      <alignment horizontal="left" vertical="center"/>
    </xf>
    <xf numFmtId="9" fontId="1" fillId="0" borderId="40" applyAlignment="1" pivotButton="0" quotePrefix="0" xfId="0">
      <alignment horizontal="right" vertical="center" wrapText="1"/>
    </xf>
    <xf numFmtId="0" fontId="6" fillId="0" borderId="0" applyAlignment="1" pivotButton="0" quotePrefix="0" xfId="34">
      <alignment horizontal="right"/>
    </xf>
    <xf numFmtId="167" fontId="31" fillId="0" borderId="0" applyAlignment="1" pivotButton="0" quotePrefix="0" xfId="36">
      <alignment vertical="center"/>
    </xf>
    <xf numFmtId="0" fontId="145" fillId="0" borderId="0" pivotButton="0" quotePrefix="0" xfId="37"/>
    <xf numFmtId="0" fontId="31" fillId="0" borderId="0" applyAlignment="1" pivotButton="0" quotePrefix="0" xfId="36">
      <alignment vertical="center"/>
    </xf>
    <xf numFmtId="0" fontId="9" fillId="0" borderId="56" applyAlignment="1" pivotButton="0" quotePrefix="0" xfId="452">
      <alignment vertical="center"/>
    </xf>
    <xf numFmtId="0" fontId="31" fillId="0" borderId="56" applyAlignment="1" pivotButton="0" quotePrefix="0" xfId="3">
      <alignment vertical="center" wrapText="1"/>
    </xf>
    <xf numFmtId="0" fontId="31" fillId="2" borderId="56" applyAlignment="1" applyProtection="1" pivotButton="0" quotePrefix="0" xfId="3">
      <alignment vertical="center"/>
      <protection locked="0" hidden="0"/>
    </xf>
    <xf numFmtId="0" fontId="142" fillId="0" borderId="0" applyAlignment="1" pivotButton="0" quotePrefix="0" xfId="0">
      <alignment vertical="center"/>
    </xf>
    <xf numFmtId="0" fontId="11" fillId="0" borderId="51" applyAlignment="1" applyProtection="1" pivotButton="0" quotePrefix="1" xfId="57">
      <alignment horizontal="center" vertical="center" wrapText="1"/>
      <protection locked="0" hidden="0"/>
    </xf>
    <xf numFmtId="0" fontId="2" fillId="0" borderId="57" applyAlignment="1" applyProtection="1" pivotButton="0" quotePrefix="0" xfId="31">
      <alignment horizontal="center" vertical="center"/>
      <protection locked="0" hidden="0"/>
    </xf>
    <xf numFmtId="0" fontId="2" fillId="0" borderId="58" applyAlignment="1" applyProtection="1" pivotButton="0" quotePrefix="0" xfId="31">
      <alignment horizontal="center" vertical="center" wrapText="1"/>
      <protection locked="0" hidden="0"/>
    </xf>
    <xf numFmtId="0" fontId="2" fillId="0" borderId="57" applyAlignment="1" applyProtection="1" pivotButton="0" quotePrefix="0" xfId="31">
      <alignment horizontal="center" vertical="center" wrapText="1"/>
      <protection locked="0" hidden="0"/>
    </xf>
    <xf numFmtId="0" fontId="2" fillId="0" borderId="44" applyAlignment="1" applyProtection="1" pivotButton="0" quotePrefix="0" xfId="31">
      <alignment horizontal="center" vertical="center" wrapText="1"/>
      <protection locked="0" hidden="0"/>
    </xf>
    <xf numFmtId="168" fontId="2" fillId="0" borderId="59" applyAlignment="1" applyProtection="1" pivotButton="0" quotePrefix="0" xfId="6">
      <alignment horizontal="left" vertical="center" shrinkToFit="1"/>
      <protection locked="0" hidden="0"/>
    </xf>
    <xf numFmtId="168" fontId="2" fillId="0" borderId="47" applyAlignment="1" applyProtection="1" pivotButton="0" quotePrefix="0" xfId="6">
      <alignment horizontal="left" vertical="center" shrinkToFit="1"/>
      <protection locked="0" hidden="0"/>
    </xf>
    <xf numFmtId="43" fontId="2" fillId="0" borderId="60" applyAlignment="1" pivotButton="0" quotePrefix="0" xfId="6">
      <alignment horizontal="right" vertical="center" shrinkToFit="1"/>
    </xf>
    <xf numFmtId="0" fontId="6" fillId="0" borderId="0" applyAlignment="1" pivotButton="0" quotePrefix="0" xfId="0">
      <alignment vertical="center" wrapText="1"/>
    </xf>
    <xf numFmtId="0" fontId="2" fillId="0" borderId="61" applyAlignment="1" applyProtection="1" pivotButton="0" quotePrefix="0" xfId="31">
      <alignment vertical="center"/>
      <protection locked="0" hidden="0"/>
    </xf>
    <xf numFmtId="0" fontId="2" fillId="0" borderId="44" applyAlignment="1" applyProtection="1" pivotButton="0" quotePrefix="0" xfId="31">
      <alignment vertical="center"/>
      <protection locked="0" hidden="0"/>
    </xf>
    <xf numFmtId="0" fontId="2" fillId="0" borderId="45" applyAlignment="1" applyProtection="1" pivotButton="0" quotePrefix="0" xfId="31">
      <alignment horizontal="center" vertical="center" wrapText="1"/>
      <protection locked="0" hidden="0"/>
    </xf>
    <xf numFmtId="43" fontId="2" fillId="0" borderId="62" applyAlignment="1" pivotButton="0" quotePrefix="0" xfId="6">
      <alignment horizontal="right" vertical="center" shrinkToFit="1"/>
    </xf>
    <xf numFmtId="43" fontId="2" fillId="0" borderId="48" applyAlignment="1" pivotButton="0" quotePrefix="0" xfId="6">
      <alignment horizontal="right" vertical="center" shrinkToFit="1"/>
    </xf>
    <xf numFmtId="0" fontId="2" fillId="0" borderId="63" applyAlignment="1" applyProtection="1" pivotButton="0" quotePrefix="0" xfId="31">
      <alignment horizontal="center" vertical="center"/>
      <protection locked="0" hidden="0"/>
    </xf>
    <xf numFmtId="0" fontId="8" fillId="2" borderId="64" applyAlignment="1" applyProtection="1" pivotButton="0" quotePrefix="0" xfId="0">
      <alignment horizontal="center" vertical="center" wrapText="1"/>
      <protection locked="0" hidden="0"/>
    </xf>
    <xf numFmtId="0" fontId="8" fillId="2" borderId="65" applyAlignment="1" applyProtection="1" pivotButton="0" quotePrefix="0" xfId="0">
      <alignment horizontal="center" vertical="center" wrapText="1"/>
      <protection locked="0" hidden="0"/>
    </xf>
    <xf numFmtId="49" fontId="5" fillId="0" borderId="66" applyAlignment="1" applyProtection="1" pivotButton="0" quotePrefix="0" xfId="6">
      <alignment horizontal="center" vertical="center" wrapText="1"/>
      <protection locked="0" hidden="0"/>
    </xf>
    <xf numFmtId="43" fontId="2" fillId="0" borderId="67" applyAlignment="1" pivotButton="0" quotePrefix="0" xfId="9">
      <alignment horizontal="right" vertical="center" shrinkToFit="1"/>
    </xf>
    <xf numFmtId="0" fontId="5" fillId="10" borderId="0" applyAlignment="1" pivotButton="0" quotePrefix="0" xfId="0">
      <alignment vertical="center"/>
    </xf>
    <xf numFmtId="0" fontId="17" fillId="3" borderId="73" applyAlignment="1" applyProtection="1" pivotButton="0" quotePrefix="0" xfId="0">
      <alignment horizontal="left" vertical="center" wrapText="1"/>
      <protection locked="0" hidden="0"/>
    </xf>
    <xf numFmtId="0" fontId="17" fillId="0" borderId="74" applyAlignment="1" pivotButton="0" quotePrefix="0" xfId="0">
      <alignment vertical="center"/>
    </xf>
    <xf numFmtId="0" fontId="17" fillId="51" borderId="73" applyAlignment="1" applyProtection="1" pivotButton="0" quotePrefix="0" xfId="0">
      <alignment horizontal="left" vertical="center" wrapText="1"/>
      <protection locked="0" hidden="0"/>
    </xf>
    <xf numFmtId="43" fontId="16" fillId="0" borderId="73" applyAlignment="1" pivotButton="0" quotePrefix="0" xfId="4">
      <alignment horizontal="left" vertical="center" shrinkToFit="1"/>
    </xf>
    <xf numFmtId="43" fontId="16" fillId="0" borderId="73" applyAlignment="1" pivotButton="0" quotePrefix="0" xfId="4">
      <alignment horizontal="right" vertical="center" shrinkToFit="1"/>
    </xf>
    <xf numFmtId="0" fontId="19" fillId="0" borderId="73" applyAlignment="1" applyProtection="1" pivotButton="0" quotePrefix="0" xfId="0">
      <alignment horizontal="left" vertical="center" wrapText="1"/>
      <protection locked="0" hidden="0"/>
    </xf>
    <xf numFmtId="0" fontId="18" fillId="0" borderId="74" applyAlignment="1" pivotButton="0" quotePrefix="0" xfId="0">
      <alignment vertical="center"/>
    </xf>
    <xf numFmtId="0" fontId="16" fillId="0" borderId="73" applyAlignment="1" pivotButton="0" quotePrefix="0" xfId="10">
      <alignment vertical="center"/>
    </xf>
    <xf numFmtId="0" fontId="20" fillId="3" borderId="75" applyAlignment="1" pivotButton="0" quotePrefix="0" xfId="0">
      <alignment vertical="center"/>
    </xf>
    <xf numFmtId="0" fontId="20" fillId="3" borderId="76" applyAlignment="1" applyProtection="1" pivotButton="0" quotePrefix="0" xfId="0">
      <alignment vertical="center"/>
      <protection locked="0" hidden="0"/>
    </xf>
    <xf numFmtId="0" fontId="18" fillId="0" borderId="75" applyAlignment="1" pivotButton="0" quotePrefix="0" xfId="2">
      <alignment horizontal="left" vertical="top"/>
    </xf>
    <xf numFmtId="0" fontId="18" fillId="0" borderId="76" applyAlignment="1" pivotButton="0" quotePrefix="0" xfId="0">
      <alignment vertical="center" wrapText="1"/>
    </xf>
    <xf numFmtId="0" fontId="29" fillId="0" borderId="73" applyAlignment="1" applyProtection="1" pivotButton="0" quotePrefix="0" xfId="0">
      <alignment vertical="center" wrapText="1"/>
      <protection locked="0" hidden="0"/>
    </xf>
    <xf numFmtId="0" fontId="18" fillId="0" borderId="77" applyAlignment="1" pivotButton="0" quotePrefix="0" xfId="0">
      <alignment vertical="center"/>
    </xf>
    <xf numFmtId="0" fontId="2" fillId="2" borderId="73" applyAlignment="1" pivotButton="0" quotePrefix="0" xfId="10">
      <alignment horizontal="left" vertical="center"/>
    </xf>
    <xf numFmtId="43" fontId="42" fillId="8" borderId="57" applyAlignment="1" applyProtection="1" pivotButton="0" quotePrefix="0" xfId="59">
      <alignment horizontal="center" vertical="center" wrapText="1"/>
      <protection locked="0" hidden="0"/>
    </xf>
    <xf numFmtId="0" fontId="9" fillId="8" borderId="58" applyAlignment="1" applyProtection="1" pivotButton="0" quotePrefix="0" xfId="10">
      <alignment horizontal="center" vertical="center" wrapText="1"/>
      <protection locked="0" hidden="0"/>
    </xf>
    <xf numFmtId="0" fontId="9" fillId="8" borderId="58" applyAlignment="1" pivotButton="0" quotePrefix="0" xfId="10">
      <alignment horizontal="center" vertical="center" wrapText="1"/>
    </xf>
    <xf numFmtId="0" fontId="9" fillId="7" borderId="58" applyAlignment="1" pivotButton="0" quotePrefix="0" xfId="10">
      <alignment horizontal="center" vertical="center" wrapText="1"/>
    </xf>
    <xf numFmtId="49" fontId="2" fillId="2" borderId="78" applyAlignment="1" pivotButton="0" quotePrefix="0" xfId="10">
      <alignment horizontal="left" vertical="center"/>
    </xf>
    <xf numFmtId="49" fontId="2" fillId="2" borderId="73" applyAlignment="1" pivotButton="0" quotePrefix="0" xfId="10">
      <alignment horizontal="left" vertical="center"/>
    </xf>
    <xf numFmtId="43" fontId="2" fillId="2" borderId="73" applyAlignment="1" pivotButton="0" quotePrefix="0" xfId="59">
      <alignment horizontal="right" vertical="center"/>
    </xf>
    <xf numFmtId="10" fontId="2" fillId="2" borderId="73" applyAlignment="1" pivotButton="0" quotePrefix="0" xfId="51">
      <alignment horizontal="right" vertical="center"/>
    </xf>
    <xf numFmtId="14" fontId="2" fillId="2" borderId="73" applyAlignment="1" pivotButton="0" quotePrefix="0" xfId="10">
      <alignment vertical="center"/>
    </xf>
    <xf numFmtId="0" fontId="2" fillId="0" borderId="73" applyAlignment="1" pivotButton="0" quotePrefix="0" xfId="10">
      <alignment horizontal="right" vertical="center"/>
    </xf>
    <xf numFmtId="43" fontId="2" fillId="0" borderId="79" applyAlignment="1" pivotButton="0" quotePrefix="0" xfId="59">
      <alignment horizontal="right" vertical="center"/>
    </xf>
    <xf numFmtId="49" fontId="2" fillId="0" borderId="62" applyAlignment="1" pivotButton="0" quotePrefix="0" xfId="10">
      <alignment horizontal="left" vertical="center"/>
    </xf>
    <xf numFmtId="49" fontId="2" fillId="0" borderId="60" applyAlignment="1" pivotButton="0" quotePrefix="0" xfId="10">
      <alignment horizontal="left" vertical="center"/>
    </xf>
    <xf numFmtId="43" fontId="2" fillId="0" borderId="60" applyAlignment="1" pivotButton="0" quotePrefix="0" xfId="59">
      <alignment horizontal="right" vertical="center"/>
    </xf>
    <xf numFmtId="10" fontId="2" fillId="0" borderId="60" applyAlignment="1" pivotButton="0" quotePrefix="0" xfId="51">
      <alignment horizontal="right" vertical="center"/>
    </xf>
    <xf numFmtId="14" fontId="2" fillId="0" borderId="60" applyAlignment="1" pivotButton="0" quotePrefix="0" xfId="10">
      <alignment vertical="center"/>
    </xf>
    <xf numFmtId="0" fontId="2" fillId="2" borderId="60" applyAlignment="1" pivotButton="0" quotePrefix="0" xfId="10">
      <alignment horizontal="left" vertical="center"/>
    </xf>
    <xf numFmtId="43" fontId="2" fillId="0" borderId="48" applyAlignment="1" pivotButton="0" quotePrefix="0" xfId="59">
      <alignment horizontal="right" vertical="center"/>
    </xf>
    <xf numFmtId="0" fontId="9" fillId="5" borderId="0" applyAlignment="1" applyProtection="1" pivotButton="0" quotePrefix="0" xfId="21">
      <alignment horizontal="left" vertical="center"/>
      <protection locked="0" hidden="0"/>
    </xf>
    <xf numFmtId="0" fontId="149" fillId="0" borderId="0" applyAlignment="1" pivotButton="0" quotePrefix="0" xfId="2">
      <alignment vertical="center"/>
    </xf>
    <xf numFmtId="0" fontId="149" fillId="0" borderId="0" applyAlignment="1" applyProtection="1" pivotButton="0" quotePrefix="0" xfId="6">
      <alignment horizontal="center" vertical="center"/>
      <protection locked="0" hidden="0"/>
    </xf>
    <xf numFmtId="0" fontId="149" fillId="0" borderId="0" applyAlignment="1" applyProtection="1" pivotButton="0" quotePrefix="0" xfId="6">
      <alignment vertical="center"/>
      <protection locked="0" hidden="0"/>
    </xf>
    <xf numFmtId="0" fontId="149" fillId="0" borderId="0" applyAlignment="1" pivotButton="0" quotePrefix="0" xfId="10">
      <alignment vertical="center"/>
    </xf>
    <xf numFmtId="0" fontId="149" fillId="2" borderId="0" applyAlignment="1" pivotButton="0" quotePrefix="0" xfId="58">
      <alignment vertical="center" shrinkToFit="1"/>
    </xf>
    <xf numFmtId="0" fontId="149" fillId="0" borderId="0" applyAlignment="1" applyProtection="1" pivotButton="0" quotePrefix="0" xfId="3">
      <alignment horizontal="center" vertical="center"/>
      <protection locked="0" hidden="0"/>
    </xf>
    <xf numFmtId="0" fontId="149"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12" fillId="10" borderId="0" applyAlignment="1" pivotButton="0" quotePrefix="0" xfId="0">
      <alignment vertical="center"/>
    </xf>
    <xf numFmtId="0" fontId="155" fillId="0" borderId="0" applyAlignment="1" pivotButton="0" quotePrefix="0" xfId="0">
      <alignment vertical="center"/>
    </xf>
    <xf numFmtId="0" fontId="6" fillId="2" borderId="0" applyAlignment="1" pivotButton="0" quotePrefix="0" xfId="58">
      <alignment vertical="center" shrinkToFit="1"/>
    </xf>
    <xf numFmtId="169" fontId="9" fillId="0" borderId="0" applyAlignment="1" applyProtection="1" pivotButton="0" quotePrefix="0" xfId="44">
      <alignment horizontal="right" vertical="center"/>
      <protection locked="0" hidden="0"/>
    </xf>
    <xf numFmtId="169" fontId="9" fillId="0" borderId="0" applyAlignment="1" applyProtection="1" pivotButton="0" quotePrefix="0" xfId="44">
      <alignment vertical="center" wrapText="1"/>
      <protection locked="0" hidden="0"/>
    </xf>
    <xf numFmtId="0" fontId="2" fillId="2" borderId="0" applyAlignment="1" pivotButton="0" quotePrefix="0" xfId="0">
      <alignment vertical="center"/>
    </xf>
    <xf numFmtId="0" fontId="1" fillId="0" borderId="0" applyAlignment="1" applyProtection="1" pivotButton="0" quotePrefix="0" xfId="46">
      <alignment horizontal="center" vertical="center" wrapText="1"/>
      <protection locked="0" hidden="0"/>
    </xf>
    <xf numFmtId="0" fontId="9" fillId="7" borderId="38" applyAlignment="1" pivotButton="0" quotePrefix="0" xfId="45">
      <alignment horizontal="left" vertical="center"/>
    </xf>
    <xf numFmtId="49" fontId="5" fillId="0" borderId="11" applyAlignment="1" applyProtection="1" pivotButton="0" quotePrefix="0" xfId="3">
      <alignment horizontal="center" vertical="center" wrapText="1"/>
      <protection locked="0" hidden="0"/>
    </xf>
    <xf numFmtId="0" fontId="6" fillId="0" borderId="0" applyAlignment="1" applyProtection="1" pivotButton="0" quotePrefix="0" xfId="6">
      <alignment vertical="center"/>
      <protection locked="0" hidden="0"/>
    </xf>
    <xf numFmtId="0" fontId="6" fillId="0" borderId="0" applyAlignment="1" pivotButton="0" quotePrefix="0" xfId="10">
      <alignment vertical="center"/>
    </xf>
    <xf numFmtId="0" fontId="156" fillId="5" borderId="0" applyAlignment="1" applyProtection="1" pivotButton="0" quotePrefix="0" xfId="10">
      <alignment vertical="center"/>
      <protection locked="0" hidden="0"/>
    </xf>
    <xf numFmtId="0" fontId="9" fillId="8" borderId="45" applyAlignment="1" pivotButton="0" quotePrefix="0" xfId="10">
      <alignment horizontal="center" vertical="center" wrapText="1"/>
    </xf>
    <xf numFmtId="0" fontId="1" fillId="0" borderId="73" pivotButton="0" quotePrefix="0" xfId="0"/>
    <xf numFmtId="0" fontId="1" fillId="0" borderId="73" applyAlignment="1" pivotButton="0" quotePrefix="0" xfId="0">
      <alignment vertical="center"/>
    </xf>
    <xf numFmtId="49" fontId="5" fillId="0" borderId="25" applyAlignment="1" applyProtection="1" pivotButton="0" quotePrefix="0" xfId="3">
      <alignment horizontal="center" vertical="center" wrapText="1"/>
      <protection locked="0" hidden="0"/>
    </xf>
    <xf numFmtId="0" fontId="157" fillId="0" borderId="0" applyAlignment="1" pivotButton="0" quotePrefix="0" xfId="0">
      <alignment vertical="center"/>
    </xf>
    <xf numFmtId="43" fontId="19" fillId="0" borderId="73" applyAlignment="1" pivotButton="0" quotePrefix="0" xfId="9">
      <alignment horizontal="left" vertical="center" wrapText="1"/>
    </xf>
    <xf numFmtId="0" fontId="9" fillId="7" borderId="75" applyAlignment="1" pivotButton="0" quotePrefix="0" xfId="0">
      <alignment horizontal="center" vertical="center"/>
    </xf>
    <xf numFmtId="9" fontId="9" fillId="7" borderId="76" applyAlignment="1" pivotButton="0" quotePrefix="0" xfId="1030">
      <alignment horizontal="center" vertical="center"/>
    </xf>
    <xf numFmtId="0" fontId="5" fillId="2" borderId="80" applyAlignment="1" pivotButton="0" quotePrefix="0" xfId="0">
      <alignment horizontal="center" vertical="center" wrapText="1"/>
    </xf>
    <xf numFmtId="165" fontId="5" fillId="0" borderId="73" applyAlignment="1" applyProtection="1" pivotButton="0" quotePrefix="0" xfId="1236">
      <alignment horizontal="right" vertical="center"/>
      <protection locked="0" hidden="0"/>
    </xf>
    <xf numFmtId="0" fontId="6" fillId="0" borderId="75" applyAlignment="1" pivotButton="0" quotePrefix="0" xfId="452">
      <alignment horizontal="left" vertical="center"/>
    </xf>
    <xf numFmtId="0" fontId="1" fillId="0" borderId="76" applyAlignment="1" pivotButton="0" quotePrefix="0" xfId="452">
      <alignment vertical="center" wrapText="1"/>
    </xf>
    <xf numFmtId="0" fontId="1" fillId="0" borderId="76" applyAlignment="1" pivotButton="0" quotePrefix="0" xfId="452">
      <alignment horizontal="left" vertical="center" wrapText="1"/>
    </xf>
    <xf numFmtId="0" fontId="26" fillId="0" borderId="75" applyAlignment="1" pivotButton="0" quotePrefix="0" xfId="0">
      <alignment horizontal="left" vertical="center"/>
    </xf>
    <xf numFmtId="0" fontId="5" fillId="0" borderId="76" applyAlignment="1" pivotButton="0" quotePrefix="0" xfId="0">
      <alignment vertical="center" wrapText="1"/>
    </xf>
    <xf numFmtId="0" fontId="5" fillId="0" borderId="76" applyAlignment="1" pivotButton="0" quotePrefix="0" xfId="0">
      <alignment horizontal="left" vertical="center" wrapText="1"/>
    </xf>
    <xf numFmtId="0" fontId="19" fillId="0" borderId="73" applyAlignment="1" pivotButton="0" quotePrefix="0" xfId="0">
      <alignment vertical="center" wrapText="1"/>
    </xf>
    <xf numFmtId="17" fontId="18" fillId="0" borderId="74" applyAlignment="1" pivotButton="0" quotePrefix="0" xfId="0">
      <alignment horizontal="center" vertical="center"/>
    </xf>
    <xf numFmtId="0" fontId="18" fillId="0" borderId="77" applyAlignment="1" pivotButton="0" quotePrefix="0" xfId="2">
      <alignment vertical="center"/>
    </xf>
    <xf numFmtId="168" fontId="2" fillId="0" borderId="81" applyAlignment="1" applyProtection="1" pivotButton="0" quotePrefix="0" xfId="6">
      <alignment horizontal="left" vertical="center" shrinkToFit="1"/>
      <protection locked="0" hidden="0"/>
    </xf>
    <xf numFmtId="43" fontId="2" fillId="0" borderId="78" applyAlignment="1" pivotButton="0" quotePrefix="0" xfId="6">
      <alignment horizontal="right" vertical="center" shrinkToFit="1"/>
    </xf>
    <xf numFmtId="43" fontId="2" fillId="0" borderId="73" applyAlignment="1" pivotButton="0" quotePrefix="0" xfId="6">
      <alignment horizontal="right" vertical="center" shrinkToFit="1"/>
    </xf>
    <xf numFmtId="43" fontId="2" fillId="0" borderId="79" applyAlignment="1" pivotButton="0" quotePrefix="0" xfId="6">
      <alignment horizontal="right" vertical="center" shrinkToFit="1"/>
    </xf>
    <xf numFmtId="43" fontId="2" fillId="0" borderId="70" applyAlignment="1" pivotButton="0" quotePrefix="0" xfId="9">
      <alignment horizontal="right" vertical="center" shrinkToFit="1"/>
    </xf>
    <xf numFmtId="43" fontId="2" fillId="0" borderId="81" applyAlignment="1" pivotButton="0" quotePrefix="0" xfId="9">
      <alignment horizontal="right" vertical="center" shrinkToFit="1"/>
    </xf>
    <xf numFmtId="0" fontId="18" fillId="0" borderId="76" applyAlignment="1" pivotButton="0" quotePrefix="0" xfId="1">
      <alignment vertical="center" wrapText="1"/>
    </xf>
    <xf numFmtId="49" fontId="1" fillId="0" borderId="75" applyAlignment="1" pivotButton="0" quotePrefix="0" xfId="3">
      <alignment horizontal="left" vertical="center" shrinkToFit="1"/>
    </xf>
    <xf numFmtId="49" fontId="1" fillId="0" borderId="73" applyAlignment="1" pivotButton="0" quotePrefix="0" xfId="3">
      <alignment horizontal="left" vertical="center" shrinkToFit="1"/>
    </xf>
    <xf numFmtId="43" fontId="1" fillId="0" borderId="75" applyAlignment="1" pivotButton="0" quotePrefix="0" xfId="3">
      <alignment horizontal="right" vertical="center" shrinkToFit="1"/>
    </xf>
    <xf numFmtId="43" fontId="1" fillId="0" borderId="73" applyAlignment="1" pivotButton="0" quotePrefix="0" xfId="3">
      <alignment horizontal="right" vertical="center" shrinkToFit="1"/>
    </xf>
    <xf numFmtId="10" fontId="1" fillId="0" borderId="73" applyAlignment="1" pivotButton="0" quotePrefix="0" xfId="3">
      <alignment horizontal="right" vertical="center" shrinkToFit="1"/>
    </xf>
    <xf numFmtId="43" fontId="1" fillId="0" borderId="76" applyAlignment="1" pivotButton="0" quotePrefix="0" xfId="3">
      <alignment horizontal="right" vertical="center" shrinkToFit="1"/>
    </xf>
    <xf numFmtId="49" fontId="1" fillId="0" borderId="76" applyAlignment="1" pivotButton="0" quotePrefix="0" xfId="3">
      <alignment horizontal="left" vertical="center" shrinkToFit="1"/>
    </xf>
    <xf numFmtId="0" fontId="1" fillId="0" borderId="82" applyAlignment="1" applyProtection="1" pivotButton="0" quotePrefix="0" xfId="3">
      <alignment horizontal="center" vertical="center"/>
      <protection locked="0" hidden="0"/>
    </xf>
    <xf numFmtId="0" fontId="1" fillId="0" borderId="83" applyAlignment="1" applyProtection="1" pivotButton="0" quotePrefix="0" xfId="3">
      <alignment horizontal="center" vertical="center"/>
      <protection locked="0" hidden="0"/>
    </xf>
    <xf numFmtId="0" fontId="31" fillId="0" borderId="84" applyAlignment="1" pivotButton="0" quotePrefix="0" xfId="3">
      <alignment vertical="center" wrapText="1"/>
    </xf>
    <xf numFmtId="0" fontId="31" fillId="0" borderId="84" applyAlignment="1" pivotButton="0" quotePrefix="0" xfId="3">
      <alignment horizontal="center" vertical="center" wrapText="1"/>
    </xf>
    <xf numFmtId="0" fontId="31" fillId="0" borderId="85" applyAlignment="1" pivotButton="0" quotePrefix="0" xfId="3">
      <alignment vertical="center" wrapText="1"/>
    </xf>
    <xf numFmtId="14" fontId="31" fillId="0" borderId="84" applyAlignment="1" pivotButton="0" quotePrefix="0" xfId="3">
      <alignment horizontal="center" vertical="center" wrapText="1"/>
    </xf>
    <xf numFmtId="0" fontId="31" fillId="2" borderId="84" applyAlignment="1" applyProtection="1" pivotButton="0" quotePrefix="0" xfId="3">
      <alignment vertical="center"/>
      <protection locked="0" hidden="0"/>
    </xf>
    <xf numFmtId="0" fontId="6" fillId="7" borderId="83" applyAlignment="1" applyProtection="1" pivotButton="0" quotePrefix="0" xfId="3">
      <alignment vertical="center" wrapText="1"/>
      <protection locked="0" hidden="0"/>
    </xf>
    <xf numFmtId="43" fontId="1" fillId="0" borderId="74" applyAlignment="1" pivotButton="0" quotePrefix="0" xfId="3">
      <alignment horizontal="right" vertical="center" shrinkToFit="1"/>
    </xf>
    <xf numFmtId="0" fontId="31" fillId="2" borderId="87" applyAlignment="1" applyProtection="1" pivotButton="0" quotePrefix="0" xfId="3">
      <alignment vertical="center"/>
      <protection locked="0" hidden="0"/>
    </xf>
    <xf numFmtId="0" fontId="6" fillId="4" borderId="83" applyAlignment="1" applyProtection="1" pivotButton="0" quotePrefix="0" xfId="3">
      <alignment vertical="center" wrapText="1"/>
      <protection locked="0" hidden="0"/>
    </xf>
    <xf numFmtId="0" fontId="31" fillId="0" borderId="73" applyAlignment="1" applyProtection="1" pivotButton="0" quotePrefix="0" xfId="3">
      <alignment horizontal="center" vertical="center" wrapText="1"/>
      <protection locked="0" hidden="0"/>
    </xf>
    <xf numFmtId="0" fontId="18" fillId="0" borderId="88" applyAlignment="1" pivotButton="0" quotePrefix="0" xfId="0">
      <alignment vertical="center" wrapText="1"/>
    </xf>
    <xf numFmtId="0" fontId="40" fillId="3" borderId="80" applyAlignment="1" pivotButton="0" quotePrefix="0" xfId="10">
      <alignment vertical="center"/>
    </xf>
    <xf numFmtId="0" fontId="40" fillId="3" borderId="76" applyAlignment="1" applyProtection="1" pivotButton="0" quotePrefix="0" xfId="10">
      <alignment vertical="center"/>
      <protection locked="0" hidden="0"/>
    </xf>
    <xf numFmtId="0" fontId="16" fillId="0" borderId="80" applyAlignment="1" pivotButton="0" quotePrefix="0" xfId="10">
      <alignment horizontal="left" vertical="center"/>
    </xf>
    <xf numFmtId="0" fontId="16" fillId="0" borderId="76" applyAlignment="1" pivotButton="0" quotePrefix="0" xfId="10">
      <alignment horizontal="left" vertical="center" wrapText="1"/>
    </xf>
    <xf numFmtId="0" fontId="16" fillId="0" borderId="76" applyAlignment="1" pivotButton="0" quotePrefix="0" xfId="10">
      <alignment vertical="center" wrapText="1"/>
    </xf>
    <xf numFmtId="49" fontId="2" fillId="2" borderId="75" applyAlignment="1" pivotButton="0" quotePrefix="0" xfId="10">
      <alignment horizontal="left" vertical="center"/>
    </xf>
    <xf numFmtId="43" fontId="1" fillId="2" borderId="73" applyAlignment="1" pivotButton="0" quotePrefix="0" xfId="59">
      <alignment horizontal="right" vertical="center"/>
    </xf>
    <xf numFmtId="10" fontId="28" fillId="2" borderId="73" applyAlignment="1" pivotButton="0" quotePrefix="0" xfId="10">
      <alignment horizontal="right" vertical="center"/>
    </xf>
    <xf numFmtId="43" fontId="2" fillId="2" borderId="76" applyAlignment="1" pivotButton="0" quotePrefix="0" xfId="59">
      <alignment horizontal="right" vertical="center"/>
    </xf>
    <xf numFmtId="10" fontId="2" fillId="2" borderId="73" applyAlignment="1" pivotButton="0" quotePrefix="0" xfId="10">
      <alignment horizontal="right" vertical="center"/>
    </xf>
    <xf numFmtId="49" fontId="1" fillId="0" borderId="75" applyAlignment="1" applyProtection="1" pivotButton="0" quotePrefix="0" xfId="6">
      <alignment horizontal="left" vertical="center" shrinkToFit="1"/>
      <protection locked="0" hidden="0"/>
    </xf>
    <xf numFmtId="43" fontId="1" fillId="0" borderId="73" applyAlignment="1" applyProtection="1" pivotButton="0" quotePrefix="0" xfId="6">
      <alignment horizontal="right" vertical="center" shrinkToFit="1"/>
      <protection locked="0" hidden="0"/>
    </xf>
    <xf numFmtId="49" fontId="1" fillId="0" borderId="73" applyAlignment="1" applyProtection="1" pivotButton="0" quotePrefix="0" xfId="6">
      <alignment horizontal="left" vertical="center" shrinkToFit="1"/>
      <protection locked="0" hidden="0"/>
    </xf>
    <xf numFmtId="0" fontId="1" fillId="0" borderId="73" applyAlignment="1" applyProtection="1" pivotButton="0" quotePrefix="0" xfId="8">
      <alignment horizontal="center" vertical="center"/>
      <protection locked="0" hidden="0"/>
    </xf>
    <xf numFmtId="0" fontId="1" fillId="0" borderId="76" applyAlignment="1" applyProtection="1" pivotButton="0" quotePrefix="0" xfId="8">
      <alignment horizontal="center" vertical="center"/>
      <protection locked="0" hidden="0"/>
    </xf>
    <xf numFmtId="0" fontId="18" fillId="0" borderId="76" applyAlignment="1" pivotButton="0" quotePrefix="0" xfId="65">
      <alignment vertical="center" wrapText="1"/>
    </xf>
    <xf numFmtId="0" fontId="1" fillId="9" borderId="82" applyAlignment="1" pivotButton="0" quotePrefix="0" xfId="0">
      <alignment horizontal="center" vertical="center" wrapText="1"/>
    </xf>
    <xf numFmtId="0" fontId="1" fillId="9" borderId="87" applyAlignment="1" pivotButton="0" quotePrefix="0" xfId="0">
      <alignment horizontal="center" vertical="center" wrapText="1"/>
    </xf>
    <xf numFmtId="41" fontId="1" fillId="0" borderId="75" applyAlignment="1" applyProtection="1" pivotButton="0" quotePrefix="0" xfId="0">
      <alignment vertical="center"/>
      <protection locked="0" hidden="0"/>
    </xf>
    <xf numFmtId="41" fontId="1" fillId="0" borderId="73" applyAlignment="1" applyProtection="1" pivotButton="0" quotePrefix="0" xfId="0">
      <alignment vertical="center"/>
      <protection locked="0" hidden="0"/>
    </xf>
    <xf numFmtId="1" fontId="1" fillId="0" borderId="73" applyAlignment="1" applyProtection="1" pivotButton="0" quotePrefix="0" xfId="0">
      <alignment horizontal="right"/>
      <protection locked="0" hidden="0"/>
    </xf>
    <xf numFmtId="41" fontId="1" fillId="0" borderId="76" applyAlignment="1" applyProtection="1" pivotButton="0" quotePrefix="0" xfId="0">
      <alignment vertical="center"/>
      <protection locked="0" hidden="0"/>
    </xf>
    <xf numFmtId="41" fontId="52" fillId="0" borderId="75" applyAlignment="1" applyProtection="1" pivotButton="0" quotePrefix="0" xfId="0">
      <alignment vertical="center"/>
      <protection locked="0" hidden="0"/>
    </xf>
    <xf numFmtId="0" fontId="38" fillId="0" borderId="89" applyAlignment="1" pivotButton="0" quotePrefix="0" xfId="10">
      <alignment horizontal="left" vertical="center" wrapText="1"/>
    </xf>
    <xf numFmtId="0" fontId="16" fillId="0" borderId="90" applyAlignment="1" pivotButton="0" quotePrefix="0" xfId="10">
      <alignment horizontal="left" vertical="center" wrapText="1"/>
    </xf>
    <xf numFmtId="0" fontId="16" fillId="0" borderId="91" applyAlignment="1" pivotButton="0" quotePrefix="0" xfId="10">
      <alignment vertical="center"/>
    </xf>
    <xf numFmtId="0" fontId="16" fillId="0" borderId="0" applyAlignment="1" pivotButton="0" quotePrefix="0" xfId="10">
      <alignment vertical="center"/>
    </xf>
    <xf numFmtId="0" fontId="16" fillId="0" borderId="0" applyAlignment="1" pivotButton="0" quotePrefix="0" xfId="10">
      <alignment horizontal="left" vertical="center" wrapText="1"/>
    </xf>
    <xf numFmtId="0" fontId="2" fillId="2" borderId="5" applyAlignment="1" pivotButton="0" quotePrefix="0" xfId="10">
      <alignment vertical="center"/>
    </xf>
    <xf numFmtId="0" fontId="10" fillId="0" borderId="0" applyAlignment="1" applyProtection="1" pivotButton="0" quotePrefix="0" xfId="6">
      <alignment horizontal="left" vertical="center"/>
      <protection locked="0" hidden="0"/>
    </xf>
    <xf numFmtId="0" fontId="9" fillId="2" borderId="89" applyAlignment="1" applyProtection="1" pivotButton="0" quotePrefix="0" xfId="6">
      <alignment horizontal="left" vertical="center"/>
      <protection locked="0" hidden="0"/>
    </xf>
    <xf numFmtId="0" fontId="9" fillId="2" borderId="90" applyAlignment="1" applyProtection="1" pivotButton="0" quotePrefix="0" xfId="6">
      <alignment horizontal="left" vertical="center"/>
      <protection locked="0" hidden="0"/>
    </xf>
    <xf numFmtId="0" fontId="1" fillId="2" borderId="90" applyAlignment="1" applyProtection="1" pivotButton="0" quotePrefix="0" xfId="6">
      <alignment horizontal="center" vertical="center"/>
      <protection locked="0" hidden="0"/>
    </xf>
    <xf numFmtId="43" fontId="31" fillId="0" borderId="90" applyAlignment="1" applyProtection="1" pivotButton="0" quotePrefix="0" xfId="7">
      <alignment horizontal="center" vertical="center" shrinkToFit="1"/>
      <protection locked="0" hidden="0"/>
    </xf>
    <xf numFmtId="43" fontId="31" fillId="0" borderId="91" applyAlignment="1" applyProtection="1" pivotButton="0" quotePrefix="0" xfId="7">
      <alignment horizontal="center" vertical="center" shrinkToFit="1"/>
      <protection locked="0" hidden="0"/>
    </xf>
    <xf numFmtId="0" fontId="1" fillId="2" borderId="0" applyAlignment="1" pivotButton="0" quotePrefix="0" xfId="0">
      <alignment horizontal="center" vertical="center"/>
    </xf>
    <xf numFmtId="9" fontId="31" fillId="0" borderId="5" applyAlignment="1" applyProtection="1" pivotButton="0" quotePrefix="0" xfId="48">
      <alignment horizontal="right" vertical="center" shrinkToFit="1"/>
      <protection locked="0" hidden="0"/>
    </xf>
    <xf numFmtId="0" fontId="6" fillId="0" borderId="86" applyAlignment="1" pivotButton="0" quotePrefix="0" xfId="0">
      <alignment vertical="center" wrapText="1"/>
    </xf>
    <xf numFmtId="14" fontId="1" fillId="0" borderId="39" applyAlignment="1" pivotButton="0" quotePrefix="0" xfId="0">
      <alignment vertical="center"/>
    </xf>
    <xf numFmtId="14" fontId="1" fillId="0" borderId="40" applyAlignment="1" pivotButton="0" quotePrefix="0" xfId="0">
      <alignment vertical="center"/>
    </xf>
    <xf numFmtId="0" fontId="19" fillId="0" borderId="19" applyAlignment="1" pivotButton="0" quotePrefix="0" xfId="0">
      <alignment vertical="center" wrapText="1"/>
    </xf>
    <xf numFmtId="0" fontId="1" fillId="0" borderId="38" applyAlignment="1" pivotButton="0" quotePrefix="0" xfId="0">
      <alignment vertical="center"/>
    </xf>
    <xf numFmtId="0" fontId="6" fillId="7" borderId="92" applyAlignment="1" applyProtection="1" pivotButton="0" quotePrefix="0" xfId="3">
      <alignment vertical="center" wrapText="1"/>
      <protection locked="0" hidden="0"/>
    </xf>
    <xf numFmtId="0" fontId="6" fillId="7" borderId="10" applyAlignment="1" applyProtection="1" pivotButton="0" quotePrefix="0" xfId="3">
      <alignment horizontal="center" vertical="top" wrapText="1"/>
      <protection locked="0" hidden="0"/>
    </xf>
    <xf numFmtId="49" fontId="1" fillId="0" borderId="9" applyAlignment="1" pivotButton="0" quotePrefix="0" xfId="3">
      <alignment horizontal="left" vertical="center" shrinkToFit="1"/>
    </xf>
    <xf numFmtId="0" fontId="6" fillId="4" borderId="92" applyAlignment="1" applyProtection="1" pivotButton="0" quotePrefix="0" xfId="3">
      <alignment vertical="center" wrapText="1"/>
      <protection locked="0" hidden="0"/>
    </xf>
    <xf numFmtId="0" fontId="149" fillId="2" borderId="0" applyAlignment="1" applyProtection="1" pivotButton="0" quotePrefix="0" xfId="0">
      <alignment vertical="center"/>
      <protection locked="0" hidden="0"/>
    </xf>
    <xf numFmtId="0" fontId="149" fillId="0" borderId="0" applyAlignment="1" applyProtection="1" pivotButton="0" quotePrefix="0" xfId="0">
      <alignment horizontal="left" vertical="center" wrapText="1"/>
      <protection locked="0" hidden="0"/>
    </xf>
    <xf numFmtId="0" fontId="149" fillId="0" borderId="0" applyAlignment="1" applyProtection="1" pivotButton="0" quotePrefix="0" xfId="0">
      <alignment horizontal="left" vertical="center"/>
      <protection locked="0" hidden="0"/>
    </xf>
    <xf numFmtId="0" fontId="149" fillId="0" borderId="0" applyAlignment="1" applyProtection="1" pivotButton="0" quotePrefix="0" xfId="31">
      <alignment vertical="center" shrinkToFit="1"/>
      <protection locked="0" hidden="0"/>
    </xf>
    <xf numFmtId="0" fontId="149" fillId="0" borderId="0" applyAlignment="1" pivotButton="0" quotePrefix="0" xfId="2">
      <alignment horizontal="left" vertical="center"/>
    </xf>
    <xf numFmtId="0" fontId="149" fillId="0" borderId="0" applyAlignment="1" pivotButton="0" quotePrefix="0" xfId="0">
      <alignment vertical="center"/>
    </xf>
    <xf numFmtId="0" fontId="149" fillId="0" borderId="0" applyAlignment="1" pivotButton="0" quotePrefix="0" xfId="2">
      <alignment horizontal="left" vertical="center" shrinkToFit="1"/>
    </xf>
    <xf numFmtId="43" fontId="149" fillId="0" borderId="0" applyAlignment="1" pivotButton="0" quotePrefix="0" xfId="2">
      <alignment horizontal="left" vertical="center" shrinkToFit="1"/>
    </xf>
    <xf numFmtId="49" fontId="149" fillId="0" borderId="0" applyAlignment="1" pivotButton="0" quotePrefix="0" xfId="2">
      <alignment vertical="center"/>
    </xf>
    <xf numFmtId="0" fontId="149" fillId="0" borderId="0" applyAlignment="1" applyProtection="1" pivotButton="0" quotePrefix="0" xfId="6">
      <alignment horizontal="left" vertical="center"/>
      <protection locked="0" hidden="0"/>
    </xf>
    <xf numFmtId="43" fontId="149" fillId="0" borderId="0" applyAlignment="1" applyProtection="1" pivotButton="0" quotePrefix="0" xfId="7">
      <alignment horizontal="left" vertical="center" shrinkToFit="1"/>
      <protection locked="0" hidden="0"/>
    </xf>
    <xf numFmtId="43" fontId="149" fillId="0" borderId="0" applyAlignment="1" pivotButton="0" quotePrefix="0" xfId="7">
      <alignment vertical="center"/>
    </xf>
    <xf numFmtId="0" fontId="149" fillId="0" borderId="0" applyAlignment="1" pivotButton="0" quotePrefix="0" xfId="5">
      <alignment horizontal="left" vertical="center"/>
    </xf>
    <xf numFmtId="0" fontId="149" fillId="0" borderId="0" applyAlignment="1" applyProtection="1" pivotButton="0" quotePrefix="0" xfId="3">
      <alignment vertical="center"/>
      <protection locked="0" hidden="0"/>
    </xf>
    <xf numFmtId="0" fontId="149" fillId="0" borderId="0" applyAlignment="1" applyProtection="1" pivotButton="0" quotePrefix="0" xfId="3">
      <alignment horizontal="left" vertical="center"/>
      <protection locked="0" hidden="0"/>
    </xf>
    <xf numFmtId="0" fontId="149" fillId="0" borderId="0" applyAlignment="1" applyProtection="1" pivotButton="0" quotePrefix="0" xfId="8">
      <alignment horizontal="center" vertical="center"/>
      <protection locked="0" hidden="0"/>
    </xf>
    <xf numFmtId="43" fontId="149" fillId="0" borderId="0" applyAlignment="1" pivotButton="0" quotePrefix="0" xfId="7">
      <alignment horizontal="left" vertical="center"/>
    </xf>
    <xf numFmtId="43" fontId="149" fillId="0" borderId="0" applyAlignment="1" applyProtection="1" pivotButton="0" quotePrefix="0" xfId="7">
      <alignment vertical="center" shrinkToFit="1"/>
      <protection locked="0" hidden="0"/>
    </xf>
    <xf numFmtId="43" fontId="149" fillId="0" borderId="0" applyAlignment="1" applyProtection="1" pivotButton="0" quotePrefix="0" xfId="7">
      <alignment horizontal="right" vertical="center" shrinkToFit="1"/>
      <protection locked="0" hidden="0"/>
    </xf>
    <xf numFmtId="164" fontId="149" fillId="0" borderId="0" applyAlignment="1" pivotButton="0" quotePrefix="0" xfId="11">
      <alignment horizontal="left" vertical="center"/>
    </xf>
    <xf numFmtId="43" fontId="149" fillId="0" borderId="0" applyAlignment="1" applyProtection="1" pivotButton="0" quotePrefix="0" xfId="7">
      <alignment horizontal="left" vertical="center" shrinkToFit="1"/>
      <protection locked="0" hidden="0"/>
    </xf>
    <xf numFmtId="43" fontId="149" fillId="0" borderId="0" applyAlignment="1" pivotButton="0" quotePrefix="0" xfId="12">
      <alignment horizontal="left" vertical="center"/>
    </xf>
    <xf numFmtId="43" fontId="149" fillId="0" borderId="0" applyAlignment="1" pivotButton="0" quotePrefix="0" xfId="7">
      <alignment horizontal="left" vertical="center"/>
    </xf>
    <xf numFmtId="43" fontId="149" fillId="0" borderId="0" applyAlignment="1" pivotButton="0" quotePrefix="0" xfId="13">
      <alignment vertical="center"/>
    </xf>
    <xf numFmtId="0" fontId="149" fillId="2" borderId="0" applyAlignment="1" pivotButton="0" quotePrefix="0" xfId="10">
      <alignment vertical="center"/>
    </xf>
    <xf numFmtId="0" fontId="149" fillId="0" borderId="0" applyAlignment="1" applyProtection="1" pivotButton="0" quotePrefix="0" xfId="10">
      <alignment vertical="center"/>
      <protection locked="0" hidden="0"/>
    </xf>
    <xf numFmtId="0" fontId="149" fillId="2" borderId="0" applyAlignment="1" pivotButton="0" quotePrefix="0" xfId="10">
      <alignment horizontal="left" vertical="center" wrapText="1"/>
    </xf>
    <xf numFmtId="0" fontId="149" fillId="2" borderId="0" applyAlignment="1" pivotButton="0" quotePrefix="0" xfId="10">
      <alignment vertical="center" wrapText="1"/>
    </xf>
    <xf numFmtId="49" fontId="149" fillId="2" borderId="0" applyAlignment="1" pivotButton="0" quotePrefix="0" xfId="58">
      <alignment vertical="center" shrinkToFit="1"/>
    </xf>
    <xf numFmtId="49" fontId="149" fillId="2" borderId="0" applyAlignment="1" pivotButton="0" quotePrefix="0" xfId="58">
      <alignment horizontal="left" vertical="center" shrinkToFit="1"/>
    </xf>
    <xf numFmtId="0" fontId="149" fillId="2" borderId="0" applyAlignment="1" pivotButton="0" quotePrefix="0" xfId="58">
      <alignment horizontal="left" vertical="center" shrinkToFit="1"/>
    </xf>
    <xf numFmtId="0" fontId="159" fillId="0" borderId="0" applyAlignment="1" pivotButton="0" quotePrefix="0" xfId="0">
      <alignment vertical="center"/>
    </xf>
    <xf numFmtId="0" fontId="149" fillId="0" borderId="0" applyAlignment="1" applyProtection="1" pivotButton="0" quotePrefix="0" xfId="3">
      <alignment horizontal="left" vertical="center" wrapText="1"/>
      <protection locked="0" hidden="0"/>
    </xf>
    <xf numFmtId="43" fontId="149" fillId="0" borderId="0" applyAlignment="1" applyProtection="1" pivotButton="0" quotePrefix="0" xfId="3">
      <alignment horizontal="left" vertical="center" shrinkToFit="1"/>
      <protection locked="0" hidden="0"/>
    </xf>
    <xf numFmtId="43" fontId="149" fillId="0" borderId="0" applyAlignment="1" applyProtection="1" pivotButton="0" quotePrefix="0" xfId="4">
      <alignment horizontal="left" vertical="center" shrinkToFit="1"/>
      <protection locked="0" hidden="0"/>
    </xf>
    <xf numFmtId="0" fontId="8" fillId="0" borderId="0" pivotButton="0" quotePrefix="0" xfId="2632"/>
    <xf numFmtId="0" fontId="1" fillId="0" borderId="73" applyAlignment="1" applyProtection="1" pivotButton="0" quotePrefix="0" xfId="0">
      <alignment horizontal="left" vertical="center"/>
      <protection locked="0" hidden="0"/>
    </xf>
    <xf numFmtId="0" fontId="1" fillId="0" borderId="73" applyAlignment="1" applyProtection="1" pivotButton="0" quotePrefix="0" xfId="0">
      <alignment vertical="top" wrapText="1"/>
      <protection locked="0" hidden="0"/>
    </xf>
    <xf numFmtId="0" fontId="2" fillId="0" borderId="73" applyAlignment="1" applyProtection="1" pivotButton="0" quotePrefix="0" xfId="0">
      <alignment horizontal="center" vertical="center"/>
      <protection locked="0" hidden="0"/>
    </xf>
    <xf numFmtId="0" fontId="8" fillId="2" borderId="73" applyAlignment="1" applyProtection="1" pivotButton="0" quotePrefix="0" xfId="0">
      <alignment horizontal="center" vertical="center" wrapText="1"/>
      <protection locked="0" hidden="0"/>
    </xf>
    <xf numFmtId="0" fontId="2" fillId="0" borderId="73" applyAlignment="1" applyProtection="1" pivotButton="0" quotePrefix="0" xfId="0">
      <alignment horizontal="left" vertical="center" wrapText="1"/>
      <protection locked="0" hidden="0"/>
    </xf>
    <xf numFmtId="0" fontId="1" fillId="2" borderId="73" applyAlignment="1" applyProtection="1" pivotButton="0" quotePrefix="0" xfId="0">
      <alignment vertical="center" wrapText="1"/>
      <protection locked="0" hidden="0"/>
    </xf>
    <xf numFmtId="0" fontId="8" fillId="2" borderId="73" applyAlignment="1" applyProtection="1" pivotButton="0" quotePrefix="0" xfId="1326">
      <alignment horizontal="center" vertical="center" wrapText="1"/>
      <protection locked="0" hidden="0"/>
    </xf>
    <xf numFmtId="0" fontId="5" fillId="0" borderId="73" applyAlignment="1" pivotButton="0" quotePrefix="0" xfId="0">
      <alignment horizontal="left" vertical="center" wrapText="1"/>
    </xf>
    <xf numFmtId="0" fontId="11" fillId="0" borderId="73" applyAlignment="1" applyProtection="1" pivotButton="0" quotePrefix="1" xfId="57">
      <alignment horizontal="center" vertical="center" wrapText="1"/>
      <protection locked="0" hidden="0"/>
    </xf>
    <xf numFmtId="0" fontId="1" fillId="0" borderId="73" applyAlignment="1" applyProtection="1" pivotButton="0" quotePrefix="0" xfId="0">
      <alignment vertical="center" wrapText="1"/>
      <protection locked="0" hidden="0"/>
    </xf>
    <xf numFmtId="0" fontId="6" fillId="0" borderId="73" applyAlignment="1" applyProtection="1" pivotButton="0" quotePrefix="0" xfId="0">
      <alignment horizontal="left" vertical="center" wrapText="1"/>
      <protection locked="0" hidden="0"/>
    </xf>
    <xf numFmtId="0" fontId="5" fillId="0" borderId="73" applyAlignment="1" applyProtection="1" pivotButton="0" quotePrefix="0" xfId="0">
      <alignment vertical="center" wrapText="1"/>
      <protection locked="0" hidden="0"/>
    </xf>
    <xf numFmtId="0" fontId="1" fillId="0" borderId="73" applyAlignment="1" applyProtection="1" pivotButton="0" quotePrefix="0" xfId="0">
      <alignment horizontal="center" vertical="center" wrapText="1"/>
      <protection locked="0" hidden="0"/>
    </xf>
    <xf numFmtId="0" fontId="9" fillId="4" borderId="93" applyAlignment="1" pivotButton="0" quotePrefix="0" xfId="0">
      <alignment horizontal="center" vertical="center" wrapText="1"/>
    </xf>
    <xf numFmtId="0" fontId="9" fillId="4" borderId="94" applyAlignment="1" pivotButton="0" quotePrefix="0" xfId="0">
      <alignment horizontal="center" vertical="center" wrapText="1"/>
    </xf>
    <xf numFmtId="0" fontId="12" fillId="7" borderId="95" applyAlignment="1" pivotButton="0" quotePrefix="0" xfId="0">
      <alignment horizontal="center" vertical="center" wrapText="1"/>
    </xf>
    <xf numFmtId="0" fontId="1" fillId="2" borderId="75" applyAlignment="1" applyProtection="1" pivotButton="0" quotePrefix="0" xfId="0">
      <alignment horizontal="center" vertical="center" wrapText="1"/>
      <protection locked="0" hidden="0"/>
    </xf>
    <xf numFmtId="0" fontId="1" fillId="2" borderId="76" applyAlignment="1" applyProtection="1" pivotButton="0" quotePrefix="0" xfId="1326">
      <alignment horizontal="center" vertical="center" wrapText="1"/>
      <protection locked="0" hidden="0"/>
    </xf>
    <xf numFmtId="0" fontId="1" fillId="0" borderId="76" applyAlignment="1" applyProtection="1" pivotButton="0" quotePrefix="0" xfId="0">
      <alignment vertical="center"/>
      <protection locked="0" hidden="0"/>
    </xf>
    <xf numFmtId="0" fontId="1" fillId="2" borderId="76" applyAlignment="1" applyProtection="1" pivotButton="0" quotePrefix="0" xfId="1326">
      <alignment horizontal="left" vertical="center" wrapText="1"/>
      <protection locked="0" hidden="0"/>
    </xf>
    <xf numFmtId="0" fontId="1" fillId="2" borderId="76" applyAlignment="1" applyProtection="1" pivotButton="0" quotePrefix="0" xfId="1326">
      <alignment vertical="center" wrapText="1"/>
      <protection locked="0" hidden="0"/>
    </xf>
    <xf numFmtId="0" fontId="1" fillId="0" borderId="76" applyAlignment="1" applyProtection="1" pivotButton="0" quotePrefix="0" xfId="0">
      <alignment vertical="center" wrapText="1"/>
      <protection locked="0" hidden="0"/>
    </xf>
    <xf numFmtId="0" fontId="1" fillId="2" borderId="38" applyAlignment="1" applyProtection="1" pivotButton="0" quotePrefix="0" xfId="0">
      <alignment horizontal="center" vertical="center" wrapText="1"/>
      <protection locked="0" hidden="0"/>
    </xf>
    <xf numFmtId="0" fontId="5" fillId="0" borderId="39" applyAlignment="1" applyProtection="1" pivotButton="0" quotePrefix="0" xfId="0">
      <alignment vertical="center" wrapText="1"/>
      <protection locked="0" hidden="0"/>
    </xf>
    <xf numFmtId="0" fontId="1" fillId="0" borderId="39" applyAlignment="1" applyProtection="1" pivotButton="0" quotePrefix="0" xfId="0">
      <alignment horizontal="center" vertical="center" wrapText="1"/>
      <protection locked="0" hidden="0"/>
    </xf>
    <xf numFmtId="0" fontId="1" fillId="0" borderId="39" applyAlignment="1" applyProtection="1" pivotButton="0" quotePrefix="0" xfId="0">
      <alignment horizontal="left" vertical="center" wrapText="1"/>
      <protection locked="0" hidden="0"/>
    </xf>
    <xf numFmtId="0" fontId="2" fillId="0" borderId="39" applyAlignment="1" applyProtection="1" pivotButton="0" quotePrefix="0" xfId="0">
      <alignment horizontal="center" vertical="center"/>
      <protection locked="0" hidden="0"/>
    </xf>
    <xf numFmtId="0" fontId="8" fillId="2" borderId="39" applyAlignment="1" applyProtection="1" pivotButton="0" quotePrefix="0" xfId="0">
      <alignment horizontal="center" vertical="center" wrapText="1"/>
      <protection locked="0" hidden="0"/>
    </xf>
    <xf numFmtId="0" fontId="1" fillId="0" borderId="40" applyAlignment="1" applyProtection="1" pivotButton="0" quotePrefix="0" xfId="0">
      <alignment vertical="center" wrapText="1"/>
      <protection locked="0" hidden="0"/>
    </xf>
    <xf numFmtId="0" fontId="160" fillId="0" borderId="39" applyAlignment="1" applyProtection="1" pivotButton="0" quotePrefix="0" xfId="0">
      <alignment horizontal="left" vertical="center" wrapText="1"/>
      <protection locked="0" hidden="0"/>
    </xf>
    <xf numFmtId="0" fontId="3" fillId="0" borderId="39" applyAlignment="1" applyProtection="1" pivotButton="0" quotePrefix="0" xfId="0">
      <alignment vertical="center" wrapText="1"/>
      <protection locked="0" hidden="0"/>
    </xf>
    <xf numFmtId="0" fontId="19" fillId="0" borderId="0" pivotButton="0" quotePrefix="0" xfId="0"/>
    <xf numFmtId="0" fontId="161" fillId="0" borderId="0" pivotButton="0" quotePrefix="0" xfId="2632"/>
    <xf numFmtId="0" fontId="162" fillId="0" borderId="0" pivotButton="0" quotePrefix="0" xfId="0"/>
    <xf numFmtId="0" fontId="1" fillId="0"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center" vertical="center" wrapText="1"/>
      <protection locked="0" hidden="0"/>
    </xf>
    <xf numFmtId="0" fontId="13" fillId="2" borderId="0" applyAlignment="1" pivotButton="0" quotePrefix="0" xfId="10">
      <alignment horizontal="center" vertical="center"/>
    </xf>
    <xf numFmtId="0" fontId="2" fillId="4" borderId="89" applyAlignment="1" applyProtection="1" pivotButton="0" quotePrefix="0" xfId="0">
      <alignment vertical="center"/>
      <protection locked="0" hidden="0"/>
    </xf>
    <xf numFmtId="0" fontId="2" fillId="4" borderId="90" applyAlignment="1" applyProtection="1" pivotButton="0" quotePrefix="0" xfId="0">
      <alignment vertical="center"/>
      <protection locked="0" hidden="0"/>
    </xf>
    <xf numFmtId="0" fontId="2" fillId="4" borderId="91" applyAlignment="1" applyProtection="1" pivotButton="0" quotePrefix="0" xfId="0">
      <alignment horizontal="left" vertical="center"/>
      <protection locked="0" hidden="0"/>
    </xf>
    <xf numFmtId="0" fontId="9" fillId="7" borderId="93" applyAlignment="1" pivotButton="0" quotePrefix="0" xfId="0">
      <alignment horizontal="center" vertical="center"/>
    </xf>
    <xf numFmtId="0" fontId="12" fillId="7" borderId="95" applyAlignment="1" pivotButton="0" quotePrefix="0" xfId="0">
      <alignment horizontal="center" vertical="center"/>
    </xf>
    <xf numFmtId="0" fontId="9" fillId="7" borderId="94" applyAlignment="1" pivotButton="0" quotePrefix="0" xfId="0">
      <alignment horizontal="center" vertical="center"/>
    </xf>
    <xf numFmtId="0" fontId="12" fillId="6" borderId="89" applyAlignment="1" applyProtection="1" pivotButton="0" quotePrefix="0" xfId="24">
      <alignment horizontal="left" vertical="center"/>
      <protection locked="0" hidden="0"/>
    </xf>
    <xf numFmtId="0" fontId="2" fillId="6" borderId="90" applyAlignment="1" applyProtection="1" pivotButton="0" quotePrefix="0" xfId="24">
      <alignment vertical="center"/>
      <protection locked="0" hidden="0"/>
    </xf>
    <xf numFmtId="0" fontId="6" fillId="6" borderId="90" applyAlignment="1" applyProtection="1" pivotButton="0" quotePrefix="0" xfId="24">
      <alignment vertical="center"/>
      <protection locked="0" hidden="0"/>
    </xf>
    <xf numFmtId="0" fontId="2" fillId="6" borderId="91" applyAlignment="1" applyProtection="1" pivotButton="0" quotePrefix="0" xfId="24">
      <alignment vertical="center"/>
      <protection locked="0" hidden="0"/>
    </xf>
    <xf numFmtId="0" fontId="1" fillId="0" borderId="95" applyAlignment="1" pivotButton="0" quotePrefix="0" xfId="452">
      <alignment vertical="center"/>
    </xf>
    <xf numFmtId="0" fontId="15" fillId="0" borderId="89" applyAlignment="1" pivotButton="0" quotePrefix="0" xfId="0">
      <alignment vertical="center"/>
    </xf>
    <xf numFmtId="0" fontId="16" fillId="0" borderId="90" applyAlignment="1" pivotButton="0" quotePrefix="0" xfId="29">
      <alignment vertical="center"/>
    </xf>
    <xf numFmtId="0" fontId="18" fillId="0" borderId="91" applyAlignment="1" pivotButton="0" quotePrefix="0" xfId="2">
      <alignment vertical="center"/>
    </xf>
    <xf numFmtId="166" fontId="143" fillId="0" borderId="90" applyAlignment="1" pivotButton="0" quotePrefix="0" xfId="43">
      <alignment horizontal="center" vertical="center"/>
    </xf>
    <xf numFmtId="0" fontId="9" fillId="50" borderId="93" applyAlignment="1" pivotButton="0" quotePrefix="0" xfId="0">
      <alignment horizontal="left" vertical="center"/>
    </xf>
    <xf numFmtId="43" fontId="1" fillId="0" borderId="95" pivotButton="0" quotePrefix="0" xfId="9"/>
    <xf numFmtId="0" fontId="18" fillId="0" borderId="89" applyAlignment="1" pivotButton="0" quotePrefix="0" xfId="1">
      <alignment vertical="center"/>
    </xf>
    <xf numFmtId="0" fontId="18" fillId="0" borderId="90" applyAlignment="1" pivotButton="0" quotePrefix="0" xfId="1">
      <alignment vertical="center"/>
    </xf>
    <xf numFmtId="0" fontId="18" fillId="0" borderId="91" applyAlignment="1" pivotButton="0" quotePrefix="0" xfId="1">
      <alignment vertical="center"/>
    </xf>
    <xf numFmtId="0" fontId="9" fillId="7" borderId="93" applyAlignment="1" pivotButton="0" quotePrefix="0" xfId="45">
      <alignment horizontal="left" vertical="center" wrapText="1"/>
    </xf>
    <xf numFmtId="165" fontId="1" fillId="0" borderId="95" applyAlignment="1" applyProtection="1" pivotButton="0" quotePrefix="0" xfId="9">
      <alignment vertical="center" wrapText="1"/>
      <protection locked="0" hidden="0"/>
    </xf>
    <xf numFmtId="0" fontId="1" fillId="0" borderId="92" applyAlignment="1" applyProtection="1" pivotButton="0" quotePrefix="0" xfId="3">
      <alignment horizontal="center" vertical="center"/>
      <protection locked="0" hidden="0"/>
    </xf>
    <xf numFmtId="170" fontId="1" fillId="0" borderId="90" applyAlignment="1" applyProtection="1" pivotButton="0" quotePrefix="0" xfId="3">
      <alignment horizontal="left" vertical="center" shrinkToFit="1"/>
      <protection locked="0" hidden="0"/>
    </xf>
    <xf numFmtId="0" fontId="31" fillId="0" borderId="90" applyAlignment="1" applyProtection="1" pivotButton="0" quotePrefix="0" xfId="3">
      <alignment horizontal="center" vertical="center" wrapText="1"/>
      <protection locked="0" hidden="0"/>
    </xf>
    <xf numFmtId="171" fontId="31" fillId="0" borderId="90" applyAlignment="1" applyProtection="1" pivotButton="0" quotePrefix="0" xfId="3">
      <alignment horizontal="right" vertical="center" wrapText="1"/>
      <protection locked="0" hidden="0"/>
    </xf>
    <xf numFmtId="43" fontId="31" fillId="0" borderId="90" applyAlignment="1" applyProtection="1" pivotButton="0" quotePrefix="0" xfId="4">
      <alignment horizontal="right" vertical="center" shrinkToFit="1"/>
      <protection locked="0" hidden="0"/>
    </xf>
    <xf numFmtId="9" fontId="31" fillId="0" borderId="90" applyAlignment="1" applyProtection="1" pivotButton="0" quotePrefix="0" xfId="40">
      <alignment horizontal="right" vertical="center" shrinkToFit="1"/>
      <protection locked="0" hidden="0"/>
    </xf>
    <xf numFmtId="43" fontId="31" fillId="0" borderId="90" applyAlignment="1" applyProtection="1" pivotButton="0" quotePrefix="0" xfId="13">
      <alignment horizontal="center" vertical="center" shrinkToFit="1"/>
      <protection locked="0" hidden="0"/>
    </xf>
    <xf numFmtId="10" fontId="31" fillId="0" borderId="90" applyAlignment="1" applyProtection="1" pivotButton="0" quotePrefix="0" xfId="40">
      <alignment horizontal="center" vertical="center" shrinkToFit="1"/>
      <protection locked="0" hidden="0"/>
    </xf>
    <xf numFmtId="9" fontId="31" fillId="0" borderId="90" applyAlignment="1" applyProtection="1" pivotButton="0" quotePrefix="0" xfId="40">
      <alignment horizontal="center" vertical="center" shrinkToFit="1"/>
      <protection locked="0" hidden="0"/>
    </xf>
    <xf numFmtId="0" fontId="31" fillId="0" borderId="90" applyAlignment="1" applyProtection="1" pivotButton="0" quotePrefix="0" xfId="3">
      <alignment horizontal="center" vertical="center" shrinkToFit="1"/>
      <protection locked="0" hidden="0"/>
    </xf>
    <xf numFmtId="0" fontId="18" fillId="0" borderId="89" applyAlignment="1" pivotButton="0" quotePrefix="0" xfId="0">
      <alignment vertical="center"/>
    </xf>
    <xf numFmtId="0" fontId="18" fillId="0" borderId="90" applyAlignment="1" pivotButton="0" quotePrefix="0" xfId="0">
      <alignment vertical="center"/>
    </xf>
    <xf numFmtId="0" fontId="18" fillId="0" borderId="91" applyAlignment="1" pivotButton="0" quotePrefix="0" xfId="0">
      <alignment vertical="center"/>
    </xf>
    <xf numFmtId="170" fontId="1" fillId="0" borderId="90" applyAlignment="1" applyProtection="1" pivotButton="0" quotePrefix="0" xfId="6">
      <alignment horizontal="left" vertical="center" shrinkToFit="1"/>
      <protection locked="0" hidden="0"/>
    </xf>
    <xf numFmtId="0" fontId="31" fillId="0" borderId="90" applyAlignment="1" applyProtection="1" pivotButton="0" quotePrefix="0" xfId="6">
      <alignment horizontal="center" vertical="center" wrapText="1"/>
      <protection locked="0" hidden="0"/>
    </xf>
    <xf numFmtId="171" fontId="31" fillId="0" borderId="90" applyAlignment="1" applyProtection="1" pivotButton="0" quotePrefix="0" xfId="6">
      <alignment horizontal="right" vertical="center" wrapText="1"/>
      <protection locked="0" hidden="0"/>
    </xf>
    <xf numFmtId="43" fontId="31" fillId="0" borderId="90" applyAlignment="1" applyProtection="1" pivotButton="0" quotePrefix="0" xfId="7">
      <alignment horizontal="right" vertical="center" shrinkToFit="1"/>
      <protection locked="0" hidden="0"/>
    </xf>
    <xf numFmtId="10" fontId="31" fillId="0" borderId="90" applyAlignment="1" applyProtection="1" pivotButton="0" quotePrefix="0" xfId="48">
      <alignment horizontal="right" vertical="center" shrinkToFit="1"/>
      <protection locked="0" hidden="0"/>
    </xf>
    <xf numFmtId="9" fontId="31" fillId="0" borderId="90" applyAlignment="1" applyProtection="1" pivotButton="0" quotePrefix="0" xfId="48">
      <alignment horizontal="right" vertical="center" shrinkToFit="1"/>
      <protection locked="0" hidden="0"/>
    </xf>
    <xf numFmtId="10" fontId="31" fillId="0" borderId="90" applyAlignment="1" applyProtection="1" pivotButton="0" quotePrefix="0" xfId="48">
      <alignment horizontal="center" vertical="center" shrinkToFit="1"/>
      <protection locked="0" hidden="0"/>
    </xf>
    <xf numFmtId="9" fontId="31" fillId="0" borderId="90" applyAlignment="1" applyProtection="1" pivotButton="0" quotePrefix="0" xfId="48">
      <alignment horizontal="center" vertical="center" shrinkToFit="1"/>
      <protection locked="0" hidden="0"/>
    </xf>
    <xf numFmtId="0" fontId="31" fillId="0" borderId="90" applyAlignment="1" applyProtection="1" pivotButton="0" quotePrefix="0" xfId="6">
      <alignment horizontal="center" vertical="center" shrinkToFit="1"/>
      <protection locked="0" hidden="0"/>
    </xf>
    <xf numFmtId="43" fontId="42" fillId="8" borderId="93" applyAlignment="1" applyProtection="1" pivotButton="0" quotePrefix="0" xfId="59">
      <alignment horizontal="center" vertical="center" wrapText="1"/>
      <protection locked="0" hidden="0"/>
    </xf>
    <xf numFmtId="0" fontId="9" fillId="8" borderId="94" applyAlignment="1" applyProtection="1" pivotButton="0" quotePrefix="0" xfId="10">
      <alignment horizontal="center" vertical="center" wrapText="1"/>
      <protection locked="0" hidden="0"/>
    </xf>
    <xf numFmtId="0" fontId="9" fillId="8" borderId="94" applyAlignment="1" pivotButton="0" quotePrefix="0" xfId="10">
      <alignment horizontal="center" vertical="center" wrapText="1"/>
    </xf>
    <xf numFmtId="0" fontId="9" fillId="7" borderId="94" applyAlignment="1" pivotButton="0" quotePrefix="0" xfId="10">
      <alignment horizontal="center" vertical="center" wrapText="1"/>
    </xf>
    <xf numFmtId="0" fontId="9" fillId="8" borderId="95" applyAlignment="1" pivotButton="0" quotePrefix="0" xfId="10">
      <alignment horizontal="center" vertical="center" wrapText="1"/>
    </xf>
    <xf numFmtId="0" fontId="9" fillId="7" borderId="93" applyAlignment="1" applyProtection="1" pivotButton="0" quotePrefix="0" xfId="6">
      <alignment horizontal="center" vertical="center"/>
      <protection locked="0" hidden="0"/>
    </xf>
    <xf numFmtId="0" fontId="9" fillId="7" borderId="94" applyAlignment="1" applyProtection="1" pivotButton="0" quotePrefix="0" xfId="6">
      <alignment horizontal="center" vertical="center"/>
      <protection locked="0" hidden="0"/>
    </xf>
    <xf numFmtId="0" fontId="9" fillId="7" borderId="94" applyAlignment="1" applyProtection="1" pivotButton="0" quotePrefix="0" xfId="6">
      <alignment horizontal="center" vertical="center" wrapText="1"/>
      <protection locked="0" hidden="0"/>
    </xf>
    <xf numFmtId="0" fontId="9" fillId="7" borderId="95" applyAlignment="1" applyProtection="1" pivotButton="0" quotePrefix="0" xfId="8">
      <alignment horizontal="center" vertical="center" wrapText="1"/>
      <protection locked="0" hidden="0"/>
    </xf>
    <xf numFmtId="37" fontId="9" fillId="0" borderId="89" applyAlignment="1" pivotButton="0" quotePrefix="0" xfId="62">
      <alignment vertical="center"/>
    </xf>
    <xf numFmtId="0" fontId="2" fillId="0" borderId="90" pivotButton="0" quotePrefix="0" xfId="2"/>
    <xf numFmtId="0" fontId="36" fillId="0" borderId="90" applyAlignment="1" pivotButton="0" quotePrefix="0" xfId="2">
      <alignment vertical="center"/>
    </xf>
    <xf numFmtId="43" fontId="2" fillId="0" borderId="91" applyAlignment="1" pivotButton="0" quotePrefix="0" xfId="63">
      <alignment vertical="center" shrinkToFit="1"/>
    </xf>
    <xf numFmtId="0" fontId="9" fillId="0" borderId="89" applyAlignment="1" applyProtection="1" pivotButton="0" quotePrefix="0" xfId="6">
      <alignment horizontal="left" vertical="center"/>
      <protection locked="0" hidden="0"/>
    </xf>
    <xf numFmtId="0" fontId="9" fillId="0" borderId="90" applyAlignment="1" applyProtection="1" pivotButton="0" quotePrefix="0" xfId="6">
      <alignment horizontal="left" vertical="center"/>
      <protection locked="0" hidden="0"/>
    </xf>
    <xf numFmtId="0" fontId="1" fillId="0" borderId="90" applyAlignment="1" applyProtection="1" pivotButton="0" quotePrefix="0" xfId="6">
      <alignment horizontal="center" vertical="center"/>
      <protection locked="0" hidden="0"/>
    </xf>
    <xf numFmtId="0" fontId="1" fillId="0" borderId="91" applyAlignment="1" applyProtection="1" pivotButton="0" quotePrefix="0" xfId="6">
      <alignment horizontal="center" vertical="center"/>
      <protection locked="0" hidden="0"/>
    </xf>
    <xf numFmtId="0" fontId="49" fillId="0" borderId="89" applyAlignment="1" pivotButton="0" quotePrefix="0" xfId="0">
      <alignment vertical="center"/>
    </xf>
    <xf numFmtId="0" fontId="1" fillId="9" borderId="94" applyAlignment="1" pivotButton="0" quotePrefix="0" xfId="0">
      <alignment horizontal="center" vertical="center" wrapText="1"/>
    </xf>
    <xf numFmtId="0" fontId="1" fillId="9" borderId="95" applyAlignment="1" pivotButton="0" quotePrefix="0" xfId="0">
      <alignment horizontal="center" vertical="center" wrapText="1"/>
    </xf>
    <xf numFmtId="0" fontId="1" fillId="0" borderId="73" applyAlignment="1" applyProtection="1" pivotButton="0" quotePrefix="0" xfId="0">
      <alignment horizontal="left" vertical="center" wrapText="1"/>
      <protection locked="0" hidden="0"/>
    </xf>
    <xf numFmtId="0" fontId="5" fillId="0" borderId="15" applyAlignment="1" applyProtection="1" pivotButton="0" quotePrefix="0" xfId="0">
      <alignment horizontal="left" vertical="center"/>
      <protection locked="0" hidden="0"/>
    </xf>
    <xf numFmtId="0" fontId="5" fillId="0" borderId="50" applyAlignment="1" applyProtection="1" pivotButton="0" quotePrefix="0" xfId="0">
      <alignment horizontal="left" vertical="center"/>
      <protection locked="0" hidden="0"/>
    </xf>
    <xf numFmtId="0" fontId="1" fillId="2"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center" vertical="center" wrapText="1"/>
      <protection locked="0" hidden="0"/>
    </xf>
    <xf numFmtId="0" fontId="1" fillId="5" borderId="73" applyAlignment="1" applyProtection="1" pivotButton="0" quotePrefix="0" xfId="21">
      <alignment horizontal="left" vertical="center" wrapText="1"/>
      <protection locked="0" hidden="0"/>
    </xf>
    <xf numFmtId="0" fontId="18" fillId="0" borderId="36" applyAlignment="1" pivotButton="0" quotePrefix="0" xfId="0">
      <alignment horizontal="left" vertical="center" wrapText="1"/>
    </xf>
    <xf numFmtId="0" fontId="18" fillId="0" borderId="70" applyAlignment="1" pivotButton="0" quotePrefix="0" xfId="0">
      <alignment horizontal="left" vertical="center" wrapText="1"/>
    </xf>
    <xf numFmtId="0" fontId="18" fillId="0" borderId="19" applyAlignment="1" pivotButton="0" quotePrefix="0" xfId="0">
      <alignment horizontal="left" vertical="center" wrapText="1"/>
    </xf>
    <xf numFmtId="0" fontId="17" fillId="3" borderId="36" applyAlignment="1" pivotButton="0" quotePrefix="0" xfId="0">
      <alignment horizontal="left" vertical="center"/>
    </xf>
    <xf numFmtId="0" fontId="17" fillId="3" borderId="70" applyAlignment="1" pivotButton="0" quotePrefix="0" xfId="0">
      <alignment horizontal="left" vertical="center"/>
    </xf>
    <xf numFmtId="0" fontId="17" fillId="3" borderId="19" applyAlignment="1" pivotButton="0" quotePrefix="0" xfId="0">
      <alignment horizontal="left" vertical="center"/>
    </xf>
    <xf numFmtId="0" fontId="1" fillId="0" borderId="89" applyAlignment="1" applyProtection="1" pivotButton="0" quotePrefix="0" xfId="35">
      <alignment horizontal="left" vertical="center" wrapText="1"/>
      <protection locked="0" hidden="0"/>
    </xf>
    <xf numFmtId="0" fontId="1" fillId="0" borderId="90" applyAlignment="1" applyProtection="1" pivotButton="0" quotePrefix="0" xfId="35">
      <alignment horizontal="left" vertical="center" wrapText="1"/>
      <protection locked="0" hidden="0"/>
    </xf>
    <xf numFmtId="0" fontId="1" fillId="0" borderId="91" applyAlignment="1" applyProtection="1" pivotButton="0" quotePrefix="0" xfId="35">
      <alignment horizontal="left" vertical="center" wrapText="1"/>
      <protection locked="0" hidden="0"/>
    </xf>
    <xf numFmtId="0" fontId="1" fillId="0" borderId="2" applyAlignment="1" applyProtection="1" pivotButton="0" quotePrefix="0" xfId="35">
      <alignment horizontal="left" vertical="center" wrapText="1"/>
      <protection locked="0" hidden="0"/>
    </xf>
    <xf numFmtId="0" fontId="1" fillId="0" borderId="0" applyAlignment="1" applyProtection="1" pivotButton="0" quotePrefix="0" xfId="35">
      <alignment horizontal="left" vertical="center" wrapText="1"/>
      <protection locked="0" hidden="0"/>
    </xf>
    <xf numFmtId="0" fontId="1" fillId="0" borderId="3" applyAlignment="1" applyProtection="1" pivotButton="0" quotePrefix="0" xfId="35">
      <alignment horizontal="left" vertical="center" wrapText="1"/>
      <protection locked="0" hidden="0"/>
    </xf>
    <xf numFmtId="0" fontId="1" fillId="0" borderId="4" applyAlignment="1" applyProtection="1" pivotButton="0" quotePrefix="0" xfId="35">
      <alignment horizontal="left" vertical="center" wrapText="1"/>
      <protection locked="0" hidden="0"/>
    </xf>
    <xf numFmtId="0" fontId="1" fillId="0" borderId="5" applyAlignment="1" applyProtection="1" pivotButton="0" quotePrefix="0" xfId="35">
      <alignment horizontal="left" vertical="center" wrapText="1"/>
      <protection locked="0" hidden="0"/>
    </xf>
    <xf numFmtId="0" fontId="1" fillId="0" borderId="6" applyAlignment="1" applyProtection="1" pivotButton="0" quotePrefix="0" xfId="35">
      <alignment horizontal="left" vertical="center" wrapText="1"/>
      <protection locked="0" hidden="0"/>
    </xf>
    <xf numFmtId="0" fontId="1" fillId="0" borderId="89" applyAlignment="1" applyProtection="1" pivotButton="0" quotePrefix="0" xfId="6">
      <alignment horizontal="left" vertical="center" wrapText="1"/>
      <protection locked="0" hidden="0"/>
    </xf>
    <xf numFmtId="0" fontId="1" fillId="0" borderId="90" applyAlignment="1" applyProtection="1" pivotButton="0" quotePrefix="0" xfId="6">
      <alignment horizontal="left" vertical="center" wrapText="1"/>
      <protection locked="0" hidden="0"/>
    </xf>
    <xf numFmtId="0" fontId="1" fillId="0" borderId="91" applyAlignment="1" applyProtection="1" pivotButton="0" quotePrefix="0" xfId="6">
      <alignment horizontal="left" vertical="center" wrapText="1"/>
      <protection locked="0" hidden="0"/>
    </xf>
    <xf numFmtId="0" fontId="1" fillId="0" borderId="2" applyAlignment="1" applyProtection="1" pivotButton="0" quotePrefix="0" xfId="6">
      <alignment horizontal="left" vertical="center" wrapText="1"/>
      <protection locked="0" hidden="0"/>
    </xf>
    <xf numFmtId="0" fontId="1" fillId="0" borderId="0" applyAlignment="1" applyProtection="1" pivotButton="0" quotePrefix="0" xfId="6">
      <alignment horizontal="left" vertical="center" wrapText="1"/>
      <protection locked="0" hidden="0"/>
    </xf>
    <xf numFmtId="0" fontId="1" fillId="0" borderId="3" applyAlignment="1" applyProtection="1" pivotButton="0" quotePrefix="0" xfId="6">
      <alignment horizontal="left" vertical="center" wrapText="1"/>
      <protection locked="0" hidden="0"/>
    </xf>
    <xf numFmtId="0" fontId="1" fillId="0" borderId="4" applyAlignment="1" applyProtection="1" pivotButton="0" quotePrefix="0" xfId="6">
      <alignment horizontal="left" vertical="center" wrapText="1"/>
      <protection locked="0" hidden="0"/>
    </xf>
    <xf numFmtId="0" fontId="1" fillId="0" borderId="5" applyAlignment="1" applyProtection="1" pivotButton="0" quotePrefix="0" xfId="6">
      <alignment horizontal="left" vertical="center" wrapText="1"/>
      <protection locked="0" hidden="0"/>
    </xf>
    <xf numFmtId="0" fontId="1" fillId="0" borderId="6" applyAlignment="1" applyProtection="1" pivotButton="0" quotePrefix="0" xfId="6">
      <alignment horizontal="left" vertical="center" wrapText="1"/>
      <protection locked="0" hidden="0"/>
    </xf>
    <xf numFmtId="166" fontId="18" fillId="0" borderId="89" applyAlignment="1" pivotButton="0" quotePrefix="0" xfId="43">
      <alignment horizontal="left" vertical="center" wrapText="1"/>
    </xf>
    <xf numFmtId="166" fontId="18" fillId="0" borderId="90" applyAlignment="1" pivotButton="0" quotePrefix="0" xfId="43">
      <alignment horizontal="left" vertical="center" wrapText="1"/>
    </xf>
    <xf numFmtId="166" fontId="18" fillId="0" borderId="91" applyAlignment="1" pivotButton="0" quotePrefix="0" xfId="43">
      <alignment horizontal="left" vertical="center" wrapText="1"/>
    </xf>
    <xf numFmtId="166" fontId="18" fillId="0" borderId="2" applyAlignment="1" pivotButton="0" quotePrefix="0" xfId="43">
      <alignment horizontal="left" vertical="center" wrapText="1"/>
    </xf>
    <xf numFmtId="166" fontId="18" fillId="0" borderId="0" applyAlignment="1" pivotButton="0" quotePrefix="0" xfId="43">
      <alignment horizontal="left" vertical="center" wrapText="1"/>
    </xf>
    <xf numFmtId="166" fontId="18" fillId="0" borderId="3" applyAlignment="1" pivotButton="0" quotePrefix="0" xfId="43">
      <alignment horizontal="left" vertical="center" wrapText="1"/>
    </xf>
    <xf numFmtId="166" fontId="18" fillId="0" borderId="4" applyAlignment="1" pivotButton="0" quotePrefix="0" xfId="43">
      <alignment horizontal="left" vertical="center" wrapText="1"/>
    </xf>
    <xf numFmtId="166" fontId="18" fillId="0" borderId="5" applyAlignment="1" pivotButton="0" quotePrefix="0" xfId="43">
      <alignment horizontal="left" vertical="center" wrapText="1"/>
    </xf>
    <xf numFmtId="166" fontId="18" fillId="0" borderId="6" applyAlignment="1" pivotButton="0" quotePrefix="0" xfId="43">
      <alignment horizontal="left" vertical="center" wrapText="1"/>
    </xf>
    <xf numFmtId="0" fontId="1" fillId="0" borderId="89" applyAlignment="1" applyProtection="1" pivotButton="0" quotePrefix="0" xfId="3">
      <alignment horizontal="left" vertical="center" wrapText="1"/>
      <protection locked="0" hidden="0"/>
    </xf>
    <xf numFmtId="0" fontId="1" fillId="0" borderId="90" applyAlignment="1" applyProtection="1" pivotButton="0" quotePrefix="0" xfId="3">
      <alignment horizontal="left" vertical="center" wrapText="1"/>
      <protection locked="0" hidden="0"/>
    </xf>
    <xf numFmtId="0" fontId="1" fillId="0" borderId="91" applyAlignment="1" applyProtection="1" pivotButton="0" quotePrefix="0" xfId="3">
      <alignment horizontal="left" vertical="center" wrapText="1"/>
      <protection locked="0" hidden="0"/>
    </xf>
    <xf numFmtId="0" fontId="1" fillId="0" borderId="2" applyAlignment="1" applyProtection="1" pivotButton="0" quotePrefix="0" xfId="3">
      <alignment horizontal="left" vertical="center" wrapText="1"/>
      <protection locked="0" hidden="0"/>
    </xf>
    <xf numFmtId="0" fontId="1" fillId="0" borderId="0" applyAlignment="1" applyProtection="1" pivotButton="0" quotePrefix="0" xfId="3">
      <alignment horizontal="left" vertical="center" wrapText="1"/>
      <protection locked="0" hidden="0"/>
    </xf>
    <xf numFmtId="0" fontId="1" fillId="0" borderId="3" applyAlignment="1" applyProtection="1" pivotButton="0" quotePrefix="0" xfId="3">
      <alignment horizontal="left" vertical="center" wrapText="1"/>
      <protection locked="0" hidden="0"/>
    </xf>
    <xf numFmtId="0" fontId="1" fillId="0" borderId="4" applyAlignment="1" applyProtection="1" pivotButton="0" quotePrefix="0" xfId="3">
      <alignment horizontal="left" vertical="center" wrapText="1"/>
      <protection locked="0" hidden="0"/>
    </xf>
    <xf numFmtId="0" fontId="1" fillId="0" borderId="5" applyAlignment="1" applyProtection="1" pivotButton="0" quotePrefix="0" xfId="3">
      <alignment horizontal="left" vertical="center" wrapText="1"/>
      <protection locked="0" hidden="0"/>
    </xf>
    <xf numFmtId="0" fontId="1" fillId="0" borderId="6" applyAlignment="1" applyProtection="1" pivotButton="0" quotePrefix="0" xfId="3">
      <alignment horizontal="left" vertical="center" wrapText="1"/>
      <protection locked="0" hidden="0"/>
    </xf>
    <xf numFmtId="0" fontId="28" fillId="0" borderId="0" applyAlignment="1" pivotButton="0" quotePrefix="0" xfId="1">
      <alignment horizontal="center" vertical="center" wrapText="1"/>
    </xf>
    <xf numFmtId="0" fontId="28" fillId="0" borderId="0" applyAlignment="1" pivotButton="0" quotePrefix="0" xfId="1">
      <alignment horizontal="center" vertical="center"/>
    </xf>
    <xf numFmtId="0" fontId="18" fillId="0" borderId="36" applyAlignment="1" pivotButton="0" quotePrefix="0" xfId="1">
      <alignment horizontal="left" vertical="center" wrapText="1"/>
    </xf>
    <xf numFmtId="0" fontId="18" fillId="0" borderId="70" applyAlignment="1" pivotButton="0" quotePrefix="0" xfId="1">
      <alignment horizontal="left" vertical="center" wrapText="1"/>
    </xf>
    <xf numFmtId="0" fontId="18" fillId="0" borderId="19" applyAlignment="1" pivotButton="0" quotePrefix="0" xfId="1">
      <alignment horizontal="left" vertical="center" wrapText="1"/>
    </xf>
    <xf numFmtId="0" fontId="28" fillId="0" borderId="0" applyAlignment="1" pivotButton="0" quotePrefix="0" xfId="0">
      <alignment horizontal="center" vertical="center" wrapText="1"/>
    </xf>
    <xf numFmtId="0" fontId="28" fillId="0" borderId="0" applyAlignment="1" pivotButton="0" quotePrefix="0" xfId="0">
      <alignment horizontal="center" vertical="center"/>
    </xf>
    <xf numFmtId="0" fontId="18" fillId="0" borderId="73" applyAlignment="1" pivotButton="0" quotePrefix="0" xfId="0">
      <alignment horizontal="left" vertical="center" wrapText="1"/>
    </xf>
    <xf numFmtId="0" fontId="17" fillId="3" borderId="73" applyAlignment="1" pivotButton="0" quotePrefix="0" xfId="0">
      <alignment horizontal="left" vertical="center"/>
    </xf>
    <xf numFmtId="0" fontId="18" fillId="0" borderId="73" applyAlignment="1" pivotButton="0" quotePrefix="0" xfId="1">
      <alignment horizontal="left" vertical="center" wrapText="1"/>
    </xf>
    <xf numFmtId="0" fontId="1" fillId="0" borderId="89" applyAlignment="1" pivotButton="0" quotePrefix="0" xfId="58">
      <alignment horizontal="left" vertical="center" wrapText="1"/>
    </xf>
    <xf numFmtId="0" fontId="1" fillId="0" borderId="90" applyAlignment="1" pivotButton="0" quotePrefix="0" xfId="58">
      <alignment horizontal="left" vertical="center" wrapText="1"/>
    </xf>
    <xf numFmtId="0" fontId="1" fillId="0" borderId="91" applyAlignment="1" pivotButton="0" quotePrefix="0" xfId="58">
      <alignment horizontal="left" vertical="center" wrapText="1"/>
    </xf>
    <xf numFmtId="0" fontId="1" fillId="0" borderId="2" applyAlignment="1" pivotButton="0" quotePrefix="0" xfId="58">
      <alignment horizontal="left" vertical="center" wrapText="1"/>
    </xf>
    <xf numFmtId="0" fontId="1" fillId="0" borderId="0" applyAlignment="1" pivotButton="0" quotePrefix="0" xfId="58">
      <alignment horizontal="left" vertical="center" wrapText="1"/>
    </xf>
    <xf numFmtId="0" fontId="1" fillId="0" borderId="3" applyAlignment="1" pivotButton="0" quotePrefix="0" xfId="58">
      <alignment horizontal="left" vertical="center" wrapText="1"/>
    </xf>
    <xf numFmtId="0" fontId="1" fillId="0" borderId="4" applyAlignment="1" pivotButton="0" quotePrefix="0" xfId="58">
      <alignment horizontal="left" vertical="center" wrapText="1"/>
    </xf>
    <xf numFmtId="0" fontId="1" fillId="0" borderId="5" applyAlignment="1" pivotButton="0" quotePrefix="0" xfId="58">
      <alignment horizontal="left" vertical="center" wrapText="1"/>
    </xf>
    <xf numFmtId="0" fontId="1" fillId="0" borderId="6" applyAlignment="1" pivotButton="0" quotePrefix="0" xfId="58">
      <alignment horizontal="left" vertical="center" wrapText="1"/>
    </xf>
    <xf numFmtId="0" fontId="13" fillId="2" borderId="0" applyAlignment="1" pivotButton="0" quotePrefix="0" xfId="10">
      <alignment horizontal="center" vertical="center"/>
    </xf>
    <xf numFmtId="0" fontId="40" fillId="3" borderId="36" applyAlignment="1" pivotButton="0" quotePrefix="0" xfId="10">
      <alignment horizontal="left" vertical="center"/>
    </xf>
    <xf numFmtId="0" fontId="40" fillId="3" borderId="70" applyAlignment="1" pivotButton="0" quotePrefix="0" xfId="10">
      <alignment horizontal="left" vertical="center"/>
    </xf>
    <xf numFmtId="0" fontId="40" fillId="3" borderId="19" applyAlignment="1" pivotButton="0" quotePrefix="0" xfId="10">
      <alignment horizontal="left" vertical="center"/>
    </xf>
    <xf numFmtId="0" fontId="39" fillId="0" borderId="36" applyAlignment="1" pivotButton="0" quotePrefix="0" xfId="10">
      <alignment horizontal="left" vertical="center"/>
    </xf>
    <xf numFmtId="0" fontId="39" fillId="0" borderId="70" applyAlignment="1" pivotButton="0" quotePrefix="0" xfId="10">
      <alignment horizontal="left" vertical="center"/>
    </xf>
    <xf numFmtId="0" fontId="39" fillId="0" borderId="19" applyAlignment="1" pivotButton="0" quotePrefix="0" xfId="10">
      <alignment horizontal="left" vertical="center"/>
    </xf>
    <xf numFmtId="0" fontId="39" fillId="0" borderId="36" applyAlignment="1" pivotButton="0" quotePrefix="0" xfId="10">
      <alignment horizontal="left" vertical="center" wrapText="1"/>
    </xf>
    <xf numFmtId="0" fontId="39" fillId="0" borderId="70" applyAlignment="1" pivotButton="0" quotePrefix="0" xfId="10">
      <alignment horizontal="left" vertical="center" wrapText="1"/>
    </xf>
    <xf numFmtId="0" fontId="39" fillId="0" borderId="19" applyAlignment="1" pivotButton="0" quotePrefix="0" xfId="10">
      <alignment horizontal="left" vertical="center" wrapText="1"/>
    </xf>
    <xf numFmtId="0" fontId="41" fillId="0" borderId="36" applyAlignment="1" pivotButton="0" quotePrefix="0" xfId="10">
      <alignment horizontal="left" vertical="center" wrapText="1"/>
    </xf>
    <xf numFmtId="0" fontId="41" fillId="0" borderId="70" applyAlignment="1" pivotButton="0" quotePrefix="0" xfId="10">
      <alignment horizontal="left" vertical="center" wrapText="1"/>
    </xf>
    <xf numFmtId="0" fontId="41" fillId="0" borderId="19" applyAlignment="1" pivotButton="0" quotePrefix="0" xfId="10">
      <alignment horizontal="left" vertical="center" wrapText="1"/>
    </xf>
    <xf numFmtId="0" fontId="18" fillId="0" borderId="73" applyAlignment="1" pivotButton="0" quotePrefix="0" xfId="65">
      <alignment horizontal="left" vertical="center" wrapText="1"/>
    </xf>
    <xf numFmtId="0" fontId="1" fillId="0" borderId="90" applyAlignment="1" applyProtection="1" pivotButton="0" quotePrefix="0" xfId="6">
      <alignment horizontal="left" vertical="center"/>
      <protection locked="0" hidden="0"/>
    </xf>
    <xf numFmtId="0" fontId="1" fillId="0" borderId="91" applyAlignment="1" applyProtection="1" pivotButton="0" quotePrefix="0" xfId="6">
      <alignment horizontal="left" vertical="center"/>
      <protection locked="0" hidden="0"/>
    </xf>
    <xf numFmtId="0" fontId="1" fillId="0" borderId="2" applyAlignment="1" applyProtection="1" pivotButton="0" quotePrefix="0" xfId="6">
      <alignment horizontal="left" vertical="center"/>
      <protection locked="0" hidden="0"/>
    </xf>
    <xf numFmtId="0" fontId="1" fillId="0" borderId="0" applyAlignment="1" applyProtection="1" pivotButton="0" quotePrefix="0" xfId="6">
      <alignment horizontal="left" vertical="center"/>
      <protection locked="0" hidden="0"/>
    </xf>
    <xf numFmtId="0" fontId="1" fillId="0" borderId="3" applyAlignment="1" applyProtection="1" pivotButton="0" quotePrefix="0" xfId="6">
      <alignment horizontal="left" vertical="center"/>
      <protection locked="0" hidden="0"/>
    </xf>
    <xf numFmtId="0" fontId="1" fillId="0" borderId="4" applyAlignment="1" applyProtection="1" pivotButton="0" quotePrefix="0" xfId="6">
      <alignment horizontal="left" vertical="center"/>
      <protection locked="0" hidden="0"/>
    </xf>
    <xf numFmtId="0" fontId="1" fillId="0" borderId="5" applyAlignment="1" applyProtection="1" pivotButton="0" quotePrefix="0" xfId="6">
      <alignment horizontal="left" vertical="center"/>
      <protection locked="0" hidden="0"/>
    </xf>
    <xf numFmtId="0" fontId="1" fillId="0" borderId="6" applyAlignment="1" applyProtection="1" pivotButton="0" quotePrefix="0" xfId="6">
      <alignment horizontal="left" vertical="center"/>
      <protection locked="0" hidden="0"/>
    </xf>
    <xf numFmtId="0" fontId="18" fillId="0" borderId="11" applyAlignment="1" pivotButton="0" quotePrefix="0" xfId="0">
      <alignment horizontal="left" vertical="top" wrapText="1"/>
    </xf>
    <xf numFmtId="0" fontId="18" fillId="0" borderId="22" applyAlignment="1" pivotButton="0" quotePrefix="0" xfId="0">
      <alignment horizontal="left" vertical="top" wrapText="1"/>
    </xf>
    <xf numFmtId="0" fontId="18" fillId="0" borderId="12" applyAlignment="1" pivotButton="0" quotePrefix="0" xfId="0">
      <alignment horizontal="left" vertical="top" wrapText="1"/>
    </xf>
    <xf numFmtId="0" fontId="1" fillId="0" borderId="89" applyAlignment="1" pivotButton="0" quotePrefix="0" xfId="0">
      <alignment horizontal="left" vertical="center" wrapText="1"/>
    </xf>
    <xf numFmtId="0" fontId="1" fillId="0" borderId="90" applyAlignment="1" pivotButton="0" quotePrefix="0" xfId="0">
      <alignment horizontal="left" vertical="center" wrapText="1"/>
    </xf>
    <xf numFmtId="0" fontId="1" fillId="0" borderId="91" applyAlignment="1" pivotButton="0" quotePrefix="0" xfId="0">
      <alignment horizontal="left" vertical="center" wrapText="1"/>
    </xf>
    <xf numFmtId="0" fontId="1" fillId="0" borderId="4" applyAlignment="1" pivotButton="0" quotePrefix="0" xfId="0">
      <alignment horizontal="left"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43" fontId="2" fillId="2" borderId="3" applyAlignment="1" applyProtection="1" pivotButton="0" quotePrefix="0" xfId="0">
      <alignment horizontal="left" vertical="center" shrinkToFit="1"/>
      <protection locked="0" hidden="0"/>
    </xf>
    <xf numFmtId="201" fontId="2" fillId="5" borderId="0" applyAlignment="1" applyProtection="1" pivotButton="0" quotePrefix="0" xfId="0">
      <alignment horizontal="center" vertical="center" shrinkToFit="1"/>
      <protection locked="0" hidden="0"/>
    </xf>
    <xf numFmtId="165" fontId="5" fillId="0" borderId="73" applyAlignment="1" applyProtection="1" pivotButton="0" quotePrefix="0" xfId="1236">
      <alignment horizontal="right" vertical="center"/>
      <protection locked="0" hidden="0"/>
    </xf>
    <xf numFmtId="165" fontId="2" fillId="0" borderId="11" applyAlignment="1" applyProtection="1" pivotButton="0" quotePrefix="0" xfId="1236">
      <alignment horizontal="center" vertical="center"/>
      <protection locked="0" hidden="0"/>
    </xf>
    <xf numFmtId="165" fontId="2" fillId="0" borderId="22" applyAlignment="1" applyProtection="1" pivotButton="0" quotePrefix="0" xfId="1236">
      <alignment horizontal="center" vertical="center"/>
      <protection locked="0" hidden="0"/>
    </xf>
    <xf numFmtId="165" fontId="5" fillId="0" borderId="39" applyAlignment="1" applyProtection="1" pivotButton="0" quotePrefix="0" xfId="1236">
      <alignment horizontal="right" vertical="center"/>
      <protection locked="0" hidden="0"/>
    </xf>
    <xf numFmtId="165" fontId="2" fillId="0" borderId="23" applyAlignment="1" applyProtection="1" pivotButton="0" quotePrefix="0" xfId="1236">
      <alignment horizontal="center" vertical="center"/>
      <protection locked="0" hidden="0"/>
    </xf>
    <xf numFmtId="165" fontId="5" fillId="0" borderId="0" applyAlignment="1" applyProtection="1" pivotButton="0" quotePrefix="0" xfId="1236">
      <alignment horizontal="right" vertical="center"/>
      <protection locked="0" hidden="0"/>
    </xf>
    <xf numFmtId="165" fontId="2" fillId="0" borderId="0" applyAlignment="1" applyProtection="1" pivotButton="0" quotePrefix="0" xfId="1236">
      <alignment vertical="center"/>
      <protection locked="0" hidden="0"/>
    </xf>
    <xf numFmtId="0" fontId="0" fillId="0" borderId="97" applyProtection="1" pivotButton="0" quotePrefix="0" xfId="0">
      <protection locked="0" hidden="0"/>
    </xf>
    <xf numFmtId="0" fontId="0" fillId="0" borderId="98" applyProtection="1" pivotButton="0" quotePrefix="0" xfId="0">
      <protection locked="0" hidden="0"/>
    </xf>
    <xf numFmtId="0" fontId="0" fillId="0" borderId="50" applyProtection="1" pivotButton="0" quotePrefix="0" xfId="0">
      <protection locked="0" hidden="0"/>
    </xf>
    <xf numFmtId="0" fontId="17" fillId="3" borderId="29" applyAlignment="1" pivotButton="0" quotePrefix="0" xfId="0">
      <alignment horizontal="left" vertical="center"/>
    </xf>
    <xf numFmtId="0" fontId="0" fillId="0" borderId="70" pivotButton="0" quotePrefix="0" xfId="0"/>
    <xf numFmtId="0" fontId="0" fillId="0" borderId="19" pivotButton="0" quotePrefix="0" xfId="0"/>
    <xf numFmtId="0" fontId="18" fillId="0" borderId="29" applyAlignment="1" pivotButton="0" quotePrefix="0" xfId="0">
      <alignment horizontal="left" vertical="center" wrapText="1"/>
    </xf>
    <xf numFmtId="43" fontId="16" fillId="0" borderId="73" applyAlignment="1" pivotButton="0" quotePrefix="0" xfId="4">
      <alignment horizontal="left" vertical="center" shrinkToFit="1"/>
    </xf>
    <xf numFmtId="43" fontId="16" fillId="0" borderId="73" applyAlignment="1" pivotButton="0" quotePrefix="0" xfId="4">
      <alignment horizontal="right" vertical="center" shrinkToFit="1"/>
    </xf>
    <xf numFmtId="166" fontId="18" fillId="0" borderId="0" applyAlignment="1" pivotButton="0" quotePrefix="0" xfId="29">
      <alignment horizontal="left" vertical="center"/>
    </xf>
    <xf numFmtId="166" fontId="18" fillId="0" borderId="102" applyAlignment="1" pivotButton="0" quotePrefix="0" xfId="43">
      <alignment horizontal="left" vertical="center" wrapText="1"/>
    </xf>
    <xf numFmtId="0" fontId="0" fillId="0" borderId="90" pivotButton="0" quotePrefix="0" xfId="0"/>
    <xf numFmtId="0" fontId="0" fillId="0" borderId="104" pivotButton="0" quotePrefix="0" xfId="0"/>
    <xf numFmtId="0" fontId="0" fillId="0" borderId="103" pivotButton="0" quotePrefix="0" xfId="0"/>
    <xf numFmtId="0" fontId="0" fillId="0" borderId="3" pivotButton="0" quotePrefix="0" xfId="0"/>
    <xf numFmtId="0" fontId="0" fillId="0" borderId="105" pivotButton="0" quotePrefix="0" xfId="0"/>
    <xf numFmtId="0" fontId="0" fillId="0" borderId="5" pivotButton="0" quotePrefix="0" xfId="0"/>
    <xf numFmtId="0" fontId="0" fillId="0" borderId="6" pivotButton="0" quotePrefix="0" xfId="0"/>
    <xf numFmtId="166" fontId="143" fillId="0" borderId="90" applyAlignment="1" pivotButton="0" quotePrefix="0" xfId="43">
      <alignment horizontal="center" vertical="center"/>
    </xf>
    <xf numFmtId="166" fontId="143" fillId="0" borderId="0" applyAlignment="1" pivotButton="0" quotePrefix="0" xfId="43">
      <alignment horizontal="center" vertical="center"/>
    </xf>
    <xf numFmtId="43" fontId="1" fillId="0" borderId="95" pivotButton="0" quotePrefix="0" xfId="9"/>
    <xf numFmtId="166" fontId="6" fillId="0" borderId="0" applyAlignment="1" pivotButton="0" quotePrefix="0" xfId="29">
      <alignment horizontal="center" vertical="center"/>
    </xf>
    <xf numFmtId="168" fontId="2" fillId="0" borderId="81" applyAlignment="1" applyProtection="1" pivotButton="0" quotePrefix="0" xfId="6">
      <alignment horizontal="left" vertical="center" shrinkToFit="1"/>
      <protection locked="0" hidden="0"/>
    </xf>
    <xf numFmtId="43" fontId="2" fillId="0" borderId="78" applyAlignment="1" pivotButton="0" quotePrefix="0" xfId="6">
      <alignment horizontal="right" vertical="center" shrinkToFit="1"/>
    </xf>
    <xf numFmtId="43" fontId="2" fillId="0" borderId="73" applyAlignment="1" pivotButton="0" quotePrefix="0" xfId="6">
      <alignment horizontal="right" vertical="center" shrinkToFit="1"/>
    </xf>
    <xf numFmtId="43" fontId="2" fillId="0" borderId="79" applyAlignment="1" pivotButton="0" quotePrefix="0" xfId="6">
      <alignment horizontal="right" vertical="center" shrinkToFit="1"/>
    </xf>
    <xf numFmtId="43" fontId="2" fillId="0" borderId="70" applyAlignment="1" pivotButton="0" quotePrefix="0" xfId="9">
      <alignment horizontal="right" vertical="center" shrinkToFit="1"/>
    </xf>
    <xf numFmtId="43" fontId="2" fillId="0" borderId="81" applyAlignment="1" pivotButton="0" quotePrefix="0" xfId="9">
      <alignment horizontal="right" vertical="center" shrinkToFit="1"/>
    </xf>
    <xf numFmtId="168" fontId="2" fillId="0" borderId="59" applyAlignment="1" applyProtection="1" pivotButton="0" quotePrefix="0" xfId="6">
      <alignment horizontal="left" vertical="center" shrinkToFit="1"/>
      <protection locked="0" hidden="0"/>
    </xf>
    <xf numFmtId="168" fontId="2" fillId="0" borderId="47" applyAlignment="1" applyProtection="1" pivotButton="0" quotePrefix="0" xfId="6">
      <alignment horizontal="left" vertical="center" shrinkToFit="1"/>
      <protection locked="0" hidden="0"/>
    </xf>
    <xf numFmtId="43" fontId="2" fillId="0" borderId="62" applyAlignment="1" pivotButton="0" quotePrefix="0" xfId="6">
      <alignment horizontal="right" vertical="center" shrinkToFit="1"/>
    </xf>
    <xf numFmtId="43" fontId="2" fillId="0" borderId="60" applyAlignment="1" pivotButton="0" quotePrefix="0" xfId="6">
      <alignment horizontal="right" vertical="center" shrinkToFit="1"/>
    </xf>
    <xf numFmtId="43" fontId="2" fillId="0" borderId="48" applyAlignment="1" pivotButton="0" quotePrefix="0" xfId="6">
      <alignment horizontal="right" vertical="center" shrinkToFit="1"/>
    </xf>
    <xf numFmtId="43" fontId="2" fillId="0" borderId="67" applyAlignment="1" pivotButton="0" quotePrefix="0" xfId="9">
      <alignment horizontal="right" vertical="center" shrinkToFit="1"/>
    </xf>
    <xf numFmtId="43" fontId="2" fillId="0" borderId="47" applyAlignment="1" pivotButton="0" quotePrefix="0" xfId="9">
      <alignment horizontal="right" vertical="center" shrinkToFit="1"/>
    </xf>
    <xf numFmtId="43" fontId="1" fillId="0" borderId="0" applyAlignment="1" pivotButton="0" quotePrefix="0" xfId="2">
      <alignment vertical="center" shrinkToFit="1"/>
    </xf>
    <xf numFmtId="43" fontId="149" fillId="0" borderId="0" applyAlignment="1" pivotButton="0" quotePrefix="0" xfId="2">
      <alignment horizontal="left" vertical="center" shrinkToFit="1"/>
    </xf>
    <xf numFmtId="43" fontId="1" fillId="0" borderId="0" applyAlignment="1" applyProtection="1" pivotButton="0" quotePrefix="0" xfId="33">
      <alignment horizontal="center" vertical="center" shrinkToFit="1"/>
      <protection locked="0" hidden="0"/>
    </xf>
    <xf numFmtId="43" fontId="1" fillId="0" borderId="0" applyAlignment="1" applyProtection="1" pivotButton="0" quotePrefix="0" xfId="6">
      <alignment horizontal="right" vertical="center" shrinkToFit="1"/>
      <protection locked="0" hidden="0"/>
    </xf>
    <xf numFmtId="43" fontId="2" fillId="0" borderId="0" applyAlignment="1" applyProtection="1" pivotButton="0" quotePrefix="0" xfId="6">
      <alignment horizontal="right" vertical="center" shrinkToFit="1"/>
      <protection locked="0" hidden="0"/>
    </xf>
    <xf numFmtId="0" fontId="1" fillId="0" borderId="102" applyAlignment="1" applyProtection="1" pivotButton="0" quotePrefix="0" xfId="35">
      <alignment horizontal="left" vertical="center" wrapText="1"/>
      <protection locked="0" hidden="0"/>
    </xf>
    <xf numFmtId="0" fontId="0" fillId="0" borderId="90" applyProtection="1" pivotButton="0" quotePrefix="0" xfId="0">
      <protection locked="0" hidden="0"/>
    </xf>
    <xf numFmtId="0" fontId="0" fillId="0" borderId="104" applyProtection="1" pivotButton="0" quotePrefix="0" xfId="0">
      <protection locked="0" hidden="0"/>
    </xf>
    <xf numFmtId="167" fontId="31" fillId="0" borderId="0" applyAlignment="1" pivotButton="0" quotePrefix="0" xfId="36">
      <alignment vertical="center"/>
    </xf>
    <xf numFmtId="0" fontId="0" fillId="0" borderId="103" applyProtection="1" pivotButton="0" quotePrefix="0" xfId="0">
      <protection locked="0" hidden="0"/>
    </xf>
    <xf numFmtId="0" fontId="0" fillId="0" borderId="0" applyProtection="1" pivotButton="0" quotePrefix="0" xfId="0">
      <protection locked="0" hidden="0"/>
    </xf>
    <xf numFmtId="0" fontId="0" fillId="0" borderId="3" applyProtection="1" pivotButton="0" quotePrefix="0" xfId="0">
      <protection locked="0" hidden="0"/>
    </xf>
    <xf numFmtId="0" fontId="0" fillId="0" borderId="105" applyProtection="1" pivotButton="0" quotePrefix="0" xfId="0">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1" fillId="0" borderId="102" applyAlignment="1" applyProtection="1" pivotButton="0" quotePrefix="0" xfId="6">
      <alignment horizontal="left" vertical="center" wrapText="1"/>
      <protection locked="0" hidden="0"/>
    </xf>
    <xf numFmtId="43" fontId="2" fillId="0" borderId="0" applyAlignment="1" pivotButton="0" quotePrefix="0" xfId="5">
      <alignment vertical="center" shrinkToFit="1"/>
    </xf>
    <xf numFmtId="0" fontId="18" fillId="0" borderId="29" applyAlignment="1" pivotButton="0" quotePrefix="0" xfId="1">
      <alignment horizontal="left" vertical="center" wrapText="1"/>
    </xf>
    <xf numFmtId="43" fontId="1" fillId="0" borderId="0" applyAlignment="1" pivotButton="0" quotePrefix="0" xfId="5">
      <alignment vertical="center" shrinkToFit="1"/>
    </xf>
    <xf numFmtId="169" fontId="9" fillId="0" borderId="0" applyAlignment="1" applyProtection="1" pivotButton="0" quotePrefix="0" xfId="44">
      <alignment horizontal="right" vertical="center"/>
      <protection locked="0" hidden="0"/>
    </xf>
    <xf numFmtId="169" fontId="9" fillId="0" borderId="0" applyAlignment="1" applyProtection="1" pivotButton="0" quotePrefix="0" xfId="44">
      <alignment vertical="center" wrapText="1"/>
      <protection locked="0" hidden="0"/>
    </xf>
    <xf numFmtId="165" fontId="1" fillId="0" borderId="95" applyAlignment="1" applyProtection="1" pivotButton="0" quotePrefix="0" xfId="9">
      <alignment vertical="center" wrapText="1"/>
      <protection locked="0" hidden="0"/>
    </xf>
    <xf numFmtId="43" fontId="6" fillId="0" borderId="0" applyAlignment="1" applyProtection="1" pivotButton="0" quotePrefix="0" xfId="3">
      <alignment horizontal="center" vertical="center" shrinkToFit="1"/>
      <protection locked="0" hidden="0"/>
    </xf>
    <xf numFmtId="43" fontId="6" fillId="0" borderId="0" applyAlignment="1" applyProtection="1" pivotButton="0" quotePrefix="0" xfId="3">
      <alignment horizontal="right" vertical="center" wrapText="1"/>
      <protection locked="0" hidden="0"/>
    </xf>
    <xf numFmtId="43" fontId="6" fillId="0" borderId="0" applyAlignment="1" applyProtection="1" pivotButton="0" quotePrefix="0" xfId="3">
      <alignment horizontal="right" vertical="center" shrinkToFit="1"/>
      <protection locked="0" hidden="0"/>
    </xf>
    <xf numFmtId="43" fontId="1" fillId="0" borderId="75" applyAlignment="1" pivotButton="0" quotePrefix="0" xfId="3">
      <alignment horizontal="right" vertical="center" shrinkToFit="1"/>
    </xf>
    <xf numFmtId="43" fontId="1" fillId="0" borderId="73" applyAlignment="1" pivotButton="0" quotePrefix="0" xfId="3">
      <alignment horizontal="right" vertical="center" shrinkToFit="1"/>
    </xf>
    <xf numFmtId="43" fontId="1" fillId="0" borderId="76" applyAlignment="1" pivotButton="0" quotePrefix="0" xfId="3">
      <alignment horizontal="right" vertical="center" shrinkToFit="1"/>
    </xf>
    <xf numFmtId="43" fontId="1" fillId="0" borderId="0" applyAlignment="1" applyProtection="1" pivotButton="0" quotePrefix="0" xfId="3">
      <alignment horizontal="right" vertical="center" shrinkToFit="1"/>
      <protection locked="0" hidden="0"/>
    </xf>
    <xf numFmtId="43" fontId="149" fillId="0" borderId="0" applyAlignment="1" applyProtection="1" pivotButton="0" quotePrefix="0" xfId="3">
      <alignment horizontal="left" vertical="center" shrinkToFit="1"/>
      <protection locked="0" hidden="0"/>
    </xf>
    <xf numFmtId="43" fontId="1" fillId="0" borderId="13" applyAlignment="1" pivotButton="0" quotePrefix="0" xfId="3">
      <alignment horizontal="right" vertical="center" shrinkToFit="1"/>
    </xf>
    <xf numFmtId="43" fontId="1" fillId="0" borderId="8" applyAlignment="1" pivotButton="0" quotePrefix="0" xfId="3">
      <alignment horizontal="right" vertical="center" shrinkToFit="1"/>
    </xf>
    <xf numFmtId="43" fontId="1" fillId="0" borderId="11" applyAlignment="1" pivotButton="0" quotePrefix="0" xfId="3">
      <alignment horizontal="right" vertical="center" shrinkToFit="1"/>
    </xf>
    <xf numFmtId="43" fontId="1" fillId="0" borderId="25" applyAlignment="1" pivotButton="0" quotePrefix="0" xfId="3">
      <alignment horizontal="right" vertical="center" shrinkToFit="1"/>
    </xf>
    <xf numFmtId="43" fontId="1" fillId="0" borderId="2" applyAlignment="1" applyProtection="1" pivotButton="0" quotePrefix="0" xfId="3">
      <alignment horizontal="right" vertical="center" shrinkToFit="1"/>
      <protection locked="0" hidden="0"/>
    </xf>
    <xf numFmtId="43" fontId="31" fillId="0" borderId="38" applyAlignment="1" applyProtection="1" pivotButton="0" quotePrefix="0" xfId="3">
      <alignment horizontal="right" vertical="center" shrinkToFit="1"/>
      <protection locked="0" hidden="0"/>
    </xf>
    <xf numFmtId="43" fontId="31" fillId="0" borderId="39" applyAlignment="1" applyProtection="1" pivotButton="0" quotePrefix="0" xfId="3">
      <alignment horizontal="right" vertical="center" shrinkToFit="1"/>
      <protection locked="0" hidden="0"/>
    </xf>
    <xf numFmtId="43" fontId="1" fillId="0" borderId="39" applyAlignment="1" pivotButton="0" quotePrefix="0" xfId="3">
      <alignment horizontal="right" vertical="center" shrinkToFit="1"/>
    </xf>
    <xf numFmtId="43" fontId="31" fillId="0" borderId="39" applyAlignment="1" applyProtection="1" pivotButton="0" quotePrefix="0" xfId="4">
      <alignment horizontal="right" vertical="center" shrinkToFit="1"/>
      <protection locked="0" hidden="0"/>
    </xf>
    <xf numFmtId="43" fontId="1" fillId="0" borderId="40" applyAlignment="1" pivotButton="0" quotePrefix="0" xfId="3">
      <alignment horizontal="right" vertical="center" shrinkToFit="1"/>
    </xf>
    <xf numFmtId="43" fontId="1" fillId="0" borderId="74" applyAlignment="1" pivotButton="0" quotePrefix="0" xfId="3">
      <alignment horizontal="right" vertical="center" shrinkToFit="1"/>
    </xf>
    <xf numFmtId="43" fontId="1" fillId="0" borderId="38" applyAlignment="1" pivotButton="0" quotePrefix="0" xfId="3">
      <alignment horizontal="right" vertical="center" shrinkToFit="1"/>
    </xf>
    <xf numFmtId="170" fontId="1" fillId="0" borderId="90" applyAlignment="1" applyProtection="1" pivotButton="0" quotePrefix="0" xfId="3">
      <alignment horizontal="left" vertical="center" shrinkToFit="1"/>
      <protection locked="0" hidden="0"/>
    </xf>
    <xf numFmtId="171" fontId="31" fillId="0" borderId="90" applyAlignment="1" applyProtection="1" pivotButton="0" quotePrefix="0" xfId="3">
      <alignment horizontal="right" vertical="center" wrapText="1"/>
      <protection locked="0" hidden="0"/>
    </xf>
    <xf numFmtId="43" fontId="31" fillId="0" borderId="90" applyAlignment="1" applyProtection="1" pivotButton="0" quotePrefix="0" xfId="4">
      <alignment horizontal="right" vertical="center" shrinkToFit="1"/>
      <protection locked="0" hidden="0"/>
    </xf>
    <xf numFmtId="43" fontId="31" fillId="0" borderId="90" applyAlignment="1" applyProtection="1" pivotButton="0" quotePrefix="0" xfId="13">
      <alignment horizontal="center" vertical="center" shrinkToFit="1"/>
      <protection locked="0" hidden="0"/>
    </xf>
    <xf numFmtId="43" fontId="1" fillId="0" borderId="0" applyAlignment="1" applyProtection="1" pivotButton="0" quotePrefix="0" xfId="4">
      <alignment horizontal="right" vertical="center" shrinkToFit="1"/>
      <protection locked="0" hidden="0"/>
    </xf>
    <xf numFmtId="43" fontId="149" fillId="0" borderId="0" applyAlignment="1" applyProtection="1" pivotButton="0" quotePrefix="0" xfId="4">
      <alignment horizontal="left" vertical="center" shrinkToFit="1"/>
      <protection locked="0" hidden="0"/>
    </xf>
    <xf numFmtId="43" fontId="1" fillId="0" borderId="0" applyAlignment="1" applyProtection="1" pivotButton="0" quotePrefix="0" xfId="4">
      <alignment horizontal="center" vertical="center" shrinkToFit="1"/>
      <protection locked="0" hidden="0"/>
    </xf>
    <xf numFmtId="43" fontId="1" fillId="0" borderId="43" applyAlignment="1" pivotButton="0" quotePrefix="0" xfId="4">
      <alignment horizontal="right" vertical="center" shrinkToFit="1"/>
    </xf>
    <xf numFmtId="43" fontId="31" fillId="0" borderId="0" applyAlignment="1" applyProtection="1" pivotButton="0" quotePrefix="0" xfId="4">
      <alignment horizontal="center" vertical="center" shrinkToFit="1"/>
      <protection locked="0" hidden="0"/>
    </xf>
    <xf numFmtId="43" fontId="2" fillId="0" borderId="0" applyAlignment="1" pivotButton="0" quotePrefix="0" xfId="4">
      <alignment horizontal="right" vertical="center" shrinkToFit="1"/>
    </xf>
    <xf numFmtId="43" fontId="31" fillId="0" borderId="0" applyAlignment="1" applyProtection="1" pivotButton="0" quotePrefix="0" xfId="4">
      <alignment horizontal="right" vertical="center" shrinkToFit="1"/>
      <protection locked="0" hidden="0"/>
    </xf>
    <xf numFmtId="43" fontId="2" fillId="0" borderId="0" applyAlignment="1" pivotButton="0" quotePrefix="0" xfId="7">
      <alignment horizontal="right" vertical="center" shrinkToFit="1"/>
    </xf>
    <xf numFmtId="43" fontId="2" fillId="0" borderId="0" applyAlignment="1" pivotButton="0" quotePrefix="0" xfId="4">
      <alignment vertical="center"/>
    </xf>
    <xf numFmtId="0" fontId="1" fillId="0" borderId="102" applyAlignment="1" applyProtection="1" pivotButton="0" quotePrefix="0" xfId="3">
      <alignment horizontal="left" vertical="center" wrapText="1"/>
      <protection locked="0" hidden="0"/>
    </xf>
    <xf numFmtId="43" fontId="2" fillId="0" borderId="0" applyAlignment="1" pivotButton="0" quotePrefix="0" xfId="2">
      <alignment vertical="center" shrinkToFit="1"/>
    </xf>
    <xf numFmtId="0" fontId="0" fillId="0" borderId="108" pivotButton="0" quotePrefix="0" xfId="0"/>
    <xf numFmtId="0" fontId="0" fillId="0" borderId="109" pivotButton="0" quotePrefix="0" xfId="0"/>
    <xf numFmtId="43" fontId="1" fillId="0" borderId="0" applyAlignment="1" applyProtection="1" pivotButton="0" quotePrefix="0" xfId="7">
      <alignment horizontal="right" vertical="center" shrinkToFit="1"/>
      <protection locked="0" hidden="0"/>
    </xf>
    <xf numFmtId="43" fontId="149" fillId="0" borderId="0" applyAlignment="1" applyProtection="1" pivotButton="0" quotePrefix="0" xfId="7">
      <alignment horizontal="left" vertical="center" shrinkToFit="1"/>
      <protection locked="0" hidden="0"/>
    </xf>
    <xf numFmtId="170" fontId="1" fillId="0" borderId="90" applyAlignment="1" applyProtection="1" pivotButton="0" quotePrefix="0" xfId="6">
      <alignment horizontal="left" vertical="center" shrinkToFit="1"/>
      <protection locked="0" hidden="0"/>
    </xf>
    <xf numFmtId="171" fontId="31" fillId="0" borderId="90" applyAlignment="1" applyProtection="1" pivotButton="0" quotePrefix="0" xfId="6">
      <alignment horizontal="right" vertical="center" wrapText="1"/>
      <protection locked="0" hidden="0"/>
    </xf>
    <xf numFmtId="43" fontId="31" fillId="0" borderId="90" applyAlignment="1" applyProtection="1" pivotButton="0" quotePrefix="0" xfId="7">
      <alignment horizontal="right" vertical="center" shrinkToFit="1"/>
      <protection locked="0" hidden="0"/>
    </xf>
    <xf numFmtId="43" fontId="1" fillId="0" borderId="0" applyAlignment="1" applyProtection="1" pivotButton="0" quotePrefix="0" xfId="7">
      <alignment horizontal="center" vertical="center" shrinkToFit="1"/>
      <protection locked="0" hidden="0"/>
    </xf>
    <xf numFmtId="43" fontId="1" fillId="0" borderId="43" applyAlignment="1" pivotButton="0" quotePrefix="0" xfId="7">
      <alignment horizontal="right" vertical="center" shrinkToFit="1"/>
    </xf>
    <xf numFmtId="43" fontId="31" fillId="0" borderId="0" applyAlignment="1" applyProtection="1" pivotButton="0" quotePrefix="0" xfId="7">
      <alignment horizontal="center" vertical="center" shrinkToFit="1"/>
      <protection locked="0" hidden="0"/>
    </xf>
    <xf numFmtId="43" fontId="13" fillId="0" borderId="0" applyAlignment="1" applyProtection="1" pivotButton="0" quotePrefix="0" xfId="6">
      <alignment horizontal="right" vertical="center" shrinkToFit="1"/>
      <protection locked="0" hidden="0"/>
    </xf>
    <xf numFmtId="43" fontId="31" fillId="0" borderId="0" applyAlignment="1" applyProtection="1" pivotButton="0" quotePrefix="0" xfId="7">
      <alignment horizontal="right" vertical="center" shrinkToFit="1"/>
      <protection locked="0" hidden="0"/>
    </xf>
    <xf numFmtId="43" fontId="6" fillId="0" borderId="0" applyAlignment="1" applyProtection="1" pivotButton="0" quotePrefix="0" xfId="6">
      <alignment horizontal="center" vertical="center" shrinkToFit="1"/>
      <protection locked="0" hidden="0"/>
    </xf>
    <xf numFmtId="43" fontId="13" fillId="0" borderId="0" applyAlignment="1" applyProtection="1" pivotButton="0" quotePrefix="0" xfId="6">
      <alignment horizontal="center" vertical="center" shrinkToFit="1"/>
      <protection locked="0" hidden="0"/>
    </xf>
    <xf numFmtId="43" fontId="2" fillId="0" borderId="0" applyAlignment="1" pivotButton="0" quotePrefix="0" xfId="9">
      <alignment horizontal="right" vertical="center" shrinkToFit="1"/>
    </xf>
    <xf numFmtId="43" fontId="2" fillId="0" borderId="0" applyAlignment="1" pivotButton="0" quotePrefix="0" xfId="9">
      <alignment vertical="center"/>
    </xf>
    <xf numFmtId="43" fontId="34" fillId="0" borderId="0" applyAlignment="1" pivotButton="0" quotePrefix="0" xfId="0">
      <alignment horizontal="right" vertical="center"/>
    </xf>
    <xf numFmtId="43" fontId="2" fillId="0" borderId="43" applyAlignment="1" pivotButton="0" quotePrefix="0" xfId="7">
      <alignment horizontal="right" vertical="center" shrinkToFit="1"/>
    </xf>
    <xf numFmtId="43" fontId="35" fillId="0" borderId="0" applyAlignment="1" applyProtection="1" pivotButton="0" quotePrefix="0" xfId="7">
      <alignment horizontal="right" vertical="center" shrinkToFit="1"/>
      <protection locked="0" hidden="0"/>
    </xf>
    <xf numFmtId="43" fontId="2" fillId="0" borderId="0" applyAlignment="1" pivotButton="0" quotePrefix="0" xfId="7">
      <alignment vertical="center"/>
    </xf>
    <xf numFmtId="43" fontId="149" fillId="0" borderId="0" applyAlignment="1" pivotButton="0" quotePrefix="0" xfId="7">
      <alignment horizontal="left" vertical="center"/>
    </xf>
    <xf numFmtId="43" fontId="1" fillId="0" borderId="0" applyAlignment="1" applyProtection="1" pivotButton="0" quotePrefix="0" xfId="53">
      <alignment horizontal="center" vertical="center" shrinkToFit="1"/>
      <protection locked="0" hidden="0"/>
    </xf>
    <xf numFmtId="43" fontId="6" fillId="0" borderId="0" applyAlignment="1" pivotButton="0" quotePrefix="0" xfId="53">
      <alignment horizontal="center" vertical="center" shrinkToFit="1"/>
    </xf>
    <xf numFmtId="43" fontId="1" fillId="2" borderId="0" applyAlignment="1" applyProtection="1" pivotButton="0" quotePrefix="0" xfId="7">
      <alignment horizontal="center" vertical="center" shrinkToFit="1"/>
      <protection locked="0" hidden="0"/>
    </xf>
    <xf numFmtId="0" fontId="40" fillId="3" borderId="29" applyAlignment="1" pivotButton="0" quotePrefix="0" xfId="10">
      <alignment horizontal="left" vertical="center"/>
    </xf>
    <xf numFmtId="0" fontId="39" fillId="0" borderId="29" applyAlignment="1" pivotButton="0" quotePrefix="0" xfId="10">
      <alignment horizontal="left" vertical="center"/>
    </xf>
    <xf numFmtId="0" fontId="39" fillId="0" borderId="29" applyAlignment="1" pivotButton="0" quotePrefix="0" xfId="10">
      <alignment horizontal="left" vertical="center" wrapText="1"/>
    </xf>
    <xf numFmtId="0" fontId="41" fillId="0" borderId="29" applyAlignment="1" pivotButton="0" quotePrefix="0" xfId="10">
      <alignment horizontal="left" vertical="center" wrapText="1"/>
    </xf>
    <xf numFmtId="43" fontId="42" fillId="8" borderId="93" applyAlignment="1" applyProtection="1" pivotButton="0" quotePrefix="0" xfId="59">
      <alignment horizontal="center" vertical="center" wrapText="1"/>
      <protection locked="0" hidden="0"/>
    </xf>
    <xf numFmtId="43" fontId="2" fillId="2" borderId="73" applyAlignment="1" pivotButton="0" quotePrefix="0" xfId="59">
      <alignment horizontal="right" vertical="center"/>
    </xf>
    <xf numFmtId="43" fontId="1" fillId="2" borderId="73" applyAlignment="1" pivotButton="0" quotePrefix="0" xfId="59">
      <alignment horizontal="right" vertical="center"/>
    </xf>
    <xf numFmtId="43" fontId="2" fillId="2" borderId="76" applyAlignment="1" pivotButton="0" quotePrefix="0" xfId="59">
      <alignment horizontal="right" vertical="center"/>
    </xf>
    <xf numFmtId="43" fontId="2" fillId="0" borderId="39" applyAlignment="1" pivotButton="0" quotePrefix="0" xfId="59">
      <alignment horizontal="right" vertical="center"/>
    </xf>
    <xf numFmtId="43" fontId="1" fillId="2" borderId="39" applyAlignment="1" pivotButton="0" quotePrefix="0" xfId="59">
      <alignment horizontal="right" vertical="center"/>
    </xf>
    <xf numFmtId="43" fontId="2" fillId="2" borderId="40" applyAlignment="1" pivotButton="0" quotePrefix="0" xfId="59">
      <alignment horizontal="right" vertical="center"/>
    </xf>
    <xf numFmtId="43" fontId="2" fillId="0" borderId="0" applyAlignment="1" pivotButton="0" quotePrefix="0" xfId="59">
      <alignment vertical="center"/>
    </xf>
    <xf numFmtId="43" fontId="9" fillId="0" borderId="0" applyAlignment="1" pivotButton="0" quotePrefix="0" xfId="59">
      <alignment horizontal="center" vertical="center"/>
    </xf>
    <xf numFmtId="41" fontId="2" fillId="2" borderId="0" applyAlignment="1" pivotButton="0" quotePrefix="0" xfId="60">
      <alignment horizontal="right" vertical="center"/>
    </xf>
    <xf numFmtId="43" fontId="2" fillId="2" borderId="43" applyAlignment="1" pivotButton="0" quotePrefix="0" xfId="59">
      <alignment vertical="center"/>
    </xf>
    <xf numFmtId="43" fontId="2" fillId="2" borderId="0" applyAlignment="1" pivotButton="0" quotePrefix="0" xfId="59">
      <alignment vertical="center"/>
    </xf>
    <xf numFmtId="43" fontId="2" fillId="2" borderId="0" applyAlignment="1" pivotButton="0" quotePrefix="0" xfId="60">
      <alignment horizontal="right" vertical="center" shrinkToFit="1"/>
    </xf>
    <xf numFmtId="43" fontId="2" fillId="0" borderId="0" applyAlignment="1" applyProtection="1" pivotButton="0" quotePrefix="0" xfId="59">
      <alignment horizontal="right" vertical="center" shrinkToFit="1"/>
      <protection locked="0" hidden="0"/>
    </xf>
    <xf numFmtId="41" fontId="2" fillId="2" borderId="0" applyAlignment="1" pivotButton="0" quotePrefix="0" xfId="60">
      <alignment vertical="center"/>
    </xf>
    <xf numFmtId="41" fontId="2" fillId="2" borderId="0" applyAlignment="1" pivotButton="0" quotePrefix="0" xfId="10">
      <alignment vertical="center"/>
    </xf>
    <xf numFmtId="43" fontId="42" fillId="8" borderId="57" applyAlignment="1" applyProtection="1" pivotButton="0" quotePrefix="0" xfId="59">
      <alignment horizontal="center" vertical="center" wrapText="1"/>
      <protection locked="0" hidden="0"/>
    </xf>
    <xf numFmtId="43" fontId="2" fillId="0" borderId="79" applyAlignment="1" pivotButton="0" quotePrefix="0" xfId="59">
      <alignment horizontal="right" vertical="center"/>
    </xf>
    <xf numFmtId="43" fontId="2" fillId="0" borderId="60" applyAlignment="1" pivotButton="0" quotePrefix="0" xfId="59">
      <alignment horizontal="right" vertical="center"/>
    </xf>
    <xf numFmtId="43" fontId="2" fillId="0" borderId="48" applyAlignment="1" pivotButton="0" quotePrefix="0" xfId="59">
      <alignment horizontal="right" vertical="center"/>
    </xf>
    <xf numFmtId="43" fontId="2" fillId="0" borderId="43" applyAlignment="1" pivotButton="0" quotePrefix="0" xfId="59">
      <alignment vertical="center"/>
    </xf>
    <xf numFmtId="43" fontId="2" fillId="2" borderId="43" applyAlignment="1" pivotButton="0" quotePrefix="0" xfId="59">
      <alignment horizontal="right" vertical="center"/>
    </xf>
    <xf numFmtId="43" fontId="2" fillId="0" borderId="0" applyAlignment="1" pivotButton="0" quotePrefix="0" xfId="60">
      <alignment horizontal="right" vertical="center" shrinkToFit="1"/>
    </xf>
    <xf numFmtId="0" fontId="1" fillId="0" borderId="102" applyAlignment="1" pivotButton="0" quotePrefix="0" xfId="58">
      <alignment horizontal="left" vertical="center" wrapText="1"/>
    </xf>
    <xf numFmtId="43" fontId="149" fillId="0" borderId="0" applyAlignment="1" applyProtection="1" pivotButton="0" quotePrefix="0" xfId="7">
      <alignment vertical="center" shrinkToFit="1"/>
      <protection locked="0" hidden="0"/>
    </xf>
    <xf numFmtId="43" fontId="149" fillId="0" borderId="0" applyAlignment="1" applyProtection="1" pivotButton="0" quotePrefix="0" xfId="7">
      <alignment horizontal="right" vertical="center" shrinkToFit="1"/>
      <protection locked="0" hidden="0"/>
    </xf>
    <xf numFmtId="43" fontId="1" fillId="0" borderId="73" applyAlignment="1" applyProtection="1" pivotButton="0" quotePrefix="0" xfId="6">
      <alignment horizontal="right" vertical="center" shrinkToFit="1"/>
      <protection locked="0" hidden="0"/>
    </xf>
    <xf numFmtId="43" fontId="1" fillId="0" borderId="39" applyAlignment="1" applyProtection="1" pivotButton="0" quotePrefix="0" xfId="6">
      <alignment horizontal="right" vertical="center" shrinkToFit="1"/>
      <protection locked="0" hidden="0"/>
    </xf>
    <xf numFmtId="43" fontId="1" fillId="0" borderId="0" applyAlignment="1" applyProtection="1" pivotButton="0" quotePrefix="0" xfId="6">
      <alignment horizontal="right" vertical="center"/>
      <protection locked="0" hidden="0"/>
    </xf>
    <xf numFmtId="164" fontId="2" fillId="0" borderId="0" applyAlignment="1" pivotButton="0" quotePrefix="0" xfId="11">
      <alignment vertical="center"/>
    </xf>
    <xf numFmtId="164" fontId="149" fillId="0" borderId="0" applyAlignment="1" pivotButton="0" quotePrefix="0" xfId="11">
      <alignment horizontal="left" vertical="center"/>
    </xf>
    <xf numFmtId="164" fontId="1" fillId="2" borderId="0" applyAlignment="1" applyProtection="1" pivotButton="0" quotePrefix="0" xfId="11">
      <alignment horizontal="center" vertical="center" shrinkToFit="1"/>
      <protection locked="0" hidden="0"/>
    </xf>
    <xf numFmtId="164" fontId="1" fillId="0" borderId="0" applyAlignment="1" applyProtection="1" pivotButton="0" quotePrefix="0" xfId="11">
      <alignment horizontal="center" vertical="center" shrinkToFit="1"/>
      <protection locked="0" hidden="0"/>
    </xf>
    <xf numFmtId="43" fontId="1" fillId="0" borderId="0" applyAlignment="1" applyProtection="1" pivotButton="0" quotePrefix="0" xfId="6">
      <alignment horizontal="center" vertical="center"/>
      <protection locked="0" hidden="0"/>
    </xf>
    <xf numFmtId="43" fontId="6" fillId="0" borderId="0" applyAlignment="1" pivotButton="0" quotePrefix="0" xfId="7">
      <alignment vertical="center"/>
    </xf>
    <xf numFmtId="43" fontId="13" fillId="0" borderId="0" applyAlignment="1" applyProtection="1" pivotButton="0" quotePrefix="0" xfId="7">
      <alignment horizontal="right" vertical="center" shrinkToFit="1"/>
      <protection locked="0" hidden="0"/>
    </xf>
    <xf numFmtId="43" fontId="149" fillId="0" borderId="0" applyAlignment="1" pivotButton="0" quotePrefix="0" xfId="7">
      <alignment vertical="center"/>
    </xf>
    <xf numFmtId="43" fontId="2" fillId="0" borderId="91" applyAlignment="1" pivotButton="0" quotePrefix="0" xfId="63">
      <alignment vertical="center" shrinkToFit="1"/>
    </xf>
    <xf numFmtId="43" fontId="2" fillId="0" borderId="3" applyAlignment="1" pivotButton="0" quotePrefix="0" xfId="63">
      <alignment vertical="center" shrinkToFit="1"/>
    </xf>
    <xf numFmtId="43" fontId="35" fillId="0" borderId="2" applyAlignment="1" applyProtection="1" pivotButton="0" quotePrefix="0" xfId="7">
      <alignment vertical="center"/>
      <protection locked="0" hidden="0"/>
    </xf>
    <xf numFmtId="43" fontId="2" fillId="0" borderId="0" applyAlignment="1" applyProtection="1" pivotButton="0" quotePrefix="0" xfId="7">
      <alignment vertical="center"/>
      <protection locked="0" hidden="0"/>
    </xf>
    <xf numFmtId="43" fontId="35" fillId="0" borderId="2" applyAlignment="1" pivotButton="0" quotePrefix="0" xfId="7">
      <alignment vertical="center"/>
    </xf>
    <xf numFmtId="43" fontId="2" fillId="0" borderId="28" applyAlignment="1" pivotButton="0" quotePrefix="0" xfId="7">
      <alignment horizontal="right" vertical="center" shrinkToFit="1"/>
    </xf>
    <xf numFmtId="43" fontId="31" fillId="0" borderId="90" applyAlignment="1" applyProtection="1" pivotButton="0" quotePrefix="0" xfId="7">
      <alignment horizontal="center" vertical="center" shrinkToFit="1"/>
      <protection locked="0" hidden="0"/>
    </xf>
    <xf numFmtId="43" fontId="31" fillId="0" borderId="91" applyAlignment="1" applyProtection="1" pivotButton="0" quotePrefix="0" xfId="7">
      <alignment horizontal="center" vertical="center" shrinkToFit="1"/>
      <protection locked="0" hidden="0"/>
    </xf>
    <xf numFmtId="43" fontId="31" fillId="0" borderId="3" applyAlignment="1" applyProtection="1" pivotButton="0" quotePrefix="0" xfId="7">
      <alignment horizontal="center" vertical="center" shrinkToFit="1"/>
      <protection locked="0" hidden="0"/>
    </xf>
    <xf numFmtId="43" fontId="1" fillId="0" borderId="0" applyAlignment="1" pivotButton="0" quotePrefix="0" xfId="0">
      <alignment horizontal="right" vertical="center" shrinkToFit="1"/>
    </xf>
    <xf numFmtId="43" fontId="1" fillId="2" borderId="26" applyAlignment="1" pivotButton="0" quotePrefix="0" xfId="13">
      <alignment horizontal="right" vertical="center" shrinkToFit="1"/>
    </xf>
    <xf numFmtId="43" fontId="1" fillId="2" borderId="0" applyAlignment="1" pivotButton="0" quotePrefix="0" xfId="13">
      <alignment horizontal="right" vertical="center" shrinkToFit="1"/>
    </xf>
    <xf numFmtId="43" fontId="1" fillId="2" borderId="28" applyAlignment="1" pivotButton="0" quotePrefix="0" xfId="13">
      <alignment horizontal="right" vertical="center" shrinkToFit="1"/>
    </xf>
    <xf numFmtId="43" fontId="31" fillId="0" borderId="4" applyAlignment="1" applyProtection="1" pivotButton="0" quotePrefix="0" xfId="7">
      <alignment horizontal="center" vertical="center" shrinkToFit="1"/>
      <protection locked="0" hidden="0"/>
    </xf>
    <xf numFmtId="43" fontId="31" fillId="0" borderId="5" applyAlignment="1" applyProtection="1" pivotButton="0" quotePrefix="0" xfId="7">
      <alignment horizontal="center" vertical="center" shrinkToFit="1"/>
      <protection locked="0" hidden="0"/>
    </xf>
    <xf numFmtId="43" fontId="31" fillId="0" borderId="6" applyAlignment="1" applyProtection="1" pivotButton="0" quotePrefix="0" xfId="7">
      <alignment horizontal="center" vertical="center" shrinkToFit="1"/>
      <protection locked="0" hidden="0"/>
    </xf>
    <xf numFmtId="43" fontId="2" fillId="0" borderId="0" applyAlignment="1" pivotButton="0" quotePrefix="0" xfId="12">
      <alignment vertical="center"/>
    </xf>
    <xf numFmtId="43" fontId="149" fillId="0" borderId="0" applyAlignment="1" pivotButton="0" quotePrefix="0" xfId="12">
      <alignment horizontal="left" vertical="center"/>
    </xf>
    <xf numFmtId="43" fontId="6" fillId="0" borderId="0" applyAlignment="1" pivotButton="0" quotePrefix="0" xfId="12">
      <alignment vertical="center"/>
    </xf>
    <xf numFmtId="43" fontId="13" fillId="0" borderId="0" applyAlignment="1" applyProtection="1" pivotButton="0" quotePrefix="0" xfId="12">
      <alignment horizontal="right" vertical="center" shrinkToFit="1"/>
      <protection locked="0" hidden="0"/>
    </xf>
    <xf numFmtId="43" fontId="1" fillId="2" borderId="0" applyAlignment="1" applyProtection="1" pivotButton="0" quotePrefix="0" xfId="12">
      <alignment horizontal="center" vertical="center" shrinkToFit="1"/>
      <protection locked="0" hidden="0"/>
    </xf>
    <xf numFmtId="43" fontId="1" fillId="0" borderId="0" applyAlignment="1" applyProtection="1" pivotButton="0" quotePrefix="0" xfId="12">
      <alignment horizontal="center" vertical="center" shrinkToFit="1"/>
      <protection locked="0" hidden="0"/>
    </xf>
    <xf numFmtId="43" fontId="1" fillId="0" borderId="0" applyAlignment="1" pivotButton="0" quotePrefix="0" xfId="12">
      <alignment horizontal="center" vertical="center" shrinkToFit="1"/>
    </xf>
    <xf numFmtId="43" fontId="1" fillId="0" borderId="26" applyAlignment="1" pivotButton="0" quotePrefix="0" xfId="12">
      <alignment horizontal="center" vertical="center" shrinkToFit="1"/>
    </xf>
    <xf numFmtId="43" fontId="1" fillId="0" borderId="43" applyAlignment="1" pivotButton="0" quotePrefix="0" xfId="12">
      <alignment horizontal="center" vertical="center" shrinkToFit="1"/>
    </xf>
    <xf numFmtId="43" fontId="1" fillId="0" borderId="0" applyAlignment="1" pivotButton="0" quotePrefix="0" xfId="2">
      <alignment horizontal="center" vertical="center" shrinkToFit="1"/>
    </xf>
    <xf numFmtId="43" fontId="2" fillId="0" borderId="0" applyAlignment="1" pivotButton="0" quotePrefix="0" xfId="13">
      <alignment vertical="center"/>
    </xf>
    <xf numFmtId="43" fontId="149" fillId="0" borderId="0" applyAlignment="1" pivotButton="0" quotePrefix="0" xfId="13">
      <alignment vertical="center"/>
    </xf>
    <xf numFmtId="43" fontId="6" fillId="0" borderId="0" applyAlignment="1" pivotButton="0" quotePrefix="0" xfId="13">
      <alignment vertical="center"/>
    </xf>
    <xf numFmtId="43" fontId="13" fillId="0" borderId="0" applyAlignment="1" applyProtection="1" pivotButton="0" quotePrefix="0" xfId="13">
      <alignment horizontal="right" vertical="center" shrinkToFit="1"/>
      <protection locked="0" hidden="0"/>
    </xf>
    <xf numFmtId="43" fontId="1" fillId="2" borderId="0" applyAlignment="1" applyProtection="1" pivotButton="0" quotePrefix="0" xfId="13">
      <alignment horizontal="center" vertical="center" shrinkToFit="1"/>
      <protection locked="0" hidden="0"/>
    </xf>
    <xf numFmtId="43" fontId="1" fillId="0" borderId="0" applyAlignment="1" applyProtection="1" pivotButton="0" quotePrefix="0" xfId="13">
      <alignment horizontal="center" vertical="center" shrinkToFit="1"/>
      <protection locked="0" hidden="0"/>
    </xf>
    <xf numFmtId="43" fontId="2" fillId="0" borderId="0" applyAlignment="1" pivotButton="0" quotePrefix="0" xfId="0">
      <alignment horizontal="right" vertical="center" shrinkToFit="1"/>
    </xf>
    <xf numFmtId="0" fontId="18" fillId="0" borderId="76" applyAlignment="1" pivotButton="0" quotePrefix="0" xfId="0">
      <alignment horizontal="left" vertical="top" wrapText="1"/>
    </xf>
    <xf numFmtId="43" fontId="19" fillId="0" borderId="73" applyAlignment="1" pivotButton="0" quotePrefix="0" xfId="9">
      <alignment horizontal="left" vertical="center" wrapText="1"/>
    </xf>
    <xf numFmtId="0" fontId="0" fillId="0" borderId="22" pivotButton="0" quotePrefix="0" xfId="0"/>
    <xf numFmtId="0" fontId="0" fillId="0" borderId="110" pivotButton="0" quotePrefix="0" xfId="0"/>
    <xf numFmtId="0" fontId="1" fillId="0" borderId="102" applyAlignment="1" pivotButton="0" quotePrefix="0" xfId="0">
      <alignment horizontal="left" vertical="center" wrapText="1"/>
    </xf>
    <xf numFmtId="41" fontId="1" fillId="0" borderId="75" applyAlignment="1" applyProtection="1" pivotButton="0" quotePrefix="0" xfId="0">
      <alignment vertical="center"/>
      <protection locked="0" hidden="0"/>
    </xf>
    <xf numFmtId="41" fontId="1" fillId="0" borderId="73" applyAlignment="1" applyProtection="1" pivotButton="0" quotePrefix="0" xfId="0">
      <alignment vertical="center"/>
      <protection locked="0" hidden="0"/>
    </xf>
    <xf numFmtId="41" fontId="1" fillId="0" borderId="76" applyAlignment="1" applyProtection="1" pivotButton="0" quotePrefix="0" xfId="0">
      <alignment vertical="center"/>
      <protection locked="0" hidden="0"/>
    </xf>
    <xf numFmtId="41" fontId="52" fillId="0" borderId="75" applyAlignment="1" applyProtection="1" pivotButton="0" quotePrefix="0" xfId="0">
      <alignment vertical="center"/>
      <protection locked="0" hidden="0"/>
    </xf>
    <xf numFmtId="41" fontId="1" fillId="0" borderId="38" applyAlignment="1" applyProtection="1" pivotButton="0" quotePrefix="0" xfId="0">
      <alignment vertical="center"/>
      <protection locked="0" hidden="0"/>
    </xf>
    <xf numFmtId="41" fontId="1" fillId="0" borderId="39" applyAlignment="1" applyProtection="1" pivotButton="0" quotePrefix="0" xfId="0">
      <alignment vertical="center"/>
      <protection locked="0" hidden="0"/>
    </xf>
    <xf numFmtId="41" fontId="1" fillId="0" borderId="40" applyAlignment="1" applyProtection="1" pivotButton="0" quotePrefix="0" xfId="0">
      <alignment vertical="center"/>
      <protection locked="0" hidden="0"/>
    </xf>
  </cellXfs>
  <cellStyles count="2633">
    <cellStyle name="常规" xfId="0" builtinId="0"/>
    <cellStyle name="Normal 13" xfId="1"/>
    <cellStyle name="Normal 9" xfId="2"/>
    <cellStyle name="常规 3 2 4" xfId="3"/>
    <cellStyle name="Comma 12 2" xfId="4"/>
    <cellStyle name="Normal 9 2" xfId="5"/>
    <cellStyle name="常规 3 2" xfId="6"/>
    <cellStyle name="Comma 12" xfId="7"/>
    <cellStyle name="常规 3 2 3" xfId="8"/>
    <cellStyle name="千位分隔" xfId="9" builtinId="3"/>
    <cellStyle name="Normal 2 10" xfId="10"/>
    <cellStyle name="Comma 13" xfId="11"/>
    <cellStyle name="Comma 2 7" xfId="12"/>
    <cellStyle name="Comma 5" xfId="13"/>
    <cellStyle name="Normal 3 4" xfId="14"/>
    <cellStyle name="Normal 16 2" xfId="15"/>
    <cellStyle name="Normal 3 2 4" xfId="16"/>
    <cellStyle name="常规 2 2 4" xfId="17"/>
    <cellStyle name="常规 2 2 5 2 2" xfId="18"/>
    <cellStyle name="Normal 17" xfId="19"/>
    <cellStyle name="Hyperlink 5" xfId="20"/>
    <cellStyle name="Normal 10 10" xfId="21"/>
    <cellStyle name="超链接 2" xfId="22"/>
    <cellStyle name="超链接 5" xfId="23"/>
    <cellStyle name="Normal 121 4" xfId="24"/>
    <cellStyle name="Normal 2 2" xfId="25"/>
    <cellStyle name="Normal 2 3 2 2 2 2" xfId="26"/>
    <cellStyle name="千位分隔 10" xfId="27"/>
    <cellStyle name="百分比 5" xfId="28"/>
    <cellStyle name="Normal 121" xfId="29"/>
    <cellStyle name="Normal 2 2 2" xfId="30"/>
    <cellStyle name="Normal 2" xfId="31"/>
    <cellStyle name="百分比" xfId="32" builtinId="5"/>
    <cellStyle name="常规_ZA 货币资金" xfId="33"/>
    <cellStyle name="常规 10 2" xfId="34"/>
    <cellStyle name="Normal 103 2 3" xfId="35"/>
    <cellStyle name="Normal 3 2 2 2 2" xfId="36"/>
    <cellStyle name="常规 13" xfId="37"/>
    <cellStyle name="Normal 121 2 2" xfId="38"/>
    <cellStyle name="Normal 2 3 5" xfId="39"/>
    <cellStyle name="Percent 5 2" xfId="40"/>
    <cellStyle name="Normal 2 5" xfId="41"/>
    <cellStyle name="Normal 3 3 2" xfId="42"/>
    <cellStyle name="Normal 121 2" xfId="43"/>
    <cellStyle name="Normal_Sheet2" xfId="44"/>
    <cellStyle name="Normal 2 2 3" xfId="45"/>
    <cellStyle name="Normal 2 2 4" xfId="46"/>
    <cellStyle name="Normal 2 3" xfId="47"/>
    <cellStyle name="Percent 5" xfId="48"/>
    <cellStyle name="Normal 3 3" xfId="49"/>
    <cellStyle name="Normal 8" xfId="50"/>
    <cellStyle name="Percent 4" xfId="51"/>
    <cellStyle name="Normal 4" xfId="52"/>
    <cellStyle name="Comma 14" xfId="53"/>
    <cellStyle name="Normal 2 3 2 2 3" xfId="54"/>
    <cellStyle name="Percent 2" xfId="55"/>
    <cellStyle name="Hyperlink 2" xfId="56"/>
    <cellStyle name="Hyperlink 2 2 3" xfId="57"/>
    <cellStyle name="Normal 14 2" xfId="58"/>
    <cellStyle name="Comma 10" xfId="59"/>
    <cellStyle name="Comma [0] 2" xfId="60"/>
    <cellStyle name="常规 4 2" xfId="61"/>
    <cellStyle name="Normal_0213 Bank Recs 31.03.2010" xfId="62"/>
    <cellStyle name="Normal 103" xfId="63"/>
    <cellStyle name="Normal 5 2" xfId="64"/>
    <cellStyle name="Normal 14" xfId="65"/>
    <cellStyle name="常规 3 2 4 2" xfId="66"/>
    <cellStyle name="超链接 4" xfId="67"/>
    <cellStyle name="Normal 125" xfId="68"/>
    <cellStyle name="Normal 14 3" xfId="69"/>
    <cellStyle name="Normal 2 10 2" xfId="70"/>
    <cellStyle name="常规 4" xfId="71"/>
    <cellStyle name="Normal 15 2 2" xfId="72"/>
    <cellStyle name="_x000a_mouse.drv=lm" xfId="73"/>
    <cellStyle name="?鹎%U龡&amp;H?_x0008__x001c__x001c_?_x0007__x0001__x0001_" xfId="74"/>
    <cellStyle name="0%" xfId="75"/>
    <cellStyle name="0.0%" xfId="76"/>
    <cellStyle name="0.00%" xfId="77"/>
    <cellStyle name="00" xfId="78"/>
    <cellStyle name="Accent1" xfId="79"/>
    <cellStyle name="Accent1 - 20%" xfId="80"/>
    <cellStyle name="Accent1 - 40%" xfId="81"/>
    <cellStyle name="Accent1 - 60%" xfId="82"/>
    <cellStyle name="Accent1_RESULTS" xfId="83"/>
    <cellStyle name="Accent2" xfId="84"/>
    <cellStyle name="Accent2 - 20%" xfId="85"/>
    <cellStyle name="Accent2 - 40%" xfId="86"/>
    <cellStyle name="Accent2 - 60%" xfId="87"/>
    <cellStyle name="Accent2_RESULTS" xfId="88"/>
    <cellStyle name="Accent3" xfId="89"/>
    <cellStyle name="Accent3 - 20%" xfId="90"/>
    <cellStyle name="Accent3 - 40%" xfId="91"/>
    <cellStyle name="Accent3 - 60%" xfId="92"/>
    <cellStyle name="Accent3_RESULTS" xfId="93"/>
    <cellStyle name="Accent4" xfId="94"/>
    <cellStyle name="Accent4 - 20%" xfId="95"/>
    <cellStyle name="Accent4 - 40%" xfId="96"/>
    <cellStyle name="Accent4 - 60%" xfId="97"/>
    <cellStyle name="Accent4_RESULTS" xfId="98"/>
    <cellStyle name="Accent5" xfId="99"/>
    <cellStyle name="Accent5 - 20%" xfId="100"/>
    <cellStyle name="Accent5 - 40%" xfId="101"/>
    <cellStyle name="Accent5 - 60%" xfId="102"/>
    <cellStyle name="Accent5_RESULTS" xfId="103"/>
    <cellStyle name="Accent6" xfId="104"/>
    <cellStyle name="Accent6 - 20%" xfId="105"/>
    <cellStyle name="Accent6 - 40%" xfId="106"/>
    <cellStyle name="Accent6 - 60%" xfId="107"/>
    <cellStyle name="Accent6_RESULTS" xfId="108"/>
    <cellStyle name="Calc Currency (0)" xfId="109"/>
    <cellStyle name="category" xfId="110"/>
    <cellStyle name="cellStyleNum 2" xfId="111"/>
    <cellStyle name="cellStyleNum 2 2" xfId="112"/>
    <cellStyle name="cellStyleNum 2 2 2" xfId="113"/>
    <cellStyle name="cellStyleNum 2 2 3" xfId="114"/>
    <cellStyle name="cellStyleNum 2 2 4" xfId="115"/>
    <cellStyle name="cellStyleNum 2 3" xfId="116"/>
    <cellStyle name="cellStyleNum 2 4" xfId="117"/>
    <cellStyle name="cellStyleNum 2 5" xfId="118"/>
    <cellStyle name="Check Cell 2" xfId="119"/>
    <cellStyle name="Check Cell 2 2" xfId="120"/>
    <cellStyle name="Check Cell 2 3" xfId="121"/>
    <cellStyle name="Col Heads" xfId="122"/>
    <cellStyle name="Comma  - Style1" xfId="123"/>
    <cellStyle name="Comma  - Style2" xfId="124"/>
    <cellStyle name="Comma  - Style3" xfId="125"/>
    <cellStyle name="Comma  - Style4" xfId="126"/>
    <cellStyle name="Comma  - Style5" xfId="127"/>
    <cellStyle name="Comma  - Style6" xfId="128"/>
    <cellStyle name="Comma  - Style7" xfId="129"/>
    <cellStyle name="Comma  - Style8" xfId="130"/>
    <cellStyle name="Comma [0] 2 2" xfId="131"/>
    <cellStyle name="Comma [0] 2 2 2" xfId="132"/>
    <cellStyle name="Comma [0] 2 2 2 2" xfId="133"/>
    <cellStyle name="Comma [0] 2 2 2 2 2" xfId="134"/>
    <cellStyle name="Comma [0] 2 2 2 2 2 2" xfId="135"/>
    <cellStyle name="Comma [0] 2 2 2 2 2 2 2" xfId="136"/>
    <cellStyle name="Comma [0] 2 2 2 2 2 3" xfId="137"/>
    <cellStyle name="Comma [0] 2 2 2 2 2 3 2" xfId="138"/>
    <cellStyle name="Comma [0] 2 2 2 2 2 4" xfId="139"/>
    <cellStyle name="Comma [0] 2 2 2 2 3" xfId="140"/>
    <cellStyle name="Comma [0] 2 2 2 2 3 2" xfId="141"/>
    <cellStyle name="Comma [0] 2 2 2 2 3 2 2" xfId="142"/>
    <cellStyle name="Comma [0] 2 2 2 2 3 3" xfId="143"/>
    <cellStyle name="Comma [0] 2 2 2 2 4" xfId="144"/>
    <cellStyle name="Comma [0] 2 2 2 2 4 2" xfId="145"/>
    <cellStyle name="Comma [0] 2 2 2 2 5" xfId="146"/>
    <cellStyle name="Comma [0] 2 2 2 3" xfId="147"/>
    <cellStyle name="Comma [0] 2 2 2 3 2" xfId="148"/>
    <cellStyle name="Comma [0] 2 2 2 3 2 2" xfId="149"/>
    <cellStyle name="Comma [0] 2 2 2 3 3" xfId="150"/>
    <cellStyle name="Comma [0] 2 2 2 3 3 2" xfId="151"/>
    <cellStyle name="Comma [0] 2 2 2 3 4" xfId="152"/>
    <cellStyle name="Comma [0] 2 2 2 4" xfId="153"/>
    <cellStyle name="Comma [0] 2 2 2 4 2" xfId="154"/>
    <cellStyle name="Comma [0] 2 2 2 4 2 2" xfId="155"/>
    <cellStyle name="Comma [0] 2 2 2 4 3" xfId="156"/>
    <cellStyle name="Comma [0] 2 2 2 5" xfId="157"/>
    <cellStyle name="Comma [0] 2 2 2 5 2" xfId="158"/>
    <cellStyle name="Comma [0] 2 2 2 6" xfId="159"/>
    <cellStyle name="Comma [0] 2 2 3" xfId="160"/>
    <cellStyle name="Comma [0] 2 2 3 2" xfId="161"/>
    <cellStyle name="Comma [0] 2 2 3 2 2" xfId="162"/>
    <cellStyle name="Comma [0] 2 2 3 3" xfId="163"/>
    <cellStyle name="Comma [0] 2 2 3 3 2" xfId="164"/>
    <cellStyle name="Comma [0] 2 2 3 4" xfId="165"/>
    <cellStyle name="Comma [0] 2 2 4" xfId="166"/>
    <cellStyle name="Comma [0] 2 2 4 2" xfId="167"/>
    <cellStyle name="Comma [0] 2 2 4 2 2" xfId="168"/>
    <cellStyle name="Comma [0] 2 2 4 3" xfId="169"/>
    <cellStyle name="Comma [0] 2 2 5" xfId="170"/>
    <cellStyle name="Comma [0] 2 2 5 2" xfId="171"/>
    <cellStyle name="Comma [0] 2 2 6" xfId="172"/>
    <cellStyle name="Comma [0] 2 3" xfId="173"/>
    <cellStyle name="Comma [0] 2 3 2" xfId="174"/>
    <cellStyle name="Comma [0] 2 3 2 2" xfId="175"/>
    <cellStyle name="Comma [0] 2 3 2 2 2" xfId="176"/>
    <cellStyle name="Comma [0] 2 3 2 3" xfId="177"/>
    <cellStyle name="Comma [0] 2 3 3" xfId="178"/>
    <cellStyle name="Comma [0] 2 3 3 2" xfId="179"/>
    <cellStyle name="Comma [0] 2 3 4" xfId="180"/>
    <cellStyle name="Comma [0] 2 4" xfId="181"/>
    <cellStyle name="Comma [0] 2 4 2" xfId="182"/>
    <cellStyle name="Comma [0] 2 4 2 2" xfId="183"/>
    <cellStyle name="Comma [0] 2 4 3" xfId="184"/>
    <cellStyle name="Comma [0] 2 4 3 2" xfId="185"/>
    <cellStyle name="Comma [0] 2 4 4" xfId="186"/>
    <cellStyle name="Comma [0] 2 5" xfId="187"/>
    <cellStyle name="Comma [0] 2 5 2" xfId="188"/>
    <cellStyle name="Comma [0] 2 6" xfId="189"/>
    <cellStyle name="Comma [0] 2 6 2" xfId="190"/>
    <cellStyle name="Comma [0] 2 7" xfId="191"/>
    <cellStyle name="Comma [0] 3" xfId="192"/>
    <cellStyle name="Comma [0] 3 2" xfId="193"/>
    <cellStyle name="Comma [0] 3 2 2" xfId="194"/>
    <cellStyle name="Comma [0] 3 2 2 2" xfId="195"/>
    <cellStyle name="Comma [0] 3 2 2 2 2" xfId="196"/>
    <cellStyle name="Comma [0] 3 2 2 3" xfId="197"/>
    <cellStyle name="Comma [0] 3 2 2 3 2" xfId="198"/>
    <cellStyle name="Comma [0] 3 2 2 4" xfId="199"/>
    <cellStyle name="Comma [0] 3 2 3" xfId="200"/>
    <cellStyle name="Comma [0] 3 2 3 2" xfId="201"/>
    <cellStyle name="Comma [0] 3 2 4" xfId="202"/>
    <cellStyle name="Comma [0] 3 2 4 2" xfId="203"/>
    <cellStyle name="Comma [0] 3 2 5" xfId="204"/>
    <cellStyle name="Comma [0] 3 3" xfId="205"/>
    <cellStyle name="Comma [0] 3 3 2" xfId="206"/>
    <cellStyle name="Comma [0] 3 4" xfId="207"/>
    <cellStyle name="Comma [0] 3 4 2" xfId="208"/>
    <cellStyle name="Comma [0] 3 5" xfId="209"/>
    <cellStyle name="Comma 10 2" xfId="210"/>
    <cellStyle name="Comma 10 2 2" xfId="211"/>
    <cellStyle name="Comma 10 2 2 2" xfId="212"/>
    <cellStyle name="Comma 10 2 2 2 2" xfId="213"/>
    <cellStyle name="Comma 10 2 2 3" xfId="214"/>
    <cellStyle name="Comma 10 2 3" xfId="215"/>
    <cellStyle name="Comma 10 2 3 2" xfId="216"/>
    <cellStyle name="Comma 10 2 4" xfId="217"/>
    <cellStyle name="Comma 10 2 4 2" xfId="218"/>
    <cellStyle name="Comma 10 2 5" xfId="219"/>
    <cellStyle name="Comma 10 2 5 2" xfId="220"/>
    <cellStyle name="Comma 10 2 6" xfId="221"/>
    <cellStyle name="Comma 10 2 6 2" xfId="222"/>
    <cellStyle name="Comma 10 2 7" xfId="223"/>
    <cellStyle name="Comma 10 3" xfId="224"/>
    <cellStyle name="Comma 10 3 2" xfId="225"/>
    <cellStyle name="Comma 10 4" xfId="226"/>
    <cellStyle name="Comma 11" xfId="227"/>
    <cellStyle name="Comma 11 2" xfId="228"/>
    <cellStyle name="Comma 11 2 2" xfId="229"/>
    <cellStyle name="Comma 11 3" xfId="230"/>
    <cellStyle name="Comma 12 2 2" xfId="231"/>
    <cellStyle name="Comma 12 2 2 2" xfId="232"/>
    <cellStyle name="Comma 12 2 3" xfId="233"/>
    <cellStyle name="Comma 12 3" xfId="234"/>
    <cellStyle name="Comma 13 2" xfId="235"/>
    <cellStyle name="Comma 14 2" xfId="236"/>
    <cellStyle name="Comma 16" xfId="237"/>
    <cellStyle name="Comma 16 2" xfId="238"/>
    <cellStyle name="Comma 2" xfId="239"/>
    <cellStyle name="Comma 2 2" xfId="240"/>
    <cellStyle name="Comma 2 2 2" xfId="241"/>
    <cellStyle name="Comma 2 2 2 2" xfId="242"/>
    <cellStyle name="Comma 2 2 2 2 2" xfId="243"/>
    <cellStyle name="Comma 2 2 2 3" xfId="244"/>
    <cellStyle name="Comma 2 2 2 3 2" xfId="245"/>
    <cellStyle name="Comma 2 2 2 4" xfId="246"/>
    <cellStyle name="Comma 2 2 3" xfId="247"/>
    <cellStyle name="Comma 2 2 3 2" xfId="248"/>
    <cellStyle name="Comma 2 2 3 2 2" xfId="249"/>
    <cellStyle name="Comma 2 2 3 3" xfId="250"/>
    <cellStyle name="Comma 2 2 4" xfId="251"/>
    <cellStyle name="Comma 2 2 4 2" xfId="252"/>
    <cellStyle name="Comma 2 2 4 2 2" xfId="253"/>
    <cellStyle name="Comma 2 2 4 3" xfId="254"/>
    <cellStyle name="Comma 2 2 5" xfId="255"/>
    <cellStyle name="Comma 2 2 5 2" xfId="256"/>
    <cellStyle name="Comma 2 2 6" xfId="257"/>
    <cellStyle name="Comma 2 3" xfId="258"/>
    <cellStyle name="Comma 2 3 2" xfId="259"/>
    <cellStyle name="Comma 2 3 2 2" xfId="260"/>
    <cellStyle name="Comma 2 3 2 2 2" xfId="261"/>
    <cellStyle name="Comma 2 3 2 3" xfId="262"/>
    <cellStyle name="Comma 2 3 3" xfId="263"/>
    <cellStyle name="Comma 2 3 3 2" xfId="264"/>
    <cellStyle name="Comma 2 3 4" xfId="265"/>
    <cellStyle name="Comma 2 4" xfId="266"/>
    <cellStyle name="Comma 2 4 2" xfId="267"/>
    <cellStyle name="Comma 2 4 2 2" xfId="268"/>
    <cellStyle name="Comma 2 4 3" xfId="269"/>
    <cellStyle name="Comma 2 4 3 2" xfId="270"/>
    <cellStyle name="Comma 2 4 4" xfId="271"/>
    <cellStyle name="Comma 2 5" xfId="272"/>
    <cellStyle name="Comma 2 5 2" xfId="273"/>
    <cellStyle name="Comma 2 5 5" xfId="274"/>
    <cellStyle name="Comma 2 5 5 2" xfId="275"/>
    <cellStyle name="Comma 2 6" xfId="276"/>
    <cellStyle name="Comma 2 7 2" xfId="277"/>
    <cellStyle name="Comma 2 8" xfId="278"/>
    <cellStyle name="Comma 2 8 2" xfId="279"/>
    <cellStyle name="Comma 2 9" xfId="280"/>
    <cellStyle name="Comma 3" xfId="281"/>
    <cellStyle name="Comma 3 2" xfId="282"/>
    <cellStyle name="Comma 3 2 2" xfId="283"/>
    <cellStyle name="Comma 3 2 2 2" xfId="284"/>
    <cellStyle name="Comma 3 2 3" xfId="285"/>
    <cellStyle name="Comma 3 2 3 2" xfId="286"/>
    <cellStyle name="Comma 3 2 3 3" xfId="287"/>
    <cellStyle name="Comma 3 2 3 3 2" xfId="288"/>
    <cellStyle name="Comma 3 2 4" xfId="289"/>
    <cellStyle name="Comma 3 2 4 2" xfId="290"/>
    <cellStyle name="Comma 3 2 5" xfId="291"/>
    <cellStyle name="Comma 3 3" xfId="292"/>
    <cellStyle name="Comma 3 3 2" xfId="293"/>
    <cellStyle name="Comma 3 3 2 2" xfId="294"/>
    <cellStyle name="Comma 3 3 3" xfId="295"/>
    <cellStyle name="Comma 3 4" xfId="296"/>
    <cellStyle name="Comma 3 4 2" xfId="297"/>
    <cellStyle name="Comma 3 5" xfId="298"/>
    <cellStyle name="Comma 3 6" xfId="299"/>
    <cellStyle name="Comma 3 6 2" xfId="300"/>
    <cellStyle name="Comma 3 7" xfId="301"/>
    <cellStyle name="Comma 4" xfId="302"/>
    <cellStyle name="Comma 4 2" xfId="303"/>
    <cellStyle name="Comma 4 2 2" xfId="304"/>
    <cellStyle name="Comma 4 2 2 2" xfId="305"/>
    <cellStyle name="Comma 4 2 3" xfId="306"/>
    <cellStyle name="Comma 4 2 3 2" xfId="307"/>
    <cellStyle name="Comma 4 2 4" xfId="308"/>
    <cellStyle name="Comma 4 3" xfId="309"/>
    <cellStyle name="Comma 4 3 2" xfId="310"/>
    <cellStyle name="Comma 4 4" xfId="311"/>
    <cellStyle name="Comma 4 4 2" xfId="312"/>
    <cellStyle name="Comma 4 4 2 2" xfId="313"/>
    <cellStyle name="Comma 4 4 3" xfId="314"/>
    <cellStyle name="Comma 4 5" xfId="315"/>
    <cellStyle name="Comma 4 5 2" xfId="316"/>
    <cellStyle name="Comma 4 6" xfId="317"/>
    <cellStyle name="Comma 5 2" xfId="318"/>
    <cellStyle name="Comma 5 2 2" xfId="319"/>
    <cellStyle name="Comma 5 2 2 2" xfId="320"/>
    <cellStyle name="Comma 5 2 2 2 2" xfId="321"/>
    <cellStyle name="Comma 5 2 2 3" xfId="322"/>
    <cellStyle name="Comma 5 2 2 3 2" xfId="323"/>
    <cellStyle name="Comma 5 2 2 4" xfId="324"/>
    <cellStyle name="Comma 5 2 3" xfId="325"/>
    <cellStyle name="Comma 5 2 3 2" xfId="326"/>
    <cellStyle name="Comma 5 2 4" xfId="327"/>
    <cellStyle name="Comma 5 2 4 2" xfId="328"/>
    <cellStyle name="Comma 5 2 5" xfId="329"/>
    <cellStyle name="Comma 5 3" xfId="330"/>
    <cellStyle name="Comma 5 3 2" xfId="331"/>
    <cellStyle name="Comma 5 3 2 2" xfId="332"/>
    <cellStyle name="Comma 5 3 3" xfId="333"/>
    <cellStyle name="Comma 5 4" xfId="334"/>
    <cellStyle name="Comma 5 4 2" xfId="335"/>
    <cellStyle name="Comma 5 5" xfId="336"/>
    <cellStyle name="Comma 58" xfId="337"/>
    <cellStyle name="Comma 58 2" xfId="338"/>
    <cellStyle name="Comma 6" xfId="339"/>
    <cellStyle name="Comma 6 2" xfId="340"/>
    <cellStyle name="Comma 6 2 2" xfId="341"/>
    <cellStyle name="Comma 6 3" xfId="342"/>
    <cellStyle name="Comma 6 3 2" xfId="343"/>
    <cellStyle name="Comma 6 4" xfId="344"/>
    <cellStyle name="Comma 7" xfId="345"/>
    <cellStyle name="Comma 7 2" xfId="346"/>
    <cellStyle name="Comma 7 2 2" xfId="347"/>
    <cellStyle name="Comma 7 2 2 2" xfId="348"/>
    <cellStyle name="Comma 7 2 3" xfId="349"/>
    <cellStyle name="Comma 7 3" xfId="350"/>
    <cellStyle name="Comma 7 3 2" xfId="351"/>
    <cellStyle name="Comma 7 4" xfId="352"/>
    <cellStyle name="Comma 8" xfId="353"/>
    <cellStyle name="Comma 8 2" xfId="354"/>
    <cellStyle name="Comma 8 2 2" xfId="355"/>
    <cellStyle name="Comma 8 3" xfId="356"/>
    <cellStyle name="Comma 8 3 2" xfId="357"/>
    <cellStyle name="Comma 8 4" xfId="358"/>
    <cellStyle name="Comma 9" xfId="359"/>
    <cellStyle name="Comma 9 2" xfId="360"/>
    <cellStyle name="Comma 9 2 2" xfId="361"/>
    <cellStyle name="Comma 9 3" xfId="362"/>
    <cellStyle name="comma zerodec" xfId="363"/>
    <cellStyle name="Comma,0" xfId="364"/>
    <cellStyle name="Comma,1" xfId="365"/>
    <cellStyle name="Comma,2" xfId="366"/>
    <cellStyle name="Currency,0" xfId="367"/>
    <cellStyle name="Currency,2" xfId="368"/>
    <cellStyle name="Currency1" xfId="369"/>
    <cellStyle name="dataStyle 2" xfId="370"/>
    <cellStyle name="dataStyle 2 2" xfId="371"/>
    <cellStyle name="dataStyle 2 2 2" xfId="372"/>
    <cellStyle name="dataStyle 2 2 3" xfId="373"/>
    <cellStyle name="dataStyle 2 2 4" xfId="374"/>
    <cellStyle name="dataStyle 2 3" xfId="375"/>
    <cellStyle name="dataStyle 2 4" xfId="376"/>
    <cellStyle name="dataStyle 2 5" xfId="377"/>
    <cellStyle name="dataStyle 3" xfId="378"/>
    <cellStyle name="dataStyle 3 2" xfId="379"/>
    <cellStyle name="dataStyle 3 2 2" xfId="380"/>
    <cellStyle name="dataStyle 3 2 3" xfId="381"/>
    <cellStyle name="dataStyle 3 2 4" xfId="382"/>
    <cellStyle name="dataStyle 3 3" xfId="383"/>
    <cellStyle name="dataStyle 3 4" xfId="384"/>
    <cellStyle name="dataStyle 3 5" xfId="385"/>
    <cellStyle name="Dollar (zero dec)" xfId="386"/>
    <cellStyle name="entry" xfId="387"/>
    <cellStyle name="entry box" xfId="388"/>
    <cellStyle name="entry box 2" xfId="389"/>
    <cellStyle name="entry box 2 2" xfId="390"/>
    <cellStyle name="entry box 2 3" xfId="391"/>
    <cellStyle name="entry box 3" xfId="392"/>
    <cellStyle name="entry box 4" xfId="393"/>
    <cellStyle name="entry box 5" xfId="394"/>
    <cellStyle name="Euro" xfId="395"/>
    <cellStyle name="Euro 2" xfId="396"/>
    <cellStyle name="Euro 2 2" xfId="397"/>
    <cellStyle name="Euro 3" xfId="398"/>
    <cellStyle name="Good 2" xfId="399"/>
    <cellStyle name="Good 2 2" xfId="400"/>
    <cellStyle name="Good 2 3" xfId="401"/>
    <cellStyle name="Grey" xfId="402"/>
    <cellStyle name="HEADER" xfId="403"/>
    <cellStyle name="Header1" xfId="404"/>
    <cellStyle name="Header1 2" xfId="405"/>
    <cellStyle name="Header1 3" xfId="406"/>
    <cellStyle name="Header1 4" xfId="407"/>
    <cellStyle name="Header2" xfId="408"/>
    <cellStyle name="Hyperlink 2 2" xfId="409"/>
    <cellStyle name="Hyperlink 2 3" xfId="410"/>
    <cellStyle name="Hyperlink 2 4" xfId="411"/>
    <cellStyle name="Hyperlink 3" xfId="412"/>
    <cellStyle name="Hyperlink 3 2" xfId="413"/>
    <cellStyle name="Hyperlink 3 3" xfId="414"/>
    <cellStyle name="Hyperlink 4" xfId="415"/>
    <cellStyle name="Hyperlink 4 2" xfId="416"/>
    <cellStyle name="Hyperlink 4 3" xfId="417"/>
    <cellStyle name="Hyperlink 4 4" xfId="418"/>
    <cellStyle name="Input [yellow]" xfId="419"/>
    <cellStyle name="Input [yellow] 2" xfId="420"/>
    <cellStyle name="Input [yellow] 2 2" xfId="421"/>
    <cellStyle name="Input [yellow] 2 3" xfId="422"/>
    <cellStyle name="Input [yellow] 3" xfId="423"/>
    <cellStyle name="Input [yellow] 4" xfId="424"/>
    <cellStyle name="Input [yellow] 5" xfId="425"/>
    <cellStyle name="Model" xfId="426"/>
    <cellStyle name="Model 2" xfId="427"/>
    <cellStyle name="Normal - Style1" xfId="428"/>
    <cellStyle name="Normal 10" xfId="429"/>
    <cellStyle name="Normal 10 2" xfId="430"/>
    <cellStyle name="Normal 10 2 2" xfId="431"/>
    <cellStyle name="Normal 10 2 2 2" xfId="432"/>
    <cellStyle name="Normal 10 2 3" xfId="433"/>
    <cellStyle name="Normal 10 3" xfId="434"/>
    <cellStyle name="Normal 10 4" xfId="435"/>
    <cellStyle name="Normal 103 2" xfId="436"/>
    <cellStyle name="Normal 103 2 2" xfId="437"/>
    <cellStyle name="Normal 103 2 4" xfId="438"/>
    <cellStyle name="Normal 103 3" xfId="439"/>
    <cellStyle name="Normal 103 4 2" xfId="440"/>
    <cellStyle name="Normal 11" xfId="441"/>
    <cellStyle name="Normal 11 2" xfId="442"/>
    <cellStyle name="Normal 111 2" xfId="443"/>
    <cellStyle name="Normal 111 2 2" xfId="444"/>
    <cellStyle name="Normal 111 2 3" xfId="445"/>
    <cellStyle name="Normal 118" xfId="446"/>
    <cellStyle name="Normal 12" xfId="447"/>
    <cellStyle name="Normal 12 2" xfId="448"/>
    <cellStyle name="Normal 12 2 2 2 2" xfId="449"/>
    <cellStyle name="Normal 121 2 2 2" xfId="450"/>
    <cellStyle name="Normal 121 2 2 2 2" xfId="451"/>
    <cellStyle name="Normal 121 2 2 2 4" xfId="452"/>
    <cellStyle name="Normal 121 2 3" xfId="453"/>
    <cellStyle name="Normal 121 2 4" xfId="454"/>
    <cellStyle name="Normal 125 2" xfId="455"/>
    <cellStyle name="Normal 126" xfId="456"/>
    <cellStyle name="Normal 126 2" xfId="457"/>
    <cellStyle name="Normal 13 2" xfId="458"/>
    <cellStyle name="Normal 13 3" xfId="459"/>
    <cellStyle name="Normal 15" xfId="460"/>
    <cellStyle name="Normal 15 2" xfId="461"/>
    <cellStyle name="Normal 15 2 3" xfId="462"/>
    <cellStyle name="Normal 15 3" xfId="463"/>
    <cellStyle name="Normal 16" xfId="464"/>
    <cellStyle name="Normal 182" xfId="465"/>
    <cellStyle name="Normal 182 2" xfId="466"/>
    <cellStyle name="Normal 2 2 2 2" xfId="467"/>
    <cellStyle name="Normal 2 2 2 2 2" xfId="468"/>
    <cellStyle name="Normal 2 2 2 3" xfId="469"/>
    <cellStyle name="Normal 2 2 3 2" xfId="470"/>
    <cellStyle name="Normal 2 24" xfId="471"/>
    <cellStyle name="Normal 2 3 2" xfId="472"/>
    <cellStyle name="Normal 2 3 2 2" xfId="473"/>
    <cellStyle name="Normal 2 3 2 2 2" xfId="474"/>
    <cellStyle name="Normal 2 3 2 2 4" xfId="475"/>
    <cellStyle name="Normal 2 3 2 3" xfId="476"/>
    <cellStyle name="Normal 2 3 3" xfId="477"/>
    <cellStyle name="Normal 2 3 3 2" xfId="478"/>
    <cellStyle name="Normal 2 3 4" xfId="479"/>
    <cellStyle name="Normal 2 3 4 2" xfId="480"/>
    <cellStyle name="Normal 2 3 4 2 2" xfId="481"/>
    <cellStyle name="Normal 2 3 5 2" xfId="482"/>
    <cellStyle name="Normal 2 3 6" xfId="483"/>
    <cellStyle name="Normal 2 4" xfId="484"/>
    <cellStyle name="Normal 2 4 2" xfId="485"/>
    <cellStyle name="Normal 2 4 3" xfId="486"/>
    <cellStyle name="Normal 2 5 2" xfId="487"/>
    <cellStyle name="Normal 2 5 3" xfId="488"/>
    <cellStyle name="Normal 2 6" xfId="489"/>
    <cellStyle name="Normal 2 7" xfId="490"/>
    <cellStyle name="Normal 3" xfId="491"/>
    <cellStyle name="Normal 3 2" xfId="492"/>
    <cellStyle name="Normal 3 2 2" xfId="493"/>
    <cellStyle name="Normal 3 2 3" xfId="494"/>
    <cellStyle name="Normal 3 2 5" xfId="495"/>
    <cellStyle name="Normal 3 2 6" xfId="496"/>
    <cellStyle name="Normal 3 3 2 2" xfId="497"/>
    <cellStyle name="Normal 3 5" xfId="498"/>
    <cellStyle name="Normal 3 6" xfId="499"/>
    <cellStyle name="Normal 3 6 2" xfId="500"/>
    <cellStyle name="Normal 31" xfId="501"/>
    <cellStyle name="Normal 4 2" xfId="502"/>
    <cellStyle name="Normal 4 2 2" xfId="503"/>
    <cellStyle name="Normal 4 2 3" xfId="504"/>
    <cellStyle name="Normal 4 2 4" xfId="505"/>
    <cellStyle name="Normal 4 3" xfId="506"/>
    <cellStyle name="Normal 4 3 2" xfId="507"/>
    <cellStyle name="Normal 4 3 2 2" xfId="508"/>
    <cellStyle name="Normal 4 3 3" xfId="509"/>
    <cellStyle name="Normal 4 3 4" xfId="510"/>
    <cellStyle name="Normal 4 3 5" xfId="511"/>
    <cellStyle name="Normal 4 4" xfId="512"/>
    <cellStyle name="Normal 4 5" xfId="513"/>
    <cellStyle name="Normal 5" xfId="514"/>
    <cellStyle name="Normal 5 3" xfId="515"/>
    <cellStyle name="Normal 5 3 2" xfId="516"/>
    <cellStyle name="Normal 5 4" xfId="517"/>
    <cellStyle name="Normal 5 5" xfId="518"/>
    <cellStyle name="Normal 6" xfId="519"/>
    <cellStyle name="Normal 6 2" xfId="520"/>
    <cellStyle name="Normal 6 2 2" xfId="521"/>
    <cellStyle name="Normal 6 2 3" xfId="522"/>
    <cellStyle name="Normal 6 3" xfId="523"/>
    <cellStyle name="Normal 6 4" xfId="524"/>
    <cellStyle name="Normal 7" xfId="525"/>
    <cellStyle name="Normal 7 2" xfId="526"/>
    <cellStyle name="Normal 7 3" xfId="527"/>
    <cellStyle name="Normal 7 4" xfId="528"/>
    <cellStyle name="Normal 8 2" xfId="529"/>
    <cellStyle name="Normal 8 2 2" xfId="530"/>
    <cellStyle name="Normal 8 3" xfId="531"/>
    <cellStyle name="Normal 8 4" xfId="532"/>
    <cellStyle name="Normal 9 2 2" xfId="533"/>
    <cellStyle name="Normalny_Arkusz1" xfId="534"/>
    <cellStyle name="Percent [2]" xfId="535"/>
    <cellStyle name="Percent 2 2" xfId="536"/>
    <cellStyle name="Percent 2 3" xfId="537"/>
    <cellStyle name="Percent 2 4" xfId="538"/>
    <cellStyle name="Percent 3" xfId="539"/>
    <cellStyle name="Percent 3 2" xfId="540"/>
    <cellStyle name="Percent 3 3" xfId="541"/>
    <cellStyle name="Percent 5 2 2" xfId="542"/>
    <cellStyle name="Percent 6 2" xfId="543"/>
    <cellStyle name="Prefilled" xfId="544"/>
    <cellStyle name="Prefilled 2" xfId="545"/>
    <cellStyle name="Prefilled 2 2" xfId="546"/>
    <cellStyle name="Prefilled 2 3" xfId="547"/>
    <cellStyle name="Prefilled 3" xfId="548"/>
    <cellStyle name="Prefilled 4" xfId="549"/>
    <cellStyle name="Prefilled 5" xfId="550"/>
    <cellStyle name="price" xfId="551"/>
    <cellStyle name="revised" xfId="552"/>
    <cellStyle name="row_def_array" xfId="553"/>
    <cellStyle name="SAPBEXaggData" xfId="554"/>
    <cellStyle name="SAPBEXaggData 2" xfId="555"/>
    <cellStyle name="SAPBEXaggData 2 2" xfId="556"/>
    <cellStyle name="SAPBEXaggData 2 2 2" xfId="557"/>
    <cellStyle name="SAPBEXaggData 2 2 3" xfId="558"/>
    <cellStyle name="SAPBEXaggData 2 2 4" xfId="559"/>
    <cellStyle name="SAPBEXaggData 2 2 5" xfId="560"/>
    <cellStyle name="SAPBEXaggData 2 3" xfId="561"/>
    <cellStyle name="SAPBEXaggData 3" xfId="562"/>
    <cellStyle name="SAPBEXaggData 3 2" xfId="563"/>
    <cellStyle name="SAPBEXaggData 3 3" xfId="564"/>
    <cellStyle name="SAPBEXaggData 3 4" xfId="565"/>
    <cellStyle name="SAPBEXaggData 3 5" xfId="566"/>
    <cellStyle name="SAPBEXaggData 4" xfId="567"/>
    <cellStyle name="SAPBEXaggDataEmph" xfId="568"/>
    <cellStyle name="SAPBEXaggDataEmph 2" xfId="569"/>
    <cellStyle name="SAPBEXaggDataEmph 2 2" xfId="570"/>
    <cellStyle name="SAPBEXaggDataEmph 2 2 2" xfId="571"/>
    <cellStyle name="SAPBEXaggDataEmph 2 2 3" xfId="572"/>
    <cellStyle name="SAPBEXaggDataEmph 2 2 4" xfId="573"/>
    <cellStyle name="SAPBEXaggDataEmph 2 2 5" xfId="574"/>
    <cellStyle name="SAPBEXaggDataEmph 2 3" xfId="575"/>
    <cellStyle name="SAPBEXaggDataEmph 3" xfId="576"/>
    <cellStyle name="SAPBEXaggDataEmph 3 2" xfId="577"/>
    <cellStyle name="SAPBEXaggDataEmph 3 3" xfId="578"/>
    <cellStyle name="SAPBEXaggDataEmph 3 4" xfId="579"/>
    <cellStyle name="SAPBEXaggDataEmph 3 5" xfId="580"/>
    <cellStyle name="SAPBEXaggDataEmph 4" xfId="581"/>
    <cellStyle name="SAPBEXaggItem" xfId="582"/>
    <cellStyle name="SAPBEXaggItem 2" xfId="583"/>
    <cellStyle name="SAPBEXaggItem 2 2" xfId="584"/>
    <cellStyle name="SAPBEXaggItem 2 2 2" xfId="585"/>
    <cellStyle name="SAPBEXaggItem 2 2 3" xfId="586"/>
    <cellStyle name="SAPBEXaggItem 2 2 4" xfId="587"/>
    <cellStyle name="SAPBEXaggItem 2 2 5" xfId="588"/>
    <cellStyle name="SAPBEXaggItem 2 3" xfId="589"/>
    <cellStyle name="SAPBEXaggItem 3" xfId="590"/>
    <cellStyle name="SAPBEXaggItem 3 2" xfId="591"/>
    <cellStyle name="SAPBEXaggItem 3 3" xfId="592"/>
    <cellStyle name="SAPBEXaggItem 3 4" xfId="593"/>
    <cellStyle name="SAPBEXaggItem 3 5" xfId="594"/>
    <cellStyle name="SAPBEXaggItem 4" xfId="595"/>
    <cellStyle name="SAPBEXaggItemX" xfId="596"/>
    <cellStyle name="SAPBEXaggItemX 2" xfId="597"/>
    <cellStyle name="SAPBEXaggItemX 2 2" xfId="598"/>
    <cellStyle name="SAPBEXaggItemX 2 2 2" xfId="599"/>
    <cellStyle name="SAPBEXaggItemX 2 2 3" xfId="600"/>
    <cellStyle name="SAPBEXaggItemX 2 2 4" xfId="601"/>
    <cellStyle name="SAPBEXaggItemX 2 2 5" xfId="602"/>
    <cellStyle name="SAPBEXaggItemX 2 3" xfId="603"/>
    <cellStyle name="SAPBEXaggItemX 3" xfId="604"/>
    <cellStyle name="SAPBEXaggItemX 3 2" xfId="605"/>
    <cellStyle name="SAPBEXaggItemX 3 3" xfId="606"/>
    <cellStyle name="SAPBEXaggItemX 3 4" xfId="607"/>
    <cellStyle name="SAPBEXaggItemX 3 5" xfId="608"/>
    <cellStyle name="SAPBEXaggItemX 4" xfId="609"/>
    <cellStyle name="SAPBEXchaText" xfId="610"/>
    <cellStyle name="SAPBEXexcBad7" xfId="611"/>
    <cellStyle name="SAPBEXexcBad7 2" xfId="612"/>
    <cellStyle name="SAPBEXexcBad7 2 2" xfId="613"/>
    <cellStyle name="SAPBEXexcBad7 2 2 2" xfId="614"/>
    <cellStyle name="SAPBEXexcBad7 2 2 3" xfId="615"/>
    <cellStyle name="SAPBEXexcBad7 2 2 4" xfId="616"/>
    <cellStyle name="SAPBEXexcBad7 2 2 5" xfId="617"/>
    <cellStyle name="SAPBEXexcBad7 2 3" xfId="618"/>
    <cellStyle name="SAPBEXexcBad7 3" xfId="619"/>
    <cellStyle name="SAPBEXexcBad7 3 2" xfId="620"/>
    <cellStyle name="SAPBEXexcBad7 3 3" xfId="621"/>
    <cellStyle name="SAPBEXexcBad7 3 4" xfId="622"/>
    <cellStyle name="SAPBEXexcBad7 3 5" xfId="623"/>
    <cellStyle name="SAPBEXexcBad7 4" xfId="624"/>
    <cellStyle name="SAPBEXexcBad8" xfId="625"/>
    <cellStyle name="SAPBEXexcBad8 2" xfId="626"/>
    <cellStyle name="SAPBEXexcBad8 2 2" xfId="627"/>
    <cellStyle name="SAPBEXexcBad8 2 2 2" xfId="628"/>
    <cellStyle name="SAPBEXexcBad8 2 2 3" xfId="629"/>
    <cellStyle name="SAPBEXexcBad8 2 2 4" xfId="630"/>
    <cellStyle name="SAPBEXexcBad8 2 2 5" xfId="631"/>
    <cellStyle name="SAPBEXexcBad8 2 3" xfId="632"/>
    <cellStyle name="SAPBEXexcBad8 3" xfId="633"/>
    <cellStyle name="SAPBEXexcBad8 3 2" xfId="634"/>
    <cellStyle name="SAPBEXexcBad8 3 3" xfId="635"/>
    <cellStyle name="SAPBEXexcBad8 3 4" xfId="636"/>
    <cellStyle name="SAPBEXexcBad8 3 5" xfId="637"/>
    <cellStyle name="SAPBEXexcBad8 4" xfId="638"/>
    <cellStyle name="SAPBEXexcBad9" xfId="639"/>
    <cellStyle name="SAPBEXexcBad9 2" xfId="640"/>
    <cellStyle name="SAPBEXexcBad9 2 2" xfId="641"/>
    <cellStyle name="SAPBEXexcBad9 2 2 2" xfId="642"/>
    <cellStyle name="SAPBEXexcBad9 2 2 3" xfId="643"/>
    <cellStyle name="SAPBEXexcBad9 2 2 4" xfId="644"/>
    <cellStyle name="SAPBEXexcBad9 2 2 5" xfId="645"/>
    <cellStyle name="SAPBEXexcBad9 2 3" xfId="646"/>
    <cellStyle name="SAPBEXexcBad9 3" xfId="647"/>
    <cellStyle name="SAPBEXexcBad9 3 2" xfId="648"/>
    <cellStyle name="SAPBEXexcBad9 3 3" xfId="649"/>
    <cellStyle name="SAPBEXexcBad9 3 4" xfId="650"/>
    <cellStyle name="SAPBEXexcBad9 3 5" xfId="651"/>
    <cellStyle name="SAPBEXexcBad9 4" xfId="652"/>
    <cellStyle name="SAPBEXexcCritical4" xfId="653"/>
    <cellStyle name="SAPBEXexcCritical4 2" xfId="654"/>
    <cellStyle name="SAPBEXexcCritical4 2 2" xfId="655"/>
    <cellStyle name="SAPBEXexcCritical4 2 2 2" xfId="656"/>
    <cellStyle name="SAPBEXexcCritical4 2 2 3" xfId="657"/>
    <cellStyle name="SAPBEXexcCritical4 2 2 4" xfId="658"/>
    <cellStyle name="SAPBEXexcCritical4 2 2 5" xfId="659"/>
    <cellStyle name="SAPBEXexcCritical4 2 3" xfId="660"/>
    <cellStyle name="SAPBEXexcCritical4 3" xfId="661"/>
    <cellStyle name="SAPBEXexcCritical4 3 2" xfId="662"/>
    <cellStyle name="SAPBEXexcCritical4 3 3" xfId="663"/>
    <cellStyle name="SAPBEXexcCritical4 3 4" xfId="664"/>
    <cellStyle name="SAPBEXexcCritical4 3 5" xfId="665"/>
    <cellStyle name="SAPBEXexcCritical4 4" xfId="666"/>
    <cellStyle name="SAPBEXexcCritical5" xfId="667"/>
    <cellStyle name="SAPBEXexcCritical5 2" xfId="668"/>
    <cellStyle name="SAPBEXexcCritical5 2 2" xfId="669"/>
    <cellStyle name="SAPBEXexcCritical5 2 2 2" xfId="670"/>
    <cellStyle name="SAPBEXexcCritical5 2 2 3" xfId="671"/>
    <cellStyle name="SAPBEXexcCritical5 2 2 4" xfId="672"/>
    <cellStyle name="SAPBEXexcCritical5 2 2 5" xfId="673"/>
    <cellStyle name="SAPBEXexcCritical5 2 3" xfId="674"/>
    <cellStyle name="SAPBEXexcCritical5 3" xfId="675"/>
    <cellStyle name="SAPBEXexcCritical5 3 2" xfId="676"/>
    <cellStyle name="SAPBEXexcCritical5 3 3" xfId="677"/>
    <cellStyle name="SAPBEXexcCritical5 3 4" xfId="678"/>
    <cellStyle name="SAPBEXexcCritical5 3 5" xfId="679"/>
    <cellStyle name="SAPBEXexcCritical5 4" xfId="680"/>
    <cellStyle name="SAPBEXexcCritical6" xfId="681"/>
    <cellStyle name="SAPBEXexcCritical6 2" xfId="682"/>
    <cellStyle name="SAPBEXexcCritical6 2 2" xfId="683"/>
    <cellStyle name="SAPBEXexcCritical6 2 2 2" xfId="684"/>
    <cellStyle name="SAPBEXexcCritical6 2 2 3" xfId="685"/>
    <cellStyle name="SAPBEXexcCritical6 2 2 4" xfId="686"/>
    <cellStyle name="SAPBEXexcCritical6 2 2 5" xfId="687"/>
    <cellStyle name="SAPBEXexcCritical6 2 3" xfId="688"/>
    <cellStyle name="SAPBEXexcCritical6 3" xfId="689"/>
    <cellStyle name="SAPBEXexcCritical6 3 2" xfId="690"/>
    <cellStyle name="SAPBEXexcCritical6 3 3" xfId="691"/>
    <cellStyle name="SAPBEXexcCritical6 3 4" xfId="692"/>
    <cellStyle name="SAPBEXexcCritical6 3 5" xfId="693"/>
    <cellStyle name="SAPBEXexcCritical6 4" xfId="694"/>
    <cellStyle name="SAPBEXexcGood1" xfId="695"/>
    <cellStyle name="SAPBEXexcGood1 2" xfId="696"/>
    <cellStyle name="SAPBEXexcGood1 2 2" xfId="697"/>
    <cellStyle name="SAPBEXexcGood1 2 2 2" xfId="698"/>
    <cellStyle name="SAPBEXexcGood1 2 2 3" xfId="699"/>
    <cellStyle name="SAPBEXexcGood1 2 2 4" xfId="700"/>
    <cellStyle name="SAPBEXexcGood1 2 2 5" xfId="701"/>
    <cellStyle name="SAPBEXexcGood1 2 3" xfId="702"/>
    <cellStyle name="SAPBEXexcGood1 3" xfId="703"/>
    <cellStyle name="SAPBEXexcGood1 3 2" xfId="704"/>
    <cellStyle name="SAPBEXexcGood1 3 3" xfId="705"/>
    <cellStyle name="SAPBEXexcGood1 3 4" xfId="706"/>
    <cellStyle name="SAPBEXexcGood1 3 5" xfId="707"/>
    <cellStyle name="SAPBEXexcGood1 4" xfId="708"/>
    <cellStyle name="SAPBEXexcGood2" xfId="709"/>
    <cellStyle name="SAPBEXexcGood2 2" xfId="710"/>
    <cellStyle name="SAPBEXexcGood2 2 2" xfId="711"/>
    <cellStyle name="SAPBEXexcGood2 2 2 2" xfId="712"/>
    <cellStyle name="SAPBEXexcGood2 2 2 3" xfId="713"/>
    <cellStyle name="SAPBEXexcGood2 2 2 4" xfId="714"/>
    <cellStyle name="SAPBEXexcGood2 2 2 5" xfId="715"/>
    <cellStyle name="SAPBEXexcGood2 2 3" xfId="716"/>
    <cellStyle name="SAPBEXexcGood2 3" xfId="717"/>
    <cellStyle name="SAPBEXexcGood2 3 2" xfId="718"/>
    <cellStyle name="SAPBEXexcGood2 3 3" xfId="719"/>
    <cellStyle name="SAPBEXexcGood2 3 4" xfId="720"/>
    <cellStyle name="SAPBEXexcGood2 3 5" xfId="721"/>
    <cellStyle name="SAPBEXexcGood2 4" xfId="722"/>
    <cellStyle name="SAPBEXexcGood3" xfId="723"/>
    <cellStyle name="SAPBEXexcGood3 2" xfId="724"/>
    <cellStyle name="SAPBEXexcGood3 2 2" xfId="725"/>
    <cellStyle name="SAPBEXexcGood3 2 2 2" xfId="726"/>
    <cellStyle name="SAPBEXexcGood3 2 2 3" xfId="727"/>
    <cellStyle name="SAPBEXexcGood3 2 2 4" xfId="728"/>
    <cellStyle name="SAPBEXexcGood3 2 2 5" xfId="729"/>
    <cellStyle name="SAPBEXexcGood3 2 3" xfId="730"/>
    <cellStyle name="SAPBEXexcGood3 3" xfId="731"/>
    <cellStyle name="SAPBEXexcGood3 3 2" xfId="732"/>
    <cellStyle name="SAPBEXexcGood3 3 3" xfId="733"/>
    <cellStyle name="SAPBEXexcGood3 3 4" xfId="734"/>
    <cellStyle name="SAPBEXexcGood3 3 5" xfId="735"/>
    <cellStyle name="SAPBEXexcGood3 4" xfId="736"/>
    <cellStyle name="SAPBEXfilterDrill" xfId="737"/>
    <cellStyle name="SAPBEXfilterDrill 2" xfId="738"/>
    <cellStyle name="SAPBEXfilterDrill 2 2" xfId="739"/>
    <cellStyle name="SAPBEXfilterDrill 2 3" xfId="740"/>
    <cellStyle name="SAPBEXfilterDrill 3" xfId="741"/>
    <cellStyle name="SAPBEXfilterDrill 4" xfId="742"/>
    <cellStyle name="SAPBEXfilterItem" xfId="743"/>
    <cellStyle name="SAPBEXfilterText" xfId="744"/>
    <cellStyle name="SAPBEXformats" xfId="745"/>
    <cellStyle name="SAPBEXformats 2" xfId="746"/>
    <cellStyle name="SAPBEXformats 2 2" xfId="747"/>
    <cellStyle name="SAPBEXformats 2 2 2" xfId="748"/>
    <cellStyle name="SAPBEXformats 2 2 3" xfId="749"/>
    <cellStyle name="SAPBEXformats 2 2 4" xfId="750"/>
    <cellStyle name="SAPBEXformats 2 2 5" xfId="751"/>
    <cellStyle name="SAPBEXformats 2 3" xfId="752"/>
    <cellStyle name="SAPBEXformats 3" xfId="753"/>
    <cellStyle name="SAPBEXformats 3 2" xfId="754"/>
    <cellStyle name="SAPBEXformats 3 3" xfId="755"/>
    <cellStyle name="SAPBEXformats 3 4" xfId="756"/>
    <cellStyle name="SAPBEXformats 3 5" xfId="757"/>
    <cellStyle name="SAPBEXformats 4" xfId="758"/>
    <cellStyle name="SAPBEXheaderItem" xfId="759"/>
    <cellStyle name="SAPBEXheaderText" xfId="760"/>
    <cellStyle name="SAPBEXHLevel0" xfId="761"/>
    <cellStyle name="SAPBEXHLevel0 2" xfId="762"/>
    <cellStyle name="SAPBEXHLevel0 2 2" xfId="763"/>
    <cellStyle name="SAPBEXHLevel0 2 2 2" xfId="764"/>
    <cellStyle name="SAPBEXHLevel0 2 2 3" xfId="765"/>
    <cellStyle name="SAPBEXHLevel0 2 2 4" xfId="766"/>
    <cellStyle name="SAPBEXHLevel0 2 2 5" xfId="767"/>
    <cellStyle name="SAPBEXHLevel0 2 3" xfId="768"/>
    <cellStyle name="SAPBEXHLevel0 3" xfId="769"/>
    <cellStyle name="SAPBEXHLevel0 3 2" xfId="770"/>
    <cellStyle name="SAPBEXHLevel0 3 3" xfId="771"/>
    <cellStyle name="SAPBEXHLevel0 3 4" xfId="772"/>
    <cellStyle name="SAPBEXHLevel0 3 5" xfId="773"/>
    <cellStyle name="SAPBEXHLevel0 4" xfId="774"/>
    <cellStyle name="SAPBEXHLevel0X" xfId="775"/>
    <cellStyle name="SAPBEXHLevel0X 2" xfId="776"/>
    <cellStyle name="SAPBEXHLevel0X 2 2" xfId="777"/>
    <cellStyle name="SAPBEXHLevel0X 2 2 2" xfId="778"/>
    <cellStyle name="SAPBEXHLevel0X 2 2 3" xfId="779"/>
    <cellStyle name="SAPBEXHLevel0X 2 2 4" xfId="780"/>
    <cellStyle name="SAPBEXHLevel0X 2 2 5" xfId="781"/>
    <cellStyle name="SAPBEXHLevel0X 2 3" xfId="782"/>
    <cellStyle name="SAPBEXHLevel0X 3" xfId="783"/>
    <cellStyle name="SAPBEXHLevel0X 3 2" xfId="784"/>
    <cellStyle name="SAPBEXHLevel0X 3 3" xfId="785"/>
    <cellStyle name="SAPBEXHLevel0X 3 4" xfId="786"/>
    <cellStyle name="SAPBEXHLevel0X 3 5" xfId="787"/>
    <cellStyle name="SAPBEXHLevel0X 4" xfId="788"/>
    <cellStyle name="SAPBEXHLevel1" xfId="789"/>
    <cellStyle name="SAPBEXHLevel1 2" xfId="790"/>
    <cellStyle name="SAPBEXHLevel1 2 2" xfId="791"/>
    <cellStyle name="SAPBEXHLevel1 2 2 2" xfId="792"/>
    <cellStyle name="SAPBEXHLevel1 2 2 3" xfId="793"/>
    <cellStyle name="SAPBEXHLevel1 2 2 4" xfId="794"/>
    <cellStyle name="SAPBEXHLevel1 2 2 5" xfId="795"/>
    <cellStyle name="SAPBEXHLevel1 2 3" xfId="796"/>
    <cellStyle name="SAPBEXHLevel1 3" xfId="797"/>
    <cellStyle name="SAPBEXHLevel1 3 2" xfId="798"/>
    <cellStyle name="SAPBEXHLevel1 3 3" xfId="799"/>
    <cellStyle name="SAPBEXHLevel1 3 4" xfId="800"/>
    <cellStyle name="SAPBEXHLevel1 3 5" xfId="801"/>
    <cellStyle name="SAPBEXHLevel1 4" xfId="802"/>
    <cellStyle name="SAPBEXHLevel1X" xfId="803"/>
    <cellStyle name="SAPBEXHLevel1X 2" xfId="804"/>
    <cellStyle name="SAPBEXHLevel1X 2 2" xfId="805"/>
    <cellStyle name="SAPBEXHLevel1X 2 2 2" xfId="806"/>
    <cellStyle name="SAPBEXHLevel1X 2 2 3" xfId="807"/>
    <cellStyle name="SAPBEXHLevel1X 2 2 4" xfId="808"/>
    <cellStyle name="SAPBEXHLevel1X 2 2 5" xfId="809"/>
    <cellStyle name="SAPBEXHLevel1X 2 3" xfId="810"/>
    <cellStyle name="SAPBEXHLevel1X 3" xfId="811"/>
    <cellStyle name="SAPBEXHLevel1X 3 2" xfId="812"/>
    <cellStyle name="SAPBEXHLevel1X 3 3" xfId="813"/>
    <cellStyle name="SAPBEXHLevel1X 3 4" xfId="814"/>
    <cellStyle name="SAPBEXHLevel1X 3 5" xfId="815"/>
    <cellStyle name="SAPBEXHLevel1X 4" xfId="816"/>
    <cellStyle name="SAPBEXHLevel2" xfId="817"/>
    <cellStyle name="SAPBEXHLevel2 2" xfId="818"/>
    <cellStyle name="SAPBEXHLevel2 2 2" xfId="819"/>
    <cellStyle name="SAPBEXHLevel2 2 2 2" xfId="820"/>
    <cellStyle name="SAPBEXHLevel2 2 2 3" xfId="821"/>
    <cellStyle name="SAPBEXHLevel2 2 2 4" xfId="822"/>
    <cellStyle name="SAPBEXHLevel2 2 2 5" xfId="823"/>
    <cellStyle name="SAPBEXHLevel2 2 3" xfId="824"/>
    <cellStyle name="SAPBEXHLevel2 3" xfId="825"/>
    <cellStyle name="SAPBEXHLevel2 3 2" xfId="826"/>
    <cellStyle name="SAPBEXHLevel2 3 3" xfId="827"/>
    <cellStyle name="SAPBEXHLevel2 3 4" xfId="828"/>
    <cellStyle name="SAPBEXHLevel2 3 5" xfId="829"/>
    <cellStyle name="SAPBEXHLevel2 4" xfId="830"/>
    <cellStyle name="SAPBEXHLevel2X" xfId="831"/>
    <cellStyle name="SAPBEXHLevel2X 2" xfId="832"/>
    <cellStyle name="SAPBEXHLevel2X 2 2" xfId="833"/>
    <cellStyle name="SAPBEXHLevel2X 2 2 2" xfId="834"/>
    <cellStyle name="SAPBEXHLevel2X 2 2 3" xfId="835"/>
    <cellStyle name="SAPBEXHLevel2X 2 2 4" xfId="836"/>
    <cellStyle name="SAPBEXHLevel2X 2 2 5" xfId="837"/>
    <cellStyle name="SAPBEXHLevel2X 2 3" xfId="838"/>
    <cellStyle name="SAPBEXHLevel2X 3" xfId="839"/>
    <cellStyle name="SAPBEXHLevel2X 3 2" xfId="840"/>
    <cellStyle name="SAPBEXHLevel2X 3 3" xfId="841"/>
    <cellStyle name="SAPBEXHLevel2X 3 4" xfId="842"/>
    <cellStyle name="SAPBEXHLevel2X 3 5" xfId="843"/>
    <cellStyle name="SAPBEXHLevel2X 4" xfId="844"/>
    <cellStyle name="SAPBEXHLevel3" xfId="845"/>
    <cellStyle name="SAPBEXHLevel3 2" xfId="846"/>
    <cellStyle name="SAPBEXHLevel3 2 2" xfId="847"/>
    <cellStyle name="SAPBEXHLevel3 2 2 2" xfId="848"/>
    <cellStyle name="SAPBEXHLevel3 2 2 3" xfId="849"/>
    <cellStyle name="SAPBEXHLevel3 2 2 4" xfId="850"/>
    <cellStyle name="SAPBEXHLevel3 2 2 5" xfId="851"/>
    <cellStyle name="SAPBEXHLevel3 2 3" xfId="852"/>
    <cellStyle name="SAPBEXHLevel3 3" xfId="853"/>
    <cellStyle name="SAPBEXHLevel3 3 2" xfId="854"/>
    <cellStyle name="SAPBEXHLevel3 3 3" xfId="855"/>
    <cellStyle name="SAPBEXHLevel3 3 4" xfId="856"/>
    <cellStyle name="SAPBEXHLevel3 3 5" xfId="857"/>
    <cellStyle name="SAPBEXHLevel3 4" xfId="858"/>
    <cellStyle name="SAPBEXHLevel3X" xfId="859"/>
    <cellStyle name="SAPBEXHLevel3X 2" xfId="860"/>
    <cellStyle name="SAPBEXHLevel3X 2 2" xfId="861"/>
    <cellStyle name="SAPBEXHLevel3X 2 2 2" xfId="862"/>
    <cellStyle name="SAPBEXHLevel3X 2 2 3" xfId="863"/>
    <cellStyle name="SAPBEXHLevel3X 2 2 4" xfId="864"/>
    <cellStyle name="SAPBEXHLevel3X 2 2 5" xfId="865"/>
    <cellStyle name="SAPBEXHLevel3X 2 3" xfId="866"/>
    <cellStyle name="SAPBEXHLevel3X 3" xfId="867"/>
    <cellStyle name="SAPBEXHLevel3X 3 2" xfId="868"/>
    <cellStyle name="SAPBEXHLevel3X 3 3" xfId="869"/>
    <cellStyle name="SAPBEXHLevel3X 3 4" xfId="870"/>
    <cellStyle name="SAPBEXHLevel3X 3 5" xfId="871"/>
    <cellStyle name="SAPBEXHLevel3X 4" xfId="872"/>
    <cellStyle name="SAPBEXresData" xfId="873"/>
    <cellStyle name="SAPBEXresData 2" xfId="874"/>
    <cellStyle name="SAPBEXresData 2 2" xfId="875"/>
    <cellStyle name="SAPBEXresData 2 2 2" xfId="876"/>
    <cellStyle name="SAPBEXresData 2 2 3" xfId="877"/>
    <cellStyle name="SAPBEXresData 2 2 4" xfId="878"/>
    <cellStyle name="SAPBEXresData 2 2 5" xfId="879"/>
    <cellStyle name="SAPBEXresData 2 3" xfId="880"/>
    <cellStyle name="SAPBEXresData 3" xfId="881"/>
    <cellStyle name="SAPBEXresData 3 2" xfId="882"/>
    <cellStyle name="SAPBEXresData 3 3" xfId="883"/>
    <cellStyle name="SAPBEXresData 3 4" xfId="884"/>
    <cellStyle name="SAPBEXresData 3 5" xfId="885"/>
    <cellStyle name="SAPBEXresData 4" xfId="886"/>
    <cellStyle name="SAPBEXresDataEmph" xfId="887"/>
    <cellStyle name="SAPBEXresDataEmph 2" xfId="888"/>
    <cellStyle name="SAPBEXresDataEmph 2 2" xfId="889"/>
    <cellStyle name="SAPBEXresDataEmph 2 2 2" xfId="890"/>
    <cellStyle name="SAPBEXresDataEmph 2 2 3" xfId="891"/>
    <cellStyle name="SAPBEXresDataEmph 2 2 4" xfId="892"/>
    <cellStyle name="SAPBEXresDataEmph 2 2 5" xfId="893"/>
    <cellStyle name="SAPBEXresDataEmph 2 3" xfId="894"/>
    <cellStyle name="SAPBEXresDataEmph 3" xfId="895"/>
    <cellStyle name="SAPBEXresDataEmph 3 2" xfId="896"/>
    <cellStyle name="SAPBEXresDataEmph 3 3" xfId="897"/>
    <cellStyle name="SAPBEXresDataEmph 3 4" xfId="898"/>
    <cellStyle name="SAPBEXresDataEmph 3 5" xfId="899"/>
    <cellStyle name="SAPBEXresDataEmph 4" xfId="900"/>
    <cellStyle name="SAPBEXresItem" xfId="901"/>
    <cellStyle name="SAPBEXresItem 2" xfId="902"/>
    <cellStyle name="SAPBEXresItem 2 2" xfId="903"/>
    <cellStyle name="SAPBEXresItem 2 2 2" xfId="904"/>
    <cellStyle name="SAPBEXresItem 2 2 3" xfId="905"/>
    <cellStyle name="SAPBEXresItem 2 2 4" xfId="906"/>
    <cellStyle name="SAPBEXresItem 2 2 5" xfId="907"/>
    <cellStyle name="SAPBEXresItem 2 3" xfId="908"/>
    <cellStyle name="SAPBEXresItem 3" xfId="909"/>
    <cellStyle name="SAPBEXresItem 3 2" xfId="910"/>
    <cellStyle name="SAPBEXresItem 3 3" xfId="911"/>
    <cellStyle name="SAPBEXresItem 3 4" xfId="912"/>
    <cellStyle name="SAPBEXresItem 3 5" xfId="913"/>
    <cellStyle name="SAPBEXresItem 4" xfId="914"/>
    <cellStyle name="SAPBEXresItemX" xfId="915"/>
    <cellStyle name="SAPBEXresItemX 2" xfId="916"/>
    <cellStyle name="SAPBEXresItemX 2 2" xfId="917"/>
    <cellStyle name="SAPBEXresItemX 2 2 2" xfId="918"/>
    <cellStyle name="SAPBEXresItemX 2 2 3" xfId="919"/>
    <cellStyle name="SAPBEXresItemX 2 2 4" xfId="920"/>
    <cellStyle name="SAPBEXresItemX 2 2 5" xfId="921"/>
    <cellStyle name="SAPBEXresItemX 2 3" xfId="922"/>
    <cellStyle name="SAPBEXresItemX 3" xfId="923"/>
    <cellStyle name="SAPBEXresItemX 3 2" xfId="924"/>
    <cellStyle name="SAPBEXresItemX 3 3" xfId="925"/>
    <cellStyle name="SAPBEXresItemX 3 4" xfId="926"/>
    <cellStyle name="SAPBEXresItemX 3 5" xfId="927"/>
    <cellStyle name="SAPBEXresItemX 4" xfId="928"/>
    <cellStyle name="SAPBEXstdData" xfId="929"/>
    <cellStyle name="SAPBEXstdData 2" xfId="930"/>
    <cellStyle name="SAPBEXstdData 2 2" xfId="931"/>
    <cellStyle name="SAPBEXstdData 2 2 2" xfId="932"/>
    <cellStyle name="SAPBEXstdData 2 2 3" xfId="933"/>
    <cellStyle name="SAPBEXstdData 2 2 4" xfId="934"/>
    <cellStyle name="SAPBEXstdData 2 2 5" xfId="935"/>
    <cellStyle name="SAPBEXstdData 2 3" xfId="936"/>
    <cellStyle name="SAPBEXstdData 3" xfId="937"/>
    <cellStyle name="SAPBEXstdData 3 2" xfId="938"/>
    <cellStyle name="SAPBEXstdData 3 3" xfId="939"/>
    <cellStyle name="SAPBEXstdData 3 4" xfId="940"/>
    <cellStyle name="SAPBEXstdData 3 5" xfId="941"/>
    <cellStyle name="SAPBEXstdData 4" xfId="942"/>
    <cellStyle name="SAPBEXstdDataEmph" xfId="943"/>
    <cellStyle name="SAPBEXstdDataEmph 2" xfId="944"/>
    <cellStyle name="SAPBEXstdDataEmph 2 2" xfId="945"/>
    <cellStyle name="SAPBEXstdDataEmph 2 2 2" xfId="946"/>
    <cellStyle name="SAPBEXstdDataEmph 2 2 3" xfId="947"/>
    <cellStyle name="SAPBEXstdDataEmph 2 2 4" xfId="948"/>
    <cellStyle name="SAPBEXstdDataEmph 2 2 5" xfId="949"/>
    <cellStyle name="SAPBEXstdDataEmph 2 3" xfId="950"/>
    <cellStyle name="SAPBEXstdDataEmph 3" xfId="951"/>
    <cellStyle name="SAPBEXstdDataEmph 3 2" xfId="952"/>
    <cellStyle name="SAPBEXstdDataEmph 3 3" xfId="953"/>
    <cellStyle name="SAPBEXstdDataEmph 3 4" xfId="954"/>
    <cellStyle name="SAPBEXstdDataEmph 3 5" xfId="955"/>
    <cellStyle name="SAPBEXstdDataEmph 4" xfId="956"/>
    <cellStyle name="SAPBEXstdItem" xfId="957"/>
    <cellStyle name="SAPBEXstdItem 2" xfId="958"/>
    <cellStyle name="SAPBEXstdItem 2 2" xfId="959"/>
    <cellStyle name="SAPBEXstdItem 2 2 2" xfId="960"/>
    <cellStyle name="SAPBEXstdItem 2 2 3" xfId="961"/>
    <cellStyle name="SAPBEXstdItem 2 2 4" xfId="962"/>
    <cellStyle name="SAPBEXstdItem 2 2 5" xfId="963"/>
    <cellStyle name="SAPBEXstdItem 2 3" xfId="964"/>
    <cellStyle name="SAPBEXstdItem 3" xfId="965"/>
    <cellStyle name="SAPBEXstdItem 3 2" xfId="966"/>
    <cellStyle name="SAPBEXstdItem 3 3" xfId="967"/>
    <cellStyle name="SAPBEXstdItem 3 4" xfId="968"/>
    <cellStyle name="SAPBEXstdItem 3 5" xfId="969"/>
    <cellStyle name="SAPBEXstdItem 4" xfId="970"/>
    <cellStyle name="SAPBEXstdItemX" xfId="971"/>
    <cellStyle name="SAPBEXstdItemX 2" xfId="972"/>
    <cellStyle name="SAPBEXstdItemX 2 2" xfId="973"/>
    <cellStyle name="SAPBEXstdItemX 2 2 2" xfId="974"/>
    <cellStyle name="SAPBEXstdItemX 2 2 3" xfId="975"/>
    <cellStyle name="SAPBEXstdItemX 2 2 4" xfId="976"/>
    <cellStyle name="SAPBEXstdItemX 2 2 5" xfId="977"/>
    <cellStyle name="SAPBEXstdItemX 2 3" xfId="978"/>
    <cellStyle name="SAPBEXstdItemX 3" xfId="979"/>
    <cellStyle name="SAPBEXstdItemX 3 2" xfId="980"/>
    <cellStyle name="SAPBEXstdItemX 3 3" xfId="981"/>
    <cellStyle name="SAPBEXstdItemX 3 4" xfId="982"/>
    <cellStyle name="SAPBEXstdItemX 3 5" xfId="983"/>
    <cellStyle name="SAPBEXstdItemX 4" xfId="984"/>
    <cellStyle name="SAPBEXtitle" xfId="985"/>
    <cellStyle name="SAPBEXundefined" xfId="986"/>
    <cellStyle name="SAPBEXundefined 2" xfId="987"/>
    <cellStyle name="SAPBEXundefined 2 2" xfId="988"/>
    <cellStyle name="SAPBEXundefined 2 2 2" xfId="989"/>
    <cellStyle name="SAPBEXundefined 2 2 3" xfId="990"/>
    <cellStyle name="SAPBEXundefined 2 2 4" xfId="991"/>
    <cellStyle name="SAPBEXundefined 2 2 5" xfId="992"/>
    <cellStyle name="SAPBEXundefined 2 3" xfId="993"/>
    <cellStyle name="SAPBEXundefined 3" xfId="994"/>
    <cellStyle name="SAPBEXundefined 3 2" xfId="995"/>
    <cellStyle name="SAPBEXundefined 3 3" xfId="996"/>
    <cellStyle name="SAPBEXundefined 3 4" xfId="997"/>
    <cellStyle name="SAPBEXundefined 3 5" xfId="998"/>
    <cellStyle name="SAPBEXundefined 4" xfId="999"/>
    <cellStyle name="section" xfId="1000"/>
    <cellStyle name="SOR" xfId="1001"/>
    <cellStyle name="SOR 2" xfId="1002"/>
    <cellStyle name="SOR 2 2" xfId="1003"/>
    <cellStyle name="SOR 2 2 2" xfId="1004"/>
    <cellStyle name="SOR 2 3" xfId="1005"/>
    <cellStyle name="SOR 3" xfId="1006"/>
    <cellStyle name="SOR 3 2" xfId="1007"/>
    <cellStyle name="SOR 4" xfId="1008"/>
    <cellStyle name="subhead" xfId="1009"/>
    <cellStyle name="title" xfId="1010"/>
    <cellStyle name="Tusental (0)_pldt" xfId="1011"/>
    <cellStyle name="Tusental_pldt" xfId="1012"/>
    <cellStyle name="Valuta (0)_pldt" xfId="1013"/>
    <cellStyle name="Valuta_pldt" xfId="1014"/>
    <cellStyle name="パーセント_laroux" xfId="1015"/>
    <cellStyle name="_PLDT" xfId="1016"/>
    <cellStyle name="_laroux" xfId="1017"/>
    <cellStyle name="だ[0]_PLDT" xfId="1018"/>
    <cellStyle name="だ_PLDT" xfId="1019"/>
    <cellStyle name="だ[0]_Total (2)" xfId="1020"/>
    <cellStyle name="だ_laroux" xfId="1021"/>
    <cellStyle name="百分比 2" xfId="1022"/>
    <cellStyle name="百分比 2 2" xfId="1023"/>
    <cellStyle name="百分比 2 3" xfId="1024"/>
    <cellStyle name="百分比 3" xfId="1025"/>
    <cellStyle name="百分比 3 2" xfId="1026"/>
    <cellStyle name="百分比 3 2 2" xfId="1027"/>
    <cellStyle name="百分比 3 3" xfId="1028"/>
    <cellStyle name="百分比 3 4" xfId="1029"/>
    <cellStyle name="百分比 4" xfId="1030"/>
    <cellStyle name="百分比 4 2" xfId="1031"/>
    <cellStyle name="百分比 4 3" xfId="1032"/>
    <cellStyle name="百分比 4 4" xfId="1033"/>
    <cellStyle name="百分比 6" xfId="1034"/>
    <cellStyle name="捠壿 [0.00]_PRODUCT DETAIL Q1" xfId="1035"/>
    <cellStyle name="捠壿_PRODUCT DETAIL Q1" xfId="1036"/>
    <cellStyle name="标题 5" xfId="1037"/>
    <cellStyle name="標準_１１月価格表" xfId="1038"/>
    <cellStyle name="表标题" xfId="1039"/>
    <cellStyle name="差_10存货" xfId="1040"/>
    <cellStyle name="差_19-无形资产（空白模板）" xfId="1041"/>
    <cellStyle name="差_2-交易性金融资产（空白模板）" xfId="1042"/>
    <cellStyle name="差_3-2 进一步审计程序-采购与付款循环" xfId="1043"/>
    <cellStyle name="差_3-3 进一步审计程序-存货与生产循环" xfId="1044"/>
    <cellStyle name="差_49-营业收入（空白模板）" xfId="1045"/>
    <cellStyle name="差_4-应收账款（空白模板）" xfId="1046"/>
    <cellStyle name="差_50-营业成本（空白模板）" xfId="1047"/>
    <cellStyle name="差_51-营业税金及附加（空白模板）" xfId="1048"/>
    <cellStyle name="差_54-财务费用（空白模板）" xfId="1049"/>
    <cellStyle name="差_55-资产减值损失（空白模板）" xfId="1050"/>
    <cellStyle name="差_9管理费用" xfId="1051"/>
    <cellStyle name="差_Book2" xfId="1052"/>
    <cellStyle name="差_dxn底稿目录" xfId="1053"/>
    <cellStyle name="差_Sheet1" xfId="1054"/>
    <cellStyle name="差_ZA0货币资金审定表 " xfId="1055"/>
    <cellStyle name="差_存货" xfId="1056"/>
    <cellStyle name="差_大信底稿目录" xfId="1057"/>
    <cellStyle name="差_底稿设置宏" xfId="1058"/>
    <cellStyle name="差_货币资金" xfId="1059"/>
    <cellStyle name="差_货币资金 天职" xfId="1060"/>
    <cellStyle name="差_货币资金 岳华" xfId="1061"/>
    <cellStyle name="差_无形资产" xfId="1062"/>
    <cellStyle name="差_应付职工薪酬" xfId="1063"/>
    <cellStyle name="差_应收账款" xfId="1064"/>
    <cellStyle name="差_账项明细表" xfId="1065"/>
    <cellStyle name="常规 10" xfId="1066"/>
    <cellStyle name="常规 11" xfId="1067"/>
    <cellStyle name="常规 12" xfId="1068"/>
    <cellStyle name="常规 2" xfId="1069"/>
    <cellStyle name="常规 2- " xfId="1070"/>
    <cellStyle name="常规 2 10" xfId="1071"/>
    <cellStyle name="常规 2 11" xfId="1072"/>
    <cellStyle name="常规 2 12" xfId="1073"/>
    <cellStyle name="常规 2 13" xfId="1074"/>
    <cellStyle name="常规 2 2" xfId="1075"/>
    <cellStyle name="常规 2 2 2" xfId="1076"/>
    <cellStyle name="常规 2 2 2 2" xfId="1077"/>
    <cellStyle name="常规 2 2 2 3" xfId="1078"/>
    <cellStyle name="常规 2 2 2 4" xfId="1079"/>
    <cellStyle name="常规 2 2 3" xfId="1080"/>
    <cellStyle name="常规 2 2 3 2" xfId="1081"/>
    <cellStyle name="常规 2 2 3 3" xfId="1082"/>
    <cellStyle name="常规 2 2 3 3 2" xfId="1083"/>
    <cellStyle name="常规 2 2 3 4" xfId="1084"/>
    <cellStyle name="常规 2 2 4 2" xfId="1085"/>
    <cellStyle name="常规 2 2 4 3" xfId="1086"/>
    <cellStyle name="常规 2 2 5" xfId="1087"/>
    <cellStyle name="常规 2 2 5 2" xfId="1088"/>
    <cellStyle name="常规 2 2 6" xfId="1089"/>
    <cellStyle name="常规 2 3" xfId="1090"/>
    <cellStyle name="常规 2 3 2" xfId="1091"/>
    <cellStyle name="常规 2 3 3" xfId="1092"/>
    <cellStyle name="常规 2 4" xfId="1093"/>
    <cellStyle name="常规 2 5" xfId="1094"/>
    <cellStyle name="常规 2 6" xfId="1095"/>
    <cellStyle name="常规 2 7" xfId="1096"/>
    <cellStyle name="常规 2 8" xfId="1097"/>
    <cellStyle name="常规 2 9" xfId="1098"/>
    <cellStyle name="常规 2_10存货" xfId="1099"/>
    <cellStyle name="常规 3" xfId="1100"/>
    <cellStyle name="常规 3 2 2" xfId="1101"/>
    <cellStyle name="常规 3 2 2 2" xfId="1102"/>
    <cellStyle name="常规 3 2 2 3" xfId="1103"/>
    <cellStyle name="常规 3 3" xfId="1104"/>
    <cellStyle name="常规 3 3 2" xfId="1105"/>
    <cellStyle name="常规 3 3 3" xfId="1106"/>
    <cellStyle name="常规 3 4" xfId="1107"/>
    <cellStyle name="常规 3_10存货" xfId="1108"/>
    <cellStyle name="常规 4 2 2" xfId="1109"/>
    <cellStyle name="常规 4 2 3" xfId="1110"/>
    <cellStyle name="常规 4 3" xfId="1111"/>
    <cellStyle name="常规 4 3 2 2" xfId="1112"/>
    <cellStyle name="常规 4 3 2 2 2" xfId="1113"/>
    <cellStyle name="常规 4 4" xfId="1114"/>
    <cellStyle name="常规 4 5" xfId="1115"/>
    <cellStyle name="常规 5" xfId="1116"/>
    <cellStyle name="常规 5 2" xfId="1117"/>
    <cellStyle name="常规 5 3" xfId="1118"/>
    <cellStyle name="常规 6" xfId="1119"/>
    <cellStyle name="常规 7" xfId="1120"/>
    <cellStyle name="常规 7 2" xfId="1121"/>
    <cellStyle name="常规 7 3" xfId="1122"/>
    <cellStyle name="常规 8" xfId="1123"/>
    <cellStyle name="常规 8 2" xfId="1124"/>
    <cellStyle name="常规 9" xfId="1125"/>
    <cellStyle name="常规 9 2" xfId="1126"/>
    <cellStyle name="常规 9 3" xfId="1127"/>
    <cellStyle name="超级链接_综合类底稿表格" xfId="1128"/>
    <cellStyle name="超連結 2" xfId="1129"/>
    <cellStyle name="超链接 2 2" xfId="1130"/>
    <cellStyle name="超链接 2 2 2" xfId="1131"/>
    <cellStyle name="超链接 2 3" xfId="1132"/>
    <cellStyle name="超链接 2 4" xfId="1133"/>
    <cellStyle name="超链接 2 5" xfId="1134"/>
    <cellStyle name="超链接 3" xfId="1135"/>
    <cellStyle name="超链接 3 2" xfId="1136"/>
    <cellStyle name="超链接 3 3" xfId="1137"/>
    <cellStyle name="好_10存货" xfId="1138"/>
    <cellStyle name="好_19-无形资产（空白模板）" xfId="1139"/>
    <cellStyle name="好_1财务费用" xfId="1140"/>
    <cellStyle name="好_1营业收入" xfId="1141"/>
    <cellStyle name="好_1资产减值损失" xfId="1142"/>
    <cellStyle name="好_2-交易性金融资产（空白模板）" xfId="1143"/>
    <cellStyle name="好_3-2 进一步审计程序-采购与付款循环" xfId="1144"/>
    <cellStyle name="好_3-3 进一步审计程序-存货与生产循环" xfId="1145"/>
    <cellStyle name="好_49-营业收入（空白模板）" xfId="1146"/>
    <cellStyle name="好_4-应收账款（空白模板）" xfId="1147"/>
    <cellStyle name="好_50-营业成本（空白模板）" xfId="1148"/>
    <cellStyle name="好_51-营业税金及附加（空白模板）" xfId="1149"/>
    <cellStyle name="好_54-财务费用（空白模板）" xfId="1150"/>
    <cellStyle name="好_55-资产减值损失（空白模板）" xfId="1151"/>
    <cellStyle name="好_9管理费用" xfId="1152"/>
    <cellStyle name="好_Book2" xfId="1153"/>
    <cellStyle name="好_Sheet1" xfId="1154"/>
    <cellStyle name="好_ZA0货币资金审定表 " xfId="1155"/>
    <cellStyle name="好_财务费用" xfId="1156"/>
    <cellStyle name="好_存货" xfId="1157"/>
    <cellStyle name="好_存货 - 复制" xfId="1158"/>
    <cellStyle name="好_大信底稿目录" xfId="1159"/>
    <cellStyle name="好_底稿设置宏" xfId="1160"/>
    <cellStyle name="好_底稿设置宏_大信底稿目录" xfId="1161"/>
    <cellStyle name="好_货币资金" xfId="1162"/>
    <cellStyle name="好_货币资金 天职" xfId="1163"/>
    <cellStyle name="好_货币资金 岳华" xfId="1164"/>
    <cellStyle name="好_实收资本(股本)" xfId="1165"/>
    <cellStyle name="好_无形资产" xfId="1166"/>
    <cellStyle name="好_银行函证结果汇总表" xfId="1167"/>
    <cellStyle name="好_应付职工薪酬" xfId="1168"/>
    <cellStyle name="好_应收利息" xfId="1169"/>
    <cellStyle name="好_应收账款" xfId="1170"/>
    <cellStyle name="好_营业收入" xfId="1171"/>
    <cellStyle name="好_账项明细表" xfId="1172"/>
    <cellStyle name="好_资产负债标准底稿" xfId="1173"/>
    <cellStyle name="好_资产负债标准底稿_大信底稿目录" xfId="1174"/>
    <cellStyle name="好_资产负债类底稿模版" xfId="1175"/>
    <cellStyle name="好_资产负债类底稿模版_大信底稿目录" xfId="1176"/>
    <cellStyle name="好_资产减值损失" xfId="1177"/>
    <cellStyle name="桁区切り [0.00]_１１月価格表" xfId="1178"/>
    <cellStyle name="桁区切り_１１月価格表" xfId="1179"/>
    <cellStyle name="货币 2" xfId="1180"/>
    <cellStyle name="货币 3" xfId="1181"/>
    <cellStyle name="貨幣 [0]_SGV" xfId="1182"/>
    <cellStyle name="貨幣_SGV" xfId="1183"/>
    <cellStyle name="霓付 [0]_1202" xfId="1184"/>
    <cellStyle name="霓付_1202" xfId="1185"/>
    <cellStyle name="烹拳 [0]_1202" xfId="1186"/>
    <cellStyle name="烹拳_1202" xfId="1187"/>
    <cellStyle name="砯刽 [0]_PLDT" xfId="1188"/>
    <cellStyle name="砯刽_PLDT" xfId="1189"/>
    <cellStyle name="普通_ 白土" xfId="1190"/>
    <cellStyle name="千分位[0]_ 白土" xfId="1191"/>
    <cellStyle name="千分位_ 白土" xfId="1192"/>
    <cellStyle name="千位[0]_1995" xfId="1193"/>
    <cellStyle name="千位_1995" xfId="1194"/>
    <cellStyle name="千位分隔 10 2" xfId="1195"/>
    <cellStyle name="千位分隔 11" xfId="1196"/>
    <cellStyle name="千位分隔 11 2" xfId="1197"/>
    <cellStyle name="千位分隔 12" xfId="1198"/>
    <cellStyle name="千位分隔 2" xfId="1199"/>
    <cellStyle name="千位分隔 2 2" xfId="1200"/>
    <cellStyle name="千位分隔 2 2 2" xfId="1201"/>
    <cellStyle name="千位分隔 2 2 2 2" xfId="1202"/>
    <cellStyle name="千位分隔 2 2 2 2 2" xfId="1203"/>
    <cellStyle name="千位分隔 2 2 2 3" xfId="1204"/>
    <cellStyle name="千位分隔 2 2 2 3 2" xfId="1205"/>
    <cellStyle name="千位分隔 2 2 2 4" xfId="1206"/>
    <cellStyle name="千位分隔 2 2 3" xfId="1207"/>
    <cellStyle name="千位分隔 2 2 3 2" xfId="1208"/>
    <cellStyle name="千位分隔 2 2 4" xfId="1209"/>
    <cellStyle name="千位分隔 2 2 4 2" xfId="1210"/>
    <cellStyle name="千位分隔 2 2 5" xfId="1211"/>
    <cellStyle name="千位分隔 2 3" xfId="1212"/>
    <cellStyle name="千位分隔 2 3 2" xfId="1213"/>
    <cellStyle name="千位分隔 2 3 2 2" xfId="1214"/>
    <cellStyle name="千位分隔 2 3 3" xfId="1215"/>
    <cellStyle name="千位分隔 2 4" xfId="1216"/>
    <cellStyle name="千位分隔 2 4 2" xfId="1217"/>
    <cellStyle name="千位分隔 2 5" xfId="1218"/>
    <cellStyle name="千位分隔 3" xfId="1219"/>
    <cellStyle name="千位分隔 3 2" xfId="1220"/>
    <cellStyle name="千位分隔 3 2 2" xfId="1221"/>
    <cellStyle name="千位分隔 3 2 2 2" xfId="1222"/>
    <cellStyle name="千位分隔 3 2 2 2 2" xfId="1223"/>
    <cellStyle name="千位分隔 3 2 2 3" xfId="1224"/>
    <cellStyle name="千位分隔 3 2 3" xfId="1225"/>
    <cellStyle name="千位分隔 3 2 3 2" xfId="1226"/>
    <cellStyle name="千位分隔 3 2 4" xfId="1227"/>
    <cellStyle name="千位分隔 3 2 4 2" xfId="1228"/>
    <cellStyle name="千位分隔 3 2 5" xfId="1229"/>
    <cellStyle name="千位分隔 3 3" xfId="1230"/>
    <cellStyle name="千位分隔 3 3 2" xfId="1231"/>
    <cellStyle name="千位分隔 3 3 2 2" xfId="1232"/>
    <cellStyle name="千位分隔 3 3 3" xfId="1233"/>
    <cellStyle name="千位分隔 3 3 3 2" xfId="1234"/>
    <cellStyle name="千位分隔 3 3 4" xfId="1235"/>
    <cellStyle name="千位分隔 3 4" xfId="1236"/>
    <cellStyle name="千位分隔 3 4 2" xfId="1237"/>
    <cellStyle name="千位分隔 3 4 2 2" xfId="1238"/>
    <cellStyle name="千位分隔 3 4 3" xfId="1239"/>
    <cellStyle name="千位分隔 3 4 3 2" xfId="1240"/>
    <cellStyle name="千位分隔 3 4 4" xfId="1241"/>
    <cellStyle name="千位分隔 3 5" xfId="1242"/>
    <cellStyle name="千位分隔 3 5 2" xfId="1243"/>
    <cellStyle name="千位分隔 3 6" xfId="1244"/>
    <cellStyle name="千位分隔 4" xfId="1245"/>
    <cellStyle name="千位分隔 4 2" xfId="1246"/>
    <cellStyle name="千位分隔 4 2 2" xfId="1247"/>
    <cellStyle name="千位分隔 4 2 2 2" xfId="1248"/>
    <cellStyle name="千位分隔 4 2 3" xfId="1249"/>
    <cellStyle name="千位分隔 4 2 3 2" xfId="1250"/>
    <cellStyle name="千位分隔 4 2 4" xfId="1251"/>
    <cellStyle name="千位分隔 4 3" xfId="1252"/>
    <cellStyle name="千位分隔 4 3 2" xfId="1253"/>
    <cellStyle name="千位分隔 4 4" xfId="1254"/>
    <cellStyle name="千位分隔 4 4 2" xfId="1255"/>
    <cellStyle name="千位分隔 4 5" xfId="1256"/>
    <cellStyle name="千位分隔 5" xfId="1257"/>
    <cellStyle name="千位分隔 5 2" xfId="1258"/>
    <cellStyle name="千位分隔 5 2 2" xfId="1259"/>
    <cellStyle name="千位分隔 5 2 2 2" xfId="1260"/>
    <cellStyle name="千位分隔 5 2 3" xfId="1261"/>
    <cellStyle name="千位分隔 5 3" xfId="1262"/>
    <cellStyle name="千位分隔 5 3 2" xfId="1263"/>
    <cellStyle name="千位分隔 5 4" xfId="1264"/>
    <cellStyle name="千位分隔 5 4 2" xfId="1265"/>
    <cellStyle name="千位分隔 5 5" xfId="1266"/>
    <cellStyle name="千位分隔 6" xfId="1267"/>
    <cellStyle name="千位分隔 6 2" xfId="1268"/>
    <cellStyle name="千位分隔 7" xfId="1269"/>
    <cellStyle name="千位分隔 7 2" xfId="1270"/>
    <cellStyle name="千位分隔 7 3" xfId="1271"/>
    <cellStyle name="千位分隔 7 3 2" xfId="1272"/>
    <cellStyle name="千位分隔 7 3 2 2" xfId="1273"/>
    <cellStyle name="千位分隔 7 3 3" xfId="1274"/>
    <cellStyle name="千位分隔 8" xfId="1275"/>
    <cellStyle name="千位分隔 8 2" xfId="1276"/>
    <cellStyle name="千位分隔 8 2 2" xfId="1277"/>
    <cellStyle name="千位分隔 8 3" xfId="1278"/>
    <cellStyle name="千位分隔 9" xfId="1279"/>
    <cellStyle name="千位分隔 9 2" xfId="1280"/>
    <cellStyle name="千位分隔[0] 2" xfId="1281"/>
    <cellStyle name="千位分隔[0] 2 2" xfId="1282"/>
    <cellStyle name="千位分隔[0] 2 2 2" xfId="1283"/>
    <cellStyle name="千位分隔[0] 2 2 2 2" xfId="1284"/>
    <cellStyle name="千位分隔[0] 2 2 2 2 2" xfId="1285"/>
    <cellStyle name="千位分隔[0] 2 2 2 3" xfId="1286"/>
    <cellStyle name="千位分隔[0] 2 2 2 3 2" xfId="1287"/>
    <cellStyle name="千位分隔[0] 2 2 2 4" xfId="1288"/>
    <cellStyle name="千位分隔[0] 2 2 3" xfId="1289"/>
    <cellStyle name="千位分隔[0] 2 2 3 2" xfId="1290"/>
    <cellStyle name="千位分隔[0] 2 2 4" xfId="1291"/>
    <cellStyle name="千位分隔[0] 2 2 4 2" xfId="1292"/>
    <cellStyle name="千位分隔[0] 2 2 5" xfId="1293"/>
    <cellStyle name="千位分隔[0] 2 3" xfId="1294"/>
    <cellStyle name="千位分隔[0] 2 3 2" xfId="1295"/>
    <cellStyle name="千位分隔[0] 2 4" xfId="1296"/>
    <cellStyle name="千位分隔[0] 2 4 2" xfId="1297"/>
    <cellStyle name="千位分隔[0] 2 5" xfId="1298"/>
    <cellStyle name="钎霖_(沥焊何巩)岿喊牢盔拌裙" xfId="1299"/>
    <cellStyle name="强调 1" xfId="1300"/>
    <cellStyle name="强调 2" xfId="1301"/>
    <cellStyle name="强调 3" xfId="1302"/>
    <cellStyle name="通貨 [0.00]_１１月価格表" xfId="1303"/>
    <cellStyle name="通貨_１１月価格表" xfId="1304"/>
    <cellStyle name="样式 1" xfId="1305"/>
    <cellStyle name="一般 2" xfId="1306"/>
    <cellStyle name="一般 2 2" xfId="1307"/>
    <cellStyle name="一般_2008 06CUIT" xfId="1308"/>
    <cellStyle name="昗弨_BOOKSHIP" xfId="1309"/>
    <cellStyle name="寘嬫愗傝 [0.00]_PRODUCT DETAIL Q1" xfId="1310"/>
    <cellStyle name="寘嬫愗傝_PRODUCT DETAIL Q1" xfId="1311"/>
    <cellStyle name="资产" xfId="1312"/>
    <cellStyle name="资产 2" xfId="1313"/>
    <cellStyle name="资产 2 2" xfId="1314"/>
    <cellStyle name="资产 2 3" xfId="1315"/>
    <cellStyle name="资产 3" xfId="1316"/>
    <cellStyle name="资产 4" xfId="1317"/>
    <cellStyle name="资产 5" xfId="1318"/>
    <cellStyle name="콤마 [0]_BOILER-CO1" xfId="1319"/>
    <cellStyle name="콤마_BOILER-CO1" xfId="1320"/>
    <cellStyle name="통화 [0]_BOILER-CO1" xfId="1321"/>
    <cellStyle name="통화_BOILER-CO1" xfId="1322"/>
    <cellStyle name="표준_0N-HANDLING " xfId="1323"/>
    <cellStyle name="常规 14" xfId="1324"/>
    <cellStyle name="Normal 16 2 2" xfId="1325"/>
    <cellStyle name="Hyperlink" xfId="1326"/>
    <cellStyle name="SAPBEXHLevel1 3 2 2" xfId="1327"/>
    <cellStyle name="SAPBEXHLevel0 2 2 6" xfId="1328"/>
    <cellStyle name="SAPBEXexcCritical5 2 4" xfId="1329"/>
    <cellStyle name="SAPBEXHLevel3 3 3 3" xfId="1330"/>
    <cellStyle name="Comma 12 2 4" xfId="1331"/>
    <cellStyle name="SAPBEXexcCritical5 5" xfId="1332"/>
    <cellStyle name="SAPBEXHLevel3 2 2 4 3" xfId="1333"/>
    <cellStyle name="Comma 12 4" xfId="1334"/>
    <cellStyle name="SAPBEXHLevel3 3 2 3" xfId="1335"/>
    <cellStyle name="Comma 15" xfId="1336"/>
    <cellStyle name="SAPBEXformats 2 2 4 2" xfId="1337"/>
    <cellStyle name="SAPBEXHLevel2X 3 3 2" xfId="1338"/>
    <cellStyle name="Comma 2 7 3" xfId="1339"/>
    <cellStyle name="Comma 5 6" xfId="1340"/>
    <cellStyle name="SAPBEXexcGood1 3 5 2" xfId="1341"/>
    <cellStyle name="Normal 16 2 3" xfId="1342"/>
    <cellStyle name="SAPBEXexcGood2 2 2 3 2" xfId="1343"/>
    <cellStyle name="SAPBEXHLevel2X 2 2 4 3" xfId="1344"/>
    <cellStyle name="常规 2 2 5 2 2 2" xfId="1345"/>
    <cellStyle name="Normal 17 2" xfId="1346"/>
    <cellStyle name="SAPBEXHLevel1 3 5 2" xfId="1347"/>
    <cellStyle name="SAPBEXHLevel1X 3 4 2" xfId="1348"/>
    <cellStyle name="SAPBEXHLevel1 2 2 5 2" xfId="1349"/>
    <cellStyle name="SAPBEXresData 3 3 3" xfId="1350"/>
    <cellStyle name="SAPBEXHLevel0 2 3 2" xfId="1351"/>
    <cellStyle name="SAPBEXformats 2 2 2 2" xfId="1352"/>
    <cellStyle name="Normal 2 3 2 2 2 2 2" xfId="1353"/>
    <cellStyle name="千位分隔 10 3" xfId="1354"/>
    <cellStyle name="百分比 5 2" xfId="1355"/>
    <cellStyle name="SAPBEXHLevel0X 2 4" xfId="1356"/>
    <cellStyle name="SAPBEXformats 2 2 6" xfId="1357"/>
    <cellStyle name="SAPBEXformats 2 2 5 2" xfId="1358"/>
    <cellStyle name="SAPBEXexcCritical4 3 3 2" xfId="1359"/>
    <cellStyle name="SAPBEXresData 3 7" xfId="1360"/>
    <cellStyle name="常规 10 2 2" xfId="1361"/>
    <cellStyle name="Normal 103 2 3 2" xfId="1362"/>
    <cellStyle name="SAPBEXexcGood2 2 2 5 2" xfId="1363"/>
    <cellStyle name="SAPBEXHLevel2 2 5" xfId="1364"/>
    <cellStyle name="SAPBEXHLevel0 4 2" xfId="1365"/>
    <cellStyle name="SAPBEXexcGood3 2 2 4 2" xfId="1366"/>
    <cellStyle name="SAPBEXexcBad9 4 2" xfId="1367"/>
    <cellStyle name="SAPBEXexcGood3 5" xfId="1368"/>
    <cellStyle name="SAPBEXexcGood2 5" xfId="1369"/>
    <cellStyle name="SAPBEXHLevel0X 5" xfId="1370"/>
    <cellStyle name="SAPBEXexcCritical4 3 5 2" xfId="1371"/>
    <cellStyle name="SAPBEXexcCritical4 5" xfId="1372"/>
    <cellStyle name="SAPBEXexcGood2 2 4" xfId="1373"/>
    <cellStyle name="SAPBEXexcCritical5 2 2 5 2" xfId="1374"/>
    <cellStyle name="SAPBEXexcCritical4 2 4" xfId="1375"/>
    <cellStyle name="SAPBEXexcGood1 2 3 2" xfId="1376"/>
    <cellStyle name="Comma 14 3" xfId="1377"/>
    <cellStyle name="SAPBEXexcGood3 3 5 2" xfId="1378"/>
    <cellStyle name="SAPBEXexcCritical4 3 6" xfId="1379"/>
    <cellStyle name="SAPBEXHLevel1X 3 3 2" xfId="1380"/>
    <cellStyle name="SAPBEXHLevel1X 3 6" xfId="1381"/>
    <cellStyle name="Comma 10 5" xfId="1382"/>
    <cellStyle name="Comma [0] 2 8" xfId="1383"/>
    <cellStyle name="SAPBEXHLevel3X 2 2 3 3" xfId="1384"/>
    <cellStyle name="SAPBEXHLevel1 5" xfId="1385"/>
    <cellStyle name="SAPBEXexcCritical6 2 3 2" xfId="1386"/>
    <cellStyle name="SAPBEXHLevel3 3 4 3" xfId="1387"/>
    <cellStyle name="SAPBEXHLevel0 2 2 5 2" xfId="1388"/>
    <cellStyle name="SAPBEXformats 4 2" xfId="1389"/>
    <cellStyle name="SAPBEXformats 2 2 3 2" xfId="1390"/>
    <cellStyle name="SAPBEXHLevel3X 2 2 2 3" xfId="1391"/>
    <cellStyle name="SAPBEXformats 3 3 2" xfId="1392"/>
    <cellStyle name="SAPBEXresDataEmph 2 2 3 2" xfId="1393"/>
    <cellStyle name="SAPBEXresDataEmph 2 2 2 2" xfId="1394"/>
    <cellStyle name="SAPBEXresDataEmph 2 2 6" xfId="1395"/>
    <cellStyle name="SAPBEXresDataEmph 2 4" xfId="1396"/>
    <cellStyle name="SAPBEXresDataEmph 5" xfId="1397"/>
    <cellStyle name="SAPBEXresData 4 2" xfId="1398"/>
    <cellStyle name="SAPBEXresData 3 5 2" xfId="1399"/>
    <cellStyle name="SAPBEXresData 3 4 2" xfId="1400"/>
    <cellStyle name="SAPBEXresData 3 3 2" xfId="1401"/>
    <cellStyle name="SAPBEXresData 3 2 2" xfId="1402"/>
    <cellStyle name="SAPBEXresData 3 6" xfId="1403"/>
    <cellStyle name="SAPBEXresData 2 3 2" xfId="1404"/>
    <cellStyle name="SAPBEXresData 2 2 5 2" xfId="1405"/>
    <cellStyle name="SAPBEXresData 2 2 4 2" xfId="1406"/>
    <cellStyle name="SAPBEXresData 2 2 3 2" xfId="1407"/>
    <cellStyle name="SAPBEXresData 2 2 2 2" xfId="1408"/>
    <cellStyle name="SAPBEXresData 2 2 6" xfId="1409"/>
    <cellStyle name="SAPBEXresData 2 4" xfId="1410"/>
    <cellStyle name="SAPBEXresData 5" xfId="1411"/>
    <cellStyle name="SAPBEXHLevel3X 4 2" xfId="1412"/>
    <cellStyle name="SAPBEXHLevel3X 3 5 2" xfId="1413"/>
    <cellStyle name="SAPBEXHLevel3X 3 4 2" xfId="1414"/>
    <cellStyle name="SAPBEXHLevel3X 3 3 2" xfId="1415"/>
    <cellStyle name="SAPBEXHLevel3X 3 2 2" xfId="1416"/>
    <cellStyle name="SAPBEXHLevel3X 3 6" xfId="1417"/>
    <cellStyle name="SAPBEXHLevel3X 2 3 2" xfId="1418"/>
    <cellStyle name="SAPBEXHLevel3X 2 2 5 2" xfId="1419"/>
    <cellStyle name="SAPBEXHLevel3X 2 2 4 2" xfId="1420"/>
    <cellStyle name="SAPBEXHLevel3X 2 2 3 2" xfId="1421"/>
    <cellStyle name="SAPBEXHLevel3X 2 2 2 2" xfId="1422"/>
    <cellStyle name="SAPBEXHLevel3X 2 2 6" xfId="1423"/>
    <cellStyle name="SAPBEXHLevel3X 2 4" xfId="1424"/>
    <cellStyle name="SAPBEXHLevel3X 5" xfId="1425"/>
    <cellStyle name="SAPBEXHLevel3 4 2" xfId="1426"/>
    <cellStyle name="SAPBEXHLevel3 3 5 2" xfId="1427"/>
    <cellStyle name="SAPBEXHLevel3 3 4 2" xfId="1428"/>
    <cellStyle name="SAPBEXHLevel3 3 3 2" xfId="1429"/>
    <cellStyle name="SAPBEXHLevel3 3 2 2" xfId="1430"/>
    <cellStyle name="cellStyleNum 2 6" xfId="1431"/>
    <cellStyle name="cellStyleNum 2 2 5" xfId="1432"/>
    <cellStyle name="cellStyleNum 2 2 2 2" xfId="1433"/>
    <cellStyle name="cellStyleNum 2 2 3 2" xfId="1434"/>
    <cellStyle name="cellStyleNum 2 2 4 2" xfId="1435"/>
    <cellStyle name="cellStyleNum 2 3 2" xfId="1436"/>
    <cellStyle name="cellStyleNum 2 4 2" xfId="1437"/>
    <cellStyle name="cellStyleNum 2 5 2" xfId="1438"/>
    <cellStyle name="SAPBEXHLevel3 3 6" xfId="1439"/>
    <cellStyle name="SAPBEXHLevel3 2 3 2" xfId="1440"/>
    <cellStyle name="SAPBEXHLevel3 2 2 5 2" xfId="1441"/>
    <cellStyle name="SAPBEXHLevel3 2 2 4 2" xfId="1442"/>
    <cellStyle name="SAPBEXHLevel3 2 2 3 2" xfId="1443"/>
    <cellStyle name="SAPBEXHLevel3 2 2 2 2" xfId="1444"/>
    <cellStyle name="SAPBEXHLevel3 2 2 6" xfId="1445"/>
    <cellStyle name="SAPBEXHLevel3 2 4" xfId="1446"/>
    <cellStyle name="SAPBEXHLevel3 5" xfId="1447"/>
    <cellStyle name="SAPBEXHLevel2X 4 2" xfId="1448"/>
    <cellStyle name="SAPBEXHLevel2X 3 5 2" xfId="1449"/>
    <cellStyle name="SAPBEXHLevel2X 3 4 2" xfId="1450"/>
    <cellStyle name="Comma [0] 2 2 7" xfId="1451"/>
    <cellStyle name="Comma [0] 2 2 2 7" xfId="1452"/>
    <cellStyle name="Comma [0] 2 2 2 2 6" xfId="1453"/>
    <cellStyle name="Comma [0] 2 2 2 2 2 5" xfId="1454"/>
    <cellStyle name="Comma [0] 2 2 2 2 2 2 3" xfId="1455"/>
    <cellStyle name="Comma [0] 2 2 2 2 2 2 2 2" xfId="1456"/>
    <cellStyle name="Comma [0] 2 2 2 2 2 3 3" xfId="1457"/>
    <cellStyle name="Comma [0] 2 2 2 2 2 3 2 2" xfId="1458"/>
    <cellStyle name="Comma [0] 2 2 2 2 2 4 2" xfId="1459"/>
    <cellStyle name="Comma [0] 2 2 2 2 3 4" xfId="1460"/>
    <cellStyle name="Comma [0] 2 2 2 2 3 2 3" xfId="1461"/>
    <cellStyle name="Comma [0] 2 2 2 2 3 2 2 2" xfId="1462"/>
    <cellStyle name="Comma [0] 2 2 2 2 3 3 2" xfId="1463"/>
    <cellStyle name="Comma [0] 2 2 2 2 4 3" xfId="1464"/>
    <cellStyle name="Comma [0] 2 2 2 2 4 2 2" xfId="1465"/>
    <cellStyle name="Comma [0] 2 2 2 2 5 2" xfId="1466"/>
    <cellStyle name="Comma [0] 2 2 2 3 5" xfId="1467"/>
    <cellStyle name="Comma [0] 2 2 2 3 2 3" xfId="1468"/>
    <cellStyle name="Comma [0] 2 2 2 3 2 2 2" xfId="1469"/>
    <cellStyle name="Comma [0] 2 2 2 3 3 3" xfId="1470"/>
    <cellStyle name="Comma [0] 2 2 2 3 3 2 2" xfId="1471"/>
    <cellStyle name="Comma [0] 2 2 2 3 4 2" xfId="1472"/>
    <cellStyle name="Comma [0] 2 2 2 4 4" xfId="1473"/>
    <cellStyle name="Comma [0] 2 2 2 4 2 3" xfId="1474"/>
    <cellStyle name="Comma [0] 2 2 2 4 2 2 2" xfId="1475"/>
    <cellStyle name="Comma [0] 2 2 2 4 3 2" xfId="1476"/>
    <cellStyle name="Comma [0] 2 2 2 5 3" xfId="1477"/>
    <cellStyle name="Comma [0] 2 2 2 5 2 2" xfId="1478"/>
    <cellStyle name="Comma [0] 2 2 2 6 2" xfId="1479"/>
    <cellStyle name="Comma [0] 2 2 3 5" xfId="1480"/>
    <cellStyle name="Comma [0] 2 2 3 2 3" xfId="1481"/>
    <cellStyle name="Comma [0] 2 2 3 2 2 2" xfId="1482"/>
    <cellStyle name="Comma [0] 2 2 3 3 3" xfId="1483"/>
    <cellStyle name="Comma [0] 2 2 3 3 2 2" xfId="1484"/>
    <cellStyle name="Comma [0] 2 2 3 4 2" xfId="1485"/>
    <cellStyle name="Comma [0] 2 2 4 4" xfId="1486"/>
    <cellStyle name="Comma [0] 2 2 4 2 3" xfId="1487"/>
    <cellStyle name="Comma [0] 2 2 4 2 2 2" xfId="1488"/>
    <cellStyle name="Comma [0] 2 2 4 3 2" xfId="1489"/>
    <cellStyle name="Comma [0] 2 2 5 3" xfId="1490"/>
    <cellStyle name="Comma [0] 2 2 5 2 2" xfId="1491"/>
    <cellStyle name="Comma [0] 2 2 6 2" xfId="1492"/>
    <cellStyle name="Comma [0] 2 3 5" xfId="1493"/>
    <cellStyle name="Comma [0] 2 3 2 4" xfId="1494"/>
    <cellStyle name="Comma [0] 2 3 2 2 3" xfId="1495"/>
    <cellStyle name="Comma [0] 2 3 2 2 2 2" xfId="1496"/>
    <cellStyle name="Comma [0] 2 3 2 3 2" xfId="1497"/>
    <cellStyle name="Comma [0] 2 3 3 3" xfId="1498"/>
    <cellStyle name="Comma [0] 2 3 3 2 2" xfId="1499"/>
    <cellStyle name="Comma [0] 2 3 4 2" xfId="1500"/>
    <cellStyle name="Comma [0] 2 4 5" xfId="1501"/>
    <cellStyle name="Comma [0] 2 4 2 3" xfId="1502"/>
    <cellStyle name="Comma [0] 2 4 2 2 2" xfId="1503"/>
    <cellStyle name="Comma [0] 2 4 3 3" xfId="1504"/>
    <cellStyle name="Comma [0] 2 4 3 2 2" xfId="1505"/>
    <cellStyle name="Comma [0] 2 4 4 2" xfId="1506"/>
    <cellStyle name="Comma [0] 2 5 3" xfId="1507"/>
    <cellStyle name="Comma [0] 2 5 2 2" xfId="1508"/>
    <cellStyle name="Comma [0] 2 6 3" xfId="1509"/>
    <cellStyle name="Comma [0] 2 6 2 2" xfId="1510"/>
    <cellStyle name="Comma [0] 2 7 2" xfId="1511"/>
    <cellStyle name="Comma [0] 3 6" xfId="1512"/>
    <cellStyle name="Comma [0] 3 2 6" xfId="1513"/>
    <cellStyle name="Comma [0] 3 2 2 5" xfId="1514"/>
    <cellStyle name="Comma [0] 3 2 2 2 3" xfId="1515"/>
    <cellStyle name="Comma [0] 3 2 2 2 2 2" xfId="1516"/>
    <cellStyle name="Comma [0] 3 2 2 3 3" xfId="1517"/>
    <cellStyle name="Comma [0] 3 2 2 3 2 2" xfId="1518"/>
    <cellStyle name="Comma [0] 3 2 2 4 2" xfId="1519"/>
    <cellStyle name="Comma [0] 3 2 3 3" xfId="1520"/>
    <cellStyle name="Comma [0] 3 2 3 2 2" xfId="1521"/>
    <cellStyle name="Comma [0] 3 2 4 3" xfId="1522"/>
    <cellStyle name="Comma [0] 3 2 4 2 2" xfId="1523"/>
    <cellStyle name="Comma [0] 3 2 5 2" xfId="1524"/>
    <cellStyle name="Comma [0] 3 3 3" xfId="1525"/>
    <cellStyle name="Comma [0] 3 3 2 2" xfId="1526"/>
    <cellStyle name="Comma [0] 3 4 3" xfId="1527"/>
    <cellStyle name="Comma [0] 3 4 2 2" xfId="1528"/>
    <cellStyle name="Comma [0] 3 5 2" xfId="1529"/>
    <cellStyle name="Comma 10 2 8" xfId="1530"/>
    <cellStyle name="Comma 10 2 2 4" xfId="1531"/>
    <cellStyle name="Comma 10 2 2 2 3" xfId="1532"/>
    <cellStyle name="Comma 10 2 2 2 2 2" xfId="1533"/>
    <cellStyle name="Comma 10 2 2 3 2" xfId="1534"/>
    <cellStyle name="Comma 10 2 3 3" xfId="1535"/>
    <cellStyle name="Comma 10 2 3 2 2" xfId="1536"/>
    <cellStyle name="Comma 10 2 4 3" xfId="1537"/>
    <cellStyle name="Comma 10 2 4 2 2" xfId="1538"/>
    <cellStyle name="Comma 10 2 5 3" xfId="1539"/>
    <cellStyle name="Comma 10 2 5 2 2" xfId="1540"/>
    <cellStyle name="Comma 10 2 6 3" xfId="1541"/>
    <cellStyle name="Comma 10 2 6 2 2" xfId="1542"/>
    <cellStyle name="Comma 10 2 7 2" xfId="1543"/>
    <cellStyle name="Comma 10 3 3" xfId="1544"/>
    <cellStyle name="Comma 10 3 2 2" xfId="1545"/>
    <cellStyle name="Comma 10 4 2" xfId="1546"/>
    <cellStyle name="Comma 11 4" xfId="1547"/>
    <cellStyle name="Comma 11 2 3" xfId="1548"/>
    <cellStyle name="Comma 11 2 2 2" xfId="1549"/>
    <cellStyle name="Comma 11 3 2" xfId="1550"/>
    <cellStyle name="Comma 12 2 2 3" xfId="1551"/>
    <cellStyle name="Comma 12 2 2 2 2" xfId="1552"/>
    <cellStyle name="Comma 12 2 3 2" xfId="1553"/>
    <cellStyle name="Comma 12 3 2" xfId="1554"/>
    <cellStyle name="SAPBEXHLevel2X 3 2 2" xfId="1555"/>
    <cellStyle name="Comma 14 2 2" xfId="1556"/>
    <cellStyle name="Comma 16 3" xfId="1557"/>
    <cellStyle name="Comma 16 2 2" xfId="1558"/>
    <cellStyle name="Comma 2 10" xfId="1559"/>
    <cellStyle name="Comma 2 2 7" xfId="1560"/>
    <cellStyle name="Comma 2 2 2 5" xfId="1561"/>
    <cellStyle name="Comma 2 2 2 2 3" xfId="1562"/>
    <cellStyle name="Comma 2 2 2 2 2 2" xfId="1563"/>
    <cellStyle name="Comma 2 2 2 3 3" xfId="1564"/>
    <cellStyle name="Comma 2 2 2 3 2 2" xfId="1565"/>
    <cellStyle name="Comma 2 2 2 4 2" xfId="1566"/>
    <cellStyle name="Comma 2 2 3 4" xfId="1567"/>
    <cellStyle name="Comma 2 2 3 2 3" xfId="1568"/>
    <cellStyle name="Comma 2 2 3 2 2 2" xfId="1569"/>
    <cellStyle name="Comma 2 2 3 3 2" xfId="1570"/>
    <cellStyle name="Comma 2 2 4 4" xfId="1571"/>
    <cellStyle name="Comma 2 2 4 2 3" xfId="1572"/>
    <cellStyle name="Comma 2 2 4 2 2 2" xfId="1573"/>
    <cellStyle name="Comma 2 2 4 3 2" xfId="1574"/>
    <cellStyle name="Comma 2 2 5 3" xfId="1575"/>
    <cellStyle name="Comma 2 2 5 2 2" xfId="1576"/>
    <cellStyle name="Comma 2 2 6 2" xfId="1577"/>
    <cellStyle name="Comma 2 3 5" xfId="1578"/>
    <cellStyle name="Comma 2 3 2 4" xfId="1579"/>
    <cellStyle name="Comma 2 3 2 2 3" xfId="1580"/>
    <cellStyle name="Comma 2 3 2 2 2 2" xfId="1581"/>
    <cellStyle name="Comma 2 3 2 3 2" xfId="1582"/>
    <cellStyle name="Comma 2 3 3 3" xfId="1583"/>
    <cellStyle name="Comma 2 3 3 2 2" xfId="1584"/>
    <cellStyle name="Comma 2 3 4 2" xfId="1585"/>
    <cellStyle name="Comma 2 4 5" xfId="1586"/>
    <cellStyle name="Comma 2 4 2 3" xfId="1587"/>
    <cellStyle name="Comma 2 4 2 2 2" xfId="1588"/>
    <cellStyle name="Comma 2 4 3 3" xfId="1589"/>
    <cellStyle name="Comma 2 4 3 2 2" xfId="1590"/>
    <cellStyle name="Comma 2 4 4 2" xfId="1591"/>
    <cellStyle name="Comma 2 5 3" xfId="1592"/>
    <cellStyle name="Comma 2 5 2 2" xfId="1593"/>
    <cellStyle name="Comma 2 5 5 3" xfId="1594"/>
    <cellStyle name="Comma 2 5 5 2 2" xfId="1595"/>
    <cellStyle name="SAPBEXHLevel2X 3 6" xfId="1596"/>
    <cellStyle name="Comma 2 7 2 2" xfId="1597"/>
    <cellStyle name="Comma 2 8 3" xfId="1598"/>
    <cellStyle name="Comma 2 8 2 2" xfId="1599"/>
    <cellStyle name="Comma 2 9 2" xfId="1600"/>
    <cellStyle name="Comma 3 8" xfId="1601"/>
    <cellStyle name="Comma 3 2 6" xfId="1602"/>
    <cellStyle name="Comma 3 2 2 3" xfId="1603"/>
    <cellStyle name="Comma 3 2 2 2 2" xfId="1604"/>
    <cellStyle name="Comma 3 2 3 4" xfId="1605"/>
    <cellStyle name="Comma 3 2 3 2 2" xfId="1606"/>
    <cellStyle name="Comma 3 2 3 3 3" xfId="1607"/>
    <cellStyle name="Comma 3 2 3 3 2 2" xfId="1608"/>
    <cellStyle name="Comma 3 2 4 3" xfId="1609"/>
    <cellStyle name="Comma 3 2 4 2 2" xfId="1610"/>
    <cellStyle name="Comma 3 2 5 2" xfId="1611"/>
    <cellStyle name="Comma 3 3 4" xfId="1612"/>
    <cellStyle name="Comma 3 3 2 3" xfId="1613"/>
    <cellStyle name="Comma 3 3 2 2 2" xfId="1614"/>
    <cellStyle name="Comma 3 3 3 2" xfId="1615"/>
    <cellStyle name="Comma 3 4 3" xfId="1616"/>
    <cellStyle name="Comma 3 4 2 2" xfId="1617"/>
    <cellStyle name="SAPBEXHLevel2X 2 3 2" xfId="1618"/>
    <cellStyle name="Comma 3 6 3" xfId="1619"/>
    <cellStyle name="Comma 3 6 2 2" xfId="1620"/>
    <cellStyle name="Comma 3 7 2" xfId="1621"/>
    <cellStyle name="Comma 4 7" xfId="1622"/>
    <cellStyle name="Comma 4 2 5" xfId="1623"/>
    <cellStyle name="Comma 4 2 2 3" xfId="1624"/>
    <cellStyle name="Comma 4 2 2 2 2" xfId="1625"/>
    <cellStyle name="Comma 4 2 3 3" xfId="1626"/>
    <cellStyle name="Comma 4 2 3 2 2" xfId="1627"/>
    <cellStyle name="Comma 4 2 4 2" xfId="1628"/>
    <cellStyle name="Comma 4 3 3" xfId="1629"/>
    <cellStyle name="Comma 4 3 2 2" xfId="1630"/>
    <cellStyle name="Comma 4 4 4" xfId="1631"/>
    <cellStyle name="Comma 4 4 2 3" xfId="1632"/>
    <cellStyle name="Comma 4 4 2 2 2" xfId="1633"/>
    <cellStyle name="Comma 4 4 3 2" xfId="1634"/>
    <cellStyle name="Comma 4 5 3" xfId="1635"/>
    <cellStyle name="Comma 4 5 2 2" xfId="1636"/>
    <cellStyle name="Comma 4 6 2" xfId="1637"/>
    <cellStyle name="Comma 5 2 6" xfId="1638"/>
    <cellStyle name="Comma 5 2 2 5" xfId="1639"/>
    <cellStyle name="Comma 5 2 2 2 3" xfId="1640"/>
    <cellStyle name="Comma 5 2 2 2 2 2" xfId="1641"/>
    <cellStyle name="Comma 5 2 2 3 3" xfId="1642"/>
    <cellStyle name="Comma 5 2 2 3 2 2" xfId="1643"/>
    <cellStyle name="Comma 5 2 2 4 2" xfId="1644"/>
    <cellStyle name="Comma 5 2 3 3" xfId="1645"/>
    <cellStyle name="Comma 5 2 3 2 2" xfId="1646"/>
    <cellStyle name="Comma 5 2 4 3" xfId="1647"/>
    <cellStyle name="Comma 5 2 4 2 2" xfId="1648"/>
    <cellStyle name="Comma 5 2 5 2" xfId="1649"/>
    <cellStyle name="Comma 5 3 4" xfId="1650"/>
    <cellStyle name="Comma 5 3 2 3" xfId="1651"/>
    <cellStyle name="Comma 5 3 2 2 2" xfId="1652"/>
    <cellStyle name="Comma 5 3 3 2" xfId="1653"/>
    <cellStyle name="Comma 5 4 3" xfId="1654"/>
    <cellStyle name="Comma 5 4 2 2" xfId="1655"/>
    <cellStyle name="Comma 5 5 2" xfId="1656"/>
    <cellStyle name="Comma 58 3" xfId="1657"/>
    <cellStyle name="Comma 58 2 2" xfId="1658"/>
    <cellStyle name="Comma 6 5" xfId="1659"/>
    <cellStyle name="Comma 6 2 3" xfId="1660"/>
    <cellStyle name="Comma 6 2 2 2" xfId="1661"/>
    <cellStyle name="Comma 6 3 3" xfId="1662"/>
    <cellStyle name="Comma 6 3 2 2" xfId="1663"/>
    <cellStyle name="Comma 6 4 2" xfId="1664"/>
    <cellStyle name="Comma 7 5" xfId="1665"/>
    <cellStyle name="Comma 7 2 4" xfId="1666"/>
    <cellStyle name="Comma 7 2 2 3" xfId="1667"/>
    <cellStyle name="Comma 7 2 2 2 2" xfId="1668"/>
    <cellStyle name="Comma 7 2 3 2" xfId="1669"/>
    <cellStyle name="Comma 7 3 3" xfId="1670"/>
    <cellStyle name="Comma 7 3 2 2" xfId="1671"/>
    <cellStyle name="Comma 7 4 2" xfId="1672"/>
    <cellStyle name="Comma 8 5" xfId="1673"/>
    <cellStyle name="Comma 8 2 3" xfId="1674"/>
    <cellStyle name="Comma 8 2 2 2" xfId="1675"/>
    <cellStyle name="Comma 8 3 3" xfId="1676"/>
    <cellStyle name="Comma 8 3 2 2" xfId="1677"/>
    <cellStyle name="Comma 8 4 2" xfId="1678"/>
    <cellStyle name="Comma 9 4" xfId="1679"/>
    <cellStyle name="Comma 9 2 3" xfId="1680"/>
    <cellStyle name="Comma 9 2 2 2" xfId="1681"/>
    <cellStyle name="Comma 9 3 2" xfId="1682"/>
    <cellStyle name="SAPBEXHLevel2X 2 2 5 2" xfId="1683"/>
    <cellStyle name="SAPBEXHLevel2X 2 2 4 2" xfId="1684"/>
    <cellStyle name="SAPBEXHLevel2X 2 2 3 2" xfId="1685"/>
    <cellStyle name="SAPBEXHLevel2X 2 2 2 2" xfId="1686"/>
    <cellStyle name="SAPBEXHLevel2X 2 2 6" xfId="1687"/>
    <cellStyle name="SAPBEXHLevel2X 2 4" xfId="1688"/>
    <cellStyle name="SAPBEXHLevel2X 5" xfId="1689"/>
    <cellStyle name="dataStyle 2 6" xfId="1690"/>
    <cellStyle name="dataStyle 2 2 5" xfId="1691"/>
    <cellStyle name="dataStyle 2 2 2 2" xfId="1692"/>
    <cellStyle name="dataStyle 2 2 3 2" xfId="1693"/>
    <cellStyle name="dataStyle 2 2 4 2" xfId="1694"/>
    <cellStyle name="dataStyle 2 3 2" xfId="1695"/>
    <cellStyle name="dataStyle 2 4 2" xfId="1696"/>
    <cellStyle name="dataStyle 2 5 2" xfId="1697"/>
    <cellStyle name="dataStyle 3 6" xfId="1698"/>
    <cellStyle name="dataStyle 3 2 5" xfId="1699"/>
    <cellStyle name="dataStyle 3 2 2 2" xfId="1700"/>
    <cellStyle name="dataStyle 3 2 3 2" xfId="1701"/>
    <cellStyle name="dataStyle 3 2 4 2" xfId="1702"/>
    <cellStyle name="dataStyle 3 3 2" xfId="1703"/>
    <cellStyle name="dataStyle 3 4 2" xfId="1704"/>
    <cellStyle name="dataStyle 3 5 2" xfId="1705"/>
    <cellStyle name="SAPBEXHLevel2 4 2" xfId="1706"/>
    <cellStyle name="SAPBEXHLevel2 3 5 2" xfId="1707"/>
    <cellStyle name="entry box 6" xfId="1708"/>
    <cellStyle name="entry box 2 4" xfId="1709"/>
    <cellStyle name="entry box 2 2 2" xfId="1710"/>
    <cellStyle name="entry box 2 3 2" xfId="1711"/>
    <cellStyle name="entry box 3 2" xfId="1712"/>
    <cellStyle name="entry box 4 2" xfId="1713"/>
    <cellStyle name="entry box 5 2" xfId="1714"/>
    <cellStyle name="SAPBEXHLevel2 3 4 2" xfId="1715"/>
    <cellStyle name="SAPBEXHLevel2 3 3 2" xfId="1716"/>
    <cellStyle name="SAPBEXHLevel2 3 2 2" xfId="1717"/>
    <cellStyle name="SAPBEXHLevel2 3 6" xfId="1718"/>
    <cellStyle name="SAPBEXHLevel2 2 3 2" xfId="1719"/>
    <cellStyle name="SAPBEXHLevel2 2 2 5 2" xfId="1720"/>
    <cellStyle name="SAPBEXHLevel2 2 2 4 2" xfId="1721"/>
    <cellStyle name="SAPBEXHLevel2 2 2 3 2" xfId="1722"/>
    <cellStyle name="SAPBEXHLevel2 2 2 2 2" xfId="1723"/>
    <cellStyle name="SAPBEXHLevel2 2 2 6" xfId="1724"/>
    <cellStyle name="SAPBEXHLevel2 2 4" xfId="1725"/>
    <cellStyle name="SAPBEXHLevel2 5" xfId="1726"/>
    <cellStyle name="SAPBEXHLevel1X 4 2" xfId="1727"/>
    <cellStyle name="SAPBEXHLevel1X 3 5 2" xfId="1728"/>
    <cellStyle name="SAPBEXHLevel1X 3 2 2" xfId="1729"/>
    <cellStyle name="SAPBEXHLevel1X 2 3 2" xfId="1730"/>
    <cellStyle name="SAPBEXHLevel1X 2 2 5 2" xfId="1731"/>
    <cellStyle name="SAPBEXHLevel1X 2 2 4 2" xfId="1732"/>
    <cellStyle name="SAPBEXHLevel1X 2 2 3 2" xfId="1733"/>
    <cellStyle name="SAPBEXHLevel1X 2 2 2 2" xfId="1734"/>
    <cellStyle name="SAPBEXHLevel1X 2 2 6" xfId="1735"/>
    <cellStyle name="SAPBEXHLevel1X 2 4" xfId="1736"/>
    <cellStyle name="SAPBEXHLevel1X 5" xfId="1737"/>
    <cellStyle name="SAPBEXHLevel1 4 2" xfId="1738"/>
    <cellStyle name="Input [yellow] 6" xfId="1739"/>
    <cellStyle name="Input [yellow] 2 4" xfId="1740"/>
    <cellStyle name="Input [yellow] 2 2 2" xfId="1741"/>
    <cellStyle name="Input [yellow] 2 3 2" xfId="1742"/>
    <cellStyle name="Input [yellow] 3 2" xfId="1743"/>
    <cellStyle name="Input [yellow] 4 2" xfId="1744"/>
    <cellStyle name="Input [yellow] 5 2" xfId="1745"/>
    <cellStyle name="SAPBEXHLevel1 3 4 2" xfId="1746"/>
    <cellStyle name="SAPBEXHLevel1 3 3 2" xfId="1747"/>
    <cellStyle name="SAPBEXHLevel1 3 6" xfId="1748"/>
    <cellStyle name="SAPBEXHLevel1 2 3 2" xfId="1749"/>
    <cellStyle name="SAPBEXHLevel1 2 2 4 2" xfId="1750"/>
    <cellStyle name="Normal 10 2 2 3" xfId="1751"/>
    <cellStyle name="SAPBEXHLevel1 2 2 3 2" xfId="1752"/>
    <cellStyle name="SAPBEXHLevel1 2 2 2 2" xfId="1753"/>
    <cellStyle name="SAPBEXHLevel1 2 2 6" xfId="1754"/>
    <cellStyle name="SAPBEXHLevel1 2 4" xfId="1755"/>
    <cellStyle name="SAPBEXHLevel0X 4 2" xfId="1756"/>
    <cellStyle name="SAPBEXHLevel0X 3 5 2" xfId="1757"/>
    <cellStyle name="SAPBEXHLevel0X 3 4 2" xfId="1758"/>
    <cellStyle name="SAPBEXHLevel0X 3 3 2" xfId="1759"/>
    <cellStyle name="SAPBEXHLevel0X 3 2 2" xfId="1760"/>
    <cellStyle name="SAPBEXHLevel0X 3 6" xfId="1761"/>
    <cellStyle name="SAPBEXHLevel0X 2 3 2" xfId="1762"/>
    <cellStyle name="SAPBEXHLevel0X 2 2 5 2" xfId="1763"/>
    <cellStyle name="SAPBEXHLevel0X 2 2 4 2" xfId="1764"/>
    <cellStyle name="Normal 111 2 3 2" xfId="1765"/>
    <cellStyle name="Normal 118 2" xfId="1766"/>
    <cellStyle name="SAPBEXHLevel0X 2 2 3 2" xfId="1767"/>
    <cellStyle name="SAPBEXHLevel0X 2 2 2 2" xfId="1768"/>
    <cellStyle name="SAPBEXHLevel0X 2 2 6" xfId="1769"/>
    <cellStyle name="SAPBEXHLevel0 3 5 2" xfId="1770"/>
    <cellStyle name="SAPBEXHLevel0 3 4 2" xfId="1771"/>
    <cellStyle name="SAPBEXHLevel0 3 3 2" xfId="1772"/>
    <cellStyle name="SAPBEXHLevel0 3 2 2" xfId="1773"/>
    <cellStyle name="SAPBEXHLevel0 3 6" xfId="1774"/>
    <cellStyle name="SAPBEXHLevel0 2 2 4 2" xfId="1775"/>
    <cellStyle name="SAPBEXHLevel0 2 2 3 2" xfId="1776"/>
    <cellStyle name="SAPBEXHLevel0 2 2 2 2" xfId="1777"/>
    <cellStyle name="SAPBEXHLevel0 2 4" xfId="1778"/>
    <cellStyle name="SAPBEXHLevel0 5" xfId="1779"/>
    <cellStyle name="SAPBEXformats 3 5 2" xfId="1780"/>
    <cellStyle name="SAPBEXformats 3 4 2" xfId="1781"/>
    <cellStyle name="Normal 15 2 3 2" xfId="1782"/>
    <cellStyle name="Normal 15 3 2" xfId="1783"/>
    <cellStyle name="Normal 16 3" xfId="1784"/>
    <cellStyle name="SAPBEXformats 3 6" xfId="1785"/>
    <cellStyle name="SAPBEXformats 2 3 2" xfId="1786"/>
    <cellStyle name="SAPBEXformats 2 4" xfId="1787"/>
    <cellStyle name="SAPBEXformats 5" xfId="1788"/>
    <cellStyle name="SAPBEXexcGood3 4 2" xfId="1789"/>
    <cellStyle name="Normal 2 3 2 2 4 2" xfId="1790"/>
    <cellStyle name="SAPBEXexcGood3 3 4 2" xfId="1791"/>
    <cellStyle name="SAPBEXexcGood3 3 3 2" xfId="1792"/>
    <cellStyle name="SAPBEXexcGood3 3 2 2" xfId="1793"/>
    <cellStyle name="SAPBEXexcGood3 3 6" xfId="1794"/>
    <cellStyle name="SAPBEXexcGood3 2 3 2" xfId="1795"/>
    <cellStyle name="SAPBEXexcGood3 2 2 5 2" xfId="1796"/>
    <cellStyle name="SAPBEXexcGood3 2 2 3 2" xfId="1797"/>
    <cellStyle name="Normal 2 3 6 2" xfId="1798"/>
    <cellStyle name="SAPBEXexcGood3 2 2 2 2" xfId="1799"/>
    <cellStyle name="SAPBEXexcGood3 2 2 6" xfId="1800"/>
    <cellStyle name="SAPBEXexcGood3 2 4" xfId="1801"/>
    <cellStyle name="SAPBEXexcGood2 4 2" xfId="1802"/>
    <cellStyle name="SAPBEXexcGood2 3 5 2" xfId="1803"/>
    <cellStyle name="SAPBEXexcGood2 3 4 2" xfId="1804"/>
    <cellStyle name="SAPBEXexcGood2 3 3 2" xfId="1805"/>
    <cellStyle name="SAPBEXexcGood2 3 2 2" xfId="1806"/>
    <cellStyle name="SAPBEXexcGood2 3 6" xfId="1807"/>
    <cellStyle name="SAPBEXexcGood2 2 3 2" xfId="1808"/>
    <cellStyle name="SAPBEXexcGood2 2 2 4 2" xfId="1809"/>
    <cellStyle name="SAPBEXexcGood2 2 2 2 2" xfId="1810"/>
    <cellStyle name="SAPBEXexcGood2 2 2 6" xfId="1811"/>
    <cellStyle name="SAPBEXexcGood1 4 2" xfId="1812"/>
    <cellStyle name="SAPBEXexcGood1 3 4 2" xfId="1813"/>
    <cellStyle name="SAPBEXexcGood1 3 3 2" xfId="1814"/>
    <cellStyle name="SAPBEXexcGood1 3 2 2" xfId="1815"/>
    <cellStyle name="SAPBEXexcGood1 3 6" xfId="1816"/>
    <cellStyle name="SAPBEXexcGood1 2 2 5 2" xfId="1817"/>
    <cellStyle name="SAPBEXexcGood1 2 2 4 2" xfId="1818"/>
    <cellStyle name="SAPBEXexcGood1 2 2 3 2" xfId="1819"/>
    <cellStyle name="SAPBEXexcGood1 2 2 2 2" xfId="1820"/>
    <cellStyle name="SAPBEXexcGood1 2 2 6" xfId="1821"/>
    <cellStyle name="SAPBEXexcGood1 2 4" xfId="1822"/>
    <cellStyle name="SAPBEXexcGood1 5" xfId="1823"/>
    <cellStyle name="SAPBEXexcCritical6 4 2" xfId="1824"/>
    <cellStyle name="SAPBEXexcCritical6 3 5 2" xfId="1825"/>
    <cellStyle name="SAPBEXexcCritical6 3 4 2" xfId="1826"/>
    <cellStyle name="SAPBEXexcCritical6 3 3 2" xfId="1827"/>
    <cellStyle name="SAPBEXexcCritical6 3 2 2" xfId="1828"/>
    <cellStyle name="SAPBEXexcCritical6 3 6" xfId="1829"/>
    <cellStyle name="SAPBEXexcCritical6 2 2 5 2" xfId="1830"/>
    <cellStyle name="SAPBEXexcCritical6 2 2 4 2" xfId="1831"/>
    <cellStyle name="SAPBEXexcCritical6 2 2 3 2" xfId="1832"/>
    <cellStyle name="SAPBEXexcCritical6 2 2 2 2" xfId="1833"/>
    <cellStyle name="SAPBEXexcCritical6 2 2 6" xfId="1834"/>
    <cellStyle name="SAPBEXexcCritical6 2 4" xfId="1835"/>
    <cellStyle name="SAPBEXexcCritical6 5" xfId="1836"/>
    <cellStyle name="SAPBEXexcCritical5 4 2" xfId="1837"/>
    <cellStyle name="SAPBEXexcCritical5 3 5 2" xfId="1838"/>
    <cellStyle name="SAPBEXexcCritical5 3 4 2" xfId="1839"/>
    <cellStyle name="SAPBEXexcCritical5 3 3 2" xfId="1840"/>
    <cellStyle name="SAPBEXexcCritical5 3 2 2" xfId="1841"/>
    <cellStyle name="SAPBEXexcCritical5 3 6" xfId="1842"/>
    <cellStyle name="SAPBEXexcCritical5 2 3 2" xfId="1843"/>
    <cellStyle name="SAPBEXexcCritical5 2 2 4 2" xfId="1844"/>
    <cellStyle name="SAPBEXexcCritical5 2 2 3 2" xfId="1845"/>
    <cellStyle name="SAPBEXexcCritical5 2 2 2 2" xfId="1846"/>
    <cellStyle name="SAPBEXexcCritical5 2 2 6" xfId="1847"/>
    <cellStyle name="SAPBEXexcCritical4 4 2" xfId="1848"/>
    <cellStyle name="SAPBEXexcCritical4 3 4 2" xfId="1849"/>
    <cellStyle name="SAPBEXexcCritical4 3 2 2" xfId="1850"/>
    <cellStyle name="SAPBEXexcCritical4 2 3 2" xfId="1851"/>
    <cellStyle name="SAPBEXexcCritical4 2 2 5 2" xfId="1852"/>
    <cellStyle name="SAPBEXexcCritical4 2 2 4 2" xfId="1853"/>
    <cellStyle name="SAPBEXexcCritical4 2 2 3 2" xfId="1854"/>
    <cellStyle name="SAPBEXexcCritical4 2 2 2 2" xfId="1855"/>
    <cellStyle name="SAPBEXexcCritical4 2 2 6" xfId="1856"/>
    <cellStyle name="SAPBEXexcBad9 3 5 2" xfId="1857"/>
    <cellStyle name="SAPBEXexcBad9 3 4 2" xfId="1858"/>
    <cellStyle name="Prefilled 6" xfId="1859"/>
    <cellStyle name="Prefilled 2 4" xfId="1860"/>
    <cellStyle name="Prefilled 2 2 2" xfId="1861"/>
    <cellStyle name="Prefilled 2 3 2" xfId="1862"/>
    <cellStyle name="Prefilled 3 2" xfId="1863"/>
    <cellStyle name="Prefilled 4 2" xfId="1864"/>
    <cellStyle name="Prefilled 5 2" xfId="1865"/>
    <cellStyle name="SAPBEXexcBad9 3 3 2" xfId="1866"/>
    <cellStyle name="SAPBEXexcBad9 3 2 2" xfId="1867"/>
    <cellStyle name="SAPBEXexcBad9 3 6" xfId="1868"/>
    <cellStyle name="SAPBEXexcBad9 2 3 2" xfId="1869"/>
    <cellStyle name="SAPBEXexcBad9 2 2 5 2" xfId="1870"/>
    <cellStyle name="SAPBEXexcBad9 2 2 4 2" xfId="1871"/>
    <cellStyle name="SAPBEXexcBad9 2 2 3 2" xfId="1872"/>
    <cellStyle name="SAPBEXexcBad9 2 2 2 2" xfId="1873"/>
    <cellStyle name="SAPBEXexcBad9 2 2 6" xfId="1874"/>
    <cellStyle name="SAPBEXexcBad9 2 4" xfId="1875"/>
    <cellStyle name="SAPBEXexcBad9 5" xfId="1876"/>
    <cellStyle name="SAPBEXexcBad8 4 2" xfId="1877"/>
    <cellStyle name="SAPBEXexcBad8 3 5 2" xfId="1878"/>
    <cellStyle name="SAPBEXexcBad8 3 4 2" xfId="1879"/>
    <cellStyle name="SAPBEXexcBad8 3 3 2" xfId="1880"/>
    <cellStyle name="SAPBEXexcBad8 3 2 2" xfId="1881"/>
    <cellStyle name="SAPBEXexcBad8 3 6" xfId="1882"/>
    <cellStyle name="SAPBEXexcBad8 2 3 2" xfId="1883"/>
    <cellStyle name="SAPBEXexcBad8 2 2 5 2" xfId="1884"/>
    <cellStyle name="SAPBEXexcBad8 2 2 4 2" xfId="1885"/>
    <cellStyle name="SAPBEXexcBad8 2 2 3 2" xfId="1886"/>
    <cellStyle name="SAPBEXexcBad8 2 2 2 2" xfId="1887"/>
    <cellStyle name="SAPBEXexcBad8 2 2 6" xfId="1888"/>
    <cellStyle name="SAPBEXexcBad8 2 4" xfId="1889"/>
    <cellStyle name="SAPBEXexcBad8 5" xfId="1890"/>
    <cellStyle name="SAPBEXexcBad7 4 2" xfId="1891"/>
    <cellStyle name="SAPBEXexcBad7 3 5 2" xfId="1892"/>
    <cellStyle name="SAPBEXexcBad7 3 4 2" xfId="1893"/>
    <cellStyle name="SAPBEXexcBad7 3 3 2" xfId="1894"/>
    <cellStyle name="SAPBEXexcBad7 3 2 2" xfId="1895"/>
    <cellStyle name="SAPBEXexcBad7 3 6" xfId="1896"/>
    <cellStyle name="SAPBEXexcBad7 2 3 2" xfId="1897"/>
    <cellStyle name="SAPBEXexcBad7 2 2 5 2" xfId="1898"/>
    <cellStyle name="SAPBEXexcBad7 2 2 4 2" xfId="1899"/>
    <cellStyle name="SAPBEXexcBad7 2 2 3 2" xfId="1900"/>
    <cellStyle name="SAPBEXexcBad7 2 2 2 2" xfId="1901"/>
    <cellStyle name="SAPBEXexcBad7 2 2 6" xfId="1902"/>
    <cellStyle name="SAPBEXexcBad7 2 4" xfId="1903"/>
    <cellStyle name="SAPBEXexcBad7 5" xfId="1904"/>
    <cellStyle name="SAPBEXaggItemX 4 2" xfId="1905"/>
    <cellStyle name="SAPBEXaggItemX 3 5 2" xfId="1906"/>
    <cellStyle name="SAPBEXaggItemX 3 4 2" xfId="1907"/>
    <cellStyle name="SAPBEXaggItemX 3 3 2" xfId="1908"/>
    <cellStyle name="SAPBEXaggItemX 3 2 2" xfId="1909"/>
    <cellStyle name="SAPBEXaggItemX 3 6" xfId="1910"/>
    <cellStyle name="SAPBEXaggItemX 2 3 2" xfId="1911"/>
    <cellStyle name="SAPBEXaggItemX 2 2 5 2" xfId="1912"/>
    <cellStyle name="SAPBEXaggItemX 2 2 4 2" xfId="1913"/>
    <cellStyle name="SAPBEXaggItemX 2 2 3 2" xfId="1914"/>
    <cellStyle name="SAPBEXaggItemX 2 2 2 2" xfId="1915"/>
    <cellStyle name="SAPBEXaggItemX 2 2 6" xfId="1916"/>
    <cellStyle name="SAPBEXaggItemX 2 4" xfId="1917"/>
    <cellStyle name="SAPBEXaggItemX 5" xfId="1918"/>
    <cellStyle name="SAPBEXaggItem 4 2" xfId="1919"/>
    <cellStyle name="SAPBEXaggItem 3 5 2" xfId="1920"/>
    <cellStyle name="SAPBEXaggItem 3 4 2" xfId="1921"/>
    <cellStyle name="SAPBEXaggItem 3 3 2" xfId="1922"/>
    <cellStyle name="SAPBEXaggItem 3 2 2" xfId="1923"/>
    <cellStyle name="SAPBEXaggItem 3 6" xfId="1924"/>
    <cellStyle name="SAPBEXaggItem 2 3 2" xfId="1925"/>
    <cellStyle name="SAPBEXaggItem 2 2 5 2" xfId="1926"/>
    <cellStyle name="SAPBEXaggItem 2 2 4 2" xfId="1927"/>
    <cellStyle name="SAPBEXaggItem 2 2 3 2" xfId="1928"/>
    <cellStyle name="SAPBEXaggItem 2 2 2 2" xfId="1929"/>
    <cellStyle name="SAPBEXaggItem 2 2 6" xfId="1930"/>
    <cellStyle name="SAPBEXaggItem 2 4" xfId="1931"/>
    <cellStyle name="SAPBEXaggItem 5" xfId="1932"/>
    <cellStyle name="SAPBEXaggDataEmph 4 2" xfId="1933"/>
    <cellStyle name="SAPBEXaggDataEmph 3 5 2" xfId="1934"/>
    <cellStyle name="SAPBEXaggDataEmph 3 4 2" xfId="1935"/>
    <cellStyle name="SAPBEXaggDataEmph 3 3 2" xfId="1936"/>
    <cellStyle name="SAPBEXaggDataEmph 3 2 2" xfId="1937"/>
    <cellStyle name="SAPBEXaggDataEmph 3 6" xfId="1938"/>
    <cellStyle name="SAPBEXaggDataEmph 2 3 2" xfId="1939"/>
    <cellStyle name="SAPBEXaggDataEmph 2 2 5 2" xfId="1940"/>
    <cellStyle name="SAPBEXaggDataEmph 2 2 4 2" xfId="1941"/>
    <cellStyle name="SAPBEXaggDataEmph 2 2 3 2" xfId="1942"/>
    <cellStyle name="SAPBEXaggDataEmph 2 2 2 2" xfId="1943"/>
    <cellStyle name="SAPBEXaggDataEmph 2 2 6" xfId="1944"/>
    <cellStyle name="SAPBEXaggDataEmph 2 4" xfId="1945"/>
    <cellStyle name="SAPBEXaggDataEmph 5" xfId="1946"/>
    <cellStyle name="SAPBEXaggData 4 2" xfId="1947"/>
    <cellStyle name="SAPBEXaggData 3 5 2" xfId="1948"/>
    <cellStyle name="SAPBEXaggData 3 4 2" xfId="1949"/>
    <cellStyle name="SAPBEXaggData 3 3 2" xfId="1950"/>
    <cellStyle name="SAPBEXaggData 3 2 2" xfId="1951"/>
    <cellStyle name="SAPBEXaggData 3 6" xfId="1952"/>
    <cellStyle name="SAPBEXaggData 2 3 2" xfId="1953"/>
    <cellStyle name="SAPBEXaggData 2 2 5 2" xfId="1954"/>
    <cellStyle name="SAPBEXaggData 2 2 4 2" xfId="1955"/>
    <cellStyle name="SAPBEXaggData 2 2 3 2" xfId="1956"/>
    <cellStyle name="SAPBEXaggData 2 2 2 2" xfId="1957"/>
    <cellStyle name="SAPBEXaggData 2 2 6" xfId="1958"/>
    <cellStyle name="SAPBEXaggData 2 4" xfId="1959"/>
    <cellStyle name="SAPBEXaggData 5" xfId="1960"/>
    <cellStyle name="Header2 3" xfId="1961"/>
    <cellStyle name="Header2 2" xfId="1962"/>
    <cellStyle name="SAPBEXaggData 6" xfId="1963"/>
    <cellStyle name="SAPBEXaggData 2 5" xfId="1964"/>
    <cellStyle name="SAPBEXaggData 2 2 7" xfId="1965"/>
    <cellStyle name="SAPBEXaggData 2 2 2 3" xfId="1966"/>
    <cellStyle name="SAPBEXaggData 2 2 3 3" xfId="1967"/>
    <cellStyle name="SAPBEXaggData 2 2 4 3" xfId="1968"/>
    <cellStyle name="SAPBEXaggData 2 2 5 3" xfId="1969"/>
    <cellStyle name="SAPBEXaggData 2 3 3" xfId="1970"/>
    <cellStyle name="SAPBEXaggData 3 7" xfId="1971"/>
    <cellStyle name="SAPBEXaggData 3 2 3" xfId="1972"/>
    <cellStyle name="SAPBEXaggData 3 3 3" xfId="1973"/>
    <cellStyle name="SAPBEXaggData 3 4 3" xfId="1974"/>
    <cellStyle name="SAPBEXaggData 3 5 3" xfId="1975"/>
    <cellStyle name="SAPBEXaggData 4 3" xfId="1976"/>
    <cellStyle name="SAPBEXaggDataEmph 6" xfId="1977"/>
    <cellStyle name="SAPBEXaggDataEmph 2 5" xfId="1978"/>
    <cellStyle name="SAPBEXaggDataEmph 2 2 7" xfId="1979"/>
    <cellStyle name="SAPBEXaggDataEmph 2 2 2 3" xfId="1980"/>
    <cellStyle name="SAPBEXaggDataEmph 2 2 3 3" xfId="1981"/>
    <cellStyle name="SAPBEXaggDataEmph 2 2 4 3" xfId="1982"/>
    <cellStyle name="SAPBEXaggDataEmph 2 2 5 3" xfId="1983"/>
    <cellStyle name="SAPBEXaggDataEmph 2 3 3" xfId="1984"/>
    <cellStyle name="SAPBEXaggDataEmph 3 7" xfId="1985"/>
    <cellStyle name="SAPBEXaggDataEmph 3 2 3" xfId="1986"/>
    <cellStyle name="SAPBEXaggDataEmph 3 3 3" xfId="1987"/>
    <cellStyle name="SAPBEXaggDataEmph 3 4 3" xfId="1988"/>
    <cellStyle name="SAPBEXaggDataEmph 3 5 3" xfId="1989"/>
    <cellStyle name="SAPBEXaggDataEmph 4 3" xfId="1990"/>
    <cellStyle name="SAPBEXaggItem 6" xfId="1991"/>
    <cellStyle name="SAPBEXaggItem 2 5" xfId="1992"/>
    <cellStyle name="SAPBEXaggItem 2 2 7" xfId="1993"/>
    <cellStyle name="SAPBEXaggItem 2 2 2 3" xfId="1994"/>
    <cellStyle name="SAPBEXaggItem 2 2 3 3" xfId="1995"/>
    <cellStyle name="SAPBEXaggItem 2 2 4 3" xfId="1996"/>
    <cellStyle name="SAPBEXaggItem 2 2 5 3" xfId="1997"/>
    <cellStyle name="SAPBEXaggItem 2 3 3" xfId="1998"/>
    <cellStyle name="SAPBEXaggItem 3 7" xfId="1999"/>
    <cellStyle name="SAPBEXaggItem 3 2 3" xfId="2000"/>
    <cellStyle name="SAPBEXaggItem 3 3 3" xfId="2001"/>
    <cellStyle name="SAPBEXaggItem 3 4 3" xfId="2002"/>
    <cellStyle name="SAPBEXaggItem 3 5 3" xfId="2003"/>
    <cellStyle name="SAPBEXaggItem 4 3" xfId="2004"/>
    <cellStyle name="SAPBEXaggItemX 6" xfId="2005"/>
    <cellStyle name="SAPBEXaggItemX 2 5" xfId="2006"/>
    <cellStyle name="SAPBEXaggItemX 2 2 7" xfId="2007"/>
    <cellStyle name="SAPBEXaggItemX 2 2 2 3" xfId="2008"/>
    <cellStyle name="SAPBEXaggItemX 2 2 3 3" xfId="2009"/>
    <cellStyle name="SAPBEXaggItemX 2 2 4 3" xfId="2010"/>
    <cellStyle name="SAPBEXaggItemX 2 2 5 3" xfId="2011"/>
    <cellStyle name="SAPBEXaggItemX 2 3 3" xfId="2012"/>
    <cellStyle name="SAPBEXaggItemX 3 7" xfId="2013"/>
    <cellStyle name="SAPBEXaggItemX 3 2 3" xfId="2014"/>
    <cellStyle name="SAPBEXaggItemX 3 3 3" xfId="2015"/>
    <cellStyle name="SAPBEXaggItemX 3 4 3" xfId="2016"/>
    <cellStyle name="SAPBEXaggItemX 3 5 3" xfId="2017"/>
    <cellStyle name="SAPBEXaggItemX 4 3" xfId="2018"/>
    <cellStyle name="SAPBEXexcBad7 6" xfId="2019"/>
    <cellStyle name="SAPBEXexcBad7 2 5" xfId="2020"/>
    <cellStyle name="SAPBEXexcBad7 2 2 7" xfId="2021"/>
    <cellStyle name="SAPBEXexcBad7 2 2 2 3" xfId="2022"/>
    <cellStyle name="SAPBEXexcBad7 2 2 3 3" xfId="2023"/>
    <cellStyle name="SAPBEXexcBad7 2 2 4 3" xfId="2024"/>
    <cellStyle name="SAPBEXexcBad7 2 2 5 3" xfId="2025"/>
    <cellStyle name="SAPBEXexcBad7 2 3 3" xfId="2026"/>
    <cellStyle name="SAPBEXexcBad7 3 7" xfId="2027"/>
    <cellStyle name="SAPBEXexcBad7 3 2 3" xfId="2028"/>
    <cellStyle name="SAPBEXexcBad7 3 3 3" xfId="2029"/>
    <cellStyle name="SAPBEXexcBad7 3 4 3" xfId="2030"/>
    <cellStyle name="SAPBEXexcBad7 3 5 3" xfId="2031"/>
    <cellStyle name="SAPBEXexcBad7 4 3" xfId="2032"/>
    <cellStyle name="SAPBEXexcBad8 6" xfId="2033"/>
    <cellStyle name="SAPBEXexcBad8 2 5" xfId="2034"/>
    <cellStyle name="SAPBEXexcBad8 2 2 7" xfId="2035"/>
    <cellStyle name="SAPBEXexcBad8 2 2 2 3" xfId="2036"/>
    <cellStyle name="SAPBEXexcBad8 2 2 3 3" xfId="2037"/>
    <cellStyle name="SAPBEXexcBad8 2 2 4 3" xfId="2038"/>
    <cellStyle name="SAPBEXexcBad8 2 2 5 3" xfId="2039"/>
    <cellStyle name="SAPBEXexcBad8 2 3 3" xfId="2040"/>
    <cellStyle name="SAPBEXexcBad8 3 7" xfId="2041"/>
    <cellStyle name="SAPBEXexcBad8 3 2 3" xfId="2042"/>
    <cellStyle name="SAPBEXexcBad8 3 3 3" xfId="2043"/>
    <cellStyle name="SAPBEXexcBad8 3 5 3" xfId="2044"/>
    <cellStyle name="SAPBEXexcBad8 4 3" xfId="2045"/>
    <cellStyle name="SAPBEXexcBad9 6" xfId="2046"/>
    <cellStyle name="SAPBEXexcBad9 2 5" xfId="2047"/>
    <cellStyle name="SAPBEXexcBad9 2 2 7" xfId="2048"/>
    <cellStyle name="SAPBEXexcBad9 2 2 2 3" xfId="2049"/>
    <cellStyle name="SAPBEXexcBad9 2 2 3 3" xfId="2050"/>
    <cellStyle name="SAPBEXexcBad9 2 2 4 3" xfId="2051"/>
    <cellStyle name="SAPBEXexcBad9 2 2 5 3" xfId="2052"/>
    <cellStyle name="SAPBEXexcBad9 2 3 3" xfId="2053"/>
    <cellStyle name="SAPBEXexcBad9 3 7" xfId="2054"/>
    <cellStyle name="SAPBEXexcBad9 3 2 3" xfId="2055"/>
    <cellStyle name="SAPBEXexcBad9 3 3 3" xfId="2056"/>
    <cellStyle name="SAPBEXexcBad9 3 4 3" xfId="2057"/>
    <cellStyle name="SAPBEXexcBad9 3 5 3" xfId="2058"/>
    <cellStyle name="SAPBEXexcBad9 4 3" xfId="2059"/>
    <cellStyle name="SAPBEXexcCritical4 6" xfId="2060"/>
    <cellStyle name="SAPBEXexcCritical4 2 5" xfId="2061"/>
    <cellStyle name="SAPBEXexcCritical4 2 2 7" xfId="2062"/>
    <cellStyle name="SAPBEXexcCritical4 2 2 2 3" xfId="2063"/>
    <cellStyle name="SAPBEXexcCritical4 2 2 3 3" xfId="2064"/>
    <cellStyle name="SAPBEXexcCritical4 2 2 4 3" xfId="2065"/>
    <cellStyle name="SAPBEXexcCritical4 2 2 5 3" xfId="2066"/>
    <cellStyle name="SAPBEXexcCritical4 2 3 3" xfId="2067"/>
    <cellStyle name="SAPBEXexcCritical4 3 7" xfId="2068"/>
    <cellStyle name="SAPBEXexcCritical4 3 2 3" xfId="2069"/>
    <cellStyle name="SAPBEXexcCritical4 3 3 3" xfId="2070"/>
    <cellStyle name="SAPBEXexcCritical4 3 4 3" xfId="2071"/>
    <cellStyle name="SAPBEXexcCritical4 3 5 3" xfId="2072"/>
    <cellStyle name="SAPBEXexcCritical4 4 3" xfId="2073"/>
    <cellStyle name="SAPBEXexcCritical5 6" xfId="2074"/>
    <cellStyle name="SAPBEXexcCritical5 2 5" xfId="2075"/>
    <cellStyle name="SAPBEXexcCritical5 2 2 7" xfId="2076"/>
    <cellStyle name="SAPBEXexcCritical5 2 2 2 3" xfId="2077"/>
    <cellStyle name="SAPBEXexcCritical5 2 2 3 3" xfId="2078"/>
    <cellStyle name="SAPBEXexcCritical5 2 2 4 3" xfId="2079"/>
    <cellStyle name="SAPBEXexcCritical5 2 2 5 3" xfId="2080"/>
    <cellStyle name="SAPBEXexcCritical5 2 3 3" xfId="2081"/>
    <cellStyle name="SAPBEXexcCritical5 3 7" xfId="2082"/>
    <cellStyle name="SAPBEXexcCritical5 3 2 3" xfId="2083"/>
    <cellStyle name="SAPBEXexcCritical5 3 3 3" xfId="2084"/>
    <cellStyle name="SAPBEXexcCritical5 3 5 3" xfId="2085"/>
    <cellStyle name="SAPBEXexcCritical5 4 3" xfId="2086"/>
    <cellStyle name="SAPBEXexcCritical6 6" xfId="2087"/>
    <cellStyle name="SAPBEXexcCritical6 2 5" xfId="2088"/>
    <cellStyle name="SAPBEXexcCritical6 2 2 7" xfId="2089"/>
    <cellStyle name="SAPBEXexcCritical6 2 2 2 3" xfId="2090"/>
    <cellStyle name="SAPBEXexcCritical6 2 2 3 3" xfId="2091"/>
    <cellStyle name="SAPBEXexcCritical6 2 2 4 3" xfId="2092"/>
    <cellStyle name="SAPBEXexcCritical6 2 2 5 3" xfId="2093"/>
    <cellStyle name="SAPBEXexcCritical6 2 3 3" xfId="2094"/>
    <cellStyle name="SAPBEXexcCritical6 3 7" xfId="2095"/>
    <cellStyle name="SAPBEXexcCritical6 3 2 3" xfId="2096"/>
    <cellStyle name="SAPBEXexcCritical6 3 3 3" xfId="2097"/>
    <cellStyle name="SAPBEXexcCritical6 3 4 3" xfId="2098"/>
    <cellStyle name="SAPBEXexcCritical6 3 5 3" xfId="2099"/>
    <cellStyle name="SAPBEXexcCritical6 4 3" xfId="2100"/>
    <cellStyle name="SAPBEXexcGood1 6" xfId="2101"/>
    <cellStyle name="SAPBEXexcGood1 2 5" xfId="2102"/>
    <cellStyle name="SAPBEXexcGood1 2 2 7" xfId="2103"/>
    <cellStyle name="SAPBEXexcGood1 2 2 2 3" xfId="2104"/>
    <cellStyle name="SAPBEXexcGood1 2 2 3 3" xfId="2105"/>
    <cellStyle name="SAPBEXexcGood1 2 2 4 3" xfId="2106"/>
    <cellStyle name="SAPBEXexcGood1 2 2 5 3" xfId="2107"/>
    <cellStyle name="SAPBEXexcGood1 2 3 3" xfId="2108"/>
    <cellStyle name="SAPBEXexcGood1 3 7" xfId="2109"/>
    <cellStyle name="SAPBEXexcGood1 3 2 3" xfId="2110"/>
    <cellStyle name="SAPBEXexcGood1 3 3 3" xfId="2111"/>
    <cellStyle name="SAPBEXexcGood1 3 4 3" xfId="2112"/>
    <cellStyle name="SAPBEXexcGood1 3 5 3" xfId="2113"/>
    <cellStyle name="SAPBEXexcGood1 4 3" xfId="2114"/>
    <cellStyle name="SAPBEXexcGood2 6" xfId="2115"/>
    <cellStyle name="SAPBEXexcGood2 2 5" xfId="2116"/>
    <cellStyle name="SAPBEXexcGood2 2 2 7" xfId="2117"/>
    <cellStyle name="SAPBEXexcGood2 2 2 2 3" xfId="2118"/>
    <cellStyle name="SAPBEXexcGood2 2 2 3 3" xfId="2119"/>
    <cellStyle name="SAPBEXexcGood2 2 2 4 3" xfId="2120"/>
    <cellStyle name="SAPBEXexcGood2 2 2 5 3" xfId="2121"/>
    <cellStyle name="SAPBEXexcGood2 2 3 3" xfId="2122"/>
    <cellStyle name="SAPBEXexcGood2 3 7" xfId="2123"/>
    <cellStyle name="SAPBEXexcGood2 3 2 3" xfId="2124"/>
    <cellStyle name="SAPBEXexcGood2 3 3 3" xfId="2125"/>
    <cellStyle name="SAPBEXexcGood2 3 5 3" xfId="2126"/>
    <cellStyle name="SAPBEXexcGood3 6" xfId="2127"/>
    <cellStyle name="SAPBEXexcGood3 2 5" xfId="2128"/>
    <cellStyle name="SAPBEXexcGood3 2 2 7" xfId="2129"/>
    <cellStyle name="SAPBEXexcGood3 2 2 2 3" xfId="2130"/>
    <cellStyle name="SAPBEXexcGood3 2 2 5 3" xfId="2131"/>
    <cellStyle name="SAPBEXexcGood3 2 3 3" xfId="2132"/>
    <cellStyle name="SAPBEXexcGood3 3 7" xfId="2133"/>
    <cellStyle name="SAPBEXexcGood3 3 2 3" xfId="2134"/>
    <cellStyle name="SAPBEXexcGood3 3 3 3" xfId="2135"/>
    <cellStyle name="SAPBEXexcGood3 3 4 3" xfId="2136"/>
    <cellStyle name="SAPBEXexcGood3 3 5 3" xfId="2137"/>
    <cellStyle name="SAPBEXexcGood3 4 3" xfId="2138"/>
    <cellStyle name="SAPBEXfilterDrill 5" xfId="2139"/>
    <cellStyle name="SAPBEXfilterDrill 2 4" xfId="2140"/>
    <cellStyle name="SAPBEXfilterDrill 2 2 2" xfId="2141"/>
    <cellStyle name="SAPBEXfilterDrill 2 3 2" xfId="2142"/>
    <cellStyle name="SAPBEXfilterDrill 3 2" xfId="2143"/>
    <cellStyle name="SAPBEXfilterDrill 4 2" xfId="2144"/>
    <cellStyle name="SAPBEXformats 6" xfId="2145"/>
    <cellStyle name="SAPBEXformats 2 5" xfId="2146"/>
    <cellStyle name="SAPBEXformats 2 2 7" xfId="2147"/>
    <cellStyle name="SAPBEXformats 2 2 2 3" xfId="2148"/>
    <cellStyle name="SAPBEXformats 2 2 3 3" xfId="2149"/>
    <cellStyle name="SAPBEXformats 2 2 5 3" xfId="2150"/>
    <cellStyle name="SAPBEXformats 2 3 3" xfId="2151"/>
    <cellStyle name="SAPBEXformats 3 7" xfId="2152"/>
    <cellStyle name="SAPBEXformats 3 2 3" xfId="2153"/>
    <cellStyle name="SAPBEXformats 3 3 3" xfId="2154"/>
    <cellStyle name="SAPBEXformats 3 4 3" xfId="2155"/>
    <cellStyle name="SAPBEXformats 3 5 3" xfId="2156"/>
    <cellStyle name="SAPBEXformats 4 3" xfId="2157"/>
    <cellStyle name="SOR 5" xfId="2158"/>
    <cellStyle name="SOR 2 4" xfId="2159"/>
    <cellStyle name="SOR 2 2 3" xfId="2160"/>
    <cellStyle name="SOR 2 2 2 2" xfId="2161"/>
    <cellStyle name="SOR 2 3 2" xfId="2162"/>
    <cellStyle name="SOR 3 3" xfId="2163"/>
    <cellStyle name="SOR 3 2 2" xfId="2164"/>
    <cellStyle name="SOR 4 2" xfId="2165"/>
    <cellStyle name="SAPBEXHLevel0 6" xfId="2166"/>
    <cellStyle name="SAPBEXHLevel0 2 5" xfId="2167"/>
    <cellStyle name="SAPBEXHLevel0 2 2 7" xfId="2168"/>
    <cellStyle name="SAPBEXHLevel0 2 2 2 3" xfId="2169"/>
    <cellStyle name="SAPBEXHLevel0 2 2 3 3" xfId="2170"/>
    <cellStyle name="SAPBEXHLevel0 2 2 4 3" xfId="2171"/>
    <cellStyle name="SAPBEXHLevel0 2 2 5 3" xfId="2172"/>
    <cellStyle name="SAPBEXHLevel0 2 3 3" xfId="2173"/>
    <cellStyle name="SAPBEXHLevel0 3 7" xfId="2174"/>
    <cellStyle name="SAPBEXHLevel0 3 2 3" xfId="2175"/>
    <cellStyle name="SAPBEXHLevel0 3 3 3" xfId="2176"/>
    <cellStyle name="SAPBEXHLevel0 3 4 3" xfId="2177"/>
    <cellStyle name="SAPBEXHLevel0 3 5 3" xfId="2178"/>
    <cellStyle name="SAPBEXHLevel0 4 3" xfId="2179"/>
    <cellStyle name="SAPBEXHLevel0X 6" xfId="2180"/>
    <cellStyle name="SAPBEXHLevel0X 2 5" xfId="2181"/>
    <cellStyle name="SAPBEXHLevel0X 2 2 7" xfId="2182"/>
    <cellStyle name="SAPBEXHLevel0X 2 2 2 3" xfId="2183"/>
    <cellStyle name="SAPBEXHLevel0X 2 2 3 3" xfId="2184"/>
    <cellStyle name="SAPBEXHLevel0X 2 2 4 3" xfId="2185"/>
    <cellStyle name="SAPBEXHLevel0X 2 2 5 3" xfId="2186"/>
    <cellStyle name="SAPBEXHLevel0X 2 3 3" xfId="2187"/>
    <cellStyle name="SAPBEXHLevel0X 3 7" xfId="2188"/>
    <cellStyle name="SAPBEXHLevel0X 3 2 3" xfId="2189"/>
    <cellStyle name="SAPBEXHLevel0X 3 3 3" xfId="2190"/>
    <cellStyle name="SAPBEXHLevel0X 3 4 3" xfId="2191"/>
    <cellStyle name="SAPBEXHLevel0X 3 5 3" xfId="2192"/>
    <cellStyle name="SAPBEXHLevel0X 4 3" xfId="2193"/>
    <cellStyle name="SAPBEXHLevel1 6" xfId="2194"/>
    <cellStyle name="SAPBEXHLevel1 2 5" xfId="2195"/>
    <cellStyle name="SAPBEXHLevel1 2 2 7" xfId="2196"/>
    <cellStyle name="SAPBEXHLevel1 2 2 2 3" xfId="2197"/>
    <cellStyle name="SAPBEXHLevel1 2 2 3 3" xfId="2198"/>
    <cellStyle name="SAPBEXHLevel1 2 2 4 3" xfId="2199"/>
    <cellStyle name="SAPBEXHLevel1 2 2 5 3" xfId="2200"/>
    <cellStyle name="SAPBEXHLevel1 2 3 3" xfId="2201"/>
    <cellStyle name="SAPBEXHLevel1 3 7" xfId="2202"/>
    <cellStyle name="SAPBEXHLevel1 3 2 3" xfId="2203"/>
    <cellStyle name="SAPBEXHLevel1 3 3 3" xfId="2204"/>
    <cellStyle name="SAPBEXHLevel1 3 4 3" xfId="2205"/>
    <cellStyle name="SAPBEXHLevel1 3 5 3" xfId="2206"/>
    <cellStyle name="SAPBEXHLevel1 4 3" xfId="2207"/>
    <cellStyle name="SAPBEXHLevel1X 6" xfId="2208"/>
    <cellStyle name="SAPBEXHLevel1X 2 5" xfId="2209"/>
    <cellStyle name="SAPBEXHLevel1X 2 2 7" xfId="2210"/>
    <cellStyle name="SAPBEXHLevel1X 2 2 2 3" xfId="2211"/>
    <cellStyle name="SAPBEXHLevel1X 2 2 3 3" xfId="2212"/>
    <cellStyle name="SAPBEXHLevel1X 2 2 4 3" xfId="2213"/>
    <cellStyle name="SAPBEXHLevel1X 2 2 5 3" xfId="2214"/>
    <cellStyle name="SAPBEXHLevel1X 2 3 3" xfId="2215"/>
    <cellStyle name="SAPBEXHLevel1X 3 7" xfId="2216"/>
    <cellStyle name="SAPBEXHLevel1X 3 2 3" xfId="2217"/>
    <cellStyle name="SAPBEXHLevel1X 3 3 3" xfId="2218"/>
    <cellStyle name="SAPBEXHLevel1X 3 4 3" xfId="2219"/>
    <cellStyle name="SAPBEXHLevel1X 3 5 3" xfId="2220"/>
    <cellStyle name="SAPBEXHLevel1X 4 3" xfId="2221"/>
    <cellStyle name="常规 11 2" xfId="2222"/>
    <cellStyle name="SAPBEXHLevel2 6" xfId="2223"/>
    <cellStyle name="SAPBEXHLevel2 2 2 7" xfId="2224"/>
    <cellStyle name="SAPBEXHLevel2 2 2 2 3" xfId="2225"/>
    <cellStyle name="SAPBEXHLevel2 2 2 3 3" xfId="2226"/>
    <cellStyle name="SAPBEXHLevel2 2 2 4 3" xfId="2227"/>
    <cellStyle name="SAPBEXHLevel2 2 2 5 3" xfId="2228"/>
    <cellStyle name="SAPBEXHLevel2 2 3 3" xfId="2229"/>
    <cellStyle name="SAPBEXHLevel2 3 7" xfId="2230"/>
    <cellStyle name="SAPBEXHLevel2 3 2 3" xfId="2231"/>
    <cellStyle name="SAPBEXHLevel2 3 3 3" xfId="2232"/>
    <cellStyle name="SAPBEXHLevel2 3 4 3" xfId="2233"/>
    <cellStyle name="SAPBEXHLevel2 3 5 3" xfId="2234"/>
    <cellStyle name="SAPBEXHLevel2X 6" xfId="2235"/>
    <cellStyle name="SAPBEXHLevel2X 2 5" xfId="2236"/>
    <cellStyle name="SAPBEXHLevel2X 2 2 7" xfId="2237"/>
    <cellStyle name="SAPBEXHLevel2X 2 2 2 3" xfId="2238"/>
    <cellStyle name="SAPBEXHLevel2X 2 2 3 3" xfId="2239"/>
    <cellStyle name="常规 2 2 4 2 2" xfId="2240"/>
    <cellStyle name="SAPBEXHLevel2X 2 2 5 3" xfId="2241"/>
    <cellStyle name="常规 2 2 5 3" xfId="2242"/>
    <cellStyle name="常规 2 2 5 2 3" xfId="2243"/>
    <cellStyle name="SAPBEXHLevel2X 2 3 3" xfId="2244"/>
    <cellStyle name="SAPBEXHLevel2X 3 7" xfId="2245"/>
    <cellStyle name="SAPBEXHLevel2X 3 2 3" xfId="2246"/>
    <cellStyle name="SAPBEXHLevel2X 3 3 3" xfId="2247"/>
    <cellStyle name="SAPBEXHLevel2X 3 4 3" xfId="2248"/>
    <cellStyle name="SAPBEXHLevel2X 3 5 3" xfId="2249"/>
    <cellStyle name="SAPBEXHLevel2X 4 3" xfId="2250"/>
    <cellStyle name="SAPBEXHLevel3 6" xfId="2251"/>
    <cellStyle name="SAPBEXHLevel3 2 5" xfId="2252"/>
    <cellStyle name="SAPBEXHLevel3 2 2 7" xfId="2253"/>
    <cellStyle name="SAPBEXHLevel3 2 2 2 3" xfId="2254"/>
    <cellStyle name="SAPBEXHLevel3 2 2 3 3" xfId="2255"/>
    <cellStyle name="SAPBEXHLevel3 2 2 5 3" xfId="2256"/>
    <cellStyle name="SAPBEXHLevel3 2 3 3" xfId="2257"/>
    <cellStyle name="SAPBEXHLevel3 3 7" xfId="2258"/>
    <cellStyle name="SAPBEXHLevel3 3 5 3" xfId="2259"/>
    <cellStyle name="SAPBEXHLevel3 4 3" xfId="2260"/>
    <cellStyle name="SAPBEXHLevel3X 6" xfId="2261"/>
    <cellStyle name="SAPBEXHLevel3X 2 5" xfId="2262"/>
    <cellStyle name="SAPBEXHLevel3X 2 2 7" xfId="2263"/>
    <cellStyle name="SAPBEXHLevel3X 2 2 4 3" xfId="2264"/>
    <cellStyle name="SAPBEXHLevel3X 2 2 5 3" xfId="2265"/>
    <cellStyle name="SAPBEXHLevel3X 2 3 3" xfId="2266"/>
    <cellStyle name="常规 4 3 2 2 3" xfId="2267"/>
    <cellStyle name="常规 4 3 2 2 2 2" xfId="2268"/>
    <cellStyle name="SAPBEXHLevel3X 3 7" xfId="2269"/>
    <cellStyle name="SAPBEXHLevel3X 3 2 3" xfId="2270"/>
    <cellStyle name="SAPBEXHLevel3X 3 3 3" xfId="2271"/>
    <cellStyle name="SAPBEXHLevel3X 3 4 3" xfId="2272"/>
    <cellStyle name="SAPBEXHLevel3X 3 5 3" xfId="2273"/>
    <cellStyle name="SAPBEXHLevel3X 4 3" xfId="2274"/>
    <cellStyle name="SAPBEXresData 6" xfId="2275"/>
    <cellStyle name="SAPBEXresData 2 5" xfId="2276"/>
    <cellStyle name="SAPBEXresData 2 2 7" xfId="2277"/>
    <cellStyle name="SAPBEXresData 2 2 2 3" xfId="2278"/>
    <cellStyle name="SAPBEXresData 2 2 3 3" xfId="2279"/>
    <cellStyle name="SAPBEXresData 2 2 4 3" xfId="2280"/>
    <cellStyle name="SAPBEXresData 2 2 5 3" xfId="2281"/>
    <cellStyle name="SAPBEXresData 2 3 3" xfId="2282"/>
    <cellStyle name="SAPBEXresData 3 2 3" xfId="2283"/>
    <cellStyle name="超連結 2 2" xfId="2284"/>
    <cellStyle name="SAPBEXresData 3 4 3" xfId="2285"/>
    <cellStyle name="SAPBEXresData 3 5 3" xfId="2286"/>
    <cellStyle name="SAPBEXresData 4 3" xfId="2287"/>
    <cellStyle name="SAPBEXresDataEmph 6" xfId="2288"/>
    <cellStyle name="SAPBEXresDataEmph 2 5" xfId="2289"/>
    <cellStyle name="超链接 3 4" xfId="2290"/>
    <cellStyle name="超链接 3 3 2" xfId="2291"/>
    <cellStyle name="SAPBEXHLevel2 4 3" xfId="2292"/>
    <cellStyle name="SAPBEXformats 2 2 4 3" xfId="2293"/>
    <cellStyle name="SAPBEXexcGood2 3 4 3" xfId="2294"/>
    <cellStyle name="千位分隔 10 2 2" xfId="2295"/>
    <cellStyle name="千位分隔 11 3" xfId="2296"/>
    <cellStyle name="千位分隔 11 2 2" xfId="2297"/>
    <cellStyle name="千位分隔 12 2" xfId="2298"/>
    <cellStyle name="千位分隔 2 6" xfId="2299"/>
    <cellStyle name="千位分隔 2 2 2 5" xfId="2300"/>
    <cellStyle name="千位分隔 2 2 2 2 3" xfId="2301"/>
    <cellStyle name="千位分隔 2 2 2 2 2 2" xfId="2302"/>
    <cellStyle name="千位分隔 2 2 2 3 3" xfId="2303"/>
    <cellStyle name="千位分隔 2 2 2 3 2 2" xfId="2304"/>
    <cellStyle name="千位分隔 2 2 2 4 2" xfId="2305"/>
    <cellStyle name="千位分隔 2 2 3 3" xfId="2306"/>
    <cellStyle name="千位分隔 2 2 3 2 2" xfId="2307"/>
    <cellStyle name="千位分隔 2 2 4 3" xfId="2308"/>
    <cellStyle name="千位分隔 2 2 4 2 2" xfId="2309"/>
    <cellStyle name="千位分隔 2 3 4" xfId="2310"/>
    <cellStyle name="千位分隔 2 3 2 3" xfId="2311"/>
    <cellStyle name="千位分隔 2 3 2 2 2" xfId="2312"/>
    <cellStyle name="千位分隔 2 3 3 2" xfId="2313"/>
    <cellStyle name="千位分隔 2 4 3" xfId="2314"/>
    <cellStyle name="千位分隔 2 4 2 2" xfId="2315"/>
    <cellStyle name="千位分隔 2 5 2" xfId="2316"/>
    <cellStyle name="千位分隔 3 7" xfId="2317"/>
    <cellStyle name="千位分隔 3 2 6" xfId="2318"/>
    <cellStyle name="千位分隔 3 2 2 4" xfId="2319"/>
    <cellStyle name="千位分隔 3 2 2 2 3" xfId="2320"/>
    <cellStyle name="千位分隔 3 2 2 2 2 2" xfId="2321"/>
    <cellStyle name="千位分隔 3 2 2 3 2" xfId="2322"/>
    <cellStyle name="千位分隔 3 2 3 3" xfId="2323"/>
    <cellStyle name="千位分隔 3 2 3 2 2" xfId="2324"/>
    <cellStyle name="千位分隔 3 2 4 3" xfId="2325"/>
    <cellStyle name="千位分隔 3 2 4 2 2" xfId="2326"/>
    <cellStyle name="千位分隔 3 2 5 2" xfId="2327"/>
    <cellStyle name="千位分隔 3 3 5" xfId="2328"/>
    <cellStyle name="千位分隔 3 3 2 3" xfId="2329"/>
    <cellStyle name="千位分隔 3 3 2 2 2" xfId="2330"/>
    <cellStyle name="千位分隔 3 3 3 3" xfId="2331"/>
    <cellStyle name="千位分隔 3 3 3 2 2" xfId="2332"/>
    <cellStyle name="千位分隔 3 3 4 2" xfId="2333"/>
    <cellStyle name="千位分隔 3 4 5" xfId="2334"/>
    <cellStyle name="千位分隔 3 4 2 3" xfId="2335"/>
    <cellStyle name="千位分隔 3 4 2 2 2" xfId="2336"/>
    <cellStyle name="千位分隔 3 4 3 3" xfId="2337"/>
    <cellStyle name="千位分隔 3 4 3 2 2" xfId="2338"/>
    <cellStyle name="千位分隔 3 4 4 2" xfId="2339"/>
    <cellStyle name="千位分隔 3 5 3" xfId="2340"/>
    <cellStyle name="千位分隔 3 5 2 2" xfId="2341"/>
    <cellStyle name="千位分隔 3 6 2" xfId="2342"/>
    <cellStyle name="千位分隔 4 6" xfId="2343"/>
    <cellStyle name="千位分隔 4 2 5" xfId="2344"/>
    <cellStyle name="千位分隔 4 2 2 3" xfId="2345"/>
    <cellStyle name="千位分隔 4 2 2 2 2" xfId="2346"/>
    <cellStyle name="千位分隔 4 2 3 3" xfId="2347"/>
    <cellStyle name="千位分隔 4 2 3 2 2" xfId="2348"/>
    <cellStyle name="千位分隔 4 2 4 2" xfId="2349"/>
    <cellStyle name="千位分隔 4 3 3" xfId="2350"/>
    <cellStyle name="千位分隔 4 3 2 2" xfId="2351"/>
    <cellStyle name="千位分隔 4 4 3" xfId="2352"/>
    <cellStyle name="千位分隔 4 4 2 2" xfId="2353"/>
    <cellStyle name="千位分隔 4 5 2" xfId="2354"/>
    <cellStyle name="千位分隔 5 6" xfId="2355"/>
    <cellStyle name="千位分隔 5 2 4" xfId="2356"/>
    <cellStyle name="千位分隔 5 2 2 3" xfId="2357"/>
    <cellStyle name="千位分隔 5 2 2 2 2" xfId="2358"/>
    <cellStyle name="千位分隔 5 2 3 2" xfId="2359"/>
    <cellStyle name="千位分隔 5 3 3" xfId="2360"/>
    <cellStyle name="千位分隔 5 3 2 2" xfId="2361"/>
    <cellStyle name="千位分隔 5 4 3" xfId="2362"/>
    <cellStyle name="千位分隔 5 4 2 2" xfId="2363"/>
    <cellStyle name="千位分隔 5 5 2" xfId="2364"/>
    <cellStyle name="千位分隔 6 3" xfId="2365"/>
    <cellStyle name="千位分隔 6 2 2" xfId="2366"/>
    <cellStyle name="千位分隔 7 4" xfId="2367"/>
    <cellStyle name="千位分隔 7 2 2" xfId="2368"/>
    <cellStyle name="千位分隔 7 3 4" xfId="2369"/>
    <cellStyle name="千位分隔 7 3 2 3" xfId="2370"/>
    <cellStyle name="千位分隔 7 3 2 2 2" xfId="2371"/>
    <cellStyle name="千位分隔 7 3 3 2" xfId="2372"/>
    <cellStyle name="千位分隔 8 4" xfId="2373"/>
    <cellStyle name="千位分隔 8 2 3" xfId="2374"/>
    <cellStyle name="千位分隔 8 2 2 2" xfId="2375"/>
    <cellStyle name="千位分隔 8 3 2" xfId="2376"/>
    <cellStyle name="千位分隔 9 3" xfId="2377"/>
    <cellStyle name="千位分隔 9 2 2" xfId="2378"/>
    <cellStyle name="千位分隔[0] 2 6" xfId="2379"/>
    <cellStyle name="千位分隔[0] 2 2 6" xfId="2380"/>
    <cellStyle name="千位分隔[0] 2 2 2 5" xfId="2381"/>
    <cellStyle name="千位分隔[0] 2 2 2 2 3" xfId="2382"/>
    <cellStyle name="千位分隔[0] 2 2 2 2 2 2" xfId="2383"/>
    <cellStyle name="千位分隔[0] 2 2 2 3 3" xfId="2384"/>
    <cellStyle name="千位分隔[0] 2 2 2 3 2 2" xfId="2385"/>
    <cellStyle name="千位分隔[0] 2 2 2 4 2" xfId="2386"/>
    <cellStyle name="千位分隔[0] 2 2 3 3" xfId="2387"/>
    <cellStyle name="千位分隔[0] 2 2 3 2 2" xfId="2388"/>
    <cellStyle name="千位分隔[0] 2 2 4 3" xfId="2389"/>
    <cellStyle name="千位分隔[0] 2 2 4 2 2" xfId="2390"/>
    <cellStyle name="千位分隔[0] 2 2 5 2" xfId="2391"/>
    <cellStyle name="千位分隔[0] 2 3 3" xfId="2392"/>
    <cellStyle name="千位分隔[0] 2 3 2 2" xfId="2393"/>
    <cellStyle name="千位分隔[0] 2 4 3" xfId="2394"/>
    <cellStyle name="千位分隔[0] 2 4 2 2" xfId="2395"/>
    <cellStyle name="千位分隔[0] 2 5 2" xfId="2396"/>
    <cellStyle name="SAPBEXexcBad8 3 4 3" xfId="2397"/>
    <cellStyle name="SAPBEXexcCritical5 3 4 3" xfId="2398"/>
    <cellStyle name="SAPBEXexcGood2 4 3" xfId="2399"/>
    <cellStyle name="Comma 17" xfId="2400"/>
    <cellStyle name="一般 2 3" xfId="2401"/>
    <cellStyle name="一般 2 2 2" xfId="2402"/>
    <cellStyle name="SAPBEXexcGood3 2 2 4 3" xfId="2403"/>
    <cellStyle name="资产 6" xfId="2404"/>
    <cellStyle name="资产 2 4" xfId="2405"/>
    <cellStyle name="资产 2 2 2" xfId="2406"/>
    <cellStyle name="资产 2 3 2" xfId="2407"/>
    <cellStyle name="资产 3 2" xfId="2408"/>
    <cellStyle name="资产 4 2" xfId="2409"/>
    <cellStyle name="资产 5 2" xfId="2410"/>
    <cellStyle name="SAPBEXexcGood3 2 2 3 3" xfId="2411"/>
    <cellStyle name="常规 14 2" xfId="2412"/>
    <cellStyle name="SAPBEXformats 3 2 2" xfId="2413"/>
    <cellStyle name="SAPBEXresDataEmph 2 2 4 2" xfId="2414"/>
    <cellStyle name="SAPBEXresDataEmph 2 2 5 2" xfId="2415"/>
    <cellStyle name="SAPBEXresDataEmph 2 3 2" xfId="2416"/>
    <cellStyle name="SAPBEXresDataEmph 3 6" xfId="2417"/>
    <cellStyle name="SAPBEXresDataEmph 3 2 2" xfId="2418"/>
    <cellStyle name="SAPBEXresDataEmph 3 3 2" xfId="2419"/>
    <cellStyle name="SAPBEXresDataEmph 3 4 2" xfId="2420"/>
    <cellStyle name="SAPBEXresDataEmph 3 5 2" xfId="2421"/>
    <cellStyle name="SAPBEXresDataEmph 4 2" xfId="2422"/>
    <cellStyle name="SAPBEXresItem 5" xfId="2423"/>
    <cellStyle name="SAPBEXresItem 2 4" xfId="2424"/>
    <cellStyle name="SAPBEXresItem 2 2 6" xfId="2425"/>
    <cellStyle name="SAPBEXresItem 2 2 2 2" xfId="2426"/>
    <cellStyle name="SAPBEXresItem 2 2 3 2" xfId="2427"/>
    <cellStyle name="SAPBEXresItem 2 2 4 2" xfId="2428"/>
    <cellStyle name="SAPBEXresItem 2 2 5 2" xfId="2429"/>
    <cellStyle name="SAPBEXresItem 2 3 2" xfId="2430"/>
    <cellStyle name="SAPBEXresItem 3 6" xfId="2431"/>
    <cellStyle name="SAPBEXresItem 3 2 2" xfId="2432"/>
    <cellStyle name="SAPBEXresItem 3 3 2" xfId="2433"/>
    <cellStyle name="SAPBEXresItem 3 4 2" xfId="2434"/>
    <cellStyle name="SAPBEXresItem 3 5 2" xfId="2435"/>
    <cellStyle name="SAPBEXresItem 4 2" xfId="2436"/>
    <cellStyle name="SAPBEXresItemX 5" xfId="2437"/>
    <cellStyle name="SAPBEXresItemX 2 4" xfId="2438"/>
    <cellStyle name="SAPBEXresItemX 2 2 6" xfId="2439"/>
    <cellStyle name="SAPBEXresItemX 2 2 2 2" xfId="2440"/>
    <cellStyle name="SAPBEXresItemX 2 2 3 2" xfId="2441"/>
    <cellStyle name="SAPBEXresItemX 2 2 4 2" xfId="2442"/>
    <cellStyle name="SAPBEXresItemX 2 2 5 2" xfId="2443"/>
    <cellStyle name="SAPBEXresItemX 2 3 2" xfId="2444"/>
    <cellStyle name="SAPBEXresItemX 3 6" xfId="2445"/>
    <cellStyle name="SAPBEXresItemX 3 2 2" xfId="2446"/>
    <cellStyle name="SAPBEXresItemX 3 3 2" xfId="2447"/>
    <cellStyle name="SAPBEXresItemX 3 4 2" xfId="2448"/>
    <cellStyle name="SAPBEXresItemX 3 5 2" xfId="2449"/>
    <cellStyle name="SAPBEXresItemX 4 2" xfId="2450"/>
    <cellStyle name="SAPBEXstdData 5" xfId="2451"/>
    <cellStyle name="SAPBEXstdData 2 4" xfId="2452"/>
    <cellStyle name="SAPBEXstdData 2 2 6" xfId="2453"/>
    <cellStyle name="SAPBEXstdData 2 2 2 2" xfId="2454"/>
    <cellStyle name="SAPBEXstdData 2 2 3 2" xfId="2455"/>
    <cellStyle name="SAPBEXstdData 2 2 4 2" xfId="2456"/>
    <cellStyle name="SAPBEXstdData 2 2 5 2" xfId="2457"/>
    <cellStyle name="SAPBEXstdData 2 3 2" xfId="2458"/>
    <cellStyle name="SAPBEXstdData 3 6" xfId="2459"/>
    <cellStyle name="SAPBEXstdData 3 2 2" xfId="2460"/>
    <cellStyle name="SAPBEXstdData 3 3 2" xfId="2461"/>
    <cellStyle name="SAPBEXstdData 3 4 2" xfId="2462"/>
    <cellStyle name="SAPBEXstdData 3 5 2" xfId="2463"/>
    <cellStyle name="SAPBEXstdData 4 2" xfId="2464"/>
    <cellStyle name="SAPBEXstdDataEmph 5" xfId="2465"/>
    <cellStyle name="SAPBEXstdDataEmph 2 4" xfId="2466"/>
    <cellStyle name="SAPBEXstdDataEmph 2 2 6" xfId="2467"/>
    <cellStyle name="SAPBEXstdDataEmph 2 2 2 2" xfId="2468"/>
    <cellStyle name="SAPBEXstdDataEmph 2 2 3 2" xfId="2469"/>
    <cellStyle name="SAPBEXstdDataEmph 2 2 4 2" xfId="2470"/>
    <cellStyle name="SAPBEXstdDataEmph 2 2 5 2" xfId="2471"/>
    <cellStyle name="SAPBEXstdDataEmph 2 3 2" xfId="2472"/>
    <cellStyle name="SAPBEXstdDataEmph 3 6" xfId="2473"/>
    <cellStyle name="SAPBEXstdDataEmph 3 2 2" xfId="2474"/>
    <cellStyle name="SAPBEXstdDataEmph 3 3 2" xfId="2475"/>
    <cellStyle name="SAPBEXstdDataEmph 3 4 2" xfId="2476"/>
    <cellStyle name="SAPBEXstdDataEmph 3 5 2" xfId="2477"/>
    <cellStyle name="SAPBEXstdDataEmph 4 2" xfId="2478"/>
    <cellStyle name="SAPBEXstdItem 5" xfId="2479"/>
    <cellStyle name="SAPBEXstdItem 2 4" xfId="2480"/>
    <cellStyle name="SAPBEXstdItem 2 2 6" xfId="2481"/>
    <cellStyle name="SAPBEXstdItem 2 2 2 2" xfId="2482"/>
    <cellStyle name="SAPBEXstdItem 2 2 3 2" xfId="2483"/>
    <cellStyle name="SAPBEXstdItem 2 2 4 2" xfId="2484"/>
    <cellStyle name="SAPBEXstdItem 2 2 5 2" xfId="2485"/>
    <cellStyle name="SAPBEXstdItem 2 3 2" xfId="2486"/>
    <cellStyle name="SAPBEXstdItem 3 6" xfId="2487"/>
    <cellStyle name="SAPBEXstdItem 3 2 2" xfId="2488"/>
    <cellStyle name="SAPBEXstdItem 3 3 2" xfId="2489"/>
    <cellStyle name="SAPBEXstdItem 3 4 2" xfId="2490"/>
    <cellStyle name="SAPBEXstdItem 3 5 2" xfId="2491"/>
    <cellStyle name="SAPBEXstdItem 4 2" xfId="2492"/>
    <cellStyle name="SAPBEXstdItemX 5" xfId="2493"/>
    <cellStyle name="SAPBEXstdItemX 2 4" xfId="2494"/>
    <cellStyle name="SAPBEXstdItemX 2 2 6" xfId="2495"/>
    <cellStyle name="SAPBEXstdItemX 2 2 2 2" xfId="2496"/>
    <cellStyle name="SAPBEXstdItemX 2 2 3 2" xfId="2497"/>
    <cellStyle name="SAPBEXstdItemX 2 2 4 2" xfId="2498"/>
    <cellStyle name="SAPBEXstdItemX 2 2 5 2" xfId="2499"/>
    <cellStyle name="SAPBEXstdItemX 2 3 2" xfId="2500"/>
    <cellStyle name="SAPBEXstdItemX 3 6" xfId="2501"/>
    <cellStyle name="SAPBEXstdItemX 3 2 2" xfId="2502"/>
    <cellStyle name="SAPBEXstdItemX 3 3 2" xfId="2503"/>
    <cellStyle name="SAPBEXstdItemX 3 4 2" xfId="2504"/>
    <cellStyle name="SAPBEXstdItemX 3 5 2" xfId="2505"/>
    <cellStyle name="SAPBEXstdItemX 4 2" xfId="2506"/>
    <cellStyle name="SAPBEXundefined 5" xfId="2507"/>
    <cellStyle name="SAPBEXundefined 2 4" xfId="2508"/>
    <cellStyle name="SAPBEXundefined 2 2 6" xfId="2509"/>
    <cellStyle name="SAPBEXundefined 2 2 2 2" xfId="2510"/>
    <cellStyle name="SAPBEXundefined 2 2 3 2" xfId="2511"/>
    <cellStyle name="SAPBEXundefined 2 2 4 2" xfId="2512"/>
    <cellStyle name="SAPBEXundefined 2 2 5 2" xfId="2513"/>
    <cellStyle name="SAPBEXundefined 2 3 2" xfId="2514"/>
    <cellStyle name="SAPBEXundefined 3 6" xfId="2515"/>
    <cellStyle name="SAPBEXundefined 3 2 2" xfId="2516"/>
    <cellStyle name="SAPBEXundefined 3 3 2" xfId="2517"/>
    <cellStyle name="SAPBEXundefined 3 4 2" xfId="2518"/>
    <cellStyle name="SAPBEXundefined 3 5 2" xfId="2519"/>
    <cellStyle name="SAPBEXundefined 4 2" xfId="2520"/>
    <cellStyle name="Comma 18" xfId="2521"/>
    <cellStyle name="SAPBEXresDataEmph 2 2 7" xfId="2522"/>
    <cellStyle name="SAPBEXresDataEmph 2 2 2 3" xfId="2523"/>
    <cellStyle name="SAPBEXresDataEmph 2 2 3 3" xfId="2524"/>
    <cellStyle name="SAPBEXresDataEmph 2 2 4 3" xfId="2525"/>
    <cellStyle name="SAPBEXresDataEmph 2 2 5 3" xfId="2526"/>
    <cellStyle name="SAPBEXresDataEmph 2 3 3" xfId="2527"/>
    <cellStyle name="SAPBEXresDataEmph 3 7" xfId="2528"/>
    <cellStyle name="SAPBEXresDataEmph 3 2 3" xfId="2529"/>
    <cellStyle name="SAPBEXresDataEmph 3 3 3" xfId="2530"/>
    <cellStyle name="SAPBEXresDataEmph 3 4 3" xfId="2531"/>
    <cellStyle name="SAPBEXresDataEmph 3 5 3" xfId="2532"/>
    <cellStyle name="SAPBEXresDataEmph 4 3" xfId="2533"/>
    <cellStyle name="SAPBEXresItem 6" xfId="2534"/>
    <cellStyle name="SAPBEXresItem 2 5" xfId="2535"/>
    <cellStyle name="SAPBEXresItem 2 2 7" xfId="2536"/>
    <cellStyle name="SAPBEXresItem 2 2 2 3" xfId="2537"/>
    <cellStyle name="SAPBEXresItem 2 2 3 3" xfId="2538"/>
    <cellStyle name="SAPBEXresItem 2 2 4 3" xfId="2539"/>
    <cellStyle name="SAPBEXresItem 2 2 5 3" xfId="2540"/>
    <cellStyle name="SAPBEXresItem 2 3 3" xfId="2541"/>
    <cellStyle name="SAPBEXresItem 3 7" xfId="2542"/>
    <cellStyle name="SAPBEXresItem 3 2 3" xfId="2543"/>
    <cellStyle name="SAPBEXresItem 3 3 3" xfId="2544"/>
    <cellStyle name="SAPBEXresItem 3 4 3" xfId="2545"/>
    <cellStyle name="SAPBEXresItem 3 5 3" xfId="2546"/>
    <cellStyle name="SAPBEXresItem 4 3" xfId="2547"/>
    <cellStyle name="SAPBEXresItemX 6" xfId="2548"/>
    <cellStyle name="SAPBEXresItemX 2 5" xfId="2549"/>
    <cellStyle name="SAPBEXresItemX 2 2 7" xfId="2550"/>
    <cellStyle name="SAPBEXresItemX 2 2 2 3" xfId="2551"/>
    <cellStyle name="SAPBEXresItemX 2 2 3 3" xfId="2552"/>
    <cellStyle name="SAPBEXresItemX 2 2 4 3" xfId="2553"/>
    <cellStyle name="SAPBEXresItemX 2 2 5 3" xfId="2554"/>
    <cellStyle name="SAPBEXresItemX 2 3 3" xfId="2555"/>
    <cellStyle name="SAPBEXresItemX 3 7" xfId="2556"/>
    <cellStyle name="SAPBEXresItemX 3 2 3" xfId="2557"/>
    <cellStyle name="SAPBEXresItemX 3 3 3" xfId="2558"/>
    <cellStyle name="SAPBEXresItemX 3 4 3" xfId="2559"/>
    <cellStyle name="SAPBEXresItemX 3 5 3" xfId="2560"/>
    <cellStyle name="SAPBEXresItemX 4 3" xfId="2561"/>
    <cellStyle name="SAPBEXstdData 6" xfId="2562"/>
    <cellStyle name="SAPBEXstdData 2 5" xfId="2563"/>
    <cellStyle name="SAPBEXstdData 2 2 7" xfId="2564"/>
    <cellStyle name="SAPBEXstdData 2 2 2 3" xfId="2565"/>
    <cellStyle name="SAPBEXstdData 2 2 3 3" xfId="2566"/>
    <cellStyle name="SAPBEXstdData 2 2 4 3" xfId="2567"/>
    <cellStyle name="SAPBEXstdData 2 2 5 3" xfId="2568"/>
    <cellStyle name="SAPBEXstdData 2 3 3" xfId="2569"/>
    <cellStyle name="SAPBEXstdData 3 7" xfId="2570"/>
    <cellStyle name="SAPBEXstdData 3 2 3" xfId="2571"/>
    <cellStyle name="SAPBEXstdData 3 3 3" xfId="2572"/>
    <cellStyle name="SAPBEXstdData 3 4 3" xfId="2573"/>
    <cellStyle name="SAPBEXstdData 3 5 3" xfId="2574"/>
    <cellStyle name="SAPBEXstdData 4 3" xfId="2575"/>
    <cellStyle name="SAPBEXstdDataEmph 6" xfId="2576"/>
    <cellStyle name="SAPBEXstdDataEmph 2 5" xfId="2577"/>
    <cellStyle name="SAPBEXstdDataEmph 2 2 7" xfId="2578"/>
    <cellStyle name="SAPBEXstdDataEmph 2 2 2 3" xfId="2579"/>
    <cellStyle name="SAPBEXstdDataEmph 2 2 3 3" xfId="2580"/>
    <cellStyle name="SAPBEXstdDataEmph 2 2 4 3" xfId="2581"/>
    <cellStyle name="SAPBEXstdDataEmph 2 2 5 3" xfId="2582"/>
    <cellStyle name="SAPBEXstdDataEmph 2 3 3" xfId="2583"/>
    <cellStyle name="SAPBEXstdDataEmph 3 7" xfId="2584"/>
    <cellStyle name="SAPBEXstdDataEmph 3 2 3" xfId="2585"/>
    <cellStyle name="SAPBEXstdDataEmph 3 3 3" xfId="2586"/>
    <cellStyle name="SAPBEXstdDataEmph 3 4 3" xfId="2587"/>
    <cellStyle name="SAPBEXstdDataEmph 3 5 3" xfId="2588"/>
    <cellStyle name="SAPBEXstdDataEmph 4 3" xfId="2589"/>
    <cellStyle name="SAPBEXstdItem 6" xfId="2590"/>
    <cellStyle name="SAPBEXstdItem 2 5" xfId="2591"/>
    <cellStyle name="SAPBEXstdItem 2 2 7" xfId="2592"/>
    <cellStyle name="SAPBEXstdItem 2 2 2 3" xfId="2593"/>
    <cellStyle name="SAPBEXstdItem 2 2 3 3" xfId="2594"/>
    <cellStyle name="SAPBEXstdItem 2 2 4 3" xfId="2595"/>
    <cellStyle name="SAPBEXstdItem 2 2 5 3" xfId="2596"/>
    <cellStyle name="SAPBEXstdItem 2 3 3" xfId="2597"/>
    <cellStyle name="SAPBEXstdItem 3 7" xfId="2598"/>
    <cellStyle name="SAPBEXstdItem 3 2 3" xfId="2599"/>
    <cellStyle name="SAPBEXstdItem 3 3 3" xfId="2600"/>
    <cellStyle name="SAPBEXstdItem 3 4 3" xfId="2601"/>
    <cellStyle name="SAPBEXstdItem 3 5 3" xfId="2602"/>
    <cellStyle name="SAPBEXstdItem 4 3" xfId="2603"/>
    <cellStyle name="SAPBEXstdItemX 6" xfId="2604"/>
    <cellStyle name="SAPBEXstdItemX 2 5" xfId="2605"/>
    <cellStyle name="SAPBEXstdItemX 2 2 7" xfId="2606"/>
    <cellStyle name="SAPBEXstdItemX 2 2 2 3" xfId="2607"/>
    <cellStyle name="SAPBEXstdItemX 2 2 3 3" xfId="2608"/>
    <cellStyle name="SAPBEXstdItemX 2 2 4 3" xfId="2609"/>
    <cellStyle name="SAPBEXstdItemX 2 2 5 3" xfId="2610"/>
    <cellStyle name="SAPBEXstdItemX 2 3 3" xfId="2611"/>
    <cellStyle name="SAPBEXstdItemX 3 7" xfId="2612"/>
    <cellStyle name="SAPBEXstdItemX 3 2 3" xfId="2613"/>
    <cellStyle name="SAPBEXstdItemX 3 3 3" xfId="2614"/>
    <cellStyle name="SAPBEXstdItemX 3 4 3" xfId="2615"/>
    <cellStyle name="SAPBEXstdItemX 3 5 3" xfId="2616"/>
    <cellStyle name="SAPBEXstdItemX 4 3" xfId="2617"/>
    <cellStyle name="SAPBEXundefined 6" xfId="2618"/>
    <cellStyle name="SAPBEXundefined 2 5" xfId="2619"/>
    <cellStyle name="SAPBEXundefined 2 2 7" xfId="2620"/>
    <cellStyle name="SAPBEXundefined 2 2 2 3" xfId="2621"/>
    <cellStyle name="SAPBEXundefined 2 2 3 3" xfId="2622"/>
    <cellStyle name="SAPBEXundefined 2 2 4 3" xfId="2623"/>
    <cellStyle name="SAPBEXundefined 2 2 5 3" xfId="2624"/>
    <cellStyle name="SAPBEXundefined 2 3 3" xfId="2625"/>
    <cellStyle name="SAPBEXundefined 3 7" xfId="2626"/>
    <cellStyle name="SAPBEXundefined 3 2 3" xfId="2627"/>
    <cellStyle name="SAPBEXundefined 3 3 3" xfId="2628"/>
    <cellStyle name="SAPBEXundefined 3 4 3" xfId="2629"/>
    <cellStyle name="SAPBEXundefined 3 5 3" xfId="2630"/>
    <cellStyle name="SAPBEXundefined 4 3" xfId="2631"/>
    <cellStyle name="超链接" xfId="2632" builtinId="8"/>
  </cellStyles>
  <dxfs count="19">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249885555589465"/>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x:/r/sites/GCknowledgecenter/Shared%20Documents/%E5%AE%A1%E8%AE%A1%E6%A0%87%E5%87%86%E5%BA%95%E7%A8%BF/%E6%A0%87%E5%87%86%E5%AE%A1%E8%AE%A1%E5%BA%95%E7%A8%BF%E6%A8%A1%E6%9D%BF%E7%AC%AC%E4%BA%94%E7%89%88-%E4%BD%BF%E7%94%A8%E7%89%88/OSP/OSP%20SWP%20%E7%A0%94%E5%8F%91%E8%B4%B9%E7%94%A8%20202YMMDD%20XYZ%E5%85%AC%E5%8F%B8.xlsx?d=w648945e24f054a0b8925dd8ccc54956e&amp;csf=1&amp;web=1&amp;e=bMmdW6" TargetMode="External" Id="rId1" /><Relationship Type="http://schemas.openxmlformats.org/officeDocument/2006/relationships/hyperlink" Target="https://live.atlas.ey.com/" TargetMode="External" Id="rId2" /></Relationships>
</file>

<file path=xl/worksheets/_rels/sheet17.xml.rels><Relationships xmlns="http://schemas.openxmlformats.org/package/2006/relationships"><Relationship Type="http://schemas.openxmlformats.org/officeDocument/2006/relationships/hyperlink" Target="../../../../../:x:/r/sites/GCknowledgecenter/Shared%20Documents/%E5%AE%A1%E8%AE%A1%E6%A0%87%E5%87%86%E5%BA%95%E7%A8%BF/%E6%A0%87%E5%87%86%E5%AE%A1%E8%AE%A1%E5%BA%95%E7%A8%BF%E6%A8%A1%E6%9D%BF%E7%AC%AC%E4%BA%94%E7%89%88-%E4%BD%BF%E7%94%A8%E7%89%88/TOD/TOD%20SWP%20U_Exp%20202YXXDD%20XYZ%E5%85%AC%E5%8F%B8.xlsx?d=wec28ffcfbf6c426db26290decd058726&amp;csf=1&amp;web=1&amp;e=j59BIK" TargetMode="External" Id="rId1" /></Relationships>
</file>

<file path=xl/worksheets/sheet1.xml><?xml version="1.0" encoding="utf-8"?>
<worksheet xmlns="http://schemas.openxmlformats.org/spreadsheetml/2006/main">
  <sheetPr codeName="Sheet1">
    <outlinePr summaryBelow="1" summaryRight="1"/>
    <pageSetUpPr/>
  </sheetPr>
  <dimension ref="A1:BO64"/>
  <sheetViews>
    <sheetView showGridLines="0" tabSelected="1" zoomScale="70" zoomScaleNormal="70" workbookViewId="0">
      <selection activeCell="E4" sqref="E4"/>
    </sheetView>
  </sheetViews>
  <sheetFormatPr baseColWidth="8" defaultColWidth="10.42578125" defaultRowHeight="12.6" customHeight="1" outlineLevelRow="1"/>
  <cols>
    <col width="0.140625" customWidth="1" style="546" min="1" max="1"/>
    <col width="5.7109375" customWidth="1" style="5" min="2" max="2"/>
    <col width="21.140625" customWidth="1" style="32" min="3" max="3"/>
    <col width="31.42578125" customWidth="1" style="5" min="4" max="4"/>
    <col width="31" customWidth="1" style="5" min="5" max="5"/>
    <col width="15.140625" customWidth="1" style="32" min="6" max="6"/>
    <col width="17.42578125" customWidth="1" style="33" min="7" max="7"/>
    <col width="52.7109375" customWidth="1" style="5" min="8" max="8"/>
    <col width="16.5703125" customWidth="1" style="5" min="9" max="9"/>
    <col width="32.7109375" customWidth="1" style="34" min="10" max="10"/>
    <col width="27.7109375" customWidth="1" style="5" min="11" max="11"/>
    <col width="30.140625" bestFit="1" customWidth="1" style="5" min="12" max="12"/>
    <col width="20" customWidth="1" style="5" min="13" max="13"/>
    <col width="74.140625" customWidth="1" style="5" min="14" max="14"/>
    <col width="10.42578125" customWidth="1" style="5" min="15" max="62"/>
    <col width="34.85546875" customWidth="1" style="5" min="63" max="63"/>
    <col width="10.42578125" customWidth="1" style="5" min="64" max="65"/>
    <col width="42.42578125" customWidth="1" style="5" min="66" max="66"/>
    <col width="10.42578125" customWidth="1" style="5" min="67" max="16384"/>
  </cols>
  <sheetData>
    <row r="1" ht="12.6" customHeight="1" thickBot="1">
      <c r="A1" s="545" t="inlineStr">
        <is>
          <t>b1f3f80b-0552-4a3d-a30b-8b045766af91</t>
        </is>
      </c>
      <c r="J1" s="21" t="n"/>
      <c r="BK1" s="35" t="n"/>
      <c r="BN1" s="36" t="n"/>
      <c r="BO1" s="354" t="n"/>
    </row>
    <row r="2" ht="13.35" customHeight="1">
      <c r="A2" s="545" t="n"/>
      <c r="C2" s="725" t="n"/>
      <c r="D2" s="726" t="n"/>
      <c r="E2" s="726" t="n"/>
      <c r="F2" s="726" t="n"/>
      <c r="G2" s="727" t="n"/>
      <c r="J2" s="21" t="n"/>
      <c r="BK2" s="37" t="n"/>
      <c r="BN2" s="38" t="n"/>
      <c r="BO2" s="354" t="n"/>
    </row>
    <row r="3" ht="13.35" customHeight="1">
      <c r="A3" s="545" t="n"/>
      <c r="C3" s="410" t="inlineStr">
        <is>
          <t>客户名称</t>
        </is>
      </c>
      <c r="D3" s="411" t="inlineStr">
        <is>
          <t>东风鸿远工程咨询有限公司</t>
        </is>
      </c>
      <c r="E3" s="412" t="n"/>
      <c r="F3" s="33" t="inlineStr">
        <is>
          <t>重要性水平(PM)</t>
        </is>
      </c>
      <c r="G3" s="887" t="n"/>
      <c r="J3" s="21" t="n"/>
      <c r="BK3" s="37" t="n"/>
      <c r="BN3" s="38" t="n"/>
      <c r="BO3" s="354" t="n"/>
    </row>
    <row r="4" ht="13.35" customHeight="1">
      <c r="A4" s="545" t="n"/>
      <c r="C4" s="414" t="n"/>
      <c r="D4" s="412" t="n"/>
      <c r="E4" s="412" t="n"/>
      <c r="F4" s="415" t="n"/>
      <c r="G4" s="416" t="n"/>
      <c r="J4" s="21" t="n"/>
      <c r="BK4" s="37" t="n"/>
      <c r="BN4" s="38" t="n"/>
      <c r="BO4" s="354" t="n"/>
    </row>
    <row r="5" ht="13.35" customHeight="1">
      <c r="A5" s="545" t="n"/>
      <c r="C5" s="410" t="inlineStr">
        <is>
          <t>期末</t>
        </is>
      </c>
      <c r="D5" s="888" t="n">
        <v>46387</v>
      </c>
      <c r="E5" s="412" t="n"/>
      <c r="F5" s="43" t="inlineStr">
        <is>
          <t>可容忍误差(TE)</t>
        </is>
      </c>
      <c r="G5" s="887" t="n"/>
      <c r="BK5" s="355" t="n"/>
      <c r="BN5" s="39" t="n"/>
      <c r="BO5" s="354" t="n"/>
    </row>
    <row r="6" ht="13.35" customHeight="1">
      <c r="A6" s="545" t="n"/>
      <c r="C6" s="414" t="n"/>
      <c r="D6" s="418" t="n"/>
      <c r="E6" s="412" t="n"/>
      <c r="F6" s="415" t="n"/>
      <c r="G6" s="416" t="n"/>
      <c r="BK6" s="355" t="n"/>
      <c r="BN6" s="39" t="n"/>
      <c r="BO6" s="354" t="n"/>
    </row>
    <row r="7" ht="13.35" customHeight="1">
      <c r="A7" s="545" t="n"/>
      <c r="C7" s="410" t="inlineStr">
        <is>
          <t>记账本位币</t>
        </is>
      </c>
      <c r="D7" s="417" t="inlineStr">
        <is>
          <t>CNY</t>
        </is>
      </c>
      <c r="E7" s="412" t="n"/>
      <c r="F7" s="33" t="inlineStr">
        <is>
          <t>名义金额(SAD)</t>
        </is>
      </c>
      <c r="G7" s="887" t="n"/>
      <c r="BK7" s="355" t="n"/>
      <c r="BN7" s="39" t="n"/>
      <c r="BO7" s="354" t="n"/>
    </row>
    <row r="8" ht="13.35" customHeight="1">
      <c r="A8" s="545" t="n"/>
      <c r="C8" s="414" t="n"/>
      <c r="D8" s="412" t="n"/>
      <c r="E8" s="412" t="n"/>
      <c r="F8" s="412" t="n"/>
      <c r="G8" s="416" t="n"/>
      <c r="BK8" s="356" t="n"/>
      <c r="BN8" s="38" t="n"/>
      <c r="BO8" s="354" t="n"/>
    </row>
    <row r="9" ht="13.35" customHeight="1">
      <c r="A9" s="545" t="n"/>
      <c r="C9" s="410" t="inlineStr">
        <is>
          <t>适用会计准则</t>
        </is>
      </c>
      <c r="D9" s="411" t="inlineStr">
        <is>
          <t>PRC</t>
        </is>
      </c>
      <c r="E9" s="412" t="n"/>
      <c r="F9" s="419" t="n"/>
      <c r="G9" s="420" t="n"/>
      <c r="BK9" s="37" t="n"/>
      <c r="BN9" s="38" t="n"/>
      <c r="BO9" s="354" t="n"/>
    </row>
    <row r="10" ht="13.35" customHeight="1" thickBot="1">
      <c r="A10" s="545" t="n"/>
      <c r="C10" s="421" t="n"/>
      <c r="D10" s="40" t="n"/>
      <c r="E10" s="40" t="n"/>
      <c r="F10" s="40" t="n"/>
      <c r="G10" s="41" t="n"/>
      <c r="BK10" s="356" t="n"/>
      <c r="BN10" s="38" t="n"/>
      <c r="BO10" s="354" t="n"/>
    </row>
    <row r="11" ht="12.6" customFormat="1" customHeight="1" s="2">
      <c r="A11" s="651" t="n"/>
      <c r="C11" s="42" t="n"/>
      <c r="F11" s="42" t="n"/>
      <c r="G11" s="43" t="n"/>
      <c r="J11" s="44" t="n"/>
      <c r="BM11" s="5" t="n"/>
    </row>
    <row r="12" hidden="1" outlineLevel="1" ht="12.6" customFormat="1" customHeight="1" s="2">
      <c r="A12" s="651" t="n"/>
      <c r="C12" s="728" t="inlineStr">
        <is>
          <t>CRA</t>
        </is>
      </c>
      <c r="D12" s="729" t="inlineStr">
        <is>
          <t>%*</t>
        </is>
      </c>
      <c r="F12" s="42" t="n"/>
      <c r="G12" s="43" t="n"/>
      <c r="J12" s="44" t="n"/>
      <c r="BM12" s="5" t="n"/>
    </row>
    <row r="13" hidden="1" outlineLevel="1" ht="12.6" customFormat="1" customHeight="1" s="2">
      <c r="A13" s="651" t="n"/>
      <c r="C13" s="565" t="inlineStr">
        <is>
          <t>High</t>
        </is>
      </c>
      <c r="D13" s="566" t="n">
        <v>0.1</v>
      </c>
      <c r="F13" s="42" t="n"/>
      <c r="G13" s="43" t="n"/>
      <c r="J13" s="44" t="n"/>
      <c r="BM13" s="5" t="n"/>
    </row>
    <row r="14" hidden="1" outlineLevel="1" ht="12.6" customFormat="1" customHeight="1" s="2">
      <c r="A14" s="651" t="n"/>
      <c r="C14" s="565" t="inlineStr">
        <is>
          <t>Moderate</t>
        </is>
      </c>
      <c r="D14" s="566" t="n">
        <v>0.15</v>
      </c>
      <c r="F14" s="42" t="n"/>
      <c r="G14" s="43" t="n"/>
      <c r="J14" s="44" t="n"/>
      <c r="BM14" s="5" t="n"/>
    </row>
    <row r="15" hidden="1" outlineLevel="1" ht="12.6" customFormat="1" customHeight="1" s="2">
      <c r="A15" s="651" t="n"/>
      <c r="C15" s="565" t="inlineStr">
        <is>
          <t>Low</t>
        </is>
      </c>
      <c r="D15" s="566" t="n">
        <v>0.25</v>
      </c>
      <c r="F15" s="42" t="n"/>
      <c r="G15" s="43" t="n"/>
      <c r="J15" s="44" t="n"/>
      <c r="BM15" s="5" t="n"/>
    </row>
    <row r="16" hidden="1" outlineLevel="1" ht="12.6" customFormat="1" customHeight="1" s="2">
      <c r="A16" s="651" t="n"/>
      <c r="C16" s="565" t="inlineStr">
        <is>
          <t>Minimal</t>
        </is>
      </c>
      <c r="D16" s="566" t="n">
        <v>0.5</v>
      </c>
      <c r="F16" s="42" t="n"/>
      <c r="G16" s="43" t="n"/>
      <c r="J16" s="44" t="n"/>
      <c r="BM16" s="5" t="n"/>
    </row>
    <row r="17" hidden="1" outlineLevel="1" ht="12.6" customFormat="1" customHeight="1" s="2" thickBot="1">
      <c r="A17" s="651" t="n"/>
      <c r="C17" s="428" t="inlineStr">
        <is>
          <t>N/A</t>
        </is>
      </c>
      <c r="D17" s="429" t="n"/>
      <c r="F17" s="42" t="n"/>
      <c r="G17" s="43" t="n"/>
      <c r="J17" s="44" t="n"/>
      <c r="BM17" s="5" t="n"/>
    </row>
    <row r="18" hidden="1" outlineLevel="1" ht="12.6" customFormat="1" customHeight="1" s="2">
      <c r="A18" s="651" t="n"/>
      <c r="C18" s="430" t="inlineStr">
        <is>
          <t>*我们期望执行的基准实质性审计程序性质、时间和范围对应的CRA风险比例，此比例为上限，项目组应按照实际情况进行调整。</t>
        </is>
      </c>
      <c r="D18" s="4" t="n"/>
      <c r="F18" s="42" t="n"/>
      <c r="G18" s="43" t="n"/>
      <c r="J18" s="44" t="n"/>
      <c r="BM18" s="5" t="n"/>
    </row>
    <row r="19" collapsed="1" ht="12.6" customFormat="1" customHeight="1" s="2" thickBot="1">
      <c r="A19" s="651" t="n"/>
      <c r="C19" s="42" t="n"/>
      <c r="F19" s="42" t="n"/>
      <c r="G19" s="43" t="n"/>
      <c r="J19" s="44" t="n"/>
      <c r="BM19" s="5" t="n"/>
    </row>
    <row r="20" ht="16.5" customFormat="1" customHeight="1" s="4">
      <c r="A20" s="545" t="n"/>
      <c r="B20" s="422" t="n"/>
      <c r="C20" s="469" t="inlineStr">
        <is>
          <t>认定</t>
        </is>
      </c>
      <c r="D20" s="730" t="inlineStr">
        <is>
          <t>CRA</t>
        </is>
      </c>
      <c r="E20" s="730" t="inlineStr">
        <is>
          <t>Threshold</t>
        </is>
      </c>
      <c r="F20" s="729" t="inlineStr">
        <is>
          <t>所有相关认定*</t>
        </is>
      </c>
      <c r="G20" s="423" t="n"/>
      <c r="L20" s="424" t="n"/>
      <c r="M20" s="424" t="n"/>
      <c r="N20" s="424" t="n"/>
      <c r="O20" s="424" t="n"/>
      <c r="P20" s="424" t="n"/>
      <c r="Q20" s="425" t="n"/>
    </row>
    <row r="21" ht="16.5" customFormat="1" customHeight="1" s="4">
      <c r="A21" s="545" t="n"/>
      <c r="B21" s="426" t="inlineStr">
        <is>
          <t>High</t>
        </is>
      </c>
      <c r="C21" s="567" t="inlineStr">
        <is>
          <t>完整性（C）</t>
        </is>
      </c>
      <c r="D21" s="427" t="n"/>
      <c r="E21" s="889">
        <f>IFERROR(VLOOKUP(D21,$C$13:$D$16,2,FALSE)*$G$5,"-")</f>
        <v/>
      </c>
      <c r="F21" s="890">
        <f>MIN($E$21:$E$24)</f>
        <v/>
      </c>
      <c r="G21" s="423" t="n"/>
      <c r="L21" s="424" t="n"/>
      <c r="M21" s="424" t="n"/>
      <c r="N21" s="424" t="n"/>
      <c r="O21" s="424" t="n"/>
      <c r="P21" s="424" t="n"/>
      <c r="Q21" s="425" t="n"/>
    </row>
    <row r="22" ht="16.5" customFormat="1" customHeight="1" s="4">
      <c r="A22" s="545" t="n"/>
      <c r="B22" s="426" t="inlineStr">
        <is>
          <t>Moderate</t>
        </is>
      </c>
      <c r="C22" s="567" t="inlineStr">
        <is>
          <t>发生（O）</t>
        </is>
      </c>
      <c r="D22" s="427" t="n"/>
      <c r="E22" s="889">
        <f>IFERROR(VLOOKUP(D22,$C$13:$D$16,2,FALSE)*$G$5,"-")</f>
        <v/>
      </c>
      <c r="F22" s="891" t="n"/>
      <c r="G22" s="423" t="n"/>
      <c r="L22" s="424" t="n"/>
      <c r="M22" s="424" t="n"/>
      <c r="N22" s="424" t="n"/>
      <c r="O22" s="424" t="n"/>
      <c r="P22" s="424" t="n"/>
      <c r="Q22" s="425" t="n"/>
    </row>
    <row r="23" ht="16.5" customFormat="1" customHeight="1" s="4">
      <c r="A23" s="545" t="n"/>
      <c r="B23" s="426" t="inlineStr">
        <is>
          <t>Low</t>
        </is>
      </c>
      <c r="C23" s="567" t="inlineStr">
        <is>
          <t>计量（M）</t>
        </is>
      </c>
      <c r="D23" s="427" t="n"/>
      <c r="E23" s="889">
        <f>IFERROR(VLOOKUP(D23,$C$13:$D$16,2,FALSE)*$G$5,"-")</f>
        <v/>
      </c>
      <c r="F23" s="891" t="n"/>
      <c r="G23" s="423" t="n"/>
      <c r="L23" s="424" t="n"/>
      <c r="M23" s="424" t="n"/>
      <c r="N23" s="424" t="n"/>
      <c r="O23" s="424" t="n"/>
      <c r="P23" s="424" t="n"/>
      <c r="Q23" s="425" t="n"/>
    </row>
    <row r="24" ht="16.5" customFormat="1" customHeight="1" s="4" thickBot="1">
      <c r="A24" s="545" t="n"/>
      <c r="B24" s="426" t="inlineStr">
        <is>
          <t>Minimal</t>
        </is>
      </c>
      <c r="C24" s="470" t="inlineStr">
        <is>
          <t>列报与披露（P&amp;D）</t>
        </is>
      </c>
      <c r="D24" s="471" t="n"/>
      <c r="E24" s="892">
        <f>IFERROR(VLOOKUP(D24,$C$13:$D$16,2,FALSE)*$G$5,"-")</f>
        <v/>
      </c>
      <c r="F24" s="893" t="n"/>
      <c r="G24" s="423" t="n"/>
      <c r="L24" s="424" t="n"/>
      <c r="M24" s="424" t="n"/>
      <c r="N24" s="424" t="n"/>
      <c r="O24" s="424" t="n"/>
      <c r="P24" s="424" t="n"/>
      <c r="Q24" s="425" t="n"/>
    </row>
    <row r="25" ht="16.5" customFormat="1" customHeight="1" s="4">
      <c r="A25" s="545" t="n"/>
      <c r="B25" s="426" t="inlineStr">
        <is>
          <t>N/A</t>
        </is>
      </c>
      <c r="C25" s="484" t="inlineStr">
        <is>
          <t xml:space="preserve">*使用所有相关认定中的最低阈值来计算该阈值。 </t>
        </is>
      </c>
      <c r="D25" s="468" t="n"/>
      <c r="E25" s="894" t="n"/>
      <c r="F25" s="895" t="n"/>
      <c r="G25" s="423" t="n"/>
      <c r="L25" s="424" t="n"/>
      <c r="M25" s="424" t="n"/>
      <c r="N25" s="424" t="n"/>
      <c r="O25" s="424" t="n"/>
      <c r="P25" s="424" t="n"/>
      <c r="Q25" s="425" t="n"/>
    </row>
    <row r="26" ht="16.5" customFormat="1" customHeight="1" s="4">
      <c r="A26" s="545" t="n"/>
      <c r="B26" s="426" t="n"/>
      <c r="C26" s="430" t="n"/>
      <c r="D26" s="431" t="n"/>
      <c r="E26" s="894" t="n"/>
      <c r="F26" s="895" t="n"/>
      <c r="G26" s="423" t="n"/>
      <c r="L26" s="424" t="n"/>
      <c r="M26" s="424" t="n"/>
      <c r="N26" s="424" t="n"/>
      <c r="O26" s="424" t="n"/>
      <c r="P26" s="424" t="n"/>
      <c r="Q26" s="425" t="n"/>
    </row>
    <row r="27" ht="19.5" customHeight="1">
      <c r="A27" s="545" t="n"/>
      <c r="C27" s="563" t="inlineStr">
        <is>
          <t>该科目涉及OSP底稿可参考此链接</t>
        </is>
      </c>
      <c r="E27" s="686" t="inlineStr">
        <is>
          <t>OSP SWP 研发费用 202YMMDD XYZ公司.xlsx</t>
        </is>
      </c>
      <c r="N27" s="3" t="n"/>
      <c r="O27" s="3" t="n"/>
      <c r="P27" s="3" t="n"/>
    </row>
    <row r="28" ht="11.45" customHeight="1" thickBot="1">
      <c r="A28" s="545" t="n"/>
      <c r="C28" s="563" t="n"/>
      <c r="N28" s="3" t="n"/>
      <c r="O28" s="3" t="n"/>
      <c r="P28" s="3" t="n"/>
    </row>
    <row r="29" ht="33" customFormat="1" customHeight="1" s="3">
      <c r="A29" s="652" t="inlineStr">
        <is>
          <t>P1</t>
        </is>
      </c>
      <c r="C29" s="700" t="inlineStr">
        <is>
          <t>序号</t>
        </is>
      </c>
      <c r="D29" s="701" t="inlineStr">
        <is>
          <t>报表科目</t>
        </is>
      </c>
      <c r="E29" s="701" t="inlineStr">
        <is>
          <t>执行实质性程序</t>
        </is>
      </c>
      <c r="F29" s="701" t="inlineStr">
        <is>
          <t>实质性程序类型</t>
        </is>
      </c>
      <c r="G29" s="701" t="inlineStr">
        <is>
          <t>认定</t>
        </is>
      </c>
      <c r="H29" s="701" t="inlineStr">
        <is>
          <t>程序描述</t>
        </is>
      </c>
      <c r="I29" s="701" t="inlineStr">
        <is>
          <t>执行</t>
        </is>
      </c>
      <c r="J29" s="701" t="inlineStr">
        <is>
          <t>索引</t>
        </is>
      </c>
      <c r="K29" s="702" t="inlineStr">
        <is>
          <t>如不执行PSP，原因需记录文字多于5个文字</t>
        </is>
      </c>
      <c r="L29" s="45" t="n"/>
      <c r="M29" s="45" t="n"/>
      <c r="N29" s="45" t="n"/>
    </row>
    <row r="30" ht="66" customFormat="1" customHeight="1" s="4">
      <c r="A30" s="653" t="n"/>
      <c r="C30" s="703" t="n">
        <v>1</v>
      </c>
      <c r="D30" s="789" t="inlineStr">
        <is>
          <t>所有利润表科目（除收入和成本）</t>
        </is>
      </c>
      <c r="E30" s="789" t="inlineStr">
        <is>
          <t>VD-01.1-GL: 实质性程序{取得对账单并进行对比}</t>
        </is>
      </c>
      <c r="F30" s="793" t="inlineStr">
        <is>
          <t>PSP</t>
        </is>
      </c>
      <c r="G30" s="687" t="inlineStr">
        <is>
          <t>IS: O, M, C, P&amp;D</t>
        </is>
      </c>
      <c r="H30" s="688" t="inlineStr">
        <is>
          <t>取得所有利润表科目（除收入和成本外）金额。对比之前期间并调查异常或非预期变动或未发生预期变动的情况。调查任何异常交易，并基于综合风险评估和已确定的测试临界值测试交易。</t>
        </is>
      </c>
      <c r="I30" s="689" t="n"/>
      <c r="J30" s="690" t="inlineStr">
        <is>
          <t>Uexp_Lead</t>
        </is>
      </c>
      <c r="K30" s="704" t="n"/>
      <c r="L30" s="5" t="n"/>
      <c r="M30" s="5" t="n"/>
      <c r="N30" s="5" t="n"/>
      <c r="O30" s="3" t="n"/>
      <c r="P30" s="3" t="n"/>
      <c r="Q30" s="3" t="n"/>
      <c r="R30" s="5" t="n"/>
    </row>
    <row r="31" ht="25.35" customFormat="1" customHeight="1" s="4">
      <c r="A31" s="653" t="n"/>
      <c r="C31" s="703" t="n">
        <v>2</v>
      </c>
      <c r="D31" s="789" t="inlineStr">
        <is>
          <t>制造费用</t>
        </is>
      </c>
      <c r="E31" s="792" t="inlineStr">
        <is>
          <t>VD-01.1-GL: 实质性程序{取得对账单并进行对比}</t>
        </is>
      </c>
      <c r="F31" s="793" t="inlineStr">
        <is>
          <t>PSP</t>
        </is>
      </c>
      <c r="G31" s="794" t="inlineStr">
        <is>
          <t>IS: O, M, C, P&amp;D</t>
        </is>
      </c>
      <c r="H31" s="789" t="inlineStr">
        <is>
          <t>1.从管理层处取得各利润表类账户的明细账。
2.将明细账金额与总账及我们的导引表核对一致。对比当期金额和上期金额，调查异常或非预期变动或者预期变动不足的情况。
3.分析费用明细的变动，并就异常事项检查记账凭证、合同等支持性证据，评估其发生的合理性。
4调查任何异常交易，并基于综合风险评估和已确定的测试临界值测试交易。</t>
        </is>
      </c>
      <c r="I31" s="689" t="n"/>
      <c r="J31" s="690" t="inlineStr">
        <is>
          <t>Uexp制造费用BKD</t>
        </is>
      </c>
      <c r="K31" s="704" t="n"/>
      <c r="L31" s="5" t="n"/>
      <c r="M31" s="5" t="n"/>
      <c r="N31" s="5" t="n"/>
      <c r="O31" s="5" t="n"/>
      <c r="P31" s="5" t="n"/>
      <c r="Q31" s="5" t="n"/>
      <c r="R31" s="5" t="n"/>
    </row>
    <row r="32" ht="16.5" customFormat="1" customHeight="1" s="4">
      <c r="A32" s="653" t="n"/>
      <c r="C32" s="703" t="n">
        <v>3</v>
      </c>
      <c r="D32" s="789" t="inlineStr">
        <is>
          <t>研发费用</t>
        </is>
      </c>
      <c r="E32" s="896" t="n"/>
      <c r="F32" s="896" t="n"/>
      <c r="G32" s="896" t="n"/>
      <c r="H32" s="896" t="n"/>
      <c r="I32" s="689" t="n"/>
      <c r="J32" s="690" t="inlineStr">
        <is>
          <t>Uexp研发费用BKD</t>
        </is>
      </c>
      <c r="K32" s="705" t="n"/>
    </row>
    <row r="33" ht="21" customFormat="1" customHeight="1" s="4">
      <c r="A33" s="653" t="n"/>
      <c r="C33" s="703" t="n">
        <v>4</v>
      </c>
      <c r="D33" s="789" t="inlineStr">
        <is>
          <t>财务费用</t>
        </is>
      </c>
      <c r="E33" s="896" t="n"/>
      <c r="F33" s="896" t="n"/>
      <c r="G33" s="896" t="n"/>
      <c r="H33" s="896" t="n"/>
      <c r="I33" s="689" t="n"/>
      <c r="J33" s="690" t="inlineStr">
        <is>
          <t>Uexp财务费用BKD</t>
        </is>
      </c>
      <c r="K33" s="706" t="n"/>
    </row>
    <row r="34" ht="16.5" customFormat="1" customHeight="1" s="4">
      <c r="A34" s="653" t="n"/>
      <c r="C34" s="703" t="n">
        <v>5</v>
      </c>
      <c r="D34" s="789" t="inlineStr">
        <is>
          <t>其他收益</t>
        </is>
      </c>
      <c r="E34" s="896" t="n"/>
      <c r="F34" s="896" t="n"/>
      <c r="G34" s="896" t="n"/>
      <c r="H34" s="896" t="n"/>
      <c r="I34" s="689" t="n"/>
      <c r="J34" s="690" t="inlineStr">
        <is>
          <t>Uexp其他收益BKD</t>
        </is>
      </c>
      <c r="K34" s="706" t="n"/>
    </row>
    <row r="35" ht="16.5" customFormat="1" customHeight="1" s="4">
      <c r="A35" s="653" t="n"/>
      <c r="C35" s="703" t="n">
        <v>6</v>
      </c>
      <c r="D35" s="789" t="inlineStr">
        <is>
          <t>投资收益</t>
        </is>
      </c>
      <c r="E35" s="896" t="n"/>
      <c r="F35" s="896" t="n"/>
      <c r="G35" s="896" t="n"/>
      <c r="H35" s="896" t="n"/>
      <c r="I35" s="689" t="n"/>
      <c r="J35" s="690" t="inlineStr">
        <is>
          <t>Uexp投资收益BKD</t>
        </is>
      </c>
      <c r="K35" s="706" t="n"/>
    </row>
    <row r="36" ht="16.5" customFormat="1" customHeight="1" s="4">
      <c r="A36" s="653" t="n"/>
      <c r="C36" s="703" t="n">
        <v>7</v>
      </c>
      <c r="D36" s="789" t="inlineStr">
        <is>
          <t>公允价值变动损益</t>
        </is>
      </c>
      <c r="E36" s="896" t="n"/>
      <c r="F36" s="896" t="n"/>
      <c r="G36" s="896" t="n"/>
      <c r="H36" s="896" t="n"/>
      <c r="I36" s="689" t="n"/>
      <c r="J36" s="690" t="inlineStr">
        <is>
          <t>Uexp公允价值变动损益BKD</t>
        </is>
      </c>
      <c r="K36" s="706" t="n"/>
    </row>
    <row r="37" ht="16.5" customFormat="1" customHeight="1" s="4">
      <c r="A37" s="653" t="n"/>
      <c r="C37" s="703" t="n">
        <v>8</v>
      </c>
      <c r="D37" s="789" t="inlineStr">
        <is>
          <t>信用减值损失</t>
        </is>
      </c>
      <c r="E37" s="896" t="n"/>
      <c r="F37" s="896" t="n"/>
      <c r="G37" s="896" t="n"/>
      <c r="H37" s="896" t="n"/>
      <c r="I37" s="689" t="n"/>
      <c r="J37" s="690" t="inlineStr">
        <is>
          <t>Uexp信用减值损失BKD</t>
        </is>
      </c>
      <c r="K37" s="706" t="n"/>
    </row>
    <row r="38" ht="16.5" customFormat="1" customHeight="1" s="4">
      <c r="A38" s="653" t="n"/>
      <c r="C38" s="703" t="n">
        <v>9</v>
      </c>
      <c r="D38" s="789" t="inlineStr">
        <is>
          <t>资产减值损失</t>
        </is>
      </c>
      <c r="E38" s="896" t="n"/>
      <c r="F38" s="896" t="n"/>
      <c r="G38" s="896" t="n"/>
      <c r="H38" s="896" t="n"/>
      <c r="I38" s="689" t="n"/>
      <c r="J38" s="690" t="inlineStr">
        <is>
          <t>Uexp资产减值损失BKD</t>
        </is>
      </c>
      <c r="K38" s="706" t="n"/>
    </row>
    <row r="39" ht="16.5" customFormat="1" customHeight="1" s="4">
      <c r="A39" s="653" t="n"/>
      <c r="C39" s="703" t="n">
        <v>10</v>
      </c>
      <c r="D39" s="789" t="inlineStr">
        <is>
          <t>资产处置损益</t>
        </is>
      </c>
      <c r="E39" s="896" t="n"/>
      <c r="F39" s="896" t="n"/>
      <c r="G39" s="896" t="n"/>
      <c r="H39" s="896" t="n"/>
      <c r="I39" s="689" t="n"/>
      <c r="J39" s="690" t="inlineStr">
        <is>
          <t>Uexp资产处置损益BKD</t>
        </is>
      </c>
      <c r="K39" s="706" t="n"/>
    </row>
    <row r="40" ht="16.5" customFormat="1" customHeight="1" s="4">
      <c r="A40" s="653" t="n"/>
      <c r="C40" s="703" t="n">
        <v>11</v>
      </c>
      <c r="D40" s="789" t="inlineStr">
        <is>
          <t>营业外收入</t>
        </is>
      </c>
      <c r="E40" s="896" t="n"/>
      <c r="F40" s="896" t="n"/>
      <c r="G40" s="896" t="n"/>
      <c r="H40" s="896" t="n"/>
      <c r="I40" s="689" t="n"/>
      <c r="J40" s="690" t="inlineStr">
        <is>
          <t>Uexp营业外收入BKD</t>
        </is>
      </c>
      <c r="K40" s="706" t="n"/>
    </row>
    <row r="41" ht="16.5" customFormat="1" customHeight="1" s="4">
      <c r="A41" s="653" t="n"/>
      <c r="C41" s="703" t="n">
        <v>12</v>
      </c>
      <c r="D41" s="789" t="inlineStr">
        <is>
          <t>营业外支出</t>
        </is>
      </c>
      <c r="E41" s="896" t="n"/>
      <c r="F41" s="896" t="n"/>
      <c r="G41" s="896" t="n"/>
      <c r="H41" s="896" t="n"/>
      <c r="I41" s="689" t="n"/>
      <c r="J41" s="690" t="inlineStr">
        <is>
          <t>Uexp营业外支出BKD</t>
        </is>
      </c>
      <c r="K41" s="706" t="n"/>
    </row>
    <row r="42" ht="16.5" customFormat="1" customHeight="1" s="4">
      <c r="A42" s="653" t="n"/>
      <c r="C42" s="703" t="n">
        <v>13</v>
      </c>
      <c r="D42" s="789" t="inlineStr">
        <is>
          <t>债务重组利得和损失</t>
        </is>
      </c>
      <c r="E42" s="897" t="n"/>
      <c r="F42" s="897" t="n"/>
      <c r="G42" s="897" t="n"/>
      <c r="H42" s="897" t="n"/>
      <c r="I42" s="689" t="n"/>
      <c r="J42" s="690" t="inlineStr">
        <is>
          <t>Uexp债务重组利得和损失BKD</t>
        </is>
      </c>
      <c r="K42" s="706" t="n"/>
    </row>
    <row r="43" ht="33" customHeight="1">
      <c r="A43" s="653" t="n"/>
      <c r="C43" s="703" t="n">
        <v>14</v>
      </c>
      <c r="D43" s="691" t="inlineStr">
        <is>
          <t>财务费用/投资收益</t>
        </is>
      </c>
      <c r="E43" s="692" t="inlineStr">
        <is>
          <t>UC-01-GL: 利息和股息收入</t>
        </is>
      </c>
      <c r="F43" s="793" t="inlineStr">
        <is>
          <t>PSP</t>
        </is>
      </c>
      <c r="G43" s="792" t="inlineStr">
        <is>
          <t>IS: O, M, C, P&amp;D</t>
        </is>
      </c>
      <c r="H43" s="692" t="inlineStr">
        <is>
          <t>测试重大投资的利息和股息收益，或通过与相关投资余额相比较来检查投资收益的合理性。</t>
        </is>
      </c>
      <c r="I43" s="689" t="n"/>
      <c r="J43" s="693" t="inlineStr">
        <is>
          <t>Uexp利息测试</t>
        </is>
      </c>
      <c r="K43" s="707" t="n"/>
    </row>
    <row r="44" ht="174.75" customFormat="1" customHeight="1" s="4">
      <c r="A44" s="653" t="n"/>
      <c r="C44" s="703" t="n">
        <v>15</v>
      </c>
      <c r="D44" s="789" t="inlineStr">
        <is>
          <t>所有利润表科目（除收入和成本）</t>
        </is>
      </c>
      <c r="E44" s="692" t="inlineStr">
        <is>
          <t xml:space="preserve">
VD-01.2-GL: 实质性程序{执行分析程序}            </t>
        </is>
      </c>
      <c r="F44" s="793" t="inlineStr">
        <is>
          <t>PSP</t>
        </is>
      </c>
      <c r="G44" s="789" t="inlineStr">
        <is>
          <t>IS: O, M, C, P&amp;D</t>
        </is>
      </c>
      <c r="H44" s="694" t="inlineStr">
        <is>
          <t>确定我们对按类型、月份或其他适用期间分解的管理和其他营业费用的预期，使其精确到足以根据我们对业务的了解，识别出错报。 结合我们的预期和已识别出的精确度，确定我们的差异临界值（已入账费用与我们的可接受但尚无进一步调查的预期之间的金额差异）。 结合我们的差异临界值，识别我们的预期的差异。取得充足证据证明差异是适当的。记录我们如何就实质分析性复核程序中使用的相关数据的可靠性满足自身要求。确定是否执行实质分析性复核程序来测试相关账户。如执行，则使用264GL完成相应记录。</t>
        </is>
      </c>
      <c r="I44" s="689" t="n"/>
      <c r="J44" s="695" t="n"/>
      <c r="K44" s="708" t="n"/>
    </row>
    <row r="45" ht="16.5" customFormat="1" customHeight="1" s="4">
      <c r="A45" s="653" t="n"/>
      <c r="C45" s="703" t="n">
        <v>16</v>
      </c>
      <c r="D45" s="697" t="inlineStr">
        <is>
          <t>费用科目（包括制造费用）</t>
        </is>
      </c>
      <c r="E45" s="698" t="inlineStr">
        <is>
          <t>VD-01.8-GL:执行截止程序</t>
        </is>
      </c>
      <c r="F45" s="699" t="inlineStr">
        <is>
          <t>PSP</t>
        </is>
      </c>
      <c r="G45" s="789" t="inlineStr">
        <is>
          <t>IS: O, C</t>
        </is>
      </c>
      <c r="H45" s="696" t="inlineStr">
        <is>
          <t>记录在账面的费用交易是否记录于正确期间</t>
        </is>
      </c>
      <c r="I45" s="689" t="n"/>
      <c r="J45" s="690" t="inlineStr">
        <is>
          <t>Uexp_Cutoff</t>
        </is>
      </c>
      <c r="K45" s="708" t="n"/>
    </row>
    <row r="46" ht="33" customFormat="1" customHeight="1" s="4">
      <c r="A46" s="653" t="n"/>
      <c r="C46" s="709" t="n">
        <v>17</v>
      </c>
      <c r="D46" s="716" t="inlineStr">
        <is>
          <t>由审计团队确认执行TOD范围</t>
        </is>
      </c>
      <c r="E46" s="710" t="inlineStr">
        <is>
          <t>VC/VD-01.3-01.6-GL: 实质性程序 详细测试(TOD）</t>
        </is>
      </c>
      <c r="F46" s="711" t="inlineStr">
        <is>
          <t>PSP</t>
        </is>
      </c>
      <c r="G46" s="712" t="inlineStr">
        <is>
          <t>IS: O, M, C, P&amp;D</t>
        </is>
      </c>
      <c r="H46" s="717" t="inlineStr">
        <is>
          <t>若通过实质分析性复核程序取得的证据不足以就账户余额得出结论，则执行详细测试。</t>
        </is>
      </c>
      <c r="I46" s="713" t="n"/>
      <c r="J46" s="714" t="inlineStr">
        <is>
          <t>Uexp_TOD</t>
        </is>
      </c>
      <c r="K46" s="715" t="n"/>
    </row>
    <row r="47" ht="12.75" customHeight="1">
      <c r="A47" s="545" t="n"/>
      <c r="C47" s="42" t="n"/>
      <c r="D47" s="2" t="n"/>
      <c r="E47" s="2" t="n"/>
      <c r="F47" s="42" t="n"/>
      <c r="G47" s="43" t="n"/>
      <c r="H47" s="2" t="n"/>
      <c r="I47" s="42" t="n"/>
      <c r="J47" s="2" t="n"/>
      <c r="K47" s="2" t="n"/>
    </row>
    <row r="48" ht="17.25" customHeight="1" thickBot="1">
      <c r="A48" s="653" t="n"/>
      <c r="C48" s="538" t="inlineStr">
        <is>
          <t>IPE 考虑</t>
        </is>
      </c>
      <c r="D48" s="357" t="n"/>
      <c r="E48" s="46" t="n"/>
      <c r="F48" s="358" t="n"/>
      <c r="G48" s="359" t="n"/>
      <c r="H48" s="359" t="n"/>
      <c r="I48" s="360" t="n"/>
      <c r="J48" s="360" t="n"/>
      <c r="K48" s="361" t="n"/>
    </row>
    <row r="49" ht="50.25" customHeight="1" thickBot="1">
      <c r="A49" s="653" t="inlineStr">
        <is>
          <t>/P1</t>
        </is>
      </c>
      <c r="C49" s="454" t="n">
        <v>18</v>
      </c>
      <c r="D49" s="791" t="inlineStr">
        <is>
          <t xml:space="preserve"> IPE</t>
        </is>
      </c>
      <c r="E49" s="898" t="n"/>
      <c r="F49" s="455" t="n"/>
      <c r="G49" s="456" t="n"/>
      <c r="H49" s="457" t="inlineStr">
        <is>
          <t>执行IPE程序以评估客户提供的数据的准确性和完整性。可点击此处获取265 Form，获取后需更新链接至执行程序265GL 。</t>
        </is>
      </c>
      <c r="I49" s="47" t="n"/>
      <c r="J49" s="485" t="n"/>
      <c r="K49" s="362" t="n"/>
    </row>
    <row r="50" ht="15.75" customHeight="1" thickBot="1">
      <c r="A50" s="653" t="n"/>
    </row>
    <row r="51" ht="18.75" customHeight="1">
      <c r="A51" s="545" t="n"/>
      <c r="C51" s="731" t="inlineStr">
        <is>
          <t>费用类账户总结陈述</t>
        </is>
      </c>
      <c r="D51" s="732" t="n"/>
      <c r="E51" s="733" t="n"/>
      <c r="F51" s="732" t="n"/>
      <c r="G51" s="734" t="n"/>
    </row>
    <row r="52" ht="17.25" customFormat="1" customHeight="1" s="446" thickBot="1">
      <c r="A52" s="654" t="n"/>
      <c r="C52" s="447" t="inlineStr">
        <is>
          <t>费用类程序的执行结果详见CanvasForm</t>
        </is>
      </c>
      <c r="D52" s="448" t="n"/>
      <c r="E52" s="449" t="n"/>
      <c r="F52" s="448" t="n"/>
      <c r="G52" s="450" t="n"/>
    </row>
    <row r="53" ht="14.25" customHeight="1" thickBot="1">
      <c r="A53" s="651" t="n"/>
    </row>
    <row r="54" ht="12.6" customHeight="1">
      <c r="A54" s="545" t="n"/>
      <c r="C54" s="481" t="inlineStr">
        <is>
          <t>安永标记</t>
        </is>
      </c>
      <c r="D54" s="735" t="n"/>
    </row>
    <row r="55" ht="43.5" customHeight="1">
      <c r="A55" s="545" t="n"/>
      <c r="C55" s="434" t="inlineStr">
        <is>
          <t>PY</t>
        </is>
      </c>
      <c r="D55" s="435" t="inlineStr">
        <is>
          <t>与上年审计底稿核对一致（需项目组自行核对或者由GDS 提供服务核对）</t>
        </is>
      </c>
    </row>
    <row r="56" ht="12.6" customHeight="1">
      <c r="A56" s="545" t="n"/>
      <c r="C56" s="569" t="inlineStr">
        <is>
          <t>A3</t>
        </is>
      </c>
      <c r="D56" s="570" t="inlineStr">
        <is>
          <t>与未审数、审定数核对一致</t>
        </is>
      </c>
    </row>
    <row r="57" ht="12.6" customHeight="1">
      <c r="A57" s="653" t="n"/>
      <c r="C57" s="569" t="inlineStr">
        <is>
          <t>A5</t>
        </is>
      </c>
      <c r="D57" s="570" t="inlineStr">
        <is>
          <t>与审计调整核对一致</t>
        </is>
      </c>
    </row>
    <row r="58" ht="12.6" customHeight="1">
      <c r="A58" s="653" t="n"/>
      <c r="C58" s="569" t="inlineStr">
        <is>
          <t>TB</t>
        </is>
      </c>
      <c r="D58" s="570" t="inlineStr">
        <is>
          <t>已与科目余额表核对无误</t>
        </is>
      </c>
    </row>
    <row r="59" ht="12.6" customHeight="1">
      <c r="A59" s="653" t="n"/>
      <c r="C59" s="569" t="inlineStr">
        <is>
          <t>SL</t>
        </is>
      </c>
      <c r="D59" s="571" t="inlineStr">
        <is>
          <t>已与明细账核对无误</t>
        </is>
      </c>
    </row>
    <row r="60" ht="27.6" customHeight="1">
      <c r="A60" s="653" t="n"/>
      <c r="C60" s="572" t="inlineStr">
        <is>
          <t>m</t>
        </is>
      </c>
      <c r="D60" s="573" t="inlineStr">
        <is>
          <t>余额/活动不符合测试范围–无需进一步调查</t>
        </is>
      </c>
    </row>
    <row r="61" ht="12.6" customHeight="1">
      <c r="A61" s="653" t="n"/>
      <c r="C61" s="569" t="inlineStr">
        <is>
          <t>FS</t>
        </is>
      </c>
      <c r="D61" s="570" t="inlineStr">
        <is>
          <t>与FS.0x与财务报表核对无误</t>
        </is>
      </c>
    </row>
    <row r="62" ht="29.1" customHeight="1">
      <c r="A62" s="653" t="n"/>
      <c r="C62" s="572" t="inlineStr">
        <is>
          <t>w</t>
        </is>
      </c>
      <c r="D62" s="574" t="inlineStr">
        <is>
          <t>低于SAD的金额——放弃进一步调查</t>
        </is>
      </c>
    </row>
    <row r="63" ht="12.6" customHeight="1" thickBot="1">
      <c r="A63" s="653" t="n"/>
      <c r="C63" s="436" t="inlineStr">
        <is>
          <t>Rx</t>
        </is>
      </c>
      <c r="D63" s="437" t="inlineStr">
        <is>
          <t>重新计算，无异常</t>
        </is>
      </c>
    </row>
    <row r="64" ht="12.6" customHeight="1">
      <c r="A64" s="653" t="n"/>
    </row>
  </sheetData>
  <mergeCells count="5">
    <mergeCell ref="G31:G42"/>
    <mergeCell ref="E31:E42"/>
    <mergeCell ref="D49:E49"/>
    <mergeCell ref="H31:H42"/>
    <mergeCell ref="F31:F42"/>
  </mergeCells>
  <conditionalFormatting sqref="D3 D7 D9 D21:D24 G3 G5 G7 I30:I46 I49:J49 J44">
    <cfRule type="containsBlanks" priority="2" dxfId="0">
      <formula>LEN(TRIM(D3))=0</formula>
    </cfRule>
  </conditionalFormatting>
  <conditionalFormatting sqref="D5">
    <cfRule type="containsBlanks" priority="1" dxfId="0">
      <formula>LEN(TRIM(D5))=0</formula>
    </cfRule>
  </conditionalFormatting>
  <conditionalFormatting sqref="K30:K46 K49">
    <cfRule type="expression" priority="108" dxfId="16">
      <formula>SUMPRODUCT((I30="No")*(LEN(K30)=0))</formula>
    </cfRule>
  </conditionalFormatting>
  <dataValidations count="2">
    <dataValidation sqref="I30:I46 I49" showDropDown="0" showInputMessage="1" showErrorMessage="1" allowBlank="1" type="list">
      <formula1>" ,Yes, No"</formula1>
    </dataValidation>
    <dataValidation sqref="D21:D25" showDropDown="0" showInputMessage="1" showErrorMessage="1" allowBlank="1" type="list">
      <formula1>$C$13:$C$17</formula1>
    </dataValidation>
  </dataValidations>
  <hyperlinks>
    <hyperlink xmlns:r="http://schemas.openxmlformats.org/officeDocument/2006/relationships" ref="E27" display="https://eychinamanaged.sharepoint.cn/:x:/r/sites/GCknowledgecenter/Shared Documents/%E5%AE%A1%E8%AE%A1%E6%A0%87%E5%87%86%E5%BA%95%E7%A8%BF/%E6%A0%87%E5%87%86%E5%AE%A1%E8%AE%A1%E5%BA%95%E7%A8%BF%E6%A8%A1%E6%9D%BF%E7%AC%AC%E4%BA%94%E7%89%88-%E4%BD%BF%E7%94%A8%E7%89%88/OSP/OSP SWP %E7%A0%94%E5%8F%91%E8%B4%B9%E7%94%A8 202YMMDD XYZ%E5%85%AC%E5%8F%B8.xlsx?d=w648945e24f054a0b8925dd8ccc54956e&amp;csf=1&amp;web=1&amp;e=bMmdW6" r:id="rId1"/>
    <hyperlink ref="J30" location="Uexp_Lead!A1" display="Uexp_Lead"/>
    <hyperlink ref="J31" location="Uexp制造费用BKD!A1" display="Uexp制造费用BKD"/>
    <hyperlink ref="J32" location="Uexp研发费用BKD!A1" display="Uexp研发费用BKD"/>
    <hyperlink ref="J33" location="Uexp财务费用BKD!A1" display="Uexp财务费用BKD"/>
    <hyperlink ref="J34" location="Uexp其他收益BKD!A1" display="Uexp其他收益BKD"/>
    <hyperlink ref="J35" location="Uexp投资收益BKD!A1" display="Uexp投资收益BKD"/>
    <hyperlink ref="J36" location="Uexp公允价值变动损益BKD!A1" display="Uexp公允价值变动损益BKD"/>
    <hyperlink ref="J37" location="Uexp信用减值损失BKD!A1" display="Uexp信用减值损失BKD"/>
    <hyperlink ref="J38" location="Uexp资产减值损失BKD!A1" display="Uexp资产减值损失BKD"/>
    <hyperlink ref="J39" location="Uexp资产处置损益BKD!A1" display="Uexp资产处置损益BKD"/>
    <hyperlink ref="J40" location="Uexp营业外收入BKD!A1" display="Uexp营业外收入BKD"/>
    <hyperlink ref="J41" location="Uexp营业外支出BKD!A1" display="Uexp营业外支出BKD"/>
    <hyperlink ref="J42" location="Uexp债务重组利得和损失BKD!A1" display="Uexp债务重组利得和损失BKD"/>
    <hyperlink ref="J43" location="Uexp利息测试!A1" display="Uexp利息测试"/>
    <hyperlink ref="J45" location="Uexp_Cutoff!A1" display="Uexp_Cutoff"/>
    <hyperlink ref="J46" location="Uexp_TOD!A1" display="Uexp_TOD"/>
    <hyperlink xmlns:r="http://schemas.openxmlformats.org/officeDocument/2006/relationships" ref="H49" location="document/589804/pid88119662-589804?pref=20014/4/30&amp;crumb=8/1724596/553542" display="执行IPE程序以评估客户提供的数据的准确性和完整性。可点击此处获取265 From，获取后需更新链接至执行程序265GL 。" r:id="rId2"/>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V141"/>
  <sheetViews>
    <sheetView showGridLines="0" zoomScale="70" zoomScaleNormal="70" workbookViewId="0">
      <selection activeCell="L34" sqref="L34"/>
    </sheetView>
  </sheetViews>
  <sheetFormatPr baseColWidth="8" defaultColWidth="8.85546875" defaultRowHeight="12.75" customHeight="1" outlineLevelRow="1"/>
  <cols>
    <col width="0.140625" customWidth="1" style="215" min="1" max="1"/>
    <col width="5.5703125" customWidth="1" style="9" min="2" max="2"/>
    <col width="21.28515625" customWidth="1" style="9" min="3" max="3"/>
    <col width="33.42578125" customWidth="1" style="9" min="4" max="4"/>
    <col width="19.42578125" customWidth="1" style="9" min="5" max="5"/>
    <col width="18.85546875" customWidth="1" style="9" min="6" max="7"/>
    <col width="17.140625" customWidth="1" style="9" min="8" max="8"/>
    <col width="18.85546875" customWidth="1" style="9" min="9" max="9"/>
    <col width="25.85546875" customWidth="1" style="9" min="10" max="10"/>
    <col width="17.7109375" customWidth="1" style="9" min="11" max="11"/>
    <col width="18.85546875" customWidth="1" style="9" min="12" max="12"/>
    <col width="15.5703125" customWidth="1" style="9" min="13" max="14"/>
    <col width="17.28515625" customWidth="1" style="9" min="15" max="15"/>
    <col width="1.85546875" customWidth="1" style="9" min="16" max="16"/>
    <col width="7.7109375" customWidth="1" style="9" min="17" max="18"/>
    <col width="15.28515625" customWidth="1" style="9" min="19" max="19"/>
    <col width="1.28515625" customWidth="1" style="9" min="20" max="20"/>
    <col width="18.42578125" customWidth="1" style="9" min="21" max="21"/>
    <col width="13.28515625" customWidth="1" style="9" min="22" max="22"/>
    <col width="16.85546875" customWidth="1" style="9" min="23" max="24"/>
    <col width="8.85546875" customWidth="1" style="9" min="25" max="16384"/>
  </cols>
  <sheetData>
    <row r="1" ht="12.6" customHeight="1">
      <c r="A1" s="539" t="inlineStr">
        <is>
          <t>c320deef-b651-4890-83c8-fa4b53e6fbdf</t>
        </is>
      </c>
      <c r="C1" s="473" t="n"/>
    </row>
    <row r="2" ht="16.5" customHeight="1">
      <c r="A2" s="539" t="n"/>
      <c r="C2" s="19" t="n"/>
      <c r="D2" s="19" t="n"/>
      <c r="J2" s="48" t="inlineStr">
        <is>
          <t>返回汇总页</t>
        </is>
      </c>
    </row>
    <row r="3" ht="13.5" customHeight="1" thickBot="1">
      <c r="A3" s="539" t="n"/>
      <c r="C3" s="19" t="n"/>
      <c r="D3" s="19" t="n"/>
    </row>
    <row r="4" ht="21" customHeight="1">
      <c r="A4" s="539" t="n"/>
      <c r="C4" s="736" t="inlineStr">
        <is>
          <t>目标</t>
        </is>
      </c>
      <c r="D4" s="737" t="n"/>
      <c r="E4" s="737" t="n"/>
      <c r="F4" s="737" t="n"/>
      <c r="G4" s="737" t="n"/>
      <c r="H4" s="737" t="n"/>
      <c r="I4" s="737" t="n"/>
      <c r="J4" s="738" t="n"/>
    </row>
    <row r="5" ht="20.25" customHeight="1">
      <c r="A5" s="539" t="n"/>
      <c r="C5" s="49" t="inlineStr">
        <is>
          <t>通过执行分析和调查两期的费用科目重大变动来确定费用科目是否合理。</t>
        </is>
      </c>
      <c r="D5" s="50" t="n"/>
      <c r="E5" s="50" t="n"/>
      <c r="F5" s="50" t="n"/>
      <c r="G5" s="50" t="n"/>
      <c r="H5" s="50" t="n"/>
      <c r="I5" s="50" t="n"/>
      <c r="J5" s="51" t="n"/>
    </row>
    <row r="6" ht="12.75" customHeight="1">
      <c r="A6" s="539" t="n"/>
      <c r="C6" s="49" t="n"/>
      <c r="D6" s="50" t="n"/>
      <c r="E6" s="50" t="n"/>
      <c r="F6" s="50" t="n"/>
      <c r="G6" s="50" t="n"/>
      <c r="H6" s="50" t="n"/>
      <c r="I6" s="50" t="n"/>
      <c r="J6" s="51" t="n"/>
    </row>
    <row r="7" ht="27" customHeight="1">
      <c r="A7" s="539" t="n"/>
      <c r="C7" s="513" t="inlineStr">
        <is>
          <t>序号</t>
        </is>
      </c>
      <c r="D7" s="899" t="inlineStr">
        <is>
          <t>执行的程序</t>
        </is>
      </c>
      <c r="E7" s="900" t="n"/>
      <c r="F7" s="901" t="n"/>
      <c r="G7" s="505" t="inlineStr">
        <is>
          <t>程序表</t>
        </is>
      </c>
      <c r="H7" s="507" t="inlineStr">
        <is>
          <t>预审完成</t>
        </is>
      </c>
      <c r="I7" s="507" t="inlineStr">
        <is>
          <t>年审完成</t>
        </is>
      </c>
      <c r="J7" s="514" t="inlineStr">
        <is>
          <t>执行注意事项</t>
        </is>
      </c>
    </row>
    <row r="8" outlineLevel="1" ht="28.5" customHeight="1">
      <c r="A8" s="655" t="n"/>
      <c r="C8" s="515" t="n">
        <v>1</v>
      </c>
      <c r="D8" s="902" t="inlineStr">
        <is>
          <t>我们获取费用科目余额表本期金额以及上年审定数。</t>
        </is>
      </c>
      <c r="E8" s="900" t="n"/>
      <c r="F8" s="901" t="n"/>
      <c r="G8" s="575" t="inlineStr">
        <is>
          <t>表1</t>
        </is>
      </c>
      <c r="H8" s="903" t="inlineStr">
        <is>
          <t>是</t>
        </is>
      </c>
      <c r="I8" s="904" t="n"/>
      <c r="J8" s="516" t="n"/>
    </row>
    <row r="9" outlineLevel="1" ht="40.5" customHeight="1">
      <c r="A9" s="655" t="n"/>
      <c r="C9" s="515" t="n">
        <v>2</v>
      </c>
      <c r="D9" s="902" t="inlineStr">
        <is>
          <t>我们将两期审定金额进行比对，对那些变动大于范围的事项，获得管理层解释并对解释是否合理进行调查。</t>
        </is>
      </c>
      <c r="E9" s="900" t="n"/>
      <c r="F9" s="901" t="n"/>
      <c r="G9" s="575" t="inlineStr">
        <is>
          <t>表1</t>
        </is>
      </c>
      <c r="H9" s="903" t="inlineStr">
        <is>
          <t>是</t>
        </is>
      </c>
      <c r="I9" s="904" t="n"/>
      <c r="J9" s="516" t="n"/>
    </row>
    <row r="10" ht="12.75" customHeight="1" thickBot="1">
      <c r="A10" s="655" t="n"/>
      <c r="C10" s="370" t="n"/>
      <c r="D10" s="576" t="n"/>
      <c r="E10" s="576" t="n"/>
      <c r="F10" s="576" t="n"/>
      <c r="G10" s="506" t="n"/>
      <c r="H10" s="506" t="n"/>
      <c r="I10" s="506" t="n"/>
      <c r="J10" s="577" t="n"/>
    </row>
    <row r="11" ht="12.6" customHeight="1">
      <c r="A11" s="655" t="n"/>
      <c r="C11" s="52" t="n"/>
      <c r="D11" s="53" t="n"/>
      <c r="E11" s="53" t="n"/>
      <c r="F11" s="53" t="n"/>
    </row>
    <row r="12" ht="18.75" customFormat="1" customHeight="1" s="20" thickBot="1">
      <c r="A12" s="656" t="n"/>
      <c r="C12" s="474" t="inlineStr">
        <is>
          <t>在下文中描述我们当期对账户波动的预期，以及这些预期的依据和理由。</t>
        </is>
      </c>
      <c r="D12" s="905" t="n"/>
      <c r="E12" s="905" t="n"/>
      <c r="F12" s="905" t="n"/>
      <c r="G12" s="905" t="n"/>
      <c r="H12" s="905" t="n"/>
      <c r="I12" s="905" t="n"/>
      <c r="J12" s="905" t="n"/>
      <c r="K12" s="23" t="n"/>
      <c r="L12" s="217" t="n"/>
      <c r="M12" s="217" t="n"/>
      <c r="Q12" s="158" t="n"/>
    </row>
    <row r="13" ht="18" customFormat="1" customHeight="1" s="20">
      <c r="A13" s="656" t="n"/>
      <c r="C13" s="906" t="n"/>
      <c r="D13" s="907" t="n"/>
      <c r="E13" s="907" t="n"/>
      <c r="F13" s="907" t="n"/>
      <c r="G13" s="908" t="n"/>
      <c r="H13" s="905" t="n"/>
      <c r="I13" s="905" t="n"/>
      <c r="J13" s="905" t="n"/>
      <c r="K13" s="23" t="n"/>
      <c r="L13" s="217" t="n"/>
      <c r="M13" s="217" t="n"/>
      <c r="Q13" s="158" t="n"/>
    </row>
    <row r="14" ht="18" customFormat="1" customHeight="1" s="20">
      <c r="A14" s="656" t="n"/>
      <c r="C14" s="909" t="n"/>
      <c r="G14" s="910" t="n"/>
      <c r="H14" s="905" t="n"/>
      <c r="I14" s="905" t="n"/>
      <c r="J14" s="905" t="n"/>
      <c r="K14" s="23" t="n"/>
      <c r="L14" s="217" t="n"/>
      <c r="M14" s="217" t="n"/>
      <c r="Q14" s="158" t="n"/>
    </row>
    <row r="15" ht="18" customFormat="1" customHeight="1" s="20" thickBot="1">
      <c r="A15" s="656" t="n"/>
      <c r="C15" s="911" t="n"/>
      <c r="D15" s="912" t="n"/>
      <c r="E15" s="912" t="n"/>
      <c r="F15" s="912" t="n"/>
      <c r="G15" s="913" t="n"/>
      <c r="H15" s="905" t="n"/>
      <c r="I15" s="905" t="n"/>
      <c r="J15" s="905" t="n"/>
      <c r="K15" s="23" t="n"/>
      <c r="L15" s="217" t="n"/>
      <c r="M15" s="217" t="n"/>
      <c r="Q15" s="158" t="n"/>
    </row>
    <row r="16" ht="18" customFormat="1" customHeight="1" s="20" thickBot="1">
      <c r="A16" s="656" t="n"/>
      <c r="D16" s="914" t="n"/>
      <c r="E16" s="915" t="n"/>
      <c r="F16" s="915" t="n"/>
      <c r="G16" s="915" t="n"/>
      <c r="H16" s="905" t="n"/>
      <c r="I16" s="905" t="n"/>
      <c r="J16" s="905" t="n"/>
      <c r="K16" s="23" t="n"/>
      <c r="L16" s="217" t="n"/>
      <c r="M16" s="217" t="n"/>
      <c r="Q16" s="158" t="n"/>
    </row>
    <row r="17" ht="18" customFormat="1" customHeight="1" s="20">
      <c r="A17" s="656" t="n"/>
      <c r="C17" s="740">
        <f>"波动幅度 ("&amp;汇总!D7&amp;"):"</f>
        <v/>
      </c>
      <c r="D17" s="916">
        <f>汇总!$F$21</f>
        <v/>
      </c>
      <c r="E17" s="915" t="n"/>
      <c r="F17" s="915" t="n"/>
      <c r="G17" s="915" t="n"/>
      <c r="H17" s="905" t="n"/>
      <c r="I17" s="905" t="n"/>
      <c r="J17" s="905" t="n"/>
      <c r="K17" s="23" t="n"/>
      <c r="L17" s="217" t="n"/>
      <c r="M17" s="217" t="n"/>
      <c r="Q17" s="158" t="n"/>
    </row>
    <row r="18" ht="18" customFormat="1" customHeight="1" s="20" thickBot="1">
      <c r="A18" s="656" t="n"/>
      <c r="C18" s="475" t="inlineStr">
        <is>
          <t>波动幅度（%）：</t>
        </is>
      </c>
      <c r="D18" s="476" t="n"/>
      <c r="E18" s="915" t="n"/>
      <c r="F18" s="915" t="n"/>
      <c r="G18" s="915" t="n"/>
      <c r="H18" s="905" t="n"/>
      <c r="I18" s="905" t="n"/>
      <c r="J18" s="905" t="n"/>
      <c r="K18" s="23" t="n"/>
      <c r="L18" s="217" t="n"/>
      <c r="M18" s="217" t="n"/>
      <c r="Q18" s="158" t="n"/>
    </row>
    <row r="19" ht="18" customFormat="1" customHeight="1" s="20" thickBot="1">
      <c r="A19" s="656" t="n"/>
      <c r="C19" s="915" t="n"/>
      <c r="D19" s="915" t="n"/>
      <c r="E19" s="53" t="inlineStr">
        <is>
          <t>AA</t>
        </is>
      </c>
      <c r="F19" s="53" t="inlineStr">
        <is>
          <t>BB</t>
        </is>
      </c>
      <c r="G19" s="53" t="inlineStr">
        <is>
          <t>CC=AA+BB</t>
        </is>
      </c>
      <c r="H19" s="192" t="inlineStr">
        <is>
          <t>DD</t>
        </is>
      </c>
      <c r="I19" s="53" t="inlineStr">
        <is>
          <t>EE=CC+DD</t>
        </is>
      </c>
      <c r="J19" s="917" t="inlineStr">
        <is>
          <t>FF</t>
        </is>
      </c>
      <c r="K19" s="440" t="inlineStr">
        <is>
          <t>GG=EE-FF</t>
        </is>
      </c>
      <c r="L19" s="229" t="inlineStr">
        <is>
          <t>HH=GG/FF</t>
        </is>
      </c>
      <c r="O19" s="158" t="n"/>
    </row>
    <row r="20" ht="23.25" customHeight="1" thickBot="1">
      <c r="A20" s="655" t="n"/>
      <c r="C20" s="52" t="n"/>
      <c r="D20" s="53" t="n"/>
      <c r="H20" s="54" t="n"/>
      <c r="J20" s="54" t="n"/>
      <c r="K20" s="494" t="inlineStr">
        <is>
          <t>本期审定数与上期审定数比较</t>
        </is>
      </c>
      <c r="L20" s="495" t="n"/>
    </row>
    <row r="21" ht="29.85" customFormat="1" customHeight="1" s="6">
      <c r="A21" s="655" t="n"/>
      <c r="B21" s="493" t="inlineStr">
        <is>
          <t>表1</t>
        </is>
      </c>
      <c r="C21" s="486" t="inlineStr">
        <is>
          <t>科目名称</t>
        </is>
      </c>
      <c r="D21" s="499" t="inlineStr">
        <is>
          <t>索引号</t>
        </is>
      </c>
      <c r="E21" s="488" t="inlineStr">
        <is>
          <t>本期账面数</t>
        </is>
      </c>
      <c r="F21" s="487" t="inlineStr">
        <is>
          <t>本期账表调整数</t>
        </is>
      </c>
      <c r="G21" s="487" t="inlineStr">
        <is>
          <t>本期账面未审数</t>
        </is>
      </c>
      <c r="H21" s="487" t="inlineStr">
        <is>
          <t>本期审计调整金数</t>
        </is>
      </c>
      <c r="I21" s="496" t="inlineStr">
        <is>
          <t>本期账面审定数</t>
        </is>
      </c>
      <c r="J21" s="502" t="inlineStr">
        <is>
          <t>上期末审定数</t>
        </is>
      </c>
      <c r="K21" s="488" t="inlineStr">
        <is>
          <t>变动额</t>
        </is>
      </c>
      <c r="L21" s="489" t="inlineStr">
        <is>
          <t>变动率</t>
        </is>
      </c>
      <c r="U21" t="inlineStr">
        <is>
          <t>汇总!A1</t>
        </is>
      </c>
    </row>
    <row r="22" ht="13.35" customFormat="1" customHeight="1" s="7">
      <c r="A22" s="657" t="n"/>
      <c r="C22" s="918" t="inlineStr">
        <is>
          <t>制造费用</t>
        </is>
      </c>
      <c r="D22" s="500" t="inlineStr">
        <is>
          <t>Uexp制造费用BKD</t>
        </is>
      </c>
      <c r="E22" s="919">
        <f>IFERROR(Uexp制造费用BKD!F35,"")</f>
        <v/>
      </c>
      <c r="F22" s="920">
        <f>IFERROR(Uexp制造费用BKD!H35,"")</f>
        <v/>
      </c>
      <c r="G22" s="920">
        <f>E22+F22</f>
        <v/>
      </c>
      <c r="H22" s="920">
        <f>IFERROR(Uexp制造费用BKD!L35,"")</f>
        <v/>
      </c>
      <c r="I22" s="921">
        <f>G22+H22</f>
        <v/>
      </c>
      <c r="J22" s="922">
        <f>IFERROR(Uexp制造费用BKD!N35,"")</f>
        <v/>
      </c>
      <c r="K22" s="923">
        <f>I22-J22</f>
        <v/>
      </c>
      <c r="L22" s="451">
        <f>IF(J22&lt;&gt;0,K22/J22,1)</f>
        <v/>
      </c>
    </row>
    <row r="23" ht="13.35" customFormat="1" customHeight="1" s="7">
      <c r="A23" s="657" t="n"/>
      <c r="C23" s="918" t="inlineStr">
        <is>
          <t>研发费用</t>
        </is>
      </c>
      <c r="D23" s="500" t="inlineStr">
        <is>
          <t>Uexp研发费用BKD</t>
        </is>
      </c>
      <c r="E23" s="919">
        <f>IFERROR(Uexp研发费用BKD!F41,"")</f>
        <v/>
      </c>
      <c r="F23" s="920">
        <f>IFERROR(Uexp研发费用BKD!H41,"")</f>
        <v/>
      </c>
      <c r="G23" s="920">
        <f>E23+F23</f>
        <v/>
      </c>
      <c r="H23" s="920">
        <f>IFERROR(Uexp研发费用BKD!L41,"")</f>
        <v/>
      </c>
      <c r="I23" s="921">
        <f>G23+H23</f>
        <v/>
      </c>
      <c r="J23" s="922">
        <f>IFERROR(Uexp研发费用BKD!N41,"")</f>
        <v/>
      </c>
      <c r="K23" s="923">
        <f>I23-J23</f>
        <v/>
      </c>
      <c r="L23" s="451">
        <f>IF(J23&lt;&gt;0,K23/J23,1)</f>
        <v/>
      </c>
    </row>
    <row r="24" ht="13.35" customFormat="1" customHeight="1" s="7">
      <c r="A24" s="657" t="n"/>
      <c r="C24" s="918" t="inlineStr">
        <is>
          <t>财务费用</t>
        </is>
      </c>
      <c r="D24" s="500" t="inlineStr">
        <is>
          <t>Uexp财务费用BKD</t>
        </is>
      </c>
      <c r="E24" s="919">
        <f>IFERROR(Uexp财务费用BKD!F35,"")</f>
        <v/>
      </c>
      <c r="F24" s="920">
        <f>IFERROR(Uexp财务费用BKD!H35,"")</f>
        <v/>
      </c>
      <c r="G24" s="920">
        <f>E24+F24</f>
        <v/>
      </c>
      <c r="H24" s="920">
        <f>IFERROR(Uexp财务费用BKD!L35,"")</f>
        <v/>
      </c>
      <c r="I24" s="921">
        <f>G24+H24</f>
        <v/>
      </c>
      <c r="J24" s="922">
        <f>IFERROR(Uexp财务费用BKD!N35,"")</f>
        <v/>
      </c>
      <c r="K24" s="923">
        <f>I24-J24</f>
        <v/>
      </c>
      <c r="L24" s="451">
        <f>IF(J24&lt;&gt;0,K24/J24,1)</f>
        <v/>
      </c>
    </row>
    <row r="25" ht="13.35" customFormat="1" customHeight="1" s="7">
      <c r="A25" s="657" t="n"/>
      <c r="C25" s="918" t="inlineStr">
        <is>
          <t>财务费用</t>
        </is>
      </c>
      <c r="D25" s="500" t="inlineStr">
        <is>
          <t>Uexp财务费用BKD</t>
        </is>
      </c>
      <c r="E25" s="919">
        <f>IFERROR(Uexp其他收益BKD!F37,"")</f>
        <v/>
      </c>
      <c r="F25" s="920">
        <f>IFERROR(Uexp其他收益BKD!H37,"")</f>
        <v/>
      </c>
      <c r="G25" s="920">
        <f>E25+F25</f>
        <v/>
      </c>
      <c r="H25" s="920">
        <f>IFERROR(Uexp其他收益BKD!L37,"")</f>
        <v/>
      </c>
      <c r="I25" s="921">
        <f>G25+H25</f>
        <v/>
      </c>
      <c r="J25" s="922">
        <f>IFERROR(Uexp其他收益BKD!N37,"")</f>
        <v/>
      </c>
      <c r="K25" s="923">
        <f>I25-J25</f>
        <v/>
      </c>
      <c r="L25" s="451">
        <f>IF(J25&lt;&gt;0,K25/J25,1)</f>
        <v/>
      </c>
    </row>
    <row r="26" ht="13.35" customFormat="1" customHeight="1" s="7">
      <c r="A26" s="657" t="n"/>
      <c r="C26" s="918" t="inlineStr">
        <is>
          <t>投资收益</t>
        </is>
      </c>
      <c r="D26" s="500" t="inlineStr">
        <is>
          <t>Uexp投资收益BKD</t>
        </is>
      </c>
      <c r="E26" s="919">
        <f>IFERROR(Uexp投资收益BKD!F37,"")</f>
        <v/>
      </c>
      <c r="F26" s="920">
        <f>IFERROR(Uexp投资收益BKD!H37,"")</f>
        <v/>
      </c>
      <c r="G26" s="920">
        <f>E26+F26</f>
        <v/>
      </c>
      <c r="H26" s="920">
        <f>IFERROR(Uexp投资收益BKD!L37,"")</f>
        <v/>
      </c>
      <c r="I26" s="921">
        <f>G26+H26</f>
        <v/>
      </c>
      <c r="J26" s="922">
        <f>IFERROR(Uexp投资收益BKD!N37,"")</f>
        <v/>
      </c>
      <c r="K26" s="923">
        <f>I26-J26</f>
        <v/>
      </c>
      <c r="L26" s="451">
        <f>IF(J26&lt;&gt;0,K26/J26,1)</f>
        <v/>
      </c>
    </row>
    <row r="27" ht="13.35" customFormat="1" customHeight="1" s="7">
      <c r="A27" s="657" t="n"/>
      <c r="C27" s="918" t="inlineStr">
        <is>
          <t>具体分析详见&lt;Uexp财务费用BKD&gt;</t>
        </is>
      </c>
      <c r="D27" s="500" t="n"/>
      <c r="E27" s="919">
        <f>IFERROR(Uexp公允价值变动损益BKD!F36,"")</f>
        <v/>
      </c>
      <c r="F27" s="920">
        <f>IFERROR(Uexp公允价值变动损益BKD!H36,"")</f>
        <v/>
      </c>
      <c r="G27" s="920">
        <f>E27+F27</f>
        <v/>
      </c>
      <c r="H27" s="920">
        <f>IFERROR(Uexp公允价值变动损益BKD!L36,"")</f>
        <v/>
      </c>
      <c r="I27" s="921">
        <f>G27+H27</f>
        <v/>
      </c>
      <c r="J27" s="922">
        <f>IFERROR(Uexp公允价值变动损益BKD!N36,"")</f>
        <v/>
      </c>
      <c r="K27" s="923">
        <f>I27-J27</f>
        <v/>
      </c>
      <c r="L27" s="451">
        <f>IF(J27&lt;&gt;0,K27/J27,1)</f>
        <v/>
      </c>
    </row>
    <row r="28" ht="13.35" customFormat="1" customHeight="1" s="7">
      <c r="A28" s="657" t="n"/>
      <c r="C28" s="918" t="inlineStr">
        <is>
          <t>信用减值损失</t>
        </is>
      </c>
      <c r="D28" s="500" t="inlineStr">
        <is>
          <t>Uexp信用减值损失BKD</t>
        </is>
      </c>
      <c r="E28" s="919">
        <f>IFERROR(Uexp信用减值损失BKD!F35,"")</f>
        <v/>
      </c>
      <c r="F28" s="920">
        <f>IFERROR(Uexp信用减值损失BKD!H35,"")</f>
        <v/>
      </c>
      <c r="G28" s="920">
        <f>E28+F28</f>
        <v/>
      </c>
      <c r="H28" s="920">
        <f>IFERROR(Uexp信用减值损失BKD!L35,"")</f>
        <v/>
      </c>
      <c r="I28" s="921">
        <f>G28+H28</f>
        <v/>
      </c>
      <c r="J28" s="922">
        <f>IFERROR(Uexp信用减值损失BKD!N35,"")</f>
        <v/>
      </c>
      <c r="K28" s="923">
        <f>I28-J28</f>
        <v/>
      </c>
      <c r="L28" s="451">
        <f>IF(J28&lt;&gt;0,K28/J28,1)</f>
        <v/>
      </c>
    </row>
    <row r="29" ht="13.35" customFormat="1" customHeight="1" s="7">
      <c r="A29" s="657" t="n"/>
      <c r="C29" s="918" t="inlineStr">
        <is>
          <t>资产减值损失</t>
        </is>
      </c>
      <c r="D29" s="500" t="inlineStr">
        <is>
          <t>Uexp资产减值损失BKD</t>
        </is>
      </c>
      <c r="E29" s="919">
        <f>IFERROR(Uexp资产减值损失BKD!F36,"")</f>
        <v/>
      </c>
      <c r="F29" s="920">
        <f>IFERROR(Uexp资产减值损失BKD!H36,"")</f>
        <v/>
      </c>
      <c r="G29" s="920">
        <f>E29+F29</f>
        <v/>
      </c>
      <c r="H29" s="920">
        <f>IFERROR(Uexp资产减值损失BKD!L36,"")</f>
        <v/>
      </c>
      <c r="I29" s="921">
        <f>G29+H29</f>
        <v/>
      </c>
      <c r="J29" s="922">
        <f>IFERROR(Uexp资产减值损失BKD!N36,"")</f>
        <v/>
      </c>
      <c r="K29" s="923">
        <f>I29-J29</f>
        <v/>
      </c>
      <c r="L29" s="451">
        <f>IF(J29&lt;&gt;0,K29/J29,1)</f>
        <v/>
      </c>
    </row>
    <row r="30" ht="13.35" customFormat="1" customHeight="1" s="7">
      <c r="A30" s="657" t="n"/>
      <c r="C30" s="918" t="inlineStr">
        <is>
          <t>资产处置损益</t>
        </is>
      </c>
      <c r="D30" s="500" t="inlineStr">
        <is>
          <t>Uexp资产处置损益BKD</t>
        </is>
      </c>
      <c r="E30" s="919">
        <f>IFERROR(Uexp资产处置损益BKD!F36,"")</f>
        <v/>
      </c>
      <c r="F30" s="920">
        <f>IFERROR(Uexp资产处置损益BKD!H36,"")</f>
        <v/>
      </c>
      <c r="G30" s="920">
        <f>E30+F30</f>
        <v/>
      </c>
      <c r="H30" s="920">
        <f>IFERROR(Uexp资产处置损益BKD!L36,"")</f>
        <v/>
      </c>
      <c r="I30" s="921">
        <f>G30+H30</f>
        <v/>
      </c>
      <c r="J30" s="922">
        <f>IFERROR(Uexp资产处置损益BKD!N36,"")</f>
        <v/>
      </c>
      <c r="K30" s="923">
        <f>I30-J30</f>
        <v/>
      </c>
      <c r="L30" s="451">
        <f>IF(J30&lt;&gt;0,K30/J30,1)</f>
        <v/>
      </c>
    </row>
    <row r="31" ht="13.35" customFormat="1" customHeight="1" s="7">
      <c r="A31" s="657" t="n"/>
      <c r="C31" s="918" t="inlineStr">
        <is>
          <t>营业外收入</t>
        </is>
      </c>
      <c r="D31" s="500" t="inlineStr">
        <is>
          <t>Uexp营业外收入BKD</t>
        </is>
      </c>
      <c r="E31" s="919">
        <f>IFERROR(Uexp营业外收入BKD!F36,"")</f>
        <v/>
      </c>
      <c r="F31" s="920">
        <f>IFERROR(Uexp营业外收入BKD!H36,"")</f>
        <v/>
      </c>
      <c r="G31" s="920">
        <f>E31+F31</f>
        <v/>
      </c>
      <c r="H31" s="920">
        <f>IFERROR(Uexp营业外收入BKD!L36,"")</f>
        <v/>
      </c>
      <c r="I31" s="921">
        <f>G31+H31</f>
        <v/>
      </c>
      <c r="J31" s="922">
        <f>IFERROR(Uexp营业外收入BKD!N36,"")</f>
        <v/>
      </c>
      <c r="K31" s="923">
        <f>I31-J31</f>
        <v/>
      </c>
      <c r="L31" s="451">
        <f>IF(J31&lt;&gt;0,K31/J31,1)</f>
        <v/>
      </c>
    </row>
    <row r="32" ht="13.35" customFormat="1" customHeight="1" s="7">
      <c r="A32" s="657" t="n"/>
      <c r="C32" s="924" t="inlineStr">
        <is>
          <t>调整汇总表</t>
        </is>
      </c>
      <c r="D32" s="500" t="n"/>
      <c r="E32" s="919">
        <f>IFERROR(Uexp营业外支出BKD!F37,"")</f>
        <v/>
      </c>
      <c r="F32" s="920">
        <f>IFERROR(Uexp营业外支出BKD!H37,"")</f>
        <v/>
      </c>
      <c r="G32" s="920">
        <f>E32+F32</f>
        <v/>
      </c>
      <c r="H32" s="920">
        <f>IFERROR(Uexp营业外支出BKD!L37,"")</f>
        <v/>
      </c>
      <c r="I32" s="921">
        <f>G32+H32</f>
        <v/>
      </c>
      <c r="J32" s="922">
        <f>IFERROR(Uexp营业外支出BKD!N37,"")</f>
        <v/>
      </c>
      <c r="K32" s="923">
        <f>I32-J32</f>
        <v/>
      </c>
      <c r="L32" s="451">
        <f>IF(J32&lt;&gt;0,K32/J32,1)</f>
        <v/>
      </c>
    </row>
    <row r="33" ht="13.35" customFormat="1" customHeight="1" s="7" thickBot="1">
      <c r="A33" s="657" t="n"/>
      <c r="C33" s="925" t="inlineStr">
        <is>
          <t>原始租赁底稿测算租金信息有误，现按新的测算版本差额调整租赁房屋初始确认的使用权资产租赁负债</t>
        </is>
      </c>
      <c r="D33" s="501" t="n"/>
      <c r="E33" s="926">
        <f>IFERROR(Uexp债务重组利得和损失BKD!F37,"")</f>
        <v/>
      </c>
      <c r="F33" s="927">
        <f>IFERROR(Uexp债务重组利得和损失BKD!H37,"")</f>
        <v/>
      </c>
      <c r="G33" s="927">
        <f>E33+F33</f>
        <v/>
      </c>
      <c r="H33" s="927">
        <f>IFERROR(Uexp债务重组利得和损失BKD!L37,"")</f>
        <v/>
      </c>
      <c r="I33" s="928">
        <f>G33+H33</f>
        <v/>
      </c>
      <c r="J33" s="929">
        <f>IFERROR(Uexp债务重组利得和损失BKD!N37,"")</f>
        <v/>
      </c>
      <c r="K33" s="930">
        <f>I33-J33</f>
        <v/>
      </c>
      <c r="L33" s="453">
        <f>IF(J33&lt;&gt;0,K33/J33,1)</f>
        <v/>
      </c>
    </row>
    <row r="34" ht="12.75" customFormat="1" customHeight="1" s="931" thickBot="1">
      <c r="A34" s="932" t="n"/>
      <c r="C34" t="inlineStr">
        <is>
          <t>AA#04</t>
        </is>
      </c>
      <c r="D34" s="9" t="inlineStr">
        <is>
          <t>财务费用</t>
        </is>
      </c>
      <c r="E34" s="933" t="n"/>
      <c r="F34" s="933" t="n"/>
      <c r="G34" s="933" t="n"/>
      <c r="H34" s="934" t="n"/>
      <c r="I34" s="9" t="n"/>
      <c r="J34" s="9" t="n"/>
      <c r="K34" s="934" t="n"/>
      <c r="L34" s="935" t="n"/>
      <c r="M34" s="933" t="n"/>
      <c r="N34" s="933" t="n"/>
      <c r="O34" s="933" t="n"/>
      <c r="P34" s="934" t="n"/>
      <c r="Q34" s="935" t="n"/>
      <c r="R34" s="935" t="n"/>
      <c r="S34" s="935" t="n"/>
      <c r="T34" s="935" t="n"/>
      <c r="U34" s="935" t="n"/>
      <c r="V34" s="935" t="n"/>
    </row>
    <row r="35" ht="12.75" customHeight="1">
      <c r="A35" s="655" t="n"/>
      <c r="B35" s="477" t="inlineStr">
        <is>
          <t>Notes</t>
        </is>
      </c>
      <c r="C35" s="936" t="inlineStr">
        <is>
          <t>AA#04</t>
        </is>
      </c>
      <c r="D35" s="937" t="n"/>
      <c r="E35" s="937" t="n"/>
      <c r="F35" s="937" t="n"/>
      <c r="G35" s="938" t="n"/>
      <c r="H35" s="939" t="n"/>
      <c r="I35" s="479" t="n"/>
      <c r="J35" s="480" t="n"/>
    </row>
    <row r="36" ht="12.75" customHeight="1">
      <c r="A36" s="655" t="n"/>
      <c r="B36" s="479" t="n"/>
      <c r="C36" s="940" t="n"/>
      <c r="D36" s="941" t="n"/>
      <c r="E36" s="941" t="n"/>
      <c r="F36" s="941" t="n"/>
      <c r="G36" s="942" t="n"/>
      <c r="H36" s="939" t="n"/>
      <c r="I36" s="479" t="n"/>
      <c r="J36" s="480" t="n"/>
    </row>
    <row r="37" ht="12.75" customHeight="1" thickBot="1">
      <c r="A37" s="655" t="n"/>
      <c r="B37" s="479" t="n"/>
      <c r="C37" s="943" t="n"/>
      <c r="D37" s="944" t="n"/>
      <c r="E37" s="944" t="n"/>
      <c r="F37" s="944" t="n"/>
      <c r="G37" s="945" t="n"/>
      <c r="H37" s="939" t="n"/>
      <c r="I37" s="479" t="n"/>
      <c r="J37" s="480" t="n"/>
    </row>
    <row r="38" ht="12.75" customHeight="1">
      <c r="A38" s="539" t="n"/>
      <c r="E38" s="57" t="n"/>
      <c r="F38" s="57" t="n"/>
      <c r="G38" s="57" t="n"/>
      <c r="H38" s="57" t="n"/>
      <c r="I38" s="57" t="n"/>
      <c r="J38" s="57" t="n"/>
      <c r="K38" s="57" t="n"/>
      <c r="L38" s="57" t="n"/>
      <c r="M38" s="57" t="n"/>
    </row>
    <row r="39" ht="12.75" customHeight="1">
      <c r="A39" s="655" t="n"/>
    </row>
    <row r="40" ht="12.75" customHeight="1" thickBot="1">
      <c r="A40" s="655" t="n"/>
      <c r="C40" s="58" t="inlineStr">
        <is>
          <t>调整汇总表</t>
        </is>
      </c>
      <c r="D40" s="59" t="inlineStr">
        <is>
          <t>如不适用请删除</t>
        </is>
      </c>
      <c r="E40" s="19" t="n"/>
      <c r="F40" s="19" t="n"/>
    </row>
    <row r="41" ht="12.75" customHeight="1">
      <c r="A41" s="655" t="n"/>
      <c r="C41" s="946" t="n"/>
      <c r="D41" s="937" t="n"/>
      <c r="E41" s="937" t="n"/>
      <c r="F41" s="938" t="n"/>
    </row>
    <row r="42" ht="12.75" customHeight="1">
      <c r="A42" s="539" t="n"/>
      <c r="C42" s="940" t="n"/>
      <c r="D42" s="941" t="n"/>
      <c r="E42" s="941" t="n"/>
      <c r="F42" s="942" t="n"/>
    </row>
    <row r="43" ht="12.75" customHeight="1" thickBot="1">
      <c r="A43" s="539" t="n"/>
      <c r="C43" s="943" t="n"/>
      <c r="D43" s="944" t="n"/>
      <c r="E43" s="944" t="n"/>
      <c r="F43" s="945" t="n"/>
    </row>
    <row r="44" ht="12.75" customHeight="1">
      <c r="A44" s="539" t="n"/>
    </row>
    <row r="45" ht="12.75" customHeight="1">
      <c r="A45" s="659" t="n"/>
    </row>
    <row r="46" ht="12.75" customHeight="1">
      <c r="A46" s="659" t="n"/>
    </row>
    <row r="47" ht="12.75" customHeight="1">
      <c r="A47" s="659" t="n"/>
    </row>
    <row r="48" ht="12.75" customHeight="1">
      <c r="A48" s="659" t="n"/>
    </row>
    <row r="49" ht="12.75" customHeight="1">
      <c r="A49" s="659" t="n"/>
    </row>
    <row r="50" ht="12.75" customHeight="1">
      <c r="A50" s="659" t="n"/>
    </row>
    <row r="51" ht="12.75" customHeight="1">
      <c r="A51" s="659" t="n"/>
    </row>
    <row r="52" ht="12.75" customHeight="1">
      <c r="A52" s="659" t="n"/>
    </row>
    <row r="53" ht="12.75" customHeight="1">
      <c r="A53" s="659" t="n"/>
    </row>
    <row r="54" ht="12.75" customHeight="1">
      <c r="A54" s="659" t="n"/>
    </row>
    <row r="55" ht="12.75" customHeight="1">
      <c r="A55" s="659" t="n"/>
    </row>
    <row r="56" ht="12.75" customHeight="1">
      <c r="A56" s="659" t="n"/>
    </row>
    <row r="57" ht="12.75" customHeight="1">
      <c r="A57" s="659" t="n"/>
    </row>
    <row r="58" ht="12.75" customHeight="1">
      <c r="A58" s="659" t="n"/>
    </row>
    <row r="59" ht="12.75" customHeight="1">
      <c r="A59" s="659" t="n"/>
    </row>
    <row r="60" ht="12.75" customHeight="1">
      <c r="A60" s="659" t="n"/>
    </row>
    <row r="61" ht="12.75" customHeight="1">
      <c r="A61" s="659" t="n"/>
    </row>
    <row r="62" ht="12.75" customHeight="1">
      <c r="A62" s="659" t="n"/>
    </row>
    <row r="63" ht="12.75" customHeight="1">
      <c r="A63" s="659" t="n"/>
    </row>
    <row r="64" ht="12.75" customHeight="1">
      <c r="A64" s="659" t="n"/>
    </row>
    <row r="65" ht="12.75" customHeight="1">
      <c r="A65" s="659" t="n"/>
    </row>
    <row r="66" ht="12.75" customHeight="1">
      <c r="A66" s="659" t="n"/>
    </row>
    <row r="67" ht="12.75" customHeight="1">
      <c r="A67" s="659" t="n"/>
    </row>
    <row r="68" ht="12.75" customHeight="1">
      <c r="A68" s="659" t="n"/>
    </row>
    <row r="69" ht="12.75" customHeight="1">
      <c r="A69" s="659" t="n"/>
    </row>
    <row r="70" ht="12.75" customHeight="1">
      <c r="A70" s="659" t="n"/>
    </row>
    <row r="71" ht="12.75" customHeight="1">
      <c r="A71" s="659" t="n"/>
    </row>
    <row r="72" ht="12.75" customHeight="1">
      <c r="A72" s="659" t="n"/>
    </row>
    <row r="73" ht="12.75" customHeight="1">
      <c r="A73" s="659" t="n"/>
    </row>
    <row r="74" ht="12.75" customHeight="1">
      <c r="A74" s="659" t="n"/>
    </row>
    <row r="75" ht="12.75" customHeight="1">
      <c r="A75" s="659" t="n"/>
    </row>
    <row r="76" ht="12.75" customHeight="1">
      <c r="A76" s="659" t="n"/>
    </row>
    <row r="77" ht="12.75" customHeight="1">
      <c r="A77" s="659" t="n"/>
    </row>
    <row r="78" ht="12.75" customHeight="1">
      <c r="A78" s="659" t="n"/>
    </row>
    <row r="79" ht="12.75" customHeight="1">
      <c r="A79" s="659" t="n"/>
    </row>
    <row r="80" ht="12.75" customHeight="1">
      <c r="A80" s="659" t="n"/>
    </row>
    <row r="81" ht="12.75" customHeight="1">
      <c r="A81" s="659" t="n"/>
    </row>
    <row r="82" ht="12.75" customHeight="1">
      <c r="A82" s="659" t="n"/>
    </row>
    <row r="83" ht="12.75" customHeight="1">
      <c r="A83" s="659" t="n"/>
    </row>
    <row r="84" ht="12.75" customHeight="1">
      <c r="A84" s="659" t="n"/>
    </row>
    <row r="85" ht="12.75" customHeight="1">
      <c r="A85" s="659" t="n"/>
    </row>
    <row r="86" ht="12.75" customHeight="1">
      <c r="A86" s="659" t="n"/>
    </row>
    <row r="87" ht="12.75" customHeight="1">
      <c r="A87" s="659" t="n"/>
    </row>
    <row r="88" ht="12.75" customHeight="1">
      <c r="A88" s="659" t="n"/>
    </row>
    <row r="89" ht="12.75" customHeight="1">
      <c r="A89" s="659" t="n"/>
    </row>
    <row r="90" ht="12.75" customHeight="1">
      <c r="A90" s="659" t="n"/>
    </row>
    <row r="91" ht="12.75" customHeight="1">
      <c r="A91" s="659" t="n"/>
    </row>
    <row r="92" ht="12.75" customHeight="1">
      <c r="A92" s="659" t="n"/>
    </row>
    <row r="93" ht="12.75" customHeight="1">
      <c r="A93" s="659" t="n"/>
    </row>
    <row r="94" ht="12.75" customHeight="1">
      <c r="A94" s="659" t="n"/>
    </row>
    <row r="95" ht="12.75" customHeight="1">
      <c r="A95" s="659" t="n"/>
    </row>
    <row r="96" ht="12.75" customHeight="1">
      <c r="A96" s="659" t="n"/>
    </row>
    <row r="97" ht="12.75" customHeight="1">
      <c r="A97" s="659" t="n"/>
    </row>
    <row r="98" ht="12.75" customHeight="1">
      <c r="A98" s="659" t="n"/>
    </row>
    <row r="99" ht="12.75" customHeight="1">
      <c r="A99" s="659" t="n"/>
    </row>
    <row r="100" ht="12.75" customHeight="1">
      <c r="A100" s="659" t="n"/>
    </row>
    <row r="101" ht="12.75" customHeight="1">
      <c r="A101" s="659" t="n"/>
    </row>
    <row r="102" ht="12.75" customHeight="1">
      <c r="A102" s="659" t="n"/>
    </row>
    <row r="103" ht="12.75" customHeight="1">
      <c r="A103" s="659" t="n"/>
    </row>
    <row r="104" ht="12.75" customHeight="1">
      <c r="A104" s="659" t="n"/>
    </row>
    <row r="105" ht="12.75" customHeight="1">
      <c r="A105" s="659" t="n"/>
    </row>
    <row r="106" ht="12.75" customHeight="1">
      <c r="A106" s="659" t="n"/>
    </row>
    <row r="107" ht="12.75" customHeight="1">
      <c r="A107" s="659" t="n"/>
    </row>
    <row r="108" ht="12.75" customHeight="1">
      <c r="A108" s="659" t="n"/>
    </row>
    <row r="109" ht="12.75" customHeight="1">
      <c r="A109" s="659" t="n"/>
    </row>
    <row r="110" ht="12.75" customHeight="1">
      <c r="A110" s="659" t="n"/>
    </row>
    <row r="111" ht="12.75" customHeight="1">
      <c r="A111" s="659" t="n"/>
    </row>
    <row r="112" ht="12.75" customHeight="1">
      <c r="A112" s="659" t="n"/>
    </row>
    <row r="113" ht="12.75" customHeight="1">
      <c r="A113" s="659" t="n"/>
    </row>
    <row r="114" ht="12.75" customHeight="1">
      <c r="A114" s="659" t="n"/>
    </row>
    <row r="115" ht="12.75" customHeight="1">
      <c r="A115" s="659" t="n"/>
    </row>
    <row r="116" ht="12.75" customHeight="1">
      <c r="A116" s="659" t="n"/>
    </row>
    <row r="117" ht="12.75" customHeight="1">
      <c r="A117" s="659" t="n"/>
    </row>
    <row r="118" ht="12.75" customHeight="1">
      <c r="A118" s="659" t="n"/>
    </row>
    <row r="119" ht="12.75" customHeight="1">
      <c r="A119" s="659" t="n"/>
    </row>
    <row r="120" ht="12.75" customHeight="1">
      <c r="A120" s="659" t="n"/>
    </row>
    <row r="121" ht="12.75" customHeight="1">
      <c r="A121" s="659" t="n"/>
    </row>
    <row r="122" ht="12.75" customHeight="1">
      <c r="A122" s="659" t="n"/>
    </row>
    <row r="123" ht="12.75" customHeight="1">
      <c r="A123" s="659" t="n"/>
    </row>
    <row r="124" ht="12.75" customHeight="1">
      <c r="A124" s="659" t="n"/>
    </row>
    <row r="125" ht="12.75" customHeight="1">
      <c r="A125" s="659" t="n"/>
    </row>
    <row r="126" ht="12.75" customHeight="1">
      <c r="A126" s="659" t="n"/>
    </row>
    <row r="127" ht="12.75" customHeight="1">
      <c r="A127" s="659" t="n"/>
    </row>
    <row r="128" ht="12.75" customHeight="1">
      <c r="A128" s="659" t="n"/>
    </row>
    <row r="129" ht="12.75" customHeight="1">
      <c r="A129" s="659" t="n"/>
    </row>
    <row r="130" ht="12.75" customHeight="1">
      <c r="A130" s="659" t="n"/>
    </row>
    <row r="131" ht="12.75" customHeight="1">
      <c r="A131" s="659" t="n"/>
    </row>
    <row r="132" ht="12.75" customHeight="1">
      <c r="A132" s="659" t="n"/>
    </row>
    <row r="133" ht="12.75" customHeight="1">
      <c r="A133" s="659" t="n"/>
    </row>
    <row r="134" ht="12.75" customHeight="1">
      <c r="A134" s="659" t="n"/>
    </row>
    <row r="135" ht="12.75" customHeight="1">
      <c r="A135" s="659" t="n"/>
    </row>
    <row r="136" ht="12.75" customHeight="1">
      <c r="A136" s="659" t="n"/>
    </row>
    <row r="137" ht="12.75" customHeight="1">
      <c r="A137" s="659" t="n"/>
    </row>
    <row r="138" ht="12.75" customHeight="1">
      <c r="A138" s="659" t="n"/>
    </row>
    <row r="139" ht="12.75" customHeight="1">
      <c r="A139" s="659" t="n"/>
    </row>
    <row r="140" ht="12.75" customHeight="1">
      <c r="A140" s="659" t="n"/>
    </row>
    <row r="141" ht="12.75" customHeight="1">
      <c r="A141" s="659" t="n"/>
    </row>
  </sheetData>
  <mergeCells count="6">
    <mergeCell ref="D8:F8"/>
    <mergeCell ref="D9:F9"/>
    <mergeCell ref="C13:G15"/>
    <mergeCell ref="D7:F7"/>
    <mergeCell ref="C35:G37"/>
    <mergeCell ref="C41:F43"/>
  </mergeCells>
  <conditionalFormatting sqref="C13:G15 C35:G37 C41:F43 D18 G8:I9">
    <cfRule type="containsBlanks" priority="1" dxfId="0">
      <formula>LEN(TRIM(C8))=0</formula>
    </cfRule>
  </conditionalFormatting>
  <dataValidations count="2">
    <dataValidation sqref="H8:H9" showDropDown="0" showInputMessage="1" showErrorMessage="0" allowBlank="1" type="list">
      <formula1>"是,否"</formula1>
    </dataValidation>
    <dataValidation sqref="I8:I9" showDropDown="0" showInputMessage="1" showErrorMessage="0" allowBlank="1" type="list">
      <formula1>"是,不适用"</formula1>
    </dataValidation>
  </dataValidations>
  <hyperlinks>
    <hyperlink ref="J2" location="汇总!A1" display="返回汇总页"/>
    <hyperlink ref="U21" location="汇总!A1" display="返回汇总页"/>
    <hyperlink ref="D22" location="Uexp制造费用BKD!A1" display="Uexp制造费用BKD"/>
    <hyperlink ref="D23" location="Uexp研发费用BKD!A1" display="Uexp研发费用BKD"/>
    <hyperlink ref="D24" location="Uexp财务费用BKD!A1" display="Uexp财务费用BKD"/>
    <hyperlink ref="D25" location="Uexp其他收益BKD!A1" display="Uexp其他收益BKD"/>
    <hyperlink ref="D26" location="Uexp投资收益BKD!A1" display="Uexp投资收益BKD"/>
    <hyperlink ref="D27" location="Uexp公允价值变动损益BKD!A1" display="Uexp公允价值变动损益BKD"/>
    <hyperlink ref="D28" location="Uexp信用减值损失BKD!A1" display="Uexp信用减值损失BKD"/>
    <hyperlink ref="D29" location="Uexp资产减值损失BKD!A1" display="Uexp资产减值损失BKD"/>
    <hyperlink ref="D30" location="Uexp资产处置损益BKD!A1" display="Uexp资产处置损益BKD"/>
    <hyperlink ref="D31" location="Uexp营业外收入BKD!A1" display="Uexp营业外收入BKD"/>
    <hyperlink ref="D32" location="Uexp营业外支出BKD!A1" display="Uexp营业外支出BKD"/>
    <hyperlink ref="D33" location="Uexp债务重组利得和损失BKD!A1" display="Uexp债务重组利得和损失BKD"/>
  </hyperlinks>
  <pageMargins left="0.7479166" right="0.7479166" top="0.9840278" bottom="0.9840278" header="0.5118055" footer="0.5118055"/>
  <pageSetup orientation="landscape" paperSize="9" errors="blank"/>
</worksheet>
</file>

<file path=xl/worksheets/sheet3.xml><?xml version="1.0" encoding="utf-8"?>
<worksheet xmlns="http://schemas.openxmlformats.org/spreadsheetml/2006/main">
  <sheetPr codeName="Sheet3">
    <outlinePr summaryBelow="1" summaryRight="1"/>
    <pageSetUpPr/>
  </sheetPr>
  <dimension ref="A1:DX104"/>
  <sheetViews>
    <sheetView showGridLines="0" zoomScale="70" zoomScaleNormal="70" workbookViewId="0">
      <selection activeCell="P36" sqref="P36"/>
    </sheetView>
  </sheetViews>
  <sheetFormatPr baseColWidth="8" defaultColWidth="9.5703125" defaultRowHeight="12.6" customHeight="1" outlineLevelRow="1"/>
  <cols>
    <col width="0.140625" customWidth="1" style="88" min="1" max="1"/>
    <col width="5.85546875" customWidth="1" style="17" min="2" max="2"/>
    <col width="41.42578125" customWidth="1" style="17" min="3" max="3"/>
    <col width="45.28515625" customWidth="1" style="17" min="4" max="4"/>
    <col width="54.85546875" customWidth="1" style="17" min="5" max="5"/>
    <col width="18.42578125" customWidth="1" style="17" min="6" max="6"/>
    <col width="21.28515625" customWidth="1" style="17" min="7" max="7"/>
    <col width="18.85546875" customWidth="1" style="17" min="8" max="8"/>
    <col width="18.7109375" customWidth="1" style="17" min="9" max="9"/>
    <col width="22.5703125" customWidth="1" style="17" min="10" max="10"/>
    <col outlineLevel="1" width="21.42578125" customWidth="1" style="17" min="11" max="11"/>
    <col outlineLevel="1" width="13.140625" customWidth="1" style="17" min="12" max="12"/>
    <col width="13.140625" customWidth="1" style="17" min="13" max="13"/>
    <col width="15.85546875" customWidth="1" style="17" min="14" max="14"/>
    <col width="14.85546875" customWidth="1" style="17" min="15" max="15"/>
    <col width="17.85546875" customWidth="1" style="17" min="16" max="16"/>
    <col width="10.5703125" customWidth="1" style="17" min="17" max="17"/>
    <col width="8.7109375" customWidth="1" style="17" min="18" max="25"/>
    <col width="14" customWidth="1" style="17" min="26" max="27"/>
    <col width="8.7109375" customWidth="1" style="17" min="28" max="34"/>
    <col width="7.5703125" customWidth="1" style="17" min="35" max="35"/>
    <col width="8.85546875" customWidth="1" style="17" min="36" max="36"/>
    <col width="9.5703125" customWidth="1" style="17" min="37" max="16384"/>
  </cols>
  <sheetData>
    <row r="1" ht="12.75" customHeight="1">
      <c r="A1" s="544" t="inlineStr">
        <is>
          <t>750d443c-76ce-4b04-9a77-da842ea2cc9b</t>
        </is>
      </c>
      <c r="CS1" s="60" t="n"/>
      <c r="CT1" s="13" t="n"/>
      <c r="CU1" s="13" t="n"/>
      <c r="CV1" s="61" t="n"/>
      <c r="CW1" s="62" t="n"/>
      <c r="CX1" s="62" t="n"/>
      <c r="CY1" s="62" t="n"/>
      <c r="CZ1" s="62" t="n"/>
      <c r="DA1" s="62" t="n"/>
      <c r="DB1" s="13" t="n"/>
      <c r="DC1" s="62" t="n"/>
      <c r="DD1" s="13" t="n"/>
      <c r="DE1" s="62" t="n"/>
      <c r="DF1" s="62" t="n"/>
      <c r="DG1" s="62" t="n"/>
      <c r="DH1" s="62" t="n"/>
      <c r="DI1" s="62" t="n"/>
      <c r="DJ1" s="62" t="n"/>
      <c r="DK1" s="13" t="n"/>
      <c r="DL1" s="63" t="n"/>
      <c r="DM1" s="64" t="n"/>
      <c r="DN1" s="65" t="n"/>
      <c r="DO1" s="65" t="n"/>
      <c r="DP1" s="13" t="n"/>
      <c r="DQ1" s="62" t="n"/>
      <c r="DR1" s="66" t="n"/>
      <c r="DS1" s="67" t="n"/>
      <c r="DT1" s="62" t="n"/>
      <c r="DU1" s="68" t="n"/>
    </row>
    <row r="2" ht="17.1" customFormat="1" customHeight="1" s="9">
      <c r="A2" s="539" t="n"/>
      <c r="C2" s="473" t="n"/>
      <c r="J2" s="48" t="inlineStr">
        <is>
          <t>返回汇总页</t>
        </is>
      </c>
    </row>
    <row r="3" ht="12.6" customHeight="1" thickBot="1">
      <c r="A3" s="544" t="n"/>
      <c r="CP3" s="62" t="n"/>
      <c r="CQ3" s="13" t="n"/>
      <c r="CR3" s="13" t="n"/>
      <c r="CS3" s="62" t="n"/>
      <c r="CT3" s="62" t="n"/>
      <c r="CU3" s="62" t="n"/>
      <c r="CV3" s="62" t="n"/>
      <c r="CW3" s="62" t="n"/>
      <c r="CX3" s="62" t="n"/>
      <c r="CY3" s="62" t="n"/>
      <c r="CZ3" s="62" t="n"/>
      <c r="DA3" s="13" t="n"/>
      <c r="DB3" s="62" t="n"/>
      <c r="DC3" s="62" t="n"/>
      <c r="DD3" s="62" t="n"/>
      <c r="DE3" s="62" t="n"/>
      <c r="DF3" s="62" t="n"/>
      <c r="DG3" s="13" t="n"/>
      <c r="DH3" s="13" t="n"/>
      <c r="DI3" s="13" t="n"/>
      <c r="DJ3" s="13" t="n"/>
      <c r="DK3" s="13" t="n"/>
      <c r="DL3" s="13" t="n"/>
      <c r="DM3" s="13" t="n"/>
      <c r="DN3" s="13" t="n"/>
      <c r="DO3" s="13" t="n"/>
      <c r="DP3" s="107" t="n"/>
      <c r="DQ3" s="62" t="n"/>
      <c r="DR3" s="68" t="n"/>
    </row>
    <row r="4" ht="21" customHeight="1">
      <c r="A4" s="544" t="n"/>
      <c r="C4" s="742" t="inlineStr">
        <is>
          <t>目标</t>
        </is>
      </c>
      <c r="D4" s="743" t="n"/>
      <c r="E4" s="743" t="n"/>
      <c r="F4" s="743" t="n"/>
      <c r="G4" s="743" t="n"/>
      <c r="H4" s="743" t="n"/>
      <c r="I4" s="743" t="n"/>
      <c r="J4" s="744" t="n"/>
      <c r="K4" s="70" t="n"/>
      <c r="L4" s="70" t="n"/>
      <c r="M4" s="70" t="n"/>
      <c r="CT4" s="13" t="n"/>
      <c r="CU4" s="13" t="n"/>
      <c r="CV4" s="13" t="n"/>
      <c r="CW4" s="62" t="n"/>
      <c r="CX4" s="62" t="n"/>
      <c r="CY4" s="62" t="n"/>
      <c r="CZ4" s="62" t="n"/>
      <c r="DA4" s="62" t="n"/>
      <c r="DB4" s="62" t="n"/>
      <c r="DC4" s="62" t="n"/>
      <c r="DD4" s="62" t="n"/>
      <c r="DE4" s="13" t="n"/>
      <c r="DF4" s="62" t="n"/>
      <c r="DG4" s="62" t="n"/>
      <c r="DH4" s="62" t="n"/>
      <c r="DI4" s="62" t="n"/>
      <c r="DJ4" s="62" t="n"/>
      <c r="DK4" s="13" t="n"/>
      <c r="DL4" s="13" t="n"/>
      <c r="DM4" s="13" t="n"/>
      <c r="DN4" s="13" t="n"/>
      <c r="DO4" s="13" t="n"/>
      <c r="DP4" s="13" t="n"/>
      <c r="DQ4" s="13" t="n"/>
      <c r="DR4" s="13" t="n"/>
      <c r="DS4" s="13" t="n"/>
      <c r="DT4" s="107" t="n"/>
      <c r="DU4" s="13" t="n"/>
      <c r="DV4" s="13" t="n"/>
    </row>
    <row r="5" ht="19.5" customHeight="1">
      <c r="A5" s="544" t="n"/>
      <c r="C5" s="71" t="inlineStr">
        <is>
          <t>1.通过执行分析和调查两期的制造费用重大变动来确定其变动是否合理。</t>
        </is>
      </c>
      <c r="D5" s="72" t="n"/>
      <c r="E5" s="72" t="n"/>
      <c r="F5" s="72" t="n"/>
      <c r="G5" s="72" t="n"/>
      <c r="H5" s="72" t="n"/>
      <c r="I5" s="72" t="n"/>
      <c r="J5" s="73" t="n"/>
      <c r="K5" s="70" t="n"/>
      <c r="L5" s="838" t="n"/>
      <c r="M5" s="838" t="n"/>
      <c r="N5" s="838" t="n"/>
      <c r="O5" s="837" t="n"/>
      <c r="CT5" s="13" t="n"/>
      <c r="CU5" s="13" t="n"/>
      <c r="CV5" s="947" t="n"/>
      <c r="CW5" s="62" t="n"/>
      <c r="CX5" s="62" t="n"/>
      <c r="CY5" s="62" t="n"/>
      <c r="CZ5" s="62" t="n"/>
      <c r="DA5" s="62" t="n"/>
      <c r="DB5" s="62" t="n"/>
      <c r="DC5" s="62" t="n"/>
      <c r="DD5" s="62" t="n"/>
      <c r="DE5" s="13" t="n"/>
      <c r="DF5" s="62" t="n"/>
      <c r="DG5" s="62" t="n"/>
      <c r="DH5" s="62" t="n"/>
      <c r="DI5" s="62" t="n"/>
      <c r="DJ5" s="62" t="n"/>
      <c r="DK5" s="13" t="n"/>
      <c r="DL5" s="13" t="n"/>
      <c r="DM5" s="13" t="n"/>
      <c r="DN5" s="13" t="n"/>
      <c r="DO5" s="13" t="n"/>
      <c r="DP5" s="13" t="n"/>
      <c r="DQ5" s="13" t="n"/>
      <c r="DR5" s="13" t="n"/>
      <c r="DS5" s="13" t="n"/>
      <c r="DT5" s="107" t="n"/>
      <c r="DU5" s="13" t="n"/>
      <c r="DV5" s="13" t="n"/>
    </row>
    <row r="6" ht="17.25" customHeight="1">
      <c r="A6" s="544" t="n"/>
      <c r="C6" s="71" t="inlineStr">
        <is>
          <t>2.明细账金额、科目余额表中的金额是否一致，对重大不一致调查其调节项的性质及原因。</t>
        </is>
      </c>
      <c r="D6" s="72" t="n"/>
      <c r="E6" s="72" t="n"/>
      <c r="F6" s="72" t="n"/>
      <c r="G6" s="72" t="n"/>
      <c r="H6" s="72" t="n"/>
      <c r="I6" s="72" t="n"/>
      <c r="J6" s="73" t="n"/>
      <c r="K6" s="70" t="n"/>
      <c r="CT6" s="13" t="n"/>
      <c r="CU6" s="947" t="n"/>
      <c r="CV6" s="947" t="n"/>
      <c r="CW6" s="62" t="n"/>
      <c r="CX6" s="62" t="n"/>
      <c r="CY6" s="62" t="n"/>
      <c r="CZ6" s="62" t="n"/>
      <c r="DA6" s="62" t="n"/>
      <c r="DB6" s="62" t="n"/>
      <c r="DC6" s="62" t="n"/>
      <c r="DD6" s="62" t="n"/>
      <c r="DE6" s="947" t="n"/>
      <c r="DF6" s="62" t="n"/>
      <c r="DG6" s="62" t="n"/>
      <c r="DH6" s="62" t="n"/>
      <c r="DI6" s="62" t="n"/>
      <c r="DJ6" s="62" t="n"/>
      <c r="DK6" s="947" t="n"/>
      <c r="DL6" s="13" t="n"/>
      <c r="DM6" s="13" t="n"/>
      <c r="DN6" s="13" t="n"/>
      <c r="DO6" s="13" t="n"/>
      <c r="DP6" s="13" t="n"/>
      <c r="DQ6" s="947" t="n"/>
      <c r="DR6" s="947" t="n"/>
      <c r="DS6" s="947" t="n"/>
      <c r="DT6" s="75" t="n"/>
      <c r="DU6" s="13" t="n"/>
      <c r="DV6" s="13" t="n"/>
    </row>
    <row r="7" ht="12.6" customHeight="1">
      <c r="A7" s="544" t="n"/>
      <c r="C7" s="71" t="n"/>
      <c r="D7" s="72" t="n"/>
      <c r="E7" s="72" t="n"/>
      <c r="F7" s="72" t="n"/>
      <c r="G7" s="72" t="n"/>
      <c r="H7" s="72" t="n"/>
      <c r="I7" s="72" t="n"/>
      <c r="J7" s="73" t="n"/>
      <c r="K7" s="70" t="n"/>
      <c r="L7" s="76" t="n"/>
      <c r="M7" s="77" t="n"/>
      <c r="N7" s="77" t="n"/>
      <c r="O7" s="77" t="n"/>
      <c r="CT7" s="13" t="n"/>
      <c r="CU7" s="947" t="n"/>
      <c r="CV7" s="947" t="n"/>
      <c r="CW7" s="62" t="n"/>
      <c r="CX7" s="62" t="n"/>
      <c r="CY7" s="62" t="n"/>
      <c r="CZ7" s="62" t="n"/>
      <c r="DA7" s="62" t="n"/>
      <c r="DB7" s="62" t="n"/>
      <c r="DC7" s="62" t="n"/>
      <c r="DD7" s="62" t="n"/>
      <c r="DE7" s="947" t="n"/>
      <c r="DF7" s="62" t="n"/>
      <c r="DG7" s="62" t="n"/>
      <c r="DH7" s="62" t="n"/>
      <c r="DI7" s="62" t="n"/>
      <c r="DJ7" s="62" t="n"/>
      <c r="DK7" s="947" t="n"/>
      <c r="DL7" s="13" t="n"/>
      <c r="DM7" s="13" t="n"/>
      <c r="DN7" s="13" t="n"/>
      <c r="DO7" s="13" t="n"/>
      <c r="DP7" s="13" t="n"/>
      <c r="DQ7" s="947" t="n"/>
      <c r="DR7" s="947" t="n"/>
      <c r="DS7" s="947" t="n"/>
      <c r="DT7" s="75" t="n"/>
      <c r="DU7" s="13" t="n"/>
      <c r="DV7" s="13" t="n"/>
    </row>
    <row r="8" ht="21" customHeight="1">
      <c r="A8" s="665" t="n"/>
      <c r="C8" s="513" t="inlineStr">
        <is>
          <t>序号</t>
        </is>
      </c>
      <c r="D8" s="899" t="inlineStr">
        <is>
          <t>执行的程序</t>
        </is>
      </c>
      <c r="E8" s="900" t="n"/>
      <c r="F8" s="901" t="n"/>
      <c r="G8" s="505" t="inlineStr">
        <is>
          <t>程序表</t>
        </is>
      </c>
      <c r="H8" s="507" t="inlineStr">
        <is>
          <t>预审完成</t>
        </is>
      </c>
      <c r="I8" s="507" t="inlineStr">
        <is>
          <t>年审完成</t>
        </is>
      </c>
      <c r="J8" s="514" t="inlineStr">
        <is>
          <t>执行注意事项</t>
        </is>
      </c>
      <c r="K8" s="78" t="n"/>
      <c r="L8" s="70" t="n"/>
      <c r="M8" s="70" t="n"/>
      <c r="N8" s="70" t="n"/>
      <c r="CU8" s="79" t="n"/>
      <c r="CV8" s="79" t="n"/>
      <c r="CW8" s="79" t="n"/>
      <c r="CX8" s="62" t="n"/>
      <c r="CY8" s="62" t="n"/>
      <c r="CZ8" s="62" t="n"/>
      <c r="DA8" s="62" t="n"/>
      <c r="DB8" s="62" t="n"/>
      <c r="DC8" s="62" t="n"/>
      <c r="DD8" s="62" t="n"/>
      <c r="DE8" s="62" t="n"/>
      <c r="DF8" s="79" t="n"/>
      <c r="DG8" s="62" t="n"/>
      <c r="DH8" s="62" t="n"/>
      <c r="DI8" s="62" t="n"/>
      <c r="DJ8" s="62" t="n"/>
      <c r="DK8" s="62" t="n"/>
      <c r="DL8" s="79" t="n"/>
      <c r="DM8" s="947" t="n"/>
      <c r="DN8" s="947" t="n"/>
      <c r="DO8" s="947" t="n"/>
      <c r="DP8" s="947" t="n"/>
      <c r="DQ8" s="947" t="n"/>
      <c r="DR8" s="79" t="n"/>
      <c r="DS8" s="79" t="n"/>
      <c r="DT8" s="79" t="n"/>
      <c r="DU8" s="75" t="n"/>
      <c r="DV8" s="79" t="n"/>
      <c r="DW8" s="80" t="n"/>
    </row>
    <row r="9" outlineLevel="1" ht="40.5" customHeight="1">
      <c r="A9" s="665" t="n"/>
      <c r="C9" s="515" t="n">
        <v>1</v>
      </c>
      <c r="D9" s="948" t="inlineStr">
        <is>
          <t>从管理层处取得本期制造费用账户的明细。</t>
        </is>
      </c>
      <c r="E9" s="900" t="n"/>
      <c r="F9" s="901" t="n"/>
      <c r="G9" s="560" t="inlineStr">
        <is>
          <t>表1</t>
        </is>
      </c>
      <c r="H9" s="903" t="inlineStr">
        <is>
          <t>是</t>
        </is>
      </c>
      <c r="I9" s="904" t="n"/>
      <c r="J9" s="584" t="n"/>
      <c r="K9" s="78" t="n"/>
      <c r="L9" s="78" t="n"/>
      <c r="M9" s="81" t="n"/>
      <c r="N9" s="81" t="n"/>
      <c r="O9" s="81" t="n"/>
      <c r="CV9" s="947" t="n"/>
      <c r="CW9" s="79" t="n"/>
      <c r="CX9" s="947" t="n"/>
      <c r="CY9" s="62" t="n"/>
      <c r="CZ9" s="62" t="n"/>
      <c r="DA9" s="62" t="n"/>
      <c r="DB9" s="62" t="n"/>
      <c r="DC9" s="62" t="n"/>
      <c r="DD9" s="62" t="n"/>
      <c r="DE9" s="62" t="n"/>
      <c r="DF9" s="62" t="n"/>
      <c r="DG9" s="79" t="n"/>
      <c r="DH9" s="62" t="n"/>
      <c r="DI9" s="62" t="n"/>
      <c r="DJ9" s="62" t="n"/>
      <c r="DK9" s="62" t="n"/>
      <c r="DL9" s="62" t="n"/>
      <c r="DM9" s="79" t="n"/>
      <c r="DN9" s="79" t="n"/>
      <c r="DO9" s="79" t="n"/>
      <c r="DP9" s="79" t="n"/>
      <c r="DQ9" s="79" t="n"/>
      <c r="DR9" s="79" t="n"/>
      <c r="DS9" s="79" t="n"/>
      <c r="DT9" s="79" t="n"/>
      <c r="DU9" s="79" t="n"/>
      <c r="DV9" s="75" t="n"/>
      <c r="DW9" s="947" t="n"/>
      <c r="DX9" s="949" t="n"/>
    </row>
    <row r="10" outlineLevel="1" ht="61.35" customHeight="1">
      <c r="A10" s="665" t="n"/>
      <c r="C10" s="515" t="n">
        <v>2</v>
      </c>
      <c r="D10" s="948" t="inlineStr">
        <is>
          <t>对比当期金额和上期金额，调查变动大于范围或与预期不符的变动情况。并就异常事项检查记账凭证、合同等支持性证据，评估其发生的合理性。</t>
        </is>
      </c>
      <c r="E10" s="900" t="n"/>
      <c r="F10" s="901" t="n"/>
      <c r="G10" s="560" t="inlineStr">
        <is>
          <t>表1</t>
        </is>
      </c>
      <c r="H10" s="903" t="inlineStr">
        <is>
          <t>是</t>
        </is>
      </c>
      <c r="I10" s="904" t="n"/>
      <c r="J10" s="584" t="n"/>
      <c r="K10" s="78" t="n"/>
      <c r="L10" s="78" t="n"/>
      <c r="M10" s="81" t="n"/>
      <c r="N10" s="81" t="n"/>
      <c r="O10" s="81" t="n"/>
      <c r="CV10" s="947" t="n"/>
      <c r="CW10" s="79" t="n"/>
      <c r="CX10" s="947" t="n"/>
      <c r="CY10" s="62" t="n"/>
      <c r="CZ10" s="62" t="n"/>
      <c r="DA10" s="62" t="n"/>
      <c r="DB10" s="62" t="n"/>
      <c r="DC10" s="62" t="n"/>
      <c r="DD10" s="62" t="n"/>
      <c r="DE10" s="62" t="n"/>
      <c r="DF10" s="62" t="n"/>
      <c r="DG10" s="79" t="n"/>
      <c r="DH10" s="62" t="n"/>
      <c r="DI10" s="62" t="n"/>
      <c r="DJ10" s="62" t="n"/>
      <c r="DK10" s="62" t="n"/>
      <c r="DL10" s="62" t="n"/>
      <c r="DM10" s="79" t="n"/>
      <c r="DN10" s="79" t="n"/>
      <c r="DO10" s="79" t="n"/>
      <c r="DP10" s="79" t="n"/>
      <c r="DQ10" s="79" t="n"/>
      <c r="DR10" s="79" t="n"/>
      <c r="DS10" s="79" t="n"/>
      <c r="DT10" s="79" t="n"/>
      <c r="DU10" s="79" t="n"/>
      <c r="DV10" s="75" t="n"/>
      <c r="DW10" s="947" t="n"/>
      <c r="DX10" s="949" t="n"/>
    </row>
    <row r="11" outlineLevel="1" ht="39.6" customHeight="1">
      <c r="A11" s="665" t="n"/>
      <c r="C11" s="515" t="n">
        <v>3</v>
      </c>
      <c r="D11" s="902" t="inlineStr">
        <is>
          <t>将明细账与生产成本-制造费用进行核对，并对差异大于SAD的项目进行调查。</t>
        </is>
      </c>
      <c r="E11" s="900" t="n"/>
      <c r="F11" s="901" t="n"/>
      <c r="G11" s="560" t="inlineStr">
        <is>
          <t>表1</t>
        </is>
      </c>
      <c r="H11" s="903" t="inlineStr">
        <is>
          <t>是</t>
        </is>
      </c>
      <c r="I11" s="904" t="n"/>
      <c r="J11" s="584" t="n"/>
      <c r="K11" s="78" t="n"/>
      <c r="L11" s="78" t="n"/>
      <c r="M11" s="70" t="n"/>
      <c r="N11" s="70" t="n"/>
      <c r="O11" s="70" t="n"/>
      <c r="CV11" s="79" t="n"/>
      <c r="CW11" s="947" t="n"/>
      <c r="CX11" s="83" t="n"/>
      <c r="CY11" s="62" t="n"/>
      <c r="CZ11" s="62" t="n"/>
      <c r="DA11" s="62" t="n"/>
      <c r="DB11" s="62" t="n"/>
      <c r="DC11" s="62" t="n"/>
      <c r="DD11" s="62" t="n"/>
      <c r="DE11" s="62" t="n"/>
      <c r="DF11" s="62" t="n"/>
      <c r="DG11" s="947" t="n"/>
      <c r="DH11" s="62" t="n"/>
      <c r="DI11" s="62" t="n"/>
      <c r="DJ11" s="62" t="n"/>
      <c r="DK11" s="62" t="n"/>
      <c r="DL11" s="62" t="n"/>
      <c r="DM11" s="947" t="n"/>
      <c r="DN11" s="79" t="n"/>
      <c r="DO11" s="79" t="n"/>
      <c r="DP11" s="79" t="n"/>
      <c r="DQ11" s="79" t="n"/>
      <c r="DR11" s="79" t="n"/>
      <c r="DS11" s="947" t="n"/>
      <c r="DT11" s="947" t="n"/>
      <c r="DU11" s="947" t="n"/>
      <c r="DV11" s="75" t="n"/>
      <c r="DW11" s="79" t="n"/>
      <c r="DX11" s="79" t="n"/>
    </row>
    <row r="12" outlineLevel="1" ht="71.09999999999999" customHeight="1">
      <c r="A12" s="665" t="n"/>
      <c r="C12" s="515" t="n">
        <v>4</v>
      </c>
      <c r="D12" s="948" t="inlineStr">
        <is>
          <t>对于单项金额重大的制造费用，需要获取该单项费用的组成明细，需要获取支持性文件如合同等，在必要时进行费用测试。</t>
        </is>
      </c>
      <c r="E12" s="900" t="n"/>
      <c r="F12" s="901" t="n"/>
      <c r="G12" s="510" t="inlineStr">
        <is>
          <t>TOD SWP U_Exp_Uexp.01 TOD年审</t>
        </is>
      </c>
      <c r="H12" s="903" t="inlineStr">
        <is>
          <t>是</t>
        </is>
      </c>
      <c r="I12" s="904" t="n"/>
      <c r="J12" s="584" t="n"/>
      <c r="K12" s="78" t="n"/>
      <c r="L12" s="78" t="n"/>
      <c r="M12" s="70" t="n"/>
      <c r="N12" s="70" t="n"/>
      <c r="O12" s="70" t="n"/>
      <c r="CV12" s="79" t="n"/>
      <c r="CW12" s="947" t="n"/>
      <c r="CX12" s="83" t="n"/>
      <c r="CY12" s="62" t="n"/>
      <c r="CZ12" s="62" t="n"/>
      <c r="DA12" s="62" t="n"/>
      <c r="DB12" s="62" t="n"/>
      <c r="DC12" s="62" t="n"/>
      <c r="DD12" s="62" t="n"/>
      <c r="DE12" s="62" t="n"/>
      <c r="DF12" s="62" t="n"/>
      <c r="DG12" s="947" t="n"/>
      <c r="DH12" s="62" t="n"/>
      <c r="DI12" s="62" t="n"/>
      <c r="DJ12" s="62" t="n"/>
      <c r="DK12" s="62" t="n"/>
      <c r="DL12" s="62" t="n"/>
      <c r="DM12" s="947" t="n"/>
      <c r="DN12" s="79" t="n"/>
      <c r="DO12" s="79" t="n"/>
      <c r="DP12" s="79" t="n"/>
      <c r="DQ12" s="79" t="n"/>
      <c r="DR12" s="79" t="n"/>
      <c r="DS12" s="947" t="n"/>
      <c r="DT12" s="947" t="n"/>
      <c r="DU12" s="947" t="n"/>
      <c r="DV12" s="75" t="n"/>
      <c r="DW12" s="79" t="n"/>
      <c r="DX12" s="79" t="n"/>
    </row>
    <row r="13" outlineLevel="1" ht="21" customHeight="1">
      <c r="A13" s="665" t="n"/>
      <c r="C13" s="515" t="n">
        <v>5</v>
      </c>
      <c r="D13" s="948" t="inlineStr">
        <is>
          <t>对调查任何异常交易，并基于综合风险评估和已确定的测试临界值测试交易。</t>
        </is>
      </c>
      <c r="E13" s="900" t="n"/>
      <c r="F13" s="901" t="n"/>
      <c r="G13" s="517" t="inlineStr">
        <is>
          <t>项目组自行设计</t>
        </is>
      </c>
      <c r="H13" s="903" t="inlineStr">
        <is>
          <t>是</t>
        </is>
      </c>
      <c r="I13" s="904" t="n"/>
      <c r="J13" s="584" t="n"/>
      <c r="K13" s="78" t="n"/>
      <c r="L13" s="78" t="n"/>
      <c r="M13" s="70" t="n"/>
      <c r="N13" s="70" t="n"/>
      <c r="O13" s="70" t="n"/>
      <c r="CV13" s="79" t="n"/>
      <c r="CW13" s="83" t="n"/>
      <c r="CX13" s="83" t="n"/>
      <c r="CY13" s="62" t="n"/>
      <c r="CZ13" s="62" t="n"/>
      <c r="DA13" s="62" t="n"/>
      <c r="DB13" s="62" t="n"/>
      <c r="DC13" s="62" t="n"/>
      <c r="DD13" s="62" t="n"/>
      <c r="DE13" s="62" t="n"/>
      <c r="DF13" s="62" t="n"/>
      <c r="DG13" s="83" t="n"/>
      <c r="DH13" s="62" t="n"/>
      <c r="DI13" s="62" t="n"/>
      <c r="DJ13" s="62" t="n"/>
      <c r="DK13" s="62" t="n"/>
      <c r="DL13" s="62" t="n"/>
      <c r="DM13" s="83" t="n"/>
      <c r="DN13" s="947" t="n"/>
      <c r="DO13" s="947" t="n"/>
      <c r="DP13" s="947" t="n"/>
      <c r="DQ13" s="947" t="n"/>
      <c r="DR13" s="947" t="n"/>
      <c r="DS13" s="83" t="n"/>
      <c r="DT13" s="83" t="n"/>
      <c r="DU13" s="83" t="n"/>
      <c r="DV13" s="107" t="n"/>
      <c r="DW13" s="79" t="n"/>
      <c r="DX13" s="80" t="n"/>
    </row>
    <row r="14" outlineLevel="1" ht="40.5" customHeight="1">
      <c r="A14" s="665" t="n"/>
      <c r="C14" s="515" t="n">
        <v>6</v>
      </c>
      <c r="D14" s="948" t="inlineStr">
        <is>
          <t>将费用科目中存在着勾稽关系的费用类型，同相应的其他科目金额进行核对X-ref</t>
        </is>
      </c>
      <c r="E14" s="900" t="n"/>
      <c r="F14" s="901" t="n"/>
      <c r="G14" s="560" t="inlineStr">
        <is>
          <t>表1</t>
        </is>
      </c>
      <c r="H14" s="903" t="inlineStr">
        <is>
          <t>是</t>
        </is>
      </c>
      <c r="I14" s="904" t="n"/>
      <c r="J14" s="584" t="n"/>
      <c r="K14" s="78" t="n"/>
      <c r="L14" s="78" t="n"/>
      <c r="M14" s="70" t="n"/>
      <c r="N14" s="70" t="n"/>
      <c r="O14" s="70" t="n"/>
      <c r="CV14" s="79" t="n"/>
      <c r="CW14" s="83" t="n"/>
      <c r="CX14" s="83" t="n"/>
      <c r="CY14" s="62" t="n"/>
      <c r="CZ14" s="62" t="n"/>
      <c r="DA14" s="62" t="n"/>
      <c r="DB14" s="62" t="n"/>
      <c r="DC14" s="62" t="n"/>
      <c r="DD14" s="62" t="n"/>
      <c r="DE14" s="62" t="n"/>
      <c r="DF14" s="62" t="n"/>
      <c r="DG14" s="83" t="n"/>
      <c r="DH14" s="62" t="n"/>
      <c r="DI14" s="62" t="n"/>
      <c r="DJ14" s="62" t="n"/>
      <c r="DK14" s="62" t="n"/>
      <c r="DL14" s="62" t="n"/>
      <c r="DM14" s="83" t="n"/>
      <c r="DN14" s="947" t="n"/>
      <c r="DO14" s="947" t="n"/>
      <c r="DP14" s="947" t="n"/>
      <c r="DQ14" s="947" t="n"/>
      <c r="DR14" s="947" t="n"/>
      <c r="DS14" s="83" t="n"/>
      <c r="DT14" s="83" t="n"/>
      <c r="DU14" s="83" t="n"/>
      <c r="DV14" s="107" t="n"/>
      <c r="DW14" s="79" t="n"/>
      <c r="DX14" s="80" t="n"/>
    </row>
    <row r="15" ht="18.75" customHeight="1" thickBot="1">
      <c r="A15" s="665" t="n"/>
      <c r="C15" s="84" t="n"/>
      <c r="D15" s="85" t="n"/>
      <c r="E15" s="85" t="n"/>
      <c r="F15" s="85" t="n"/>
      <c r="G15" s="85" t="n"/>
      <c r="H15" s="85" t="n"/>
      <c r="I15" s="85" t="n"/>
      <c r="J15" s="86" t="n"/>
      <c r="K15" s="70" t="n"/>
      <c r="L15" s="70" t="n"/>
      <c r="M15" s="70" t="n"/>
      <c r="CT15" s="79" t="n"/>
      <c r="CU15" s="83" t="n"/>
      <c r="CV15" s="83" t="n"/>
      <c r="CW15" s="62" t="n"/>
      <c r="CX15" s="62" t="n"/>
      <c r="CY15" s="62" t="n"/>
      <c r="CZ15" s="62" t="n"/>
      <c r="DA15" s="62" t="n"/>
      <c r="DB15" s="62" t="n"/>
      <c r="DC15" s="62" t="n"/>
      <c r="DD15" s="62" t="n"/>
      <c r="DE15" s="83" t="n"/>
      <c r="DF15" s="62" t="n"/>
      <c r="DG15" s="62" t="n"/>
      <c r="DH15" s="62" t="n"/>
      <c r="DI15" s="62" t="n"/>
      <c r="DJ15" s="62" t="n"/>
      <c r="DK15" s="83" t="n"/>
      <c r="DL15" s="947" t="n"/>
      <c r="DM15" s="947" t="n"/>
      <c r="DN15" s="947" t="n"/>
      <c r="DO15" s="947" t="n"/>
      <c r="DP15" s="947" t="n"/>
      <c r="DQ15" s="83" t="n"/>
      <c r="DR15" s="83" t="n"/>
      <c r="DS15" s="83" t="n"/>
      <c r="DT15" s="107" t="n"/>
      <c r="DU15" s="79" t="n"/>
      <c r="DV15" s="80" t="n"/>
    </row>
    <row r="16" ht="12.6" customHeight="1">
      <c r="A16" s="665" t="n"/>
      <c r="C16" s="87" t="n"/>
      <c r="CT16" s="13" t="n"/>
      <c r="CU16" s="13" t="n"/>
      <c r="CV16" s="13" t="n"/>
      <c r="CW16" s="62" t="n"/>
      <c r="CX16" s="62" t="n"/>
      <c r="CY16" s="62" t="n"/>
      <c r="CZ16" s="62" t="n"/>
      <c r="DA16" s="62" t="n"/>
      <c r="DB16" s="62" t="n"/>
      <c r="DC16" s="62" t="n"/>
      <c r="DD16" s="62" t="n"/>
      <c r="DE16" s="13" t="n"/>
      <c r="DF16" s="62" t="n"/>
      <c r="DG16" s="62" t="n"/>
      <c r="DH16" s="62" t="n"/>
      <c r="DI16" s="62" t="n"/>
      <c r="DJ16" s="62" t="n"/>
      <c r="DK16" s="13" t="n"/>
      <c r="DL16" s="13" t="n"/>
      <c r="DM16" s="13" t="n"/>
      <c r="DN16" s="13" t="n"/>
      <c r="DO16" s="13" t="n"/>
      <c r="DP16" s="13" t="n"/>
      <c r="DQ16" s="13" t="n"/>
      <c r="DR16" s="13" t="n"/>
      <c r="DS16" s="13" t="n"/>
      <c r="DT16" s="107" t="n"/>
      <c r="DU16" s="13" t="n"/>
      <c r="DV16" s="13" t="n"/>
    </row>
    <row r="17" ht="12.6" customHeight="1">
      <c r="A17" s="665" t="n"/>
      <c r="C17" s="87" t="n"/>
      <c r="CT17" s="13" t="n"/>
      <c r="CU17" s="13" t="n"/>
      <c r="CV17" s="13" t="n"/>
      <c r="CW17" s="62" t="n"/>
      <c r="CX17" s="62" t="n"/>
      <c r="CY17" s="62" t="n"/>
      <c r="CZ17" s="62" t="n"/>
      <c r="DA17" s="62" t="n"/>
      <c r="DB17" s="62" t="n"/>
      <c r="DC17" s="62" t="n"/>
      <c r="DD17" s="62" t="n"/>
      <c r="DE17" s="13" t="n"/>
      <c r="DF17" s="62" t="n"/>
      <c r="DG17" s="62" t="n"/>
      <c r="DH17" s="62" t="n"/>
      <c r="DI17" s="62" t="n"/>
      <c r="DJ17" s="62" t="n"/>
      <c r="DK17" s="13" t="n"/>
      <c r="DL17" s="13" t="n"/>
      <c r="DM17" s="13" t="n"/>
      <c r="DN17" s="13" t="n"/>
      <c r="DO17" s="13" t="n"/>
      <c r="DP17" s="13" t="n"/>
      <c r="DQ17" s="13" t="n"/>
      <c r="DR17" s="13" t="n"/>
      <c r="DS17" s="13" t="n"/>
      <c r="DT17" s="107" t="n"/>
      <c r="DU17" s="13" t="n"/>
      <c r="DV17" s="13"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50.25"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5" t="n"/>
      <c r="CT25" s="13" t="n"/>
      <c r="CU25" s="13" t="n"/>
      <c r="CV25" s="13" t="n"/>
      <c r="CW25" s="62" t="n"/>
      <c r="CX25" s="62" t="n"/>
      <c r="CY25" s="62" t="n"/>
      <c r="CZ25" s="62" t="n"/>
      <c r="DA25" s="62" t="n"/>
      <c r="DB25" s="62" t="n"/>
      <c r="DC25" s="62" t="n"/>
      <c r="DD25" s="62" t="n"/>
      <c r="DE25" s="13" t="n"/>
      <c r="DF25" s="62" t="n"/>
      <c r="DG25" s="62" t="n"/>
      <c r="DH25" s="62" t="n"/>
      <c r="DI25" s="62" t="n"/>
      <c r="DJ25" s="62" t="n"/>
      <c r="DK25" s="13" t="n"/>
      <c r="DL25" s="13" t="n"/>
      <c r="DM25" s="13" t="n"/>
      <c r="DN25" s="13" t="n"/>
      <c r="DO25" s="13" t="n"/>
      <c r="DP25" s="13" t="n"/>
      <c r="DQ25" s="13" t="n"/>
      <c r="DR25" s="13" t="n"/>
      <c r="DS25" s="13" t="n"/>
      <c r="DT25" s="107" t="n"/>
      <c r="DU25" s="13" t="n"/>
      <c r="DV25" s="13" t="n"/>
    </row>
    <row r="26" ht="12.6" customHeight="1">
      <c r="A26" s="665" t="n"/>
      <c r="C26" s="88"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CK26" s="13" t="n"/>
      <c r="CL26" s="13" t="n"/>
      <c r="CM26" s="13" t="n"/>
      <c r="CN26" s="62" t="n"/>
      <c r="CO26" s="62" t="n"/>
      <c r="CP26" s="62" t="n"/>
      <c r="CQ26" s="62" t="n"/>
      <c r="CR26" s="62" t="n"/>
      <c r="CS26" s="62" t="n"/>
      <c r="CT26" s="62" t="n"/>
      <c r="CU26" s="62" t="n"/>
      <c r="CV26" s="13" t="n"/>
      <c r="CW26" s="62" t="n"/>
      <c r="CX26" s="62" t="n"/>
      <c r="CY26" s="62" t="n"/>
      <c r="CZ26" s="62" t="n"/>
      <c r="DA26" s="62" t="n"/>
      <c r="DB26" s="13" t="n"/>
      <c r="DC26" s="13" t="n"/>
      <c r="DD26" s="13" t="n"/>
      <c r="DE26" s="13" t="n"/>
      <c r="DF26" s="13" t="n"/>
      <c r="DG26" s="13" t="n"/>
      <c r="DH26" s="13" t="n"/>
      <c r="DI26" s="13" t="n"/>
      <c r="DJ26" s="13" t="n"/>
      <c r="DK26" s="107" t="n"/>
      <c r="DL26" s="13" t="n"/>
      <c r="DM26" s="13" t="n"/>
    </row>
    <row r="27" ht="13.5" customHeight="1" thickBot="1">
      <c r="A27" s="665"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K27" s="13" t="n"/>
      <c r="CL27" s="13" t="n"/>
      <c r="CM27" s="13" t="n"/>
      <c r="CN27" s="62" t="n"/>
      <c r="CO27" s="62" t="n"/>
      <c r="CP27" s="62" t="n"/>
      <c r="CQ27" s="62" t="n"/>
      <c r="CR27" s="62" t="n"/>
      <c r="CS27" s="62" t="n"/>
      <c r="CT27" s="62" t="n"/>
      <c r="CU27" s="62" t="n"/>
      <c r="CV27" s="13" t="n"/>
      <c r="CW27" s="62" t="n"/>
      <c r="CX27" s="62" t="n"/>
      <c r="CY27" s="62" t="n"/>
      <c r="CZ27" s="62" t="n"/>
      <c r="DA27" s="62" t="n"/>
      <c r="DB27" s="13" t="n"/>
      <c r="DC27" s="13" t="n"/>
      <c r="DD27" s="13" t="n"/>
      <c r="DE27" s="13" t="n"/>
      <c r="DF27" s="13" t="n"/>
      <c r="DG27" s="13" t="n"/>
      <c r="DH27" s="13" t="n"/>
      <c r="DI27" s="13" t="n"/>
      <c r="DJ27" s="13" t="n"/>
      <c r="DK27" s="107" t="n"/>
      <c r="DL27" s="13" t="n"/>
      <c r="DM27" s="13" t="n"/>
    </row>
    <row r="28" ht="0.2" customHeight="1" thickBot="1">
      <c r="A28" s="665"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166" t="n"/>
      <c r="R28" s="591" t="n"/>
      <c r="S28" s="106" t="n"/>
      <c r="CK28" s="13" t="n"/>
      <c r="CL28" s="13" t="n"/>
      <c r="CM28" s="13" t="n"/>
      <c r="CN28" s="62" t="n"/>
      <c r="CO28" s="62" t="n"/>
      <c r="CP28" s="62" t="n"/>
      <c r="CQ28" s="62" t="n"/>
      <c r="CR28" s="62" t="n"/>
      <c r="CS28" s="62" t="n"/>
      <c r="CT28" s="62" t="n"/>
      <c r="CU28" s="62" t="n"/>
      <c r="CV28" s="13" t="n"/>
      <c r="CW28" s="62" t="n"/>
      <c r="CX28" s="62" t="n"/>
      <c r="CY28" s="62" t="n"/>
      <c r="CZ28" s="62" t="n"/>
      <c r="DA28" s="62" t="n"/>
      <c r="DB28" s="13" t="n"/>
      <c r="DC28" s="13" t="n"/>
      <c r="DD28" s="13" t="n"/>
      <c r="DE28" s="13" t="n"/>
      <c r="DF28" s="13" t="n"/>
      <c r="DG28" s="13" t="n"/>
      <c r="DH28" s="13" t="n"/>
      <c r="DI28" s="13" t="n"/>
      <c r="DJ28" s="13" t="n"/>
      <c r="DK28" s="107" t="n"/>
      <c r="DL28" s="13" t="n"/>
      <c r="DM28" s="13" t="n"/>
    </row>
    <row r="29" ht="13.35" customHeight="1">
      <c r="A29" s="665" t="n"/>
      <c r="B29" s="21" t="inlineStr">
        <is>
          <t>表1</t>
        </is>
      </c>
      <c r="C29" s="592" t="n"/>
      <c r="D29" s="747" t="n"/>
      <c r="E29" s="593" t="n"/>
      <c r="F29" s="482" t="n"/>
      <c r="G29" s="594" t="n"/>
      <c r="H29" s="594" t="n"/>
      <c r="I29" s="595" t="inlineStr">
        <is>
          <t>本期数</t>
        </is>
      </c>
      <c r="J29" s="594" t="n"/>
      <c r="K29" s="594" t="n"/>
      <c r="L29" s="594" t="n"/>
      <c r="M29" s="596" t="n"/>
      <c r="N29" s="597">
        <f>DATE(YEAR(汇总!$D$5)-1,12,31)</f>
        <v/>
      </c>
      <c r="O29" s="483" t="inlineStr">
        <is>
          <t>本期审定数与上期审定数比较</t>
        </is>
      </c>
      <c r="P29" s="598" t="n"/>
      <c r="Q29" s="647" t="n"/>
      <c r="R29" s="599" t="n"/>
      <c r="S29" s="106" t="n"/>
      <c r="CK29" s="13" t="n"/>
      <c r="CL29" s="13" t="n"/>
      <c r="CM29" s="13" t="n"/>
      <c r="CN29" s="62" t="n"/>
      <c r="CO29" s="62" t="n"/>
      <c r="CP29" s="62" t="n"/>
      <c r="CQ29" s="62" t="n"/>
      <c r="CR29" s="62" t="n"/>
      <c r="CS29" s="62" t="n"/>
      <c r="CT29" s="62" t="n"/>
      <c r="CU29" s="62" t="n"/>
      <c r="CV29" s="13" t="n"/>
      <c r="CW29" s="62" t="n"/>
      <c r="CX29" s="62" t="n"/>
      <c r="CY29" s="62" t="n"/>
      <c r="CZ29" s="62" t="n"/>
      <c r="DA29" s="62" t="n"/>
      <c r="DB29" s="13" t="n"/>
      <c r="DC29" s="13" t="n"/>
      <c r="DD29" s="13" t="n"/>
      <c r="DE29" s="13" t="n"/>
      <c r="DF29" s="13" t="n"/>
      <c r="DG29" s="13" t="n"/>
      <c r="DH29" s="13" t="n"/>
      <c r="DI29" s="13" t="n"/>
      <c r="DJ29" s="13" t="n"/>
      <c r="DK29" s="107" t="n"/>
      <c r="DL29" s="13" t="n"/>
      <c r="DM29" s="13" t="n"/>
    </row>
    <row r="30" ht="44.1" customFormat="1" customHeight="1" s="10">
      <c r="A30" s="683" t="n"/>
      <c r="C30" s="108" t="inlineStr">
        <is>
          <t xml:space="preserve">账套名称/账套编码 </t>
        </is>
      </c>
      <c r="D30" s="109" t="inlineStr">
        <is>
          <t>科目编码</t>
        </is>
      </c>
      <c r="E30" s="168" t="inlineStr">
        <is>
          <t>科目名称</t>
        </is>
      </c>
      <c r="F30" s="363" t="inlineStr">
        <is>
          <t>本期账面数</t>
        </is>
      </c>
      <c r="G30" s="364" t="inlineStr">
        <is>
          <t>本期账表调整编号</t>
        </is>
      </c>
      <c r="H30" s="364" t="inlineStr">
        <is>
          <t>本期账表调整数</t>
        </is>
      </c>
      <c r="I30" s="110" t="inlineStr">
        <is>
          <t>本期账面未审数</t>
        </is>
      </c>
      <c r="J30" s="110" t="inlineStr">
        <is>
          <t>结构比</t>
        </is>
      </c>
      <c r="K30" s="364" t="inlineStr">
        <is>
          <t>本期审计调整编号</t>
        </is>
      </c>
      <c r="L30" s="111" t="inlineStr">
        <is>
          <t>本期审计调整金数</t>
        </is>
      </c>
      <c r="M30" s="112" t="inlineStr">
        <is>
          <t>本期账面审定数</t>
        </is>
      </c>
      <c r="N30" s="562" t="inlineStr">
        <is>
          <t>上期末审定数
(PY)</t>
        </is>
      </c>
      <c r="O30" s="113" t="inlineStr">
        <is>
          <t>变动额</t>
        </is>
      </c>
      <c r="P30" s="462" t="inlineStr">
        <is>
          <t>变动率%</t>
        </is>
      </c>
      <c r="Q30" s="648" t="inlineStr">
        <is>
          <t>For X-ref</t>
        </is>
      </c>
      <c r="R30" s="460" t="inlineStr">
        <is>
          <t>Notes</t>
        </is>
      </c>
      <c r="S30" s="115" t="n"/>
      <c r="CK30" s="116" t="n"/>
      <c r="CL30" s="116" t="n"/>
      <c r="CM30" s="116" t="n"/>
      <c r="CN30" s="117" t="n"/>
      <c r="CO30" s="117" t="n"/>
      <c r="CP30" s="117" t="n"/>
      <c r="CQ30" s="117" t="n"/>
      <c r="CR30" s="117" t="n"/>
      <c r="CS30" s="117" t="n"/>
      <c r="CT30" s="117" t="n"/>
      <c r="CU30" s="117" t="n"/>
      <c r="CV30" s="116" t="n"/>
      <c r="CW30" s="117" t="n"/>
      <c r="CX30" s="117" t="n"/>
      <c r="CY30" s="117" t="n"/>
      <c r="CZ30" s="117" t="n"/>
      <c r="DA30" s="117" t="n"/>
      <c r="DB30" s="116" t="n"/>
      <c r="DC30" s="116" t="n"/>
      <c r="DD30" s="116" t="n"/>
      <c r="DE30" s="116" t="n"/>
      <c r="DF30" s="116" t="n"/>
      <c r="DG30" s="116" t="n"/>
      <c r="DH30" s="116" t="n"/>
      <c r="DI30" s="116" t="n"/>
      <c r="DJ30" s="116" t="n"/>
      <c r="DK30" s="118" t="n"/>
      <c r="DL30" s="116" t="n"/>
      <c r="DM30" s="116" t="n"/>
    </row>
    <row r="31" ht="12" customFormat="1" customHeight="1" s="959">
      <c r="A31" s="960" t="n"/>
      <c r="C31" s="119" t="n"/>
      <c r="D31" s="99" t="n"/>
      <c r="E31" s="105" t="n"/>
      <c r="F31" s="961" t="n"/>
      <c r="G31" s="99" t="n"/>
      <c r="H31" s="962" t="n"/>
      <c r="I31" s="962">
        <f>F31+H31</f>
        <v/>
      </c>
      <c r="J31" s="103">
        <f>IF($I$35&lt;&gt;0,I31/$I$35,"")</f>
        <v/>
      </c>
      <c r="K31" s="99" t="n"/>
      <c r="L31" s="962" t="n"/>
      <c r="M31" s="963">
        <f>I31+L31</f>
        <v/>
      </c>
      <c r="N31" s="964" t="n"/>
      <c r="O31" s="961">
        <f>M31-N31</f>
        <v/>
      </c>
      <c r="P31" s="463">
        <f>IF(N31&lt;&gt;0,O31/N31,1)</f>
        <v/>
      </c>
      <c r="Q31" s="649" t="n"/>
      <c r="R31" s="121" t="n"/>
      <c r="S31" s="965" t="n"/>
      <c r="CK31" s="79" t="n"/>
      <c r="CL31" s="79" t="n"/>
      <c r="CM31" s="79" t="n"/>
      <c r="CN31" s="123" t="n"/>
      <c r="CO31" s="123" t="n"/>
      <c r="CP31" s="123" t="n"/>
      <c r="CQ31" s="123" t="n"/>
      <c r="CR31" s="123" t="n"/>
      <c r="CS31" s="123" t="n"/>
      <c r="CT31" s="123" t="n"/>
      <c r="CU31" s="123" t="n"/>
      <c r="CV31" s="79" t="n"/>
      <c r="CW31" s="123" t="n"/>
      <c r="CX31" s="123" t="n"/>
      <c r="CY31" s="123" t="n"/>
      <c r="CZ31" s="123" t="n"/>
      <c r="DA31" s="123" t="n"/>
      <c r="DB31" s="79" t="n"/>
      <c r="DC31" s="79" t="n"/>
      <c r="DD31" s="79" t="n"/>
      <c r="DE31" s="79" t="n"/>
      <c r="DF31" s="79" t="n"/>
      <c r="DG31" s="79" t="n"/>
      <c r="DH31" s="79" t="n"/>
      <c r="DI31" s="79" t="n"/>
      <c r="DJ31" s="79" t="n"/>
      <c r="DK31" s="75" t="n"/>
      <c r="DL31" s="79" t="n"/>
      <c r="DM31" s="79" t="n"/>
    </row>
    <row r="32" ht="12.6" customFormat="1" customHeight="1" s="959">
      <c r="A32" s="960" t="n"/>
      <c r="C32" s="98" t="n"/>
      <c r="D32" s="99" t="n"/>
      <c r="E32" s="105" t="n"/>
      <c r="F32" s="961" t="n"/>
      <c r="G32" s="99" t="n"/>
      <c r="H32" s="962" t="n"/>
      <c r="I32" s="962">
        <f>F32+H32</f>
        <v/>
      </c>
      <c r="J32" s="103">
        <f>IF($I$35&lt;&gt;0,I32/$I$35,"")</f>
        <v/>
      </c>
      <c r="K32" s="99" t="n"/>
      <c r="L32" s="962" t="n"/>
      <c r="M32" s="963">
        <f>I32+L32</f>
        <v/>
      </c>
      <c r="N32" s="964" t="n"/>
      <c r="O32" s="961">
        <f>M32-N32</f>
        <v/>
      </c>
      <c r="P32" s="463">
        <f>IF(N32&lt;&gt;0,O32/N32,1)</f>
        <v/>
      </c>
      <c r="Q32" s="99" t="n"/>
      <c r="R32" s="105" t="n"/>
      <c r="S32" s="965" t="n"/>
      <c r="CK32" s="79" t="n"/>
      <c r="CL32" s="79" t="n"/>
      <c r="CM32" s="79" t="n"/>
      <c r="CN32" s="123" t="n"/>
      <c r="CO32" s="123" t="n"/>
      <c r="CP32" s="123" t="n"/>
      <c r="CQ32" s="123" t="n"/>
      <c r="CR32" s="123" t="n"/>
      <c r="CS32" s="123" t="n"/>
      <c r="CT32" s="123" t="n"/>
      <c r="CU32" s="123" t="n"/>
      <c r="CV32" s="79" t="n"/>
      <c r="CW32" s="123" t="n"/>
      <c r="CX32" s="123" t="n"/>
      <c r="CY32" s="123" t="n"/>
      <c r="CZ32" s="123" t="n"/>
      <c r="DA32" s="123" t="n"/>
      <c r="DB32" s="79" t="n"/>
      <c r="DC32" s="79" t="n"/>
      <c r="DD32" s="79" t="n"/>
      <c r="DE32" s="79" t="n"/>
      <c r="DF32" s="79" t="n"/>
      <c r="DG32" s="79" t="n"/>
      <c r="DH32" s="79" t="n"/>
      <c r="DI32" s="79" t="n"/>
      <c r="DJ32" s="79" t="n"/>
      <c r="DK32" s="75" t="n"/>
      <c r="DL32" s="79" t="n"/>
      <c r="DM32" s="79" t="n"/>
    </row>
    <row r="33" ht="12.6" customHeight="1" thickBot="1">
      <c r="A33" s="665" t="inlineStr">
        <is>
          <t>/T1</t>
        </is>
      </c>
      <c r="C33" s="371" t="n"/>
      <c r="D33" s="372" t="n"/>
      <c r="E33" s="373" t="n"/>
      <c r="F33" s="966" t="n"/>
      <c r="G33" s="372" t="n"/>
      <c r="H33" s="967" t="n"/>
      <c r="I33" s="968">
        <f>F33+H33</f>
        <v/>
      </c>
      <c r="J33" s="377">
        <f>IF($I$35&lt;&gt;0,I33/$I$35,"")</f>
        <v/>
      </c>
      <c r="K33" s="378" t="n"/>
      <c r="L33" s="969" t="n"/>
      <c r="M33" s="970">
        <f>I33+L33</f>
        <v/>
      </c>
      <c r="N33" s="971" t="n"/>
      <c r="O33" s="972">
        <f>M33-N33</f>
        <v/>
      </c>
      <c r="P33" s="463">
        <f>IF(N33&lt;&gt;0,O33/N33,1)</f>
        <v/>
      </c>
      <c r="Q33" s="378" t="n"/>
      <c r="R33" s="373" t="n"/>
      <c r="S33" s="106" t="n"/>
      <c r="CK33" s="13" t="n"/>
      <c r="CL33" s="13" t="n"/>
      <c r="CM33" s="13" t="n"/>
      <c r="CN33" s="62" t="n"/>
      <c r="CO33" s="62" t="n"/>
      <c r="CP33" s="62" t="n"/>
      <c r="CQ33" s="62" t="n"/>
      <c r="CR33" s="62" t="n"/>
      <c r="CS33" s="62" t="n"/>
      <c r="CT33" s="62" t="n"/>
      <c r="CU33" s="62" t="n"/>
      <c r="CV33" s="13" t="n"/>
      <c r="CW33" s="62" t="n"/>
      <c r="CX33" s="62" t="n"/>
      <c r="CY33" s="62" t="n"/>
      <c r="CZ33" s="62" t="n"/>
      <c r="DA33" s="62" t="n"/>
      <c r="DB33" s="13" t="n"/>
      <c r="DC33" s="13" t="n"/>
      <c r="DD33" s="13" t="n"/>
      <c r="DE33" s="13" t="n"/>
      <c r="DF33" s="13" t="n"/>
      <c r="DG33" s="13" t="n"/>
      <c r="DH33" s="13" t="n"/>
      <c r="DI33" s="13" t="n"/>
      <c r="DJ33" s="13" t="n"/>
      <c r="DK33" s="107" t="n"/>
      <c r="DL33" s="13" t="n"/>
      <c r="DM33" s="13" t="n"/>
    </row>
    <row r="34" ht="12.6" customHeight="1">
      <c r="A34" s="665" t="n"/>
      <c r="C34" s="973" t="n"/>
      <c r="D34" s="749" t="n"/>
      <c r="E34" s="974" t="n"/>
      <c r="F34" s="974" t="n"/>
      <c r="G34" s="974" t="n"/>
      <c r="H34" s="974" t="n"/>
      <c r="I34" s="975" t="n"/>
      <c r="J34" s="752" t="n"/>
      <c r="K34" s="752" t="n"/>
      <c r="L34" s="975" t="n"/>
      <c r="M34" s="975" t="n"/>
      <c r="N34" s="975" t="n"/>
      <c r="O34" s="976" t="n"/>
      <c r="P34" s="754" t="n"/>
      <c r="Q34" s="755" t="n"/>
      <c r="R34" s="756" t="n"/>
      <c r="CM34" s="13" t="n"/>
      <c r="CN34" s="13" t="n"/>
      <c r="CO34" s="13" t="n"/>
      <c r="CP34" s="62" t="n"/>
      <c r="CQ34" s="62" t="n"/>
      <c r="CR34" s="62" t="n"/>
      <c r="CS34" s="62" t="n"/>
      <c r="CT34" s="62" t="n"/>
      <c r="CU34" s="62" t="n"/>
      <c r="CV34" s="62" t="n"/>
      <c r="CW34" s="62" t="n"/>
      <c r="CX34" s="13" t="n"/>
      <c r="CY34" s="62" t="n"/>
      <c r="CZ34" s="62" t="n"/>
      <c r="DA34" s="62" t="n"/>
      <c r="DB34" s="62" t="n"/>
      <c r="DC34" s="62" t="n"/>
      <c r="DD34" s="13" t="n"/>
      <c r="DE34" s="13" t="n"/>
      <c r="DF34" s="13" t="n"/>
      <c r="DG34" s="13" t="n"/>
      <c r="DH34" s="13" t="n"/>
      <c r="DI34" s="13" t="n"/>
      <c r="DJ34" s="13" t="n"/>
      <c r="DK34" s="13" t="n"/>
      <c r="DL34" s="13" t="n"/>
      <c r="DM34" s="107" t="n"/>
      <c r="DN34" s="13" t="n"/>
      <c r="DO34" s="13" t="n"/>
    </row>
    <row r="35" ht="12.6" customFormat="1" customHeight="1" s="977" thickBot="1">
      <c r="A35" s="978" t="n"/>
      <c r="B35" s="977" t="n"/>
      <c r="C35" s="977" t="n"/>
      <c r="D35" s="979" t="n"/>
      <c r="E35" s="126" t="inlineStr">
        <is>
          <t>合计</t>
        </is>
      </c>
      <c r="F35" s="980">
        <f>SUM(F30:F34)</f>
        <v/>
      </c>
      <c r="G35" s="1" t="n"/>
      <c r="H35" s="980">
        <f>SUM(H30:H34)</f>
        <v/>
      </c>
      <c r="I35" s="980">
        <f>SUM(I30:I34)</f>
        <v/>
      </c>
      <c r="J35" s="383">
        <f>SUM(J30:J34)</f>
        <v/>
      </c>
      <c r="K35" s="1" t="n"/>
      <c r="L35" s="980">
        <f>SUM(L30:L34)</f>
        <v/>
      </c>
      <c r="M35" s="980">
        <f>SUM(M30:M34)</f>
        <v/>
      </c>
      <c r="N35" s="980">
        <f>SUM(N30:N34)</f>
        <v/>
      </c>
      <c r="O35" s="980">
        <f>M35-N35</f>
        <v/>
      </c>
      <c r="P35" s="383">
        <f>IF(N35&lt;&gt;0,O35/N35,1)</f>
        <v/>
      </c>
      <c r="Q35" s="127" t="n"/>
      <c r="R35" s="977" t="n"/>
      <c r="S35" s="17" t="n"/>
      <c r="T35" s="17" t="n"/>
      <c r="U35" s="977" t="n"/>
      <c r="CM35" s="128" t="n"/>
      <c r="CN35" s="128" t="n"/>
      <c r="CO35" s="128" t="n"/>
      <c r="CP35" s="68" t="n"/>
      <c r="CQ35" s="68" t="n"/>
      <c r="CR35" s="68" t="n"/>
      <c r="CS35" s="68" t="n"/>
      <c r="CT35" s="68" t="n"/>
      <c r="CU35" s="68" t="n"/>
      <c r="CV35" s="68" t="n"/>
      <c r="CW35" s="68" t="n"/>
      <c r="CX35" s="128" t="n"/>
      <c r="CY35" s="68" t="n"/>
      <c r="CZ35" s="68" t="n"/>
      <c r="DA35" s="68" t="n"/>
      <c r="DB35" s="68" t="n"/>
      <c r="DC35" s="68" t="n"/>
      <c r="DD35" s="128" t="n"/>
      <c r="DE35" s="128" t="n"/>
      <c r="DF35" s="128" t="n"/>
      <c r="DG35" s="128" t="n"/>
      <c r="DH35" s="128" t="n"/>
      <c r="DI35" s="128" t="n"/>
      <c r="DJ35" s="128" t="n"/>
      <c r="DK35" s="128" t="n"/>
      <c r="DL35" s="128" t="n"/>
      <c r="DM35" s="129" t="n"/>
      <c r="DN35" s="128" t="n"/>
      <c r="DO35" s="128" t="n"/>
    </row>
    <row r="36" ht="12.6" customFormat="1" customHeight="1" s="977" thickTop="1">
      <c r="A36" s="978" t="n"/>
      <c r="B36" s="977" t="n"/>
      <c r="C36" s="977" t="n"/>
      <c r="D36" s="981" t="n"/>
      <c r="E36" s="979" t="n"/>
      <c r="F36" s="131" t="inlineStr">
        <is>
          <t>Rx</t>
        </is>
      </c>
      <c r="G36" s="981" t="n"/>
      <c r="H36" s="131" t="inlineStr">
        <is>
          <t>Rx</t>
        </is>
      </c>
      <c r="I36" s="131" t="inlineStr">
        <is>
          <t>Rx</t>
        </is>
      </c>
      <c r="J36" s="131" t="inlineStr">
        <is>
          <t>Rx</t>
        </is>
      </c>
      <c r="K36" s="132" t="n"/>
      <c r="L36" s="131" t="inlineStr">
        <is>
          <t>Rx</t>
        </is>
      </c>
      <c r="M36" s="131" t="inlineStr">
        <is>
          <t>Rx</t>
        </is>
      </c>
      <c r="N36" s="131" t="inlineStr">
        <is>
          <t>Rx</t>
        </is>
      </c>
      <c r="O36" s="982" t="n"/>
      <c r="P36" s="134" t="n"/>
      <c r="Q36" s="135" t="n"/>
      <c r="R36" s="983" t="n"/>
      <c r="S36" s="17" t="n"/>
      <c r="T36" s="17" t="n"/>
      <c r="U36" s="977" t="n"/>
      <c r="CM36" s="13" t="n"/>
      <c r="CN36" s="13" t="n"/>
      <c r="CO36" s="13" t="n"/>
      <c r="CP36" s="62" t="n"/>
      <c r="CQ36" s="62" t="n"/>
      <c r="CR36" s="62" t="n"/>
      <c r="CS36" s="62" t="n"/>
      <c r="CT36" s="62" t="n"/>
      <c r="CU36" s="62" t="n"/>
      <c r="CV36" s="62" t="n"/>
      <c r="CW36" s="62" t="n"/>
      <c r="CX36" s="13" t="n"/>
      <c r="CY36" s="62" t="n"/>
      <c r="CZ36" s="62" t="n"/>
      <c r="DA36" s="62" t="n"/>
      <c r="DB36" s="62" t="n"/>
      <c r="DC36" s="62" t="n"/>
      <c r="DD36" s="13" t="n"/>
      <c r="DE36" s="13" t="n"/>
      <c r="DF36" s="13" t="n"/>
      <c r="DG36" s="13" t="n"/>
      <c r="DH36" s="13" t="n"/>
      <c r="DI36" s="13" t="n"/>
      <c r="DJ36" s="13" t="n"/>
      <c r="DK36" s="13" t="n"/>
      <c r="DL36" s="13" t="n"/>
      <c r="DM36" s="107" t="n"/>
      <c r="DN36" s="13" t="n"/>
      <c r="DO36" s="13" t="n"/>
    </row>
    <row r="37" ht="12.6" customFormat="1" customHeight="1" s="977">
      <c r="A37" s="978" t="n"/>
      <c r="B37" s="977" t="n"/>
      <c r="C37" s="977" t="n"/>
      <c r="D37" s="981" t="n"/>
      <c r="E37" s="979" t="n"/>
      <c r="F37" s="131" t="n"/>
      <c r="G37" s="981" t="n"/>
      <c r="H37" s="131" t="n"/>
      <c r="I37" s="131" t="n"/>
      <c r="J37" s="131" t="n"/>
      <c r="K37" s="132" t="n"/>
      <c r="L37" s="131" t="n"/>
      <c r="M37" s="131" t="n"/>
      <c r="N37" s="131" t="n"/>
      <c r="O37" s="982" t="n"/>
      <c r="P37" s="134" t="n"/>
      <c r="Q37" s="135" t="n"/>
      <c r="R37" s="983" t="n"/>
      <c r="S37" s="17" t="n"/>
      <c r="T37" s="17" t="n"/>
      <c r="U37" s="977" t="n"/>
      <c r="CM37" s="13" t="n"/>
      <c r="CN37" s="13" t="n"/>
      <c r="CO37" s="13" t="n"/>
      <c r="CP37" s="62" t="n"/>
      <c r="CQ37" s="62" t="n"/>
      <c r="CR37" s="62" t="n"/>
      <c r="CS37" s="62" t="n"/>
      <c r="CT37" s="62" t="n"/>
      <c r="CU37" s="62" t="n"/>
      <c r="CV37" s="62" t="n"/>
      <c r="CW37" s="62" t="n"/>
      <c r="CX37" s="13" t="n"/>
      <c r="CY37" s="62" t="n"/>
      <c r="CZ37" s="62" t="n"/>
      <c r="DA37" s="62" t="n"/>
      <c r="DB37" s="62" t="n"/>
      <c r="DC37" s="62" t="n"/>
      <c r="DD37" s="13" t="n"/>
      <c r="DE37" s="13" t="n"/>
      <c r="DF37" s="13" t="n"/>
      <c r="DG37" s="13" t="n"/>
      <c r="DH37" s="13" t="n"/>
      <c r="DI37" s="13" t="n"/>
      <c r="DJ37" s="13" t="n"/>
      <c r="DK37" s="13" t="n"/>
      <c r="DL37" s="13" t="n"/>
      <c r="DM37" s="107" t="n"/>
      <c r="DN37" s="13" t="n"/>
      <c r="DO37" s="13" t="n"/>
    </row>
    <row r="38" ht="13.35" customFormat="1" customHeight="1" s="13">
      <c r="A38" s="663" t="n"/>
      <c r="B38" s="88" t="n"/>
      <c r="D38" s="13" t="inlineStr">
        <is>
          <t>详细测试涵盖的总账账户</t>
        </is>
      </c>
      <c r="E38" s="369" t="inlineStr">
        <is>
          <t>&lt;Uexp.01 TOD预审+剩余期间&gt;/&lt;Uexp.01 TOD 年审&gt;</t>
        </is>
      </c>
      <c r="F38" s="984" t="n"/>
      <c r="G38" s="137" t="n"/>
      <c r="H38" s="131" t="n"/>
      <c r="I38" s="137" t="n"/>
      <c r="J38" s="137" t="n"/>
      <c r="CV38" s="62" t="n"/>
      <c r="CW38" s="62" t="n"/>
      <c r="CX38" s="62" t="n"/>
      <c r="CY38" s="62" t="n"/>
      <c r="CZ38" s="62" t="n"/>
      <c r="DA38" s="62" t="n"/>
      <c r="DB38" s="62" t="n"/>
      <c r="DE38" s="62" t="n"/>
      <c r="DF38" s="62" t="n"/>
      <c r="DG38" s="62" t="n"/>
      <c r="DH38" s="62" t="n"/>
      <c r="DI38" s="62" t="n"/>
      <c r="DS38" s="107" t="n"/>
    </row>
    <row r="39" ht="13.35" customFormat="1" customHeight="1" s="13">
      <c r="A39" s="663" t="n"/>
      <c r="B39" s="88" t="n"/>
      <c r="E39" s="369" t="n"/>
      <c r="F39" s="137" t="n"/>
      <c r="G39" s="137" t="n"/>
      <c r="H39" s="131" t="n"/>
      <c r="I39" s="137" t="n"/>
      <c r="J39" s="137" t="n"/>
      <c r="CV39" s="62" t="n"/>
      <c r="CW39" s="62" t="n"/>
      <c r="CX39" s="62" t="n"/>
      <c r="CY39" s="62" t="n"/>
      <c r="CZ39" s="62" t="n"/>
      <c r="DA39" s="62" t="n"/>
      <c r="DB39" s="62" t="n"/>
      <c r="DE39" s="62" t="n"/>
      <c r="DF39" s="62" t="n"/>
      <c r="DG39" s="62" t="n"/>
      <c r="DH39" s="62" t="n"/>
      <c r="DI39" s="62" t="n"/>
      <c r="DS39" s="107" t="n"/>
    </row>
    <row r="40" ht="13.35" customFormat="1" customHeight="1" s="13" thickBot="1">
      <c r="A40" s="663" t="n"/>
      <c r="B40" s="88" t="inlineStr">
        <is>
          <t>Notes</t>
        </is>
      </c>
      <c r="C40" s="13" t="inlineStr">
        <is>
          <t>对变动不在范围内的项目进行调查，评估其合理性，并记录在“说明”中。对异常项目进行调查，并记录在“说明”中。</t>
        </is>
      </c>
      <c r="G40" s="137" t="n"/>
      <c r="H40" s="985" t="n"/>
      <c r="I40" s="137" t="n"/>
      <c r="J40" s="137" t="n"/>
      <c r="CV40" s="62" t="n"/>
      <c r="CW40" s="62" t="n"/>
      <c r="CX40" s="62" t="n"/>
      <c r="CY40" s="62" t="n"/>
      <c r="CZ40" s="62" t="n"/>
      <c r="DA40" s="62" t="n"/>
      <c r="DB40" s="62" t="n"/>
      <c r="DE40" s="62" t="n"/>
      <c r="DF40" s="62" t="n"/>
      <c r="DG40" s="62" t="n"/>
      <c r="DH40" s="62" t="n"/>
      <c r="DI40" s="62" t="n"/>
      <c r="DS40" s="107" t="n"/>
    </row>
    <row r="41" ht="12.6" customHeight="1">
      <c r="A41" s="664" t="n"/>
      <c r="C41" s="986" t="n"/>
      <c r="D41" s="937" t="n"/>
      <c r="E41" s="937" t="n"/>
      <c r="F41" s="937" t="n"/>
      <c r="G41" s="938" t="n"/>
      <c r="H41" s="139" t="n"/>
      <c r="I41" s="139" t="n"/>
      <c r="J41" s="139" t="n"/>
      <c r="CN41" s="13" t="n"/>
      <c r="CO41" s="13" t="n"/>
      <c r="CP41" s="13" t="n"/>
      <c r="CQ41" s="62" t="n"/>
      <c r="CR41" s="62" t="n"/>
      <c r="CS41" s="62" t="n"/>
      <c r="CT41" s="62" t="n"/>
      <c r="CU41" s="62" t="n"/>
      <c r="CV41" s="62" t="n"/>
      <c r="CW41" s="62" t="n"/>
      <c r="CX41" s="13" t="n"/>
      <c r="CY41" s="13" t="n"/>
      <c r="CZ41" s="62" t="n"/>
      <c r="DA41" s="62" t="n"/>
      <c r="DB41" s="62" t="n"/>
      <c r="DC41" s="62" t="n"/>
      <c r="DD41" s="62" t="n"/>
      <c r="DE41" s="13" t="n"/>
      <c r="DF41" s="13" t="n"/>
      <c r="DG41" s="13" t="n"/>
      <c r="DH41" s="13" t="n"/>
      <c r="DI41" s="13" t="n"/>
      <c r="DJ41" s="13" t="n"/>
      <c r="DK41" s="13" t="n"/>
      <c r="DL41" s="13" t="n"/>
      <c r="DM41" s="13" t="n"/>
      <c r="DN41" s="107" t="n"/>
      <c r="DO41" s="13" t="n"/>
      <c r="DP41" s="13" t="n"/>
    </row>
    <row r="42" ht="12.6" customHeight="1">
      <c r="A42" s="665" t="n"/>
      <c r="C42" s="940" t="n"/>
      <c r="D42" s="941" t="n"/>
      <c r="E42" s="941" t="n"/>
      <c r="F42" s="941" t="n"/>
      <c r="G42" s="942"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Height="1" thickBot="1">
      <c r="A43" s="665" t="n"/>
      <c r="C43" s="943" t="n"/>
      <c r="D43" s="944" t="n"/>
      <c r="E43" s="944" t="n"/>
      <c r="F43" s="944" t="n"/>
      <c r="G43" s="945"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3" t="n"/>
      <c r="DO43" s="13" t="n"/>
      <c r="DP43" s="13" t="n"/>
    </row>
    <row r="44" ht="12.6" customHeight="1">
      <c r="A44" s="665" t="n"/>
      <c r="CS44" s="13" t="n"/>
      <c r="CT44" s="13" t="n"/>
      <c r="CU44" s="13" t="n"/>
      <c r="CV44" s="62" t="n"/>
      <c r="CW44" s="62" t="n"/>
      <c r="CX44" s="62" t="n"/>
      <c r="CY44" s="62" t="n"/>
      <c r="CZ44" s="62" t="n"/>
      <c r="DA44" s="62" t="n"/>
      <c r="DB44" s="13" t="n"/>
      <c r="DC44" s="13" t="n"/>
      <c r="DD44" s="13" t="n"/>
      <c r="DE44" s="62" t="n"/>
      <c r="DF44" s="62" t="n"/>
      <c r="DG44" s="62" t="n"/>
      <c r="DH44" s="62" t="n"/>
      <c r="DI44" s="62" t="n"/>
      <c r="DJ44" s="13" t="n"/>
      <c r="DK44" s="13" t="n"/>
      <c r="DL44" s="13" t="n"/>
      <c r="DM44" s="13" t="n"/>
      <c r="DN44" s="13" t="n"/>
      <c r="DO44" s="13" t="n"/>
      <c r="DP44" s="13" t="n"/>
      <c r="DQ44" s="13" t="n"/>
      <c r="DR44" s="13" t="n"/>
      <c r="DS44" s="13" t="n"/>
      <c r="DT44" s="13" t="n"/>
      <c r="DU44" s="13" t="n"/>
    </row>
    <row r="45" ht="12.6" customHeight="1">
      <c r="A45" s="665" t="n"/>
      <c r="CS45" s="13" t="n"/>
      <c r="CT45" s="13" t="n"/>
      <c r="CU45" s="13" t="n"/>
      <c r="CV45" s="62" t="n"/>
      <c r="CW45" s="62" t="n"/>
      <c r="CX45" s="62" t="n"/>
      <c r="CY45" s="62" t="n"/>
      <c r="CZ45" s="62" t="n"/>
      <c r="DA45" s="62" t="n"/>
      <c r="DB45" s="13" t="n"/>
      <c r="DC45" s="13" t="n"/>
      <c r="DD45" s="13" t="n"/>
      <c r="DE45" s="62" t="n"/>
      <c r="DF45" s="62" t="n"/>
      <c r="DG45" s="62" t="n"/>
      <c r="DH45" s="62" t="n"/>
      <c r="DI45" s="62" t="n"/>
      <c r="DJ45" s="13" t="n"/>
      <c r="DK45" s="13" t="n"/>
      <c r="DL45" s="13" t="n"/>
      <c r="DM45" s="13" t="n"/>
      <c r="DN45" s="13" t="n"/>
      <c r="DO45" s="13" t="n"/>
      <c r="DP45" s="13" t="n"/>
      <c r="DQ45" s="13" t="n"/>
      <c r="DR45" s="13" t="n"/>
      <c r="DS45" s="13" t="n"/>
      <c r="DT45" s="13" t="n"/>
      <c r="DU45" s="13" t="n"/>
    </row>
    <row r="46" ht="12.6" customHeight="1">
      <c r="A46" s="544" t="n"/>
      <c r="CS46" s="13" t="n"/>
      <c r="CT46" s="13" t="n"/>
      <c r="CU46" s="13" t="n"/>
      <c r="CV46" s="62" t="n"/>
      <c r="CW46" s="62" t="n"/>
      <c r="CX46" s="62" t="n"/>
      <c r="CY46" s="62" t="n"/>
      <c r="CZ46" s="62" t="n"/>
      <c r="DA46" s="62" t="n"/>
      <c r="DB46" s="62" t="n"/>
      <c r="DC46" s="13" t="n"/>
      <c r="DD46" s="13" t="n"/>
      <c r="DE46" s="62" t="n"/>
      <c r="DF46" s="62" t="n"/>
      <c r="DG46" s="62" t="n"/>
      <c r="DH46" s="62" t="n"/>
      <c r="DI46" s="62" t="n"/>
      <c r="DJ46" s="13" t="n"/>
      <c r="DK46" s="13" t="n"/>
      <c r="DL46" s="13" t="n"/>
      <c r="DM46" s="13" t="n"/>
      <c r="DN46" s="13" t="n"/>
      <c r="DO46" s="13" t="n"/>
      <c r="DP46" s="13" t="n"/>
      <c r="DQ46" s="13" t="n"/>
      <c r="DR46" s="13" t="n"/>
      <c r="DS46" s="13" t="n"/>
      <c r="DT46" s="13" t="n"/>
      <c r="DU46" s="13" t="n"/>
    </row>
    <row r="47" ht="15" customHeight="1">
      <c r="A47" s="544" t="n"/>
      <c r="B47" s="88" t="inlineStr">
        <is>
          <t>表3</t>
        </is>
      </c>
      <c r="C47" s="140" t="inlineStr">
        <is>
          <t>对于单项费用类别金额占整个制造费用比例达到一定比例查看J列，需要获取该单项费用的组成明细，需要获取支持性文件如合同等，在必要时进行费用测试。（表格请审计团队自行设计）</t>
        </is>
      </c>
      <c r="CV47" s="62" t="n"/>
      <c r="CW47" s="62" t="n"/>
      <c r="CX47" s="62" t="n"/>
      <c r="CY47" s="62" t="n"/>
      <c r="CZ47" s="62" t="n"/>
      <c r="DA47" s="13" t="n"/>
      <c r="DB47" s="13" t="n"/>
      <c r="DC47" s="13" t="n"/>
      <c r="DD47" s="13" t="n"/>
      <c r="DE47" s="62" t="n"/>
      <c r="DF47" s="62" t="n"/>
      <c r="DG47" s="62" t="n"/>
      <c r="DH47" s="62" t="n"/>
      <c r="DI47" s="62" t="n"/>
    </row>
    <row r="48" ht="12.6" customHeight="1">
      <c r="A48" s="544" t="n"/>
      <c r="CV48" s="62" t="n"/>
      <c r="CW48" s="62" t="n"/>
      <c r="CX48" s="62" t="n"/>
      <c r="CY48" s="62" t="n"/>
      <c r="CZ48" s="62" t="n"/>
      <c r="DA48" s="13" t="n"/>
      <c r="DB48" s="13" t="n"/>
      <c r="DC48" s="13" t="n"/>
      <c r="DD48" s="13" t="n"/>
      <c r="DE48" s="62" t="n"/>
      <c r="DF48" s="62" t="n"/>
      <c r="DG48" s="62" t="n"/>
      <c r="DH48" s="62" t="n"/>
      <c r="DI48" s="62" t="n"/>
    </row>
    <row r="49" ht="12.6" customHeight="1">
      <c r="A49" s="544" t="n"/>
      <c r="CV49" s="62" t="n"/>
      <c r="CW49" s="62" t="n"/>
      <c r="CX49" s="62" t="n"/>
      <c r="CY49" s="62" t="n"/>
      <c r="CZ49" s="62" t="n"/>
      <c r="DA49" s="13" t="n"/>
      <c r="DB49" s="13" t="n"/>
      <c r="DC49" s="13" t="n"/>
      <c r="DD49" s="13" t="n"/>
      <c r="DE49" s="62" t="n"/>
      <c r="DF49" s="62" t="n"/>
      <c r="DG49" s="62" t="n"/>
      <c r="DH49" s="62" t="n"/>
      <c r="DI49" s="62" t="n"/>
    </row>
    <row r="50" ht="12.6" customHeight="1">
      <c r="A50" s="544" t="n"/>
      <c r="CV50" s="62" t="n"/>
      <c r="CW50" s="62" t="n"/>
      <c r="CX50" s="62" t="n"/>
      <c r="CY50" s="62" t="n"/>
      <c r="CZ50" s="62" t="n"/>
      <c r="DA50" s="13" t="n"/>
      <c r="DB50" s="13" t="n"/>
      <c r="DC50" s="13" t="n"/>
      <c r="DD50" s="13" t="n"/>
      <c r="DE50" s="62" t="n"/>
      <c r="DF50" s="62" t="n"/>
      <c r="DG50" s="62" t="n"/>
      <c r="DH50" s="62" t="n"/>
      <c r="DI50" s="62" t="n"/>
    </row>
    <row r="51" ht="12.6" customHeight="1">
      <c r="A51" s="544" t="n"/>
      <c r="CV51" s="62" t="n"/>
      <c r="CW51" s="62" t="n"/>
      <c r="CX51" s="62" t="n"/>
      <c r="CY51" s="62" t="n"/>
      <c r="CZ51" s="62" t="n"/>
      <c r="DA51" s="13" t="n"/>
      <c r="DB51" s="13" t="n"/>
      <c r="DC51" s="13" t="n"/>
      <c r="DD51" s="13" t="n"/>
      <c r="DE51" s="62" t="n"/>
      <c r="DF51" s="62" t="n"/>
      <c r="DG51" s="62" t="n"/>
      <c r="DH51" s="62" t="n"/>
      <c r="DI51" s="62" t="n"/>
    </row>
    <row r="52" ht="12.6" customHeight="1">
      <c r="A52" s="544" t="n"/>
      <c r="CV52" s="62" t="n"/>
      <c r="CW52" s="62" t="n"/>
      <c r="CX52" s="62" t="n"/>
      <c r="CY52" s="62" t="n"/>
      <c r="CZ52" s="62" t="n"/>
      <c r="DA52" s="13" t="n"/>
      <c r="DB52" s="13" t="n"/>
      <c r="DC52" s="13" t="n"/>
      <c r="DD52" s="13" t="n"/>
      <c r="DE52" s="62" t="n"/>
      <c r="DF52" s="62" t="n"/>
      <c r="DG52" s="62" t="n"/>
      <c r="DH52" s="62" t="n"/>
      <c r="DI52" s="62" t="n"/>
    </row>
    <row r="53" ht="12.6" customHeight="1">
      <c r="A53" s="544" t="n"/>
      <c r="CV53" s="62" t="n"/>
      <c r="CW53" s="62" t="n"/>
      <c r="CX53" s="62" t="n"/>
      <c r="CY53" s="62" t="n"/>
      <c r="CZ53" s="62" t="n"/>
      <c r="DA53" s="13" t="n"/>
      <c r="DB53" s="13" t="n"/>
      <c r="DC53" s="13" t="n"/>
      <c r="DD53" s="13" t="n"/>
      <c r="DE53" s="62" t="n"/>
      <c r="DF53" s="62" t="n"/>
      <c r="DG53" s="62" t="n"/>
      <c r="DH53" s="62" t="n"/>
      <c r="DI53" s="62" t="n"/>
    </row>
    <row r="54" ht="12.6" customHeight="1">
      <c r="A54" s="665" t="n"/>
      <c r="CV54" s="62" t="n"/>
      <c r="CW54" s="62" t="n"/>
      <c r="CX54" s="62" t="n"/>
      <c r="CY54" s="62" t="n"/>
      <c r="CZ54" s="62" t="n"/>
      <c r="DA54" s="13" t="n"/>
      <c r="DB54" s="13" t="n"/>
      <c r="DC54" s="13" t="n"/>
      <c r="DD54" s="13" t="n"/>
      <c r="DE54" s="62" t="n"/>
      <c r="DF54" s="62" t="n"/>
      <c r="DG54" s="62" t="n"/>
      <c r="DH54" s="62" t="n"/>
      <c r="DI54" s="62" t="n"/>
    </row>
    <row r="55" ht="12.6" customHeight="1">
      <c r="A55" s="665" t="n"/>
      <c r="CV55" s="62" t="n"/>
      <c r="CW55" s="62" t="n"/>
      <c r="CX55" s="62" t="n"/>
      <c r="CY55" s="62" t="n"/>
      <c r="CZ55" s="62" t="n"/>
      <c r="DA55" s="13" t="n"/>
      <c r="DB55" s="13" t="n"/>
      <c r="DC55" s="13" t="n"/>
      <c r="DD55" s="13" t="n"/>
      <c r="DE55" s="62" t="n"/>
      <c r="DF55" s="62" t="n"/>
      <c r="DG55" s="62" t="n"/>
      <c r="DH55" s="62" t="n"/>
      <c r="DI55" s="62" t="n"/>
    </row>
    <row r="56" ht="12.6" customHeight="1">
      <c r="A56" s="665" t="n"/>
      <c r="CV56" s="62" t="n"/>
      <c r="CW56" s="62" t="n"/>
      <c r="CX56" s="62" t="n"/>
      <c r="CY56" s="62" t="n"/>
      <c r="CZ56" s="62" t="n"/>
      <c r="DA56" s="13" t="n"/>
      <c r="DB56" s="13" t="n"/>
      <c r="DC56" s="13" t="n"/>
      <c r="DD56" s="13" t="n"/>
      <c r="DE56" s="62" t="n"/>
      <c r="DF56" s="62" t="n"/>
      <c r="DG56" s="62" t="n"/>
      <c r="DH56" s="62" t="n"/>
      <c r="DI56" s="62" t="n"/>
    </row>
    <row r="57" ht="12.6" customHeight="1">
      <c r="A57" s="665" t="n"/>
      <c r="CV57" s="62" t="n"/>
      <c r="CW57" s="62" t="n"/>
      <c r="CX57" s="62" t="n"/>
      <c r="CY57" s="62" t="n"/>
      <c r="CZ57" s="62" t="n"/>
      <c r="DA57" s="13" t="n"/>
      <c r="DB57" s="13" t="n"/>
      <c r="DC57" s="13" t="n"/>
      <c r="DD57" s="13" t="n"/>
      <c r="DE57" s="62" t="n"/>
      <c r="DF57" s="62" t="n"/>
      <c r="DG57" s="62" t="n"/>
      <c r="DH57" s="62" t="n"/>
      <c r="DI57" s="62" t="n"/>
    </row>
    <row r="58" ht="12.6" customHeight="1">
      <c r="A58" s="665" t="n"/>
      <c r="CV58" s="62" t="n"/>
      <c r="CW58" s="62" t="n"/>
      <c r="CX58" s="62" t="n"/>
      <c r="CY58" s="62" t="n"/>
      <c r="CZ58" s="62" t="n"/>
      <c r="DA58" s="13" t="n"/>
      <c r="DB58" s="13" t="n"/>
      <c r="DC58" s="13" t="n"/>
      <c r="DD58" s="13" t="n"/>
      <c r="DE58" s="62" t="n"/>
      <c r="DF58" s="62" t="n"/>
      <c r="DG58" s="62" t="n"/>
      <c r="DH58" s="62" t="n"/>
      <c r="DI58" s="62" t="n"/>
    </row>
    <row r="59" ht="12.6" customHeight="1">
      <c r="A59" s="665" t="n"/>
      <c r="CV59" s="62" t="n"/>
      <c r="CW59" s="62" t="n"/>
      <c r="CX59" s="62" t="n"/>
      <c r="CY59" s="62" t="n"/>
      <c r="CZ59" s="62" t="n"/>
      <c r="DA59" s="13" t="n"/>
      <c r="DB59" s="13" t="n"/>
      <c r="DC59" s="13" t="n"/>
      <c r="DD59" s="13" t="n"/>
      <c r="DE59" s="62" t="n"/>
      <c r="DF59" s="62" t="n"/>
      <c r="DG59" s="62" t="n"/>
      <c r="DH59" s="62" t="n"/>
      <c r="DI59" s="62" t="n"/>
    </row>
    <row r="60" ht="12.6" customHeight="1">
      <c r="A60" s="665" t="n"/>
      <c r="CV60" s="62" t="n"/>
      <c r="CW60" s="62" t="n"/>
      <c r="CX60" s="62" t="n"/>
      <c r="CY60" s="62" t="n"/>
      <c r="CZ60" s="62" t="n"/>
      <c r="DA60" s="13" t="n"/>
      <c r="DB60" s="13" t="n"/>
      <c r="DC60" s="13" t="n"/>
      <c r="DD60" s="13" t="n"/>
      <c r="DE60" s="62" t="n"/>
      <c r="DF60" s="62" t="n"/>
      <c r="DG60" s="62" t="n"/>
      <c r="DH60" s="62" t="n"/>
      <c r="DI60" s="62" t="n"/>
    </row>
    <row r="61" ht="12.6" customHeight="1">
      <c r="A61" s="665" t="n"/>
      <c r="CV61" s="62" t="n"/>
      <c r="CW61" s="62" t="n"/>
      <c r="CX61" s="62" t="n"/>
      <c r="CY61" s="62" t="n"/>
      <c r="CZ61" s="62" t="n"/>
      <c r="DA61" s="13" t="n"/>
      <c r="DB61" s="13" t="n"/>
      <c r="DC61" s="13" t="n"/>
      <c r="DD61" s="13" t="n"/>
      <c r="DE61" s="62" t="n"/>
      <c r="DF61" s="62" t="n"/>
      <c r="DG61" s="62" t="n"/>
      <c r="DH61" s="62" t="n"/>
      <c r="DI61" s="62" t="n"/>
    </row>
    <row r="62" ht="12.6" customHeight="1">
      <c r="A62" s="544" t="n"/>
      <c r="CV62" s="62" t="n"/>
      <c r="CW62" s="62" t="n"/>
      <c r="CX62" s="62" t="n"/>
      <c r="CY62" s="62" t="n"/>
      <c r="CZ62" s="62" t="n"/>
      <c r="DA62" s="13" t="n"/>
      <c r="DB62" s="13" t="n"/>
      <c r="DC62" s="13" t="n"/>
      <c r="DD62" s="13" t="n"/>
      <c r="DE62" s="62" t="n"/>
      <c r="DF62" s="62" t="n"/>
      <c r="DG62" s="62" t="n"/>
      <c r="DH62" s="62" t="n"/>
      <c r="DI62" s="62" t="n"/>
    </row>
    <row r="63" ht="12.6" customHeight="1">
      <c r="A63" s="544" t="n"/>
      <c r="CV63" s="62" t="n"/>
      <c r="CW63" s="62" t="n"/>
      <c r="CX63" s="62" t="n"/>
      <c r="CY63" s="62" t="n"/>
      <c r="CZ63" s="62" t="n"/>
      <c r="DA63" s="13" t="n"/>
      <c r="DB63" s="13" t="n"/>
      <c r="DC63" s="13" t="n"/>
      <c r="DD63" s="13" t="n"/>
      <c r="DE63" s="62" t="n"/>
      <c r="DF63" s="62" t="n"/>
      <c r="DG63" s="62" t="n"/>
      <c r="DH63" s="62" t="n"/>
      <c r="DI63" s="62" t="n"/>
    </row>
    <row r="64" ht="12.6" customHeight="1">
      <c r="A64" s="544" t="n"/>
      <c r="CV64" s="62" t="n"/>
      <c r="CW64" s="62" t="n"/>
      <c r="CX64" s="62" t="n"/>
      <c r="CY64" s="62" t="n"/>
      <c r="CZ64" s="62" t="n"/>
      <c r="DA64" s="13" t="n"/>
      <c r="DB64" s="13" t="n"/>
      <c r="DC64" s="13" t="n"/>
      <c r="DD64" s="13" t="n"/>
      <c r="DE64" s="62" t="n"/>
      <c r="DF64" s="62" t="n"/>
      <c r="DG64" s="62" t="n"/>
      <c r="DH64" s="62" t="n"/>
      <c r="DI64" s="62" t="n"/>
    </row>
    <row r="65" ht="12.6" customHeight="1">
      <c r="A65" s="544" t="n"/>
      <c r="CV65" s="62" t="n"/>
      <c r="CW65" s="62" t="n"/>
      <c r="CX65" s="62" t="n"/>
      <c r="CY65" s="62" t="n"/>
      <c r="CZ65" s="62" t="n"/>
      <c r="DA65" s="13" t="n"/>
      <c r="DB65" s="13" t="n"/>
      <c r="DC65" s="13" t="n"/>
      <c r="DD65" s="13" t="n"/>
      <c r="DE65" s="62" t="n"/>
      <c r="DF65" s="62" t="n"/>
      <c r="DG65" s="62" t="n"/>
      <c r="DH65" s="62" t="n"/>
      <c r="DI65" s="62" t="n"/>
    </row>
    <row r="66" ht="12.6" customHeight="1">
      <c r="A66" s="544" t="n"/>
      <c r="CV66" s="62" t="n"/>
      <c r="CW66" s="62" t="n"/>
      <c r="CX66" s="62" t="n"/>
      <c r="CY66" s="62" t="n"/>
      <c r="CZ66" s="62" t="n"/>
      <c r="DA66" s="13" t="n"/>
      <c r="DB66" s="13" t="n"/>
      <c r="DC66" s="13" t="n"/>
      <c r="DD66" s="13" t="n"/>
      <c r="DE66" s="62" t="n"/>
      <c r="DF66" s="62" t="n"/>
      <c r="DG66" s="62" t="n"/>
      <c r="DH66" s="62" t="n"/>
      <c r="DI66" s="62" t="n"/>
    </row>
    <row r="67" ht="12.6" customHeight="1">
      <c r="A67" s="544" t="n"/>
      <c r="CV67" s="62" t="n"/>
      <c r="CW67" s="62" t="n"/>
      <c r="CX67" s="62" t="n"/>
      <c r="CY67" s="62" t="n"/>
      <c r="CZ67" s="62" t="n"/>
      <c r="DA67" s="13" t="n"/>
      <c r="DB67" s="13" t="n"/>
      <c r="DC67" s="13" t="n"/>
      <c r="DD67" s="13" t="n"/>
      <c r="DE67" s="62" t="n"/>
      <c r="DF67" s="62" t="n"/>
      <c r="DG67" s="62" t="n"/>
      <c r="DH67" s="62" t="n"/>
      <c r="DI67" s="62" t="n"/>
    </row>
    <row r="68" ht="12.6" customHeight="1">
      <c r="A68" s="544" t="n"/>
      <c r="CV68" s="62" t="n"/>
      <c r="CW68" s="62" t="n"/>
      <c r="CX68" s="62" t="n"/>
      <c r="CY68" s="62" t="n"/>
      <c r="CZ68" s="62" t="n"/>
      <c r="DA68" s="13" t="n"/>
      <c r="DB68" s="13" t="n"/>
      <c r="DC68" s="13" t="n"/>
      <c r="DD68" s="13" t="n"/>
      <c r="DE68" s="62" t="n"/>
      <c r="DF68" s="62" t="n"/>
      <c r="DG68" s="62" t="n"/>
      <c r="DH68" s="62" t="n"/>
      <c r="DI68" s="62" t="n"/>
    </row>
    <row r="69" ht="12.6" customHeight="1">
      <c r="A69" s="544" t="n"/>
      <c r="CV69" s="62" t="n"/>
      <c r="CW69" s="62" t="n"/>
      <c r="CX69" s="62" t="n"/>
      <c r="CY69" s="62" t="n"/>
      <c r="CZ69" s="62" t="n"/>
      <c r="DA69" s="13" t="n"/>
      <c r="DB69" s="13" t="n"/>
      <c r="DC69" s="13" t="n"/>
      <c r="DD69" s="13" t="n"/>
      <c r="DE69" s="62" t="n"/>
      <c r="DF69" s="62" t="n"/>
      <c r="DG69" s="62" t="n"/>
      <c r="DH69" s="62" t="n"/>
      <c r="DI69" s="62" t="n"/>
    </row>
    <row r="70" ht="12.6" customHeight="1">
      <c r="A70" s="544" t="n"/>
      <c r="CV70" s="62" t="n"/>
      <c r="CW70" s="62" t="n"/>
      <c r="CX70" s="62" t="n"/>
      <c r="CY70" s="62" t="n"/>
      <c r="CZ70" s="62" t="n"/>
      <c r="DA70" s="13" t="n"/>
      <c r="DB70" s="13" t="n"/>
      <c r="DC70" s="13" t="n"/>
      <c r="DD70" s="13" t="n"/>
      <c r="DE70" s="62" t="n"/>
      <c r="DF70" s="62" t="n"/>
      <c r="DG70" s="62" t="n"/>
      <c r="DH70" s="62" t="n"/>
      <c r="DI70" s="62" t="n"/>
    </row>
    <row r="71" ht="12.6" customHeight="1">
      <c r="A71" s="544" t="n"/>
      <c r="CV71" s="62" t="n"/>
      <c r="CW71" s="62" t="n"/>
      <c r="CX71" s="62" t="n"/>
      <c r="CY71" s="62" t="n"/>
      <c r="CZ71" s="62" t="n"/>
      <c r="DA71" s="13" t="n"/>
      <c r="DB71" s="13" t="n"/>
      <c r="DC71" s="13" t="n"/>
      <c r="DD71" s="13" t="n"/>
      <c r="DE71" s="62" t="n"/>
      <c r="DF71" s="62" t="n"/>
      <c r="DG71" s="62" t="n"/>
      <c r="DH71" s="62" t="n"/>
      <c r="DI71" s="62" t="n"/>
    </row>
    <row r="72" ht="12.6" customHeight="1">
      <c r="A72" s="544" t="n"/>
      <c r="CV72" s="62" t="n"/>
      <c r="CW72" s="62" t="n"/>
      <c r="CX72" s="62" t="n"/>
      <c r="CY72" s="62" t="n"/>
      <c r="CZ72" s="62" t="n"/>
      <c r="DA72" s="13" t="n"/>
      <c r="DB72" s="13" t="n"/>
      <c r="DC72" s="13" t="n"/>
      <c r="DD72" s="13" t="n"/>
      <c r="DE72" s="62" t="n"/>
      <c r="DF72" s="62" t="n"/>
      <c r="DG72" s="62" t="n"/>
      <c r="DH72" s="62" t="n"/>
      <c r="DI72" s="62" t="n"/>
    </row>
    <row r="73" ht="12.6" customHeight="1">
      <c r="A73" s="544" t="n"/>
      <c r="CV73" s="62" t="n"/>
      <c r="CW73" s="62" t="n"/>
      <c r="CX73" s="62" t="n"/>
      <c r="CY73" s="62" t="n"/>
      <c r="CZ73" s="62" t="n"/>
      <c r="DA73" s="13" t="n"/>
      <c r="DB73" s="13" t="n"/>
      <c r="DC73" s="13" t="n"/>
      <c r="DD73" s="13" t="n"/>
      <c r="DE73" s="62" t="n"/>
      <c r="DF73" s="62" t="n"/>
      <c r="DG73" s="62" t="n"/>
      <c r="DH73" s="62" t="n"/>
      <c r="DI73" s="62" t="n"/>
    </row>
    <row r="74" ht="12.6" customHeight="1">
      <c r="A74" s="544" t="n"/>
      <c r="CV74" s="62" t="n"/>
      <c r="CW74" s="62" t="n"/>
      <c r="CX74" s="62" t="n"/>
      <c r="CY74" s="62" t="n"/>
      <c r="CZ74" s="62" t="n"/>
      <c r="DA74" s="13" t="n"/>
      <c r="DB74" s="13" t="n"/>
      <c r="DC74" s="13" t="n"/>
      <c r="DD74" s="13" t="n"/>
      <c r="DE74" s="62" t="n"/>
      <c r="DF74" s="62" t="n"/>
      <c r="DG74" s="62" t="n"/>
      <c r="DH74" s="62" t="n"/>
      <c r="DI74" s="62" t="n"/>
    </row>
    <row r="75" ht="12.6" customHeight="1">
      <c r="A75" s="544" t="n"/>
      <c r="CV75" s="62" t="n"/>
      <c r="CW75" s="62" t="n"/>
      <c r="CX75" s="62" t="n"/>
      <c r="CY75" s="62" t="n"/>
      <c r="CZ75" s="62" t="n"/>
      <c r="DA75" s="13" t="n"/>
      <c r="DB75" s="13" t="n"/>
      <c r="DC75" s="13" t="n"/>
      <c r="DD75" s="13" t="n"/>
      <c r="DE75" s="62" t="n"/>
      <c r="DF75" s="62" t="n"/>
      <c r="DG75" s="62" t="n"/>
      <c r="DH75" s="62" t="n"/>
      <c r="DI75" s="62" t="n"/>
    </row>
    <row r="76" ht="12.6" customHeight="1">
      <c r="A76" s="544" t="n"/>
      <c r="CV76" s="62" t="n"/>
      <c r="CW76" s="62" t="n"/>
      <c r="CX76" s="62" t="n"/>
      <c r="CY76" s="62" t="n"/>
      <c r="CZ76" s="62" t="n"/>
      <c r="DA76" s="13" t="n"/>
      <c r="DB76" s="13" t="n"/>
      <c r="DC76" s="13" t="n"/>
      <c r="DD76" s="13" t="n"/>
      <c r="DE76" s="62" t="n"/>
      <c r="DF76" s="62" t="n"/>
      <c r="DG76" s="62" t="n"/>
      <c r="DH76" s="62" t="n"/>
      <c r="DI76" s="62" t="n"/>
    </row>
    <row r="77" ht="12.6" customHeight="1">
      <c r="A77" s="544" t="n"/>
      <c r="CV77" s="62" t="n"/>
      <c r="CW77" s="62" t="n"/>
      <c r="CX77" s="62" t="n"/>
      <c r="CY77" s="62" t="n"/>
      <c r="CZ77" s="62" t="n"/>
      <c r="DA77" s="13" t="n"/>
      <c r="DB77" s="13" t="n"/>
      <c r="DC77" s="13" t="n"/>
      <c r="DD77" s="13" t="n"/>
      <c r="DE77" s="62" t="n"/>
      <c r="DF77" s="62" t="n"/>
      <c r="DG77" s="62" t="n"/>
      <c r="DH77" s="62" t="n"/>
      <c r="DI77" s="62" t="n"/>
    </row>
    <row r="78" ht="12.6" customHeight="1">
      <c r="A78" s="544" t="n"/>
      <c r="CV78" s="62" t="n"/>
      <c r="CW78" s="62" t="n"/>
      <c r="CX78" s="62" t="n"/>
      <c r="CY78" s="62" t="n"/>
      <c r="CZ78" s="62" t="n"/>
      <c r="DA78" s="13" t="n"/>
      <c r="DB78" s="13" t="n"/>
      <c r="DC78" s="13" t="n"/>
      <c r="DD78" s="13" t="n"/>
      <c r="DE78" s="62" t="n"/>
      <c r="DF78" s="62" t="n"/>
      <c r="DG78" s="62" t="n"/>
      <c r="DH78" s="62" t="n"/>
      <c r="DI78" s="62" t="n"/>
    </row>
    <row r="79" ht="12.6" customHeight="1">
      <c r="A79" s="544" t="n"/>
      <c r="CV79" s="62" t="n"/>
      <c r="CW79" s="62" t="n"/>
      <c r="CX79" s="62" t="n"/>
      <c r="CY79" s="62" t="n"/>
      <c r="CZ79" s="62" t="n"/>
      <c r="DA79" s="13" t="n"/>
      <c r="DB79" s="13" t="n"/>
      <c r="DC79" s="13" t="n"/>
      <c r="DD79" s="13" t="n"/>
      <c r="DE79" s="62" t="n"/>
      <c r="DF79" s="62" t="n"/>
      <c r="DG79" s="62" t="n"/>
      <c r="DH79" s="62" t="n"/>
      <c r="DI79" s="62" t="n"/>
    </row>
    <row r="80" ht="12.6" customHeight="1">
      <c r="A80" s="544" t="n"/>
      <c r="CV80" s="62" t="n"/>
      <c r="CW80" s="62" t="n"/>
      <c r="CX80" s="62" t="n"/>
      <c r="CY80" s="62" t="n"/>
      <c r="CZ80" s="62" t="n"/>
      <c r="DA80" s="13" t="n"/>
      <c r="DB80" s="13" t="n"/>
      <c r="DC80" s="13" t="n"/>
      <c r="DD80" s="13" t="n"/>
      <c r="DE80" s="62" t="n"/>
      <c r="DF80" s="62" t="n"/>
      <c r="DG80" s="62" t="n"/>
      <c r="DH80" s="62" t="n"/>
      <c r="DI80" s="62" t="n"/>
    </row>
    <row r="81" ht="12.6" customHeight="1">
      <c r="A81" s="544" t="n"/>
      <c r="CV81" s="62" t="n"/>
      <c r="CW81" s="62" t="n"/>
      <c r="CX81" s="62" t="n"/>
      <c r="CY81" s="62" t="n"/>
      <c r="CZ81" s="62" t="n"/>
      <c r="DA81" s="13" t="n"/>
      <c r="DB81" s="13" t="n"/>
      <c r="DC81" s="13" t="n"/>
      <c r="DD81" s="13" t="n"/>
      <c r="DE81" s="62" t="n"/>
      <c r="DF81" s="62" t="n"/>
      <c r="DG81" s="62" t="n"/>
      <c r="DH81" s="62" t="n"/>
      <c r="DI81" s="62" t="n"/>
    </row>
    <row r="82" ht="12.6" customHeight="1">
      <c r="A82" s="544" t="n"/>
      <c r="CV82" s="62" t="n"/>
      <c r="CW82" s="62" t="n"/>
      <c r="CX82" s="62" t="n"/>
      <c r="CY82" s="62" t="n"/>
      <c r="CZ82" s="62" t="n"/>
      <c r="DA82" s="13" t="n"/>
      <c r="DB82" s="13" t="n"/>
      <c r="DC82" s="13" t="n"/>
      <c r="DD82" s="13" t="n"/>
      <c r="DE82" s="62" t="n"/>
      <c r="DF82" s="62" t="n"/>
      <c r="DG82" s="62" t="n"/>
      <c r="DH82" s="62" t="n"/>
      <c r="DI82" s="62" t="n"/>
    </row>
    <row r="83" ht="12.6" customHeight="1">
      <c r="A83" s="544" t="n"/>
      <c r="CV83" s="62" t="n"/>
      <c r="CW83" s="62" t="n"/>
      <c r="CX83" s="62" t="n"/>
      <c r="CY83" s="62" t="n"/>
      <c r="CZ83" s="62" t="n"/>
      <c r="DA83" s="13" t="n"/>
      <c r="DB83" s="13" t="n"/>
      <c r="DC83" s="13" t="n"/>
      <c r="DD83" s="13" t="n"/>
      <c r="DE83" s="62" t="n"/>
      <c r="DF83" s="62" t="n"/>
      <c r="DG83" s="62" t="n"/>
      <c r="DH83" s="62" t="n"/>
      <c r="DI83" s="62" t="n"/>
    </row>
    <row r="84" ht="12.6" customHeight="1">
      <c r="A84" s="544" t="n"/>
      <c r="CV84" s="62" t="n"/>
      <c r="CW84" s="62" t="n"/>
      <c r="CX84" s="62" t="n"/>
      <c r="CY84" s="62" t="n"/>
      <c r="CZ84" s="62" t="n"/>
      <c r="DA84" s="13" t="n"/>
      <c r="DB84" s="13" t="n"/>
      <c r="DC84" s="13" t="n"/>
      <c r="DD84" s="13" t="n"/>
      <c r="DE84" s="62" t="n"/>
      <c r="DF84" s="62" t="n"/>
      <c r="DG84" s="62" t="n"/>
      <c r="DH84" s="62" t="n"/>
      <c r="DI84" s="62" t="n"/>
    </row>
    <row r="85" ht="12.6" customHeight="1">
      <c r="A85" s="544" t="n"/>
      <c r="CV85" s="62" t="n"/>
      <c r="CW85" s="62" t="n"/>
      <c r="CX85" s="62" t="n"/>
      <c r="CY85" s="62" t="n"/>
      <c r="CZ85" s="62" t="n"/>
      <c r="DA85" s="13" t="n"/>
      <c r="DB85" s="13" t="n"/>
      <c r="DC85" s="13" t="n"/>
      <c r="DD85" s="13" t="n"/>
      <c r="DE85" s="62" t="n"/>
      <c r="DF85" s="62" t="n"/>
      <c r="DG85" s="62" t="n"/>
      <c r="DH85" s="62" t="n"/>
      <c r="DI85" s="62" t="n"/>
    </row>
    <row r="86" ht="12.6" customHeight="1">
      <c r="A86" s="544" t="n"/>
      <c r="CV86" s="62" t="n"/>
      <c r="CW86" s="62" t="n"/>
      <c r="CX86" s="62" t="n"/>
      <c r="CY86" s="62" t="n"/>
      <c r="CZ86" s="62" t="n"/>
      <c r="DA86" s="13" t="n"/>
      <c r="DB86" s="13" t="n"/>
      <c r="DC86" s="13" t="n"/>
      <c r="DD86" s="13" t="n"/>
      <c r="DE86" s="62" t="n"/>
      <c r="DF86" s="62" t="n"/>
      <c r="DG86" s="62" t="n"/>
      <c r="DH86" s="62" t="n"/>
      <c r="DI86" s="62" t="n"/>
    </row>
    <row r="87" ht="12.6" customHeight="1">
      <c r="A87" s="544" t="n"/>
      <c r="CV87" s="62" t="n"/>
      <c r="CW87" s="62" t="n"/>
      <c r="CX87" s="62" t="n"/>
      <c r="CY87" s="62" t="n"/>
      <c r="CZ87" s="62" t="n"/>
      <c r="DA87" s="13" t="n"/>
      <c r="DB87" s="13" t="n"/>
      <c r="DC87" s="13" t="n"/>
      <c r="DD87" s="13" t="n"/>
      <c r="DE87" s="62" t="n"/>
      <c r="DF87" s="62" t="n"/>
      <c r="DG87" s="62" t="n"/>
      <c r="DH87" s="62" t="n"/>
      <c r="DI87" s="62" t="n"/>
    </row>
    <row r="88" ht="12.6" customHeight="1">
      <c r="A88" s="544" t="n"/>
      <c r="CV88" s="62" t="n"/>
      <c r="CW88" s="62" t="n"/>
      <c r="CX88" s="62" t="n"/>
      <c r="CY88" s="62" t="n"/>
      <c r="CZ88" s="62" t="n"/>
      <c r="DA88" s="13" t="n"/>
      <c r="DB88" s="13" t="n"/>
      <c r="DC88" s="13" t="n"/>
      <c r="DD88" s="13" t="n"/>
      <c r="DE88" s="62" t="n"/>
      <c r="DF88" s="62" t="n"/>
      <c r="DG88" s="62" t="n"/>
      <c r="DH88" s="62" t="n"/>
      <c r="DI88" s="62" t="n"/>
    </row>
    <row r="89" ht="12.6" customHeight="1">
      <c r="A89" s="544" t="n"/>
      <c r="CV89" s="62" t="n"/>
      <c r="CW89" s="62" t="n"/>
      <c r="CX89" s="62" t="n"/>
      <c r="CY89" s="62" t="n"/>
      <c r="CZ89" s="62" t="n"/>
      <c r="DA89" s="13" t="n"/>
      <c r="DB89" s="13" t="n"/>
      <c r="DC89" s="13" t="n"/>
      <c r="DD89" s="13" t="n"/>
      <c r="DE89" s="62" t="n"/>
      <c r="DF89" s="62" t="n"/>
      <c r="DG89" s="62" t="n"/>
      <c r="DH89" s="62" t="n"/>
      <c r="DI89" s="62" t="n"/>
    </row>
    <row r="90" ht="12.6" customHeight="1">
      <c r="A90" s="544" t="n"/>
      <c r="CV90" s="62" t="n"/>
      <c r="CW90" s="62" t="n"/>
      <c r="CX90" s="62" t="n"/>
      <c r="CY90" s="62" t="n"/>
      <c r="CZ90" s="62" t="n"/>
      <c r="DA90" s="13" t="n"/>
      <c r="DB90" s="13" t="n"/>
      <c r="DC90" s="13" t="n"/>
      <c r="DD90" s="13" t="n"/>
      <c r="DE90" s="62" t="n"/>
      <c r="DF90" s="62" t="n"/>
      <c r="DG90" s="62" t="n"/>
      <c r="DH90" s="62" t="n"/>
      <c r="DI90" s="62" t="n"/>
    </row>
    <row r="91" ht="12.6" customHeight="1">
      <c r="A91" s="544" t="n"/>
      <c r="CV91" s="62" t="n"/>
      <c r="CW91" s="62" t="n"/>
      <c r="CX91" s="62" t="n"/>
      <c r="CY91" s="62" t="n"/>
      <c r="CZ91" s="62" t="n"/>
      <c r="DA91" s="13" t="n"/>
      <c r="DB91" s="13" t="n"/>
      <c r="DC91" s="13" t="n"/>
      <c r="DD91" s="13" t="n"/>
      <c r="DE91" s="62" t="n"/>
      <c r="DF91" s="62" t="n"/>
      <c r="DG91" s="62" t="n"/>
      <c r="DH91" s="62" t="n"/>
      <c r="DI91" s="62" t="n"/>
    </row>
    <row r="92" ht="12.6" customHeight="1">
      <c r="A92" s="544" t="n"/>
      <c r="CV92" s="62" t="n"/>
      <c r="CW92" s="62" t="n"/>
      <c r="CX92" s="62" t="n"/>
      <c r="CY92" s="62" t="n"/>
      <c r="CZ92" s="62" t="n"/>
      <c r="DA92" s="13" t="n"/>
      <c r="DB92" s="13" t="n"/>
      <c r="DC92" s="13" t="n"/>
      <c r="DD92" s="13" t="n"/>
      <c r="DE92" s="62" t="n"/>
      <c r="DF92" s="62" t="n"/>
      <c r="DG92" s="62" t="n"/>
      <c r="DH92" s="62" t="n"/>
      <c r="DI92" s="62" t="n"/>
    </row>
    <row r="93" ht="12.6" customHeight="1">
      <c r="A93" s="544" t="n"/>
      <c r="CV93" s="62" t="n"/>
      <c r="CW93" s="62" t="n"/>
      <c r="CX93" s="62" t="n"/>
      <c r="CY93" s="62" t="n"/>
      <c r="CZ93" s="62" t="n"/>
      <c r="DA93" s="13" t="n"/>
      <c r="DB93" s="13" t="n"/>
      <c r="DC93" s="13" t="n"/>
      <c r="DD93" s="13" t="n"/>
      <c r="DE93" s="62" t="n"/>
      <c r="DF93" s="62" t="n"/>
      <c r="DG93" s="62" t="n"/>
      <c r="DH93" s="62" t="n"/>
      <c r="DI93" s="62" t="n"/>
    </row>
    <row r="94" ht="12.6" customHeight="1">
      <c r="A94" s="544" t="n"/>
      <c r="CV94" s="62" t="n"/>
      <c r="CW94" s="62" t="n"/>
      <c r="CX94" s="62" t="n"/>
      <c r="CY94" s="62" t="n"/>
      <c r="CZ94" s="62" t="n"/>
      <c r="DA94" s="13" t="n"/>
      <c r="DB94" s="13" t="n"/>
      <c r="DC94" s="13" t="n"/>
      <c r="DD94" s="13" t="n"/>
      <c r="DE94" s="62" t="n"/>
      <c r="DF94" s="62" t="n"/>
      <c r="DG94" s="62" t="n"/>
      <c r="DH94" s="62" t="n"/>
      <c r="DI94" s="62" t="n"/>
    </row>
    <row r="95" ht="12.6" customHeight="1">
      <c r="A95" s="544" t="n"/>
      <c r="CV95" s="62" t="n"/>
      <c r="CW95" s="62" t="n"/>
      <c r="CX95" s="62" t="n"/>
      <c r="CY95" s="62" t="n"/>
      <c r="CZ95" s="62" t="n"/>
      <c r="DA95" s="13" t="n"/>
      <c r="DB95" s="13" t="n"/>
      <c r="DC95" s="13" t="n"/>
      <c r="DD95" s="13" t="n"/>
      <c r="DE95" s="62" t="n"/>
      <c r="DF95" s="62" t="n"/>
      <c r="DG95" s="62" t="n"/>
      <c r="DH95" s="62" t="n"/>
      <c r="DI95" s="62" t="n"/>
    </row>
    <row r="96" ht="12.6" customHeight="1">
      <c r="A96" s="544" t="n"/>
      <c r="CV96" s="62" t="n"/>
      <c r="CW96" s="62" t="n"/>
      <c r="CX96" s="62" t="n"/>
      <c r="CY96" s="62" t="n"/>
      <c r="CZ96" s="62" t="n"/>
      <c r="DA96" s="13" t="n"/>
      <c r="DB96" s="13" t="n"/>
      <c r="DC96" s="13" t="n"/>
      <c r="DD96" s="13" t="n"/>
      <c r="DE96" s="62" t="n"/>
      <c r="DF96" s="62" t="n"/>
      <c r="DG96" s="62" t="n"/>
      <c r="DH96" s="62" t="n"/>
      <c r="DI96" s="62" t="n"/>
    </row>
    <row r="97" ht="12.6" customHeight="1">
      <c r="A97" s="544" t="n"/>
      <c r="CV97" s="62" t="n"/>
      <c r="CW97" s="62" t="n"/>
      <c r="CX97" s="62" t="n"/>
      <c r="CY97" s="62" t="n"/>
      <c r="CZ97" s="62" t="n"/>
      <c r="DA97" s="13" t="n"/>
      <c r="DB97" s="13" t="n"/>
      <c r="DC97" s="13" t="n"/>
      <c r="DD97" s="13" t="n"/>
      <c r="DE97" s="62" t="n"/>
      <c r="DF97" s="62" t="n"/>
      <c r="DG97" s="62" t="n"/>
      <c r="DH97" s="62" t="n"/>
      <c r="DI97" s="62" t="n"/>
    </row>
    <row r="98" ht="12.6" customHeight="1">
      <c r="A98" s="544" t="n"/>
      <c r="CV98" s="62" t="n"/>
      <c r="CW98" s="62" t="n"/>
      <c r="CX98" s="62" t="n"/>
      <c r="CY98" s="62" t="n"/>
      <c r="CZ98" s="62" t="n"/>
      <c r="DA98" s="13" t="n"/>
      <c r="DB98" s="13" t="n"/>
      <c r="DC98" s="13" t="n"/>
      <c r="DD98" s="13" t="n"/>
      <c r="DE98" s="62" t="n"/>
      <c r="DF98" s="62" t="n"/>
      <c r="DG98" s="62" t="n"/>
      <c r="DH98" s="62" t="n"/>
      <c r="DI98" s="62" t="n"/>
    </row>
    <row r="99" ht="12.6" customHeight="1">
      <c r="A99" s="544" t="n"/>
      <c r="CV99" s="62" t="n"/>
      <c r="CW99" s="62" t="n"/>
      <c r="CX99" s="62" t="n"/>
      <c r="CY99" s="62" t="n"/>
      <c r="CZ99" s="62" t="n"/>
      <c r="DA99" s="13" t="n"/>
      <c r="DB99" s="13" t="n"/>
      <c r="DC99" s="13" t="n"/>
      <c r="DD99" s="13" t="n"/>
      <c r="DE99" s="62" t="n"/>
      <c r="DF99" s="62" t="n"/>
      <c r="DG99" s="62" t="n"/>
      <c r="DH99" s="62" t="n"/>
      <c r="DI99" s="62" t="n"/>
    </row>
    <row r="100" ht="12.6" customHeight="1">
      <c r="A100" s="544" t="n"/>
      <c r="CV100" s="62" t="n"/>
      <c r="CW100" s="62" t="n"/>
      <c r="CX100" s="62" t="n"/>
      <c r="CY100" s="62" t="n"/>
      <c r="CZ100" s="62" t="n"/>
      <c r="DA100" s="13" t="n"/>
      <c r="DB100" s="13" t="n"/>
      <c r="DC100" s="13" t="n"/>
      <c r="DD100" s="13" t="n"/>
      <c r="DE100" s="62" t="n"/>
      <c r="DF100" s="62" t="n"/>
      <c r="DG100" s="62" t="n"/>
      <c r="DH100" s="62" t="n"/>
      <c r="DI100" s="62" t="n"/>
    </row>
    <row r="101" ht="12.6" customHeight="1">
      <c r="A101" s="544" t="n"/>
      <c r="CV101" s="62" t="n"/>
      <c r="CW101" s="62" t="n"/>
      <c r="CX101" s="62" t="n"/>
      <c r="CY101" s="62" t="n"/>
      <c r="CZ101" s="62" t="n"/>
      <c r="DA101" s="13" t="n"/>
      <c r="DB101" s="13" t="n"/>
      <c r="DC101" s="13" t="n"/>
      <c r="DD101" s="13" t="n"/>
      <c r="DE101" s="62" t="n"/>
      <c r="DF101" s="62" t="n"/>
      <c r="DG101" s="62" t="n"/>
      <c r="DH101" s="62" t="n"/>
      <c r="DI101" s="62" t="n"/>
    </row>
    <row r="102" ht="12.6" customHeight="1">
      <c r="A102" s="544" t="n"/>
      <c r="CV102" s="62" t="n"/>
      <c r="CW102" s="62" t="n"/>
      <c r="CX102" s="62" t="n"/>
      <c r="CY102" s="62" t="n"/>
      <c r="CZ102" s="62" t="n"/>
      <c r="DA102" s="13" t="n"/>
      <c r="DB102" s="13" t="n"/>
      <c r="DC102" s="13" t="n"/>
      <c r="DD102" s="13" t="n"/>
      <c r="DE102" s="62" t="n"/>
      <c r="DF102" s="62" t="n"/>
      <c r="DG102" s="62" t="n"/>
      <c r="DH102" s="62" t="n"/>
      <c r="DI102" s="62" t="n"/>
    </row>
    <row r="103" ht="12.6" customHeight="1">
      <c r="A103" s="544" t="n"/>
      <c r="CV103" s="62" t="n"/>
      <c r="CW103" s="62" t="n"/>
      <c r="CX103" s="62" t="n"/>
      <c r="CY103" s="62" t="n"/>
      <c r="CZ103" s="62" t="n"/>
      <c r="DA103" s="13" t="n"/>
      <c r="DB103" s="13" t="n"/>
      <c r="DC103" s="13" t="n"/>
      <c r="DD103" s="13" t="n"/>
      <c r="DE103" s="62" t="n"/>
      <c r="DF103" s="62" t="n"/>
      <c r="DG103" s="62" t="n"/>
      <c r="DH103" s="62" t="n"/>
      <c r="DI103" s="62" t="n"/>
    </row>
    <row r="104" ht="12.6" customHeight="1">
      <c r="A104" s="544" t="n"/>
      <c r="CV104" s="62" t="n"/>
      <c r="CW104" s="62" t="n"/>
      <c r="CX104" s="62" t="n"/>
      <c r="CY104" s="62" t="n"/>
      <c r="CZ104" s="62" t="n"/>
      <c r="DA104" s="13" t="n"/>
      <c r="DB104" s="13" t="n"/>
      <c r="DC104" s="13" t="n"/>
      <c r="DD104" s="13" t="n"/>
      <c r="DE104" s="62" t="n"/>
      <c r="DF104" s="62" t="n"/>
      <c r="DG104" s="62" t="n"/>
      <c r="DH104" s="62" t="n"/>
      <c r="DI104" s="62" t="n"/>
    </row>
  </sheetData>
  <mergeCells count="13">
    <mergeCell ref="O5:O6"/>
    <mergeCell ref="N5:N6"/>
    <mergeCell ref="D14:F14"/>
    <mergeCell ref="D11:F11"/>
    <mergeCell ref="D13:F13"/>
    <mergeCell ref="C19:G21"/>
    <mergeCell ref="L5:L6"/>
    <mergeCell ref="D12:F12"/>
    <mergeCell ref="D9:F9"/>
    <mergeCell ref="M5:M6"/>
    <mergeCell ref="C41:G43"/>
    <mergeCell ref="D8:F8"/>
    <mergeCell ref="D10:F10"/>
  </mergeCells>
  <conditionalFormatting sqref="C19:G21 C28:F28 C31:F33 C41:G43 D24 F38 G9:I14 N28 N31:N33">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Y52"/>
  <sheetViews>
    <sheetView showGridLines="0" zoomScale="70" zoomScaleNormal="70" workbookViewId="0">
      <selection activeCell="C19" sqref="C19:G21"/>
    </sheetView>
  </sheetViews>
  <sheetFormatPr baseColWidth="8" defaultColWidth="9.5703125" defaultRowHeight="12.75" customHeight="1" outlineLevelRow="1"/>
  <cols>
    <col width="0.140625" customWidth="1" style="164" min="1" max="1"/>
    <col width="5.140625" customWidth="1" style="19" min="2" max="2"/>
    <col width="25.42578125" customWidth="1" style="19" min="3" max="3"/>
    <col width="29.5703125" customWidth="1" style="19" min="4" max="4"/>
    <col width="31.28515625" customWidth="1" style="19" min="5" max="5"/>
    <col width="21.7109375" customWidth="1" style="19" min="6" max="6"/>
    <col width="19.7109375" customWidth="1" style="19" min="7" max="7"/>
    <col width="17.5703125" customWidth="1" style="19" min="8" max="8"/>
    <col width="15.5703125" customWidth="1" style="19" min="9" max="9"/>
    <col width="48.85546875" customWidth="1" style="19" min="10" max="10"/>
    <col outlineLevel="1" width="40.42578125" customWidth="1" style="19" min="11" max="11"/>
    <col outlineLevel="1" width="15.140625" customWidth="1" style="19" min="12" max="12"/>
    <col width="15.140625" customWidth="1" style="19" min="13" max="20"/>
    <col width="8.7109375" customWidth="1" style="19" min="21" max="25"/>
    <col width="11.5703125" customWidth="1" style="19" min="26" max="27"/>
    <col width="8.7109375" customWidth="1" style="19" min="28" max="34"/>
    <col width="13.28515625" customWidth="1" style="19" min="35" max="36"/>
    <col width="10.42578125" customWidth="1" style="19" min="37" max="37"/>
    <col width="11.85546875" customWidth="1" style="19" min="38" max="38"/>
    <col width="7.5703125" customWidth="1" style="19" min="39" max="39"/>
    <col width="9.140625" customWidth="1" style="19" min="40" max="40"/>
    <col width="9.5703125" customWidth="1" style="19" min="41" max="16384"/>
  </cols>
  <sheetData>
    <row r="1" ht="12.75" customHeight="1">
      <c r="A1" s="540" t="inlineStr">
        <is>
          <t>4cdc28c4-ea8a-467e-9b39-ede0a6875638</t>
        </is>
      </c>
      <c r="CW1" s="141" t="n"/>
      <c r="CX1" s="20" t="n"/>
      <c r="CY1" s="20" t="n"/>
      <c r="CZ1" s="142" t="n"/>
      <c r="DA1" s="143" t="n"/>
      <c r="DB1" s="143" t="n"/>
      <c r="DC1" s="143" t="n"/>
      <c r="DD1" s="143" t="n"/>
      <c r="DE1" s="143" t="n"/>
      <c r="DF1" s="143" t="n"/>
      <c r="DG1" s="143" t="n"/>
      <c r="DH1" s="20" t="n"/>
      <c r="DI1" s="143" t="n"/>
      <c r="DJ1" s="143" t="n"/>
      <c r="DK1" s="143" t="n"/>
      <c r="DL1" s="143" t="n"/>
      <c r="DM1" s="143" t="n"/>
      <c r="DN1" s="143" t="n"/>
      <c r="DO1" s="20" t="n"/>
      <c r="DP1" s="196" t="n"/>
      <c r="DQ1" s="197" t="n"/>
      <c r="DR1" s="198" t="n"/>
      <c r="DS1" s="198" t="n"/>
      <c r="DT1" s="20" t="n"/>
      <c r="DU1" s="143" t="n"/>
      <c r="DV1" s="147" t="n"/>
      <c r="DW1" s="199" t="n"/>
      <c r="DX1" s="143" t="n"/>
      <c r="DY1" s="149" t="n"/>
    </row>
    <row r="2" ht="10.5" customFormat="1" customHeight="1" s="9">
      <c r="A2" s="539" t="n"/>
      <c r="C2" s="473" t="n"/>
      <c r="J2" s="48" t="inlineStr">
        <is>
          <t>返回汇总页</t>
        </is>
      </c>
    </row>
    <row r="3" ht="12.6" customHeight="1" thickBot="1">
      <c r="A3" s="540" t="n"/>
      <c r="CS3" s="143" t="n"/>
      <c r="CT3" s="6" t="n"/>
      <c r="CU3" s="6" t="n"/>
      <c r="CV3" s="143" t="n"/>
      <c r="CW3" s="143" t="n"/>
      <c r="CX3" s="143" t="n"/>
      <c r="CY3" s="143" t="n"/>
      <c r="CZ3" s="143" t="n"/>
      <c r="DA3" s="143" t="n"/>
      <c r="DB3" s="143" t="n"/>
      <c r="DC3" s="143" t="n"/>
      <c r="DD3" s="6" t="n"/>
      <c r="DE3" s="143" t="n"/>
      <c r="DF3" s="143" t="n"/>
      <c r="DG3" s="143" t="n"/>
      <c r="DH3" s="143" t="n"/>
      <c r="DI3" s="143" t="n"/>
      <c r="DJ3" s="6" t="n"/>
      <c r="DK3" s="6" t="n"/>
      <c r="DL3" s="6" t="n"/>
      <c r="DM3" s="6" t="n"/>
      <c r="DN3" s="6" t="n"/>
      <c r="DO3" s="6" t="n"/>
      <c r="DP3" s="6" t="n"/>
      <c r="DQ3" s="6" t="n"/>
      <c r="DR3" s="6" t="n"/>
      <c r="DS3" s="200" t="n"/>
      <c r="DT3" s="143" t="n"/>
      <c r="DU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1.通过执行分析和调查两期的研发费用重大变动来确定其变动是否合理。</t>
        </is>
      </c>
      <c r="D5" s="191" t="n"/>
      <c r="E5" s="191" t="n"/>
      <c r="F5" s="191" t="n"/>
      <c r="G5" s="191" t="n"/>
      <c r="H5" s="191" t="n"/>
      <c r="I5" s="191"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91" t="n"/>
      <c r="E6" s="191" t="n"/>
      <c r="F6" s="191" t="n"/>
      <c r="G6" s="191" t="n"/>
      <c r="H6" s="191" t="n"/>
      <c r="I6" s="191"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505"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从管理层处取得本期研发费用账户的明细。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8.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77.45" customHeight="1">
      <c r="A12" s="660" t="n"/>
      <c r="C12" s="515" t="n">
        <v>4</v>
      </c>
      <c r="D12" s="846" t="inlineStr">
        <is>
          <t>对于单项金额重大的研发费用，需要获取该单项费用的组成明细，需要获取支持性文件如合同等，在必要时进行费用测试。</t>
        </is>
      </c>
      <c r="E12" s="988" t="n"/>
      <c r="F12" s="989"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34.3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147.6" customHeight="1">
      <c r="A14" s="660" t="n"/>
      <c r="C14" s="515" t="n">
        <v>6</v>
      </c>
      <c r="D14" s="844" t="inlineStr">
        <is>
          <t>将费用科目中存在着勾稽关系的费用类型，同相应的其他科目金额进行核对X-ref</t>
        </is>
      </c>
      <c r="E14" s="988" t="n"/>
      <c r="F14" s="989" t="n"/>
      <c r="G14" s="561" t="inlineStr">
        <is>
          <t>表1</t>
        </is>
      </c>
      <c r="H14" s="903" t="inlineStr">
        <is>
          <t>是</t>
        </is>
      </c>
      <c r="I14" s="904" t="n"/>
      <c r="J14" s="516" t="inlineStr">
        <is>
          <t>注意：研发费用中的资本化部分与研发支出金额的资本化时点应当进行核对并标记交叉索引
注意：在建工程或借款底稿中的利息测试应当注意是否包括形成研发费用的部分交叉索引</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2.6" customHeight="1" thickBot="1">
      <c r="A15" s="660" t="n"/>
      <c r="C15" s="384" t="n"/>
      <c r="D15" s="511" t="n"/>
      <c r="E15" s="511" t="n"/>
      <c r="F15" s="511" t="n"/>
      <c r="G15" s="511" t="n"/>
      <c r="H15" s="511" t="n"/>
      <c r="I15" s="511" t="n"/>
      <c r="J15" s="518"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17" s="163"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93"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0" t="n"/>
      <c r="CT25" s="6" t="n"/>
      <c r="CU25" s="6" t="n"/>
      <c r="CV25" s="6" t="n"/>
      <c r="CW25" s="143" t="n"/>
      <c r="CX25" s="143" t="n"/>
      <c r="CY25" s="143" t="n"/>
      <c r="CZ25" s="143" t="n"/>
      <c r="DA25" s="143" t="n"/>
      <c r="DB25" s="143" t="n"/>
      <c r="DC25" s="143" t="n"/>
      <c r="DD25" s="143" t="n"/>
      <c r="DE25" s="6" t="n"/>
      <c r="DF25" s="143" t="n"/>
      <c r="DG25" s="143" t="n"/>
      <c r="DH25" s="143" t="n"/>
      <c r="DI25" s="143" t="n"/>
      <c r="DJ25" s="143" t="n"/>
      <c r="DK25" s="6" t="n"/>
      <c r="DL25" s="6" t="n"/>
      <c r="DM25" s="6" t="n"/>
      <c r="DN25" s="6" t="n"/>
      <c r="DO25" s="6" t="n"/>
      <c r="DP25" s="6" t="n"/>
      <c r="DQ25" s="6" t="n"/>
      <c r="DR25" s="6" t="n"/>
      <c r="DS25" s="6" t="n"/>
      <c r="DT25" s="200" t="n"/>
      <c r="DU25" s="6" t="n"/>
      <c r="DV25" s="6" t="n"/>
    </row>
    <row r="26" ht="12.75" customHeight="1">
      <c r="A26" s="660" t="n"/>
      <c r="CT26" s="6" t="n"/>
      <c r="CU26" s="6" t="n"/>
      <c r="CV26" s="6" t="n"/>
      <c r="CW26" s="143" t="n"/>
      <c r="CX26" s="143" t="n"/>
      <c r="CY26" s="143" t="n"/>
      <c r="CZ26" s="143" t="n"/>
      <c r="DA26" s="143" t="n"/>
      <c r="DB26" s="143" t="n"/>
      <c r="DC26" s="143" t="n"/>
      <c r="DD26" s="143" t="n"/>
      <c r="DE26" s="6" t="n"/>
      <c r="DF26" s="143" t="n"/>
      <c r="DG26" s="143" t="n"/>
      <c r="DH26" s="143" t="n"/>
      <c r="DI26" s="143" t="n"/>
      <c r="DJ26" s="143" t="n"/>
      <c r="DK26" s="6" t="n"/>
      <c r="DL26" s="6" t="n"/>
      <c r="DM26" s="6" t="n"/>
      <c r="DN26" s="6" t="n"/>
      <c r="DO26" s="6" t="n"/>
      <c r="DP26" s="6" t="n"/>
      <c r="DQ26" s="6" t="n"/>
      <c r="DR26" s="6" t="n"/>
      <c r="DS26" s="6" t="n"/>
      <c r="DT26" s="200" t="n"/>
      <c r="DU26" s="6" t="n"/>
      <c r="DV26" s="6" t="n"/>
    </row>
    <row r="27" ht="12.75" customHeight="1">
      <c r="A27" s="660" t="n"/>
      <c r="C27" s="164"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CK27" s="6" t="n"/>
      <c r="CL27" s="6" t="n"/>
      <c r="CM27" s="6" t="n"/>
      <c r="CN27" s="143" t="n"/>
      <c r="CO27" s="143" t="n"/>
      <c r="CP27" s="143" t="n"/>
      <c r="CQ27" s="143" t="n"/>
      <c r="CR27" s="143" t="n"/>
      <c r="CS27" s="143" t="n"/>
      <c r="CT27" s="143" t="n"/>
      <c r="CU27" s="143" t="n"/>
      <c r="CV27" s="6" t="n"/>
      <c r="CW27" s="143" t="n"/>
      <c r="CX27" s="143" t="n"/>
      <c r="CY27" s="143" t="n"/>
      <c r="CZ27" s="143" t="n"/>
      <c r="DA27" s="143" t="n"/>
      <c r="DB27" s="6" t="n"/>
      <c r="DC27" s="6" t="n"/>
      <c r="DD27" s="6" t="n"/>
      <c r="DE27" s="6" t="n"/>
      <c r="DF27" s="6" t="n"/>
      <c r="DG27" s="6" t="n"/>
      <c r="DH27" s="6" t="n"/>
      <c r="DI27" s="6" t="n"/>
      <c r="DJ27" s="6" t="n"/>
      <c r="DK27" s="200" t="n"/>
      <c r="DL27" s="6" t="n"/>
      <c r="DM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0.2" customHeight="1" thickBot="1">
      <c r="A29" s="660" t="n"/>
      <c r="C29" s="585" t="n"/>
      <c r="D29" s="586" t="n"/>
      <c r="E29" s="365" t="n"/>
      <c r="F29" s="956" t="n"/>
      <c r="G29" s="586" t="n"/>
      <c r="H29" s="957" t="n"/>
      <c r="I29" s="957">
        <f>F29+H29</f>
        <v/>
      </c>
      <c r="J29" s="589">
        <f>IF($I$41&lt;&gt;0,I29/$I$41,"")</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601" t="n"/>
      <c r="Q30" s="650" t="n"/>
      <c r="R30" s="602"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36.6" customHeight="1">
      <c r="A31" s="660" t="n"/>
      <c r="B31" s="14"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603"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B32" s="173" t="n"/>
      <c r="C32" s="98" t="n"/>
      <c r="D32" s="99" t="n"/>
      <c r="E32" s="100" t="n"/>
      <c r="F32" s="961" t="n"/>
      <c r="G32" s="99" t="n"/>
      <c r="H32" s="962" t="n"/>
      <c r="I32" s="962">
        <f>F32+H32</f>
        <v/>
      </c>
      <c r="J32" s="103">
        <f>IF($I$41&lt;&gt;0,I32/$I$41,"")</f>
        <v/>
      </c>
      <c r="K32" s="99" t="n"/>
      <c r="L32" s="962" t="n"/>
      <c r="M32" s="963">
        <f>I32+L32</f>
        <v/>
      </c>
      <c r="N32" s="963" t="n"/>
      <c r="O32" s="961">
        <f>M32-N32</f>
        <v/>
      </c>
      <c r="P32" s="589">
        <f>IF(N32&lt;&gt;0,O32/N32,1)</f>
        <v/>
      </c>
      <c r="Q32" s="586"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B33" s="173" t="n"/>
      <c r="C33" s="98" t="n"/>
      <c r="D33" s="99" t="n"/>
      <c r="E33" s="100" t="n"/>
      <c r="F33" s="961" t="n"/>
      <c r="G33" s="99" t="n"/>
      <c r="H33" s="962" t="n"/>
      <c r="I33" s="962">
        <f>F33+H33</f>
        <v/>
      </c>
      <c r="J33" s="103">
        <f>IF($I$41&lt;&gt;0,I33/$I$41,"")</f>
        <v/>
      </c>
      <c r="K33" s="99" t="n"/>
      <c r="L33" s="962" t="n"/>
      <c r="M33" s="963">
        <f>I33+L33</f>
        <v/>
      </c>
      <c r="N33" s="963" t="n"/>
      <c r="O33" s="961">
        <f>M33-N33</f>
        <v/>
      </c>
      <c r="P33" s="589">
        <f>IF(N33&lt;&gt;0,O33/N33,1)</f>
        <v/>
      </c>
      <c r="Q33" s="586"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B34" s="173" t="n"/>
      <c r="C34" s="98" t="n"/>
      <c r="D34" s="99" t="n"/>
      <c r="E34" s="100" t="n"/>
      <c r="F34" s="961" t="n"/>
      <c r="G34" s="99" t="n"/>
      <c r="H34" s="962" t="n"/>
      <c r="I34" s="962">
        <f>F34+H34</f>
        <v/>
      </c>
      <c r="J34" s="103">
        <f>IF($I$41&lt;&gt;0,I34/$I$41,"")</f>
        <v/>
      </c>
      <c r="K34" s="99" t="n"/>
      <c r="L34" s="962" t="n"/>
      <c r="M34" s="963">
        <f>I34+L34</f>
        <v/>
      </c>
      <c r="N34" s="963" t="n"/>
      <c r="O34" s="961">
        <f>M34-N34</f>
        <v/>
      </c>
      <c r="P34" s="589">
        <f>IF(N34&lt;&gt;0,O34/N34,1)</f>
        <v/>
      </c>
      <c r="Q34" s="586"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c r="A35" s="660" t="n"/>
      <c r="B35" s="173" t="n"/>
      <c r="C35" s="98" t="n"/>
      <c r="D35" s="99" t="n"/>
      <c r="E35" s="100" t="n"/>
      <c r="F35" s="961" t="n"/>
      <c r="G35" s="99" t="n"/>
      <c r="H35" s="962" t="n"/>
      <c r="I35" s="962">
        <f>F35+H35</f>
        <v/>
      </c>
      <c r="J35" s="103">
        <f>IF($I$41&lt;&gt;0,I35/$I$41,"")</f>
        <v/>
      </c>
      <c r="K35" s="99" t="n"/>
      <c r="L35" s="962" t="n"/>
      <c r="M35" s="963">
        <f>I35+L35</f>
        <v/>
      </c>
      <c r="N35" s="963" t="n"/>
      <c r="O35" s="961">
        <f>M35-N35</f>
        <v/>
      </c>
      <c r="P35" s="589">
        <f>IF(N35&lt;&gt;0,O35/N35,1)</f>
        <v/>
      </c>
      <c r="Q35" s="586" t="n"/>
      <c r="R35" s="591"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173" t="n"/>
      <c r="C36" s="98" t="n"/>
      <c r="D36" s="99" t="n"/>
      <c r="E36" s="100" t="n"/>
      <c r="F36" s="961" t="n"/>
      <c r="G36" s="99" t="n"/>
      <c r="H36" s="962" t="n"/>
      <c r="I36" s="962">
        <f>F36+H36</f>
        <v/>
      </c>
      <c r="J36" s="103">
        <f>IF($I$41&lt;&gt;0,I36/$I$41,"")</f>
        <v/>
      </c>
      <c r="K36" s="99" t="n"/>
      <c r="L36" s="962" t="n"/>
      <c r="M36" s="963">
        <f>I36+L36</f>
        <v/>
      </c>
      <c r="N36" s="963" t="n"/>
      <c r="O36" s="961">
        <f>M36-N36</f>
        <v/>
      </c>
      <c r="P36" s="589">
        <f>IF(N36&lt;&gt;0,O36/N36,1)</f>
        <v/>
      </c>
      <c r="Q36" s="586" t="n"/>
      <c r="R36" s="105"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Height="1">
      <c r="A37" s="660" t="n"/>
      <c r="B37" s="173" t="n"/>
      <c r="C37" s="98" t="n"/>
      <c r="D37" s="99" t="n"/>
      <c r="E37" s="100" t="n"/>
      <c r="F37" s="961" t="n"/>
      <c r="G37" s="99" t="n"/>
      <c r="H37" s="962" t="n"/>
      <c r="I37" s="962">
        <f>F37+H37</f>
        <v/>
      </c>
      <c r="J37" s="103">
        <f>IF($I$41&lt;&gt;0,I37/$I$41,"")</f>
        <v/>
      </c>
      <c r="K37" s="99" t="n"/>
      <c r="L37" s="962" t="n"/>
      <c r="M37" s="963">
        <f>I37+L37</f>
        <v/>
      </c>
      <c r="N37" s="963" t="n"/>
      <c r="O37" s="961">
        <f>M37-N37</f>
        <v/>
      </c>
      <c r="P37" s="589">
        <f>IF(N37&lt;&gt;0,O37/N37,1)</f>
        <v/>
      </c>
      <c r="Q37" s="586" t="n"/>
      <c r="R37" s="105"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Height="1">
      <c r="A38" s="660" t="n"/>
      <c r="B38" s="934" t="n"/>
      <c r="C38" s="98" t="n"/>
      <c r="D38" s="99" t="n"/>
      <c r="E38" s="100" t="n"/>
      <c r="F38" s="961" t="n"/>
      <c r="G38" s="99" t="n"/>
      <c r="H38" s="962" t="n"/>
      <c r="I38" s="962">
        <f>F38+H38</f>
        <v/>
      </c>
      <c r="J38" s="103">
        <f>IF($I$41&lt;&gt;0,I38/$I$41,"")</f>
        <v/>
      </c>
      <c r="K38" s="99" t="n"/>
      <c r="L38" s="962" t="n"/>
      <c r="M38" s="963">
        <f>I38+L38</f>
        <v/>
      </c>
      <c r="N38" s="963" t="n"/>
      <c r="O38" s="961">
        <f>M38-N38</f>
        <v/>
      </c>
      <c r="P38" s="589">
        <f>IF(N38&lt;&gt;0,O38/N38,1)</f>
        <v/>
      </c>
      <c r="Q38" s="586" t="n"/>
      <c r="R38" s="105" t="n"/>
      <c r="CK38" s="6" t="n"/>
      <c r="CL38" s="6" t="n"/>
      <c r="CM38" s="6" t="n"/>
      <c r="CN38" s="143" t="n"/>
      <c r="CO38" s="143" t="n"/>
      <c r="CP38" s="143" t="n"/>
      <c r="CQ38" s="143" t="n"/>
      <c r="CR38" s="143" t="n"/>
      <c r="CS38" s="143" t="n"/>
      <c r="CT38" s="143" t="n"/>
      <c r="CU38" s="143" t="n"/>
      <c r="CV38" s="6" t="n"/>
      <c r="CW38" s="143" t="n"/>
      <c r="CX38" s="143" t="n"/>
      <c r="CY38" s="143" t="n"/>
      <c r="CZ38" s="143" t="n"/>
      <c r="DA38" s="143" t="n"/>
      <c r="DB38" s="6" t="n"/>
      <c r="DC38" s="6" t="n"/>
      <c r="DD38" s="6" t="n"/>
      <c r="DE38" s="6" t="n"/>
      <c r="DF38" s="6" t="n"/>
      <c r="DG38" s="6" t="n"/>
      <c r="DH38" s="6" t="n"/>
      <c r="DI38" s="6" t="n"/>
      <c r="DJ38" s="6" t="n"/>
      <c r="DK38" s="200" t="n"/>
      <c r="DL38" s="6" t="n"/>
      <c r="DM38" s="6" t="n"/>
    </row>
    <row r="39" ht="12.6" customHeight="1" thickBot="1">
      <c r="A39" s="660" t="inlineStr">
        <is>
          <t>/T1</t>
        </is>
      </c>
      <c r="C39" s="371" t="n"/>
      <c r="D39" s="372" t="n"/>
      <c r="E39" s="385" t="n"/>
      <c r="F39" s="966" t="n"/>
      <c r="G39" s="372" t="n"/>
      <c r="H39" s="967" t="n"/>
      <c r="I39" s="962">
        <f>F39+H39</f>
        <v/>
      </c>
      <c r="J39" s="103">
        <f>IF($I$41&lt;&gt;0,I39/$I$41,"")</f>
        <v/>
      </c>
      <c r="K39" s="378" t="n"/>
      <c r="L39" s="969" t="n"/>
      <c r="M39" s="963">
        <f>I39+L39</f>
        <v/>
      </c>
      <c r="N39" s="970" t="n"/>
      <c r="O39" s="961">
        <f>M39-N39</f>
        <v/>
      </c>
      <c r="P39" s="377">
        <f>IF(N39&lt;&gt;0,O39/N39,1)</f>
        <v/>
      </c>
      <c r="Q39" s="378" t="n"/>
      <c r="R39" s="373" t="n"/>
      <c r="CK39" s="6" t="n"/>
      <c r="CL39" s="6" t="n"/>
      <c r="CM39" s="6" t="n"/>
      <c r="CN39" s="143" t="n"/>
      <c r="CO39" s="143" t="n"/>
      <c r="CP39" s="143" t="n"/>
      <c r="CQ39" s="143" t="n"/>
      <c r="CR39" s="143" t="n"/>
      <c r="CS39" s="143" t="n"/>
      <c r="CT39" s="143" t="n"/>
      <c r="CU39" s="143" t="n"/>
      <c r="CV39" s="6" t="n"/>
      <c r="CW39" s="143" t="n"/>
      <c r="CX39" s="143" t="n"/>
      <c r="CY39" s="143" t="n"/>
      <c r="CZ39" s="143" t="n"/>
      <c r="DA39" s="143" t="n"/>
      <c r="DB39" s="6" t="n"/>
      <c r="DC39" s="6" t="n"/>
      <c r="DD39" s="6" t="n"/>
      <c r="DE39" s="6" t="n"/>
      <c r="DF39" s="6" t="n"/>
      <c r="DG39" s="6" t="n"/>
      <c r="DH39" s="6" t="n"/>
      <c r="DI39" s="6" t="n"/>
      <c r="DJ39" s="6" t="n"/>
      <c r="DK39" s="200" t="n"/>
      <c r="DL39" s="6" t="n"/>
      <c r="DM39" s="6" t="n"/>
    </row>
    <row r="40" ht="12.6" customFormat="1" customHeight="1" s="990">
      <c r="A40" s="991" t="n"/>
      <c r="B40" s="19" t="n"/>
      <c r="C40" s="992" t="n"/>
      <c r="D40" s="761" t="n"/>
      <c r="E40" s="993" t="n"/>
      <c r="F40" s="993" t="n"/>
      <c r="G40" s="993" t="n"/>
      <c r="H40" s="993" t="n"/>
      <c r="I40" s="994" t="n"/>
      <c r="J40" s="764" t="n"/>
      <c r="K40" s="765" t="n"/>
      <c r="L40" s="994" t="n"/>
      <c r="M40" s="994" t="n"/>
      <c r="N40" s="994" t="n"/>
      <c r="O40" s="976" t="n"/>
      <c r="P40" s="766" t="n"/>
      <c r="Q40" s="767" t="n"/>
      <c r="R40" s="768" t="n"/>
      <c r="S40" s="19" t="n"/>
      <c r="T40" s="19" t="n"/>
      <c r="U40" s="990" t="n"/>
      <c r="CM40" s="6" t="n"/>
      <c r="CN40" s="6" t="n"/>
      <c r="CO40" s="6" t="n"/>
      <c r="CP40" s="143" t="n"/>
      <c r="CQ40" s="143" t="n"/>
      <c r="CR40" s="143" t="n"/>
      <c r="CS40" s="143" t="n"/>
      <c r="CT40" s="143" t="n"/>
      <c r="CU40" s="143" t="n"/>
      <c r="CV40" s="143" t="n"/>
      <c r="CW40" s="143" t="n"/>
      <c r="CX40" s="6" t="n"/>
      <c r="CY40" s="143" t="n"/>
      <c r="CZ40" s="143" t="n"/>
      <c r="DA40" s="143" t="n"/>
      <c r="DB40" s="143" t="n"/>
      <c r="DC40" s="143" t="n"/>
      <c r="DD40" s="6" t="n"/>
      <c r="DE40" s="6" t="n"/>
      <c r="DF40" s="6" t="n"/>
      <c r="DG40" s="6" t="n"/>
      <c r="DH40" s="6" t="n"/>
      <c r="DI40" s="6" t="n"/>
      <c r="DJ40" s="6" t="n"/>
      <c r="DK40" s="6" t="n"/>
      <c r="DL40" s="6" t="n"/>
      <c r="DM40" s="200" t="n"/>
      <c r="DN40" s="6" t="n"/>
      <c r="DO40" s="6" t="n"/>
    </row>
    <row r="41" ht="12.6" customFormat="1" customHeight="1" s="990" thickBot="1">
      <c r="A41" s="991" t="n"/>
      <c r="B41" s="990" t="n"/>
      <c r="C41" s="990" t="n"/>
      <c r="D41" s="995" t="n"/>
      <c r="E41" s="176" t="inlineStr">
        <is>
          <t>合计</t>
        </is>
      </c>
      <c r="F41" s="996">
        <f>SUM(F31:F40)</f>
        <v/>
      </c>
      <c r="G41" s="21" t="n"/>
      <c r="H41" s="996">
        <f>SUM(H31:H40)</f>
        <v/>
      </c>
      <c r="I41" s="996">
        <f>SUM(I31:I40)</f>
        <v/>
      </c>
      <c r="J41" s="387">
        <f>SUM(J31:J40)</f>
        <v/>
      </c>
      <c r="K41" s="21" t="n"/>
      <c r="L41" s="996">
        <f>SUM(L31:L40)</f>
        <v/>
      </c>
      <c r="M41" s="996">
        <f>SUM(M31:M40)</f>
        <v/>
      </c>
      <c r="N41" s="996">
        <f>SUM(N31:N40)</f>
        <v/>
      </c>
      <c r="O41" s="996">
        <f>M41-N41</f>
        <v/>
      </c>
      <c r="P41" s="387">
        <f>IF(N41&lt;&gt;0,O41/N41,1)</f>
        <v/>
      </c>
      <c r="Q41" s="177" t="n"/>
      <c r="R41" s="990" t="n"/>
      <c r="S41" s="19" t="n"/>
      <c r="T41" s="19" t="n"/>
      <c r="U41" s="990" t="n"/>
      <c r="CM41" s="9" t="n"/>
      <c r="CN41" s="9" t="n"/>
      <c r="CO41" s="9" t="n"/>
      <c r="CP41" s="149" t="n"/>
      <c r="CQ41" s="149" t="n"/>
      <c r="CR41" s="149" t="n"/>
      <c r="CS41" s="149" t="n"/>
      <c r="CT41" s="149" t="n"/>
      <c r="CU41" s="149" t="n"/>
      <c r="CV41" s="149" t="n"/>
      <c r="CW41" s="149" t="n"/>
      <c r="CX41" s="9" t="n"/>
      <c r="CY41" s="149" t="n"/>
      <c r="CZ41" s="149" t="n"/>
      <c r="DA41" s="149" t="n"/>
      <c r="DB41" s="149" t="n"/>
      <c r="DC41" s="149" t="n"/>
      <c r="DD41" s="9" t="n"/>
      <c r="DE41" s="9" t="n"/>
      <c r="DF41" s="9" t="n"/>
      <c r="DG41" s="9" t="n"/>
      <c r="DH41" s="9" t="n"/>
      <c r="DI41" s="9" t="n"/>
      <c r="DJ41" s="9" t="n"/>
      <c r="DK41" s="9" t="n"/>
      <c r="DL41" s="9" t="n"/>
      <c r="DM41" s="178" t="n"/>
      <c r="DN41" s="9" t="n"/>
      <c r="DO41" s="9" t="n"/>
    </row>
    <row r="42" ht="12.6" customFormat="1" customHeight="1" s="990" thickTop="1">
      <c r="A42" s="991" t="n"/>
      <c r="B42" s="990" t="n"/>
      <c r="C42" s="990" t="n"/>
      <c r="D42" s="997" t="n"/>
      <c r="E42" s="995" t="n"/>
      <c r="F42" s="131" t="inlineStr">
        <is>
          <t>Rx</t>
        </is>
      </c>
      <c r="G42" s="997" t="n"/>
      <c r="H42" s="998" t="inlineStr">
        <is>
          <t>^</t>
        </is>
      </c>
      <c r="I42" s="131" t="inlineStr">
        <is>
          <t>Rx</t>
        </is>
      </c>
      <c r="J42" s="131" t="inlineStr">
        <is>
          <t>Rx</t>
        </is>
      </c>
      <c r="K42" s="265" t="n"/>
      <c r="L42" s="131" t="inlineStr">
        <is>
          <t>Rx</t>
        </is>
      </c>
      <c r="M42" s="131" t="inlineStr">
        <is>
          <t>Rx</t>
        </is>
      </c>
      <c r="N42" s="131" t="inlineStr">
        <is>
          <t>Rx</t>
        </is>
      </c>
      <c r="O42" s="984" t="n"/>
      <c r="P42" s="182" t="n"/>
      <c r="Q42" s="266" t="n"/>
      <c r="R42" s="999" t="n"/>
      <c r="S42" s="19" t="n"/>
      <c r="T42" s="19" t="n"/>
      <c r="U42" s="990" t="n"/>
      <c r="CM42" s="6" t="n"/>
      <c r="CN42" s="6" t="n"/>
      <c r="CO42" s="6" t="n"/>
      <c r="CP42" s="143" t="n"/>
      <c r="CQ42" s="143" t="n"/>
      <c r="CR42" s="143" t="n"/>
      <c r="CS42" s="143" t="n"/>
      <c r="CT42" s="143" t="n"/>
      <c r="CU42" s="143" t="n"/>
      <c r="CV42" s="143" t="n"/>
      <c r="CW42" s="143" t="n"/>
      <c r="CX42" s="6" t="n"/>
      <c r="CY42" s="143" t="n"/>
      <c r="CZ42" s="143" t="n"/>
      <c r="DA42" s="143" t="n"/>
      <c r="DB42" s="143" t="n"/>
      <c r="DC42" s="143" t="n"/>
      <c r="DD42" s="6" t="n"/>
      <c r="DE42" s="6" t="n"/>
      <c r="DF42" s="6" t="n"/>
      <c r="DG42" s="6" t="n"/>
      <c r="DH42" s="6" t="n"/>
      <c r="DI42" s="6" t="n"/>
      <c r="DJ42" s="6" t="n"/>
      <c r="DK42" s="6" t="n"/>
      <c r="DL42" s="6" t="n"/>
      <c r="DM42" s="200" t="n"/>
      <c r="DN42" s="6" t="n"/>
      <c r="DO42" s="6" t="n"/>
    </row>
    <row r="43" ht="12.6" customFormat="1" customHeight="1" s="990">
      <c r="A43" s="991" t="n"/>
      <c r="B43" s="990" t="n"/>
      <c r="C43" s="990" t="n"/>
      <c r="D43" s="997" t="n"/>
      <c r="F43" s="984" t="n"/>
      <c r="G43" s="997" t="n"/>
      <c r="H43" s="1000" t="inlineStr">
        <is>
          <t>A3</t>
        </is>
      </c>
      <c r="I43" s="984" t="n"/>
      <c r="J43" s="186" t="n"/>
      <c r="K43" s="984" t="n"/>
      <c r="M43" s="984" t="n"/>
      <c r="N43" s="984" t="n"/>
      <c r="O43" s="984" t="n"/>
      <c r="P43" s="182" t="n"/>
      <c r="Q43" s="182" t="n"/>
      <c r="R43" s="999" t="n"/>
      <c r="S43" s="990" t="n"/>
      <c r="T43" s="19" t="n"/>
      <c r="U43" s="990" t="n"/>
      <c r="CM43" s="6" t="n"/>
      <c r="CN43" s="6" t="n"/>
      <c r="CO43" s="6" t="n"/>
      <c r="CP43" s="143" t="n"/>
      <c r="CQ43" s="143" t="n"/>
      <c r="CR43" s="143" t="n"/>
      <c r="CS43" s="143" t="n"/>
      <c r="CT43" s="143" t="n"/>
      <c r="CU43" s="143" t="n"/>
      <c r="CV43" s="143" t="n"/>
      <c r="CW43" s="143" t="n"/>
      <c r="CX43" s="6" t="n"/>
      <c r="CY43" s="143" t="n"/>
      <c r="CZ43" s="143" t="n"/>
      <c r="DA43" s="143" t="n"/>
      <c r="DB43" s="143" t="n"/>
      <c r="DC43" s="143" t="n"/>
      <c r="DD43" s="6" t="n"/>
      <c r="DE43" s="6" t="n"/>
      <c r="DF43" s="6" t="n"/>
      <c r="DG43" s="6" t="n"/>
      <c r="DH43" s="6" t="n"/>
      <c r="DI43" s="6" t="n"/>
      <c r="DJ43" s="6" t="n"/>
      <c r="DK43" s="6" t="n"/>
      <c r="DL43" s="6" t="n"/>
      <c r="DM43" s="200" t="n"/>
      <c r="DN43" s="6" t="n"/>
      <c r="DO43" s="6" t="n"/>
    </row>
    <row r="44" ht="12.6" customFormat="1" customHeight="1" s="990">
      <c r="A44" s="991" t="n"/>
      <c r="B44" s="990" t="n"/>
      <c r="C44" s="990" t="n"/>
      <c r="D44" s="13" t="inlineStr">
        <is>
          <t>详细测试涵盖的总账账户</t>
        </is>
      </c>
      <c r="E44" s="369" t="inlineStr">
        <is>
          <t>&lt;Uexp.01 TOD预审+剩余期间&gt;/&lt;Uexp.01 TOD 年审&gt;</t>
        </is>
      </c>
      <c r="F44" s="984" t="n"/>
      <c r="G44" s="997" t="n"/>
      <c r="H44" s="1001" t="inlineStr">
        <is>
          <t>Diff</t>
        </is>
      </c>
      <c r="I44" s="1002">
        <f>I41-I43</f>
        <v/>
      </c>
      <c r="J44" s="189" t="n"/>
      <c r="K44" s="984" t="n"/>
      <c r="M44" s="1002">
        <f>M41-M43</f>
        <v/>
      </c>
      <c r="N44" s="1002">
        <f>N41-N43</f>
        <v/>
      </c>
      <c r="O44" s="984" t="n"/>
      <c r="P44" s="182" t="n"/>
      <c r="Q44" s="182" t="n"/>
      <c r="R44" s="182" t="n"/>
      <c r="S44" s="182" t="n"/>
      <c r="T44" s="999" t="n"/>
      <c r="U44" s="990" t="n"/>
      <c r="V44" s="990" t="n"/>
      <c r="W44" s="990" t="n"/>
      <c r="CO44" s="6" t="n"/>
      <c r="CP44" s="6" t="n"/>
      <c r="CQ44" s="6" t="n"/>
      <c r="CR44" s="143" t="n"/>
      <c r="CS44" s="143" t="n"/>
      <c r="CT44" s="143" t="n"/>
      <c r="CU44" s="143" t="n"/>
      <c r="CV44" s="143" t="n"/>
      <c r="CW44" s="143" t="n"/>
      <c r="CX44" s="143" t="n"/>
      <c r="CY44" s="143" t="n"/>
      <c r="CZ44" s="6" t="n"/>
      <c r="DA44" s="143" t="n"/>
      <c r="DB44" s="143" t="n"/>
      <c r="DC44" s="143" t="n"/>
      <c r="DD44" s="143" t="n"/>
      <c r="DE44" s="143" t="n"/>
      <c r="DF44" s="6" t="n"/>
      <c r="DG44" s="6" t="n"/>
      <c r="DH44" s="6" t="n"/>
      <c r="DI44" s="6" t="n"/>
      <c r="DJ44" s="6" t="n"/>
      <c r="DK44" s="6" t="n"/>
      <c r="DL44" s="6" t="n"/>
      <c r="DM44" s="6" t="n"/>
      <c r="DN44" s="6" t="n"/>
      <c r="DO44" s="200" t="n"/>
      <c r="DP44" s="6" t="n"/>
      <c r="DQ44" s="6" t="n"/>
    </row>
    <row r="45" ht="13.35" customFormat="1" customHeight="1" s="20">
      <c r="A45" s="656" t="n"/>
      <c r="G45" s="163" t="n"/>
      <c r="H45" s="1003" t="n"/>
      <c r="I45" s="137" t="n"/>
      <c r="J45" s="163" t="n"/>
      <c r="CZ45" s="143" t="n"/>
      <c r="DA45" s="143" t="n"/>
      <c r="DB45" s="143" t="n"/>
      <c r="DC45" s="143" t="n"/>
      <c r="DD45" s="143" t="n"/>
      <c r="DE45" s="143" t="n"/>
      <c r="DF45" s="143" t="n"/>
      <c r="DG45" s="143" t="n"/>
      <c r="DI45" s="143" t="n"/>
      <c r="DJ45" s="143" t="n"/>
      <c r="DK45" s="143" t="n"/>
      <c r="DL45" s="143" t="n"/>
      <c r="DM45" s="143" t="n"/>
      <c r="DW45" s="203" t="n"/>
    </row>
    <row r="46" ht="13.35" customFormat="1" customHeight="1" s="13" thickBot="1">
      <c r="A46" s="663" t="n"/>
      <c r="B46" s="88" t="inlineStr">
        <is>
          <t>Notes</t>
        </is>
      </c>
      <c r="C46" s="13" t="inlineStr">
        <is>
          <t>对变动不在范围内的项目进行调查，评估其合理性，并记录在“说明”中。对异常项目进行调查，并记录在“说明”中。</t>
        </is>
      </c>
      <c r="G46" s="137" t="n"/>
      <c r="H46" s="985" t="n"/>
      <c r="I46" s="137" t="n"/>
      <c r="J46" s="137" t="n"/>
      <c r="CV46" s="62" t="n"/>
      <c r="CW46" s="62" t="n"/>
      <c r="CX46" s="62" t="n"/>
      <c r="CY46" s="62" t="n"/>
      <c r="CZ46" s="62" t="n"/>
      <c r="DA46" s="62" t="n"/>
      <c r="DB46" s="62" t="n"/>
      <c r="DE46" s="62" t="n"/>
      <c r="DF46" s="62" t="n"/>
      <c r="DG46" s="62" t="n"/>
      <c r="DH46" s="62" t="n"/>
      <c r="DI46" s="62" t="n"/>
      <c r="DS46" s="107" t="n"/>
    </row>
    <row r="47" ht="12.6" customFormat="1" customHeight="1" s="17">
      <c r="A47" s="664" t="n"/>
      <c r="C47" s="986" t="n"/>
      <c r="D47" s="937" t="n"/>
      <c r="E47" s="937" t="n"/>
      <c r="F47" s="937" t="n"/>
      <c r="G47" s="938" t="n"/>
      <c r="H47" s="139" t="n"/>
      <c r="I47" s="137" t="n"/>
      <c r="J47" s="139" t="n"/>
      <c r="CN47" s="13" t="n"/>
      <c r="CO47" s="13" t="n"/>
      <c r="CP47" s="13" t="n"/>
      <c r="CQ47" s="62" t="n"/>
      <c r="CR47" s="62" t="n"/>
      <c r="CS47" s="62" t="n"/>
      <c r="CT47" s="62" t="n"/>
      <c r="CU47" s="62" t="n"/>
      <c r="CV47" s="62" t="n"/>
      <c r="CW47" s="62" t="n"/>
      <c r="CX47" s="13" t="n"/>
      <c r="CY47" s="13" t="n"/>
      <c r="CZ47" s="62" t="n"/>
      <c r="DA47" s="62" t="n"/>
      <c r="DB47" s="62" t="n"/>
      <c r="DC47" s="62" t="n"/>
      <c r="DD47" s="62" t="n"/>
      <c r="DE47" s="13" t="n"/>
      <c r="DF47" s="13" t="n"/>
      <c r="DG47" s="13" t="n"/>
      <c r="DH47" s="13" t="n"/>
      <c r="DI47" s="13" t="n"/>
      <c r="DJ47" s="13" t="n"/>
      <c r="DK47" s="13" t="n"/>
      <c r="DL47" s="13" t="n"/>
      <c r="DM47" s="13" t="n"/>
      <c r="DN47" s="107" t="n"/>
      <c r="DO47" s="13" t="n"/>
      <c r="DP47" s="13" t="n"/>
    </row>
    <row r="48" ht="12.6" customFormat="1" customHeight="1" s="17">
      <c r="A48" s="665" t="n"/>
      <c r="C48" s="940" t="n"/>
      <c r="D48" s="941" t="n"/>
      <c r="E48" s="941" t="n"/>
      <c r="F48" s="941" t="n"/>
      <c r="G48" s="942" t="n"/>
      <c r="H48" s="139" t="n"/>
      <c r="I48" s="139" t="n"/>
      <c r="J48" s="139" t="n"/>
      <c r="CN48" s="13" t="n"/>
      <c r="CO48" s="13" t="n"/>
      <c r="CP48" s="13" t="n"/>
      <c r="CQ48" s="62" t="n"/>
      <c r="CR48" s="62" t="n"/>
      <c r="CS48" s="62" t="n"/>
      <c r="CT48" s="62" t="n"/>
      <c r="CU48" s="62" t="n"/>
      <c r="CV48" s="62" t="n"/>
      <c r="CW48" s="62" t="n"/>
      <c r="CX48" s="13" t="n"/>
      <c r="CY48" s="13" t="n"/>
      <c r="CZ48" s="62" t="n"/>
      <c r="DA48" s="62" t="n"/>
      <c r="DB48" s="62" t="n"/>
      <c r="DC48" s="62" t="n"/>
      <c r="DD48" s="62" t="n"/>
      <c r="DE48" s="13" t="n"/>
      <c r="DF48" s="13" t="n"/>
      <c r="DG48" s="13" t="n"/>
      <c r="DH48" s="13" t="n"/>
      <c r="DI48" s="13" t="n"/>
      <c r="DJ48" s="13" t="n"/>
      <c r="DK48" s="13" t="n"/>
      <c r="DL48" s="13" t="n"/>
      <c r="DM48" s="13" t="n"/>
      <c r="DN48" s="107" t="n"/>
      <c r="DO48" s="13" t="n"/>
      <c r="DP48" s="13" t="n"/>
    </row>
    <row r="49" ht="12.6" customFormat="1" customHeight="1" s="17" thickBot="1">
      <c r="A49" s="665" t="n"/>
      <c r="C49" s="943" t="n"/>
      <c r="D49" s="944" t="n"/>
      <c r="E49" s="944" t="n"/>
      <c r="F49" s="944" t="n"/>
      <c r="G49" s="945" t="n"/>
      <c r="H49" s="139" t="n"/>
      <c r="I49" s="139" t="n"/>
      <c r="J49" s="139" t="n"/>
      <c r="CN49" s="13" t="n"/>
      <c r="CO49" s="13" t="n"/>
      <c r="CP49" s="13" t="n"/>
      <c r="CQ49" s="62" t="n"/>
      <c r="CR49" s="62" t="n"/>
      <c r="CS49" s="62" t="n"/>
      <c r="CT49" s="62" t="n"/>
      <c r="CU49" s="62" t="n"/>
      <c r="CV49" s="62" t="n"/>
      <c r="CW49" s="62" t="n"/>
      <c r="CX49" s="13" t="n"/>
      <c r="CY49" s="13" t="n"/>
      <c r="CZ49" s="62" t="n"/>
      <c r="DA49" s="62" t="n"/>
      <c r="DB49" s="62" t="n"/>
      <c r="DC49" s="62" t="n"/>
      <c r="DD49" s="62" t="n"/>
      <c r="DE49" s="13" t="n"/>
      <c r="DF49" s="13" t="n"/>
      <c r="DG49" s="13" t="n"/>
      <c r="DH49" s="13" t="n"/>
      <c r="DI49" s="13" t="n"/>
      <c r="DJ49" s="13" t="n"/>
      <c r="DK49" s="13" t="n"/>
      <c r="DL49" s="13" t="n"/>
      <c r="DM49" s="13" t="n"/>
      <c r="DN49" s="13" t="n"/>
      <c r="DO49" s="13" t="n"/>
      <c r="DP49" s="13" t="n"/>
    </row>
    <row r="50" ht="12.75" customHeight="1">
      <c r="A50" s="540" t="n"/>
      <c r="CW50" s="20" t="n"/>
      <c r="CX50" s="20" t="n"/>
      <c r="CY50" s="143" t="n"/>
      <c r="CZ50" s="143" t="n"/>
      <c r="DA50" s="143" t="n"/>
      <c r="DB50" s="143" t="n"/>
      <c r="DC50" s="143" t="n"/>
      <c r="DD50" s="143" t="n"/>
      <c r="DE50" s="143" t="n"/>
      <c r="DF50" s="143" t="n"/>
      <c r="DG50" s="143" t="n"/>
      <c r="DH50" s="20" t="n"/>
      <c r="DI50" s="143" t="n"/>
      <c r="DJ50" s="143" t="n"/>
      <c r="DK50" s="143" t="n"/>
      <c r="DL50" s="143" t="n"/>
      <c r="DM50" s="143" t="n"/>
      <c r="DN50" s="20" t="n"/>
      <c r="DO50" s="20" t="n"/>
      <c r="DP50" s="20" t="n"/>
      <c r="DQ50" s="20" t="n"/>
      <c r="DR50" s="20" t="n"/>
      <c r="DS50" s="20" t="n"/>
      <c r="DT50" s="20" t="n"/>
      <c r="DU50" s="20" t="n"/>
      <c r="DV50" s="20" t="n"/>
      <c r="DW50" s="203" t="n"/>
      <c r="DX50" s="20" t="n"/>
      <c r="DY50" s="20" t="n"/>
    </row>
    <row r="51" ht="12.75" customHeight="1">
      <c r="A51" s="540" t="n"/>
      <c r="B51" s="204" t="n"/>
      <c r="C51" s="205" t="n"/>
      <c r="D51" s="205" t="n"/>
      <c r="E51" s="205" t="n"/>
      <c r="F51" s="205" t="n"/>
      <c r="G51" s="1004" t="n"/>
      <c r="H51" s="205" t="n"/>
      <c r="I51" s="205" t="n"/>
      <c r="J51" s="205" t="n"/>
      <c r="K51" s="205" t="n"/>
      <c r="L51" s="204" t="n"/>
      <c r="M51" s="204" t="n"/>
      <c r="N51" s="204" t="n"/>
      <c r="O51" s="204" t="n"/>
      <c r="P51" s="204" t="n"/>
    </row>
    <row r="52" ht="12.75" customHeight="1">
      <c r="A52" s="540" t="n"/>
      <c r="B52" s="204" t="n"/>
      <c r="C52" s="205" t="n"/>
      <c r="D52" s="205" t="n"/>
      <c r="E52" s="205" t="n"/>
      <c r="F52" s="205" t="n"/>
      <c r="G52" s="1004" t="n"/>
      <c r="H52" s="205" t="n"/>
      <c r="I52" s="205" t="n"/>
      <c r="J52" s="205" t="n"/>
      <c r="K52" s="205" t="n"/>
      <c r="L52" s="204" t="n"/>
      <c r="M52" s="204" t="n"/>
      <c r="N52" s="204" t="n"/>
      <c r="O52" s="204" t="n"/>
      <c r="P52" s="204" t="n"/>
    </row>
  </sheetData>
  <mergeCells count="13">
    <mergeCell ref="C47:G49"/>
    <mergeCell ref="O5:O6"/>
    <mergeCell ref="N5:N6"/>
    <mergeCell ref="D13:F13"/>
    <mergeCell ref="D14:F14"/>
    <mergeCell ref="D11:F11"/>
    <mergeCell ref="C19:G21"/>
    <mergeCell ref="D10:F10"/>
    <mergeCell ref="D12:F12"/>
    <mergeCell ref="M5:M6"/>
    <mergeCell ref="D9:F9"/>
    <mergeCell ref="D8:F8"/>
    <mergeCell ref="L5:L6"/>
  </mergeCells>
  <conditionalFormatting sqref="C19:G21 C29:F29 C32:F39 C47:G49 D24 F44 G9:I14 I43 M43:N43 N29 N32:N39">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codeName="Sheet5">
    <outlinePr summaryBelow="1" summaryRight="1"/>
    <pageSetUpPr/>
  </sheetPr>
  <dimension ref="A1:DW105"/>
  <sheetViews>
    <sheetView showGridLines="0" zoomScale="70" zoomScaleNormal="70" workbookViewId="0">
      <selection activeCell="P36" sqref="P36"/>
    </sheetView>
  </sheetViews>
  <sheetFormatPr baseColWidth="8" defaultColWidth="9.5703125" defaultRowHeight="12.6" customHeight="1" outlineLevelRow="1"/>
  <cols>
    <col width="0.140625" customWidth="1" style="556" min="1" max="1"/>
    <col width="6" customWidth="1" style="19" min="2" max="2"/>
    <col width="19.140625" customWidth="1" style="19" min="3" max="3"/>
    <col width="44.85546875" customWidth="1" style="19" min="4" max="4"/>
    <col width="22.28515625" customWidth="1" style="19" min="5" max="5"/>
    <col width="22.42578125" customWidth="1" style="19" min="6" max="6"/>
    <col width="32.7109375" customWidth="1" style="19" min="7" max="7"/>
    <col width="16.28515625" customWidth="1" style="19" min="8" max="8"/>
    <col width="25.42578125" customWidth="1" style="19" min="9" max="9"/>
    <col width="26.85546875" customWidth="1" style="19" min="10" max="10"/>
    <col outlineLevel="1" width="26.28515625" customWidth="1" style="19" min="11" max="11"/>
    <col outlineLevel="1" width="11.140625" customWidth="1" style="19" min="12" max="12"/>
    <col width="10.5703125" customWidth="1" style="19" min="13" max="13"/>
    <col width="12.85546875" customWidth="1" style="19" min="14" max="14"/>
    <col width="13.140625" customWidth="1" style="19" min="15" max="15"/>
    <col width="16.28515625" customWidth="1" style="19" min="16" max="16"/>
    <col width="11.140625" customWidth="1" style="19" min="17" max="17"/>
    <col width="13.85546875" customWidth="1" style="19" min="18" max="18"/>
    <col width="23" customWidth="1" style="19" min="19" max="19"/>
    <col width="15.140625" customWidth="1" style="19" min="20" max="20"/>
    <col width="8.7109375" customWidth="1" style="19" min="21" max="23"/>
    <col width="7.42578125" customWidth="1" style="19" min="24" max="25"/>
    <col width="13.140625" customWidth="1" style="19" min="26" max="27"/>
    <col width="8.7109375" customWidth="1" style="19" min="28" max="33"/>
    <col width="11.7109375" customWidth="1" style="19" min="34" max="34"/>
    <col width="7.5703125" customWidth="1" style="19" min="35" max="35"/>
    <col width="8.85546875" customWidth="1" style="19" min="36" max="36"/>
    <col width="9.5703125" customWidth="1" style="19" min="37" max="16384"/>
  </cols>
  <sheetData>
    <row r="1" ht="12.6" customHeight="1">
      <c r="A1" s="541" t="inlineStr">
        <is>
          <t>ef949b77-f54f-447e-9d50-7c9f48bd6215</t>
        </is>
      </c>
      <c r="CS1" s="141" t="n"/>
      <c r="CT1" s="6" t="n"/>
      <c r="CU1" s="6" t="n"/>
      <c r="CV1" s="142" t="n"/>
      <c r="CW1" s="143" t="n"/>
      <c r="CX1" s="143" t="n"/>
      <c r="CY1" s="143" t="n"/>
      <c r="CZ1" s="143" t="n"/>
      <c r="DA1" s="143" t="n"/>
      <c r="DB1" s="6" t="n"/>
      <c r="DC1" s="143" t="n"/>
      <c r="DD1" s="6" t="n"/>
      <c r="DE1" s="143" t="n"/>
      <c r="DF1" s="143" t="n"/>
      <c r="DG1" s="143" t="n"/>
      <c r="DH1" s="143" t="n"/>
      <c r="DI1" s="143" t="n"/>
      <c r="DJ1" s="143" t="n"/>
      <c r="DK1" s="6" t="n"/>
      <c r="DL1" s="144" t="n"/>
      <c r="DM1" s="145" t="n"/>
      <c r="DN1" s="146" t="n"/>
      <c r="DO1" s="146" t="n"/>
      <c r="DP1" s="6" t="n"/>
      <c r="DQ1" s="143" t="n"/>
      <c r="DR1" s="147" t="n"/>
      <c r="DS1" s="252" t="n"/>
      <c r="DT1" s="143" t="n"/>
      <c r="DU1" s="149" t="n"/>
    </row>
    <row r="2" ht="17.85" customFormat="1" customHeight="1" s="9">
      <c r="A2" s="539" t="n"/>
      <c r="C2" s="473" t="n"/>
      <c r="J2" s="48" t="inlineStr">
        <is>
          <t>返回汇总页</t>
        </is>
      </c>
    </row>
    <row r="3" ht="12.6" customHeight="1" thickBot="1">
      <c r="A3" s="541"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1" t="n"/>
      <c r="C4" s="757" t="inlineStr">
        <is>
          <t>目标</t>
        </is>
      </c>
      <c r="D4" s="758" t="n"/>
      <c r="E4" s="758" t="n"/>
      <c r="F4" s="758" t="n"/>
      <c r="G4" s="758" t="n"/>
      <c r="H4" s="758" t="n"/>
      <c r="I4" s="758" t="n"/>
      <c r="J4" s="759" t="n"/>
      <c r="K4" s="151" t="n"/>
      <c r="L4" s="151" t="n"/>
      <c r="CS4" s="6" t="n"/>
      <c r="CT4" s="6" t="n"/>
      <c r="CU4" s="6" t="n"/>
      <c r="CV4" s="143" t="n"/>
      <c r="CW4" s="143" t="n"/>
      <c r="CX4" s="143" t="n"/>
      <c r="CY4" s="143" t="n"/>
      <c r="CZ4" s="143" t="n"/>
      <c r="DA4" s="143" t="n"/>
      <c r="DB4" s="143" t="n"/>
      <c r="DC4" s="143" t="n"/>
      <c r="DD4" s="6" t="n"/>
      <c r="DE4" s="143" t="n"/>
      <c r="DF4" s="143" t="n"/>
      <c r="DG4" s="143" t="n"/>
      <c r="DH4" s="143" t="n"/>
      <c r="DI4" s="143" t="n"/>
      <c r="DJ4" s="6" t="n"/>
      <c r="DK4" s="6" t="n"/>
      <c r="DL4" s="6" t="n"/>
      <c r="DM4" s="6" t="n"/>
      <c r="DN4" s="6" t="n"/>
      <c r="DO4" s="6" t="n"/>
      <c r="DP4" s="6" t="n"/>
      <c r="DQ4" s="6" t="n"/>
      <c r="DR4" s="6" t="n"/>
      <c r="DS4" s="200" t="n"/>
      <c r="DT4" s="6" t="n"/>
      <c r="DU4" s="6" t="n"/>
    </row>
    <row r="5" ht="19.5" customHeight="1">
      <c r="A5" s="541" t="n"/>
      <c r="C5" s="49" t="inlineStr">
        <is>
          <t>1.通过执行分析和调查两期的财务费用重大变动来确定其变动是否合理。</t>
        </is>
      </c>
      <c r="D5" s="152" t="n"/>
      <c r="E5" s="152" t="n"/>
      <c r="F5" s="152" t="n"/>
      <c r="G5" s="152" t="n"/>
      <c r="H5" s="152" t="n"/>
      <c r="I5" s="152" t="n"/>
      <c r="J5" s="153" t="n"/>
      <c r="K5" s="843" t="n"/>
      <c r="L5" s="843" t="n"/>
      <c r="M5" s="843" t="n"/>
      <c r="N5" s="842" t="n"/>
      <c r="CS5" s="6" t="n"/>
      <c r="CT5" s="6" t="n"/>
      <c r="CU5" s="987" t="n"/>
      <c r="CV5" s="143" t="n"/>
      <c r="CW5" s="143" t="n"/>
      <c r="CX5" s="143" t="n"/>
      <c r="CY5" s="143" t="n"/>
      <c r="CZ5" s="143" t="n"/>
      <c r="DA5" s="143" t="n"/>
      <c r="DB5" s="143" t="n"/>
      <c r="DC5" s="143" t="n"/>
      <c r="DD5" s="6" t="n"/>
      <c r="DE5" s="143" t="n"/>
      <c r="DF5" s="143" t="n"/>
      <c r="DG5" s="143" t="n"/>
      <c r="DH5" s="143" t="n"/>
      <c r="DI5" s="143" t="n"/>
      <c r="DJ5" s="6" t="n"/>
      <c r="DK5" s="6" t="n"/>
      <c r="DL5" s="6" t="n"/>
      <c r="DM5" s="6" t="n"/>
      <c r="DN5" s="6" t="n"/>
      <c r="DO5" s="6" t="n"/>
      <c r="DP5" s="6" t="n"/>
      <c r="DQ5" s="6" t="n"/>
      <c r="DR5" s="6" t="n"/>
      <c r="DS5" s="200" t="n"/>
      <c r="DT5" s="6" t="n"/>
      <c r="DU5" s="6" t="n"/>
    </row>
    <row r="6" ht="19.5" customHeight="1">
      <c r="A6" s="541" t="n"/>
      <c r="C6" s="49" t="inlineStr">
        <is>
          <t>2.明细账金额、总账及报表金额是否一致，对重大不一致调查其调节项的性质及原因。</t>
        </is>
      </c>
      <c r="D6" s="152" t="n"/>
      <c r="E6" s="152" t="n"/>
      <c r="F6" s="152" t="n"/>
      <c r="G6" s="152" t="n"/>
      <c r="H6" s="152" t="n"/>
      <c r="I6" s="152" t="n"/>
      <c r="J6" s="153" t="n"/>
      <c r="CS6" s="6" t="n"/>
      <c r="CT6" s="987" t="n"/>
      <c r="CU6" s="987" t="n"/>
      <c r="CV6" s="143" t="n"/>
      <c r="CW6" s="143" t="n"/>
      <c r="CX6" s="143" t="n"/>
      <c r="CY6" s="143" t="n"/>
      <c r="CZ6" s="143" t="n"/>
      <c r="DA6" s="143" t="n"/>
      <c r="DB6" s="143" t="n"/>
      <c r="DC6" s="143" t="n"/>
      <c r="DD6" s="987" t="n"/>
      <c r="DE6" s="143" t="n"/>
      <c r="DF6" s="143" t="n"/>
      <c r="DG6" s="143" t="n"/>
      <c r="DH6" s="143" t="n"/>
      <c r="DI6" s="143" t="n"/>
      <c r="DJ6" s="987" t="n"/>
      <c r="DK6" s="6" t="n"/>
      <c r="DL6" s="6" t="n"/>
      <c r="DM6" s="6" t="n"/>
      <c r="DN6" s="6" t="n"/>
      <c r="DO6" s="6" t="n"/>
      <c r="DP6" s="987" t="n"/>
      <c r="DQ6" s="987" t="n"/>
      <c r="DR6" s="987" t="n"/>
      <c r="DS6" s="155" t="n"/>
      <c r="DT6" s="6" t="n"/>
      <c r="DU6" s="6" t="n"/>
    </row>
    <row r="7" ht="12.6" customHeight="1">
      <c r="A7" s="541" t="n"/>
      <c r="C7" s="49" t="n"/>
      <c r="D7" s="152" t="n"/>
      <c r="E7" s="152" t="n"/>
      <c r="F7" s="152" t="n"/>
      <c r="G7" s="152" t="n"/>
      <c r="H7" s="152" t="n"/>
      <c r="I7" s="152" t="n"/>
      <c r="J7" s="153" t="n"/>
      <c r="K7" s="353" t="n"/>
      <c r="L7" s="156" t="n"/>
      <c r="M7" s="156" t="n"/>
      <c r="N7" s="156" t="n"/>
      <c r="CS7" s="6" t="n"/>
      <c r="CT7" s="987" t="n"/>
      <c r="CU7" s="987" t="n"/>
      <c r="CV7" s="143" t="n"/>
      <c r="CW7" s="143" t="n"/>
      <c r="CX7" s="143" t="n"/>
      <c r="CY7" s="143" t="n"/>
      <c r="CZ7" s="143" t="n"/>
      <c r="DA7" s="143" t="n"/>
      <c r="DB7" s="143" t="n"/>
      <c r="DC7" s="143" t="n"/>
      <c r="DD7" s="987" t="n"/>
      <c r="DE7" s="143" t="n"/>
      <c r="DF7" s="143" t="n"/>
      <c r="DG7" s="143" t="n"/>
      <c r="DH7" s="143" t="n"/>
      <c r="DI7" s="143" t="n"/>
      <c r="DJ7" s="987" t="n"/>
      <c r="DK7" s="6" t="n"/>
      <c r="DL7" s="6" t="n"/>
      <c r="DM7" s="6" t="n"/>
      <c r="DN7" s="6" t="n"/>
      <c r="DO7" s="6" t="n"/>
      <c r="DP7" s="987" t="n"/>
      <c r="DQ7" s="987" t="n"/>
      <c r="DR7" s="987" t="n"/>
      <c r="DS7" s="155" t="n"/>
      <c r="DT7" s="6" t="n"/>
      <c r="DU7" s="6" t="n"/>
    </row>
    <row r="8" ht="21" customHeight="1">
      <c r="A8" s="541"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1" t="n"/>
      <c r="L8" s="151" t="n"/>
      <c r="M8" s="151" t="n"/>
      <c r="CT8" s="7" t="n"/>
      <c r="CU8" s="7" t="n"/>
      <c r="CV8" s="7" t="n"/>
      <c r="CW8" s="143" t="n"/>
      <c r="CX8" s="143" t="n"/>
      <c r="CY8" s="143" t="n"/>
      <c r="CZ8" s="143" t="n"/>
      <c r="DA8" s="143" t="n"/>
      <c r="DB8" s="143" t="n"/>
      <c r="DC8" s="143" t="n"/>
      <c r="DD8" s="143" t="n"/>
      <c r="DE8" s="7" t="n"/>
      <c r="DF8" s="143" t="n"/>
      <c r="DG8" s="143" t="n"/>
      <c r="DH8" s="143" t="n"/>
      <c r="DI8" s="143" t="n"/>
      <c r="DJ8" s="143" t="n"/>
      <c r="DK8" s="7" t="n"/>
      <c r="DL8" s="987" t="n"/>
      <c r="DM8" s="987" t="n"/>
      <c r="DN8" s="987" t="n"/>
      <c r="DO8" s="987" t="n"/>
      <c r="DP8" s="987" t="n"/>
      <c r="DQ8" s="7" t="n"/>
      <c r="DR8" s="7" t="n"/>
      <c r="DS8" s="7" t="n"/>
      <c r="DT8" s="155" t="n"/>
      <c r="DU8" s="7" t="n"/>
      <c r="DV8" s="159" t="n"/>
    </row>
    <row r="9" outlineLevel="1" ht="21" customHeight="1">
      <c r="A9" s="660" t="n"/>
      <c r="C9" s="515" t="n">
        <v>1</v>
      </c>
      <c r="D9" s="844" t="inlineStr">
        <is>
          <t>从管理层处取得本期财务费用账户的明细。</t>
        </is>
      </c>
      <c r="E9" s="988" t="n"/>
      <c r="F9" s="989" t="n"/>
      <c r="G9" s="560" t="inlineStr">
        <is>
          <t>表1</t>
        </is>
      </c>
      <c r="H9" s="903" t="inlineStr">
        <is>
          <t>是</t>
        </is>
      </c>
      <c r="I9" s="904" t="n"/>
      <c r="J9" s="516" t="n"/>
      <c r="K9" s="158" t="n"/>
      <c r="L9" s="160" t="n"/>
      <c r="M9" s="160" t="n"/>
      <c r="N9" s="160" t="n"/>
      <c r="CU9" s="987" t="n"/>
      <c r="CV9" s="7" t="n"/>
      <c r="CW9" s="987" t="n"/>
      <c r="CX9" s="143" t="n"/>
      <c r="CY9" s="143" t="n"/>
      <c r="CZ9" s="143" t="n"/>
      <c r="DA9" s="143" t="n"/>
      <c r="DB9" s="143" t="n"/>
      <c r="DC9" s="143" t="n"/>
      <c r="DD9" s="143" t="n"/>
      <c r="DE9" s="143" t="n"/>
      <c r="DF9" s="7" t="n"/>
      <c r="DG9" s="143" t="n"/>
      <c r="DH9" s="143" t="n"/>
      <c r="DI9" s="143" t="n"/>
      <c r="DJ9" s="143" t="n"/>
      <c r="DK9" s="143" t="n"/>
      <c r="DL9" s="7" t="n"/>
      <c r="DM9" s="7" t="n"/>
      <c r="DN9" s="7" t="n"/>
      <c r="DO9" s="7" t="n"/>
      <c r="DP9" s="7" t="n"/>
      <c r="DQ9" s="7" t="n"/>
      <c r="DR9" s="7" t="n"/>
      <c r="DS9" s="7" t="n"/>
      <c r="DT9" s="7" t="n"/>
      <c r="DU9" s="155" t="n"/>
      <c r="DV9" s="987" t="n"/>
      <c r="DW9" s="931" t="n"/>
    </row>
    <row r="10" outlineLevel="1" ht="63"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1" t="inlineStr">
        <is>
          <t>表1</t>
        </is>
      </c>
      <c r="H10" s="903" t="inlineStr">
        <is>
          <t>是</t>
        </is>
      </c>
      <c r="I10" s="904" t="n"/>
      <c r="J10" s="516" t="n"/>
      <c r="K10" s="158" t="n"/>
      <c r="L10" s="160" t="n"/>
      <c r="M10" s="160" t="n"/>
      <c r="N10" s="160" t="n"/>
      <c r="CU10" s="987" t="n"/>
      <c r="CV10" s="7" t="n"/>
      <c r="CW10" s="987" t="n"/>
      <c r="CX10" s="143" t="n"/>
      <c r="CY10" s="143" t="n"/>
      <c r="CZ10" s="143" t="n"/>
      <c r="DA10" s="143" t="n"/>
      <c r="DB10" s="143" t="n"/>
      <c r="DC10" s="143" t="n"/>
      <c r="DD10" s="143" t="n"/>
      <c r="DE10" s="143" t="n"/>
      <c r="DF10" s="7" t="n"/>
      <c r="DG10" s="143" t="n"/>
      <c r="DH10" s="143" t="n"/>
      <c r="DI10" s="143" t="n"/>
      <c r="DJ10" s="143" t="n"/>
      <c r="DK10" s="143" t="n"/>
      <c r="DL10" s="7" t="n"/>
      <c r="DM10" s="7" t="n"/>
      <c r="DN10" s="7" t="n"/>
      <c r="DO10" s="7" t="n"/>
      <c r="DP10" s="7" t="n"/>
      <c r="DQ10" s="7" t="n"/>
      <c r="DR10" s="7" t="n"/>
      <c r="DS10" s="7" t="n"/>
      <c r="DT10" s="7" t="n"/>
      <c r="DU10" s="155" t="n"/>
      <c r="DV10" s="987" t="n"/>
      <c r="DW10" s="931"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1" t="n"/>
      <c r="M11" s="151" t="n"/>
      <c r="N11" s="151" t="n"/>
      <c r="CU11" s="7" t="n"/>
      <c r="CV11" s="987" t="n"/>
      <c r="CW11" s="162" t="n"/>
      <c r="CX11" s="143" t="n"/>
      <c r="CY11" s="143" t="n"/>
      <c r="CZ11" s="143" t="n"/>
      <c r="DA11" s="143" t="n"/>
      <c r="DB11" s="143" t="n"/>
      <c r="DC11" s="143" t="n"/>
      <c r="DD11" s="143" t="n"/>
      <c r="DE11" s="143" t="n"/>
      <c r="DF11" s="987" t="n"/>
      <c r="DG11" s="143" t="n"/>
      <c r="DH11" s="143" t="n"/>
      <c r="DI11" s="143" t="n"/>
      <c r="DJ11" s="143" t="n"/>
      <c r="DK11" s="143" t="n"/>
      <c r="DL11" s="987" t="n"/>
      <c r="DM11" s="7" t="n"/>
      <c r="DN11" s="7" t="n"/>
      <c r="DO11" s="7" t="n"/>
      <c r="DP11" s="7" t="n"/>
      <c r="DQ11" s="7" t="n"/>
      <c r="DR11" s="987" t="n"/>
      <c r="DS11" s="987" t="n"/>
      <c r="DT11" s="987" t="n"/>
      <c r="DU11" s="155" t="n"/>
      <c r="DV11" s="7" t="n"/>
      <c r="DW11" s="7" t="n"/>
    </row>
    <row r="12" outlineLevel="1" ht="60.75" customHeight="1">
      <c r="A12" s="660" t="n"/>
      <c r="C12" s="515" t="n">
        <v>4</v>
      </c>
      <c r="D12" s="948" t="inlineStr">
        <is>
          <t>对于单项金额重大的财务费用，需要获取该单项费用的组成明细，需要获取支持性文件如合同等，在必要时进行费用测试。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1" t="n"/>
      <c r="M12" s="151" t="n"/>
      <c r="N12" s="151" t="n"/>
      <c r="CU12" s="7" t="n"/>
      <c r="CV12" s="162" t="n"/>
      <c r="CW12" s="162" t="n"/>
      <c r="CX12" s="143" t="n"/>
      <c r="CY12" s="143" t="n"/>
      <c r="CZ12" s="143" t="n"/>
      <c r="DA12" s="143" t="n"/>
      <c r="DB12" s="143" t="n"/>
      <c r="DC12" s="143" t="n"/>
      <c r="DD12" s="143" t="n"/>
      <c r="DE12" s="143" t="n"/>
      <c r="DF12" s="162" t="n"/>
      <c r="DG12" s="143" t="n"/>
      <c r="DH12" s="143" t="n"/>
      <c r="DI12" s="143" t="n"/>
      <c r="DJ12" s="143" t="n"/>
      <c r="DK12" s="143" t="n"/>
      <c r="DL12" s="162" t="n"/>
      <c r="DM12" s="987" t="n"/>
      <c r="DN12" s="987" t="n"/>
      <c r="DO12" s="987" t="n"/>
      <c r="DP12" s="987" t="n"/>
      <c r="DQ12" s="987" t="n"/>
      <c r="DR12" s="162" t="n"/>
      <c r="DS12" s="162" t="n"/>
      <c r="DT12" s="162" t="n"/>
      <c r="DU12" s="200" t="n"/>
      <c r="DV12" s="7" t="n"/>
      <c r="DW12" s="159" t="n"/>
    </row>
    <row r="13" outlineLevel="1" ht="36" customHeight="1">
      <c r="A13" s="660" t="n"/>
      <c r="C13" s="515" t="n">
        <v>5</v>
      </c>
      <c r="D13" s="844" t="inlineStr">
        <is>
          <t>我们对金额大于测试阈值或性质特殊的利息收入进行测试。</t>
        </is>
      </c>
      <c r="E13" s="988" t="n"/>
      <c r="F13" s="989" t="n"/>
      <c r="G13" s="510" t="inlineStr">
        <is>
          <t>&lt;Uexp利息测试&gt;</t>
        </is>
      </c>
      <c r="H13" s="903" t="n"/>
      <c r="I13" s="904" t="n"/>
      <c r="J13" s="604" t="n"/>
      <c r="K13" s="158" t="n"/>
      <c r="L13" s="151" t="n"/>
      <c r="M13" s="151" t="n"/>
      <c r="N13" s="151" t="n"/>
      <c r="CU13" s="7" t="n"/>
      <c r="CV13" s="162" t="n"/>
      <c r="CW13" s="162" t="n"/>
      <c r="CX13" s="143" t="n"/>
      <c r="CY13" s="143" t="n"/>
      <c r="CZ13" s="143" t="n"/>
      <c r="DA13" s="143" t="n"/>
      <c r="DB13" s="143" t="n"/>
      <c r="DC13" s="143" t="n"/>
      <c r="DD13" s="143" t="n"/>
      <c r="DE13" s="143" t="n"/>
      <c r="DF13" s="162" t="n"/>
      <c r="DG13" s="143" t="n"/>
      <c r="DH13" s="143" t="n"/>
      <c r="DI13" s="143" t="n"/>
      <c r="DJ13" s="143" t="n"/>
      <c r="DK13" s="143" t="n"/>
      <c r="DL13" s="162" t="n"/>
      <c r="DM13" s="987" t="n"/>
      <c r="DN13" s="987" t="n"/>
      <c r="DO13" s="987" t="n"/>
      <c r="DP13" s="987" t="n"/>
      <c r="DQ13" s="987" t="n"/>
      <c r="DR13" s="162" t="n"/>
      <c r="DS13" s="162" t="n"/>
      <c r="DT13" s="162" t="n"/>
      <c r="DU13" s="200" t="n"/>
      <c r="DV13" s="7" t="n"/>
      <c r="DW13" s="159" t="n"/>
    </row>
    <row r="14" outlineLevel="1" ht="35.8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n"/>
      <c r="K14" s="158" t="n"/>
      <c r="L14" s="151" t="n"/>
      <c r="M14" s="151" t="n"/>
      <c r="N14" s="151" t="n"/>
      <c r="CU14" s="7" t="n"/>
      <c r="CV14" s="162" t="n"/>
      <c r="CW14" s="162" t="n"/>
      <c r="CX14" s="143" t="n"/>
      <c r="CY14" s="143" t="n"/>
      <c r="CZ14" s="143" t="n"/>
      <c r="DA14" s="143" t="n"/>
      <c r="DB14" s="143" t="n"/>
      <c r="DC14" s="143" t="n"/>
      <c r="DD14" s="143" t="n"/>
      <c r="DE14" s="143" t="n"/>
      <c r="DF14" s="162" t="n"/>
      <c r="DG14" s="143" t="n"/>
      <c r="DH14" s="143" t="n"/>
      <c r="DI14" s="143" t="n"/>
      <c r="DJ14" s="143" t="n"/>
      <c r="DK14" s="143" t="n"/>
      <c r="DL14" s="162" t="n"/>
      <c r="DM14" s="987" t="n"/>
      <c r="DN14" s="987" t="n"/>
      <c r="DO14" s="987" t="n"/>
      <c r="DP14" s="987" t="n"/>
      <c r="DQ14" s="987" t="n"/>
      <c r="DR14" s="162" t="n"/>
      <c r="DS14" s="162" t="n"/>
      <c r="DT14" s="162" t="n"/>
      <c r="DU14" s="200" t="n"/>
      <c r="DV14" s="7" t="n"/>
      <c r="DW14" s="159" t="n"/>
    </row>
    <row r="15" ht="12.6" customHeight="1" thickBot="1">
      <c r="A15" s="660" t="n"/>
      <c r="C15" s="384" t="n"/>
      <c r="D15" s="208" t="n"/>
      <c r="E15" s="208" t="n"/>
      <c r="F15" s="208" t="n"/>
      <c r="G15" s="511" t="n"/>
      <c r="H15" s="511" t="n"/>
      <c r="I15" s="511" t="n"/>
      <c r="J15" s="518" t="n"/>
      <c r="K15" s="151" t="n"/>
      <c r="L15" s="151" t="n"/>
      <c r="CS15" s="7" t="n"/>
      <c r="CT15" s="162" t="n"/>
      <c r="CU15" s="162" t="n"/>
      <c r="CV15" s="143" t="n"/>
      <c r="CW15" s="143" t="n"/>
      <c r="CX15" s="143" t="n"/>
      <c r="CY15" s="143" t="n"/>
      <c r="CZ15" s="143" t="n"/>
      <c r="DA15" s="143" t="n"/>
      <c r="DB15" s="143" t="n"/>
      <c r="DC15" s="143" t="n"/>
      <c r="DD15" s="162" t="n"/>
      <c r="DE15" s="143" t="n"/>
      <c r="DF15" s="143" t="n"/>
      <c r="DG15" s="143" t="n"/>
      <c r="DH15" s="143" t="n"/>
      <c r="DI15" s="143" t="n"/>
      <c r="DJ15" s="162" t="n"/>
      <c r="DK15" s="987" t="n"/>
      <c r="DL15" s="987" t="n"/>
      <c r="DM15" s="987" t="n"/>
      <c r="DN15" s="987" t="n"/>
      <c r="DO15" s="987" t="n"/>
      <c r="DP15" s="162" t="n"/>
      <c r="DQ15" s="162" t="n"/>
      <c r="DR15" s="162" t="n"/>
      <c r="DS15" s="200" t="n"/>
      <c r="DT15" s="7" t="n"/>
      <c r="DU15" s="159" t="n"/>
    </row>
    <row r="16" ht="12.6" customHeight="1">
      <c r="A16" s="660" t="n"/>
      <c r="C16" s="163" t="n"/>
      <c r="D16" s="209" t="n"/>
      <c r="E16" s="158" t="n"/>
      <c r="F16" s="158" t="n"/>
      <c r="G16" s="158" t="n"/>
      <c r="H16" s="158" t="n"/>
      <c r="I16" s="158" t="n"/>
      <c r="J16" s="151" t="n"/>
      <c r="K16" s="151" t="n"/>
      <c r="L16" s="151" t="n"/>
      <c r="CS16" s="162" t="n"/>
      <c r="CT16" s="162" t="n"/>
      <c r="CU16" s="6" t="n"/>
      <c r="CV16" s="143" t="n"/>
      <c r="CW16" s="143" t="n"/>
      <c r="CX16" s="143" t="n"/>
      <c r="CY16" s="143" t="n"/>
      <c r="CZ16" s="143" t="n"/>
      <c r="DA16" s="143" t="n"/>
      <c r="DB16" s="143" t="n"/>
      <c r="DC16" s="143" t="n"/>
      <c r="DD16" s="162" t="n"/>
      <c r="DE16" s="143" t="n"/>
      <c r="DF16" s="143" t="n"/>
      <c r="DG16" s="143" t="n"/>
      <c r="DH16" s="143" t="n"/>
      <c r="DI16" s="143" t="n"/>
      <c r="DJ16" s="162" t="n"/>
      <c r="DK16" s="162" t="n"/>
      <c r="DL16" s="162" t="n"/>
      <c r="DM16" s="162" t="n"/>
      <c r="DN16" s="162" t="n"/>
      <c r="DO16" s="162" t="n"/>
      <c r="DP16" s="162" t="n"/>
      <c r="DQ16" s="162" t="n"/>
      <c r="DR16" s="162" t="n"/>
      <c r="DS16" s="200" t="n"/>
      <c r="DT16" s="162" t="n"/>
      <c r="DU16" s="210" t="n"/>
    </row>
    <row r="17" ht="12.6" customHeight="1">
      <c r="A17" s="660" t="n"/>
      <c r="C17" s="209" t="n"/>
      <c r="D17" s="209" t="n"/>
      <c r="E17" s="209" t="n"/>
      <c r="F17" s="209" t="n"/>
      <c r="G17" s="209" t="n"/>
      <c r="H17" s="209" t="n"/>
      <c r="I17" s="158" t="n"/>
      <c r="J17" s="151" t="n"/>
      <c r="K17" s="151" t="n"/>
      <c r="L17" s="151" t="n"/>
      <c r="CS17" s="162" t="n"/>
      <c r="CT17" s="162" t="n"/>
      <c r="CU17" s="6" t="n"/>
      <c r="CV17" s="143" t="n"/>
      <c r="CW17" s="143" t="n"/>
      <c r="CX17" s="143" t="n"/>
      <c r="CY17" s="143" t="n"/>
      <c r="CZ17" s="143" t="n"/>
      <c r="DA17" s="143" t="n"/>
      <c r="DB17" s="143" t="n"/>
      <c r="DC17" s="143" t="n"/>
      <c r="DD17" s="162" t="n"/>
      <c r="DE17" s="143" t="n"/>
      <c r="DF17" s="143" t="n"/>
      <c r="DG17" s="143" t="n"/>
      <c r="DH17" s="143" t="n"/>
      <c r="DI17" s="143" t="n"/>
      <c r="DJ17" s="162" t="n"/>
      <c r="DK17" s="162" t="n"/>
      <c r="DL17" s="162" t="n"/>
      <c r="DM17" s="162" t="n"/>
      <c r="DN17" s="162" t="n"/>
      <c r="DO17" s="162" t="n"/>
      <c r="DP17" s="162" t="n"/>
      <c r="DQ17" s="162" t="n"/>
      <c r="DR17" s="162" t="n"/>
      <c r="DS17" s="200" t="n"/>
      <c r="DT17" s="162" t="n"/>
      <c r="DU17" s="210"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63.75"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2.6" customHeight="1">
      <c r="A25" s="660" t="n"/>
      <c r="C25" s="209" t="n"/>
      <c r="D25" s="209" t="n"/>
      <c r="E25" s="209" t="n"/>
      <c r="F25" s="209" t="n"/>
      <c r="G25" s="209" t="n"/>
      <c r="H25" s="158" t="n"/>
      <c r="I25" s="158" t="n"/>
      <c r="J25" s="151" t="n"/>
      <c r="K25" s="151" t="n"/>
      <c r="L25" s="151" t="n"/>
      <c r="CS25" s="162" t="n"/>
      <c r="CT25" s="162" t="n"/>
      <c r="CU25" s="6" t="n"/>
      <c r="CV25" s="143" t="n"/>
      <c r="CW25" s="143" t="n"/>
      <c r="CX25" s="143" t="n"/>
      <c r="CY25" s="143" t="n"/>
      <c r="CZ25" s="143" t="n"/>
      <c r="DA25" s="143" t="n"/>
      <c r="DB25" s="143" t="n"/>
      <c r="DC25" s="143" t="n"/>
      <c r="DD25" s="162" t="n"/>
      <c r="DE25" s="143" t="n"/>
      <c r="DF25" s="143" t="n"/>
      <c r="DG25" s="143" t="n"/>
      <c r="DH25" s="143" t="n"/>
      <c r="DI25" s="143" t="n"/>
      <c r="DJ25" s="162" t="n"/>
      <c r="DK25" s="162" t="n"/>
      <c r="DL25" s="162" t="n"/>
      <c r="DM25" s="162" t="n"/>
      <c r="DN25" s="162" t="n"/>
      <c r="DO25" s="162" t="n"/>
      <c r="DP25" s="162" t="n"/>
      <c r="DQ25" s="162" t="n"/>
      <c r="DR25" s="162" t="n"/>
      <c r="DS25" s="200" t="n"/>
      <c r="DT25" s="162" t="n"/>
      <c r="DU25" s="210" t="n"/>
    </row>
    <row r="26" ht="12.75" customHeight="1">
      <c r="A26" s="660" t="n"/>
      <c r="C26" s="164" t="n"/>
      <c r="D26" s="211" t="n"/>
      <c r="E26" s="192"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CK26" s="6" t="n"/>
      <c r="CL26" s="6" t="n"/>
      <c r="CM26" s="6" t="n"/>
      <c r="CN26" s="143" t="n"/>
      <c r="CO26" s="143" t="n"/>
      <c r="CP26" s="143" t="n"/>
      <c r="CQ26" s="143" t="n"/>
      <c r="CR26" s="143" t="n"/>
      <c r="CS26" s="143" t="n"/>
      <c r="CT26" s="143" t="n"/>
      <c r="CU26" s="143" t="n"/>
      <c r="CV26" s="6" t="n"/>
      <c r="CW26" s="143" t="n"/>
      <c r="CX26" s="143" t="n"/>
      <c r="CY26" s="143" t="n"/>
      <c r="CZ26" s="143" t="n"/>
      <c r="DA26" s="143" t="n"/>
      <c r="DB26" s="6" t="n"/>
      <c r="DC26" s="6" t="n"/>
      <c r="DD26" s="6" t="n"/>
      <c r="DE26" s="6" t="n"/>
      <c r="DF26" s="6" t="n"/>
      <c r="DG26" s="6" t="n"/>
      <c r="DH26" s="6" t="n"/>
      <c r="DI26" s="6" t="n"/>
      <c r="DJ26" s="6" t="n"/>
      <c r="DK26" s="200" t="n"/>
      <c r="DL26" s="6" t="n"/>
      <c r="DM26" s="6" t="n"/>
    </row>
    <row r="27" ht="13.5" customHeight="1" thickBot="1">
      <c r="A27" s="660"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J27" s="6" t="n"/>
      <c r="CK27" s="6" t="n"/>
      <c r="CL27" s="6" t="n"/>
      <c r="CM27" s="143" t="n"/>
      <c r="CN27" s="143" t="n"/>
      <c r="CO27" s="143" t="n"/>
      <c r="CP27" s="143" t="n"/>
      <c r="CQ27" s="143" t="n"/>
      <c r="CR27" s="143" t="n"/>
      <c r="CS27" s="143" t="n"/>
      <c r="CT27" s="143" t="n"/>
      <c r="CU27" s="6" t="n"/>
      <c r="CV27" s="143" t="n"/>
      <c r="CW27" s="143" t="n"/>
      <c r="CX27" s="143" t="n"/>
      <c r="CY27" s="143" t="n"/>
      <c r="CZ27" s="143" t="n"/>
      <c r="DA27" s="6" t="n"/>
      <c r="DB27" s="6" t="n"/>
      <c r="DC27" s="6" t="n"/>
      <c r="DD27" s="6" t="n"/>
      <c r="DE27" s="6" t="n"/>
      <c r="DF27" s="6" t="n"/>
      <c r="DG27" s="6" t="n"/>
      <c r="DH27" s="6" t="n"/>
      <c r="DI27" s="6" t="n"/>
      <c r="DJ27" s="200" t="n"/>
      <c r="DK27" s="6" t="n"/>
      <c r="DL27" s="6" t="n"/>
    </row>
    <row r="28" ht="0.2" customHeight="1" thickBot="1">
      <c r="A28" s="660"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586" t="n"/>
      <c r="R28" s="591" t="n"/>
      <c r="CJ28" s="6" t="n"/>
      <c r="CK28" s="6" t="n"/>
      <c r="CL28" s="6" t="n"/>
      <c r="CM28" s="143" t="n"/>
      <c r="CN28" s="143" t="n"/>
      <c r="CO28" s="143" t="n"/>
      <c r="CP28" s="143" t="n"/>
      <c r="CQ28" s="143" t="n"/>
      <c r="CR28" s="143" t="n"/>
      <c r="CS28" s="143" t="n"/>
      <c r="CT28" s="143" t="n"/>
      <c r="CU28" s="6" t="n"/>
      <c r="CV28" s="143" t="n"/>
      <c r="CW28" s="143" t="n"/>
      <c r="CX28" s="143" t="n"/>
      <c r="CY28" s="143" t="n"/>
      <c r="CZ28" s="143" t="n"/>
      <c r="DA28" s="6" t="n"/>
      <c r="DB28" s="6" t="n"/>
      <c r="DC28" s="6" t="n"/>
      <c r="DD28" s="6" t="n"/>
      <c r="DE28" s="6" t="n"/>
      <c r="DF28" s="6" t="n"/>
      <c r="DG28" s="6" t="n"/>
      <c r="DH28" s="6" t="n"/>
      <c r="DI28" s="6" t="n"/>
      <c r="DJ28" s="200" t="n"/>
      <c r="DK28" s="6" t="n"/>
      <c r="DL28" s="6" t="n"/>
    </row>
    <row r="29" ht="12.6" customHeight="1">
      <c r="A29" s="660" t="n"/>
      <c r="B29" s="21" t="inlineStr">
        <is>
          <t>表1</t>
        </is>
      </c>
      <c r="C29" s="592" t="n"/>
      <c r="D29" s="747" t="n"/>
      <c r="E29" s="593" t="n"/>
      <c r="F29" s="482" t="n"/>
      <c r="G29" s="594" t="n"/>
      <c r="H29" s="594" t="n"/>
      <c r="I29" s="594" t="inlineStr">
        <is>
          <t>本期数</t>
        </is>
      </c>
      <c r="J29" s="594" t="n"/>
      <c r="K29" s="594" t="n"/>
      <c r="L29" s="594" t="n"/>
      <c r="M29" s="596" t="n"/>
      <c r="N29" s="597">
        <f>DATE(YEAR(汇总!$D$5)-1,12,31)</f>
        <v/>
      </c>
      <c r="O29" s="483" t="inlineStr">
        <is>
          <t>本期审定数与上期审定数比较</t>
        </is>
      </c>
      <c r="P29" s="598" t="n"/>
      <c r="Q29" s="650" t="n"/>
      <c r="R29" s="602" t="n"/>
      <c r="CI29" s="6" t="n"/>
      <c r="CJ29" s="6" t="n"/>
      <c r="CK29" s="6" t="n"/>
      <c r="CL29" s="143" t="n"/>
      <c r="CM29" s="143" t="n"/>
      <c r="CN29" s="143" t="n"/>
      <c r="CO29" s="143" t="n"/>
      <c r="CP29" s="143" t="n"/>
      <c r="CQ29" s="143" t="n"/>
      <c r="CR29" s="143" t="n"/>
      <c r="CS29" s="143" t="n"/>
      <c r="CT29" s="6" t="n"/>
      <c r="CU29" s="143" t="n"/>
      <c r="CV29" s="143" t="n"/>
      <c r="CW29" s="143" t="n"/>
      <c r="CX29" s="143" t="n"/>
      <c r="CY29" s="143" t="n"/>
      <c r="CZ29" s="6" t="n"/>
      <c r="DA29" s="6" t="n"/>
      <c r="DB29" s="6" t="n"/>
      <c r="DC29" s="6" t="n"/>
      <c r="DD29" s="6" t="n"/>
      <c r="DE29" s="6" t="n"/>
      <c r="DF29" s="6" t="n"/>
      <c r="DG29" s="6" t="n"/>
      <c r="DH29" s="6" t="n"/>
      <c r="DI29" s="200" t="n"/>
      <c r="DJ29" s="6" t="n"/>
      <c r="DK29" s="6" t="n"/>
    </row>
    <row r="30" ht="46.5" customHeight="1">
      <c r="A30" s="660" t="n"/>
      <c r="B30" s="14" t="n"/>
      <c r="C30" s="108" t="inlineStr">
        <is>
          <t xml:space="preserve">账套名称/账套编码 </t>
        </is>
      </c>
      <c r="D30" s="109" t="inlineStr">
        <is>
          <t>科目编码</t>
        </is>
      </c>
      <c r="E30" s="168" t="inlineStr">
        <is>
          <t>科目名称</t>
        </is>
      </c>
      <c r="F30" s="366" t="inlineStr">
        <is>
          <t>本期账面数</t>
        </is>
      </c>
      <c r="G30" s="367" t="inlineStr">
        <is>
          <t>本期账表调整编号</t>
        </is>
      </c>
      <c r="H30" s="367" t="inlineStr">
        <is>
          <t>本期账表调整数</t>
        </is>
      </c>
      <c r="I30" s="169" t="inlineStr">
        <is>
          <t>本期账面未审数</t>
        </is>
      </c>
      <c r="J30" s="169" t="inlineStr">
        <is>
          <t>结构比</t>
        </is>
      </c>
      <c r="K30" s="367" t="inlineStr">
        <is>
          <t>本期审计调整编号</t>
        </is>
      </c>
      <c r="L30" s="170" t="inlineStr">
        <is>
          <t>本期审计调整金数</t>
        </is>
      </c>
      <c r="M30" s="171" t="inlineStr">
        <is>
          <t>本期账面审定数</t>
        </is>
      </c>
      <c r="N30" s="555" t="inlineStr">
        <is>
          <t>上期末审定数
(PY)</t>
        </is>
      </c>
      <c r="O30" s="172" t="inlineStr">
        <is>
          <t>变动额</t>
        </is>
      </c>
      <c r="P30" s="465" t="inlineStr">
        <is>
          <t>变动率%</t>
        </is>
      </c>
      <c r="Q30" s="464" t="inlineStr">
        <is>
          <t>For X-ref</t>
        </is>
      </c>
      <c r="R30" s="114" t="inlineStr">
        <is>
          <t>Notes</t>
        </is>
      </c>
      <c r="CI30" s="6" t="n"/>
      <c r="CJ30" s="6" t="n"/>
      <c r="CK30" s="6" t="n"/>
      <c r="CL30" s="143" t="n"/>
      <c r="CM30" s="143" t="n"/>
      <c r="CN30" s="143" t="n"/>
      <c r="CO30" s="143" t="n"/>
      <c r="CP30" s="143" t="n"/>
      <c r="CQ30" s="143" t="n"/>
      <c r="CR30" s="143" t="n"/>
      <c r="CS30" s="143" t="n"/>
      <c r="CT30" s="6" t="n"/>
      <c r="CU30" s="143" t="n"/>
      <c r="CV30" s="143" t="n"/>
      <c r="CW30" s="143" t="n"/>
      <c r="CX30" s="143" t="n"/>
      <c r="CY30" s="143" t="n"/>
      <c r="CZ30" s="6" t="n"/>
      <c r="DA30" s="6" t="n"/>
      <c r="DB30" s="6" t="n"/>
      <c r="DC30" s="6" t="n"/>
      <c r="DD30" s="6" t="n"/>
      <c r="DE30" s="6" t="n"/>
      <c r="DF30" s="6" t="n"/>
      <c r="DG30" s="6" t="n"/>
      <c r="DH30" s="6" t="n"/>
      <c r="DI30" s="200" t="n"/>
      <c r="DJ30" s="6" t="n"/>
      <c r="DK30" s="6" t="n"/>
    </row>
    <row r="31" ht="12.6" customHeight="1">
      <c r="A31" s="660" t="n"/>
      <c r="B31" s="173" t="n"/>
      <c r="C31" s="98" t="n"/>
      <c r="D31" s="99" t="n"/>
      <c r="E31" s="100" t="n"/>
      <c r="F31" s="961" t="n"/>
      <c r="G31" s="99" t="n"/>
      <c r="H31" s="962" t="n"/>
      <c r="I31" s="962">
        <f>F31+H31</f>
        <v/>
      </c>
      <c r="J31" s="103">
        <f>IF($I$35&lt;&gt;0,I31/$I$35,"")</f>
        <v/>
      </c>
      <c r="K31" s="99" t="n"/>
      <c r="L31" s="962" t="n"/>
      <c r="M31" s="963">
        <f>I31+L31</f>
        <v/>
      </c>
      <c r="N31" s="963" t="n"/>
      <c r="O31" s="961">
        <f>M31-N31</f>
        <v/>
      </c>
      <c r="P31" s="463">
        <f>IF(N31&lt;&gt;0,O31/N31,1)</f>
        <v/>
      </c>
      <c r="Q31" s="99" t="n"/>
      <c r="R31" s="105" t="n"/>
      <c r="CI31" s="6" t="n"/>
      <c r="CJ31" s="6" t="n"/>
      <c r="CK31" s="6" t="n"/>
      <c r="CL31" s="143" t="n"/>
      <c r="CM31" s="143" t="n"/>
      <c r="CN31" s="143" t="n"/>
      <c r="CO31" s="143" t="n"/>
      <c r="CP31" s="143" t="n"/>
      <c r="CQ31" s="143" t="n"/>
      <c r="CR31" s="143" t="n"/>
      <c r="CS31" s="143" t="n"/>
      <c r="CT31" s="6" t="n"/>
      <c r="CU31" s="143" t="n"/>
      <c r="CV31" s="143" t="n"/>
      <c r="CW31" s="143" t="n"/>
      <c r="CX31" s="143" t="n"/>
      <c r="CY31" s="143" t="n"/>
      <c r="CZ31" s="6" t="n"/>
      <c r="DA31" s="6" t="n"/>
      <c r="DB31" s="6" t="n"/>
      <c r="DC31" s="6" t="n"/>
      <c r="DD31" s="6" t="n"/>
      <c r="DE31" s="6" t="n"/>
      <c r="DF31" s="6" t="n"/>
      <c r="DG31" s="6" t="n"/>
      <c r="DH31" s="6" t="n"/>
      <c r="DI31" s="200" t="n"/>
      <c r="DJ31" s="6" t="n"/>
      <c r="DK31" s="6" t="n"/>
    </row>
    <row r="32" ht="12.6" customHeight="1">
      <c r="A32" s="660" t="n"/>
      <c r="B32" s="934" t="n"/>
      <c r="C32" s="98" t="n"/>
      <c r="D32" s="99" t="n"/>
      <c r="E32" s="100" t="n"/>
      <c r="F32" s="961" t="n"/>
      <c r="G32" s="99" t="n"/>
      <c r="H32" s="962" t="n"/>
      <c r="I32" s="962">
        <f>F32+H32</f>
        <v/>
      </c>
      <c r="J32" s="103">
        <f>IF($I$35&lt;&gt;0,I32/$I$35,"")</f>
        <v/>
      </c>
      <c r="K32" s="99" t="n"/>
      <c r="L32" s="962" t="n"/>
      <c r="M32" s="963">
        <f>I32+L32</f>
        <v/>
      </c>
      <c r="N32" s="963" t="n"/>
      <c r="O32" s="961">
        <f>M32-N32</f>
        <v/>
      </c>
      <c r="P32" s="463">
        <f>IF(N32&lt;&gt;0,O32/N32,1)</f>
        <v/>
      </c>
      <c r="Q32" s="99" t="n"/>
      <c r="R32" s="105" t="n"/>
      <c r="CI32" s="6" t="n"/>
      <c r="CJ32" s="6" t="n"/>
      <c r="CK32" s="6" t="n"/>
      <c r="CL32" s="143" t="n"/>
      <c r="CM32" s="143" t="n"/>
      <c r="CN32" s="143" t="n"/>
      <c r="CO32" s="143" t="n"/>
      <c r="CP32" s="143" t="n"/>
      <c r="CQ32" s="143" t="n"/>
      <c r="CR32" s="143" t="n"/>
      <c r="CS32" s="143" t="n"/>
      <c r="CT32" s="6" t="n"/>
      <c r="CU32" s="143" t="n"/>
      <c r="CV32" s="143" t="n"/>
      <c r="CW32" s="143" t="n"/>
      <c r="CX32" s="143" t="n"/>
      <c r="CY32" s="143" t="n"/>
      <c r="CZ32" s="6" t="n"/>
      <c r="DA32" s="6" t="n"/>
      <c r="DB32" s="6" t="n"/>
      <c r="DC32" s="6" t="n"/>
      <c r="DD32" s="6" t="n"/>
      <c r="DE32" s="6" t="n"/>
      <c r="DF32" s="6" t="n"/>
      <c r="DG32" s="6" t="n"/>
      <c r="DH32" s="6" t="n"/>
      <c r="DI32" s="200" t="n"/>
      <c r="DJ32" s="6" t="n"/>
      <c r="DK32" s="6" t="n"/>
    </row>
    <row r="33" ht="12.6" customHeight="1" thickBot="1">
      <c r="A33" s="660" t="inlineStr">
        <is>
          <t>/T1</t>
        </is>
      </c>
      <c r="C33" s="371" t="n"/>
      <c r="D33" s="372" t="n"/>
      <c r="E33" s="385" t="n"/>
      <c r="F33" s="966" t="n"/>
      <c r="G33" s="372" t="n"/>
      <c r="H33" s="967" t="n"/>
      <c r="I33" s="962">
        <f>F33+H33</f>
        <v/>
      </c>
      <c r="J33" s="103">
        <f>IF($I$35&lt;&gt;0,I33/$I$35,"")</f>
        <v/>
      </c>
      <c r="K33" s="378" t="n"/>
      <c r="L33" s="969" t="n"/>
      <c r="M33" s="963">
        <f>I33+L33</f>
        <v/>
      </c>
      <c r="N33" s="970" t="n"/>
      <c r="O33" s="961">
        <f>M33-N33</f>
        <v/>
      </c>
      <c r="P33" s="463">
        <f>IF(N33&lt;&gt;0,O33/N33,1)</f>
        <v/>
      </c>
      <c r="Q33" s="378" t="n"/>
      <c r="R33" s="373" t="n"/>
      <c r="CI33" s="6" t="n"/>
      <c r="CJ33" s="6" t="n"/>
      <c r="CK33" s="6" t="n"/>
      <c r="CL33" s="143" t="n"/>
      <c r="CM33" s="143" t="n"/>
      <c r="CN33" s="143" t="n"/>
      <c r="CO33" s="143" t="n"/>
      <c r="CP33" s="143" t="n"/>
      <c r="CQ33" s="143" t="n"/>
      <c r="CR33" s="143" t="n"/>
      <c r="CS33" s="143" t="n"/>
      <c r="CT33" s="6" t="n"/>
      <c r="CU33" s="143" t="n"/>
      <c r="CV33" s="143" t="n"/>
      <c r="CW33" s="143" t="n"/>
      <c r="CX33" s="143" t="n"/>
      <c r="CY33" s="143" t="n"/>
      <c r="CZ33" s="6" t="n"/>
      <c r="DA33" s="6" t="n"/>
      <c r="DB33" s="6" t="n"/>
      <c r="DC33" s="6" t="n"/>
      <c r="DD33" s="6" t="n"/>
      <c r="DE33" s="6" t="n"/>
      <c r="DF33" s="6" t="n"/>
      <c r="DG33" s="6" t="n"/>
      <c r="DH33" s="6" t="n"/>
      <c r="DI33" s="200" t="n"/>
      <c r="DJ33" s="6" t="n"/>
      <c r="DK33" s="6" t="n"/>
    </row>
    <row r="34" ht="12.6" customFormat="1" customHeight="1" s="990">
      <c r="A34" s="991" t="n"/>
      <c r="B34" s="19" t="n"/>
      <c r="C34" s="992" t="n"/>
      <c r="D34" s="761" t="n"/>
      <c r="E34" s="993" t="n"/>
      <c r="F34" s="993" t="n"/>
      <c r="G34" s="993" t="n"/>
      <c r="H34" s="993" t="n"/>
      <c r="I34" s="994" t="n"/>
      <c r="J34" s="765" t="n"/>
      <c r="K34" s="765" t="n"/>
      <c r="L34" s="994" t="n"/>
      <c r="M34" s="994" t="n"/>
      <c r="N34" s="994" t="n"/>
      <c r="O34" s="976" t="n"/>
      <c r="P34" s="767" t="n"/>
      <c r="Q34" s="767" t="n"/>
      <c r="R34" s="768" t="n"/>
      <c r="CI34" s="6" t="n"/>
      <c r="CJ34" s="6" t="n"/>
      <c r="CK34" s="6" t="n"/>
      <c r="CL34" s="143" t="n"/>
      <c r="CM34" s="143" t="n"/>
      <c r="CN34" s="143" t="n"/>
      <c r="CO34" s="143" t="n"/>
      <c r="CP34" s="143" t="n"/>
      <c r="CQ34" s="143" t="n"/>
      <c r="CR34" s="143" t="n"/>
      <c r="CS34" s="143" t="n"/>
      <c r="CT34" s="6" t="n"/>
      <c r="CU34" s="143" t="n"/>
      <c r="CV34" s="143" t="n"/>
      <c r="CW34" s="143" t="n"/>
      <c r="CX34" s="143" t="n"/>
      <c r="CY34" s="143" t="n"/>
      <c r="CZ34" s="6" t="n"/>
      <c r="DA34" s="6" t="n"/>
      <c r="DB34" s="6" t="n"/>
      <c r="DC34" s="6" t="n"/>
      <c r="DD34" s="6" t="n"/>
      <c r="DE34" s="6" t="n"/>
      <c r="DF34" s="6" t="n"/>
      <c r="DG34" s="6" t="n"/>
      <c r="DH34" s="6" t="n"/>
      <c r="DI34" s="200" t="n"/>
      <c r="DJ34" s="6" t="n"/>
      <c r="DK34" s="6" t="n"/>
    </row>
    <row r="35" ht="12.6" customFormat="1" customHeight="1" s="990" thickBot="1">
      <c r="A35" s="991" t="n"/>
      <c r="B35" s="990" t="n"/>
      <c r="C35" s="990" t="n"/>
      <c r="D35" s="997" t="n"/>
      <c r="E35" s="212" t="inlineStr">
        <is>
          <t>合计</t>
        </is>
      </c>
      <c r="F35" s="1005">
        <f>SUM(F30:F34)</f>
        <v/>
      </c>
      <c r="G35" s="21" t="n"/>
      <c r="H35" s="1005">
        <f>SUM(H30:H34)</f>
        <v/>
      </c>
      <c r="I35" s="1005">
        <f>SUM(I30:I34)</f>
        <v/>
      </c>
      <c r="J35" s="389">
        <f>SUM(J30:J34)</f>
        <v/>
      </c>
      <c r="K35" s="21" t="n"/>
      <c r="L35" s="1005">
        <f>SUM(L30:L34)</f>
        <v/>
      </c>
      <c r="M35" s="1005">
        <f>SUM(M30:M34)</f>
        <v/>
      </c>
      <c r="N35" s="1005">
        <f>SUM(N30:N34)</f>
        <v/>
      </c>
      <c r="O35" s="1005">
        <f>M35-N35</f>
        <v/>
      </c>
      <c r="P35" s="389">
        <f>IF(N35&lt;&gt;0,O35/N35,1)</f>
        <v/>
      </c>
      <c r="Q35" s="177" t="n"/>
      <c r="R35" s="1006" t="n"/>
      <c r="CI35" s="6" t="n"/>
      <c r="CJ35" s="6" t="n"/>
      <c r="CK35" s="6" t="n"/>
      <c r="CL35" s="143" t="n"/>
      <c r="CM35" s="143" t="n"/>
      <c r="CN35" s="143" t="n"/>
      <c r="CO35" s="143" t="n"/>
      <c r="CP35" s="143" t="n"/>
      <c r="CQ35" s="143" t="n"/>
      <c r="CR35" s="143" t="n"/>
      <c r="CS35" s="143" t="n"/>
      <c r="CT35" s="6" t="n"/>
      <c r="CU35" s="143" t="n"/>
      <c r="CV35" s="143" t="n"/>
      <c r="CW35" s="143" t="n"/>
      <c r="CX35" s="143" t="n"/>
      <c r="CY35" s="143" t="n"/>
      <c r="CZ35" s="6" t="n"/>
      <c r="DA35" s="6" t="n"/>
      <c r="DB35" s="6" t="n"/>
      <c r="DC35" s="6" t="n"/>
      <c r="DD35" s="6" t="n"/>
      <c r="DE35" s="6" t="n"/>
      <c r="DF35" s="6" t="n"/>
      <c r="DG35" s="6" t="n"/>
      <c r="DH35" s="6" t="n"/>
      <c r="DI35" s="200" t="n"/>
      <c r="DJ35" s="6" t="n"/>
      <c r="DK35" s="6" t="n"/>
    </row>
    <row r="36" ht="12.6" customFormat="1" customHeight="1" s="990" thickTop="1">
      <c r="A36" s="991" t="n"/>
      <c r="B36" s="990" t="n"/>
      <c r="C36" s="990" t="n"/>
      <c r="D36" s="997" t="n"/>
      <c r="E36" s="995" t="n"/>
      <c r="F36" s="131" t="inlineStr">
        <is>
          <t>Rx</t>
        </is>
      </c>
      <c r="G36" s="997" t="n"/>
      <c r="H36" s="131" t="inlineStr">
        <is>
          <t>Rx</t>
        </is>
      </c>
      <c r="I36" s="131" t="inlineStr">
        <is>
          <t>Rx</t>
        </is>
      </c>
      <c r="J36" s="131" t="inlineStr">
        <is>
          <t>Rx</t>
        </is>
      </c>
      <c r="K36" s="265" t="n"/>
      <c r="L36" s="131" t="inlineStr">
        <is>
          <t>Rx</t>
        </is>
      </c>
      <c r="M36" s="131" t="inlineStr">
        <is>
          <t>Rx</t>
        </is>
      </c>
      <c r="N36" s="131" t="inlineStr">
        <is>
          <t>Rx</t>
        </is>
      </c>
      <c r="O36" s="984" t="n"/>
      <c r="P36" s="266" t="n"/>
      <c r="Q36" s="266" t="n"/>
      <c r="R36" s="999" t="n"/>
      <c r="CJ36" s="6" t="n"/>
      <c r="CK36" s="6" t="n"/>
      <c r="CL36" s="6" t="n"/>
      <c r="CM36" s="143" t="n"/>
      <c r="CN36" s="143" t="n"/>
      <c r="CO36" s="143" t="n"/>
      <c r="CP36" s="143" t="n"/>
      <c r="CQ36" s="143" t="n"/>
      <c r="CR36" s="143" t="n"/>
      <c r="CS36" s="143" t="n"/>
      <c r="CT36" s="143" t="n"/>
      <c r="CU36" s="6" t="n"/>
      <c r="CV36" s="143" t="n"/>
      <c r="CW36" s="143" t="n"/>
      <c r="CX36" s="143" t="n"/>
      <c r="CY36" s="143" t="n"/>
      <c r="CZ36" s="143" t="n"/>
      <c r="DA36" s="6" t="n"/>
      <c r="DB36" s="6" t="n"/>
      <c r="DC36" s="6" t="n"/>
      <c r="DD36" s="6" t="n"/>
      <c r="DE36" s="6" t="n"/>
      <c r="DF36" s="6" t="n"/>
      <c r="DG36" s="6" t="n"/>
      <c r="DH36" s="6" t="n"/>
      <c r="DI36" s="6" t="n"/>
      <c r="DJ36" s="200" t="n"/>
      <c r="DK36" s="6" t="n"/>
      <c r="DL36" s="6" t="n"/>
    </row>
    <row r="37" ht="12.6" customFormat="1" customHeight="1" s="990">
      <c r="A37" s="991" t="n"/>
      <c r="B37" s="990" t="n"/>
      <c r="C37" s="990" t="n"/>
      <c r="D37" s="997" t="n"/>
      <c r="F37" s="984" t="n"/>
      <c r="G37" s="997" t="n"/>
      <c r="H37" s="1000" t="inlineStr">
        <is>
          <t>A3</t>
        </is>
      </c>
      <c r="I37" s="984" t="n"/>
      <c r="J37" s="186" t="n"/>
      <c r="K37" s="984" t="n"/>
      <c r="M37" s="984" t="n"/>
      <c r="N37" s="984" t="n"/>
      <c r="O37" s="984" t="n"/>
      <c r="P37" s="182" t="n"/>
      <c r="Q37" s="182" t="n"/>
      <c r="R37" s="999" t="n"/>
      <c r="CJ37" s="6" t="n"/>
      <c r="CK37" s="6" t="n"/>
      <c r="CL37" s="6" t="n"/>
      <c r="CM37" s="143" t="n"/>
      <c r="CN37" s="143" t="n"/>
      <c r="CO37" s="143" t="n"/>
      <c r="CP37" s="143" t="n"/>
      <c r="CQ37" s="143" t="n"/>
      <c r="CR37" s="143" t="n"/>
      <c r="CS37" s="143" t="n"/>
      <c r="CT37" s="143" t="n"/>
      <c r="CU37" s="6" t="n"/>
      <c r="CV37" s="143" t="n"/>
      <c r="CW37" s="143" t="n"/>
      <c r="CX37" s="143" t="n"/>
      <c r="CY37" s="143" t="n"/>
      <c r="CZ37" s="143" t="n"/>
      <c r="DA37" s="6" t="n"/>
      <c r="DB37" s="6" t="n"/>
      <c r="DC37" s="6" t="n"/>
      <c r="DD37" s="6" t="n"/>
      <c r="DE37" s="6" t="n"/>
      <c r="DF37" s="6" t="n"/>
      <c r="DG37" s="6" t="n"/>
      <c r="DH37" s="6" t="n"/>
      <c r="DI37" s="6" t="n"/>
      <c r="DJ37" s="200" t="n"/>
      <c r="DK37" s="6" t="n"/>
      <c r="DL37" s="6" t="n"/>
    </row>
    <row r="38" ht="12.6" customFormat="1" customHeight="1" s="1007">
      <c r="A38" s="1008" t="n"/>
      <c r="B38" s="990" t="n"/>
      <c r="C38" s="990" t="n"/>
      <c r="D38" s="1009" t="n"/>
      <c r="E38" s="1010" t="n"/>
      <c r="F38" s="1002" t="n"/>
      <c r="G38" s="997" t="n"/>
      <c r="H38" s="1001" t="inlineStr">
        <is>
          <t>Diff</t>
        </is>
      </c>
      <c r="I38" s="1002">
        <f>I35-I37</f>
        <v/>
      </c>
      <c r="J38" s="189" t="n"/>
      <c r="K38" s="984" t="n"/>
      <c r="M38" s="1002">
        <f>M35-M37</f>
        <v/>
      </c>
      <c r="N38" s="1002">
        <f>N35-N37</f>
        <v/>
      </c>
      <c r="O38" s="984" t="n"/>
      <c r="P38" s="182" t="n"/>
      <c r="Q38" s="990" t="n"/>
      <c r="R38" s="990" t="n"/>
      <c r="S38" s="1011" t="n"/>
      <c r="T38" s="1011" t="n"/>
      <c r="U38" s="1011" t="n"/>
      <c r="V38" s="1011" t="n"/>
      <c r="W38" s="1011" t="n"/>
      <c r="X38" s="995" t="n"/>
      <c r="Y38" s="995" t="n"/>
      <c r="Z38" s="995" t="n"/>
      <c r="AA38" s="995" t="n"/>
      <c r="AB38" s="995" t="n"/>
      <c r="AC38" s="995" t="n"/>
      <c r="CJ38" s="6" t="n"/>
      <c r="CK38" s="6" t="n"/>
      <c r="CL38" s="6" t="n"/>
      <c r="CM38" s="143" t="n"/>
      <c r="CN38" s="143" t="n"/>
      <c r="CO38" s="143" t="n"/>
      <c r="CP38" s="143" t="n"/>
      <c r="CQ38" s="143" t="n"/>
      <c r="CR38" s="143" t="n"/>
      <c r="CS38" s="143" t="n"/>
      <c r="CT38" s="6" t="n"/>
      <c r="CU38" s="6" t="n"/>
      <c r="CV38" s="143" t="n"/>
      <c r="CW38" s="143" t="n"/>
      <c r="CX38" s="143" t="n"/>
      <c r="CY38" s="143" t="n"/>
      <c r="CZ38" s="143" t="n"/>
      <c r="DA38" s="6" t="n"/>
      <c r="DB38" s="6" t="n"/>
      <c r="DC38" s="6" t="n"/>
      <c r="DD38" s="6" t="n"/>
      <c r="DE38" s="6" t="n"/>
      <c r="DF38" s="6" t="n"/>
      <c r="DG38" s="6" t="n"/>
      <c r="DH38" s="6" t="n"/>
      <c r="DI38" s="6" t="n"/>
      <c r="DJ38" s="200" t="n"/>
      <c r="DK38" s="6" t="n"/>
      <c r="DL38" s="6" t="n"/>
    </row>
    <row r="39" ht="13.35" customFormat="1" customHeight="1" s="6">
      <c r="A39" s="655" t="n"/>
      <c r="B39" s="164" t="n"/>
      <c r="G39" s="215" t="n"/>
      <c r="H39" s="1007" t="n"/>
      <c r="I39" s="137" t="n"/>
      <c r="J39" s="215" t="n"/>
      <c r="CT39" s="143" t="n"/>
      <c r="CU39" s="143" t="n"/>
      <c r="CV39" s="143" t="n"/>
      <c r="CW39" s="143" t="n"/>
      <c r="CX39" s="143" t="n"/>
      <c r="CY39" s="143" t="n"/>
      <c r="CZ39" s="143" t="n"/>
      <c r="DC39" s="143" t="n"/>
      <c r="DD39" s="143" t="n"/>
      <c r="DE39" s="143" t="n"/>
      <c r="DF39" s="143" t="n"/>
      <c r="DG39" s="143" t="n"/>
      <c r="DQ39" s="200" t="n"/>
    </row>
    <row r="40" ht="13.35" customFormat="1" customHeight="1" s="13" thickBot="1">
      <c r="A40" s="663" t="n"/>
      <c r="B40" s="88" t="inlineStr">
        <is>
          <t>Notes</t>
        </is>
      </c>
      <c r="C40" s="13" t="inlineStr">
        <is>
          <t>对变动不在范围内的项目进行调查，评估其合理性，并记录在“说明”中。对异常项目进行调查，并记录在“说明”中。</t>
        </is>
      </c>
      <c r="G40" s="137" t="n"/>
      <c r="H40" s="985" t="n"/>
      <c r="I40" s="137" t="n"/>
      <c r="J40" s="137" t="n"/>
      <c r="CV40" s="62" t="n"/>
      <c r="CW40" s="62" t="n"/>
      <c r="CX40" s="62" t="n"/>
      <c r="CY40" s="62" t="n"/>
      <c r="CZ40" s="62" t="n"/>
      <c r="DA40" s="62" t="n"/>
      <c r="DB40" s="62" t="n"/>
      <c r="DE40" s="62" t="n"/>
      <c r="DF40" s="62" t="n"/>
      <c r="DG40" s="62" t="n"/>
      <c r="DH40" s="62" t="n"/>
      <c r="DI40" s="62" t="n"/>
      <c r="DS40" s="107" t="n"/>
    </row>
    <row r="41" ht="12.6" customFormat="1" customHeight="1" s="17">
      <c r="A41" s="664" t="n"/>
      <c r="C41" s="986" t="n"/>
      <c r="D41" s="937" t="n"/>
      <c r="E41" s="937" t="n"/>
      <c r="F41" s="937" t="n"/>
      <c r="G41" s="938" t="n"/>
      <c r="H41" s="139" t="n"/>
      <c r="I41" s="139" t="n"/>
      <c r="J41" s="139" t="n"/>
      <c r="CN41" s="13" t="n"/>
      <c r="CO41" s="13" t="n"/>
      <c r="CP41" s="13" t="n"/>
      <c r="CQ41" s="62" t="n"/>
      <c r="CR41" s="62" t="n"/>
      <c r="CS41" s="62" t="n"/>
      <c r="CT41" s="62" t="n"/>
      <c r="CU41" s="62" t="n"/>
      <c r="CV41" s="62" t="n"/>
      <c r="CW41" s="62" t="n"/>
      <c r="CX41" s="13" t="n"/>
      <c r="CY41" s="13" t="n"/>
      <c r="CZ41" s="62" t="n"/>
      <c r="DA41" s="62" t="n"/>
      <c r="DB41" s="62" t="n"/>
      <c r="DC41" s="62" t="n"/>
      <c r="DD41" s="62" t="n"/>
      <c r="DE41" s="13" t="n"/>
      <c r="DF41" s="13" t="n"/>
      <c r="DG41" s="13" t="n"/>
      <c r="DH41" s="13" t="n"/>
      <c r="DI41" s="13" t="n"/>
      <c r="DJ41" s="13" t="n"/>
      <c r="DK41" s="13" t="n"/>
      <c r="DL41" s="13" t="n"/>
      <c r="DM41" s="13" t="n"/>
      <c r="DN41" s="107" t="n"/>
      <c r="DO41" s="13" t="n"/>
      <c r="DP41" s="13" t="n"/>
    </row>
    <row r="42" ht="12.6" customFormat="1" customHeight="1" s="17">
      <c r="A42" s="665" t="n"/>
      <c r="C42" s="940" t="n"/>
      <c r="D42" s="941" t="n"/>
      <c r="E42" s="941" t="n"/>
      <c r="F42" s="941" t="n"/>
      <c r="G42" s="942"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thickBot="1">
      <c r="A43" s="665" t="n"/>
      <c r="C43" s="943" t="n"/>
      <c r="D43" s="944" t="n"/>
      <c r="E43" s="944" t="n"/>
      <c r="F43" s="944" t="n"/>
      <c r="G43" s="945"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3" t="n"/>
      <c r="DO43" s="13" t="n"/>
      <c r="DP43" s="13" t="n"/>
    </row>
    <row r="44" ht="12.6" customHeight="1">
      <c r="A44" s="660" t="n"/>
      <c r="CS44" s="6" t="n"/>
      <c r="CT44" s="6" t="n"/>
      <c r="CU44" s="6" t="n"/>
      <c r="CV44" s="143" t="n"/>
      <c r="CW44" s="143" t="n"/>
      <c r="CX44" s="143" t="n"/>
      <c r="CY44" s="143" t="n"/>
      <c r="CZ44" s="143" t="n"/>
      <c r="DA44" s="143" t="n"/>
      <c r="DB44" s="143" t="n"/>
      <c r="DC44" s="6" t="n"/>
      <c r="DD44" s="6" t="n"/>
      <c r="DE44" s="143" t="n"/>
      <c r="DF44" s="143" t="n"/>
      <c r="DG44" s="143" t="n"/>
      <c r="DH44" s="143" t="n"/>
      <c r="DI44" s="143" t="n"/>
      <c r="DJ44" s="6" t="n"/>
      <c r="DK44" s="6" t="n"/>
      <c r="DL44" s="6" t="n"/>
      <c r="DM44" s="6" t="n"/>
      <c r="DN44" s="6" t="n"/>
      <c r="DO44" s="6" t="n"/>
      <c r="DP44" s="6" t="n"/>
      <c r="DQ44" s="6" t="n"/>
      <c r="DR44" s="6" t="n"/>
      <c r="DS44" s="6" t="n"/>
      <c r="DT44" s="6" t="n"/>
      <c r="DU44" s="6" t="n"/>
    </row>
    <row r="45" ht="12.6" customHeight="1">
      <c r="A45" s="660" t="n"/>
      <c r="CS45" s="6" t="n"/>
      <c r="CT45" s="6" t="n"/>
      <c r="CU45" s="6" t="n"/>
      <c r="CV45" s="143" t="n"/>
      <c r="CW45" s="143" t="n"/>
      <c r="CX45" s="143" t="n"/>
      <c r="CY45" s="143" t="n"/>
      <c r="CZ45" s="143" t="n"/>
      <c r="DA45" s="143" t="n"/>
      <c r="DB45" s="143" t="n"/>
      <c r="DC45" s="6" t="n"/>
      <c r="DD45" s="6" t="n"/>
      <c r="DE45" s="143" t="n"/>
      <c r="DF45" s="143" t="n"/>
      <c r="DG45" s="143" t="n"/>
      <c r="DH45" s="143" t="n"/>
      <c r="DI45" s="143" t="n"/>
      <c r="DJ45" s="6" t="n"/>
      <c r="DK45" s="6" t="n"/>
      <c r="DL45" s="6" t="n"/>
      <c r="DM45" s="6" t="n"/>
      <c r="DN45" s="6" t="n"/>
      <c r="DO45" s="6" t="n"/>
      <c r="DP45" s="6" t="n"/>
      <c r="DQ45" s="6" t="n"/>
      <c r="DR45" s="6" t="n"/>
      <c r="DS45" s="6" t="n"/>
      <c r="DT45" s="6" t="n"/>
      <c r="DU45" s="6" t="n"/>
    </row>
    <row r="46" ht="12.6" customHeight="1">
      <c r="A46" s="541" t="n"/>
      <c r="CS46" s="6" t="n"/>
      <c r="CT46" s="6" t="n"/>
      <c r="CU46" s="6" t="n"/>
      <c r="CV46" s="143" t="n"/>
      <c r="CW46" s="143" t="n"/>
      <c r="CX46" s="143" t="n"/>
      <c r="CY46" s="143" t="n"/>
      <c r="CZ46" s="143" t="n"/>
      <c r="DA46" s="143" t="n"/>
      <c r="DB46" s="143" t="n"/>
      <c r="DC46" s="6" t="n"/>
      <c r="DD46" s="6" t="n"/>
      <c r="DE46" s="143" t="n"/>
      <c r="DF46" s="143" t="n"/>
      <c r="DG46" s="143" t="n"/>
      <c r="DH46" s="143" t="n"/>
      <c r="DI46" s="143" t="n"/>
      <c r="DJ46" s="6" t="n"/>
      <c r="DK46" s="6" t="n"/>
      <c r="DL46" s="6" t="n"/>
      <c r="DM46" s="6" t="n"/>
      <c r="DN46" s="6" t="n"/>
      <c r="DO46" s="6" t="n"/>
      <c r="DP46" s="6" t="n"/>
      <c r="DQ46" s="6" t="n"/>
      <c r="DR46" s="6" t="n"/>
      <c r="DS46" s="6" t="n"/>
      <c r="DT46" s="6" t="n"/>
      <c r="DU46" s="6" t="n"/>
    </row>
    <row r="47" ht="12.6" customHeight="1">
      <c r="A47" s="541" t="n"/>
      <c r="CV47" s="143" t="n"/>
      <c r="CW47" s="143" t="n"/>
      <c r="CX47" s="143" t="n"/>
      <c r="CY47" s="143" t="n"/>
      <c r="CZ47" s="143" t="n"/>
      <c r="DA47" s="6" t="n"/>
      <c r="DB47" s="6" t="n"/>
      <c r="DC47" s="6" t="n"/>
      <c r="DD47" s="6" t="n"/>
      <c r="DE47" s="143" t="n"/>
      <c r="DF47" s="143" t="n"/>
      <c r="DG47" s="143" t="n"/>
      <c r="DH47" s="143" t="n"/>
      <c r="DI47" s="143" t="n"/>
    </row>
    <row r="48" ht="12.6" customHeight="1">
      <c r="A48" s="541" t="n"/>
      <c r="CV48" s="143" t="n"/>
      <c r="CW48" s="143" t="n"/>
      <c r="CX48" s="143" t="n"/>
      <c r="CY48" s="143" t="n"/>
      <c r="CZ48" s="143" t="n"/>
      <c r="DA48" s="6" t="n"/>
      <c r="DB48" s="6" t="n"/>
      <c r="DC48" s="6" t="n"/>
      <c r="DD48" s="6" t="n"/>
      <c r="DE48" s="143" t="n"/>
      <c r="DF48" s="143" t="n"/>
      <c r="DG48" s="143" t="n"/>
      <c r="DH48" s="143" t="n"/>
      <c r="DI48" s="143" t="n"/>
    </row>
    <row r="49" ht="12.6" customHeight="1">
      <c r="A49" s="541" t="n"/>
      <c r="CV49" s="143" t="n"/>
      <c r="CW49" s="143" t="n"/>
      <c r="CX49" s="143" t="n"/>
      <c r="CY49" s="143" t="n"/>
      <c r="CZ49" s="143" t="n"/>
      <c r="DA49" s="6" t="n"/>
      <c r="DB49" s="6" t="n"/>
      <c r="DC49" s="6" t="n"/>
      <c r="DD49" s="6" t="n"/>
      <c r="DE49" s="143" t="n"/>
      <c r="DF49" s="143" t="n"/>
      <c r="DG49" s="143" t="n"/>
      <c r="DH49" s="143" t="n"/>
      <c r="DI49" s="143" t="n"/>
    </row>
    <row r="50" ht="12.6" customHeight="1">
      <c r="A50" s="541" t="n"/>
      <c r="CV50" s="143" t="n"/>
      <c r="CW50" s="143" t="n"/>
      <c r="CX50" s="143" t="n"/>
      <c r="CY50" s="143" t="n"/>
      <c r="CZ50" s="143" t="n"/>
      <c r="DA50" s="6" t="n"/>
      <c r="DB50" s="6" t="n"/>
      <c r="DC50" s="6" t="n"/>
      <c r="DD50" s="6" t="n"/>
      <c r="DE50" s="143" t="n"/>
      <c r="DF50" s="143" t="n"/>
      <c r="DG50" s="143" t="n"/>
      <c r="DH50" s="143" t="n"/>
      <c r="DI50" s="143" t="n"/>
    </row>
    <row r="51" ht="12.6" customHeight="1">
      <c r="A51" s="541" t="n"/>
      <c r="CV51" s="143" t="n"/>
      <c r="CW51" s="143" t="n"/>
      <c r="CX51" s="143" t="n"/>
      <c r="CY51" s="143" t="n"/>
      <c r="CZ51" s="143" t="n"/>
      <c r="DA51" s="6" t="n"/>
      <c r="DB51" s="6" t="n"/>
      <c r="DC51" s="6" t="n"/>
      <c r="DD51" s="6" t="n"/>
      <c r="DE51" s="143" t="n"/>
      <c r="DF51" s="143" t="n"/>
      <c r="DG51" s="143" t="n"/>
      <c r="DH51" s="143" t="n"/>
      <c r="DI51" s="143" t="n"/>
    </row>
    <row r="52" ht="12.6" customHeight="1">
      <c r="A52" s="541" t="n"/>
      <c r="CV52" s="143" t="n"/>
      <c r="CW52" s="143" t="n"/>
      <c r="CX52" s="143" t="n"/>
      <c r="CY52" s="143" t="n"/>
      <c r="CZ52" s="143" t="n"/>
      <c r="DA52" s="6" t="n"/>
      <c r="DB52" s="6" t="n"/>
      <c r="DC52" s="6" t="n"/>
      <c r="DD52" s="6" t="n"/>
      <c r="DE52" s="143" t="n"/>
      <c r="DF52" s="143" t="n"/>
      <c r="DG52" s="143" t="n"/>
      <c r="DH52" s="143" t="n"/>
      <c r="DI52" s="143" t="n"/>
    </row>
    <row r="53" ht="12.6" customHeight="1">
      <c r="A53" s="541" t="n"/>
      <c r="CV53" s="143" t="n"/>
      <c r="CW53" s="143" t="n"/>
      <c r="CX53" s="143" t="n"/>
      <c r="CY53" s="143" t="n"/>
      <c r="CZ53" s="143" t="n"/>
      <c r="DA53" s="6" t="n"/>
      <c r="DB53" s="6" t="n"/>
      <c r="DC53" s="6" t="n"/>
      <c r="DD53" s="6" t="n"/>
      <c r="DE53" s="143" t="n"/>
      <c r="DF53" s="143" t="n"/>
      <c r="DG53" s="143" t="n"/>
      <c r="DH53" s="143" t="n"/>
      <c r="DI53" s="143" t="n"/>
    </row>
    <row r="54" ht="12.6" customHeight="1">
      <c r="A54" s="541" t="n"/>
      <c r="CV54" s="143" t="n"/>
      <c r="CW54" s="143" t="n"/>
      <c r="CX54" s="143" t="n"/>
      <c r="CY54" s="143" t="n"/>
      <c r="CZ54" s="143" t="n"/>
      <c r="DA54" s="6" t="n"/>
      <c r="DB54" s="6" t="n"/>
      <c r="DC54" s="6" t="n"/>
      <c r="DD54" s="6" t="n"/>
      <c r="DE54" s="143" t="n"/>
      <c r="DF54" s="143" t="n"/>
      <c r="DG54" s="143" t="n"/>
      <c r="DH54" s="143" t="n"/>
      <c r="DI54" s="143" t="n"/>
    </row>
    <row r="55" ht="12.6" customHeight="1">
      <c r="A55" s="541" t="n"/>
      <c r="CV55" s="143" t="n"/>
      <c r="CW55" s="143" t="n"/>
      <c r="CX55" s="143" t="n"/>
      <c r="CY55" s="143" t="n"/>
      <c r="CZ55" s="143" t="n"/>
      <c r="DA55" s="6" t="n"/>
      <c r="DB55" s="6" t="n"/>
      <c r="DC55" s="6" t="n"/>
      <c r="DD55" s="6" t="n"/>
      <c r="DE55" s="143" t="n"/>
      <c r="DF55" s="143" t="n"/>
      <c r="DG55" s="143" t="n"/>
      <c r="DH55" s="143" t="n"/>
      <c r="DI55" s="143" t="n"/>
    </row>
    <row r="56" ht="12.6" customHeight="1">
      <c r="A56" s="541" t="n"/>
      <c r="CV56" s="143" t="n"/>
      <c r="CW56" s="143" t="n"/>
      <c r="CX56" s="143" t="n"/>
      <c r="CY56" s="143" t="n"/>
      <c r="CZ56" s="143" t="n"/>
      <c r="DA56" s="6" t="n"/>
      <c r="DB56" s="6" t="n"/>
      <c r="DC56" s="6" t="n"/>
      <c r="DD56" s="6" t="n"/>
      <c r="DE56" s="143" t="n"/>
      <c r="DF56" s="143" t="n"/>
      <c r="DG56" s="143" t="n"/>
      <c r="DH56" s="143" t="n"/>
      <c r="DI56" s="143" t="n"/>
    </row>
    <row r="57" ht="12.6" customHeight="1">
      <c r="A57" s="541" t="n"/>
      <c r="CV57" s="143" t="n"/>
      <c r="CW57" s="143" t="n"/>
      <c r="CX57" s="143" t="n"/>
      <c r="CY57" s="143" t="n"/>
      <c r="CZ57" s="143" t="n"/>
      <c r="DA57" s="6" t="n"/>
      <c r="DB57" s="6" t="n"/>
      <c r="DC57" s="6" t="n"/>
      <c r="DD57" s="6" t="n"/>
      <c r="DE57" s="143" t="n"/>
      <c r="DF57" s="143" t="n"/>
      <c r="DG57" s="143" t="n"/>
      <c r="DH57" s="143" t="n"/>
      <c r="DI57" s="143" t="n"/>
    </row>
    <row r="58" ht="12.6" customHeight="1">
      <c r="A58" s="541" t="n"/>
      <c r="CV58" s="143" t="n"/>
      <c r="CW58" s="143" t="n"/>
      <c r="CX58" s="143" t="n"/>
      <c r="CY58" s="143" t="n"/>
      <c r="CZ58" s="143" t="n"/>
      <c r="DA58" s="6" t="n"/>
      <c r="DB58" s="6" t="n"/>
      <c r="DC58" s="6" t="n"/>
      <c r="DD58" s="6" t="n"/>
      <c r="DE58" s="143" t="n"/>
      <c r="DF58" s="143" t="n"/>
      <c r="DG58" s="143" t="n"/>
      <c r="DH58" s="143" t="n"/>
      <c r="DI58" s="143" t="n"/>
    </row>
    <row r="59" ht="12.6" customHeight="1">
      <c r="A59" s="541" t="n"/>
      <c r="CV59" s="143" t="n"/>
      <c r="CW59" s="143" t="n"/>
      <c r="CX59" s="143" t="n"/>
      <c r="CY59" s="143" t="n"/>
      <c r="CZ59" s="143" t="n"/>
      <c r="DA59" s="6" t="n"/>
      <c r="DB59" s="6" t="n"/>
      <c r="DC59" s="6" t="n"/>
      <c r="DD59" s="6" t="n"/>
      <c r="DE59" s="143" t="n"/>
      <c r="DF59" s="143" t="n"/>
      <c r="DG59" s="143" t="n"/>
      <c r="DH59" s="143" t="n"/>
      <c r="DI59" s="143" t="n"/>
    </row>
    <row r="60" ht="12.6" customHeight="1">
      <c r="A60" s="541" t="n"/>
      <c r="CV60" s="143" t="n"/>
      <c r="CW60" s="143" t="n"/>
      <c r="CX60" s="143" t="n"/>
      <c r="CY60" s="143" t="n"/>
      <c r="CZ60" s="143" t="n"/>
      <c r="DA60" s="6" t="n"/>
      <c r="DB60" s="6" t="n"/>
      <c r="DC60" s="6" t="n"/>
      <c r="DD60" s="6" t="n"/>
      <c r="DE60" s="143" t="n"/>
      <c r="DF60" s="143" t="n"/>
      <c r="DG60" s="143" t="n"/>
      <c r="DH60" s="143" t="n"/>
      <c r="DI60" s="143" t="n"/>
    </row>
    <row r="61" ht="12.6" customHeight="1">
      <c r="A61" s="541" t="n"/>
      <c r="CV61" s="143" t="n"/>
      <c r="CW61" s="143" t="n"/>
      <c r="CX61" s="143" t="n"/>
      <c r="CY61" s="143" t="n"/>
      <c r="CZ61" s="143" t="n"/>
      <c r="DA61" s="6" t="n"/>
      <c r="DB61" s="6" t="n"/>
      <c r="DC61" s="6" t="n"/>
      <c r="DD61" s="6" t="n"/>
      <c r="DE61" s="143" t="n"/>
      <c r="DF61" s="143" t="n"/>
      <c r="DG61" s="143" t="n"/>
      <c r="DH61" s="143" t="n"/>
      <c r="DI61" s="143" t="n"/>
    </row>
    <row r="62" ht="12.6" customHeight="1">
      <c r="A62" s="541" t="n"/>
      <c r="CV62" s="143" t="n"/>
      <c r="CW62" s="143" t="n"/>
      <c r="CX62" s="143" t="n"/>
      <c r="CY62" s="143" t="n"/>
      <c r="CZ62" s="143" t="n"/>
      <c r="DA62" s="6" t="n"/>
      <c r="DB62" s="6" t="n"/>
      <c r="DC62" s="6" t="n"/>
      <c r="DD62" s="6" t="n"/>
      <c r="DE62" s="143" t="n"/>
      <c r="DF62" s="143" t="n"/>
      <c r="DG62" s="143" t="n"/>
      <c r="DH62" s="143" t="n"/>
      <c r="DI62" s="143" t="n"/>
    </row>
    <row r="63" ht="12.6" customHeight="1">
      <c r="A63" s="541" t="n"/>
      <c r="CV63" s="143" t="n"/>
      <c r="CW63" s="143" t="n"/>
      <c r="CX63" s="143" t="n"/>
      <c r="CY63" s="143" t="n"/>
      <c r="CZ63" s="143" t="n"/>
      <c r="DA63" s="6" t="n"/>
      <c r="DB63" s="6" t="n"/>
      <c r="DC63" s="6" t="n"/>
      <c r="DD63" s="6" t="n"/>
      <c r="DE63" s="143" t="n"/>
      <c r="DF63" s="143" t="n"/>
      <c r="DG63" s="143" t="n"/>
      <c r="DH63" s="143" t="n"/>
      <c r="DI63" s="143" t="n"/>
    </row>
    <row r="64" ht="12.6" customHeight="1">
      <c r="A64" s="541" t="n"/>
      <c r="CV64" s="143" t="n"/>
      <c r="CW64" s="143" t="n"/>
      <c r="CX64" s="143" t="n"/>
      <c r="CY64" s="143" t="n"/>
      <c r="CZ64" s="143" t="n"/>
      <c r="DA64" s="6" t="n"/>
      <c r="DB64" s="6" t="n"/>
      <c r="DC64" s="6" t="n"/>
      <c r="DD64" s="6" t="n"/>
      <c r="DE64" s="143" t="n"/>
      <c r="DF64" s="143" t="n"/>
      <c r="DG64" s="143" t="n"/>
      <c r="DH64" s="143" t="n"/>
      <c r="DI64" s="143" t="n"/>
    </row>
    <row r="65" ht="12.6" customHeight="1">
      <c r="A65" s="541" t="n"/>
      <c r="CV65" s="143" t="n"/>
      <c r="CW65" s="143" t="n"/>
      <c r="CX65" s="143" t="n"/>
      <c r="CY65" s="143" t="n"/>
      <c r="CZ65" s="143" t="n"/>
      <c r="DA65" s="6" t="n"/>
      <c r="DB65" s="6" t="n"/>
      <c r="DC65" s="6" t="n"/>
      <c r="DD65" s="6" t="n"/>
      <c r="DE65" s="143" t="n"/>
      <c r="DF65" s="143" t="n"/>
      <c r="DG65" s="143" t="n"/>
      <c r="DH65" s="143" t="n"/>
      <c r="DI65" s="143" t="n"/>
    </row>
    <row r="66" ht="12.6" customHeight="1">
      <c r="A66" s="541" t="n"/>
      <c r="CV66" s="143" t="n"/>
      <c r="CW66" s="143" t="n"/>
      <c r="CX66" s="143" t="n"/>
      <c r="CY66" s="143" t="n"/>
      <c r="CZ66" s="143" t="n"/>
      <c r="DA66" s="6" t="n"/>
      <c r="DB66" s="6" t="n"/>
      <c r="DC66" s="6" t="n"/>
      <c r="DD66" s="6" t="n"/>
      <c r="DE66" s="143" t="n"/>
      <c r="DF66" s="143" t="n"/>
      <c r="DG66" s="143" t="n"/>
      <c r="DH66" s="143" t="n"/>
      <c r="DI66" s="143" t="n"/>
    </row>
    <row r="67" ht="12.6" customHeight="1">
      <c r="A67" s="541" t="n"/>
      <c r="CV67" s="143" t="n"/>
      <c r="CW67" s="143" t="n"/>
      <c r="CX67" s="143" t="n"/>
      <c r="CY67" s="143" t="n"/>
      <c r="CZ67" s="143" t="n"/>
      <c r="DA67" s="6" t="n"/>
      <c r="DB67" s="6" t="n"/>
      <c r="DC67" s="6" t="n"/>
      <c r="DD67" s="6" t="n"/>
      <c r="DE67" s="143" t="n"/>
      <c r="DF67" s="143" t="n"/>
      <c r="DG67" s="143" t="n"/>
      <c r="DH67" s="143" t="n"/>
      <c r="DI67" s="143" t="n"/>
    </row>
    <row r="68" ht="12.6" customHeight="1">
      <c r="A68" s="541" t="n"/>
      <c r="CV68" s="143" t="n"/>
      <c r="CW68" s="143" t="n"/>
      <c r="CX68" s="143" t="n"/>
      <c r="CY68" s="143" t="n"/>
      <c r="CZ68" s="143" t="n"/>
      <c r="DA68" s="6" t="n"/>
      <c r="DB68" s="6" t="n"/>
      <c r="DC68" s="6" t="n"/>
      <c r="DD68" s="6" t="n"/>
      <c r="DE68" s="143" t="n"/>
      <c r="DF68" s="143" t="n"/>
      <c r="DG68" s="143" t="n"/>
      <c r="DH68" s="143" t="n"/>
      <c r="DI68" s="143" t="n"/>
    </row>
    <row r="69" ht="12.6" customHeight="1">
      <c r="A69" s="541" t="n"/>
      <c r="CV69" s="143" t="n"/>
      <c r="CW69" s="143" t="n"/>
      <c r="CX69" s="143" t="n"/>
      <c r="CY69" s="143" t="n"/>
      <c r="CZ69" s="143" t="n"/>
      <c r="DA69" s="6" t="n"/>
      <c r="DB69" s="6" t="n"/>
      <c r="DC69" s="6" t="n"/>
      <c r="DD69" s="6" t="n"/>
      <c r="DE69" s="143" t="n"/>
      <c r="DF69" s="143" t="n"/>
      <c r="DG69" s="143" t="n"/>
      <c r="DH69" s="143" t="n"/>
      <c r="DI69" s="143" t="n"/>
    </row>
    <row r="70" ht="12.6" customHeight="1">
      <c r="A70" s="541" t="n"/>
      <c r="CV70" s="143" t="n"/>
      <c r="CW70" s="143" t="n"/>
      <c r="CX70" s="143" t="n"/>
      <c r="CY70" s="143" t="n"/>
      <c r="CZ70" s="143" t="n"/>
      <c r="DA70" s="6" t="n"/>
      <c r="DB70" s="6" t="n"/>
      <c r="DC70" s="6" t="n"/>
      <c r="DD70" s="6" t="n"/>
      <c r="DE70" s="143" t="n"/>
      <c r="DF70" s="143" t="n"/>
      <c r="DG70" s="143" t="n"/>
      <c r="DH70" s="143" t="n"/>
      <c r="DI70" s="143" t="n"/>
    </row>
    <row r="71" ht="12.6" customHeight="1">
      <c r="A71" s="541" t="n"/>
      <c r="CV71" s="143" t="n"/>
      <c r="CW71" s="143" t="n"/>
      <c r="CX71" s="143" t="n"/>
      <c r="CY71" s="143" t="n"/>
      <c r="CZ71" s="143" t="n"/>
      <c r="DA71" s="6" t="n"/>
      <c r="DB71" s="6" t="n"/>
      <c r="DC71" s="6" t="n"/>
      <c r="DD71" s="6" t="n"/>
      <c r="DE71" s="143" t="n"/>
      <c r="DF71" s="143" t="n"/>
      <c r="DG71" s="143" t="n"/>
      <c r="DH71" s="143" t="n"/>
      <c r="DI71" s="143" t="n"/>
    </row>
    <row r="72" ht="12.6" customHeight="1">
      <c r="A72" s="541" t="n"/>
      <c r="CV72" s="143" t="n"/>
      <c r="CW72" s="143" t="n"/>
      <c r="CX72" s="143" t="n"/>
      <c r="CY72" s="143" t="n"/>
      <c r="CZ72" s="143" t="n"/>
      <c r="DA72" s="6" t="n"/>
      <c r="DB72" s="6" t="n"/>
      <c r="DC72" s="6" t="n"/>
      <c r="DD72" s="6" t="n"/>
      <c r="DE72" s="143" t="n"/>
      <c r="DF72" s="143" t="n"/>
      <c r="DG72" s="143" t="n"/>
      <c r="DH72" s="143" t="n"/>
      <c r="DI72" s="143" t="n"/>
    </row>
    <row r="73" ht="12.6" customHeight="1">
      <c r="A73" s="541" t="n"/>
      <c r="CV73" s="143" t="n"/>
      <c r="CW73" s="143" t="n"/>
      <c r="CX73" s="143" t="n"/>
      <c r="CY73" s="143" t="n"/>
      <c r="CZ73" s="143" t="n"/>
      <c r="DA73" s="6" t="n"/>
      <c r="DB73" s="6" t="n"/>
      <c r="DC73" s="6" t="n"/>
      <c r="DD73" s="6" t="n"/>
      <c r="DE73" s="143" t="n"/>
      <c r="DF73" s="143" t="n"/>
      <c r="DG73" s="143" t="n"/>
      <c r="DH73" s="143" t="n"/>
      <c r="DI73" s="143" t="n"/>
    </row>
    <row r="74" ht="12.6" customHeight="1">
      <c r="A74" s="541" t="n"/>
      <c r="CV74" s="143" t="n"/>
      <c r="CW74" s="143" t="n"/>
      <c r="CX74" s="143" t="n"/>
      <c r="CY74" s="143" t="n"/>
      <c r="CZ74" s="143" t="n"/>
      <c r="DA74" s="6" t="n"/>
      <c r="DB74" s="6" t="n"/>
      <c r="DC74" s="6" t="n"/>
      <c r="DD74" s="6" t="n"/>
      <c r="DE74" s="143" t="n"/>
      <c r="DF74" s="143" t="n"/>
      <c r="DG74" s="143" t="n"/>
      <c r="DH74" s="143" t="n"/>
      <c r="DI74" s="143" t="n"/>
    </row>
    <row r="75" ht="12.6" customHeight="1">
      <c r="A75" s="541" t="n"/>
      <c r="CV75" s="143" t="n"/>
      <c r="CW75" s="143" t="n"/>
      <c r="CX75" s="143" t="n"/>
      <c r="CY75" s="143" t="n"/>
      <c r="CZ75" s="143" t="n"/>
      <c r="DA75" s="6" t="n"/>
      <c r="DB75" s="6" t="n"/>
      <c r="DC75" s="6" t="n"/>
      <c r="DD75" s="6" t="n"/>
      <c r="DE75" s="143" t="n"/>
      <c r="DF75" s="143" t="n"/>
      <c r="DG75" s="143" t="n"/>
      <c r="DH75" s="143" t="n"/>
      <c r="DI75" s="143" t="n"/>
    </row>
    <row r="76" ht="12.6" customHeight="1">
      <c r="A76" s="541" t="n"/>
      <c r="CV76" s="143" t="n"/>
      <c r="CW76" s="143" t="n"/>
      <c r="CX76" s="143" t="n"/>
      <c r="CY76" s="143" t="n"/>
      <c r="CZ76" s="143" t="n"/>
      <c r="DA76" s="6" t="n"/>
      <c r="DB76" s="6" t="n"/>
      <c r="DC76" s="6" t="n"/>
      <c r="DD76" s="6" t="n"/>
      <c r="DE76" s="143" t="n"/>
      <c r="DF76" s="143" t="n"/>
      <c r="DG76" s="143" t="n"/>
      <c r="DH76" s="143" t="n"/>
      <c r="DI76" s="143" t="n"/>
    </row>
    <row r="77" ht="12.6" customHeight="1">
      <c r="A77" s="541" t="n"/>
      <c r="CV77" s="143" t="n"/>
      <c r="CW77" s="143" t="n"/>
      <c r="CX77" s="143" t="n"/>
      <c r="CY77" s="143" t="n"/>
      <c r="CZ77" s="143" t="n"/>
      <c r="DA77" s="6" t="n"/>
      <c r="DB77" s="6" t="n"/>
      <c r="DC77" s="6" t="n"/>
      <c r="DD77" s="6" t="n"/>
      <c r="DE77" s="143" t="n"/>
      <c r="DF77" s="143" t="n"/>
      <c r="DG77" s="143" t="n"/>
      <c r="DH77" s="143" t="n"/>
      <c r="DI77" s="143" t="n"/>
    </row>
    <row r="78" ht="12.6" customHeight="1">
      <c r="A78" s="541" t="n"/>
      <c r="CV78" s="143" t="n"/>
      <c r="CW78" s="143" t="n"/>
      <c r="CX78" s="143" t="n"/>
      <c r="CY78" s="143" t="n"/>
      <c r="CZ78" s="143" t="n"/>
      <c r="DA78" s="6" t="n"/>
      <c r="DB78" s="6" t="n"/>
      <c r="DC78" s="6" t="n"/>
      <c r="DD78" s="6" t="n"/>
      <c r="DE78" s="143" t="n"/>
      <c r="DF78" s="143" t="n"/>
      <c r="DG78" s="143" t="n"/>
      <c r="DH78" s="143" t="n"/>
      <c r="DI78" s="143" t="n"/>
    </row>
    <row r="79" ht="12.6" customHeight="1">
      <c r="A79" s="541" t="n"/>
      <c r="CV79" s="143" t="n"/>
      <c r="CW79" s="143" t="n"/>
      <c r="CX79" s="143" t="n"/>
      <c r="CY79" s="143" t="n"/>
      <c r="CZ79" s="143" t="n"/>
      <c r="DA79" s="6" t="n"/>
      <c r="DB79" s="6" t="n"/>
      <c r="DC79" s="6" t="n"/>
      <c r="DD79" s="6" t="n"/>
      <c r="DE79" s="143" t="n"/>
      <c r="DF79" s="143" t="n"/>
      <c r="DG79" s="143" t="n"/>
      <c r="DH79" s="143" t="n"/>
      <c r="DI79" s="143" t="n"/>
    </row>
    <row r="80" ht="12.6" customHeight="1">
      <c r="A80" s="541" t="n"/>
      <c r="CV80" s="143" t="n"/>
      <c r="CW80" s="143" t="n"/>
      <c r="CX80" s="143" t="n"/>
      <c r="CY80" s="143" t="n"/>
      <c r="CZ80" s="143" t="n"/>
      <c r="DA80" s="6" t="n"/>
      <c r="DB80" s="6" t="n"/>
      <c r="DC80" s="6" t="n"/>
      <c r="DD80" s="6" t="n"/>
      <c r="DE80" s="143" t="n"/>
      <c r="DF80" s="143" t="n"/>
      <c r="DG80" s="143" t="n"/>
      <c r="DH80" s="143" t="n"/>
      <c r="DI80" s="143" t="n"/>
    </row>
    <row r="81" ht="12.6" customHeight="1">
      <c r="A81" s="541" t="n"/>
      <c r="CV81" s="143" t="n"/>
      <c r="CW81" s="143" t="n"/>
      <c r="CX81" s="143" t="n"/>
      <c r="CY81" s="143" t="n"/>
      <c r="CZ81" s="143" t="n"/>
      <c r="DA81" s="6" t="n"/>
      <c r="DB81" s="6" t="n"/>
      <c r="DC81" s="6" t="n"/>
      <c r="DD81" s="6" t="n"/>
      <c r="DE81" s="143" t="n"/>
      <c r="DF81" s="143" t="n"/>
      <c r="DG81" s="143" t="n"/>
      <c r="DH81" s="143" t="n"/>
      <c r="DI81" s="143" t="n"/>
    </row>
    <row r="82" ht="12.6" customHeight="1">
      <c r="A82" s="541" t="n"/>
      <c r="CV82" s="143" t="n"/>
      <c r="CW82" s="143" t="n"/>
      <c r="CX82" s="143" t="n"/>
      <c r="CY82" s="143" t="n"/>
      <c r="CZ82" s="143" t="n"/>
      <c r="DA82" s="6" t="n"/>
      <c r="DB82" s="6" t="n"/>
      <c r="DC82" s="6" t="n"/>
      <c r="DD82" s="6" t="n"/>
      <c r="DE82" s="143" t="n"/>
      <c r="DF82" s="143" t="n"/>
      <c r="DG82" s="143" t="n"/>
      <c r="DH82" s="143" t="n"/>
      <c r="DI82" s="143" t="n"/>
    </row>
    <row r="83" ht="12.6" customHeight="1">
      <c r="A83" s="541" t="n"/>
      <c r="CV83" s="143" t="n"/>
      <c r="CW83" s="143" t="n"/>
      <c r="CX83" s="143" t="n"/>
      <c r="CY83" s="143" t="n"/>
      <c r="CZ83" s="143" t="n"/>
      <c r="DA83" s="6" t="n"/>
      <c r="DB83" s="6" t="n"/>
      <c r="DC83" s="6" t="n"/>
      <c r="DD83" s="6" t="n"/>
      <c r="DE83" s="143" t="n"/>
      <c r="DF83" s="143" t="n"/>
      <c r="DG83" s="143" t="n"/>
      <c r="DH83" s="143" t="n"/>
      <c r="DI83" s="143" t="n"/>
    </row>
    <row r="84" ht="12.6" customHeight="1">
      <c r="A84" s="541" t="n"/>
      <c r="CV84" s="143" t="n"/>
      <c r="CW84" s="143" t="n"/>
      <c r="CX84" s="143" t="n"/>
      <c r="CY84" s="143" t="n"/>
      <c r="CZ84" s="143" t="n"/>
      <c r="DA84" s="6" t="n"/>
      <c r="DB84" s="6" t="n"/>
      <c r="DC84" s="6" t="n"/>
      <c r="DD84" s="6" t="n"/>
      <c r="DE84" s="143" t="n"/>
      <c r="DF84" s="143" t="n"/>
      <c r="DG84" s="143" t="n"/>
      <c r="DH84" s="143" t="n"/>
      <c r="DI84" s="143" t="n"/>
    </row>
    <row r="85" ht="12.6" customHeight="1">
      <c r="A85" s="541" t="n"/>
      <c r="CV85" s="143" t="n"/>
      <c r="CW85" s="143" t="n"/>
      <c r="CX85" s="143" t="n"/>
      <c r="CY85" s="143" t="n"/>
      <c r="CZ85" s="143" t="n"/>
      <c r="DA85" s="6" t="n"/>
      <c r="DB85" s="6" t="n"/>
      <c r="DC85" s="6" t="n"/>
      <c r="DD85" s="6" t="n"/>
      <c r="DE85" s="143" t="n"/>
      <c r="DF85" s="143" t="n"/>
      <c r="DG85" s="143" t="n"/>
      <c r="DH85" s="143" t="n"/>
      <c r="DI85" s="143" t="n"/>
    </row>
    <row r="86" ht="12.6" customHeight="1">
      <c r="A86" s="541" t="n"/>
      <c r="CV86" s="143" t="n"/>
      <c r="CW86" s="143" t="n"/>
      <c r="CX86" s="143" t="n"/>
      <c r="CY86" s="143" t="n"/>
      <c r="CZ86" s="143" t="n"/>
      <c r="DA86" s="6" t="n"/>
      <c r="DB86" s="6" t="n"/>
      <c r="DC86" s="6" t="n"/>
      <c r="DD86" s="6" t="n"/>
      <c r="DE86" s="143" t="n"/>
      <c r="DF86" s="143" t="n"/>
      <c r="DG86" s="143" t="n"/>
      <c r="DH86" s="143" t="n"/>
      <c r="DI86" s="143" t="n"/>
    </row>
    <row r="87" ht="12.6" customHeight="1">
      <c r="A87" s="541" t="n"/>
      <c r="CV87" s="143" t="n"/>
      <c r="CW87" s="143" t="n"/>
      <c r="CX87" s="143" t="n"/>
      <c r="CY87" s="143" t="n"/>
      <c r="CZ87" s="143" t="n"/>
      <c r="DA87" s="6" t="n"/>
      <c r="DB87" s="6" t="n"/>
      <c r="DC87" s="6" t="n"/>
      <c r="DD87" s="6" t="n"/>
      <c r="DE87" s="143" t="n"/>
      <c r="DF87" s="143" t="n"/>
      <c r="DG87" s="143" t="n"/>
      <c r="DH87" s="143" t="n"/>
      <c r="DI87" s="143" t="n"/>
    </row>
    <row r="88" ht="12.6" customHeight="1">
      <c r="A88" s="541" t="n"/>
      <c r="CV88" s="143" t="n"/>
      <c r="CW88" s="143" t="n"/>
      <c r="CX88" s="143" t="n"/>
      <c r="CY88" s="143" t="n"/>
      <c r="CZ88" s="143" t="n"/>
      <c r="DA88" s="6" t="n"/>
      <c r="DB88" s="6" t="n"/>
      <c r="DC88" s="6" t="n"/>
      <c r="DD88" s="6" t="n"/>
      <c r="DE88" s="143" t="n"/>
      <c r="DF88" s="143" t="n"/>
      <c r="DG88" s="143" t="n"/>
      <c r="DH88" s="143" t="n"/>
      <c r="DI88" s="143" t="n"/>
    </row>
    <row r="89" ht="12.6" customHeight="1">
      <c r="A89" s="541" t="n"/>
      <c r="CV89" s="143" t="n"/>
      <c r="CW89" s="143" t="n"/>
      <c r="CX89" s="143" t="n"/>
      <c r="CY89" s="143" t="n"/>
      <c r="CZ89" s="143" t="n"/>
      <c r="DA89" s="6" t="n"/>
      <c r="DB89" s="6" t="n"/>
      <c r="DC89" s="6" t="n"/>
      <c r="DD89" s="6" t="n"/>
      <c r="DE89" s="143" t="n"/>
      <c r="DF89" s="143" t="n"/>
      <c r="DG89" s="143" t="n"/>
      <c r="DH89" s="143" t="n"/>
      <c r="DI89" s="143" t="n"/>
    </row>
    <row r="90" ht="12.6" customHeight="1">
      <c r="A90" s="541" t="n"/>
      <c r="CV90" s="143" t="n"/>
      <c r="CW90" s="143" t="n"/>
      <c r="CX90" s="143" t="n"/>
      <c r="CY90" s="143" t="n"/>
      <c r="CZ90" s="143" t="n"/>
      <c r="DA90" s="6" t="n"/>
      <c r="DB90" s="6" t="n"/>
      <c r="DC90" s="6" t="n"/>
      <c r="DD90" s="6" t="n"/>
      <c r="DE90" s="143" t="n"/>
      <c r="DF90" s="143" t="n"/>
      <c r="DG90" s="143" t="n"/>
      <c r="DH90" s="143" t="n"/>
      <c r="DI90" s="143" t="n"/>
    </row>
    <row r="91" ht="12.6" customHeight="1">
      <c r="A91" s="541" t="n"/>
      <c r="CV91" s="143" t="n"/>
      <c r="CW91" s="143" t="n"/>
      <c r="CX91" s="143" t="n"/>
      <c r="CY91" s="143" t="n"/>
      <c r="CZ91" s="143" t="n"/>
      <c r="DA91" s="6" t="n"/>
      <c r="DB91" s="6" t="n"/>
      <c r="DC91" s="6" t="n"/>
      <c r="DD91" s="6" t="n"/>
      <c r="DE91" s="143" t="n"/>
      <c r="DF91" s="143" t="n"/>
      <c r="DG91" s="143" t="n"/>
      <c r="DH91" s="143" t="n"/>
      <c r="DI91" s="143" t="n"/>
    </row>
    <row r="92" ht="12.6" customHeight="1">
      <c r="A92" s="541" t="n"/>
      <c r="CV92" s="143" t="n"/>
      <c r="CW92" s="143" t="n"/>
      <c r="CX92" s="143" t="n"/>
      <c r="CY92" s="143" t="n"/>
      <c r="CZ92" s="143" t="n"/>
      <c r="DA92" s="6" t="n"/>
      <c r="DB92" s="6" t="n"/>
      <c r="DC92" s="6" t="n"/>
      <c r="DD92" s="6" t="n"/>
      <c r="DE92" s="143" t="n"/>
      <c r="DF92" s="143" t="n"/>
      <c r="DG92" s="143" t="n"/>
      <c r="DH92" s="143" t="n"/>
      <c r="DI92" s="143" t="n"/>
    </row>
    <row r="93" ht="12.6" customHeight="1">
      <c r="A93" s="541" t="n"/>
      <c r="CV93" s="143" t="n"/>
      <c r="CW93" s="143" t="n"/>
      <c r="CX93" s="143" t="n"/>
      <c r="CY93" s="143" t="n"/>
      <c r="CZ93" s="143" t="n"/>
      <c r="DA93" s="6" t="n"/>
      <c r="DB93" s="6" t="n"/>
      <c r="DC93" s="6" t="n"/>
      <c r="DD93" s="6" t="n"/>
      <c r="DE93" s="143" t="n"/>
      <c r="DF93" s="143" t="n"/>
      <c r="DG93" s="143" t="n"/>
      <c r="DH93" s="143" t="n"/>
      <c r="DI93" s="143" t="n"/>
    </row>
    <row r="94" ht="12.6" customHeight="1">
      <c r="A94" s="541" t="n"/>
      <c r="CV94" s="143" t="n"/>
      <c r="CW94" s="143" t="n"/>
      <c r="CX94" s="143" t="n"/>
      <c r="CY94" s="143" t="n"/>
      <c r="CZ94" s="143" t="n"/>
      <c r="DA94" s="6" t="n"/>
      <c r="DB94" s="6" t="n"/>
      <c r="DC94" s="6" t="n"/>
      <c r="DD94" s="6" t="n"/>
      <c r="DE94" s="143" t="n"/>
      <c r="DF94" s="143" t="n"/>
      <c r="DG94" s="143" t="n"/>
      <c r="DH94" s="143" t="n"/>
      <c r="DI94" s="143" t="n"/>
    </row>
    <row r="95" ht="12.6" customHeight="1">
      <c r="A95" s="541" t="n"/>
      <c r="CV95" s="143" t="n"/>
      <c r="CW95" s="143" t="n"/>
      <c r="CX95" s="143" t="n"/>
      <c r="CY95" s="143" t="n"/>
      <c r="CZ95" s="143" t="n"/>
      <c r="DA95" s="6" t="n"/>
      <c r="DB95" s="6" t="n"/>
      <c r="DC95" s="6" t="n"/>
      <c r="DD95" s="6" t="n"/>
      <c r="DE95" s="143" t="n"/>
      <c r="DF95" s="143" t="n"/>
      <c r="DG95" s="143" t="n"/>
      <c r="DH95" s="143" t="n"/>
      <c r="DI95" s="143" t="n"/>
    </row>
    <row r="96" ht="12.6" customHeight="1">
      <c r="A96" s="541" t="n"/>
      <c r="CV96" s="143" t="n"/>
      <c r="CW96" s="143" t="n"/>
      <c r="CX96" s="143" t="n"/>
      <c r="CY96" s="143" t="n"/>
      <c r="CZ96" s="143" t="n"/>
      <c r="DA96" s="6" t="n"/>
      <c r="DB96" s="6" t="n"/>
      <c r="DC96" s="6" t="n"/>
      <c r="DD96" s="6" t="n"/>
      <c r="DE96" s="143" t="n"/>
      <c r="DF96" s="143" t="n"/>
      <c r="DG96" s="143" t="n"/>
      <c r="DH96" s="143" t="n"/>
      <c r="DI96" s="143" t="n"/>
    </row>
    <row r="97" ht="12.6" customHeight="1">
      <c r="A97" s="541" t="n"/>
      <c r="CV97" s="143" t="n"/>
      <c r="CW97" s="143" t="n"/>
      <c r="CX97" s="143" t="n"/>
      <c r="CY97" s="143" t="n"/>
      <c r="CZ97" s="143" t="n"/>
      <c r="DA97" s="6" t="n"/>
      <c r="DB97" s="6" t="n"/>
      <c r="DC97" s="6" t="n"/>
      <c r="DD97" s="6" t="n"/>
      <c r="DE97" s="143" t="n"/>
      <c r="DF97" s="143" t="n"/>
      <c r="DG97" s="143" t="n"/>
      <c r="DH97" s="143" t="n"/>
      <c r="DI97" s="143" t="n"/>
    </row>
    <row r="98" ht="12.6" customHeight="1">
      <c r="A98" s="541" t="n"/>
      <c r="CV98" s="143" t="n"/>
      <c r="CW98" s="143" t="n"/>
      <c r="CX98" s="143" t="n"/>
      <c r="CY98" s="143" t="n"/>
      <c r="CZ98" s="143" t="n"/>
      <c r="DA98" s="6" t="n"/>
      <c r="DB98" s="6" t="n"/>
      <c r="DC98" s="6" t="n"/>
      <c r="DD98" s="6" t="n"/>
      <c r="DE98" s="143" t="n"/>
      <c r="DF98" s="143" t="n"/>
      <c r="DG98" s="143" t="n"/>
      <c r="DH98" s="143" t="n"/>
      <c r="DI98" s="143" t="n"/>
    </row>
    <row r="99" ht="12.6" customHeight="1">
      <c r="A99" s="541" t="n"/>
      <c r="CV99" s="143" t="n"/>
      <c r="CW99" s="143" t="n"/>
      <c r="CX99" s="143" t="n"/>
      <c r="CY99" s="143" t="n"/>
      <c r="CZ99" s="143" t="n"/>
      <c r="DA99" s="6" t="n"/>
      <c r="DB99" s="6" t="n"/>
      <c r="DC99" s="6" t="n"/>
      <c r="DD99" s="6" t="n"/>
      <c r="DE99" s="143" t="n"/>
      <c r="DF99" s="143" t="n"/>
      <c r="DG99" s="143" t="n"/>
      <c r="DH99" s="143" t="n"/>
      <c r="DI99" s="143" t="n"/>
    </row>
    <row r="100" ht="12.6" customHeight="1">
      <c r="A100" s="541" t="n"/>
      <c r="CV100" s="143" t="n"/>
      <c r="CW100" s="143" t="n"/>
      <c r="CX100" s="143" t="n"/>
      <c r="CY100" s="143" t="n"/>
      <c r="CZ100" s="143" t="n"/>
      <c r="DA100" s="6" t="n"/>
      <c r="DB100" s="6" t="n"/>
      <c r="DC100" s="6" t="n"/>
      <c r="DD100" s="6" t="n"/>
      <c r="DE100" s="143" t="n"/>
      <c r="DF100" s="143" t="n"/>
      <c r="DG100" s="143" t="n"/>
      <c r="DH100" s="143" t="n"/>
      <c r="DI100" s="143" t="n"/>
    </row>
    <row r="101" ht="12.6" customHeight="1">
      <c r="A101" s="541" t="n"/>
      <c r="CV101" s="143" t="n"/>
      <c r="CW101" s="143" t="n"/>
      <c r="CX101" s="143" t="n"/>
      <c r="CY101" s="143" t="n"/>
      <c r="CZ101" s="143" t="n"/>
      <c r="DA101" s="6" t="n"/>
      <c r="DB101" s="6" t="n"/>
      <c r="DC101" s="6" t="n"/>
      <c r="DD101" s="6" t="n"/>
      <c r="DE101" s="143" t="n"/>
      <c r="DF101" s="143" t="n"/>
      <c r="DG101" s="143" t="n"/>
      <c r="DH101" s="143" t="n"/>
      <c r="DI101" s="143" t="n"/>
    </row>
    <row r="102" ht="12.6" customHeight="1">
      <c r="A102" s="541" t="n"/>
      <c r="CV102" s="143" t="n"/>
      <c r="CW102" s="143" t="n"/>
      <c r="CX102" s="143" t="n"/>
      <c r="CY102" s="143" t="n"/>
      <c r="CZ102" s="143" t="n"/>
      <c r="DA102" s="6" t="n"/>
      <c r="DB102" s="6" t="n"/>
      <c r="DC102" s="6" t="n"/>
      <c r="DD102" s="6" t="n"/>
      <c r="DE102" s="143" t="n"/>
      <c r="DF102" s="143" t="n"/>
      <c r="DG102" s="143" t="n"/>
      <c r="DH102" s="143" t="n"/>
      <c r="DI102" s="143" t="n"/>
    </row>
    <row r="103" ht="12.6" customHeight="1">
      <c r="A103" s="541" t="n"/>
      <c r="CV103" s="143" t="n"/>
      <c r="CW103" s="143" t="n"/>
      <c r="CX103" s="143" t="n"/>
      <c r="CY103" s="143" t="n"/>
      <c r="CZ103" s="143" t="n"/>
      <c r="DA103" s="6" t="n"/>
      <c r="DB103" s="6" t="n"/>
      <c r="DC103" s="6" t="n"/>
      <c r="DD103" s="6" t="n"/>
      <c r="DE103" s="143" t="n"/>
      <c r="DF103" s="143" t="n"/>
      <c r="DG103" s="143" t="n"/>
      <c r="DH103" s="143" t="n"/>
      <c r="DI103" s="143" t="n"/>
    </row>
    <row r="104" ht="12.6" customHeight="1">
      <c r="A104" s="541" t="n"/>
      <c r="CV104" s="143" t="n"/>
      <c r="CW104" s="143" t="n"/>
      <c r="CX104" s="143" t="n"/>
      <c r="CY104" s="143" t="n"/>
      <c r="CZ104" s="143" t="n"/>
      <c r="DA104" s="6" t="n"/>
      <c r="DB104" s="6" t="n"/>
      <c r="DC104" s="6" t="n"/>
      <c r="DD104" s="6" t="n"/>
      <c r="DE104" s="143" t="n"/>
      <c r="DF104" s="143" t="n"/>
      <c r="DG104" s="143" t="n"/>
      <c r="DH104" s="143" t="n"/>
      <c r="DI104" s="143" t="n"/>
    </row>
    <row r="105" ht="12.6" customHeight="1">
      <c r="A105" s="541" t="n"/>
      <c r="CV105" s="143" t="n"/>
      <c r="CW105" s="143" t="n"/>
      <c r="CX105" s="143" t="n"/>
      <c r="CY105" s="143" t="n"/>
      <c r="CZ105" s="143" t="n"/>
      <c r="DA105" s="6" t="n"/>
      <c r="DB105" s="6" t="n"/>
      <c r="DC105" s="6" t="n"/>
      <c r="DD105" s="6" t="n"/>
      <c r="DE105" s="143" t="n"/>
      <c r="DF105" s="143" t="n"/>
      <c r="DG105" s="143" t="n"/>
      <c r="DH105" s="143" t="n"/>
      <c r="DI105" s="143" t="n"/>
    </row>
  </sheetData>
  <mergeCells count="13">
    <mergeCell ref="N5:N6"/>
    <mergeCell ref="D13:F13"/>
    <mergeCell ref="D11:F11"/>
    <mergeCell ref="D14:F14"/>
    <mergeCell ref="C19:G21"/>
    <mergeCell ref="L5:L6"/>
    <mergeCell ref="D12:F12"/>
    <mergeCell ref="D9:F9"/>
    <mergeCell ref="M5:M6"/>
    <mergeCell ref="C41:G43"/>
    <mergeCell ref="D8:F8"/>
    <mergeCell ref="K5:K6"/>
    <mergeCell ref="D10:F10"/>
  </mergeCells>
  <conditionalFormatting sqref="C19:G21 C28:F28 C31:F33 C41:G43 D24 G9:I14 I37 M37:N37 N28 N31:N33">
    <cfRule type="cellIs" priority="1" operator="equal" dxfId="0">
      <formula>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6.xml><?xml version="1.0" encoding="utf-8"?>
<worksheet xmlns="http://schemas.openxmlformats.org/spreadsheetml/2006/main">
  <sheetPr codeName="Sheet6">
    <outlinePr summaryBelow="1" summaryRight="1"/>
    <pageSetUpPr/>
  </sheetPr>
  <dimension ref="A1:N63"/>
  <sheetViews>
    <sheetView showGridLines="0" zoomScale="70" zoomScaleNormal="70" workbookViewId="0">
      <selection activeCell="M17" sqref="M17"/>
    </sheetView>
  </sheetViews>
  <sheetFormatPr baseColWidth="8" defaultColWidth="17.7109375" defaultRowHeight="12.75" outlineLevelRow="1"/>
  <cols>
    <col width="0.140625" customWidth="1" style="557" min="1" max="1"/>
    <col width="8.28515625" customWidth="1" style="217" min="2" max="2"/>
    <col width="16.28515625" customWidth="1" style="217" min="3" max="3"/>
    <col width="18.7109375" customWidth="1" style="217" min="4" max="5"/>
    <col width="34.85546875" customWidth="1" style="217" min="6" max="6"/>
    <col width="25.28515625" customWidth="1" style="217" min="7" max="7"/>
    <col width="18.7109375" customWidth="1" style="217" min="8" max="8"/>
    <col width="19.140625" customWidth="1" style="217" min="9" max="9"/>
    <col width="37.7109375" customWidth="1" style="217" min="10" max="10"/>
    <col width="24.28515625" customWidth="1" style="217" min="11" max="11"/>
    <col width="18.7109375" customWidth="1" style="217" min="12" max="12"/>
    <col width="25" customWidth="1" style="217" min="13" max="13"/>
    <col width="22.5703125" customWidth="1" style="217" min="14" max="14"/>
    <col width="18.7109375" customWidth="1" style="217" min="15" max="15"/>
    <col width="17.7109375" customWidth="1" style="217" min="16" max="16384"/>
  </cols>
  <sheetData>
    <row r="1" ht="13.35" customHeight="1">
      <c r="A1" s="542" t="inlineStr">
        <is>
          <t>284a92ec-2ca6-4386-9d4e-e60c226247db</t>
        </is>
      </c>
    </row>
    <row r="2" ht="22.35" customFormat="1" customHeight="1" s="9">
      <c r="A2" s="539" t="n"/>
      <c r="C2" s="473" t="n"/>
      <c r="J2" s="218" t="inlineStr">
        <is>
          <t>返回汇总页</t>
        </is>
      </c>
    </row>
    <row r="3" ht="13.35" customHeight="1">
      <c r="A3" s="542" t="n"/>
    </row>
    <row r="4" ht="37.5" customHeight="1">
      <c r="A4" s="542" t="n"/>
      <c r="C4" s="558" t="inlineStr">
        <is>
          <t>必读！利息收入合理性测试适用范围：</t>
        </is>
      </c>
    </row>
    <row r="5" ht="13.35" customHeight="1" thickBot="1">
      <c r="A5" s="542" t="n"/>
    </row>
    <row r="6" ht="21" customFormat="1" customHeight="1" s="23">
      <c r="A6" s="675" t="n"/>
      <c r="C6" s="628" t="inlineStr">
        <is>
          <t>目标</t>
        </is>
      </c>
      <c r="D6" s="629" t="n"/>
      <c r="E6" s="629" t="n"/>
      <c r="F6" s="629" t="n"/>
      <c r="G6" s="629" t="n"/>
      <c r="H6" s="629" t="n"/>
      <c r="I6" s="629" t="n"/>
      <c r="J6" s="630" t="n"/>
      <c r="K6" s="217" t="n"/>
      <c r="L6" s="217" t="n"/>
      <c r="M6" s="217" t="n"/>
    </row>
    <row r="7" ht="20.25" customFormat="1" customHeight="1" s="23">
      <c r="A7" s="675" t="n"/>
      <c r="C7" s="220" t="inlineStr">
        <is>
          <t>测试货币资金的利息收入并通过与相关余额进行比较来检查合理性。</t>
        </is>
      </c>
      <c r="D7" s="631" t="n"/>
      <c r="E7" s="631" t="n"/>
      <c r="F7" s="631" t="n"/>
      <c r="G7" s="631" t="n"/>
      <c r="H7" s="631" t="n"/>
      <c r="I7" s="631" t="n"/>
      <c r="J7" s="221" t="n"/>
      <c r="K7" s="217" t="n"/>
      <c r="L7" s="217" t="n"/>
      <c r="M7" s="217" t="n"/>
    </row>
    <row r="8" ht="18" customFormat="1" customHeight="1" s="23">
      <c r="A8" s="675" t="n"/>
      <c r="C8" s="222" t="n"/>
      <c r="D8" s="632" t="n"/>
      <c r="E8" s="632" t="n"/>
      <c r="F8" s="632" t="n"/>
      <c r="G8" s="632" t="n"/>
      <c r="H8" s="632" t="n"/>
      <c r="I8" s="632" t="n"/>
      <c r="J8" s="221" t="n"/>
      <c r="K8" s="217" t="n"/>
      <c r="L8" s="217" t="n"/>
      <c r="M8" s="217" t="n"/>
    </row>
    <row r="9" ht="28.5" customFormat="1" customHeight="1" s="23">
      <c r="A9" s="675" t="n"/>
      <c r="C9" s="605" t="inlineStr">
        <is>
          <t>序号</t>
        </is>
      </c>
      <c r="D9" s="1012" t="inlineStr">
        <is>
          <t>执行的测试</t>
        </is>
      </c>
      <c r="E9" s="900" t="n"/>
      <c r="F9" s="901" t="n"/>
      <c r="G9" s="223" t="inlineStr">
        <is>
          <t>程序表</t>
        </is>
      </c>
      <c r="H9" s="507" t="inlineStr">
        <is>
          <t>预审完成</t>
        </is>
      </c>
      <c r="I9" s="507" t="inlineStr">
        <is>
          <t>年审完成</t>
        </is>
      </c>
      <c r="J9" s="606" t="inlineStr">
        <is>
          <t>执行注意事项</t>
        </is>
      </c>
    </row>
    <row r="10" outlineLevel="1" ht="21" customFormat="1" customHeight="1" s="23">
      <c r="A10" s="675" t="n"/>
      <c r="C10" s="607" t="n">
        <v>1</v>
      </c>
      <c r="D10" s="1013" t="inlineStr">
        <is>
          <t>活期存款</t>
        </is>
      </c>
      <c r="E10" s="900" t="n"/>
      <c r="F10" s="901" t="n"/>
      <c r="G10" s="225" t="inlineStr">
        <is>
          <t>C_货币资金</t>
        </is>
      </c>
      <c r="H10" s="903" t="n"/>
      <c r="I10" s="904" t="n"/>
      <c r="J10" s="608" t="n"/>
    </row>
    <row r="11" outlineLevel="1" ht="18" customFormat="1" customHeight="1" s="23">
      <c r="A11" s="675" t="n"/>
      <c r="C11" s="607" t="n">
        <v>1.1</v>
      </c>
      <c r="D11" s="1014" t="inlineStr">
        <is>
          <t>核对期末活期存款金额至公司期末银行存款明细清单。</t>
        </is>
      </c>
      <c r="E11" s="900" t="n"/>
      <c r="F11" s="901" t="n"/>
      <c r="G11" s="224" t="n"/>
      <c r="H11" s="903" t="n"/>
      <c r="I11" s="904" t="n"/>
      <c r="J11" s="608" t="n"/>
    </row>
    <row r="12" outlineLevel="1" ht="43.5" customFormat="1" customHeight="1" s="23">
      <c r="A12" s="675" t="n"/>
      <c r="C12" s="607" t="n">
        <v>1.2</v>
      </c>
      <c r="D12" s="1014" t="inlineStr">
        <is>
          <t>针对活期存款/协定存款/通知存款，使用期初、期末平均余额乘以适用的利率，测算本期利息收入。</t>
        </is>
      </c>
      <c r="E12" s="900" t="n"/>
      <c r="F12" s="901" t="n"/>
      <c r="G12" s="225" t="inlineStr">
        <is>
          <t>表1</t>
        </is>
      </c>
      <c r="H12" s="903" t="n"/>
      <c r="I12" s="904" t="n"/>
      <c r="J12" s="608" t="n"/>
    </row>
    <row r="13" outlineLevel="1" ht="60.6" customFormat="1" customHeight="1" s="23">
      <c r="A13" s="675" t="n"/>
      <c r="C13" s="607" t="n">
        <v>1.3</v>
      </c>
      <c r="D13" s="1014" t="inlineStr">
        <is>
          <t>与财务费用底稿里的公司活期存款/协定存款/通知存款进行差异比较，若差异金额大于TT则调查原因及是否需要调整。必要时，采取月平均余额进行测算</t>
        </is>
      </c>
      <c r="E13" s="900" t="n"/>
      <c r="F13" s="901" t="n"/>
      <c r="G13" s="225" t="inlineStr">
        <is>
          <t>表1</t>
        </is>
      </c>
      <c r="H13" s="903" t="n"/>
      <c r="I13" s="904" t="n"/>
      <c r="J13" s="608" t="n"/>
    </row>
    <row r="14" outlineLevel="1" ht="20.25" customFormat="1" customHeight="1" s="23">
      <c r="A14" s="675" t="n"/>
      <c r="C14" s="607" t="n">
        <v>2</v>
      </c>
      <c r="D14" s="1013" t="inlineStr">
        <is>
          <t>定期存款</t>
        </is>
      </c>
      <c r="E14" s="900" t="n"/>
      <c r="F14" s="901" t="n"/>
      <c r="G14" s="224" t="n"/>
      <c r="H14" s="512" t="n"/>
      <c r="I14" s="512" t="n"/>
      <c r="J14" s="608" t="n"/>
    </row>
    <row r="15" outlineLevel="1" ht="40.35" customFormat="1" customHeight="1" s="23">
      <c r="A15" s="675" t="n"/>
      <c r="C15" s="607" t="n">
        <v>2.1</v>
      </c>
      <c r="D15" s="1015" t="inlineStr">
        <is>
          <t>获取公司【20__年1月1日至20__年12月31日】的定期存款明细清单（包含期末已到期的定期存款）。</t>
        </is>
      </c>
      <c r="E15" s="900" t="n"/>
      <c r="F15" s="901" t="n"/>
      <c r="G15" s="225" t="inlineStr">
        <is>
          <t>表2</t>
        </is>
      </c>
      <c r="H15" s="903" t="n"/>
      <c r="I15" s="904" t="n"/>
      <c r="J15" s="608" t="n"/>
    </row>
    <row r="16" outlineLevel="1" ht="42" customFormat="1" customHeight="1" s="23">
      <c r="A16" s="675" t="n"/>
      <c r="C16" s="607" t="n">
        <v>2.2</v>
      </c>
      <c r="D16" s="1014" t="inlineStr">
        <is>
          <t>核对期末尚未到期的定期存款金额至公司期末银行存款明细清单。</t>
        </is>
      </c>
      <c r="E16" s="900" t="n"/>
      <c r="F16" s="901" t="n"/>
      <c r="G16" s="225" t="inlineStr">
        <is>
          <t>表2</t>
        </is>
      </c>
      <c r="H16" s="903" t="n"/>
      <c r="I16" s="904" t="n"/>
      <c r="J16" s="608" t="n"/>
    </row>
    <row r="17" outlineLevel="1" ht="41.1" customFormat="1" customHeight="1" s="23">
      <c r="A17" s="675" t="n"/>
      <c r="C17" s="607" t="n">
        <v>2.3</v>
      </c>
      <c r="D17" s="1014" t="inlineStr">
        <is>
          <t>针对定期存款，使用本金、利率、存款期限测算本期利息收入。</t>
        </is>
      </c>
      <c r="E17" s="900" t="n"/>
      <c r="F17" s="901" t="n"/>
      <c r="G17" s="225" t="inlineStr">
        <is>
          <t>表2</t>
        </is>
      </c>
      <c r="H17" s="903" t="n"/>
      <c r="I17" s="904" t="n"/>
      <c r="J17" s="608" t="n"/>
    </row>
    <row r="18" outlineLevel="1" ht="54.6" customFormat="1" customHeight="1" s="23">
      <c r="A18" s="675" t="n"/>
      <c r="C18" s="607" t="n">
        <v>2.4</v>
      </c>
      <c r="D18" s="1014" t="inlineStr">
        <is>
          <t>与财务费用底稿里的公司定期存款利息收入进行差异比较，若差异金额大于TT则调查原因及是否需要调整。</t>
        </is>
      </c>
      <c r="E18" s="900" t="n"/>
      <c r="F18" s="901" t="n"/>
      <c r="G18" s="225" t="inlineStr">
        <is>
          <t>表2</t>
        </is>
      </c>
      <c r="H18" s="903" t="n"/>
      <c r="I18" s="904" t="n"/>
      <c r="J18" s="609" t="n"/>
    </row>
    <row r="19" outlineLevel="1" ht="21" customFormat="1" customHeight="1" s="23">
      <c r="A19" s="675" t="n"/>
      <c r="C19" s="607" t="n">
        <v>3</v>
      </c>
      <c r="D19" s="1013" t="inlineStr">
        <is>
          <t>其他利息类型</t>
        </is>
      </c>
      <c r="E19" s="900" t="n"/>
      <c r="F19" s="901" t="n"/>
      <c r="G19" s="225" t="inlineStr">
        <is>
          <t>表3</t>
        </is>
      </c>
      <c r="H19" s="903" t="n"/>
      <c r="I19" s="904" t="n"/>
      <c r="J19" s="608" t="n"/>
    </row>
    <row r="20" ht="13.35" customFormat="1" customHeight="1" s="24" thickBot="1">
      <c r="A20" s="676" t="n"/>
      <c r="C20" s="226" t="n"/>
      <c r="D20" s="633" t="n"/>
      <c r="E20" s="633" t="n"/>
      <c r="F20" s="633" t="n"/>
      <c r="G20" s="227" t="n"/>
      <c r="H20" s="227" t="n"/>
      <c r="I20" s="227" t="n"/>
      <c r="J20" s="228" t="n"/>
      <c r="K20" s="217" t="n"/>
      <c r="L20" s="217" t="n"/>
      <c r="M20" s="217" t="n"/>
    </row>
    <row r="21">
      <c r="A21" s="542" t="n"/>
    </row>
    <row r="22" customFormat="1" s="23">
      <c r="A22" s="675" t="n"/>
      <c r="G22" s="217" t="n"/>
    </row>
    <row r="23" outlineLevel="1" ht="16.5" customFormat="1" customHeight="1" s="23">
      <c r="A23" s="675" t="n"/>
      <c r="B23" s="219" t="inlineStr">
        <is>
          <t>表1</t>
        </is>
      </c>
      <c r="C23" s="467" t="inlineStr">
        <is>
          <t>对货币资金的利息收入进行测算——活期存款：</t>
        </is>
      </c>
    </row>
    <row r="24" outlineLevel="1" ht="15" customFormat="1" customHeight="1" s="23" thickBot="1">
      <c r="A24" s="675" t="n"/>
      <c r="C24" s="856" t="inlineStr">
        <is>
          <t>|----------------------------------------C100 -----------------------------------------------------|</t>
        </is>
      </c>
      <c r="G24" s="856" t="n"/>
      <c r="H24" s="440" t="inlineStr">
        <is>
          <t>AA</t>
        </is>
      </c>
      <c r="I24" s="229" t="inlineStr">
        <is>
          <t>BB</t>
        </is>
      </c>
      <c r="J24" s="229" t="inlineStr">
        <is>
          <t>CC=(AA+BB)/2</t>
        </is>
      </c>
      <c r="K24" s="229" t="inlineStr">
        <is>
          <t>DD</t>
        </is>
      </c>
      <c r="L24" s="229" t="inlineStr">
        <is>
          <t>EE</t>
        </is>
      </c>
      <c r="M24" s="229" t="inlineStr">
        <is>
          <t>FF=CC*DD*EE</t>
        </is>
      </c>
    </row>
    <row r="25" outlineLevel="1" ht="38.25" customFormat="1" customHeight="1" s="25">
      <c r="A25" s="677" t="n"/>
      <c r="C25" s="1016" t="inlineStr">
        <is>
          <t xml:space="preserve">账套名称/账套编码 </t>
        </is>
      </c>
      <c r="D25" s="770" t="inlineStr">
        <is>
          <t>末级科目</t>
        </is>
      </c>
      <c r="E25" s="770" t="inlineStr">
        <is>
          <t>账号</t>
        </is>
      </c>
      <c r="F25" s="770" t="inlineStr">
        <is>
          <t>账户名称</t>
        </is>
      </c>
      <c r="G25" s="771" t="inlineStr">
        <is>
          <t>原币币种</t>
        </is>
      </c>
      <c r="H25" s="771" t="inlineStr">
        <is>
          <t>期末原币</t>
        </is>
      </c>
      <c r="I25" s="772" t="inlineStr">
        <is>
          <t>期初原币金额</t>
        </is>
      </c>
      <c r="J25" s="772" t="inlineStr">
        <is>
          <t>本期原币平均余额</t>
        </is>
      </c>
      <c r="K25" s="772" t="inlineStr">
        <is>
          <t>适用活期利率</t>
        </is>
      </c>
      <c r="L25" s="772" t="inlineStr">
        <is>
          <t>汇率（如适用）</t>
        </is>
      </c>
      <c r="M25" s="773" t="inlineStr">
        <is>
          <t>安永测算本期利息收入</t>
        </is>
      </c>
    </row>
    <row r="26" outlineLevel="1" customFormat="1" s="23">
      <c r="A26" s="675" t="n"/>
      <c r="C26" s="610" t="n"/>
      <c r="D26" s="525" t="n"/>
      <c r="E26" s="525" t="n"/>
      <c r="F26" s="525" t="n"/>
      <c r="G26" s="1017" t="n"/>
      <c r="H26" s="1017" t="n"/>
      <c r="I26" s="1017" t="n"/>
      <c r="J26" s="1018">
        <f>(H26+I26)/2</f>
        <v/>
      </c>
      <c r="K26" s="612" t="n"/>
      <c r="L26" s="529" t="n"/>
      <c r="M26" s="1019">
        <f>J26*K26*L26</f>
        <v/>
      </c>
    </row>
    <row r="27" outlineLevel="1" customFormat="1" s="23">
      <c r="A27" s="675" t="n"/>
      <c r="C27" s="610" t="n"/>
      <c r="D27" s="525" t="n"/>
      <c r="E27" s="525" t="n"/>
      <c r="F27" s="525" t="n"/>
      <c r="G27" s="1017" t="n"/>
      <c r="H27" s="1017" t="n"/>
      <c r="I27" s="1017" t="n"/>
      <c r="J27" s="1018">
        <f>(H27+I27)/2</f>
        <v/>
      </c>
      <c r="K27" s="614" t="n"/>
      <c r="L27" s="529" t="n"/>
      <c r="M27" s="1019">
        <f>J27*K27*L27</f>
        <v/>
      </c>
    </row>
    <row r="28" outlineLevel="1" customFormat="1" s="23">
      <c r="A28" s="675" t="n"/>
      <c r="C28" s="610" t="n"/>
      <c r="D28" s="525" t="n"/>
      <c r="E28" s="525" t="n"/>
      <c r="F28" s="525" t="n"/>
      <c r="G28" s="1017" t="n"/>
      <c r="H28" s="1017" t="n"/>
      <c r="I28" s="1017" t="n"/>
      <c r="J28" s="1018">
        <f>(H28+I28)/2</f>
        <v/>
      </c>
      <c r="K28" s="614" t="n"/>
      <c r="L28" s="529" t="n"/>
      <c r="M28" s="1019">
        <f>J28*K28*L28</f>
        <v/>
      </c>
    </row>
    <row r="29" outlineLevel="1" ht="13.5" customFormat="1" customHeight="1" s="23" thickBot="1">
      <c r="A29" s="675" t="n"/>
      <c r="C29" s="390" t="n"/>
      <c r="D29" s="391" t="n"/>
      <c r="E29" s="391" t="n"/>
      <c r="F29" s="391" t="n"/>
      <c r="G29" s="1020" t="n"/>
      <c r="H29" s="1020" t="n"/>
      <c r="I29" s="1020" t="n"/>
      <c r="J29" s="1021">
        <f>(H29+I29)/2</f>
        <v/>
      </c>
      <c r="K29" s="394" t="n"/>
      <c r="L29" s="395" t="n"/>
      <c r="M29" s="1022">
        <f>J29*K29*L29</f>
        <v/>
      </c>
    </row>
    <row r="30" outlineLevel="1" customFormat="1" s="23">
      <c r="A30" s="675" t="n"/>
      <c r="C30" s="217" t="n"/>
      <c r="D30" s="217" t="n"/>
      <c r="E30" s="217" t="n"/>
      <c r="F30" s="217" t="n"/>
      <c r="H30" s="1023" t="n"/>
      <c r="I30" s="1024" t="n"/>
      <c r="J30" s="1023" t="n"/>
      <c r="K30" s="217" t="n"/>
      <c r="L30" s="217" t="n"/>
      <c r="M30" s="1024" t="n"/>
    </row>
    <row r="31" outlineLevel="1" ht="17.25" customFormat="1" customHeight="1" s="23" thickBot="1">
      <c r="A31" s="675" t="n"/>
      <c r="F31" s="232" t="inlineStr">
        <is>
          <t>合计</t>
        </is>
      </c>
      <c r="G31" s="1025" t="n"/>
      <c r="H31" s="1026">
        <f>SUM(H26:H29)</f>
        <v/>
      </c>
      <c r="I31" s="1027" t="n"/>
      <c r="J31" s="1027" t="n"/>
      <c r="M31" s="1026">
        <f>SUM(M26:M29)</f>
        <v/>
      </c>
    </row>
    <row r="32" outlineLevel="1" ht="17.25" customFormat="1" customHeight="1" s="23" thickTop="1">
      <c r="A32" s="675" t="n"/>
      <c r="F32" s="235" t="inlineStr">
        <is>
          <t>C.01.1</t>
        </is>
      </c>
      <c r="G32" s="236" t="inlineStr">
        <is>
          <t>活期存款</t>
        </is>
      </c>
      <c r="H32" s="1028" t="n"/>
      <c r="J32" s="235" t="n"/>
      <c r="L32" s="238" t="n"/>
      <c r="M32" s="131" t="inlineStr">
        <is>
          <t>Rx</t>
        </is>
      </c>
    </row>
    <row r="33" outlineLevel="1" customFormat="1" s="23">
      <c r="A33" s="675" t="n"/>
      <c r="G33" s="235" t="inlineStr">
        <is>
          <t>Diff</t>
        </is>
      </c>
      <c r="H33" s="1029">
        <f>H31-H32</f>
        <v/>
      </c>
      <c r="I33" s="1029" t="n"/>
      <c r="L33" s="235" t="n"/>
      <c r="M33" s="1029" t="n"/>
    </row>
    <row r="34" customFormat="1" s="23">
      <c r="A34" s="675" t="n"/>
      <c r="F34" s="1030" t="n"/>
      <c r="J34" s="1031" t="n"/>
      <c r="K34" s="1031" t="n"/>
    </row>
    <row r="35" customFormat="1" s="23">
      <c r="A35" s="675" t="n"/>
      <c r="F35" s="1030" t="n"/>
      <c r="I35" s="1031" t="n"/>
      <c r="J35" s="1031" t="n"/>
    </row>
    <row r="36" outlineLevel="1" ht="16.5" customFormat="1" customHeight="1" s="23">
      <c r="A36" s="675" t="n"/>
      <c r="B36" s="219" t="inlineStr">
        <is>
          <t>表2</t>
        </is>
      </c>
      <c r="C36" s="467" t="inlineStr">
        <is>
          <t>对货币资金的利息收入进行测算——定期存款：</t>
        </is>
      </c>
      <c r="H36" s="440" t="inlineStr">
        <is>
          <t>AA</t>
        </is>
      </c>
      <c r="I36" s="440" t="inlineStr">
        <is>
          <t>BB</t>
        </is>
      </c>
      <c r="J36" s="440" t="n"/>
      <c r="K36" s="440" t="n"/>
      <c r="L36" s="440" t="inlineStr">
        <is>
          <t>CC</t>
        </is>
      </c>
      <c r="M36" s="440" t="inlineStr">
        <is>
          <t>DD</t>
        </is>
      </c>
      <c r="N36" s="440" t="inlineStr">
        <is>
          <t>EE=(AA*BB*CC/360)*DD</t>
        </is>
      </c>
    </row>
    <row r="37" outlineLevel="1" ht="13.5" customFormat="1" customHeight="1" s="23" thickBot="1">
      <c r="A37" s="675" t="n"/>
      <c r="C37" s="856" t="inlineStr">
        <is>
          <t> </t>
        </is>
      </c>
      <c r="D37" s="856" t="n"/>
      <c r="E37" s="856" t="n"/>
      <c r="F37" s="856" t="n"/>
      <c r="G37" s="856" t="n"/>
      <c r="H37" s="856" t="n"/>
      <c r="K37" s="1031" t="n"/>
      <c r="L37" s="242">
        <f>DATE(YEAR(汇总!D5)-1,12,31)+1</f>
        <v/>
      </c>
      <c r="N37" s="440" t="n"/>
    </row>
    <row r="38" outlineLevel="1" ht="38.25" customFormat="1" customHeight="1" s="26">
      <c r="A38" s="678" t="n"/>
      <c r="C38" s="1032" t="inlineStr">
        <is>
          <t xml:space="preserve">账套名称/账套编码 </t>
        </is>
      </c>
      <c r="D38" s="521" t="inlineStr">
        <is>
          <t>末级科目</t>
        </is>
      </c>
      <c r="E38" s="521" t="inlineStr">
        <is>
          <t>账号</t>
        </is>
      </c>
      <c r="F38" s="521" t="inlineStr">
        <is>
          <t>账户名称</t>
        </is>
      </c>
      <c r="G38" s="522" t="inlineStr">
        <is>
          <t>原币币种</t>
        </is>
      </c>
      <c r="H38" s="522" t="inlineStr">
        <is>
          <t>期末原币</t>
        </is>
      </c>
      <c r="I38" s="522" t="inlineStr">
        <is>
          <t>年利率</t>
        </is>
      </c>
      <c r="J38" s="522" t="inlineStr">
        <is>
          <t>起息日</t>
        </is>
      </c>
      <c r="K38" s="522" t="inlineStr">
        <is>
          <t>到期日</t>
        </is>
      </c>
      <c r="L38" s="522" t="inlineStr">
        <is>
          <t>本年计息日</t>
        </is>
      </c>
      <c r="M38" s="523" t="inlineStr">
        <is>
          <t>汇率（如适用）</t>
        </is>
      </c>
      <c r="N38" s="559" t="inlineStr">
        <is>
          <t>安永测算本期利息收入</t>
        </is>
      </c>
    </row>
    <row r="39" outlineLevel="1" customFormat="1" s="23">
      <c r="A39" s="675" t="n"/>
      <c r="C39" s="524" t="n"/>
      <c r="D39" s="525" t="n"/>
      <c r="E39" s="525" t="n"/>
      <c r="F39" s="525" t="n"/>
      <c r="G39" s="1017" t="n"/>
      <c r="H39" s="1017" t="n"/>
      <c r="I39" s="527" t="n"/>
      <c r="J39" s="528" t="n"/>
      <c r="K39" s="528" t="n"/>
      <c r="L39" s="519">
        <f t="array" ref="L39">IFERROR(_xlfn.IFS((J39&lt;$L$37)*(K39&lt;汇总!$D$5),DATEDIF($L$37,K39,"D"),(J39&lt;$L$37)*(K39&gt;=汇总!$D$5),DATEDIF($L$37,汇总!$D$5,"D"),(J39&gt;=$L$37)*(K39&lt;汇总!$D$5),DATEDIF(J39,K39,"D"),(J39&gt;=$L$37)*(K39&gt;=汇总!$D$5),DATEDIF(J39,汇总!$D$5,"D"))+1,"")</f>
        <v/>
      </c>
      <c r="M39" s="529" t="n"/>
      <c r="N39" s="1033">
        <f>IFERROR(H39*I39*L39/360,0)*M39</f>
        <v/>
      </c>
    </row>
    <row r="40" outlineLevel="1" customFormat="1" s="23">
      <c r="A40" s="675" t="n"/>
      <c r="C40" s="524" t="n"/>
      <c r="D40" s="525" t="n"/>
      <c r="E40" s="525" t="n"/>
      <c r="F40" s="525" t="n"/>
      <c r="G40" s="1017" t="n"/>
      <c r="H40" s="1017" t="n"/>
      <c r="I40" s="527" t="n"/>
      <c r="J40" s="528" t="n"/>
      <c r="K40" s="528" t="n"/>
      <c r="L40" s="519">
        <f t="array" ref="L40">IFERROR(_xlfn.IFS((J40&lt;$L$37)*(K40&lt;汇总!$D$5),DATEDIF($L$37,K40,"D"),(J40&lt;$L$37)*(K40&gt;=汇总!$D$5),DATEDIF($L$37,汇总!$D$5,"D"),(J40&gt;=$L$37)*(K40&lt;汇总!$D$5),DATEDIF(J40,K40,"D"),(J40&gt;=$L$37)*(K40&gt;=汇总!$D$5),DATEDIF(J40,汇总!$D$5,"D"))+1,"")</f>
        <v/>
      </c>
      <c r="M40" s="529" t="n"/>
      <c r="N40" s="1033">
        <f>IFERROR(H40*I40*L40/360,0)*M40</f>
        <v/>
      </c>
    </row>
    <row r="41" outlineLevel="1" customFormat="1" s="23">
      <c r="A41" s="675" t="n"/>
      <c r="C41" s="524" t="n"/>
      <c r="D41" s="525" t="n"/>
      <c r="E41" s="525" t="n"/>
      <c r="F41" s="525" t="n"/>
      <c r="G41" s="1017" t="n"/>
      <c r="H41" s="1017" t="n"/>
      <c r="I41" s="527" t="n"/>
      <c r="J41" s="528" t="n"/>
      <c r="K41" s="528" t="n"/>
      <c r="L41" s="519">
        <f t="array" ref="L41">IFERROR(_xlfn.IFS((J41&lt;$L$37)*(K41&lt;汇总!$D$5),DATEDIF($L$37,K41,"D"),(J41&lt;$L$37)*(K41&gt;=汇总!$D$5),DATEDIF($L$37,汇总!$D$5,"D"),(J41&gt;=$L$37)*(K41&lt;汇总!$D$5),DATEDIF(J41,K41,"D"),(J41&gt;=$L$37)*(K41&gt;=汇总!$D$5),DATEDIF(J41,汇总!$D$5,"D"))+1,"")</f>
        <v/>
      </c>
      <c r="M41" s="529" t="n"/>
      <c r="N41" s="1033">
        <f>IFERROR(H41*I41*L41/360,0)*M41</f>
        <v/>
      </c>
    </row>
    <row r="42" outlineLevel="1" customFormat="1" s="23">
      <c r="A42" s="675" t="n"/>
      <c r="C42" s="524" t="n"/>
      <c r="D42" s="525" t="n"/>
      <c r="E42" s="525" t="n"/>
      <c r="F42" s="525" t="n"/>
      <c r="G42" s="1017" t="n"/>
      <c r="H42" s="1017" t="n"/>
      <c r="I42" s="527" t="n"/>
      <c r="J42" s="528" t="n"/>
      <c r="K42" s="528" t="n"/>
      <c r="L42" s="519">
        <f t="array" ref="L42">IFERROR(_xlfn.IFS((J42&lt;$L$37)*(K42&lt;汇总!$D$5),DATEDIF($L$37,K42,"D"),(J42&lt;$L$37)*(K42&gt;=汇总!$D$5),DATEDIF($L$37,汇总!$D$5,"D"),(J42&gt;=$L$37)*(K42&lt;汇总!$D$5),DATEDIF(J42,K42,"D"),(J42&gt;=$L$37)*(K42&gt;=汇总!$D$5),DATEDIF(J42,汇总!$D$5,"D"))+1,"")</f>
        <v/>
      </c>
      <c r="M42" s="519" t="n"/>
      <c r="N42" s="1033">
        <f>IFERROR(H42*I42*L42/360,0)*M42</f>
        <v/>
      </c>
    </row>
    <row r="43" outlineLevel="1" ht="13.5" customFormat="1" customHeight="1" s="23" thickBot="1">
      <c r="A43" s="675" t="n"/>
      <c r="C43" s="531" t="n"/>
      <c r="D43" s="532" t="n"/>
      <c r="E43" s="532" t="n"/>
      <c r="F43" s="532" t="n"/>
      <c r="G43" s="1034" t="n"/>
      <c r="H43" s="1034" t="n"/>
      <c r="I43" s="534" t="n"/>
      <c r="J43" s="535" t="n"/>
      <c r="K43" s="535" t="n"/>
      <c r="L43" s="536">
        <f t="array" ref="L43">IFERROR(_xlfn.IFS((J43&lt;$L$37)*(K43&lt;汇总!$D$5),DATEDIF($L$37,K43,"D"),(J43&lt;$L$37)*(K43&gt;=汇总!$D$5),DATEDIF($L$37,汇总!$D$5,"D"),(J43&gt;=$L$37)*(K43&lt;汇总!$D$5),DATEDIF(J43,K43,"D"),(J43&gt;=$L$37)*(K43&gt;=汇总!$D$5),DATEDIF(J43,汇总!$D$5,"D"))+1,"")</f>
        <v/>
      </c>
      <c r="M43" s="536" t="n"/>
      <c r="N43" s="1035">
        <f>IFERROR(H43*I43*L43/360,0)*M43</f>
        <v/>
      </c>
    </row>
    <row r="44" outlineLevel="1" customFormat="1" s="23">
      <c r="A44" s="675" t="n"/>
      <c r="C44" s="217" t="n"/>
      <c r="D44" s="217" t="n"/>
      <c r="E44" s="217" t="n"/>
      <c r="F44" s="217" t="n"/>
      <c r="G44" s="1023" t="n"/>
      <c r="H44" s="1023" t="n"/>
      <c r="I44" s="217" t="n"/>
      <c r="J44" s="217" t="n"/>
      <c r="K44" s="217" t="n"/>
      <c r="L44" s="217" t="n"/>
      <c r="N44" s="1023" t="n"/>
    </row>
    <row r="45" outlineLevel="1" ht="17.25" customFormat="1" customHeight="1" s="23" thickBot="1">
      <c r="A45" s="675" t="n"/>
      <c r="D45" s="243" t="n"/>
      <c r="F45" s="244" t="inlineStr">
        <is>
          <t>合计</t>
        </is>
      </c>
      <c r="G45" s="1023" t="n"/>
      <c r="H45" s="1036">
        <f>SUM(H39:H43)</f>
        <v/>
      </c>
      <c r="N45" s="1037">
        <f>SUM(N39:N43)</f>
        <v/>
      </c>
    </row>
    <row r="46" outlineLevel="1" ht="17.25" customFormat="1" customHeight="1" s="23" thickTop="1">
      <c r="A46" s="675" t="n"/>
      <c r="F46" s="245" t="inlineStr">
        <is>
          <t>C.01.1</t>
        </is>
      </c>
      <c r="G46" s="246" t="inlineStr">
        <is>
          <t>定期存款</t>
        </is>
      </c>
      <c r="H46" s="1038" t="n"/>
      <c r="N46" s="131" t="inlineStr">
        <is>
          <t>Rx</t>
        </is>
      </c>
    </row>
    <row r="47" outlineLevel="1" ht="16.5" customFormat="1" customHeight="1" s="23">
      <c r="A47" s="675" t="n"/>
      <c r="F47" s="217" t="n"/>
      <c r="G47" s="245" t="inlineStr">
        <is>
          <t>Diff</t>
        </is>
      </c>
      <c r="H47" s="1029">
        <f>H45-H46</f>
        <v/>
      </c>
      <c r="L47" s="235" t="inlineStr">
        <is>
          <t>Uexp</t>
        </is>
      </c>
      <c r="M47" s="248" t="inlineStr">
        <is>
          <t>财务费用-利息收入-活期</t>
        </is>
      </c>
      <c r="N47" s="1028" t="n"/>
    </row>
    <row r="48" outlineLevel="1" ht="16.5" customFormat="1" customHeight="1" s="23">
      <c r="A48" s="675" t="n"/>
      <c r="M48" s="236" t="inlineStr">
        <is>
          <t>财务费用-利息收入-定期</t>
        </is>
      </c>
      <c r="N48" s="1028" t="n"/>
    </row>
    <row r="49" outlineLevel="1" ht="16.5" customFormat="1" customHeight="1" s="23">
      <c r="A49" s="675" t="n"/>
      <c r="J49" s="1031" t="n"/>
      <c r="M49" s="248" t="inlineStr">
        <is>
          <t>财务费用-利息收入（其他）</t>
        </is>
      </c>
      <c r="N49" s="1028" t="n"/>
    </row>
    <row r="50" outlineLevel="1" ht="17.25" customFormat="1" customHeight="1" s="23" thickBot="1">
      <c r="A50" s="675" t="n"/>
      <c r="J50" s="1031" t="n"/>
      <c r="L50" s="1031" t="n"/>
      <c r="M50" s="236" t="inlineStr">
        <is>
          <t>合计</t>
        </is>
      </c>
      <c r="N50" s="1037">
        <f>SUM(N47:N49)</f>
        <v/>
      </c>
    </row>
    <row r="51" outlineLevel="1" ht="13.5" customFormat="1" customHeight="1" s="23" thickTop="1">
      <c r="A51" s="675" t="n"/>
      <c r="L51" s="1031" t="n"/>
      <c r="M51" s="1027" t="n"/>
      <c r="N51" s="131" t="inlineStr">
        <is>
          <t>Rx</t>
        </is>
      </c>
    </row>
    <row r="52" customFormat="1" s="23">
      <c r="A52" s="675" t="n"/>
      <c r="L52" s="1031" t="n"/>
      <c r="M52" s="245" t="inlineStr">
        <is>
          <t>Total Diff</t>
        </is>
      </c>
      <c r="N52" s="1029">
        <f>IFERROR(N45+M31-N50,0)</f>
        <v/>
      </c>
    </row>
    <row r="53" outlineLevel="1" ht="16.5" customFormat="1" customHeight="1" s="23">
      <c r="A53" s="675" t="n"/>
      <c r="B53" s="219" t="inlineStr">
        <is>
          <t>表3</t>
        </is>
      </c>
      <c r="C53" s="249" t="inlineStr">
        <is>
          <t>其他利息测算，项目组自行设计</t>
        </is>
      </c>
      <c r="D53" s="217" t="n"/>
      <c r="E53" s="217" t="n"/>
      <c r="N53" s="250" t="inlineStr">
        <is>
          <t>m</t>
        </is>
      </c>
    </row>
    <row r="54" outlineLevel="1" customFormat="1" s="23">
      <c r="A54" s="675" t="n"/>
      <c r="C54" s="217" t="n"/>
      <c r="K54" s="1031" t="n"/>
      <c r="L54" s="217" t="n"/>
      <c r="M54" s="217" t="n"/>
      <c r="N54" s="217" t="n"/>
    </row>
    <row r="55">
      <c r="A55" s="542" t="n"/>
    </row>
    <row r="56">
      <c r="A56" s="542" t="n"/>
    </row>
    <row r="57">
      <c r="A57" s="542" t="n"/>
    </row>
    <row r="58">
      <c r="A58" s="542" t="n"/>
    </row>
    <row r="59">
      <c r="A59" s="542" t="n"/>
    </row>
    <row r="60" ht="13.5" customHeight="1" thickBot="1">
      <c r="A60" s="542" t="n"/>
    </row>
    <row r="61">
      <c r="A61" s="542" t="n"/>
      <c r="B61" s="245" t="inlineStr">
        <is>
          <t>Notes</t>
        </is>
      </c>
      <c r="C61" s="1039" t="n"/>
      <c r="D61" s="907" t="n"/>
      <c r="E61" s="907" t="n"/>
      <c r="F61" s="907" t="n"/>
      <c r="G61" s="908" t="n"/>
    </row>
    <row r="62">
      <c r="A62" s="542" t="n"/>
      <c r="C62" s="909" t="n"/>
      <c r="G62" s="910" t="n"/>
    </row>
    <row r="63" ht="13.5" customHeight="1" thickBot="1">
      <c r="A63" s="542" t="n"/>
      <c r="C63" s="911" t="n"/>
      <c r="D63" s="912" t="n"/>
      <c r="E63" s="912" t="n"/>
      <c r="F63" s="912" t="n"/>
      <c r="G63" s="913" t="n"/>
    </row>
  </sheetData>
  <mergeCells count="13">
    <mergeCell ref="D19:F19"/>
    <mergeCell ref="D13:F13"/>
    <mergeCell ref="D11:F11"/>
    <mergeCell ref="D14:F14"/>
    <mergeCell ref="C61:G63"/>
    <mergeCell ref="D12:F12"/>
    <mergeCell ref="D18:F18"/>
    <mergeCell ref="D9:F9"/>
    <mergeCell ref="D17:F17"/>
    <mergeCell ref="C24:F24"/>
    <mergeCell ref="D15:F15"/>
    <mergeCell ref="D16:F16"/>
    <mergeCell ref="D10:F10"/>
  </mergeCells>
  <conditionalFormatting sqref="C26:I29 C39:K43 C61:G63 G10 G12:G13 G15:I19 H10:I13 H32 H46 K26:L29 M39:M43 N47:N49">
    <cfRule type="containsBlanks" priority="1" dxfId="0">
      <formula>LEN(TRIM(C10))=0</formula>
    </cfRule>
  </conditionalFormatting>
  <dataValidations count="2">
    <dataValidation sqref="I10:I13 I15:I19" showDropDown="0" showInputMessage="1" showErrorMessage="0" allowBlank="1" type="list">
      <formula1>"是,不适用"</formula1>
    </dataValidation>
    <dataValidation sqref="H10:H13 H15:H19"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codeName="Sheet7">
    <outlinePr summaryBelow="1" summaryRight="1"/>
    <pageSetUpPr/>
  </sheetPr>
  <dimension ref="A1:DY117"/>
  <sheetViews>
    <sheetView showGridLines="0" zoomScale="70" zoomScaleNormal="70" workbookViewId="0">
      <selection activeCell="L19" sqref="L19"/>
    </sheetView>
  </sheetViews>
  <sheetFormatPr baseColWidth="8" defaultColWidth="9.5703125" defaultRowHeight="12.6" customHeight="1" outlineLevelRow="1"/>
  <cols>
    <col width="0.140625" customWidth="1" style="164" min="1" max="1"/>
    <col width="6.7109375" customWidth="1" style="19" min="2" max="2"/>
    <col width="20" customWidth="1" style="19" min="3" max="3"/>
    <col width="38.7109375" customWidth="1" style="19" min="4" max="4"/>
    <col width="22" customWidth="1" style="19" min="5" max="5"/>
    <col width="18.85546875" customWidth="1" style="19" min="6" max="6"/>
    <col width="27.5703125" customWidth="1" style="19" min="7" max="7"/>
    <col width="19.7109375" customWidth="1" style="19" min="8" max="8"/>
    <col width="19.85546875" customWidth="1" style="19" min="9" max="9"/>
    <col width="21.7109375" customWidth="1" style="19" min="10" max="10"/>
    <col width="19.7109375" customWidth="1" style="19" min="11" max="11"/>
    <col width="12.85546875" customWidth="1" style="19" min="12" max="14"/>
    <col width="13.7109375" customWidth="1" style="19" min="15" max="16"/>
    <col width="14.28515625" customWidth="1" style="19" min="17" max="18"/>
    <col width="22.85546875" customWidth="1" style="19" min="19" max="19"/>
    <col width="14.85546875" customWidth="1" style="19" min="20" max="20"/>
    <col width="8.7109375" customWidth="1" style="19" min="21" max="21"/>
    <col width="10.5703125" customWidth="1" style="19" min="22" max="22"/>
    <col width="10" customWidth="1" style="19" min="23" max="23"/>
    <col width="8.7109375" customWidth="1" style="19" min="24" max="24"/>
    <col width="11.140625" customWidth="1" style="19" min="25" max="25"/>
    <col width="10.140625" customWidth="1" style="19" min="26" max="28"/>
    <col width="13.140625" customWidth="1" style="19" min="29" max="29"/>
    <col width="8.7109375" customWidth="1" style="19" min="30"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6" customHeight="1">
      <c r="A1" s="540" t="inlineStr">
        <is>
          <t>d5aed963-ff0a-445a-8114-fb83b79025eb</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7.8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1.通过执行分析和调查两期的其他收益重大变动来确定其变动是否合理。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45.6" customHeight="1">
      <c r="A9" s="660" t="n"/>
      <c r="C9" s="515" t="n">
        <v>1</v>
      </c>
      <c r="D9" s="844" t="inlineStr">
        <is>
          <t>获取本期其他收益的明细表，将本期金额与TB或报表数核对一致，上期数与上期管理层报表数或审计审定数核对一致。</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7.6"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60" t="n"/>
      <c r="N11" s="160" t="n"/>
      <c r="O11" s="160" t="n"/>
      <c r="CV11" s="987" t="n"/>
      <c r="CW11" s="7" t="n"/>
      <c r="CX11" s="987" t="n"/>
      <c r="CY11" s="143" t="n"/>
      <c r="CZ11" s="143" t="n"/>
      <c r="DA11" s="143" t="n"/>
      <c r="DB11" s="143" t="n"/>
      <c r="DC11" s="143" t="n"/>
      <c r="DD11" s="143" t="n"/>
      <c r="DE11" s="143" t="n"/>
      <c r="DF11" s="143" t="n"/>
      <c r="DG11" s="7" t="n"/>
      <c r="DH11" s="143" t="n"/>
      <c r="DI11" s="143" t="n"/>
      <c r="DJ11" s="143" t="n"/>
      <c r="DK11" s="143" t="n"/>
      <c r="DL11" s="143" t="n"/>
      <c r="DM11" s="7" t="n"/>
      <c r="DN11" s="7" t="n"/>
      <c r="DO11" s="7" t="n"/>
      <c r="DP11" s="7" t="n"/>
      <c r="DQ11" s="7" t="n"/>
      <c r="DR11" s="7" t="n"/>
      <c r="DS11" s="7" t="n"/>
      <c r="DT11" s="7" t="n"/>
      <c r="DU11" s="7" t="n"/>
      <c r="DV11" s="155" t="n"/>
      <c r="DW11" s="987" t="n"/>
      <c r="DX11" s="931" t="n"/>
    </row>
    <row r="12" outlineLevel="1" ht="40.5" customHeight="1">
      <c r="A12" s="660" t="n"/>
      <c r="C12" s="515" t="n">
        <v>4</v>
      </c>
      <c r="D12" s="844" t="inlineStr">
        <is>
          <t>对于当期收到政府补助款项一次性计入其他收益的大额政府补助项目，获取并查看支持性文件和银行水单。</t>
        </is>
      </c>
      <c r="E12" s="988" t="n"/>
      <c r="F12" s="989" t="n"/>
      <c r="G12" s="560" t="inlineStr">
        <is>
          <t>表2</t>
        </is>
      </c>
      <c r="H12" s="903" t="inlineStr">
        <is>
          <t>是</t>
        </is>
      </c>
      <c r="I12" s="904" t="n"/>
      <c r="J12" s="516" t="n"/>
      <c r="K12" s="158" t="n"/>
      <c r="L12" s="158" t="n"/>
      <c r="M12" s="160" t="n"/>
      <c r="N12" s="160" t="n"/>
      <c r="O12" s="160" t="n"/>
      <c r="CV12" s="987" t="n"/>
      <c r="CW12" s="7" t="n"/>
      <c r="CX12" s="987" t="n"/>
      <c r="CY12" s="143" t="n"/>
      <c r="CZ12" s="143" t="n"/>
      <c r="DA12" s="143" t="n"/>
      <c r="DB12" s="143" t="n"/>
      <c r="DC12" s="143" t="n"/>
      <c r="DD12" s="143" t="n"/>
      <c r="DE12" s="143" t="n"/>
      <c r="DF12" s="143" t="n"/>
      <c r="DG12" s="7" t="n"/>
      <c r="DH12" s="143" t="n"/>
      <c r="DI12" s="143" t="n"/>
      <c r="DJ12" s="143" t="n"/>
      <c r="DK12" s="143" t="n"/>
      <c r="DL12" s="143" t="n"/>
      <c r="DM12" s="7" t="n"/>
      <c r="DN12" s="7" t="n"/>
      <c r="DO12" s="7" t="n"/>
      <c r="DP12" s="7" t="n"/>
      <c r="DQ12" s="7" t="n"/>
      <c r="DR12" s="7" t="n"/>
      <c r="DS12" s="7" t="n"/>
      <c r="DT12" s="7" t="n"/>
      <c r="DU12" s="7" t="n"/>
      <c r="DV12" s="155" t="n"/>
      <c r="DW12" s="987" t="n"/>
      <c r="DX12" s="931" t="n"/>
    </row>
    <row r="13" outlineLevel="1" ht="40.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987" t="n"/>
      <c r="CX13" s="162" t="n"/>
      <c r="CY13" s="143" t="n"/>
      <c r="CZ13" s="143" t="n"/>
      <c r="DA13" s="143" t="n"/>
      <c r="DB13" s="143" t="n"/>
      <c r="DC13" s="143" t="n"/>
      <c r="DD13" s="143" t="n"/>
      <c r="DE13" s="143" t="n"/>
      <c r="DF13" s="143" t="n"/>
      <c r="DG13" s="987" t="n"/>
      <c r="DH13" s="143" t="n"/>
      <c r="DI13" s="143" t="n"/>
      <c r="DJ13" s="143" t="n"/>
      <c r="DK13" s="143" t="n"/>
      <c r="DL13" s="143" t="n"/>
      <c r="DM13" s="987" t="n"/>
      <c r="DN13" s="7" t="n"/>
      <c r="DO13" s="7" t="n"/>
      <c r="DP13" s="7" t="n"/>
      <c r="DQ13" s="7" t="n"/>
      <c r="DR13" s="7" t="n"/>
      <c r="DS13" s="987" t="n"/>
      <c r="DT13" s="987" t="n"/>
      <c r="DU13" s="987" t="n"/>
      <c r="DV13" s="155" t="n"/>
      <c r="DW13" s="7" t="n"/>
      <c r="DX13" s="7" t="n"/>
    </row>
    <row r="14" outlineLevel="1" ht="38.8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outlineLevel="1" ht="45.6" customHeight="1">
      <c r="A15" s="660" t="n"/>
      <c r="C15" s="515" t="n">
        <v>7</v>
      </c>
      <c r="D15" s="844" t="inlineStr">
        <is>
          <t>复核政府补助明细表（如有），对政府补助计入其他收益部分判断是否计入恰当的科目，管理层是否进行正确的会计处理。</t>
        </is>
      </c>
      <c r="E15" s="988" t="n"/>
      <c r="F15" s="989" t="n"/>
      <c r="G15" s="560" t="inlineStr">
        <is>
          <t>表2</t>
        </is>
      </c>
      <c r="H15" s="903" t="inlineStr">
        <is>
          <t>是</t>
        </is>
      </c>
      <c r="I15" s="904" t="n"/>
      <c r="J15" s="516" t="n"/>
      <c r="K15" s="158" t="n"/>
      <c r="L15" s="158" t="n"/>
      <c r="M15" s="151" t="n"/>
      <c r="N15" s="151" t="n"/>
      <c r="O15" s="151" t="n"/>
      <c r="CV15" s="7" t="n"/>
      <c r="CW15" s="162" t="n"/>
      <c r="CX15" s="162" t="n"/>
      <c r="CY15" s="143" t="n"/>
      <c r="CZ15" s="143" t="n"/>
      <c r="DA15" s="143" t="n"/>
      <c r="DB15" s="143" t="n"/>
      <c r="DC15" s="143" t="n"/>
      <c r="DD15" s="143" t="n"/>
      <c r="DE15" s="143" t="n"/>
      <c r="DF15" s="143" t="n"/>
      <c r="DG15" s="162" t="n"/>
      <c r="DH15" s="143" t="n"/>
      <c r="DI15" s="143" t="n"/>
      <c r="DJ15" s="143" t="n"/>
      <c r="DK15" s="143" t="n"/>
      <c r="DL15" s="143" t="n"/>
      <c r="DM15" s="162" t="n"/>
      <c r="DN15" s="987" t="n"/>
      <c r="DO15" s="987" t="n"/>
      <c r="DP15" s="987" t="n"/>
      <c r="DQ15" s="987" t="n"/>
      <c r="DR15" s="987" t="n"/>
      <c r="DS15" s="162" t="n"/>
      <c r="DT15" s="162" t="n"/>
      <c r="DU15" s="162" t="n"/>
      <c r="DV15" s="200" t="n"/>
      <c r="DW15" s="7" t="n"/>
      <c r="DX15" s="159" t="n"/>
    </row>
    <row r="16" ht="18.75" customHeight="1" thickBot="1">
      <c r="A16" s="660" t="n"/>
      <c r="C16" s="384" t="n"/>
      <c r="D16" s="208" t="n"/>
      <c r="E16" s="208" t="n"/>
      <c r="F16" s="208" t="n"/>
      <c r="G16" s="511" t="n"/>
      <c r="H16" s="511" t="n"/>
      <c r="I16" s="511" t="n"/>
      <c r="J16" s="518" t="n"/>
      <c r="K16" s="151" t="n"/>
      <c r="L16" s="151" t="n"/>
      <c r="M16" s="151" t="n"/>
      <c r="CT16" s="7" t="n"/>
      <c r="CU16" s="162" t="n"/>
      <c r="CV16" s="162" t="n"/>
      <c r="CW16" s="143" t="n"/>
      <c r="CX16" s="143" t="n"/>
      <c r="CY16" s="143" t="n"/>
      <c r="CZ16" s="143" t="n"/>
      <c r="DA16" s="143" t="n"/>
      <c r="DB16" s="143" t="n"/>
      <c r="DC16" s="143" t="n"/>
      <c r="DD16" s="143" t="n"/>
      <c r="DE16" s="162" t="n"/>
      <c r="DF16" s="143" t="n"/>
      <c r="DG16" s="143" t="n"/>
      <c r="DH16" s="143" t="n"/>
      <c r="DI16" s="143" t="n"/>
      <c r="DJ16" s="143" t="n"/>
      <c r="DK16" s="162" t="n"/>
      <c r="DL16" s="987" t="n"/>
      <c r="DM16" s="987" t="n"/>
      <c r="DN16" s="987" t="n"/>
      <c r="DO16" s="987" t="n"/>
      <c r="DP16" s="987" t="n"/>
      <c r="DQ16" s="162" t="n"/>
      <c r="DR16" s="162" t="n"/>
      <c r="DS16" s="162" t="n"/>
      <c r="DT16" s="200" t="n"/>
      <c r="DU16" s="7" t="n"/>
      <c r="DV16" s="159" t="n"/>
    </row>
    <row r="17" ht="12.6" customHeight="1">
      <c r="A17" s="660" t="n"/>
      <c r="C17" s="163"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89.25" customFormat="1" customHeight="1" s="4">
      <c r="A24" s="545" t="n"/>
      <c r="C24" s="745">
        <f>"波动范围 ("&amp;D12&amp;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5" t="n"/>
    </row>
    <row r="26" ht="12.6" customHeight="1">
      <c r="A26" s="660" t="n"/>
      <c r="CR26" s="6" t="n"/>
      <c r="CS26" s="6" t="n"/>
      <c r="CT26" s="6" t="n"/>
      <c r="CU26" s="143" t="n"/>
      <c r="CV26" s="143" t="n"/>
      <c r="CW26" s="143" t="n"/>
      <c r="CX26" s="143" t="n"/>
      <c r="CY26" s="143" t="n"/>
      <c r="CZ26" s="143" t="n"/>
      <c r="DA26" s="143" t="n"/>
      <c r="DB26" s="143" t="n"/>
      <c r="DC26" s="6" t="n"/>
      <c r="DD26" s="143" t="n"/>
      <c r="DE26" s="143" t="n"/>
      <c r="DF26" s="143" t="n"/>
      <c r="DG26" s="143" t="n"/>
      <c r="DH26" s="143" t="n"/>
      <c r="DI26" s="6" t="n"/>
      <c r="DJ26" s="6" t="n"/>
      <c r="DK26" s="6" t="n"/>
      <c r="DL26" s="6" t="n"/>
      <c r="DM26" s="6" t="n"/>
      <c r="DN26" s="6" t="n"/>
      <c r="DO26" s="6" t="n"/>
      <c r="DP26" s="6" t="n"/>
      <c r="DQ26" s="6" t="n"/>
      <c r="DR26" s="200" t="n"/>
      <c r="DS26" s="6" t="n"/>
      <c r="DT26" s="6" t="n"/>
    </row>
    <row r="27" ht="12.6" customHeight="1">
      <c r="A27" s="660" t="n"/>
      <c r="CR27" s="6" t="n"/>
      <c r="CS27" s="6" t="n"/>
      <c r="CT27" s="6" t="n"/>
      <c r="CU27" s="143" t="n"/>
      <c r="CV27" s="143" t="n"/>
      <c r="CW27" s="143" t="n"/>
      <c r="CX27" s="143" t="n"/>
      <c r="CY27" s="143" t="n"/>
      <c r="CZ27" s="143" t="n"/>
      <c r="DA27" s="143" t="n"/>
      <c r="DB27" s="143" t="n"/>
      <c r="DC27" s="6" t="n"/>
      <c r="DD27" s="143" t="n"/>
      <c r="DE27" s="143" t="n"/>
      <c r="DF27" s="143" t="n"/>
      <c r="DG27" s="143" t="n"/>
      <c r="DH27" s="143" t="n"/>
      <c r="DI27" s="6" t="n"/>
      <c r="DJ27" s="6" t="n"/>
      <c r="DK27" s="6" t="n"/>
      <c r="DL27" s="6" t="n"/>
      <c r="DM27" s="6" t="n"/>
      <c r="DN27" s="6" t="n"/>
      <c r="DO27" s="6" t="n"/>
      <c r="DP27" s="6" t="n"/>
      <c r="DQ27" s="6" t="n"/>
      <c r="DR27" s="200" t="n"/>
      <c r="DS27" s="6" t="n"/>
      <c r="DT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43.5" customHeight="1">
      <c r="A32" s="660" t="n"/>
      <c r="B32" s="14"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B33" s="173" t="n"/>
      <c r="C33" s="98"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c r="A34" s="660" t="n"/>
      <c r="B34" s="934"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thickBot="1">
      <c r="A35" s="660" t="inlineStr">
        <is>
          <t>/T1</t>
        </is>
      </c>
      <c r="B35" s="934" t="n"/>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J35" s="6" t="n"/>
      <c r="CK35" s="6" t="n"/>
      <c r="CL35" s="6" t="n"/>
      <c r="CM35" s="143" t="n"/>
      <c r="CN35" s="143" t="n"/>
      <c r="CO35" s="143" t="n"/>
      <c r="CP35" s="143" t="n"/>
      <c r="CQ35" s="143" t="n"/>
      <c r="CR35" s="143" t="n"/>
      <c r="CS35" s="143" t="n"/>
      <c r="CT35" s="143" t="n"/>
      <c r="CU35" s="6" t="n"/>
      <c r="CV35" s="143" t="n"/>
      <c r="CW35" s="143" t="n"/>
      <c r="CX35" s="143" t="n"/>
      <c r="CY35" s="143" t="n"/>
      <c r="CZ35" s="143" t="n"/>
      <c r="DA35" s="6" t="n"/>
      <c r="DB35" s="6" t="n"/>
      <c r="DC35" s="6" t="n"/>
      <c r="DD35" s="6" t="n"/>
      <c r="DE35" s="6" t="n"/>
      <c r="DF35" s="6" t="n"/>
      <c r="DG35" s="6" t="n"/>
      <c r="DH35" s="6" t="n"/>
      <c r="DI35" s="6" t="n"/>
      <c r="DJ35" s="200" t="n"/>
      <c r="DK35" s="6" t="n"/>
      <c r="DL35" s="6" t="n"/>
    </row>
    <row r="36" ht="12.6" customFormat="1" customHeight="1" s="990">
      <c r="A36" s="991" t="n"/>
      <c r="B36" s="19" t="n"/>
      <c r="C36" s="992" t="n"/>
      <c r="D36" s="761" t="n"/>
      <c r="E36" s="993" t="n"/>
      <c r="F36" s="993" t="n"/>
      <c r="G36" s="993" t="n"/>
      <c r="H36" s="993" t="n"/>
      <c r="I36" s="994" t="n"/>
      <c r="J36" s="764" t="n"/>
      <c r="K36" s="765" t="n"/>
      <c r="L36" s="994" t="n"/>
      <c r="M36" s="994" t="n"/>
      <c r="N36" s="994" t="n"/>
      <c r="O36" s="976" t="n"/>
      <c r="P36" s="767" t="n"/>
      <c r="Q36" s="767" t="n"/>
      <c r="R36" s="768" t="n"/>
      <c r="S36" s="990"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19"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990" t="n"/>
      <c r="T39" s="19"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6" customFormat="1" customHeight="1" s="990">
      <c r="A40" s="991" t="n"/>
      <c r="B40" s="990" t="n"/>
      <c r="C40" s="990" t="n"/>
      <c r="D40" s="997" t="n"/>
      <c r="F40" s="1002" t="n"/>
      <c r="G40" s="997" t="n"/>
      <c r="H40" s="1001" t="inlineStr">
        <is>
          <t>Diff</t>
        </is>
      </c>
      <c r="I40" s="1002">
        <f>I37-I39</f>
        <v/>
      </c>
      <c r="J40" s="189" t="n"/>
      <c r="K40" s="984" t="n"/>
      <c r="M40" s="1002">
        <f>M37-M39</f>
        <v/>
      </c>
      <c r="N40" s="1002">
        <f>N37-N39</f>
        <v/>
      </c>
      <c r="O40" s="984" t="n"/>
      <c r="P40" s="182" t="n"/>
      <c r="Q40" s="182" t="n"/>
      <c r="R40" s="999" t="n"/>
      <c r="S40" s="990" t="n"/>
      <c r="T40" s="990" t="n"/>
      <c r="U40" s="990" t="n"/>
      <c r="CM40" s="6" t="n"/>
      <c r="CN40" s="6" t="n"/>
      <c r="CO40" s="6" t="n"/>
      <c r="CP40" s="143" t="n"/>
      <c r="CQ40" s="143" t="n"/>
      <c r="CR40" s="143" t="n"/>
      <c r="CS40" s="143" t="n"/>
      <c r="CT40" s="143" t="n"/>
      <c r="CU40" s="143" t="n"/>
      <c r="CV40" s="143" t="n"/>
      <c r="CW40" s="143" t="n"/>
      <c r="CX40" s="6" t="n"/>
      <c r="CY40" s="143" t="n"/>
      <c r="CZ40" s="143" t="n"/>
      <c r="DA40" s="143" t="n"/>
      <c r="DB40" s="143" t="n"/>
      <c r="DC40" s="143" t="n"/>
      <c r="DD40" s="6" t="n"/>
      <c r="DE40" s="6" t="n"/>
      <c r="DF40" s="6" t="n"/>
      <c r="DG40" s="6" t="n"/>
      <c r="DH40" s="6" t="n"/>
      <c r="DI40" s="6" t="n"/>
      <c r="DJ40" s="6" t="n"/>
      <c r="DK40" s="6" t="n"/>
      <c r="DL40" s="6" t="n"/>
      <c r="DM40" s="200" t="n"/>
      <c r="DN40" s="6" t="n"/>
      <c r="DO40" s="6" t="n"/>
    </row>
    <row r="41" ht="12.6" customFormat="1" customHeight="1" s="990">
      <c r="A41" s="1040" t="n"/>
      <c r="B41" s="990" t="n"/>
      <c r="C41" s="990" t="n"/>
      <c r="D41" s="997" t="n"/>
      <c r="E41" s="1001" t="n"/>
      <c r="F41" s="1002" t="n"/>
      <c r="G41" s="997" t="n"/>
      <c r="H41" s="990" t="n"/>
      <c r="I41" s="1002" t="n"/>
      <c r="J41" s="189" t="n"/>
      <c r="K41" s="984" t="n"/>
      <c r="L41" s="984" t="n"/>
      <c r="M41" s="1002" t="n"/>
      <c r="N41" s="1002" t="n"/>
      <c r="O41" s="984" t="n"/>
      <c r="P41" s="182" t="n"/>
      <c r="Q41" s="182" t="n"/>
      <c r="R41" s="999" t="n"/>
      <c r="S41" s="990" t="n"/>
      <c r="T41" s="990" t="n"/>
      <c r="U41" s="990" t="n"/>
      <c r="CM41" s="6" t="n"/>
      <c r="CN41" s="6" t="n"/>
      <c r="CO41" s="6" t="n"/>
      <c r="CP41" s="143" t="n"/>
      <c r="CQ41" s="143" t="n"/>
      <c r="CR41" s="143" t="n"/>
      <c r="CS41" s="143" t="n"/>
      <c r="CT41" s="143" t="n"/>
      <c r="CU41" s="143" t="n"/>
      <c r="CV41" s="143" t="n"/>
      <c r="CW41" s="143" t="n"/>
      <c r="CX41" s="6" t="n"/>
      <c r="CY41" s="143" t="n"/>
      <c r="CZ41" s="143" t="n"/>
      <c r="DA41" s="143" t="n"/>
      <c r="DB41" s="143" t="n"/>
      <c r="DC41" s="143" t="n"/>
      <c r="DD41" s="6" t="n"/>
      <c r="DE41" s="6" t="n"/>
      <c r="DF41" s="6" t="n"/>
      <c r="DG41" s="6" t="n"/>
      <c r="DH41" s="6" t="n"/>
      <c r="DI41" s="6" t="n"/>
      <c r="DJ41" s="6" t="n"/>
      <c r="DK41" s="6" t="n"/>
      <c r="DL41" s="6" t="n"/>
      <c r="DM41" s="200" t="n"/>
      <c r="DN41" s="6" t="n"/>
      <c r="DO41" s="6"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6" customFormat="1" customHeight="1" s="990">
      <c r="A46" s="991" t="n"/>
      <c r="B46" s="990" t="n"/>
      <c r="C46" s="990" t="n"/>
      <c r="D46" s="997" t="n"/>
      <c r="E46" s="1001" t="n"/>
      <c r="F46" s="1002" t="n"/>
      <c r="G46" s="997" t="n"/>
      <c r="H46" s="990" t="n"/>
      <c r="I46" s="1002" t="n"/>
      <c r="J46" s="189" t="n"/>
      <c r="K46" s="984" t="n"/>
      <c r="L46" s="984" t="n"/>
      <c r="M46" s="1002" t="n"/>
      <c r="N46" s="1002" t="n"/>
      <c r="O46" s="984" t="n"/>
      <c r="P46" s="182" t="n"/>
      <c r="Q46" s="182" t="n"/>
      <c r="R46" s="999" t="n"/>
      <c r="S46" s="990" t="n"/>
      <c r="T46" s="990" t="n"/>
      <c r="U46" s="990" t="n"/>
      <c r="CM46" s="6" t="n"/>
      <c r="CN46" s="6" t="n"/>
      <c r="CO46" s="6" t="n"/>
      <c r="CP46" s="143" t="n"/>
      <c r="CQ46" s="143" t="n"/>
      <c r="CR46" s="143" t="n"/>
      <c r="CS46" s="143" t="n"/>
      <c r="CT46" s="143" t="n"/>
      <c r="CU46" s="143" t="n"/>
      <c r="CV46" s="143" t="n"/>
      <c r="CW46" s="143" t="n"/>
      <c r="CX46" s="6" t="n"/>
      <c r="CY46" s="143" t="n"/>
      <c r="CZ46" s="143" t="n"/>
      <c r="DA46" s="143" t="n"/>
      <c r="DB46" s="143" t="n"/>
      <c r="DC46" s="143" t="n"/>
      <c r="DD46" s="6" t="n"/>
      <c r="DE46" s="6" t="n"/>
      <c r="DF46" s="6" t="n"/>
      <c r="DG46" s="6" t="n"/>
      <c r="DH46" s="6" t="n"/>
      <c r="DI46" s="6" t="n"/>
      <c r="DJ46" s="6" t="n"/>
      <c r="DK46" s="6" t="n"/>
      <c r="DL46" s="6" t="n"/>
      <c r="DM46" s="200" t="n"/>
      <c r="DN46" s="6" t="n"/>
      <c r="DO46" s="6" t="n"/>
    </row>
    <row r="47" ht="12.6" customFormat="1" customHeight="1" s="990">
      <c r="A47" s="1041" t="n"/>
      <c r="B47" s="990" t="n"/>
      <c r="C47" s="990" t="n"/>
      <c r="D47" s="997" t="n"/>
      <c r="E47" s="1001" t="n"/>
      <c r="F47" s="1002" t="n"/>
      <c r="G47" s="997" t="n"/>
      <c r="H47" s="990" t="n"/>
      <c r="I47" s="1002" t="n"/>
      <c r="J47" s="189" t="n"/>
      <c r="K47" s="984" t="n"/>
      <c r="L47" s="984" t="n"/>
      <c r="M47" s="1002" t="n"/>
      <c r="N47" s="1002" t="n"/>
      <c r="O47" s="984" t="n"/>
      <c r="P47" s="182" t="n"/>
      <c r="Q47" s="182" t="n"/>
      <c r="R47" s="999" t="n"/>
      <c r="S47" s="990" t="n"/>
      <c r="T47" s="990" t="n"/>
      <c r="U47" s="990" t="n"/>
      <c r="CM47" s="6" t="n"/>
      <c r="CN47" s="6" t="n"/>
      <c r="CO47" s="6" t="n"/>
      <c r="CP47" s="143" t="n"/>
      <c r="CQ47" s="143" t="n"/>
      <c r="CR47" s="143" t="n"/>
      <c r="CS47" s="143" t="n"/>
      <c r="CT47" s="143" t="n"/>
      <c r="CU47" s="143" t="n"/>
      <c r="CV47" s="143" t="n"/>
      <c r="CW47" s="143" t="n"/>
      <c r="CX47" s="6" t="n"/>
      <c r="CY47" s="143" t="n"/>
      <c r="CZ47" s="143" t="n"/>
      <c r="DA47" s="143" t="n"/>
      <c r="DB47" s="143" t="n"/>
      <c r="DC47" s="143" t="n"/>
      <c r="DD47" s="6" t="n"/>
      <c r="DE47" s="6" t="n"/>
      <c r="DF47" s="6" t="n"/>
      <c r="DG47" s="6" t="n"/>
      <c r="DH47" s="6" t="n"/>
      <c r="DI47" s="6" t="n"/>
      <c r="DJ47" s="6" t="n"/>
      <c r="DK47" s="6" t="n"/>
      <c r="DL47" s="6" t="n"/>
      <c r="DM47" s="200" t="n"/>
      <c r="DN47" s="6" t="n"/>
      <c r="DO47" s="6" t="n"/>
    </row>
    <row r="48" ht="12.6" customHeight="1">
      <c r="A48" s="660" t="n"/>
      <c r="CW48" s="143" t="n"/>
      <c r="CX48" s="143"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252" t="n"/>
      <c r="DX48" s="143" t="n"/>
      <c r="DY48" s="149" t="n"/>
    </row>
    <row r="49" ht="12.6" customHeight="1">
      <c r="A49" s="660" t="n"/>
      <c r="CW49" s="143" t="n"/>
      <c r="CX49" s="143"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252" t="n"/>
      <c r="DX49" s="143" t="n"/>
      <c r="DY49" s="149" t="n"/>
    </row>
    <row r="50" ht="12.6" customHeight="1" thickBot="1">
      <c r="A50" s="660" t="n"/>
      <c r="B50" s="164" t="inlineStr">
        <is>
          <t>表2</t>
        </is>
      </c>
      <c r="C50" s="634" t="inlineStr">
        <is>
          <t>对于当期收到政府补助款项一次性计入其他收益的大额政府补助项目，获取并查看支持性文件和银行水单。</t>
        </is>
      </c>
      <c r="G50" s="164" t="n"/>
      <c r="CW50" s="143" t="n"/>
      <c r="CX50" s="143"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252" t="n"/>
      <c r="DX50" s="143" t="n"/>
      <c r="DY50" s="149" t="n"/>
    </row>
    <row r="51" ht="24" customHeight="1">
      <c r="A51" s="660" t="n"/>
      <c r="B51" s="164" t="n"/>
      <c r="C51" s="774" t="inlineStr">
        <is>
          <t>政府补助名称</t>
        </is>
      </c>
      <c r="D51" s="775" t="inlineStr">
        <is>
          <t>金额</t>
        </is>
      </c>
      <c r="E51" s="775" t="inlineStr">
        <is>
          <t>支持性文件</t>
        </is>
      </c>
      <c r="F51" s="775" t="inlineStr">
        <is>
          <t>银行</t>
        </is>
      </c>
      <c r="G51" s="776" t="inlineStr">
        <is>
          <t>检查的其他会计凭证（如有）</t>
        </is>
      </c>
      <c r="H51" s="775" t="inlineStr">
        <is>
          <t>会计处理是否恰当</t>
        </is>
      </c>
      <c r="I51" s="775" t="inlineStr">
        <is>
          <t>是否需要进行调整</t>
        </is>
      </c>
      <c r="J51" s="777" t="inlineStr">
        <is>
          <t>调整金额</t>
        </is>
      </c>
      <c r="CW51" s="143" t="n"/>
      <c r="CX51" s="143"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252" t="n"/>
      <c r="DX51" s="143" t="n"/>
      <c r="DY51" s="149" t="n"/>
    </row>
    <row r="52" ht="12.6" customHeight="1">
      <c r="A52" s="540" t="n"/>
      <c r="C52" s="615" t="n"/>
      <c r="D52" s="1042" t="n"/>
      <c r="E52" s="617" t="n"/>
      <c r="F52" s="617" t="n"/>
      <c r="G52" s="618" t="n"/>
      <c r="H52" s="618" t="n"/>
      <c r="I52" s="618" t="n"/>
      <c r="J52" s="619" t="n"/>
      <c r="CW52" s="143" t="n"/>
      <c r="CX52" s="143"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252" t="n"/>
      <c r="DX52" s="143" t="n"/>
      <c r="DY52" s="149" t="n"/>
    </row>
    <row r="53" ht="12.6" customHeight="1">
      <c r="A53" s="540" t="n"/>
      <c r="C53" s="615" t="n"/>
      <c r="D53" s="1042" t="n"/>
      <c r="E53" s="617" t="n"/>
      <c r="F53" s="617" t="n"/>
      <c r="G53" s="618" t="n"/>
      <c r="H53" s="618" t="n"/>
      <c r="I53" s="618" t="n"/>
      <c r="J53" s="619"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2.6" customHeight="1">
      <c r="A54" s="540" t="n"/>
      <c r="C54" s="615" t="n"/>
      <c r="D54" s="1042" t="n"/>
      <c r="E54" s="617" t="n"/>
      <c r="F54" s="617" t="n"/>
      <c r="G54" s="618" t="n"/>
      <c r="H54" s="618" t="n"/>
      <c r="I54" s="618" t="n"/>
      <c r="J54" s="619"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2.6" customHeight="1">
      <c r="A55" s="540" t="n"/>
      <c r="C55" s="615" t="n"/>
      <c r="D55" s="1042" t="n"/>
      <c r="E55" s="617" t="n"/>
      <c r="F55" s="617" t="n"/>
      <c r="G55" s="618" t="n"/>
      <c r="H55" s="618" t="n"/>
      <c r="I55" s="618" t="n"/>
      <c r="J55" s="619" t="n"/>
      <c r="CW55" s="143" t="n"/>
      <c r="CX55" s="143"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252" t="n"/>
      <c r="DX55" s="143" t="n"/>
      <c r="DY55" s="149" t="n"/>
    </row>
    <row r="56" ht="12.6" customHeight="1" thickBot="1">
      <c r="A56" s="540" t="n"/>
      <c r="C56" s="400" t="n"/>
      <c r="D56" s="1043" t="n"/>
      <c r="E56" s="402" t="n"/>
      <c r="F56" s="402" t="n"/>
      <c r="G56" s="403" t="n"/>
      <c r="H56" s="403" t="n"/>
      <c r="I56" s="403" t="n"/>
      <c r="J56" s="404" t="n"/>
      <c r="CW56" s="143" t="n"/>
      <c r="CX56" s="143" t="n"/>
      <c r="CY56" s="143" t="n"/>
      <c r="CZ56" s="143" t="n"/>
      <c r="DA56" s="143" t="n"/>
      <c r="DB56" s="143" t="n"/>
      <c r="DC56" s="143" t="n"/>
      <c r="DD56" s="143" t="n"/>
      <c r="DE56" s="143" t="n"/>
      <c r="DF56" s="143" t="n"/>
      <c r="DG56" s="143" t="n"/>
      <c r="DH56" s="143" t="n"/>
      <c r="DI56" s="143" t="n"/>
      <c r="DJ56" s="143" t="n"/>
      <c r="DK56" s="143" t="n"/>
      <c r="DL56" s="143" t="n"/>
      <c r="DM56" s="143" t="n"/>
      <c r="DN56" s="143" t="n"/>
      <c r="DO56" s="143" t="n"/>
      <c r="DP56" s="143" t="n"/>
      <c r="DQ56" s="143" t="n"/>
      <c r="DR56" s="143" t="n"/>
      <c r="DS56" s="143" t="n"/>
      <c r="DT56" s="143" t="n"/>
      <c r="DU56" s="143" t="n"/>
      <c r="DV56" s="143" t="n"/>
      <c r="DW56" s="252" t="n"/>
      <c r="DX56" s="143" t="n"/>
      <c r="DY56" s="149" t="n"/>
    </row>
    <row r="57" ht="12.6" customHeight="1">
      <c r="A57" s="540" t="n"/>
      <c r="CW57" s="143" t="n"/>
      <c r="CX57" s="143" t="n"/>
      <c r="CY57" s="143" t="n"/>
      <c r="CZ57" s="143" t="n"/>
      <c r="DA57" s="143" t="n"/>
      <c r="DB57" s="143" t="n"/>
      <c r="DC57" s="143" t="n"/>
      <c r="DD57" s="143" t="n"/>
      <c r="DE57" s="143" t="n"/>
      <c r="DF57" s="143" t="n"/>
      <c r="DG57" s="143" t="n"/>
      <c r="DH57" s="143" t="n"/>
      <c r="DI57" s="143" t="n"/>
      <c r="DJ57" s="143" t="n"/>
      <c r="DK57" s="143" t="n"/>
      <c r="DL57" s="143" t="n"/>
      <c r="DM57" s="143" t="n"/>
      <c r="DN57" s="143" t="n"/>
      <c r="DO57" s="143" t="n"/>
      <c r="DP57" s="143" t="n"/>
      <c r="DQ57" s="143" t="n"/>
      <c r="DR57" s="143" t="n"/>
      <c r="DS57" s="143" t="n"/>
      <c r="DT57" s="143" t="n"/>
      <c r="DU57" s="143" t="n"/>
      <c r="DV57" s="143" t="n"/>
      <c r="DW57" s="252" t="n"/>
      <c r="DX57" s="143" t="n"/>
      <c r="DY57" s="149" t="n"/>
    </row>
    <row r="58" ht="12.6" customHeight="1">
      <c r="A58" s="540" t="n"/>
      <c r="CW58" s="143" t="n"/>
      <c r="CX58" s="143" t="n"/>
      <c r="CY58" s="143" t="n"/>
      <c r="CZ58" s="143" t="n"/>
      <c r="DA58" s="143" t="n"/>
      <c r="DB58" s="143" t="n"/>
      <c r="DC58" s="143" t="n"/>
      <c r="DD58" s="143" t="n"/>
      <c r="DE58" s="143" t="n"/>
      <c r="DF58" s="143" t="n"/>
      <c r="DG58" s="143" t="n"/>
      <c r="DH58" s="143" t="n"/>
      <c r="DI58" s="143" t="n"/>
      <c r="DJ58" s="143" t="n"/>
      <c r="DK58" s="143" t="n"/>
      <c r="DL58" s="143" t="n"/>
      <c r="DM58" s="143" t="n"/>
      <c r="DN58" s="143" t="n"/>
      <c r="DO58" s="143" t="n"/>
      <c r="DP58" s="143" t="n"/>
      <c r="DQ58" s="143" t="n"/>
      <c r="DR58" s="143" t="n"/>
      <c r="DS58" s="143" t="n"/>
      <c r="DT58" s="143" t="n"/>
      <c r="DU58" s="143" t="n"/>
      <c r="DV58" s="143" t="n"/>
      <c r="DW58" s="252" t="n"/>
      <c r="DX58" s="143" t="n"/>
      <c r="DY58" s="149" t="n"/>
    </row>
    <row r="59" ht="12.6" customHeight="1">
      <c r="A59" s="540" t="n"/>
      <c r="CW59" s="143" t="n"/>
      <c r="CX59" s="143" t="n"/>
      <c r="CY59" s="143" t="n"/>
      <c r="CZ59" s="143" t="n"/>
      <c r="DA59" s="143" t="n"/>
      <c r="DB59" s="143" t="n"/>
      <c r="DC59" s="143" t="n"/>
      <c r="DD59" s="143" t="n"/>
      <c r="DE59" s="143" t="n"/>
      <c r="DF59" s="143" t="n"/>
      <c r="DG59" s="143" t="n"/>
      <c r="DH59" s="143" t="n"/>
      <c r="DI59" s="143" t="n"/>
      <c r="DJ59" s="143" t="n"/>
      <c r="DK59" s="143" t="n"/>
      <c r="DL59" s="143" t="n"/>
      <c r="DM59" s="143" t="n"/>
      <c r="DN59" s="143" t="n"/>
      <c r="DO59" s="143" t="n"/>
      <c r="DP59" s="143" t="n"/>
      <c r="DQ59" s="143" t="n"/>
      <c r="DR59" s="143" t="n"/>
      <c r="DS59" s="143" t="n"/>
      <c r="DT59" s="143" t="n"/>
      <c r="DU59" s="143" t="n"/>
      <c r="DV59" s="143" t="n"/>
      <c r="DW59" s="252" t="n"/>
      <c r="DX59" s="143" t="n"/>
      <c r="DY59" s="149" t="n"/>
    </row>
    <row r="60" ht="12.6" customHeight="1">
      <c r="A60" s="54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6" customHeight="1">
      <c r="A61" s="54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6" customHeight="1">
      <c r="A62" s="540" t="n"/>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6" customHeight="1">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6"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6"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6"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6"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6"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6"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6"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6"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6"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6"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6"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6"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6"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6"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6"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6"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6"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6"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6"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6"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6"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6"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6"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6"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6"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6"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6"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6"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6"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6"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6"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6"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6"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6"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6"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6"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ht="12.6" customHeight="1">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ht="12.6" customHeight="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ht="12.6" customHeight="1">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ht="12.6" customHeight="1">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ht="12.6" customHeight="1">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ht="12.6" customHeight="1">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row r="106" ht="12.6" customHeight="1">
      <c r="A106" s="540" t="n"/>
      <c r="CW106" s="143" t="n"/>
      <c r="CX106" s="143" t="n"/>
      <c r="CY106" s="143" t="n"/>
      <c r="CZ106" s="143" t="n"/>
      <c r="DA106" s="143" t="n"/>
      <c r="DB106" s="143" t="n"/>
      <c r="DC106" s="143" t="n"/>
      <c r="DD106" s="143" t="n"/>
      <c r="DE106" s="143" t="n"/>
      <c r="DF106" s="143" t="n"/>
      <c r="DG106" s="143" t="n"/>
      <c r="DH106" s="143" t="n"/>
      <c r="DI106" s="143" t="n"/>
      <c r="DJ106" s="143" t="n"/>
      <c r="DK106" s="143" t="n"/>
      <c r="DL106" s="143" t="n"/>
      <c r="DM106" s="143" t="n"/>
      <c r="DN106" s="143" t="n"/>
      <c r="DO106" s="143" t="n"/>
      <c r="DP106" s="143" t="n"/>
      <c r="DQ106" s="143" t="n"/>
      <c r="DR106" s="143" t="n"/>
      <c r="DS106" s="143" t="n"/>
      <c r="DT106" s="143" t="n"/>
      <c r="DU106" s="143" t="n"/>
      <c r="DV106" s="143" t="n"/>
      <c r="DW106" s="252" t="n"/>
      <c r="DX106" s="143" t="n"/>
      <c r="DY106" s="149" t="n"/>
    </row>
    <row r="107" ht="12.6" customHeight="1">
      <c r="A107" s="540" t="n"/>
      <c r="CW107" s="143" t="n"/>
      <c r="CX107" s="143" t="n"/>
      <c r="CY107" s="143" t="n"/>
      <c r="CZ107" s="143" t="n"/>
      <c r="DA107" s="143" t="n"/>
      <c r="DB107" s="143" t="n"/>
      <c r="DC107" s="143" t="n"/>
      <c r="DD107" s="143" t="n"/>
      <c r="DE107" s="143" t="n"/>
      <c r="DF107" s="143" t="n"/>
      <c r="DG107" s="143" t="n"/>
      <c r="DH107" s="143" t="n"/>
      <c r="DI107" s="143" t="n"/>
      <c r="DJ107" s="143" t="n"/>
      <c r="DK107" s="143" t="n"/>
      <c r="DL107" s="143" t="n"/>
      <c r="DM107" s="143" t="n"/>
      <c r="DN107" s="143" t="n"/>
      <c r="DO107" s="143" t="n"/>
      <c r="DP107" s="143" t="n"/>
      <c r="DQ107" s="143" t="n"/>
      <c r="DR107" s="143" t="n"/>
      <c r="DS107" s="143" t="n"/>
      <c r="DT107" s="143" t="n"/>
      <c r="DU107" s="143" t="n"/>
      <c r="DV107" s="143" t="n"/>
      <c r="DW107" s="252" t="n"/>
      <c r="DX107" s="143" t="n"/>
      <c r="DY107" s="149" t="n"/>
    </row>
    <row r="108" ht="12.6" customHeight="1">
      <c r="A108" s="540" t="n"/>
      <c r="CW108" s="143" t="n"/>
      <c r="CX108" s="143" t="n"/>
      <c r="CY108" s="143" t="n"/>
      <c r="CZ108" s="143" t="n"/>
      <c r="DA108" s="143" t="n"/>
      <c r="DB108" s="143" t="n"/>
      <c r="DC108" s="143" t="n"/>
      <c r="DD108" s="143" t="n"/>
      <c r="DE108" s="143" t="n"/>
      <c r="DF108" s="143" t="n"/>
      <c r="DG108" s="143" t="n"/>
      <c r="DH108" s="143" t="n"/>
      <c r="DI108" s="143" t="n"/>
      <c r="DJ108" s="143" t="n"/>
      <c r="DK108" s="143" t="n"/>
      <c r="DL108" s="143" t="n"/>
      <c r="DM108" s="143" t="n"/>
      <c r="DN108" s="143" t="n"/>
      <c r="DO108" s="143" t="n"/>
      <c r="DP108" s="143" t="n"/>
      <c r="DQ108" s="143" t="n"/>
      <c r="DR108" s="143" t="n"/>
      <c r="DS108" s="143" t="n"/>
      <c r="DT108" s="143" t="n"/>
      <c r="DU108" s="143" t="n"/>
      <c r="DV108" s="143" t="n"/>
      <c r="DW108" s="252" t="n"/>
      <c r="DX108" s="143" t="n"/>
      <c r="DY108" s="149" t="n"/>
    </row>
    <row r="109" ht="12.6" customHeight="1">
      <c r="A109" s="540" t="n"/>
      <c r="CW109" s="143" t="n"/>
      <c r="CX109" s="143" t="n"/>
      <c r="CY109" s="143" t="n"/>
      <c r="CZ109" s="143" t="n"/>
      <c r="DA109" s="143" t="n"/>
      <c r="DB109" s="143" t="n"/>
      <c r="DC109" s="143" t="n"/>
      <c r="DD109" s="143" t="n"/>
      <c r="DE109" s="143" t="n"/>
      <c r="DF109" s="143" t="n"/>
      <c r="DG109" s="143" t="n"/>
      <c r="DH109" s="143" t="n"/>
      <c r="DI109" s="143" t="n"/>
      <c r="DJ109" s="143" t="n"/>
      <c r="DK109" s="143" t="n"/>
      <c r="DL109" s="143" t="n"/>
      <c r="DM109" s="143" t="n"/>
      <c r="DN109" s="143" t="n"/>
      <c r="DO109" s="143" t="n"/>
      <c r="DP109" s="143" t="n"/>
      <c r="DQ109" s="143" t="n"/>
      <c r="DR109" s="143" t="n"/>
      <c r="DS109" s="143" t="n"/>
      <c r="DT109" s="143" t="n"/>
      <c r="DU109" s="143" t="n"/>
      <c r="DV109" s="143" t="n"/>
      <c r="DW109" s="252" t="n"/>
      <c r="DX109" s="143" t="n"/>
      <c r="DY109" s="149" t="n"/>
    </row>
    <row r="110" ht="12.6" customHeight="1">
      <c r="A110" s="540" t="n"/>
      <c r="CW110" s="143" t="n"/>
      <c r="CX110" s="143" t="n"/>
      <c r="CY110" s="143" t="n"/>
      <c r="CZ110" s="143" t="n"/>
      <c r="DA110" s="143" t="n"/>
      <c r="DB110" s="143" t="n"/>
      <c r="DC110" s="143" t="n"/>
      <c r="DD110" s="143" t="n"/>
      <c r="DE110" s="143" t="n"/>
      <c r="DF110" s="143" t="n"/>
      <c r="DG110" s="143" t="n"/>
      <c r="DH110" s="143" t="n"/>
      <c r="DI110" s="143" t="n"/>
      <c r="DJ110" s="143" t="n"/>
      <c r="DK110" s="143" t="n"/>
      <c r="DL110" s="143" t="n"/>
      <c r="DM110" s="143" t="n"/>
      <c r="DN110" s="143" t="n"/>
      <c r="DO110" s="143" t="n"/>
      <c r="DP110" s="143" t="n"/>
      <c r="DQ110" s="143" t="n"/>
      <c r="DR110" s="143" t="n"/>
      <c r="DS110" s="143" t="n"/>
      <c r="DT110" s="143" t="n"/>
      <c r="DU110" s="143" t="n"/>
      <c r="DV110" s="143" t="n"/>
      <c r="DW110" s="252" t="n"/>
      <c r="DX110" s="143" t="n"/>
      <c r="DY110" s="149" t="n"/>
    </row>
    <row r="111" ht="12.6" customHeight="1">
      <c r="A111" s="540" t="n"/>
      <c r="CW111" s="143" t="n"/>
      <c r="CX111" s="143" t="n"/>
      <c r="CY111" s="143" t="n"/>
      <c r="CZ111" s="143" t="n"/>
      <c r="DA111" s="143" t="n"/>
      <c r="DB111" s="143" t="n"/>
      <c r="DC111" s="143" t="n"/>
      <c r="DD111" s="143" t="n"/>
      <c r="DE111" s="143" t="n"/>
      <c r="DF111" s="143" t="n"/>
      <c r="DG111" s="143" t="n"/>
      <c r="DH111" s="143" t="n"/>
      <c r="DI111" s="143" t="n"/>
      <c r="DJ111" s="143" t="n"/>
      <c r="DK111" s="143" t="n"/>
      <c r="DL111" s="143" t="n"/>
      <c r="DM111" s="143" t="n"/>
      <c r="DN111" s="143" t="n"/>
      <c r="DO111" s="143" t="n"/>
      <c r="DP111" s="143" t="n"/>
      <c r="DQ111" s="143" t="n"/>
      <c r="DR111" s="143" t="n"/>
      <c r="DS111" s="143" t="n"/>
      <c r="DT111" s="143" t="n"/>
      <c r="DU111" s="143" t="n"/>
      <c r="DV111" s="143" t="n"/>
      <c r="DW111" s="252" t="n"/>
      <c r="DX111" s="143" t="n"/>
      <c r="DY111" s="149" t="n"/>
    </row>
    <row r="112" ht="12.6" customHeight="1">
      <c r="A112" s="540" t="n"/>
      <c r="CW112" s="143" t="n"/>
      <c r="CX112" s="143" t="n"/>
      <c r="CY112" s="143" t="n"/>
      <c r="CZ112" s="143" t="n"/>
      <c r="DA112" s="143" t="n"/>
      <c r="DB112" s="143" t="n"/>
      <c r="DC112" s="143" t="n"/>
      <c r="DD112" s="143" t="n"/>
      <c r="DE112" s="143" t="n"/>
      <c r="DF112" s="143" t="n"/>
      <c r="DG112" s="143" t="n"/>
      <c r="DH112" s="143" t="n"/>
      <c r="DI112" s="143" t="n"/>
      <c r="DJ112" s="143" t="n"/>
      <c r="DK112" s="143" t="n"/>
      <c r="DL112" s="143" t="n"/>
      <c r="DM112" s="143" t="n"/>
      <c r="DN112" s="143" t="n"/>
      <c r="DO112" s="143" t="n"/>
      <c r="DP112" s="143" t="n"/>
      <c r="DQ112" s="143" t="n"/>
      <c r="DR112" s="143" t="n"/>
      <c r="DS112" s="143" t="n"/>
      <c r="DT112" s="143" t="n"/>
      <c r="DU112" s="143" t="n"/>
      <c r="DV112" s="143" t="n"/>
      <c r="DW112" s="252" t="n"/>
      <c r="DX112" s="143" t="n"/>
      <c r="DY112" s="149" t="n"/>
    </row>
    <row r="113" ht="12.6" customHeight="1">
      <c r="A113" s="540" t="n"/>
      <c r="CW113" s="143" t="n"/>
      <c r="CX113" s="143" t="n"/>
      <c r="CY113" s="143" t="n"/>
      <c r="CZ113" s="143" t="n"/>
      <c r="DA113" s="143" t="n"/>
      <c r="DB113" s="143" t="n"/>
      <c r="DC113" s="143" t="n"/>
      <c r="DD113" s="143" t="n"/>
      <c r="DE113" s="143" t="n"/>
      <c r="DF113" s="143" t="n"/>
      <c r="DG113" s="143" t="n"/>
      <c r="DH113" s="143" t="n"/>
      <c r="DI113" s="143" t="n"/>
      <c r="DJ113" s="143" t="n"/>
      <c r="DK113" s="143" t="n"/>
      <c r="DL113" s="143" t="n"/>
      <c r="DM113" s="143" t="n"/>
      <c r="DN113" s="143" t="n"/>
      <c r="DO113" s="143" t="n"/>
      <c r="DP113" s="143" t="n"/>
      <c r="DQ113" s="143" t="n"/>
      <c r="DR113" s="143" t="n"/>
      <c r="DS113" s="143" t="n"/>
      <c r="DT113" s="143" t="n"/>
      <c r="DU113" s="143" t="n"/>
      <c r="DV113" s="143" t="n"/>
      <c r="DW113" s="252" t="n"/>
      <c r="DX113" s="143" t="n"/>
      <c r="DY113" s="149" t="n"/>
    </row>
    <row r="114" ht="12.6" customHeight="1">
      <c r="A114" s="540" t="n"/>
      <c r="CW114" s="143" t="n"/>
      <c r="CX114" s="143" t="n"/>
      <c r="CY114" s="143" t="n"/>
      <c r="CZ114" s="143" t="n"/>
      <c r="DA114" s="143" t="n"/>
      <c r="DB114" s="143" t="n"/>
      <c r="DC114" s="143" t="n"/>
      <c r="DD114" s="143" t="n"/>
      <c r="DE114" s="143" t="n"/>
      <c r="DF114" s="143" t="n"/>
      <c r="DG114" s="143" t="n"/>
      <c r="DH114" s="143" t="n"/>
      <c r="DI114" s="143" t="n"/>
      <c r="DJ114" s="143" t="n"/>
      <c r="DK114" s="143" t="n"/>
      <c r="DL114" s="143" t="n"/>
      <c r="DM114" s="143" t="n"/>
      <c r="DN114" s="143" t="n"/>
      <c r="DO114" s="143" t="n"/>
      <c r="DP114" s="143" t="n"/>
      <c r="DQ114" s="143" t="n"/>
      <c r="DR114" s="143" t="n"/>
      <c r="DS114" s="143" t="n"/>
      <c r="DT114" s="143" t="n"/>
      <c r="DU114" s="143" t="n"/>
      <c r="DV114" s="143" t="n"/>
      <c r="DW114" s="252" t="n"/>
      <c r="DX114" s="143" t="n"/>
      <c r="DY114" s="149" t="n"/>
    </row>
    <row r="115" ht="12.6" customHeight="1">
      <c r="A115" s="540" t="n"/>
      <c r="CW115" s="143" t="n"/>
      <c r="CX115" s="143" t="n"/>
      <c r="CY115" s="143" t="n"/>
      <c r="CZ115" s="143" t="n"/>
      <c r="DA115" s="143" t="n"/>
      <c r="DB115" s="143" t="n"/>
      <c r="DC115" s="143" t="n"/>
      <c r="DD115" s="143" t="n"/>
      <c r="DE115" s="143" t="n"/>
      <c r="DF115" s="143" t="n"/>
      <c r="DG115" s="143" t="n"/>
      <c r="DH115" s="143" t="n"/>
      <c r="DI115" s="143" t="n"/>
      <c r="DJ115" s="143" t="n"/>
      <c r="DK115" s="143" t="n"/>
      <c r="DL115" s="143" t="n"/>
      <c r="DM115" s="143" t="n"/>
      <c r="DN115" s="143" t="n"/>
      <c r="DO115" s="143" t="n"/>
      <c r="DP115" s="143" t="n"/>
      <c r="DQ115" s="143" t="n"/>
      <c r="DR115" s="143" t="n"/>
      <c r="DS115" s="143" t="n"/>
      <c r="DT115" s="143" t="n"/>
      <c r="DU115" s="143" t="n"/>
      <c r="DV115" s="143" t="n"/>
      <c r="DW115" s="252" t="n"/>
      <c r="DX115" s="143" t="n"/>
      <c r="DY115" s="149" t="n"/>
    </row>
    <row r="116" ht="12.6" customHeight="1">
      <c r="A116" s="540" t="n"/>
      <c r="CW116" s="143" t="n"/>
      <c r="CX116" s="143" t="n"/>
      <c r="CY116" s="143" t="n"/>
      <c r="CZ116" s="143" t="n"/>
      <c r="DA116" s="143" t="n"/>
      <c r="DB116" s="143" t="n"/>
      <c r="DC116" s="143" t="n"/>
      <c r="DD116" s="143" t="n"/>
      <c r="DE116" s="143" t="n"/>
      <c r="DF116" s="143" t="n"/>
      <c r="DG116" s="143" t="n"/>
      <c r="DH116" s="143" t="n"/>
      <c r="DI116" s="143" t="n"/>
      <c r="DJ116" s="143" t="n"/>
      <c r="DK116" s="143" t="n"/>
      <c r="DL116" s="143" t="n"/>
      <c r="DM116" s="143" t="n"/>
      <c r="DN116" s="143" t="n"/>
      <c r="DO116" s="143" t="n"/>
      <c r="DP116" s="143" t="n"/>
      <c r="DQ116" s="143" t="n"/>
      <c r="DR116" s="143" t="n"/>
      <c r="DS116" s="143" t="n"/>
      <c r="DT116" s="143" t="n"/>
      <c r="DU116" s="143" t="n"/>
      <c r="DV116" s="143" t="n"/>
      <c r="DW116" s="252" t="n"/>
      <c r="DX116" s="143" t="n"/>
      <c r="DY116" s="149" t="n"/>
    </row>
    <row r="117" ht="12.6" customHeight="1">
      <c r="A117" s="540" t="n"/>
      <c r="CW117" s="143" t="n"/>
      <c r="CX117" s="143" t="n"/>
      <c r="CY117" s="143" t="n"/>
      <c r="CZ117" s="143" t="n"/>
      <c r="DA117" s="143" t="n"/>
      <c r="DB117" s="143" t="n"/>
      <c r="DC117" s="143" t="n"/>
      <c r="DD117" s="143" t="n"/>
      <c r="DE117" s="143" t="n"/>
      <c r="DF117" s="143" t="n"/>
      <c r="DG117" s="143" t="n"/>
      <c r="DH117" s="143" t="n"/>
      <c r="DI117" s="143" t="n"/>
      <c r="DJ117" s="143" t="n"/>
      <c r="DK117" s="143" t="n"/>
      <c r="DL117" s="143" t="n"/>
      <c r="DM117" s="143" t="n"/>
      <c r="DN117" s="143" t="n"/>
      <c r="DO117" s="143" t="n"/>
      <c r="DP117" s="143" t="n"/>
      <c r="DQ117" s="143" t="n"/>
      <c r="DR117" s="143" t="n"/>
      <c r="DS117" s="143" t="n"/>
      <c r="DT117" s="143" t="n"/>
      <c r="DU117" s="143" t="n"/>
      <c r="DV117" s="143" t="n"/>
      <c r="DW117" s="252" t="n"/>
      <c r="DX117" s="143" t="n"/>
      <c r="DY117" s="149" t="n"/>
    </row>
  </sheetData>
  <mergeCells count="14">
    <mergeCell ref="O5:O6"/>
    <mergeCell ref="N5:N6"/>
    <mergeCell ref="D13:F13"/>
    <mergeCell ref="D11:F11"/>
    <mergeCell ref="D14:F14"/>
    <mergeCell ref="C20:G22"/>
    <mergeCell ref="L5:L6"/>
    <mergeCell ref="D12:F12"/>
    <mergeCell ref="D9:F9"/>
    <mergeCell ref="M5:M6"/>
    <mergeCell ref="D8:F8"/>
    <mergeCell ref="D15:F15"/>
    <mergeCell ref="C43:G45"/>
    <mergeCell ref="D10:F10"/>
  </mergeCells>
  <conditionalFormatting sqref="C20:G22 C30:F30 C33:F35 C43:G45 C52:F56 D25 G9:I15 H52:J56 I39 M39:N39 N30 N33:N35">
    <cfRule type="cellIs" priority="1" operator="equal" dxfId="0">
      <formula>0</formula>
    </cfRule>
  </conditionalFormatting>
  <dataValidations count="2">
    <dataValidation sqref="H9:H15" showDropDown="0" showInputMessage="1" showErrorMessage="0" allowBlank="1" type="list">
      <formula1>"是,否"</formula1>
    </dataValidation>
    <dataValidation sqref="I9:I15"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8.xml><?xml version="1.0" encoding="utf-8"?>
<worksheet xmlns="http://schemas.openxmlformats.org/spreadsheetml/2006/main">
  <sheetPr codeName="Sheet8">
    <outlinePr summaryBelow="1" summaryRight="1"/>
    <pageSetUpPr/>
  </sheetPr>
  <dimension ref="A1:DX49"/>
  <sheetViews>
    <sheetView showGridLines="0" zoomScale="70" zoomScaleNormal="70" workbookViewId="0">
      <selection activeCell="P38" sqref="P38"/>
    </sheetView>
  </sheetViews>
  <sheetFormatPr baseColWidth="8" defaultColWidth="9.5703125" defaultRowHeight="12.75" outlineLevelRow="1"/>
  <cols>
    <col width="0.140625" customWidth="1" style="556" min="1" max="1"/>
    <col width="5.140625" customWidth="1" style="19" min="2" max="2"/>
    <col width="20.7109375" customWidth="1" style="19" min="3" max="3"/>
    <col width="37.42578125" customWidth="1" style="19" min="4" max="4"/>
    <col width="20.28515625" customWidth="1" style="19" min="5" max="5"/>
    <col width="22" customWidth="1" style="19" min="6" max="7"/>
    <col width="16.140625" customWidth="1" style="19" min="8" max="8"/>
    <col width="21.28515625" customWidth="1" style="19" min="9" max="9"/>
    <col width="19" customWidth="1" style="19" min="10" max="10"/>
    <col outlineLevel="1" width="23" customWidth="1" style="19" min="11" max="11"/>
    <col outlineLevel="1" width="14.42578125" customWidth="1" style="19" min="12" max="12"/>
    <col width="14.85546875" customWidth="1" style="19" min="13" max="14"/>
    <col width="15.140625" customWidth="1" style="19" min="15" max="16"/>
    <col width="13.140625" customWidth="1" style="19" min="17" max="18"/>
    <col width="23.42578125" customWidth="1" style="19" min="19" max="19"/>
    <col width="16.42578125" customWidth="1" style="19" min="20" max="20"/>
    <col width="8.7109375" customWidth="1" style="19" min="21" max="25"/>
    <col width="13.28515625" customWidth="1" style="19" min="26" max="27"/>
    <col width="16"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2.6" customHeight="1">
      <c r="A1" s="541" t="inlineStr">
        <is>
          <t>24c95553-06d4-415a-96fe-a3f6e73262de</t>
        </is>
      </c>
    </row>
    <row r="2" ht="18.6" customFormat="1" customHeight="1" s="9">
      <c r="A2" s="539" t="n"/>
      <c r="C2" s="473" t="n"/>
      <c r="J2" s="48" t="inlineStr">
        <is>
          <t>返回汇总页</t>
        </is>
      </c>
    </row>
    <row r="3" ht="12.6" customHeight="1" thickBot="1">
      <c r="A3" s="541"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1"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6.5" customHeight="1">
      <c r="A5" s="541" t="n"/>
      <c r="C5" s="49" t="inlineStr">
        <is>
          <t>1.通过执行分析和调查两期的投资收益重大变动来确定其变动是否合理。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6.5" customHeight="1">
      <c r="A6" s="541"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4.1" customHeight="1">
      <c r="A7" s="541"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1"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从管理层处取得本期投资收益账户的明细。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0.09999999999999" customHeight="1">
      <c r="A12" s="660" t="n"/>
      <c r="C12" s="515" t="n">
        <v>4</v>
      </c>
      <c r="D12" s="948" t="inlineStr">
        <is>
          <t>对于单项重大的投资收益，需要获取该单项收益的组成明细，需要获取支持性文件如合同等，在必要时进行收入测试。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0.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89.25" customFormat="1" customHeight="1" s="4">
      <c r="A24" s="545" t="n"/>
      <c r="C24" s="745">
        <f>"波动范围 ("&amp;D12&amp;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row>
    <row r="26" ht="12.6" customHeight="1">
      <c r="A26" s="660" t="n"/>
      <c r="CR26" s="6" t="n"/>
      <c r="CS26" s="6" t="n"/>
      <c r="CT26" s="6" t="n"/>
      <c r="CU26" s="143" t="n"/>
      <c r="CV26" s="143" t="n"/>
      <c r="CW26" s="143" t="n"/>
      <c r="CX26" s="143" t="n"/>
      <c r="CY26" s="143" t="n"/>
      <c r="CZ26" s="143" t="n"/>
      <c r="DA26" s="143" t="n"/>
      <c r="DB26" s="143" t="n"/>
      <c r="DC26" s="6" t="n"/>
      <c r="DD26" s="143" t="n"/>
      <c r="DE26" s="143" t="n"/>
      <c r="DF26" s="143" t="n"/>
      <c r="DG26" s="143" t="n"/>
      <c r="DH26" s="143" t="n"/>
      <c r="DI26" s="6" t="n"/>
      <c r="DJ26" s="6" t="n"/>
      <c r="DK26" s="6" t="n"/>
      <c r="DL26" s="6" t="n"/>
      <c r="DM26" s="6" t="n"/>
      <c r="DN26" s="6" t="n"/>
      <c r="DO26" s="6" t="n"/>
      <c r="DP26" s="6" t="n"/>
      <c r="DQ26" s="6" t="n"/>
      <c r="DR26" s="200" t="n"/>
      <c r="DS26" s="6" t="n"/>
      <c r="DT26" s="6" t="n"/>
    </row>
    <row r="27" ht="12.75" customHeight="1">
      <c r="A27" s="660" t="n"/>
      <c r="CS27" s="6" t="n"/>
      <c r="CT27" s="6" t="n"/>
      <c r="CU27" s="6" t="n"/>
      <c r="CV27" s="143" t="n"/>
      <c r="CW27" s="143" t="n"/>
      <c r="CX27" s="143" t="n"/>
      <c r="CY27" s="143" t="n"/>
      <c r="CZ27" s="143" t="n"/>
      <c r="DA27" s="143" t="n"/>
      <c r="DB27" s="143" t="n"/>
      <c r="DC27" s="143" t="n"/>
      <c r="DD27" s="6" t="n"/>
      <c r="DE27" s="143" t="n"/>
      <c r="DF27" s="143" t="n"/>
      <c r="DG27" s="143" t="n"/>
      <c r="DH27" s="143" t="n"/>
      <c r="DI27" s="143" t="n"/>
      <c r="DJ27" s="6" t="n"/>
      <c r="DK27" s="6" t="n"/>
      <c r="DL27" s="6" t="n"/>
      <c r="DM27" s="6" t="n"/>
      <c r="DN27" s="6" t="n"/>
      <c r="DO27" s="6" t="n"/>
      <c r="DP27" s="6" t="n"/>
      <c r="DQ27" s="6" t="n"/>
      <c r="DR27" s="6" t="n"/>
      <c r="DS27" s="200" t="n"/>
      <c r="DT27" s="6" t="n"/>
      <c r="DU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S28" s="54"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S29" s="1044" t="n"/>
      <c r="CL29" s="6" t="n"/>
      <c r="CM29" s="6" t="n"/>
      <c r="CN29" s="6" t="n"/>
      <c r="CO29" s="143" t="n"/>
      <c r="CP29" s="143" t="n"/>
      <c r="CQ29" s="143" t="n"/>
      <c r="CR29" s="143" t="n"/>
      <c r="CS29" s="143" t="n"/>
      <c r="CT29" s="143" t="n"/>
      <c r="CU29" s="143" t="n"/>
      <c r="CV29" s="143" t="n"/>
      <c r="CW29" s="6" t="n"/>
      <c r="CX29" s="143" t="n"/>
      <c r="CY29" s="143" t="n"/>
      <c r="CZ29" s="143" t="n"/>
      <c r="DA29" s="143" t="n"/>
      <c r="DB29" s="143" t="n"/>
      <c r="DC29" s="6" t="n"/>
      <c r="DD29" s="6" t="n"/>
      <c r="DE29" s="6" t="n"/>
      <c r="DF29" s="6" t="n"/>
      <c r="DG29" s="6" t="n"/>
      <c r="DH29" s="6" t="n"/>
      <c r="DI29" s="6" t="n"/>
      <c r="DJ29" s="6" t="n"/>
      <c r="DK29" s="6" t="n"/>
      <c r="DL29" s="200" t="n"/>
      <c r="DM29" s="6" t="n"/>
      <c r="DN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L30" s="6" t="n"/>
      <c r="CM30" s="6" t="n"/>
      <c r="CN30" s="6" t="n"/>
      <c r="CO30" s="143" t="n"/>
      <c r="CP30" s="143" t="n"/>
      <c r="CQ30" s="143" t="n"/>
      <c r="CR30" s="143" t="n"/>
      <c r="CS30" s="143" t="n"/>
      <c r="CT30" s="143" t="n"/>
      <c r="CU30" s="143" t="n"/>
      <c r="CV30" s="143" t="n"/>
      <c r="CW30" s="6" t="n"/>
      <c r="CX30" s="143" t="n"/>
      <c r="CY30" s="143" t="n"/>
      <c r="CZ30" s="143" t="n"/>
      <c r="DA30" s="143" t="n"/>
      <c r="DB30" s="143" t="n"/>
      <c r="DC30" s="6" t="n"/>
      <c r="DD30" s="6" t="n"/>
      <c r="DE30" s="6" t="n"/>
      <c r="DF30" s="6" t="n"/>
      <c r="DG30" s="6" t="n"/>
      <c r="DH30" s="6" t="n"/>
      <c r="DI30" s="6" t="n"/>
      <c r="DJ30" s="6" t="n"/>
      <c r="DK30" s="6" t="n"/>
      <c r="DL30" s="200" t="n"/>
      <c r="DM30" s="6" t="n"/>
      <c r="DN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119"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Format="1" customHeight="1" s="990">
      <c r="A36" s="991" t="n"/>
      <c r="B36" s="990" t="n"/>
      <c r="C36" s="992" t="n"/>
      <c r="D36" s="761" t="n"/>
      <c r="E36" s="993" t="n"/>
      <c r="F36" s="993" t="n"/>
      <c r="G36" s="993" t="n"/>
      <c r="H36" s="993" t="n"/>
      <c r="I36" s="994" t="n"/>
      <c r="J36" s="765" t="n"/>
      <c r="K36" s="765" t="n"/>
      <c r="L36" s="994" t="n"/>
      <c r="M36" s="994" t="n"/>
      <c r="N36" s="994" t="n"/>
      <c r="O36" s="976" t="n"/>
      <c r="P36" s="767" t="n"/>
      <c r="Q36" s="767" t="n"/>
      <c r="R36" s="768"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19" t="n"/>
      <c r="T39" s="990" t="n"/>
      <c r="CL39" s="6" t="n"/>
      <c r="CM39" s="6" t="n"/>
      <c r="CN39" s="6" t="n"/>
      <c r="CO39" s="143" t="n"/>
      <c r="CP39" s="143" t="n"/>
      <c r="CQ39" s="143" t="n"/>
      <c r="CR39" s="143" t="n"/>
      <c r="CS39" s="143" t="n"/>
      <c r="CT39" s="143" t="n"/>
      <c r="CU39" s="143" t="n"/>
      <c r="CV39" s="143" t="n"/>
      <c r="CW39" s="6" t="n"/>
      <c r="CX39" s="143" t="n"/>
      <c r="CY39" s="143" t="n"/>
      <c r="CZ39" s="143" t="n"/>
      <c r="DA39" s="143" t="n"/>
      <c r="DB39" s="143" t="n"/>
      <c r="DC39" s="6" t="n"/>
      <c r="DD39" s="6" t="n"/>
      <c r="DE39" s="6" t="n"/>
      <c r="DF39" s="6" t="n"/>
      <c r="DG39" s="6" t="n"/>
      <c r="DH39" s="6" t="n"/>
      <c r="DI39" s="6" t="n"/>
      <c r="DJ39" s="6" t="n"/>
      <c r="DK39" s="6" t="n"/>
      <c r="DL39" s="200" t="n"/>
      <c r="DM39" s="6" t="n"/>
      <c r="DN39" s="6" t="n"/>
    </row>
    <row r="40" ht="12.6" customFormat="1" customHeight="1" s="1045">
      <c r="A40" s="1046" t="n"/>
      <c r="C40" s="990" t="n"/>
      <c r="D40" s="997" t="n"/>
      <c r="F40" s="1002" t="n"/>
      <c r="G40" s="997" t="n"/>
      <c r="H40" s="1001" t="inlineStr">
        <is>
          <t>Diff</t>
        </is>
      </c>
      <c r="I40" s="1002">
        <f>I37-I39</f>
        <v/>
      </c>
      <c r="J40" s="189" t="n"/>
      <c r="K40" s="984" t="n"/>
      <c r="M40" s="1002">
        <f>M37-M39</f>
        <v/>
      </c>
      <c r="N40" s="1002">
        <f>N37-N39</f>
        <v/>
      </c>
      <c r="O40" s="984" t="n"/>
      <c r="P40" s="182" t="n"/>
      <c r="Q40" s="990" t="n"/>
      <c r="R40" s="990" t="n"/>
      <c r="S40" s="1047" t="n"/>
      <c r="T40" s="1047" t="n"/>
      <c r="U40" s="1047" t="n"/>
      <c r="V40" s="1047" t="n"/>
      <c r="W40" s="1047" t="n"/>
      <c r="X40" s="1047" t="n"/>
      <c r="Y40" s="1048" t="n"/>
      <c r="Z40" s="1048" t="n"/>
      <c r="AA40" s="1048" t="n"/>
      <c r="AB40" s="1048" t="n"/>
      <c r="AC40" s="1048" t="n"/>
      <c r="AD40" s="1048" t="n"/>
    </row>
    <row r="41" ht="12.6" customFormat="1" customHeight="1" s="1045">
      <c r="A41" s="1046" t="n"/>
      <c r="C41" s="990" t="n"/>
      <c r="D41" s="997" t="n"/>
      <c r="E41" s="1001" t="n"/>
      <c r="F41" s="1002" t="n"/>
      <c r="G41" s="997" t="n"/>
      <c r="H41" s="990" t="n"/>
      <c r="I41" s="1002" t="n"/>
      <c r="J41" s="998" t="n"/>
      <c r="K41" s="984" t="n"/>
      <c r="L41" s="984" t="n"/>
      <c r="M41" s="1002" t="n"/>
      <c r="N41" s="984" t="n"/>
      <c r="O41" s="984" t="n"/>
      <c r="P41" s="984" t="n"/>
      <c r="Q41" s="1002" t="n"/>
      <c r="R41" s="998" t="n"/>
      <c r="S41" s="259" t="n"/>
      <c r="T41" s="984" t="n"/>
      <c r="U41" s="984" t="n"/>
      <c r="V41" s="984" t="n"/>
      <c r="W41" s="182" t="n"/>
      <c r="X41" s="182" t="n"/>
      <c r="Y41" s="999" t="n"/>
      <c r="Z41" s="990" t="n"/>
      <c r="AA41" s="990" t="n"/>
      <c r="AB41" s="1047" t="n"/>
      <c r="AC41" s="1047" t="n"/>
      <c r="AD41" s="1047" t="n"/>
      <c r="AE41" s="1047" t="n"/>
      <c r="AF41" s="1047" t="n"/>
      <c r="AG41" s="1047" t="n"/>
      <c r="AH41" s="1048" t="n"/>
      <c r="AI41" s="1048" t="n"/>
      <c r="AJ41" s="1048" t="n"/>
      <c r="AK41" s="1048" t="n"/>
      <c r="AL41" s="1048" t="n"/>
      <c r="AM41" s="1048"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c r="A46" s="660" t="n"/>
    </row>
    <row r="47">
      <c r="A47" s="660" t="n"/>
    </row>
    <row r="48">
      <c r="A48" s="541" t="n"/>
    </row>
    <row r="49" ht="16.5" customHeight="1">
      <c r="A49" s="541" t="n"/>
      <c r="B49" s="21" t="inlineStr">
        <is>
          <t>表2</t>
        </is>
      </c>
      <c r="C49" s="140" t="inlineStr">
        <is>
          <t>对于单项收入类别金额占整个投资收益比例达到一定比例查看J列，需要获取该单项收入的组成明细，需要获取支持性文件如合同等，在必要时进行收入测试。（表格请审计团队自行设计）</t>
        </is>
      </c>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ellIs" priority="1" operator="equal" dxfId="0">
      <formula>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codeName="Sheet9">
    <outlinePr summaryBelow="1" summaryRight="1"/>
    <pageSetUpPr/>
  </sheetPr>
  <dimension ref="A1:DX49"/>
  <sheetViews>
    <sheetView showGridLines="0" zoomScale="70" zoomScaleNormal="70" workbookViewId="0">
      <selection activeCell="P37" sqref="P37"/>
    </sheetView>
  </sheetViews>
  <sheetFormatPr baseColWidth="8" defaultColWidth="9.5703125" defaultRowHeight="12.75" outlineLevelRow="1"/>
  <cols>
    <col width="0.140625" customWidth="1" style="164" min="1" max="1"/>
    <col width="5" customWidth="1" style="19" min="2" max="2"/>
    <col width="19" customWidth="1" style="19" min="3" max="3"/>
    <col width="50.7109375" customWidth="1" style="19" min="4" max="4"/>
    <col width="19.5703125" customWidth="1" style="19" min="5" max="5"/>
    <col width="20.7109375" customWidth="1" style="19" min="6" max="6"/>
    <col width="18.5703125" customWidth="1" style="19" min="7" max="7"/>
    <col width="17.5703125" customWidth="1" style="19" min="8" max="8"/>
    <col width="19.7109375" customWidth="1" style="19" min="9" max="9"/>
    <col width="18.28515625" customWidth="1" style="19" min="10" max="10"/>
    <col outlineLevel="1" width="27.140625" customWidth="1" style="19" min="11" max="11"/>
    <col outlineLevel="1" width="13.42578125" customWidth="1" style="19" min="12" max="12"/>
    <col width="13.42578125" customWidth="1" style="19" min="13" max="13"/>
    <col width="14.140625" customWidth="1" style="19" min="14" max="14"/>
    <col width="14.42578125" customWidth="1" style="19" min="15" max="16"/>
    <col width="12.85546875" customWidth="1" style="19" min="17" max="18"/>
    <col width="22.42578125" customWidth="1" style="19" min="19" max="19"/>
    <col width="16.140625" customWidth="1" style="19" min="20" max="20"/>
    <col width="8.7109375" customWidth="1" style="19" min="21" max="25"/>
    <col width="13.28515625" customWidth="1" style="19" min="26" max="27"/>
    <col width="16"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3.35" customHeight="1">
      <c r="A1" s="540" t="inlineStr">
        <is>
          <t>099b5e22-59e3-4498-8c64-7188848172a8</t>
        </is>
      </c>
    </row>
    <row r="2" ht="14.8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22.5" customHeight="1">
      <c r="A5" s="540" t="n"/>
      <c r="C5" s="49" t="inlineStr">
        <is>
          <t>1.通过执行分析和调查两期的公允价值变动损益重大变动来确定其变动是否合理。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2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151" t="n"/>
      <c r="M7" s="151"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从管理层处取得本期公允价值变动损益账户的明细。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2.8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3.09999999999999" customHeight="1">
      <c r="A12" s="660" t="n"/>
      <c r="C12" s="515" t="n">
        <v>4</v>
      </c>
      <c r="D12" s="948" t="inlineStr">
        <is>
          <t>对于单项重大的公允价值变动损益，需要获取该单项损益的组成明细，需要获取支持性文件如合同等，在必要时进行损益测试。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101.2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row>
    <row r="26" ht="12.6" customHeight="1">
      <c r="A26" s="660" t="n"/>
      <c r="CT26" s="6" t="n"/>
      <c r="CU26" s="6" t="n"/>
      <c r="CV26" s="6" t="n"/>
      <c r="CW26" s="143" t="n"/>
      <c r="CX26" s="143" t="n"/>
      <c r="CY26" s="143" t="n"/>
      <c r="CZ26" s="143" t="n"/>
      <c r="DA26" s="143" t="n"/>
      <c r="DB26" s="143" t="n"/>
      <c r="DC26" s="143" t="n"/>
      <c r="DD26" s="143" t="n"/>
      <c r="DE26" s="6" t="n"/>
      <c r="DF26" s="143" t="n"/>
      <c r="DG26" s="143" t="n"/>
      <c r="DH26" s="143" t="n"/>
      <c r="DI26" s="143" t="n"/>
      <c r="DJ26" s="143" t="n"/>
      <c r="DK26" s="6" t="n"/>
      <c r="DL26" s="6" t="n"/>
      <c r="DM26" s="6" t="n"/>
      <c r="DN26" s="6" t="n"/>
      <c r="DO26" s="6" t="n"/>
      <c r="DP26" s="6" t="n"/>
      <c r="DQ26" s="6" t="n"/>
      <c r="DR26" s="6" t="n"/>
      <c r="DS26" s="6" t="n"/>
      <c r="DT26" s="200" t="n"/>
      <c r="DU26" s="6" t="n"/>
      <c r="DV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S28" s="1049"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L29" s="6" t="n"/>
      <c r="CM29" s="6" t="n"/>
      <c r="CN29" s="6" t="n"/>
      <c r="CO29" s="143" t="n"/>
      <c r="CP29" s="143" t="n"/>
      <c r="CQ29" s="143" t="n"/>
      <c r="CR29" s="143" t="n"/>
      <c r="CS29" s="143" t="n"/>
      <c r="CT29" s="143" t="n"/>
      <c r="CU29" s="143" t="n"/>
      <c r="CV29" s="143" t="n"/>
      <c r="CW29" s="6" t="n"/>
      <c r="CX29" s="143" t="n"/>
      <c r="CY29" s="143" t="n"/>
      <c r="CZ29" s="143" t="n"/>
      <c r="DA29" s="143" t="n"/>
      <c r="DB29" s="143" t="n"/>
      <c r="DC29" s="6" t="n"/>
      <c r="DD29" s="6" t="n"/>
      <c r="DE29" s="6" t="n"/>
      <c r="DF29" s="6" t="n"/>
      <c r="DG29" s="6" t="n"/>
      <c r="DH29" s="6" t="n"/>
      <c r="DI29" s="6" t="n"/>
      <c r="DJ29" s="6" t="n"/>
      <c r="DK29" s="6" t="n"/>
      <c r="DL29" s="200" t="n"/>
      <c r="DM29" s="6" t="n"/>
      <c r="DN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54"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L35" s="6" t="n"/>
      <c r="CM35" s="6" t="n"/>
      <c r="CN35" s="6" t="n"/>
      <c r="CO35" s="143" t="n"/>
      <c r="CP35" s="143" t="n"/>
      <c r="CQ35" s="143" t="n"/>
      <c r="CR35" s="143" t="n"/>
      <c r="CS35" s="143" t="n"/>
      <c r="CT35" s="143" t="n"/>
      <c r="CU35" s="143" t="n"/>
      <c r="CV35" s="143" t="n"/>
      <c r="CW35" s="6" t="n"/>
      <c r="CX35" s="143" t="n"/>
      <c r="CY35" s="143" t="n"/>
      <c r="CZ35" s="143" t="n"/>
      <c r="DA35" s="143" t="n"/>
      <c r="DB35" s="143" t="n"/>
      <c r="DC35" s="6" t="n"/>
      <c r="DD35" s="6" t="n"/>
      <c r="DE35" s="6" t="n"/>
      <c r="DF35" s="6" t="n"/>
      <c r="DG35" s="6" t="n"/>
      <c r="DH35" s="6" t="n"/>
      <c r="DI35" s="6" t="n"/>
      <c r="DJ35" s="6" t="n"/>
      <c r="DK35" s="6" t="n"/>
      <c r="DL35" s="200" t="n"/>
      <c r="DM35" s="6" t="n"/>
      <c r="DN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999" t="n"/>
      <c r="S39" s="990" t="n"/>
      <c r="T39" s="990"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75" customFormat="1" customHeight="1" s="1007">
      <c r="A40" s="1008" t="n"/>
      <c r="C40" s="931" t="n"/>
      <c r="H40" s="1050" t="n"/>
      <c r="I40" s="1007" t="n"/>
      <c r="K40" s="1050" t="n"/>
      <c r="L40" s="1050" t="n"/>
      <c r="M40" s="1050" t="n"/>
      <c r="O40" s="1051" t="n"/>
      <c r="P40" s="1051" t="n"/>
      <c r="S40" s="1051" t="n"/>
      <c r="T40" s="1051" t="n"/>
      <c r="W40" s="1051" t="n"/>
      <c r="Z40" s="1011" t="n"/>
      <c r="AA40" s="1011" t="n"/>
      <c r="AB40" s="1011" t="n"/>
      <c r="AC40" s="1011" t="n"/>
      <c r="AD40" s="1011" t="n"/>
      <c r="AE40" s="1011" t="n"/>
      <c r="AF40" s="995" t="n"/>
      <c r="AG40" s="995" t="n"/>
      <c r="AH40" s="995" t="n"/>
      <c r="AI40" s="995" t="n"/>
      <c r="AJ40" s="995" t="n"/>
      <c r="AK40" s="995" t="n"/>
    </row>
    <row r="41" ht="13.35" customFormat="1" customHeight="1" s="13" thickBot="1">
      <c r="A41" s="663" t="n"/>
      <c r="B41" s="88" t="inlineStr">
        <is>
          <t>Notes</t>
        </is>
      </c>
      <c r="C41" s="13" t="inlineStr">
        <is>
          <t>对变动不在范围内的项目进行调查，评估其合理性，并记录在“说明”中。对异常项目进行调查，并记录在“说明”中。</t>
        </is>
      </c>
      <c r="G41" s="137" t="n"/>
      <c r="H41" s="985" t="n"/>
      <c r="I41" s="137" t="n"/>
      <c r="J41" s="137" t="n"/>
      <c r="CT41" s="62" t="n"/>
      <c r="CU41" s="62" t="n"/>
      <c r="CV41" s="62" t="n"/>
      <c r="CW41" s="62" t="n"/>
      <c r="CX41" s="62" t="n"/>
      <c r="CY41" s="62" t="n"/>
      <c r="CZ41" s="62" t="n"/>
      <c r="DC41" s="62" t="n"/>
      <c r="DD41" s="62" t="n"/>
      <c r="DE41" s="62" t="n"/>
      <c r="DF41" s="62" t="n"/>
      <c r="DG41" s="62" t="n"/>
      <c r="DQ41" s="107" t="n"/>
    </row>
    <row r="42" ht="12.6" customFormat="1" customHeight="1" s="17">
      <c r="A42" s="664" t="n"/>
      <c r="C42" s="986" t="n"/>
      <c r="D42" s="937" t="n"/>
      <c r="E42" s="937" t="n"/>
      <c r="F42" s="937" t="n"/>
      <c r="G42" s="938"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c r="A43" s="665" t="n"/>
      <c r="C43" s="940" t="n"/>
      <c r="D43" s="941" t="n"/>
      <c r="E43" s="941" t="n"/>
      <c r="F43" s="941" t="n"/>
      <c r="G43" s="942"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thickBot="1">
      <c r="A44" s="665" t="n"/>
      <c r="C44" s="943" t="n"/>
      <c r="D44" s="944" t="n"/>
      <c r="E44" s="944" t="n"/>
      <c r="F44" s="944" t="n"/>
      <c r="G44" s="945"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3" t="n"/>
      <c r="DO44" s="13" t="n"/>
      <c r="DP44" s="13" t="n"/>
    </row>
    <row r="45">
      <c r="A45" s="660" t="n"/>
    </row>
    <row r="46">
      <c r="A46" s="660" t="n"/>
    </row>
    <row r="47">
      <c r="A47" s="540" t="n"/>
    </row>
    <row r="48">
      <c r="A48" s="540" t="n"/>
    </row>
    <row r="49" ht="16.5" customHeight="1">
      <c r="A49" s="540" t="n"/>
      <c r="B49" s="21" t="inlineStr">
        <is>
          <t xml:space="preserve">表2 </t>
        </is>
      </c>
      <c r="C49" s="140" t="inlineStr">
        <is>
          <t>对于单项收入类别金额占整个投资收益比例达到一定比例查看J列，需要获取该单项收入的组成明细，需要获取支持性文件如合同等，在必要时进行收入测试。（表格请审计团队自行设计）</t>
        </is>
      </c>
    </row>
  </sheetData>
  <mergeCells count="13">
    <mergeCell ref="O5:O6"/>
    <mergeCell ref="N5:N6"/>
    <mergeCell ref="D14:F14"/>
    <mergeCell ref="D11:F11"/>
    <mergeCell ref="D13:F13"/>
    <mergeCell ref="C20:G22"/>
    <mergeCell ref="L5:L6"/>
    <mergeCell ref="C42:G44"/>
    <mergeCell ref="D12:F12"/>
    <mergeCell ref="D9:F9"/>
    <mergeCell ref="M5:M6"/>
    <mergeCell ref="D8:F8"/>
    <mergeCell ref="D10:F10"/>
  </mergeCells>
  <conditionalFormatting sqref="C20:G22 C29:F29 C32:F34 C42:G44 D25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codeName="Sheet10">
    <outlinePr summaryBelow="1" summaryRight="1"/>
    <pageSetUpPr/>
  </sheetPr>
  <dimension ref="A1:DZ99"/>
  <sheetViews>
    <sheetView showGridLines="0" zoomScale="70" zoomScaleNormal="70" workbookViewId="0">
      <selection activeCell="G22" sqref="G22"/>
    </sheetView>
  </sheetViews>
  <sheetFormatPr baseColWidth="8" defaultColWidth="9.5703125" defaultRowHeight="12.6" customHeight="1" outlineLevelRow="1"/>
  <cols>
    <col width="0.140625" customWidth="1" style="164" min="1" max="1"/>
    <col width="4.85546875" customWidth="1" style="19" min="2" max="2"/>
    <col width="21.42578125" customWidth="1" style="19" min="3" max="3"/>
    <col width="37.28515625" customWidth="1" style="19" min="4" max="4"/>
    <col width="24.5703125" customWidth="1" style="19" min="5" max="6"/>
    <col width="19.7109375" customWidth="1" style="19" min="7" max="7"/>
    <col width="17.140625" customWidth="1" style="19" min="8" max="8"/>
    <col width="26.5703125" customWidth="1" style="19" min="9" max="9"/>
    <col width="29.7109375" customWidth="1" style="19" min="10" max="10"/>
    <col outlineLevel="1" width="25.28515625" customWidth="1" style="19" min="11" max="11"/>
    <col outlineLevel="1" width="17.42578125" customWidth="1" style="19" min="12" max="12"/>
    <col width="13.42578125" customWidth="1" style="19" min="13" max="14"/>
    <col width="14.85546875" customWidth="1" style="19" min="15" max="16"/>
    <col width="15" customWidth="1" style="19" min="17" max="18"/>
    <col width="22.85546875" customWidth="1" style="19" min="19" max="19"/>
    <col width="16.7109375" customWidth="1" style="19" min="20" max="20"/>
    <col width="10.28515625" customWidth="1" style="19" min="21" max="21"/>
    <col width="8.7109375" customWidth="1" style="19" min="22" max="25"/>
    <col width="14" customWidth="1" style="19" min="26" max="27"/>
    <col width="8.7109375" customWidth="1" style="19" min="28"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6" customHeight="1">
      <c r="A1" s="540" t="inlineStr">
        <is>
          <t>08d7c109-e271-44be-96d8-8a34f7c9239f</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8.6"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CS4" s="6" t="n"/>
      <c r="CT4" s="6" t="n"/>
      <c r="CU4" s="6" t="n"/>
      <c r="CV4" s="143" t="n"/>
      <c r="CW4" s="143" t="n"/>
      <c r="CX4" s="143" t="n"/>
      <c r="CY4" s="143" t="n"/>
      <c r="CZ4" s="143" t="n"/>
      <c r="DA4" s="143" t="n"/>
      <c r="DB4" s="143" t="n"/>
      <c r="DC4" s="143" t="n"/>
      <c r="DD4" s="6" t="n"/>
      <c r="DE4" s="143" t="n"/>
      <c r="DF4" s="143" t="n"/>
      <c r="DG4" s="143" t="n"/>
      <c r="DH4" s="143" t="n"/>
      <c r="DI4" s="143" t="n"/>
      <c r="DJ4" s="6" t="n"/>
      <c r="DK4" s="6" t="n"/>
      <c r="DL4" s="6" t="n"/>
      <c r="DM4" s="6" t="n"/>
      <c r="DN4" s="6" t="n"/>
      <c r="DO4" s="6" t="n"/>
      <c r="DP4" s="6" t="n"/>
      <c r="DQ4" s="6" t="n"/>
      <c r="DR4" s="6" t="n"/>
      <c r="DS4" s="200" t="n"/>
      <c r="DT4" s="6" t="n"/>
      <c r="DU4" s="6" t="n"/>
    </row>
    <row r="5" ht="19.5" customHeight="1">
      <c r="A5" s="540" t="n"/>
      <c r="C5" s="49" t="inlineStr">
        <is>
          <t>1.通过执行分析和调查两期的信用减值损失重大变动来确定其变动是否合理。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9.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99" t="inlineStr">
        <is>
          <t>执行的程序</t>
        </is>
      </c>
      <c r="E8" s="900" t="n"/>
      <c r="F8" s="901"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902" t="inlineStr">
        <is>
          <t>从管理层处取得本期信用减值损失账户的明细。</t>
        </is>
      </c>
      <c r="E9" s="900" t="n"/>
      <c r="F9" s="901"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9.1" customHeight="1">
      <c r="A10" s="660" t="n"/>
      <c r="C10" s="515" t="n">
        <v>2</v>
      </c>
      <c r="D10" s="902" t="inlineStr">
        <is>
          <t>对比当期金额和上期金额，调查变动大于范围或与预期不符的变动情况。并就异常事项检查记账凭证、合同等支持性证据，评估其发生的合理性。</t>
        </is>
      </c>
      <c r="E10" s="900" t="n"/>
      <c r="F10" s="901"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35" customHeight="1">
      <c r="A11" s="660" t="n"/>
      <c r="C11" s="515" t="n">
        <v>3</v>
      </c>
      <c r="D11" s="902" t="inlineStr">
        <is>
          <t>将明细账与管理层报表进行核对，并对差异大于SAD的项目进行调查。</t>
        </is>
      </c>
      <c r="E11" s="900" t="n"/>
      <c r="F11" s="901"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75.95" customHeight="1">
      <c r="A12" s="660" t="n"/>
      <c r="C12" s="515" t="n">
        <v>4</v>
      </c>
      <c r="D12" s="948" t="inlineStr">
        <is>
          <t>对于单项重大的损失，需要获取该单项损失的组成明细，需要获取支持性文件如合同等，在必要时进行费用测试。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902" t="inlineStr">
        <is>
          <t>调查任何异常交易，并基于综合风险评估和已确定的测试临界值测试交易。</t>
        </is>
      </c>
      <c r="E13" s="900" t="n"/>
      <c r="F13" s="901"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82.5" customHeight="1">
      <c r="A14" s="660" t="n"/>
      <c r="C14" s="515" t="n">
        <v>6</v>
      </c>
      <c r="D14" s="902" t="inlineStr">
        <is>
          <t>将费用科目中存在着勾稽关系的费用类型，同相应的其他科目金额进行核对X-ref</t>
        </is>
      </c>
      <c r="E14" s="900" t="n"/>
      <c r="F14" s="901"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S16" s="6" t="n"/>
      <c r="CT16" s="6" t="n"/>
      <c r="CU16" s="6" t="n"/>
      <c r="CV16" s="143" t="n"/>
      <c r="CW16" s="143" t="n"/>
      <c r="CX16" s="143" t="n"/>
      <c r="CY16" s="143" t="n"/>
      <c r="CZ16" s="143" t="n"/>
      <c r="DA16" s="143" t="n"/>
      <c r="DB16" s="143" t="n"/>
      <c r="DC16" s="143" t="n"/>
      <c r="DD16" s="6" t="n"/>
      <c r="DE16" s="143" t="n"/>
      <c r="DF16" s="143" t="n"/>
      <c r="DG16" s="143" t="n"/>
      <c r="DH16" s="143" t="n"/>
      <c r="DI16" s="143" t="n"/>
      <c r="DJ16" s="6" t="n"/>
      <c r="DK16" s="6" t="n"/>
      <c r="DL16" s="6" t="n"/>
      <c r="DM16" s="6" t="n"/>
      <c r="DN16" s="6" t="n"/>
      <c r="DO16" s="6" t="n"/>
      <c r="DP16" s="6" t="n"/>
      <c r="DQ16" s="6" t="n"/>
      <c r="DR16" s="6" t="n"/>
      <c r="DS16" s="200" t="n"/>
      <c r="DT16" s="6" t="n"/>
      <c r="DU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76.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4" t="n"/>
      <c r="S24" s="424" t="n"/>
      <c r="T24" s="425" t="n"/>
    </row>
    <row r="25" ht="12.6" customHeight="1">
      <c r="A25" s="660" t="n"/>
      <c r="CS25" s="6" t="n"/>
      <c r="CT25" s="6" t="n"/>
      <c r="CU25" s="6" t="n"/>
      <c r="CV25" s="143" t="n"/>
      <c r="CW25" s="143" t="n"/>
      <c r="CX25" s="143" t="n"/>
      <c r="CY25" s="143" t="n"/>
      <c r="CZ25" s="143" t="n"/>
      <c r="DA25" s="143" t="n"/>
      <c r="DB25" s="143" t="n"/>
      <c r="DC25" s="143" t="n"/>
      <c r="DD25" s="6" t="n"/>
      <c r="DE25" s="143" t="n"/>
      <c r="DF25" s="143" t="n"/>
      <c r="DG25" s="143" t="n"/>
      <c r="DH25" s="143" t="n"/>
      <c r="DI25" s="143" t="n"/>
      <c r="DJ25" s="6" t="n"/>
      <c r="DK25" s="6" t="n"/>
      <c r="DL25" s="6" t="n"/>
      <c r="DM25" s="6" t="n"/>
      <c r="DN25" s="6" t="n"/>
      <c r="DO25" s="6" t="n"/>
      <c r="DP25" s="6" t="n"/>
      <c r="DQ25" s="6" t="n"/>
      <c r="DR25" s="6" t="n"/>
      <c r="DS25" s="200" t="n"/>
      <c r="DT25" s="6" t="n"/>
      <c r="DU25" s="6" t="n"/>
    </row>
    <row r="26" ht="12.6" customHeight="1">
      <c r="A26" s="660" t="n"/>
      <c r="C26" s="164" t="n"/>
      <c r="D26" s="211" t="n"/>
      <c r="E26" s="192"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S26" s="54" t="n"/>
      <c r="CL26" s="6" t="n"/>
      <c r="CM26" s="6" t="n"/>
      <c r="CN26" s="6" t="n"/>
      <c r="CO26" s="143" t="n"/>
      <c r="CP26" s="143" t="n"/>
      <c r="CQ26" s="143" t="n"/>
      <c r="CR26" s="143" t="n"/>
      <c r="CS26" s="143" t="n"/>
      <c r="CT26" s="143" t="n"/>
      <c r="CU26" s="143" t="n"/>
      <c r="CV26" s="143" t="n"/>
      <c r="CW26" s="6" t="n"/>
      <c r="CX26" s="143" t="n"/>
      <c r="CY26" s="143" t="n"/>
      <c r="CZ26" s="143" t="n"/>
      <c r="DA26" s="143" t="n"/>
      <c r="DB26" s="143" t="n"/>
      <c r="DC26" s="6" t="n"/>
      <c r="DD26" s="6" t="n"/>
      <c r="DE26" s="6" t="n"/>
      <c r="DF26" s="6" t="n"/>
      <c r="DG26" s="6" t="n"/>
      <c r="DH26" s="6" t="n"/>
      <c r="DI26" s="6" t="n"/>
      <c r="DJ26" s="6" t="n"/>
      <c r="DK26" s="6" t="n"/>
      <c r="DL26" s="200" t="n"/>
      <c r="DM26" s="6" t="n"/>
      <c r="DN26" s="6" t="n"/>
    </row>
    <row r="27" ht="13.5" customHeight="1" thickBot="1">
      <c r="A27" s="660"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K27" s="6" t="n"/>
      <c r="CL27" s="6" t="n"/>
      <c r="CM27" s="6" t="n"/>
      <c r="CN27" s="143" t="n"/>
      <c r="CO27" s="143" t="n"/>
      <c r="CP27" s="143" t="n"/>
      <c r="CQ27" s="143" t="n"/>
      <c r="CR27" s="143" t="n"/>
      <c r="CS27" s="143" t="n"/>
      <c r="CT27" s="143" t="n"/>
      <c r="CU27" s="143" t="n"/>
      <c r="CV27" s="6" t="n"/>
      <c r="CW27" s="143" t="n"/>
      <c r="CX27" s="143" t="n"/>
      <c r="CY27" s="143" t="n"/>
      <c r="CZ27" s="143" t="n"/>
      <c r="DA27" s="143" t="n"/>
      <c r="DB27" s="6" t="n"/>
      <c r="DC27" s="6" t="n"/>
      <c r="DD27" s="6" t="n"/>
      <c r="DE27" s="6" t="n"/>
      <c r="DF27" s="6" t="n"/>
      <c r="DG27" s="6" t="n"/>
      <c r="DH27" s="6" t="n"/>
      <c r="DI27" s="6" t="n"/>
      <c r="DJ27" s="6" t="n"/>
      <c r="DK27" s="200" t="n"/>
      <c r="DL27" s="6" t="n"/>
      <c r="DM27" s="6" t="n"/>
    </row>
    <row r="28" ht="0.2" customHeight="1" thickBot="1">
      <c r="A28" s="660"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586" t="n"/>
      <c r="R28" s="591"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2.6" customHeight="1">
      <c r="A29" s="660" t="n"/>
      <c r="B29" s="21" t="inlineStr">
        <is>
          <t>表1</t>
        </is>
      </c>
      <c r="C29" s="592" t="n"/>
      <c r="D29" s="747" t="n"/>
      <c r="E29" s="593" t="n"/>
      <c r="F29" s="482" t="n"/>
      <c r="G29" s="594" t="n"/>
      <c r="H29" s="594" t="n"/>
      <c r="I29" s="594" t="inlineStr">
        <is>
          <t>本期数</t>
        </is>
      </c>
      <c r="J29" s="594" t="n"/>
      <c r="K29" s="594" t="n"/>
      <c r="L29" s="594" t="n"/>
      <c r="M29" s="596" t="n"/>
      <c r="N29" s="597">
        <f>DATE(YEAR(汇总!$D$5)-1,12,31)</f>
        <v/>
      </c>
      <c r="O29" s="483" t="inlineStr">
        <is>
          <t>本期审定数与上期审定数比较</t>
        </is>
      </c>
      <c r="P29" s="598" t="n"/>
      <c r="Q29" s="650" t="n"/>
      <c r="R29" s="602"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43.5" customHeight="1">
      <c r="A30" s="660" t="n"/>
      <c r="C30" s="108" t="inlineStr">
        <is>
          <t xml:space="preserve">账套名称/账套编码 </t>
        </is>
      </c>
      <c r="D30" s="109" t="inlineStr">
        <is>
          <t>科目编码</t>
        </is>
      </c>
      <c r="E30" s="168" t="inlineStr">
        <is>
          <t>科目名称</t>
        </is>
      </c>
      <c r="F30" s="366" t="inlineStr">
        <is>
          <t>本期账面数</t>
        </is>
      </c>
      <c r="G30" s="367" t="inlineStr">
        <is>
          <t>本期账表调整编号</t>
        </is>
      </c>
      <c r="H30" s="367" t="inlineStr">
        <is>
          <t>本期账表调整数</t>
        </is>
      </c>
      <c r="I30" s="169" t="inlineStr">
        <is>
          <t>本期账面未审数</t>
        </is>
      </c>
      <c r="J30" s="169" t="inlineStr">
        <is>
          <t>结构比</t>
        </is>
      </c>
      <c r="K30" s="367" t="inlineStr">
        <is>
          <t>本期审计调整编号</t>
        </is>
      </c>
      <c r="L30" s="170" t="inlineStr">
        <is>
          <t>本期审计调整金数</t>
        </is>
      </c>
      <c r="M30" s="171" t="inlineStr">
        <is>
          <t>本期账面审定数</t>
        </is>
      </c>
      <c r="N30" s="555" t="inlineStr">
        <is>
          <t>上期末审定数
(PY)</t>
        </is>
      </c>
      <c r="O30" s="172" t="inlineStr">
        <is>
          <t>变动额</t>
        </is>
      </c>
      <c r="P30" s="465" t="inlineStr">
        <is>
          <t>变动率%</t>
        </is>
      </c>
      <c r="Q30" s="464" t="inlineStr">
        <is>
          <t>For X-ref</t>
        </is>
      </c>
      <c r="R30" s="114" t="inlineStr">
        <is>
          <t>Notes</t>
        </is>
      </c>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C31" s="98" t="n"/>
      <c r="D31" s="99" t="n"/>
      <c r="E31" s="100" t="n"/>
      <c r="F31" s="961" t="n"/>
      <c r="G31" s="99" t="n"/>
      <c r="H31" s="962" t="n"/>
      <c r="I31" s="962">
        <f>F31+H31</f>
        <v/>
      </c>
      <c r="J31" s="103">
        <f>IF($I$35&lt;&gt;0,I31/$I$35,"")</f>
        <v/>
      </c>
      <c r="K31" s="99" t="n"/>
      <c r="L31" s="962" t="n"/>
      <c r="M31" s="963">
        <f>I31+L31</f>
        <v/>
      </c>
      <c r="N31" s="963" t="n"/>
      <c r="O31" s="961">
        <f>M31-N31</f>
        <v/>
      </c>
      <c r="P31" s="463">
        <f>IF(N31&lt;&gt;0,O31/N31,1)</f>
        <v/>
      </c>
      <c r="Q31" s="99" t="n"/>
      <c r="R31" s="105"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C32" s="98" t="n"/>
      <c r="D32" s="99" t="n"/>
      <c r="E32" s="100" t="n"/>
      <c r="F32" s="961" t="n"/>
      <c r="G32" s="99" t="n"/>
      <c r="H32" s="962" t="n"/>
      <c r="I32" s="962">
        <f>F32+H32</f>
        <v/>
      </c>
      <c r="J32" s="103">
        <f>IF($I$35&lt;&gt;0,I32/$I$35,"")</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thickBot="1">
      <c r="A33" s="660" t="inlineStr">
        <is>
          <t>/T1</t>
        </is>
      </c>
      <c r="C33" s="371" t="n"/>
      <c r="D33" s="372" t="n"/>
      <c r="E33" s="385" t="n"/>
      <c r="F33" s="966" t="n"/>
      <c r="G33" s="372" t="n"/>
      <c r="H33" s="967" t="n"/>
      <c r="I33" s="962">
        <f>F33+H33</f>
        <v/>
      </c>
      <c r="J33" s="103">
        <f>IF($I$35&lt;&gt;0,I33/$I$35,"")</f>
        <v/>
      </c>
      <c r="K33" s="378" t="n"/>
      <c r="L33" s="969" t="n"/>
      <c r="M33" s="963">
        <f>I33+L33</f>
        <v/>
      </c>
      <c r="N33" s="970" t="n"/>
      <c r="O33" s="961">
        <f>M33-N33</f>
        <v/>
      </c>
      <c r="P33" s="463">
        <f>IF(N33&lt;&gt;0,O33/N33,1)</f>
        <v/>
      </c>
      <c r="Q33" s="378" t="n"/>
      <c r="R33" s="373"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B34" s="990" t="n"/>
      <c r="C34" s="992" t="n"/>
      <c r="D34" s="761" t="n"/>
      <c r="E34" s="993" t="n"/>
      <c r="F34" s="993" t="n"/>
      <c r="G34" s="993" t="n"/>
      <c r="H34" s="993" t="n"/>
      <c r="I34" s="994" t="n"/>
      <c r="J34" s="765" t="n"/>
      <c r="K34" s="765" t="n"/>
      <c r="L34" s="994" t="n"/>
      <c r="M34" s="994" t="n"/>
      <c r="N34" s="994" t="n"/>
      <c r="O34" s="976" t="n"/>
      <c r="P34" s="767" t="n"/>
      <c r="Q34" s="767" t="n"/>
      <c r="R34" s="768"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Format="1" customHeight="1" s="990" thickBot="1">
      <c r="A35" s="991" t="n"/>
      <c r="B35" s="990" t="n"/>
      <c r="C35" s="990" t="n"/>
      <c r="D35" s="997" t="n"/>
      <c r="E35" s="212" t="inlineStr">
        <is>
          <t>合计</t>
        </is>
      </c>
      <c r="F35" s="1005">
        <f>SUM(F30:F34)</f>
        <v/>
      </c>
      <c r="G35" s="21" t="n"/>
      <c r="H35" s="1005">
        <f>SUM(H30:H34)</f>
        <v/>
      </c>
      <c r="I35" s="1005">
        <f>SUM(I30:I34)</f>
        <v/>
      </c>
      <c r="J35" s="389">
        <f>SUM(J30:J34)</f>
        <v/>
      </c>
      <c r="K35" s="21" t="n"/>
      <c r="L35" s="1005">
        <f>SUM(L30:L34)</f>
        <v/>
      </c>
      <c r="M35" s="1005">
        <f>SUM(M30:M34)</f>
        <v/>
      </c>
      <c r="N35" s="1005">
        <f>SUM(N30:N34)</f>
        <v/>
      </c>
      <c r="O35" s="1005">
        <f>M35-N35</f>
        <v/>
      </c>
      <c r="P35" s="389">
        <f>IF(N35&lt;&gt;0,O35/N35,1)</f>
        <v/>
      </c>
      <c r="Q35" s="177" t="n"/>
      <c r="R35" s="1006" t="n"/>
      <c r="S35" s="19" t="n"/>
      <c r="T35" s="990" t="n"/>
      <c r="CL35" s="6" t="n"/>
      <c r="CM35" s="6" t="n"/>
      <c r="CN35" s="6" t="n"/>
      <c r="CO35" s="143" t="n"/>
      <c r="CP35" s="143" t="n"/>
      <c r="CQ35" s="143" t="n"/>
      <c r="CR35" s="143" t="n"/>
      <c r="CS35" s="143" t="n"/>
      <c r="CT35" s="143" t="n"/>
      <c r="CU35" s="143" t="n"/>
      <c r="CV35" s="143" t="n"/>
      <c r="CW35" s="6" t="n"/>
      <c r="CX35" s="143" t="n"/>
      <c r="CY35" s="143" t="n"/>
      <c r="CZ35" s="143" t="n"/>
      <c r="DA35" s="143" t="n"/>
      <c r="DB35" s="143" t="n"/>
      <c r="DC35" s="6" t="n"/>
      <c r="DD35" s="6" t="n"/>
      <c r="DE35" s="6" t="n"/>
      <c r="DF35" s="6" t="n"/>
      <c r="DG35" s="6" t="n"/>
      <c r="DH35" s="6" t="n"/>
      <c r="DI35" s="6" t="n"/>
      <c r="DJ35" s="6" t="n"/>
      <c r="DK35" s="6" t="n"/>
      <c r="DL35" s="200" t="n"/>
      <c r="DM35" s="6" t="n"/>
      <c r="DN35" s="6" t="n"/>
    </row>
    <row r="36" ht="12.6" customFormat="1" customHeight="1" s="990" thickTop="1">
      <c r="A36" s="991" t="n"/>
      <c r="B36" s="990" t="n"/>
      <c r="C36" s="990" t="n"/>
      <c r="D36" s="997" t="n"/>
      <c r="E36" s="995" t="n"/>
      <c r="F36" s="131" t="inlineStr">
        <is>
          <t>Rx</t>
        </is>
      </c>
      <c r="G36" s="997" t="n"/>
      <c r="H36" s="131" t="inlineStr">
        <is>
          <t>Rx</t>
        </is>
      </c>
      <c r="I36" s="131" t="inlineStr">
        <is>
          <t>Rx</t>
        </is>
      </c>
      <c r="J36" s="131" t="inlineStr">
        <is>
          <t>Rx</t>
        </is>
      </c>
      <c r="K36" s="265" t="n"/>
      <c r="L36" s="131" t="inlineStr">
        <is>
          <t>Rx</t>
        </is>
      </c>
      <c r="M36" s="131" t="inlineStr">
        <is>
          <t>Rx</t>
        </is>
      </c>
      <c r="N36" s="131" t="inlineStr">
        <is>
          <t>Rx</t>
        </is>
      </c>
      <c r="O36" s="984" t="n"/>
      <c r="P36" s="266" t="n"/>
      <c r="Q36" s="266" t="n"/>
      <c r="R36" s="999" t="n"/>
      <c r="S36" s="19" t="n"/>
      <c r="T36" s="19" t="n"/>
      <c r="U36" s="990" t="n"/>
      <c r="CM36" s="6" t="n"/>
      <c r="CN36" s="6" t="n"/>
      <c r="CO36" s="6" t="n"/>
      <c r="CP36" s="143" t="n"/>
      <c r="CQ36" s="143" t="n"/>
      <c r="CR36" s="143" t="n"/>
      <c r="CS36" s="143" t="n"/>
      <c r="CT36" s="143" t="n"/>
      <c r="CU36" s="143" t="n"/>
      <c r="CV36" s="143" t="n"/>
      <c r="CW36" s="143" t="n"/>
      <c r="CX36" s="6" t="n"/>
      <c r="CY36" s="143" t="n"/>
      <c r="CZ36" s="143" t="n"/>
      <c r="DA36" s="143" t="n"/>
      <c r="DB36" s="143" t="n"/>
      <c r="DC36" s="143" t="n"/>
      <c r="DD36" s="6" t="n"/>
      <c r="DE36" s="6" t="n"/>
      <c r="DF36" s="6" t="n"/>
      <c r="DG36" s="6" t="n"/>
      <c r="DH36" s="6" t="n"/>
      <c r="DI36" s="6" t="n"/>
      <c r="DJ36" s="6" t="n"/>
      <c r="DK36" s="6" t="n"/>
      <c r="DL36" s="6" t="n"/>
      <c r="DM36" s="200" t="n"/>
      <c r="DN36" s="6" t="n"/>
      <c r="DO36" s="6" t="n"/>
    </row>
    <row r="37" ht="12.6" customFormat="1" customHeight="1" s="990">
      <c r="A37" s="991" t="n"/>
      <c r="B37" s="990" t="n"/>
      <c r="C37" s="990" t="n"/>
      <c r="D37" s="997" t="n"/>
      <c r="F37" s="984" t="n"/>
      <c r="G37" s="997" t="n"/>
      <c r="H37" s="1000" t="inlineStr">
        <is>
          <t>A3</t>
        </is>
      </c>
      <c r="I37" s="984" t="n"/>
      <c r="J37" s="186" t="n"/>
      <c r="K37" s="984" t="n"/>
      <c r="M37" s="984" t="n"/>
      <c r="N37" s="984" t="n"/>
      <c r="O37" s="984" t="n"/>
      <c r="P37" s="182" t="n"/>
      <c r="Q37" s="182" t="n"/>
      <c r="R37" s="999" t="n"/>
      <c r="S37" s="990"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1045" t="n"/>
      <c r="C38" s="990" t="n"/>
      <c r="D38" s="997" t="n"/>
      <c r="F38" s="1002" t="n"/>
      <c r="G38" s="997" t="n"/>
      <c r="H38" s="1001" t="inlineStr">
        <is>
          <t>Diff</t>
        </is>
      </c>
      <c r="I38" s="1002">
        <f>I35-I37</f>
        <v/>
      </c>
      <c r="J38" s="189" t="n"/>
      <c r="K38" s="984" t="n"/>
      <c r="M38" s="1002">
        <f>M35-M37</f>
        <v/>
      </c>
      <c r="N38" s="1002">
        <f>N35-N37</f>
        <v/>
      </c>
      <c r="O38" s="984" t="n"/>
      <c r="P38" s="182" t="n"/>
      <c r="Q38" s="182" t="n"/>
      <c r="R38" s="182" t="n"/>
      <c r="S38" s="182" t="n"/>
      <c r="T38" s="999" t="n"/>
      <c r="U38" s="990" t="n"/>
      <c r="V38" s="990" t="n"/>
      <c r="W38" s="990" t="n"/>
      <c r="CO38" s="6" t="n"/>
      <c r="CP38" s="6" t="n"/>
      <c r="CQ38" s="6" t="n"/>
      <c r="CR38" s="143" t="n"/>
      <c r="CS38" s="143" t="n"/>
      <c r="CT38" s="143" t="n"/>
      <c r="CU38" s="143" t="n"/>
      <c r="CV38" s="143" t="n"/>
      <c r="CW38" s="143" t="n"/>
      <c r="CX38" s="143" t="n"/>
      <c r="CY38" s="143" t="n"/>
      <c r="CZ38" s="6" t="n"/>
      <c r="DA38" s="143" t="n"/>
      <c r="DB38" s="143" t="n"/>
      <c r="DC38" s="143" t="n"/>
      <c r="DD38" s="143" t="n"/>
      <c r="DE38" s="143" t="n"/>
      <c r="DF38" s="6" t="n"/>
      <c r="DG38" s="6" t="n"/>
      <c r="DH38" s="6" t="n"/>
      <c r="DI38" s="6" t="n"/>
      <c r="DJ38" s="6" t="n"/>
      <c r="DK38" s="6" t="n"/>
      <c r="DL38" s="6" t="n"/>
      <c r="DM38" s="6" t="n"/>
      <c r="DN38" s="6" t="n"/>
      <c r="DO38" s="200" t="n"/>
      <c r="DP38" s="6" t="n"/>
      <c r="DQ38" s="6" t="n"/>
    </row>
    <row r="39" ht="12.6" customFormat="1" customHeight="1" s="990">
      <c r="A39" s="991" t="n"/>
      <c r="B39" s="990" t="n"/>
      <c r="C39" s="931" t="n"/>
      <c r="D39" s="997" t="n"/>
      <c r="E39" s="997" t="n"/>
      <c r="F39" s="137" t="n"/>
      <c r="G39" s="997" t="n"/>
      <c r="H39" s="997" t="n"/>
      <c r="I39" s="998" t="n"/>
      <c r="J39" s="265" t="n"/>
      <c r="K39" s="265" t="n"/>
      <c r="L39" s="984" t="n"/>
      <c r="M39" s="998" t="n"/>
      <c r="N39" s="998" t="n"/>
      <c r="O39" s="998" t="n"/>
      <c r="P39" s="998" t="n"/>
      <c r="Q39" s="998" t="n"/>
      <c r="R39" s="265" t="n"/>
      <c r="S39" s="265" t="n"/>
      <c r="T39" s="998" t="n"/>
      <c r="U39" s="998" t="n"/>
      <c r="V39" s="998" t="n"/>
      <c r="W39" s="998" t="n"/>
      <c r="X39" s="998" t="n"/>
      <c r="Y39" s="998" t="n"/>
      <c r="Z39" s="984" t="n"/>
      <c r="AA39" s="266" t="n"/>
      <c r="AB39" s="999" t="n"/>
      <c r="CX39" s="6" t="n"/>
      <c r="CY39" s="6" t="n"/>
      <c r="CZ39" s="6" t="n"/>
      <c r="DA39" s="143" t="n"/>
      <c r="DB39" s="143" t="n"/>
      <c r="DC39" s="143" t="n"/>
      <c r="DD39" s="143" t="n"/>
      <c r="DE39" s="143" t="n"/>
      <c r="DF39" s="143" t="n"/>
      <c r="DG39" s="143" t="n"/>
      <c r="DH39" s="143" t="n"/>
      <c r="DI39" s="6" t="n"/>
      <c r="DJ39" s="143" t="n"/>
      <c r="DK39" s="143" t="n"/>
      <c r="DL39" s="143" t="n"/>
      <c r="DM39" s="143" t="n"/>
      <c r="DN39" s="143" t="n"/>
      <c r="DO39" s="6" t="n"/>
      <c r="DP39" s="6" t="n"/>
      <c r="DQ39" s="6" t="n"/>
      <c r="DR39" s="6" t="n"/>
      <c r="DS39" s="6" t="n"/>
      <c r="DT39" s="6" t="n"/>
      <c r="DU39" s="6" t="n"/>
      <c r="DV39" s="6" t="n"/>
      <c r="DW39" s="6" t="n"/>
      <c r="DX39" s="200" t="n"/>
      <c r="DY39" s="6" t="n"/>
      <c r="DZ39" s="6" t="n"/>
    </row>
    <row r="40" ht="12.6" customFormat="1" customHeight="1" s="1007">
      <c r="A40" s="1052" t="n"/>
      <c r="G40" s="1050" t="n"/>
      <c r="J40" s="1050" t="n"/>
      <c r="K40" s="1050" t="n"/>
      <c r="L40" s="1050" t="n"/>
      <c r="N40" s="1051" t="n"/>
      <c r="O40" s="1051" t="n"/>
      <c r="P40" s="1051" t="n"/>
      <c r="Q40" s="1051" t="n"/>
      <c r="T40" s="1051" t="n"/>
      <c r="U40" s="1051" t="n"/>
      <c r="V40" s="1051" t="n"/>
      <c r="W40" s="1051" t="n"/>
      <c r="X40" s="1051" t="n"/>
      <c r="Y40" s="1051" t="n"/>
      <c r="AB40" s="1051" t="n"/>
      <c r="AE40" s="1011" t="n"/>
      <c r="AF40" s="1011" t="n"/>
      <c r="AG40" s="1011" t="n"/>
      <c r="AH40" s="1011" t="n"/>
      <c r="AI40" s="1011" t="n"/>
      <c r="AJ40" s="1011" t="n"/>
      <c r="AK40" s="995" t="n"/>
      <c r="AL40" s="995" t="n"/>
      <c r="AM40" s="995" t="n"/>
      <c r="AN40" s="995" t="n"/>
      <c r="AO40" s="995" t="n"/>
      <c r="AP40" s="995" t="n"/>
      <c r="CW40" s="6" t="n"/>
      <c r="CX40" s="6" t="n"/>
      <c r="CY40" s="6" t="n"/>
      <c r="CZ40" s="143" t="n"/>
      <c r="DA40" s="143" t="n"/>
      <c r="DB40" s="143" t="n"/>
      <c r="DC40" s="143" t="n"/>
      <c r="DD40" s="143" t="n"/>
      <c r="DE40" s="143" t="n"/>
      <c r="DF40" s="143" t="n"/>
      <c r="DG40" s="143" t="n"/>
      <c r="DH40" s="6" t="n"/>
      <c r="DI40" s="143" t="n"/>
      <c r="DJ40" s="143" t="n"/>
      <c r="DK40" s="143" t="n"/>
      <c r="DL40" s="143" t="n"/>
      <c r="DM40" s="143" t="n"/>
      <c r="DN40" s="6" t="n"/>
      <c r="DO40" s="6" t="n"/>
      <c r="DP40" s="6" t="n"/>
      <c r="DQ40" s="6" t="n"/>
      <c r="DR40" s="6" t="n"/>
      <c r="DS40" s="6" t="n"/>
      <c r="DT40" s="6" t="n"/>
      <c r="DU40" s="6" t="n"/>
      <c r="DV40" s="6" t="n"/>
      <c r="DW40" s="200" t="n"/>
      <c r="DX40" s="6" t="n"/>
      <c r="DY40" s="6" t="n"/>
    </row>
    <row r="41" ht="12.6" customHeight="1" thickBot="1">
      <c r="A41" s="660" t="n"/>
      <c r="C41" s="272" t="n"/>
      <c r="D41" s="6" t="n"/>
      <c r="E41" s="272" t="n"/>
      <c r="F41" s="272" t="n"/>
      <c r="G41" s="272" t="n"/>
      <c r="H41" s="272" t="n"/>
      <c r="I41" s="272" t="n"/>
      <c r="J41" s="272" t="n"/>
      <c r="K41" s="272" t="n"/>
      <c r="L41" s="272" t="n"/>
      <c r="CW41" s="143" t="n"/>
      <c r="CX41" s="143" t="n"/>
      <c r="CY41" s="143" t="n"/>
      <c r="CZ41" s="143" t="n"/>
      <c r="DA41" s="143" t="n"/>
      <c r="DB41" s="143" t="n"/>
      <c r="DC41" s="143" t="n"/>
      <c r="DD41" s="143" t="n"/>
      <c r="DE41" s="143" t="n"/>
      <c r="DF41" s="143" t="n"/>
      <c r="DG41" s="143" t="n"/>
      <c r="DH41" s="143" t="n"/>
      <c r="DI41" s="143" t="n"/>
      <c r="DJ41" s="143" t="n"/>
      <c r="DK41" s="143" t="n"/>
      <c r="DL41" s="143" t="n"/>
      <c r="DM41" s="143" t="n"/>
      <c r="DN41" s="143" t="n"/>
      <c r="DO41" s="143" t="n"/>
      <c r="DP41" s="143" t="n"/>
      <c r="DQ41" s="143" t="n"/>
      <c r="DR41" s="143" t="n"/>
      <c r="DS41" s="143" t="n"/>
      <c r="DT41" s="143" t="n"/>
      <c r="DU41" s="143" t="n"/>
      <c r="DV41" s="143" t="n"/>
      <c r="DW41" s="252" t="n"/>
      <c r="DX41" s="143" t="n"/>
      <c r="DY41" s="149" t="n"/>
    </row>
    <row r="42" ht="12.6" customHeight="1">
      <c r="A42" s="660" t="n"/>
      <c r="C42" s="778" t="inlineStr">
        <is>
          <t>与财务报表核对如下：</t>
        </is>
      </c>
      <c r="D42" s="779" t="n"/>
      <c r="E42" s="780" t="n"/>
      <c r="F42" s="1053" t="n"/>
      <c r="G42" s="272" t="n"/>
      <c r="H42" s="272" t="n"/>
      <c r="I42" s="272" t="n"/>
      <c r="J42" s="272" t="n"/>
      <c r="K42" s="272" t="n"/>
      <c r="L42" s="272" t="n"/>
      <c r="CW42" s="143" t="n"/>
      <c r="CX42" s="143" t="n"/>
      <c r="CY42" s="143" t="n"/>
      <c r="CZ42" s="143" t="n"/>
      <c r="DA42" s="143" t="n"/>
      <c r="DB42" s="143" t="n"/>
      <c r="DC42" s="143" t="n"/>
      <c r="DD42" s="143" t="n"/>
      <c r="DE42" s="143" t="n"/>
      <c r="DF42" s="143" t="n"/>
      <c r="DG42" s="143" t="n"/>
      <c r="DH42" s="143" t="n"/>
      <c r="DI42" s="143" t="n"/>
      <c r="DJ42" s="143" t="n"/>
      <c r="DK42" s="143" t="n"/>
      <c r="DL42" s="143" t="n"/>
      <c r="DM42" s="143" t="n"/>
      <c r="DN42" s="143" t="n"/>
      <c r="DO42" s="143" t="n"/>
      <c r="DP42" s="143" t="n"/>
      <c r="DQ42" s="143" t="n"/>
      <c r="DR42" s="143" t="n"/>
      <c r="DS42" s="143" t="n"/>
      <c r="DT42" s="143" t="n"/>
      <c r="DU42" s="143" t="n"/>
      <c r="DV42" s="143" t="n"/>
      <c r="DW42" s="252" t="n"/>
      <c r="DX42" s="143" t="n"/>
      <c r="DY42" s="149" t="n"/>
    </row>
    <row r="43" ht="12.6" customHeight="1">
      <c r="A43" s="660" t="n"/>
      <c r="C43" s="273" t="inlineStr">
        <is>
          <t>交叉索引</t>
        </is>
      </c>
      <c r="D43" s="274" t="n"/>
      <c r="E43" s="275" t="inlineStr">
        <is>
          <t>金额</t>
        </is>
      </c>
      <c r="F43" s="1054" t="n"/>
      <c r="G43" s="272" t="n"/>
      <c r="H43" s="272" t="n"/>
      <c r="I43" s="272" t="n"/>
      <c r="J43" s="272" t="n"/>
      <c r="K43" s="272" t="n"/>
      <c r="L43" s="272" t="n"/>
      <c r="CW43" s="143" t="n"/>
      <c r="CX43" s="143" t="n"/>
      <c r="CY43" s="143" t="n"/>
      <c r="CZ43" s="143" t="n"/>
      <c r="DA43" s="143" t="n"/>
      <c r="DB43" s="143" t="n"/>
      <c r="DC43" s="143" t="n"/>
      <c r="DD43" s="143" t="n"/>
      <c r="DE43" s="143" t="n"/>
      <c r="DF43" s="143" t="n"/>
      <c r="DG43" s="143" t="n"/>
      <c r="DH43" s="143" t="n"/>
      <c r="DI43" s="143" t="n"/>
      <c r="DJ43" s="143" t="n"/>
      <c r="DK43" s="143" t="n"/>
      <c r="DL43" s="143" t="n"/>
      <c r="DM43" s="143" t="n"/>
      <c r="DN43" s="143" t="n"/>
      <c r="DO43" s="143" t="n"/>
      <c r="DP43" s="143" t="n"/>
      <c r="DQ43" s="143" t="n"/>
      <c r="DR43" s="143" t="n"/>
      <c r="DS43" s="143" t="n"/>
      <c r="DT43" s="143" t="n"/>
      <c r="DU43" s="143" t="n"/>
      <c r="DV43" s="143" t="n"/>
      <c r="DW43" s="252" t="n"/>
      <c r="DX43" s="143" t="n"/>
      <c r="DY43" s="149" t="n"/>
    </row>
    <row r="44" ht="12.6" customHeight="1">
      <c r="A44" s="660" t="n"/>
      <c r="C44" s="1055" t="n"/>
      <c r="D44" s="1056" t="inlineStr">
        <is>
          <t>应收票据坏账损失</t>
        </is>
      </c>
      <c r="E44" s="934" t="n"/>
      <c r="F44" s="279" t="n"/>
      <c r="G44" s="272" t="n"/>
      <c r="H44" s="272" t="n"/>
      <c r="I44" s="272" t="n"/>
      <c r="J44" s="272" t="n"/>
      <c r="K44" s="272" t="n"/>
      <c r="L44" s="272" t="n"/>
      <c r="CW44" s="143" t="n"/>
      <c r="CX44" s="143" t="n"/>
      <c r="CY44" s="143"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143" t="n"/>
      <c r="DR44" s="143" t="n"/>
      <c r="DS44" s="143" t="n"/>
      <c r="DT44" s="143" t="n"/>
      <c r="DU44" s="143" t="n"/>
      <c r="DV44" s="143" t="n"/>
      <c r="DW44" s="252" t="n"/>
      <c r="DX44" s="143" t="n"/>
      <c r="DY44" s="149" t="n"/>
    </row>
    <row r="45" ht="12.6" customHeight="1">
      <c r="A45" s="660" t="n"/>
      <c r="C45" s="1057" t="n"/>
      <c r="D45" s="1007" t="inlineStr">
        <is>
          <t>应收账款坏账损失</t>
        </is>
      </c>
      <c r="E45" s="934" t="n"/>
      <c r="F45" s="279" t="n"/>
      <c r="G45" s="272" t="n"/>
      <c r="H45" s="272" t="n"/>
      <c r="I45" s="272" t="n"/>
      <c r="J45" s="272" t="n"/>
      <c r="K45" s="272" t="n"/>
      <c r="L45" s="272" t="n"/>
      <c r="CW45" s="143" t="n"/>
      <c r="CX45" s="143" t="n"/>
      <c r="CY45" s="143"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252" t="n"/>
      <c r="DX45" s="143" t="n"/>
      <c r="DY45" s="149" t="n"/>
    </row>
    <row r="46" ht="12.6" customHeight="1">
      <c r="A46" s="540" t="n"/>
      <c r="C46" s="1057" t="n"/>
      <c r="D46" s="1007" t="inlineStr">
        <is>
          <t>其他应收款坏账损失</t>
        </is>
      </c>
      <c r="E46" s="934" t="n"/>
      <c r="F46" s="279" t="n"/>
      <c r="G46" s="272" t="n"/>
      <c r="H46" s="272" t="n"/>
      <c r="I46" s="272" t="n"/>
      <c r="J46" s="272" t="n"/>
      <c r="K46" s="272" t="n"/>
      <c r="L46" s="272" t="n"/>
      <c r="CW46" s="143" t="n"/>
      <c r="CX46" s="143"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252" t="n"/>
      <c r="DX46" s="143" t="n"/>
      <c r="DY46" s="149" t="n"/>
    </row>
    <row r="47" ht="12.6" customHeight="1">
      <c r="A47" s="540" t="n"/>
      <c r="C47" s="1057" t="n"/>
      <c r="D47" s="1007" t="inlineStr">
        <is>
          <t>债权投资减值损失</t>
        </is>
      </c>
      <c r="E47" s="934" t="n"/>
      <c r="F47" s="279" t="n"/>
      <c r="G47" s="272" t="n"/>
      <c r="H47" s="272" t="n"/>
      <c r="I47" s="272" t="n"/>
      <c r="J47" s="272" t="n"/>
      <c r="K47" s="272" t="n"/>
      <c r="L47" s="272" t="n"/>
      <c r="CW47" s="143" t="n"/>
      <c r="CX47" s="143"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252" t="n"/>
      <c r="DX47" s="143" t="n"/>
      <c r="DY47" s="149" t="n"/>
    </row>
    <row r="48" ht="12.6" customHeight="1">
      <c r="A48" s="540" t="n"/>
      <c r="C48" s="1057" t="n"/>
      <c r="D48" s="1007" t="inlineStr">
        <is>
          <t>其他债权投资减值损失</t>
        </is>
      </c>
      <c r="E48" s="934" t="n"/>
      <c r="F48" s="279" t="n"/>
      <c r="G48" s="272" t="n"/>
      <c r="H48" s="272" t="n"/>
      <c r="I48" s="272" t="n"/>
      <c r="J48" s="272" t="n"/>
      <c r="K48" s="272" t="n"/>
      <c r="L48" s="272" t="n"/>
      <c r="CW48" s="143" t="n"/>
      <c r="CX48" s="143"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252" t="n"/>
      <c r="DX48" s="143" t="n"/>
      <c r="DY48" s="149" t="n"/>
    </row>
    <row r="49" ht="12.6" customHeight="1">
      <c r="A49" s="540" t="n"/>
      <c r="C49" s="1057" t="n"/>
      <c r="D49" s="1007" t="inlineStr">
        <is>
          <t>财务担保合同减值损失</t>
        </is>
      </c>
      <c r="E49" s="934" t="n"/>
      <c r="F49" s="279" t="n"/>
      <c r="G49" s="272" t="n"/>
      <c r="H49" s="272" t="n"/>
      <c r="I49" s="272" t="n"/>
      <c r="J49" s="272" t="n"/>
      <c r="K49" s="272" t="n"/>
      <c r="L49" s="272" t="n"/>
      <c r="CW49" s="143" t="n"/>
      <c r="CX49" s="143"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252" t="n"/>
      <c r="DX49" s="143" t="n"/>
      <c r="DY49" s="149" t="n"/>
    </row>
    <row r="50" ht="12.6" customHeight="1">
      <c r="A50" s="540" t="n"/>
      <c r="C50" s="1057" t="n"/>
      <c r="D50" s="272" t="inlineStr">
        <is>
          <t>长期应收款坏账损失</t>
        </is>
      </c>
      <c r="E50" s="934" t="n"/>
      <c r="F50" s="279" t="n"/>
      <c r="G50" s="272" t="n"/>
      <c r="H50" s="272" t="n"/>
      <c r="I50" s="272" t="n"/>
      <c r="J50" s="272" t="n"/>
      <c r="K50" s="272" t="n"/>
      <c r="L50" s="272" t="n"/>
      <c r="CW50" s="143" t="n"/>
      <c r="CX50" s="143"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252" t="n"/>
      <c r="DX50" s="143" t="n"/>
      <c r="DY50" s="149" t="n"/>
    </row>
    <row r="51" ht="12.6" customHeight="1">
      <c r="A51" s="540" t="n"/>
      <c r="C51" s="1057" t="n"/>
      <c r="D51" s="1007" t="inlineStr">
        <is>
          <t>其他</t>
        </is>
      </c>
      <c r="E51" s="934" t="n"/>
      <c r="F51" s="279" t="n"/>
      <c r="G51" s="272" t="n"/>
      <c r="H51" s="272" t="n"/>
      <c r="I51" s="272" t="n"/>
      <c r="J51" s="272" t="n"/>
      <c r="K51" s="272" t="n"/>
      <c r="L51" s="272" t="n"/>
      <c r="CW51" s="143" t="n"/>
      <c r="CX51" s="143"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252" t="n"/>
      <c r="DX51" s="143" t="n"/>
      <c r="DY51" s="149" t="n"/>
    </row>
    <row r="52" ht="12.6" customHeight="1" thickBot="1">
      <c r="A52" s="540" t="n"/>
      <c r="C52" s="1057" t="n"/>
      <c r="D52" s="1007" t="inlineStr">
        <is>
          <t>差异</t>
        </is>
      </c>
      <c r="E52" s="1058">
        <f>SUM(E44:E51)-I35</f>
        <v/>
      </c>
      <c r="F52" s="279" t="n"/>
      <c r="G52" s="272" t="n"/>
      <c r="H52" s="272" t="n"/>
      <c r="I52" s="272" t="n"/>
      <c r="J52" s="272" t="n"/>
      <c r="K52" s="272" t="n"/>
      <c r="L52" s="272" t="n"/>
      <c r="CW52" s="143" t="n"/>
      <c r="CX52" s="143"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252" t="n"/>
      <c r="DX52" s="143" t="n"/>
      <c r="DY52" s="149" t="n"/>
    </row>
    <row r="53" ht="12.6" customHeight="1" thickTop="1">
      <c r="A53" s="540" t="n"/>
      <c r="C53" s="1057" t="n"/>
      <c r="D53" s="282" t="n"/>
      <c r="E53" s="275" t="n"/>
      <c r="F53" s="279" t="n"/>
      <c r="G53" s="272" t="n"/>
      <c r="H53" s="272" t="n"/>
      <c r="I53" s="272" t="n"/>
      <c r="J53" s="272" t="n"/>
      <c r="K53" s="272" t="n"/>
      <c r="L53" s="272"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2.6" customHeight="1" thickBot="1">
      <c r="A54" s="660" t="n"/>
      <c r="C54" s="283" t="n"/>
      <c r="D54" s="284" t="n"/>
      <c r="E54" s="284" t="n"/>
      <c r="F54" s="285" t="n"/>
      <c r="G54" s="272" t="n"/>
      <c r="H54" s="272" t="n"/>
      <c r="I54" s="272" t="n"/>
      <c r="J54" s="272" t="n"/>
      <c r="K54" s="272" t="n"/>
      <c r="L54" s="272"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2.6" customHeight="1">
      <c r="A55" s="660" t="n"/>
      <c r="C55" s="272" t="n"/>
      <c r="D55" s="6" t="n"/>
      <c r="E55" s="272" t="n"/>
      <c r="F55" s="272" t="n"/>
      <c r="G55" s="272" t="n"/>
      <c r="H55" s="272" t="n"/>
      <c r="I55" s="272" t="n"/>
      <c r="J55" s="272" t="n"/>
      <c r="K55" s="272" t="n"/>
      <c r="L55" s="272" t="n"/>
      <c r="CW55" s="143" t="n"/>
      <c r="CX55" s="143"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252" t="n"/>
      <c r="DX55" s="143" t="n"/>
      <c r="DY55" s="149" t="n"/>
    </row>
    <row r="56" ht="13.35" customFormat="1" customHeight="1" s="13" thickBot="1">
      <c r="A56" s="663" t="n"/>
      <c r="B56" s="88" t="inlineStr">
        <is>
          <t>Notes</t>
        </is>
      </c>
      <c r="C56" s="13" t="inlineStr">
        <is>
          <t>对变动不在范围内的项目进行调查，评估其合理性，并记录在“说明”中。对异常项目进行调查，并记录在“说明”中。</t>
        </is>
      </c>
      <c r="G56" s="137" t="n"/>
      <c r="H56" s="985" t="n"/>
      <c r="I56" s="137" t="n"/>
      <c r="J56" s="137" t="n"/>
      <c r="CV56" s="62" t="n"/>
      <c r="CW56" s="62" t="n"/>
      <c r="CX56" s="62" t="n"/>
      <c r="CY56" s="62" t="n"/>
      <c r="CZ56" s="62" t="n"/>
      <c r="DA56" s="62" t="n"/>
      <c r="DB56" s="62" t="n"/>
      <c r="DE56" s="62" t="n"/>
      <c r="DF56" s="62" t="n"/>
      <c r="DG56" s="62" t="n"/>
      <c r="DH56" s="62" t="n"/>
      <c r="DI56" s="62" t="n"/>
      <c r="DS56" s="107" t="n"/>
    </row>
    <row r="57" ht="12.6" customFormat="1" customHeight="1" s="17">
      <c r="A57" s="664" t="n"/>
      <c r="C57" s="986" t="n"/>
      <c r="D57" s="937" t="n"/>
      <c r="E57" s="937" t="n"/>
      <c r="F57" s="937" t="n"/>
      <c r="G57" s="938" t="n"/>
      <c r="H57" s="139" t="n"/>
      <c r="I57" s="139" t="n"/>
      <c r="J57" s="139" t="n"/>
      <c r="CN57" s="13" t="n"/>
      <c r="CO57" s="13" t="n"/>
      <c r="CP57" s="13" t="n"/>
      <c r="CQ57" s="62" t="n"/>
      <c r="CR57" s="62" t="n"/>
      <c r="CS57" s="62" t="n"/>
      <c r="CT57" s="62" t="n"/>
      <c r="CU57" s="62" t="n"/>
      <c r="CV57" s="62" t="n"/>
      <c r="CW57" s="62" t="n"/>
      <c r="CX57" s="13" t="n"/>
      <c r="CY57" s="13" t="n"/>
      <c r="CZ57" s="62" t="n"/>
      <c r="DA57" s="62" t="n"/>
      <c r="DB57" s="62" t="n"/>
      <c r="DC57" s="62" t="n"/>
      <c r="DD57" s="62" t="n"/>
      <c r="DE57" s="13" t="n"/>
      <c r="DF57" s="13" t="n"/>
      <c r="DG57" s="13" t="n"/>
      <c r="DH57" s="13" t="n"/>
      <c r="DI57" s="13" t="n"/>
      <c r="DJ57" s="13" t="n"/>
      <c r="DK57" s="13" t="n"/>
      <c r="DL57" s="13" t="n"/>
      <c r="DM57" s="13" t="n"/>
      <c r="DN57" s="107" t="n"/>
      <c r="DO57" s="13" t="n"/>
      <c r="DP57" s="13" t="n"/>
    </row>
    <row r="58" ht="12.6" customFormat="1" customHeight="1" s="17">
      <c r="A58" s="665" t="n"/>
      <c r="C58" s="940" t="n"/>
      <c r="D58" s="941" t="n"/>
      <c r="E58" s="941" t="n"/>
      <c r="F58" s="941" t="n"/>
      <c r="G58" s="942" t="n"/>
      <c r="H58" s="139" t="n"/>
      <c r="I58" s="139" t="n"/>
      <c r="J58" s="139" t="n"/>
      <c r="CN58" s="13" t="n"/>
      <c r="CO58" s="13" t="n"/>
      <c r="CP58" s="13" t="n"/>
      <c r="CQ58" s="62" t="n"/>
      <c r="CR58" s="62" t="n"/>
      <c r="CS58" s="62" t="n"/>
      <c r="CT58" s="62" t="n"/>
      <c r="CU58" s="62" t="n"/>
      <c r="CV58" s="62" t="n"/>
      <c r="CW58" s="62" t="n"/>
      <c r="CX58" s="13" t="n"/>
      <c r="CY58" s="13" t="n"/>
      <c r="CZ58" s="62" t="n"/>
      <c r="DA58" s="62" t="n"/>
      <c r="DB58" s="62" t="n"/>
      <c r="DC58" s="62" t="n"/>
      <c r="DD58" s="62" t="n"/>
      <c r="DE58" s="13" t="n"/>
      <c r="DF58" s="13" t="n"/>
      <c r="DG58" s="13" t="n"/>
      <c r="DH58" s="13" t="n"/>
      <c r="DI58" s="13" t="n"/>
      <c r="DJ58" s="13" t="n"/>
      <c r="DK58" s="13" t="n"/>
      <c r="DL58" s="13" t="n"/>
      <c r="DM58" s="13" t="n"/>
      <c r="DN58" s="107" t="n"/>
      <c r="DO58" s="13" t="n"/>
      <c r="DP58" s="13" t="n"/>
    </row>
    <row r="59" ht="12.6" customFormat="1" customHeight="1" s="17" thickBot="1">
      <c r="A59" s="665" t="n"/>
      <c r="C59" s="943" t="n"/>
      <c r="D59" s="944" t="n"/>
      <c r="E59" s="944" t="n"/>
      <c r="F59" s="944" t="n"/>
      <c r="G59" s="945" t="n"/>
      <c r="H59" s="139" t="n"/>
      <c r="I59" s="139" t="n"/>
      <c r="J59" s="139" t="n"/>
      <c r="CN59" s="13" t="n"/>
      <c r="CO59" s="13" t="n"/>
      <c r="CP59" s="13" t="n"/>
      <c r="CQ59" s="62" t="n"/>
      <c r="CR59" s="62" t="n"/>
      <c r="CS59" s="62" t="n"/>
      <c r="CT59" s="62" t="n"/>
      <c r="CU59" s="62" t="n"/>
      <c r="CV59" s="62" t="n"/>
      <c r="CW59" s="62" t="n"/>
      <c r="CX59" s="13" t="n"/>
      <c r="CY59" s="13" t="n"/>
      <c r="CZ59" s="62" t="n"/>
      <c r="DA59" s="62" t="n"/>
      <c r="DB59" s="62" t="n"/>
      <c r="DC59" s="62" t="n"/>
      <c r="DD59" s="62" t="n"/>
      <c r="DE59" s="13" t="n"/>
      <c r="DF59" s="13" t="n"/>
      <c r="DG59" s="13" t="n"/>
      <c r="DH59" s="13" t="n"/>
      <c r="DI59" s="13" t="n"/>
      <c r="DJ59" s="13" t="n"/>
      <c r="DK59" s="13" t="n"/>
      <c r="DL59" s="13" t="n"/>
      <c r="DM59" s="13" t="n"/>
      <c r="DN59" s="13" t="n"/>
      <c r="DO59" s="13" t="n"/>
      <c r="DP59" s="13" t="n"/>
    </row>
    <row r="60" ht="12.6" customHeight="1">
      <c r="A60" s="66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6" customHeight="1">
      <c r="A61" s="66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6" customHeight="1">
      <c r="A62" s="540" t="n"/>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6" customHeight="1">
      <c r="A63" s="540" t="n"/>
      <c r="B63" s="21" t="inlineStr">
        <is>
          <t xml:space="preserve">表2 </t>
        </is>
      </c>
      <c r="C63" s="140" t="inlineStr">
        <is>
          <t>对于单项费用类别金额占整个信用减值损失比例达到一定比例查看J列，需要获取该单项费用的组成明细，需要获取支持性文件如合同等，在必要时进行费用测试。（表格请审计团队自行设计）</t>
        </is>
      </c>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6"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6"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6"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6"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6"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6"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6"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6"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6"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6"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6"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6"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6"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6"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6"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6"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6"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6"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6"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6"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6"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6"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6"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6"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6"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6"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6"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6"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6"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6"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6"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6"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6"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6"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6"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6"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sheetData>
  <mergeCells count="13">
    <mergeCell ref="O5:O6"/>
    <mergeCell ref="N5:N6"/>
    <mergeCell ref="D14:F14"/>
    <mergeCell ref="D11:F11"/>
    <mergeCell ref="D13:F13"/>
    <mergeCell ref="C19:G21"/>
    <mergeCell ref="D10:F10"/>
    <mergeCell ref="L5:L6"/>
    <mergeCell ref="D12:F12"/>
    <mergeCell ref="D9:F9"/>
    <mergeCell ref="M5:M6"/>
    <mergeCell ref="D8:F8"/>
    <mergeCell ref="C57:G59"/>
  </mergeCells>
  <conditionalFormatting sqref="C19:G21 C28:F28 C31:F33 C44:E51 C57:G59 D24 G9:I14 I37 M37:N37 N28 N31:N33">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1.xml><?xml version="1.0" encoding="utf-8"?>
<worksheet xmlns="http://schemas.openxmlformats.org/spreadsheetml/2006/main">
  <sheetPr codeName="Sheet11">
    <outlinePr summaryBelow="1" summaryRight="1"/>
    <pageSetUpPr/>
  </sheetPr>
  <dimension ref="A1:EA113"/>
  <sheetViews>
    <sheetView showGridLines="0" zoomScale="70" zoomScaleNormal="70" workbookViewId="0">
      <selection activeCell="S20" sqref="S20"/>
    </sheetView>
  </sheetViews>
  <sheetFormatPr baseColWidth="8" defaultColWidth="9.5703125" defaultRowHeight="12.75" outlineLevelRow="1"/>
  <cols>
    <col width="0.140625" customWidth="1" style="164" min="1" max="1"/>
    <col width="5" customWidth="1" style="19" min="2" max="2"/>
    <col width="22" customWidth="1" style="19" min="3" max="3"/>
    <col width="37.42578125" customWidth="1" style="19" min="4" max="4"/>
    <col width="19" customWidth="1" style="19" min="5" max="5"/>
    <col width="29" customWidth="1" style="19" min="6" max="6"/>
    <col width="17.42578125" customWidth="1" style="19" min="7" max="7"/>
    <col width="18.28515625" customWidth="1" style="19" min="8" max="8"/>
    <col width="21.28515625" customWidth="1" style="19" min="9" max="9"/>
    <col width="26.7109375" customWidth="1" style="19" min="10" max="10"/>
    <col outlineLevel="1" width="22.7109375" customWidth="1" style="19" min="11" max="11"/>
    <col outlineLevel="1" width="12" customWidth="1" style="19" min="12" max="12"/>
    <col width="11.42578125" customWidth="1" style="19" min="13" max="13"/>
    <col width="16.7109375" customWidth="1" style="19" min="14" max="14"/>
    <col width="13.85546875" customWidth="1" style="19" min="15" max="16"/>
    <col width="11.7109375" customWidth="1" style="19" min="17" max="18"/>
    <col width="23.140625" customWidth="1" style="19" min="19" max="19"/>
    <col width="10.7109375" customWidth="1" style="19" min="20" max="20"/>
    <col width="8.7109375" customWidth="1" style="19" min="21" max="25"/>
    <col width="12.140625" customWidth="1" style="19" min="26" max="27"/>
    <col width="8.7109375" customWidth="1" style="19" min="28"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 customHeight="1">
      <c r="A1" s="540" t="inlineStr">
        <is>
          <t>40930b5d-0c3d-401d-8bf3-e5a34e5d8fd5</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9.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6.5" customHeight="1">
      <c r="A5" s="540" t="n"/>
      <c r="C5" s="49" t="inlineStr">
        <is>
          <t>1.通过执行分析和调查两期的资产减值损失重大变动来确定其变动是否合理。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6.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从管理层处取得本期资产减值损失账户的明细。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5.5" customHeight="1">
      <c r="A12" s="660" t="n"/>
      <c r="C12" s="515" t="n">
        <v>4</v>
      </c>
      <c r="D12" s="948" t="inlineStr">
        <is>
          <t>对于单项重大的减值损失，需要获取该单项费用的组成明细，需要获取支持性文件如合同等，在必要时进行费用测试。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60.7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S17" s="6" t="n"/>
      <c r="CT17" s="6" t="n"/>
      <c r="CU17" s="6" t="n"/>
      <c r="CV17" s="143" t="n"/>
      <c r="CW17" s="143" t="n"/>
      <c r="CX17" s="143" t="n"/>
      <c r="CY17" s="143" t="n"/>
      <c r="CZ17" s="143" t="n"/>
      <c r="DA17" s="143" t="n"/>
      <c r="DB17" s="143" t="n"/>
      <c r="DC17" s="143" t="n"/>
      <c r="DD17" s="6" t="n"/>
      <c r="DE17" s="143" t="n"/>
      <c r="DF17" s="143" t="n"/>
      <c r="DG17" s="143" t="n"/>
      <c r="DH17" s="143" t="n"/>
      <c r="DI17" s="143" t="n"/>
      <c r="DJ17" s="6" t="n"/>
      <c r="DK17" s="6" t="n"/>
      <c r="DL17" s="6" t="n"/>
      <c r="DM17" s="6" t="n"/>
      <c r="DN17" s="6" t="n"/>
      <c r="DO17" s="6" t="n"/>
      <c r="DP17" s="6" t="n"/>
      <c r="DQ17" s="6" t="n"/>
      <c r="DR17" s="6" t="n"/>
      <c r="DS17" s="200" t="n"/>
      <c r="DT17" s="6" t="n"/>
      <c r="DU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89.2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2.6" customHeight="1">
      <c r="A25" s="660" t="n"/>
      <c r="CQ25" s="6" t="n"/>
      <c r="CR25" s="6" t="n"/>
      <c r="CS25" s="6" t="n"/>
      <c r="CT25" s="143" t="n"/>
      <c r="CU25" s="143" t="n"/>
      <c r="CV25" s="143" t="n"/>
      <c r="CW25" s="143" t="n"/>
      <c r="CX25" s="143" t="n"/>
      <c r="CY25" s="143" t="n"/>
      <c r="CZ25" s="143" t="n"/>
      <c r="DA25" s="143" t="n"/>
      <c r="DB25" s="6" t="n"/>
      <c r="DC25" s="143" t="n"/>
      <c r="DD25" s="143" t="n"/>
      <c r="DE25" s="143" t="n"/>
      <c r="DF25" s="143" t="n"/>
      <c r="DG25" s="143" t="n"/>
      <c r="DH25" s="6" t="n"/>
      <c r="DI25" s="6" t="n"/>
      <c r="DJ25" s="6" t="n"/>
      <c r="DK25" s="6" t="n"/>
      <c r="DL25" s="6" t="n"/>
      <c r="DM25" s="6" t="n"/>
      <c r="DN25" s="6" t="n"/>
      <c r="DO25" s="6" t="n"/>
      <c r="DP25" s="6" t="n"/>
      <c r="DQ25" s="200" t="n"/>
      <c r="DR25" s="6" t="n"/>
      <c r="DS25" s="6" t="n"/>
    </row>
    <row r="26" ht="12.75"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J30" s="6" t="n"/>
      <c r="CK30" s="6" t="n"/>
      <c r="CL30" s="6" t="n"/>
      <c r="CM30" s="143" t="n"/>
      <c r="CN30" s="143" t="n"/>
      <c r="CO30" s="143" t="n"/>
      <c r="CP30" s="143" t="n"/>
      <c r="CQ30" s="143" t="n"/>
      <c r="CR30" s="143" t="n"/>
      <c r="CS30" s="143" t="n"/>
      <c r="CT30" s="143" t="n"/>
      <c r="CU30" s="6" t="n"/>
      <c r="CV30" s="143" t="n"/>
      <c r="CW30" s="143" t="n"/>
      <c r="CX30" s="143" t="n"/>
      <c r="CY30" s="143" t="n"/>
      <c r="CZ30" s="143" t="n"/>
      <c r="DA30" s="6" t="n"/>
      <c r="DB30" s="6" t="n"/>
      <c r="DC30" s="6" t="n"/>
      <c r="DD30" s="6" t="n"/>
      <c r="DE30" s="6" t="n"/>
      <c r="DF30" s="6" t="n"/>
      <c r="DG30" s="6" t="n"/>
      <c r="DH30" s="6" t="n"/>
      <c r="DI30" s="6" t="n"/>
      <c r="DJ30" s="200" t="n"/>
      <c r="DK30" s="6" t="n"/>
      <c r="DL30" s="6"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999" t="n"/>
      <c r="S39" s="990" t="n"/>
      <c r="T39" s="990"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75" customFormat="1" customHeight="1" s="1007">
      <c r="A40" s="1008" t="n"/>
      <c r="C40" s="931" t="n"/>
      <c r="H40" s="1050" t="n"/>
      <c r="I40" s="1007" t="n"/>
      <c r="K40" s="1050" t="n"/>
      <c r="L40" s="1050" t="n"/>
      <c r="M40" s="1050" t="n"/>
      <c r="O40" s="1051" t="n"/>
      <c r="P40" s="1051" t="n"/>
      <c r="Q40" s="1051" t="n"/>
      <c r="R40" s="1051" t="n"/>
      <c r="U40" s="1051" t="n"/>
      <c r="V40" s="1051" t="n"/>
      <c r="Y40" s="1051" t="n"/>
      <c r="AB40" s="1011" t="n"/>
      <c r="AC40" s="1011" t="n"/>
      <c r="AD40" s="1011" t="n"/>
      <c r="AE40" s="1011" t="n"/>
      <c r="AF40" s="1011" t="n"/>
      <c r="AG40" s="1011" t="n"/>
      <c r="AH40" s="995" t="n"/>
      <c r="AI40" s="995" t="n"/>
      <c r="AJ40" s="995" t="n"/>
      <c r="AK40" s="995" t="n"/>
      <c r="AL40" s="995" t="n"/>
      <c r="AM40" s="995" t="n"/>
    </row>
    <row r="41" ht="12.6" customFormat="1" customHeight="1" s="990" thickBot="1">
      <c r="A41" s="1040" t="n"/>
      <c r="B41" s="990" t="n"/>
      <c r="C41" s="931" t="n"/>
      <c r="D41" s="997" t="n"/>
      <c r="E41" s="997" t="n"/>
      <c r="F41" s="265" t="n"/>
      <c r="G41" s="997" t="n"/>
      <c r="H41" s="997" t="n"/>
      <c r="I41" s="998" t="n"/>
      <c r="J41" s="265" t="n"/>
      <c r="K41" s="265" t="n"/>
      <c r="L41" s="984" t="n"/>
      <c r="M41" s="998" t="n"/>
      <c r="N41" s="998" t="n"/>
      <c r="O41" s="998" t="n"/>
      <c r="P41" s="998" t="n"/>
      <c r="Q41" s="998" t="n"/>
      <c r="R41" s="265" t="n"/>
      <c r="S41" s="265" t="n"/>
      <c r="T41" s="998" t="n"/>
      <c r="U41" s="998" t="n"/>
      <c r="V41" s="998" t="n"/>
      <c r="W41" s="998" t="n"/>
      <c r="X41" s="998" t="n"/>
      <c r="Y41" s="998" t="n"/>
      <c r="Z41" s="984" t="n"/>
      <c r="AA41" s="266" t="n"/>
      <c r="AB41" s="999" t="n"/>
      <c r="CX41" s="6" t="n"/>
      <c r="CY41" s="6" t="n"/>
      <c r="CZ41" s="6" t="n"/>
      <c r="DA41" s="143" t="n"/>
      <c r="DB41" s="143" t="n"/>
      <c r="DC41" s="143" t="n"/>
      <c r="DD41" s="143" t="n"/>
      <c r="DE41" s="143" t="n"/>
      <c r="DF41" s="143" t="n"/>
      <c r="DG41" s="143" t="n"/>
      <c r="DH41" s="143" t="n"/>
      <c r="DI41" s="6" t="n"/>
      <c r="DJ41" s="143" t="n"/>
      <c r="DK41" s="143" t="n"/>
      <c r="DL41" s="143" t="n"/>
      <c r="DM41" s="143" t="n"/>
      <c r="DN41" s="143" t="n"/>
      <c r="DO41" s="6" t="n"/>
      <c r="DP41" s="6" t="n"/>
      <c r="DQ41" s="6" t="n"/>
      <c r="DR41" s="6" t="n"/>
      <c r="DS41" s="6" t="n"/>
      <c r="DT41" s="6" t="n"/>
      <c r="DU41" s="6" t="n"/>
      <c r="DV41" s="6" t="n"/>
      <c r="DW41" s="6" t="n"/>
      <c r="DX41" s="200" t="n"/>
      <c r="DY41" s="6" t="n"/>
      <c r="DZ41" s="6" t="n"/>
    </row>
    <row r="42" ht="12.6" customFormat="1" customHeight="1" s="990">
      <c r="A42" s="991" t="n"/>
      <c r="B42" s="990" t="n"/>
      <c r="C42" s="635" t="inlineStr">
        <is>
          <t>与资产负债表核对如下：</t>
        </is>
      </c>
      <c r="D42" s="636" t="n"/>
      <c r="E42" s="636" t="n"/>
      <c r="F42" s="637" t="n"/>
      <c r="G42" s="637" t="n"/>
      <c r="H42" s="1059" t="n"/>
      <c r="I42" s="1060" t="n"/>
      <c r="J42" s="1007" t="n"/>
      <c r="K42" s="265" t="n"/>
      <c r="L42" s="265" t="n"/>
      <c r="M42" s="984" t="n"/>
      <c r="N42" s="998" t="n"/>
      <c r="O42" s="998" t="n"/>
      <c r="P42" s="998" t="n"/>
      <c r="Q42" s="998" t="n"/>
      <c r="R42" s="998" t="n"/>
      <c r="S42" s="265" t="n"/>
      <c r="T42" s="265" t="n"/>
      <c r="U42" s="998" t="n"/>
      <c r="V42" s="998" t="n"/>
      <c r="W42" s="998" t="n"/>
      <c r="X42" s="998" t="n"/>
      <c r="Y42" s="998" t="n"/>
      <c r="Z42" s="998" t="n"/>
      <c r="AA42" s="984" t="n"/>
      <c r="AB42" s="266" t="n"/>
      <c r="AC42" s="999" t="n"/>
      <c r="CY42" s="6" t="n"/>
      <c r="CZ42" s="6" t="n"/>
      <c r="DA42" s="6" t="n"/>
      <c r="DB42" s="143" t="n"/>
      <c r="DC42" s="143" t="n"/>
      <c r="DD42" s="143" t="n"/>
      <c r="DE42" s="143" t="n"/>
      <c r="DF42" s="143" t="n"/>
      <c r="DG42" s="143" t="n"/>
      <c r="DH42" s="143" t="n"/>
      <c r="DI42" s="143" t="n"/>
      <c r="DJ42" s="6" t="n"/>
      <c r="DK42" s="143" t="n"/>
      <c r="DL42" s="143" t="n"/>
      <c r="DM42" s="143" t="n"/>
      <c r="DN42" s="143" t="n"/>
      <c r="DO42" s="143" t="n"/>
      <c r="DP42" s="6" t="n"/>
      <c r="DQ42" s="6" t="n"/>
      <c r="DR42" s="6" t="n"/>
      <c r="DS42" s="6" t="n"/>
      <c r="DT42" s="6" t="n"/>
      <c r="DU42" s="6" t="n"/>
      <c r="DV42" s="6" t="n"/>
      <c r="DW42" s="6" t="n"/>
      <c r="DX42" s="6" t="n"/>
      <c r="DY42" s="200" t="n"/>
      <c r="DZ42" s="6" t="n"/>
      <c r="EA42" s="6" t="n"/>
    </row>
    <row r="43" ht="12.6" customFormat="1" customHeight="1" s="990">
      <c r="A43" s="991" t="n"/>
      <c r="B43" s="990" t="n"/>
      <c r="C43" s="286" t="inlineStr">
        <is>
          <t>交叉索引</t>
        </is>
      </c>
      <c r="D43" s="287" t="inlineStr">
        <is>
          <t>账套名称/账套编码</t>
        </is>
      </c>
      <c r="E43" s="287" t="inlineStr">
        <is>
          <t>科目编码</t>
        </is>
      </c>
      <c r="F43" s="287" t="inlineStr">
        <is>
          <t>科目名称</t>
        </is>
      </c>
      <c r="G43" s="640" t="inlineStr">
        <is>
          <t>本年变动金额</t>
        </is>
      </c>
      <c r="H43" s="997" t="n"/>
      <c r="I43" s="1061" t="n"/>
      <c r="J43" s="1007" t="n"/>
      <c r="K43" s="265" t="n"/>
      <c r="L43" s="265" t="n"/>
      <c r="M43" s="984" t="n"/>
      <c r="N43" s="998" t="n"/>
      <c r="O43" s="998" t="n"/>
      <c r="P43" s="998" t="n"/>
      <c r="Q43" s="998" t="n"/>
      <c r="R43" s="998" t="n"/>
      <c r="S43" s="265" t="n"/>
      <c r="T43" s="265" t="n"/>
      <c r="U43" s="998" t="n"/>
      <c r="V43" s="998" t="n"/>
      <c r="W43" s="998" t="n"/>
      <c r="X43" s="998" t="n"/>
      <c r="Y43" s="998" t="n"/>
      <c r="Z43" s="998" t="n"/>
      <c r="AA43" s="984" t="n"/>
      <c r="AB43" s="266" t="n"/>
      <c r="AC43" s="999" t="n"/>
      <c r="CY43" s="6" t="n"/>
      <c r="CZ43" s="6" t="n"/>
      <c r="DA43" s="143" t="n"/>
      <c r="DB43" s="143" t="n"/>
      <c r="DC43" s="143" t="n"/>
      <c r="DD43" s="143" t="n"/>
      <c r="DE43" s="143" t="n"/>
      <c r="DF43" s="143" t="n"/>
      <c r="DG43" s="143" t="n"/>
      <c r="DH43" s="143" t="n"/>
      <c r="DI43" s="143" t="n"/>
      <c r="DJ43" s="6" t="n"/>
      <c r="DK43" s="143" t="n"/>
      <c r="DL43" s="143" t="n"/>
      <c r="DM43" s="143" t="n"/>
      <c r="DN43" s="143" t="n"/>
      <c r="DO43" s="143" t="n"/>
      <c r="DP43" s="6" t="n"/>
      <c r="DQ43" s="6" t="n"/>
      <c r="DR43" s="6" t="n"/>
      <c r="DS43" s="6" t="n"/>
      <c r="DT43" s="6" t="n"/>
      <c r="DU43" s="6" t="n"/>
      <c r="DV43" s="6" t="n"/>
      <c r="DW43" s="6" t="n"/>
      <c r="DX43" s="6" t="n"/>
      <c r="DY43" s="200" t="n"/>
      <c r="DZ43" s="6" t="n"/>
      <c r="EA43" s="6" t="n"/>
    </row>
    <row r="44" ht="12.6" customFormat="1" customHeight="1" s="990">
      <c r="A44" s="991" t="n"/>
      <c r="B44" s="990" t="n"/>
      <c r="C44" s="289" t="n"/>
      <c r="D44" s="290" t="n"/>
      <c r="E44" s="290" t="n"/>
      <c r="F44" s="9" t="inlineStr">
        <is>
          <t>固定资产减值准备本年变动额</t>
        </is>
      </c>
      <c r="G44" s="1062" t="n"/>
      <c r="H44" s="997" t="n"/>
      <c r="I44" s="1061" t="n"/>
      <c r="J44" s="1007" t="n"/>
      <c r="K44" s="265" t="n"/>
      <c r="L44" s="265" t="n"/>
      <c r="M44" s="984" t="n"/>
      <c r="N44" s="998" t="n"/>
      <c r="O44" s="998" t="n"/>
      <c r="P44" s="998" t="n"/>
      <c r="Q44" s="998" t="n"/>
      <c r="R44" s="998" t="n"/>
      <c r="S44" s="265" t="n"/>
      <c r="T44" s="265" t="n"/>
      <c r="U44" s="998" t="n"/>
      <c r="V44" s="998" t="n"/>
      <c r="W44" s="998" t="n"/>
      <c r="X44" s="998" t="n"/>
      <c r="Y44" s="998" t="n"/>
      <c r="Z44" s="998" t="n"/>
      <c r="AA44" s="984" t="n"/>
      <c r="AB44" s="266" t="n"/>
      <c r="AC44" s="999" t="n"/>
      <c r="CY44" s="6"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6" t="n"/>
      <c r="DR44" s="6" t="n"/>
      <c r="DS44" s="6" t="n"/>
      <c r="DT44" s="6" t="n"/>
      <c r="DU44" s="6" t="n"/>
      <c r="DV44" s="143" t="n"/>
      <c r="DW44" s="143" t="n"/>
      <c r="DX44" s="143" t="n"/>
      <c r="DY44" s="252" t="n"/>
      <c r="DZ44" s="6" t="n"/>
      <c r="EA44" s="6" t="n"/>
    </row>
    <row r="45" ht="12.6" customFormat="1" customHeight="1" s="990">
      <c r="A45" s="991" t="n"/>
      <c r="B45" s="990" t="n"/>
      <c r="C45" s="292" t="n"/>
      <c r="D45" s="293" t="n"/>
      <c r="E45" s="293" t="n"/>
      <c r="F45" s="294" t="inlineStr">
        <is>
          <t>无形资产减值准备本年变动额</t>
        </is>
      </c>
      <c r="G45" s="1062" t="n"/>
      <c r="H45" s="997" t="n"/>
      <c r="I45" s="1061" t="n"/>
      <c r="J45" s="295" t="n"/>
      <c r="K45" s="265" t="n"/>
      <c r="L45" s="265" t="n"/>
      <c r="M45" s="984" t="n"/>
      <c r="N45" s="998" t="n"/>
      <c r="O45" s="998" t="n"/>
      <c r="P45" s="998" t="n"/>
      <c r="Q45" s="998" t="n"/>
      <c r="R45" s="998" t="n"/>
      <c r="S45" s="265" t="n"/>
      <c r="T45" s="265" t="n"/>
      <c r="U45" s="998" t="n"/>
      <c r="V45" s="998" t="n"/>
      <c r="W45" s="998" t="n"/>
      <c r="X45" s="998" t="n"/>
      <c r="Y45" s="998" t="n"/>
      <c r="Z45" s="998" t="n"/>
      <c r="AA45" s="984" t="n"/>
      <c r="AB45" s="266" t="n"/>
      <c r="AC45" s="999" t="n"/>
      <c r="CY45" s="6"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143" t="n"/>
      <c r="DX45" s="143" t="n"/>
      <c r="DY45" s="252" t="n"/>
      <c r="DZ45" s="6" t="n"/>
      <c r="EA45" s="6" t="n"/>
    </row>
    <row r="46" ht="12.6" customFormat="1" customHeight="1" s="990">
      <c r="A46" s="991" t="n"/>
      <c r="B46" s="990" t="n"/>
      <c r="C46" s="292" t="n"/>
      <c r="D46" s="293" t="n"/>
      <c r="E46" s="293" t="n"/>
      <c r="F46" s="294" t="inlineStr">
        <is>
          <t>在建工程减值准备本年变动额</t>
        </is>
      </c>
      <c r="G46" s="1062" t="n"/>
      <c r="H46" s="997" t="n"/>
      <c r="I46" s="1061" t="n"/>
      <c r="J46" s="295" t="n"/>
      <c r="K46" s="265" t="n"/>
      <c r="L46" s="265" t="n"/>
      <c r="M46" s="984" t="n"/>
      <c r="N46" s="998" t="n"/>
      <c r="O46" s="998" t="n"/>
      <c r="P46" s="998" t="n"/>
      <c r="Q46" s="998" t="n"/>
      <c r="R46" s="998" t="n"/>
      <c r="S46" s="265" t="n"/>
      <c r="T46" s="265" t="n"/>
      <c r="U46" s="998" t="n"/>
      <c r="V46" s="998" t="n"/>
      <c r="W46" s="998" t="n"/>
      <c r="X46" s="998" t="n"/>
      <c r="Y46" s="998" t="n"/>
      <c r="Z46" s="998" t="n"/>
      <c r="AA46" s="984" t="n"/>
      <c r="AB46" s="266" t="n"/>
      <c r="AC46" s="999"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143" t="n"/>
      <c r="DX46" s="143" t="n"/>
      <c r="DY46" s="252" t="n"/>
      <c r="DZ46" s="143" t="n"/>
      <c r="EA46" s="149" t="n"/>
    </row>
    <row r="47" ht="12.6" customFormat="1" customHeight="1" s="990">
      <c r="A47" s="1041" t="n"/>
      <c r="B47" s="990" t="n"/>
      <c r="C47" s="292" t="n"/>
      <c r="D47" s="293" t="n"/>
      <c r="E47" s="293" t="n"/>
      <c r="F47" s="294" t="inlineStr">
        <is>
          <t>投资性房地产减值准备本年变动额</t>
        </is>
      </c>
      <c r="G47" s="1062" t="n"/>
      <c r="H47" s="997" t="n"/>
      <c r="I47" s="1061" t="n"/>
      <c r="J47" s="295" t="n"/>
      <c r="K47" s="265" t="n"/>
      <c r="L47" s="265" t="n"/>
      <c r="M47" s="984" t="n"/>
      <c r="N47" s="998" t="n"/>
      <c r="O47" s="998" t="n"/>
      <c r="P47" s="998" t="n"/>
      <c r="Q47" s="998" t="n"/>
      <c r="R47" s="998" t="n"/>
      <c r="S47" s="265" t="n"/>
      <c r="T47" s="265" t="n"/>
      <c r="U47" s="998" t="n"/>
      <c r="V47" s="998" t="n"/>
      <c r="W47" s="998" t="n"/>
      <c r="X47" s="998" t="n"/>
      <c r="Y47" s="998" t="n"/>
      <c r="Z47" s="998" t="n"/>
      <c r="AA47" s="984" t="n"/>
      <c r="AB47" s="266" t="n"/>
      <c r="AC47" s="999"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143" t="n"/>
      <c r="DX47" s="143" t="n"/>
      <c r="DY47" s="252" t="n"/>
      <c r="DZ47" s="143" t="n"/>
      <c r="EA47" s="149" t="n"/>
    </row>
    <row r="48" ht="12.6" customFormat="1" customHeight="1" s="990">
      <c r="A48" s="1041" t="n"/>
      <c r="B48" s="990" t="n"/>
      <c r="C48" s="292" t="n"/>
      <c r="D48" s="293" t="n"/>
      <c r="E48" s="293" t="n"/>
      <c r="F48" s="294" t="inlineStr">
        <is>
          <t>长期股权投资减值准备本年变动额</t>
        </is>
      </c>
      <c r="G48" s="1062" t="n"/>
      <c r="H48" s="997" t="n"/>
      <c r="I48" s="1061" t="n"/>
      <c r="J48" s="19" t="n"/>
      <c r="K48" s="265" t="n"/>
      <c r="L48" s="265" t="n"/>
      <c r="M48" s="984" t="n"/>
      <c r="N48" s="998" t="n"/>
      <c r="O48" s="998" t="n"/>
      <c r="P48" s="998" t="n"/>
      <c r="Q48" s="998" t="n"/>
      <c r="R48" s="998" t="n"/>
      <c r="S48" s="265" t="n"/>
      <c r="T48" s="265" t="n"/>
      <c r="U48" s="998" t="n"/>
      <c r="V48" s="998" t="n"/>
      <c r="W48" s="998" t="n"/>
      <c r="X48" s="998" t="n"/>
      <c r="Y48" s="998" t="n"/>
      <c r="Z48" s="998" t="n"/>
      <c r="AA48" s="984" t="n"/>
      <c r="AB48" s="266" t="n"/>
      <c r="AC48" s="999"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143" t="n"/>
      <c r="DX48" s="143" t="n"/>
      <c r="DY48" s="252" t="n"/>
      <c r="DZ48" s="143" t="n"/>
      <c r="EA48" s="149" t="n"/>
    </row>
    <row r="49" ht="12.6" customFormat="1" customHeight="1" s="990">
      <c r="A49" s="1041" t="n"/>
      <c r="B49" s="990" t="n"/>
      <c r="C49" s="289" t="n"/>
      <c r="D49" s="290" t="n"/>
      <c r="E49" s="290" t="n"/>
      <c r="F49" s="296" t="inlineStr">
        <is>
          <t>【其他-可加行】</t>
        </is>
      </c>
      <c r="G49" s="1062" t="n"/>
      <c r="H49" s="997" t="n"/>
      <c r="I49" s="1061" t="n"/>
      <c r="J49" s="19" t="n"/>
      <c r="K49" s="265" t="n"/>
      <c r="L49" s="265" t="n"/>
      <c r="M49" s="984" t="n"/>
      <c r="N49" s="998" t="n"/>
      <c r="O49" s="998" t="n"/>
      <c r="P49" s="998" t="n"/>
      <c r="Q49" s="998" t="n"/>
      <c r="R49" s="998" t="n"/>
      <c r="S49" s="265" t="n"/>
      <c r="T49" s="265" t="n"/>
      <c r="U49" s="998" t="n"/>
      <c r="V49" s="998" t="n"/>
      <c r="W49" s="998" t="n"/>
      <c r="X49" s="998" t="n"/>
      <c r="Y49" s="998" t="n"/>
      <c r="Z49" s="998" t="n"/>
      <c r="AA49" s="984" t="n"/>
      <c r="AB49" s="266" t="n"/>
      <c r="AC49" s="999"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143" t="n"/>
      <c r="DX49" s="143" t="n"/>
      <c r="DY49" s="252" t="n"/>
      <c r="DZ49" s="143" t="n"/>
      <c r="EA49" s="149" t="n"/>
    </row>
    <row r="50" ht="12.6" customFormat="1" customHeight="1" s="990">
      <c r="A50" s="1041" t="n"/>
      <c r="B50" s="990" t="n"/>
      <c r="C50" s="292" t="n"/>
      <c r="D50" s="293" t="n"/>
      <c r="E50" s="293" t="n"/>
      <c r="F50" s="294" t="inlineStr">
        <is>
          <t>资产负债表科目金额小计</t>
        </is>
      </c>
      <c r="G50" s="1063">
        <f>SUM(G44:G49)</f>
        <v/>
      </c>
      <c r="H50" s="997" t="n"/>
      <c r="I50" s="1061" t="n"/>
      <c r="J50" s="19" t="n"/>
      <c r="K50" s="265" t="n"/>
      <c r="L50" s="265" t="n"/>
      <c r="M50" s="984" t="n"/>
      <c r="N50" s="998" t="n"/>
      <c r="O50" s="998" t="n"/>
      <c r="P50" s="998" t="n"/>
      <c r="Q50" s="998" t="n"/>
      <c r="R50" s="998" t="n"/>
      <c r="S50" s="265" t="n"/>
      <c r="T50" s="265" t="n"/>
      <c r="U50" s="998" t="n"/>
      <c r="V50" s="998" t="n"/>
      <c r="W50" s="998" t="n"/>
      <c r="X50" s="998" t="n"/>
      <c r="Y50" s="998" t="n"/>
      <c r="Z50" s="998" t="n"/>
      <c r="AA50" s="984" t="n"/>
      <c r="AB50" s="266" t="n"/>
      <c r="AC50" s="999"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143" t="n"/>
      <c r="DX50" s="143" t="n"/>
      <c r="DY50" s="252" t="n"/>
      <c r="DZ50" s="143" t="n"/>
      <c r="EA50" s="149" t="n"/>
    </row>
    <row r="51" ht="12.6" customFormat="1" customHeight="1" s="990">
      <c r="A51" s="1041" t="n"/>
      <c r="B51" s="990" t="n"/>
      <c r="C51" s="292" t="n"/>
      <c r="D51" s="293" t="n"/>
      <c r="E51" s="293" t="n"/>
      <c r="F51" s="294" t="inlineStr">
        <is>
          <t>利润表资产减值损失金额</t>
        </is>
      </c>
      <c r="G51" s="1064">
        <f>$I$36</f>
        <v/>
      </c>
      <c r="H51" s="997" t="n"/>
      <c r="I51" s="1061" t="n"/>
      <c r="J51" s="19" t="n"/>
      <c r="K51" s="265" t="n"/>
      <c r="L51" s="265" t="n"/>
      <c r="M51" s="984" t="n"/>
      <c r="N51" s="998" t="n"/>
      <c r="O51" s="998" t="n"/>
      <c r="P51" s="998" t="n"/>
      <c r="Q51" s="998" t="n"/>
      <c r="R51" s="998" t="n"/>
      <c r="S51" s="265" t="n"/>
      <c r="T51" s="265" t="n"/>
      <c r="U51" s="998" t="n"/>
      <c r="V51" s="998" t="n"/>
      <c r="W51" s="998" t="n"/>
      <c r="X51" s="998" t="n"/>
      <c r="Y51" s="998" t="n"/>
      <c r="Z51" s="998" t="n"/>
      <c r="AA51" s="984" t="n"/>
      <c r="AB51" s="266" t="n"/>
      <c r="AC51" s="999"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143" t="n"/>
      <c r="DX51" s="143" t="n"/>
      <c r="DY51" s="252" t="n"/>
      <c r="DZ51" s="143" t="n"/>
      <c r="EA51" s="149" t="n"/>
    </row>
    <row r="52" ht="12.6" customFormat="1" customHeight="1" s="990">
      <c r="A52" s="1041" t="n"/>
      <c r="B52" s="990" t="n"/>
      <c r="C52" s="292" t="n"/>
      <c r="D52" s="293" t="n"/>
      <c r="E52" s="293" t="n"/>
      <c r="F52" s="294" t="n"/>
      <c r="G52" s="1064" t="n"/>
      <c r="H52" s="997" t="n"/>
      <c r="I52" s="1061" t="n"/>
      <c r="J52" s="19" t="n"/>
      <c r="K52" s="265" t="n"/>
      <c r="L52" s="265" t="n"/>
      <c r="M52" s="984" t="n"/>
      <c r="N52" s="998" t="n"/>
      <c r="O52" s="998" t="n"/>
      <c r="P52" s="998" t="n"/>
      <c r="Q52" s="998" t="n"/>
      <c r="R52" s="998" t="n"/>
      <c r="S52" s="265" t="n"/>
      <c r="T52" s="265" t="n"/>
      <c r="U52" s="998" t="n"/>
      <c r="V52" s="998" t="n"/>
      <c r="W52" s="998" t="n"/>
      <c r="X52" s="998" t="n"/>
      <c r="Y52" s="998" t="n"/>
      <c r="Z52" s="998" t="n"/>
      <c r="AA52" s="984" t="n"/>
      <c r="AB52" s="266" t="n"/>
      <c r="AC52" s="999"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143" t="n"/>
      <c r="DX52" s="143" t="n"/>
      <c r="DY52" s="252" t="n"/>
      <c r="DZ52" s="143" t="n"/>
      <c r="EA52" s="149" t="n"/>
    </row>
    <row r="53" ht="12.6" customFormat="1" customHeight="1" s="990" thickBot="1">
      <c r="A53" s="1041" t="n"/>
      <c r="B53" s="990" t="n"/>
      <c r="C53" s="292" t="n"/>
      <c r="D53" s="293" t="n"/>
      <c r="E53" s="293" t="n"/>
      <c r="F53" s="294" t="inlineStr">
        <is>
          <t>差异</t>
        </is>
      </c>
      <c r="G53" s="1065">
        <f>G50-G51</f>
        <v/>
      </c>
      <c r="H53" s="997" t="n"/>
      <c r="I53" s="1061" t="n"/>
      <c r="J53" s="19" t="n"/>
      <c r="K53" s="265" t="n"/>
      <c r="L53" s="265" t="n"/>
      <c r="M53" s="984" t="n"/>
      <c r="N53" s="998" t="n"/>
      <c r="O53" s="998" t="n"/>
      <c r="P53" s="998" t="n"/>
      <c r="Q53" s="998" t="n"/>
      <c r="R53" s="998" t="n"/>
      <c r="S53" s="265" t="n"/>
      <c r="T53" s="265" t="n"/>
      <c r="U53" s="998" t="n"/>
      <c r="V53" s="998" t="n"/>
      <c r="W53" s="998" t="n"/>
      <c r="X53" s="998" t="n"/>
      <c r="Y53" s="998" t="n"/>
      <c r="Z53" s="998" t="n"/>
      <c r="AA53" s="984" t="n"/>
      <c r="AB53" s="266" t="n"/>
      <c r="AC53" s="999"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143" t="n"/>
      <c r="DX53" s="143" t="n"/>
      <c r="DY53" s="252" t="n"/>
      <c r="DZ53" s="143" t="n"/>
      <c r="EA53" s="149" t="n"/>
    </row>
    <row r="54" ht="12.6" customFormat="1" customHeight="1" s="990" thickTop="1">
      <c r="A54" s="1041" t="n"/>
      <c r="B54" s="990" t="n"/>
      <c r="C54" s="292" t="n"/>
      <c r="D54" s="293" t="n"/>
      <c r="E54" s="293" t="n"/>
      <c r="F54" s="294" t="n"/>
      <c r="G54" s="300" t="n"/>
      <c r="H54" s="997" t="n"/>
      <c r="I54" s="1061" t="n"/>
      <c r="J54" s="19" t="n"/>
      <c r="K54" s="265" t="n"/>
      <c r="L54" s="265" t="n"/>
      <c r="M54" s="984" t="n"/>
      <c r="N54" s="998" t="n"/>
      <c r="O54" s="998" t="n"/>
      <c r="P54" s="998" t="n"/>
      <c r="Q54" s="998" t="n"/>
      <c r="R54" s="998" t="n"/>
      <c r="S54" s="265" t="n"/>
      <c r="T54" s="265" t="n"/>
      <c r="U54" s="998" t="n"/>
      <c r="V54" s="998" t="n"/>
      <c r="W54" s="998" t="n"/>
      <c r="X54" s="998" t="n"/>
      <c r="Y54" s="998" t="n"/>
      <c r="Z54" s="998" t="n"/>
      <c r="AA54" s="984" t="n"/>
      <c r="AB54" s="266" t="n"/>
      <c r="AC54" s="999"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143" t="n"/>
      <c r="DX54" s="143" t="n"/>
      <c r="DY54" s="252" t="n"/>
      <c r="DZ54" s="143" t="n"/>
      <c r="EA54" s="149" t="n"/>
    </row>
    <row r="55" ht="12.6" customFormat="1" customHeight="1" s="990" thickBot="1">
      <c r="A55" s="991" t="n"/>
      <c r="B55" s="990" t="n"/>
      <c r="C55" s="1066" t="n"/>
      <c r="D55" s="1067" t="n"/>
      <c r="E55" s="1067" t="n"/>
      <c r="F55" s="1067" t="n"/>
      <c r="G55" s="641" t="n"/>
      <c r="H55" s="1067" t="n"/>
      <c r="I55" s="1068" t="n"/>
      <c r="J55" s="19" t="n"/>
      <c r="K55" s="265" t="n"/>
      <c r="L55" s="265" t="n"/>
      <c r="M55" s="984" t="n"/>
      <c r="N55" s="998" t="n"/>
      <c r="O55" s="998" t="n"/>
      <c r="P55" s="998" t="n"/>
      <c r="Q55" s="998" t="n"/>
      <c r="R55" s="998" t="n"/>
      <c r="S55" s="265" t="n"/>
      <c r="T55" s="265" t="n"/>
      <c r="U55" s="998" t="n"/>
      <c r="V55" s="998" t="n"/>
      <c r="W55" s="998" t="n"/>
      <c r="X55" s="998" t="n"/>
      <c r="Y55" s="998" t="n"/>
      <c r="Z55" s="998" t="n"/>
      <c r="AA55" s="984" t="n"/>
      <c r="AB55" s="266" t="n"/>
      <c r="AC55" s="999"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143" t="n"/>
      <c r="DX55" s="143" t="n"/>
      <c r="DY55" s="252" t="n"/>
      <c r="DZ55" s="143" t="n"/>
      <c r="EA55" s="149" t="n"/>
    </row>
    <row r="56" ht="12.6" customFormat="1" customHeight="1" s="1007">
      <c r="A56" s="1008" t="n"/>
      <c r="G56" s="1050" t="n"/>
      <c r="H56" s="19" t="n"/>
      <c r="J56" s="1050" t="n"/>
      <c r="K56" s="1050" t="n"/>
      <c r="L56" s="1050" t="n"/>
      <c r="N56" s="1051" t="n"/>
      <c r="O56" s="1051" t="n"/>
      <c r="P56" s="1051" t="n"/>
      <c r="Q56" s="1051" t="n"/>
      <c r="T56" s="1051" t="n"/>
      <c r="U56" s="1051" t="n"/>
      <c r="V56" s="1051" t="n"/>
      <c r="W56" s="1051" t="n"/>
      <c r="X56" s="1051" t="n"/>
      <c r="Y56" s="1051" t="n"/>
      <c r="AB56" s="1051" t="n"/>
      <c r="AE56" s="1011" t="n"/>
      <c r="AF56" s="1011" t="n"/>
      <c r="AG56" s="1011" t="n"/>
      <c r="AH56" s="1011" t="n"/>
      <c r="AI56" s="1011" t="n"/>
      <c r="AJ56" s="1011" t="n"/>
      <c r="AK56" s="995" t="n"/>
      <c r="AL56" s="995" t="n"/>
      <c r="AM56" s="995" t="n"/>
      <c r="AN56" s="995" t="n"/>
      <c r="AO56" s="995" t="n"/>
      <c r="AP56" s="995" t="n"/>
      <c r="CW56" s="143" t="n"/>
      <c r="CX56" s="143" t="n"/>
      <c r="CY56" s="143" t="n"/>
      <c r="CZ56" s="143" t="n"/>
      <c r="DA56" s="143" t="n"/>
      <c r="DB56" s="143" t="n"/>
      <c r="DC56" s="143" t="n"/>
      <c r="DD56" s="143" t="n"/>
      <c r="DE56" s="143" t="n"/>
      <c r="DF56" s="143" t="n"/>
      <c r="DG56" s="143" t="n"/>
      <c r="DH56" s="143" t="n"/>
      <c r="DI56" s="143" t="n"/>
      <c r="DJ56" s="143" t="n"/>
      <c r="DK56" s="143" t="n"/>
      <c r="DL56" s="143" t="n"/>
      <c r="DM56" s="143" t="n"/>
      <c r="DN56" s="143" t="n"/>
      <c r="DO56" s="143" t="n"/>
      <c r="DP56" s="143" t="n"/>
      <c r="DQ56" s="143" t="n"/>
      <c r="DR56" s="143" t="n"/>
      <c r="DS56" s="143" t="n"/>
      <c r="DT56" s="143" t="n"/>
      <c r="DU56" s="143" t="n"/>
      <c r="DV56" s="143" t="n"/>
      <c r="DW56" s="252" t="n"/>
      <c r="DX56" s="143" t="n"/>
      <c r="DY56" s="149" t="n"/>
    </row>
    <row r="57" ht="13.35" customFormat="1" customHeight="1" s="6">
      <c r="A57" s="655" t="n"/>
      <c r="G57" s="215" t="n"/>
      <c r="H57" s="19" t="n"/>
      <c r="I57" s="265" t="n"/>
      <c r="J57" s="215" t="n"/>
      <c r="CW57" s="143" t="n"/>
      <c r="CX57" s="143" t="n"/>
      <c r="CY57" s="143" t="n"/>
      <c r="CZ57" s="143" t="n"/>
      <c r="DA57" s="143" t="n"/>
      <c r="DB57" s="143" t="n"/>
      <c r="DC57" s="143" t="n"/>
      <c r="DD57" s="143" t="n"/>
      <c r="DE57" s="143" t="n"/>
      <c r="DF57" s="143" t="n"/>
      <c r="DG57" s="143" t="n"/>
      <c r="DH57" s="143" t="n"/>
      <c r="DI57" s="143" t="n"/>
      <c r="DJ57" s="143" t="n"/>
      <c r="DK57" s="143" t="n"/>
      <c r="DL57" s="143" t="n"/>
      <c r="DM57" s="143" t="n"/>
      <c r="DN57" s="143" t="n"/>
      <c r="DO57" s="143" t="n"/>
      <c r="DP57" s="143" t="n"/>
      <c r="DQ57" s="143" t="n"/>
      <c r="DR57" s="143" t="n"/>
      <c r="DS57" s="143" t="n"/>
      <c r="DT57" s="143" t="n"/>
      <c r="DU57" s="143" t="n"/>
      <c r="DV57" s="143" t="n"/>
      <c r="DW57" s="252" t="n"/>
      <c r="DX57" s="143" t="n"/>
      <c r="DY57" s="149" t="n"/>
    </row>
    <row r="58" ht="13.35" customFormat="1" customHeight="1" s="6">
      <c r="A58" s="655" t="n"/>
      <c r="G58" s="215" t="n"/>
      <c r="H58" s="19" t="n"/>
      <c r="I58" s="265" t="n"/>
      <c r="J58" s="215" t="n"/>
      <c r="CW58" s="143" t="n"/>
      <c r="CX58" s="143" t="n"/>
      <c r="CY58" s="143" t="n"/>
      <c r="CZ58" s="143" t="n"/>
      <c r="DA58" s="143" t="n"/>
      <c r="DB58" s="143" t="n"/>
      <c r="DC58" s="143" t="n"/>
      <c r="DD58" s="143" t="n"/>
      <c r="DE58" s="143" t="n"/>
      <c r="DF58" s="143" t="n"/>
      <c r="DG58" s="143" t="n"/>
      <c r="DH58" s="143" t="n"/>
      <c r="DI58" s="143" t="n"/>
      <c r="DJ58" s="143" t="n"/>
      <c r="DK58" s="143" t="n"/>
      <c r="DL58" s="143" t="n"/>
      <c r="DM58" s="143" t="n"/>
      <c r="DN58" s="143" t="n"/>
      <c r="DO58" s="143" t="n"/>
      <c r="DP58" s="143" t="n"/>
      <c r="DQ58" s="143" t="n"/>
      <c r="DR58" s="143" t="n"/>
      <c r="DS58" s="143" t="n"/>
      <c r="DT58" s="143" t="n"/>
      <c r="DU58" s="143" t="n"/>
      <c r="DV58" s="143" t="n"/>
      <c r="DW58" s="252" t="n"/>
      <c r="DX58" s="143" t="n"/>
      <c r="DY58" s="149" t="n"/>
    </row>
    <row r="59" ht="13.35" customFormat="1" customHeight="1" s="13" thickBot="1">
      <c r="A59" s="663" t="n"/>
      <c r="B59" s="88" t="inlineStr">
        <is>
          <t>Notes</t>
        </is>
      </c>
      <c r="C59" s="13" t="inlineStr">
        <is>
          <t>对变动不在范围内的项目进行调查，评估其合理性，并记录在“说明”中。对异常项目进行调查，并记录在“说明”中。</t>
        </is>
      </c>
      <c r="G59" s="137" t="n"/>
      <c r="H59" s="985" t="n"/>
      <c r="I59" s="265" t="n"/>
      <c r="J59" s="137" t="n"/>
      <c r="CV59" s="62" t="n"/>
      <c r="CW59" s="62" t="n"/>
      <c r="CX59" s="62" t="n"/>
      <c r="CY59" s="62" t="n"/>
      <c r="CZ59" s="62" t="n"/>
      <c r="DA59" s="62" t="n"/>
      <c r="DB59" s="62" t="n"/>
      <c r="DE59" s="62" t="n"/>
      <c r="DF59" s="62" t="n"/>
      <c r="DG59" s="62" t="n"/>
      <c r="DH59" s="62" t="n"/>
      <c r="DI59" s="62" t="n"/>
      <c r="DS59" s="107" t="n"/>
    </row>
    <row r="60" ht="12.6" customFormat="1" customHeight="1" s="17">
      <c r="A60" s="664" t="n"/>
      <c r="C60" s="986" t="n"/>
      <c r="D60" s="937" t="n"/>
      <c r="E60" s="937" t="n"/>
      <c r="F60" s="937" t="n"/>
      <c r="G60" s="938" t="n"/>
      <c r="H60" s="139" t="n"/>
      <c r="I60" s="139" t="n"/>
      <c r="J60" s="139" t="n"/>
      <c r="CN60" s="13" t="n"/>
      <c r="CO60" s="13" t="n"/>
      <c r="CP60" s="13" t="n"/>
      <c r="CQ60" s="62" t="n"/>
      <c r="CR60" s="62" t="n"/>
      <c r="CS60" s="62" t="n"/>
      <c r="CT60" s="62" t="n"/>
      <c r="CU60" s="62" t="n"/>
      <c r="CV60" s="62" t="n"/>
      <c r="CW60" s="62" t="n"/>
      <c r="CX60" s="13" t="n"/>
      <c r="CY60" s="13" t="n"/>
      <c r="CZ60" s="62" t="n"/>
      <c r="DA60" s="62" t="n"/>
      <c r="DB60" s="62" t="n"/>
      <c r="DC60" s="62" t="n"/>
      <c r="DD60" s="62" t="n"/>
      <c r="DE60" s="13" t="n"/>
      <c r="DF60" s="13" t="n"/>
      <c r="DG60" s="13" t="n"/>
      <c r="DH60" s="13" t="n"/>
      <c r="DI60" s="13" t="n"/>
      <c r="DJ60" s="13" t="n"/>
      <c r="DK60" s="13" t="n"/>
      <c r="DL60" s="13" t="n"/>
      <c r="DM60" s="13" t="n"/>
      <c r="DN60" s="107" t="n"/>
      <c r="DO60" s="13" t="n"/>
      <c r="DP60" s="13" t="n"/>
    </row>
    <row r="61" ht="12.6" customFormat="1" customHeight="1" s="17">
      <c r="A61" s="665" t="n"/>
      <c r="C61" s="940" t="n"/>
      <c r="D61" s="941" t="n"/>
      <c r="E61" s="941" t="n"/>
      <c r="F61" s="941" t="n"/>
      <c r="G61" s="942" t="n"/>
      <c r="H61" s="139" t="n"/>
      <c r="I61" s="139" t="n"/>
      <c r="J61" s="139" t="n"/>
      <c r="CN61" s="13" t="n"/>
      <c r="CO61" s="13" t="n"/>
      <c r="CP61" s="13" t="n"/>
      <c r="CQ61" s="62" t="n"/>
      <c r="CR61" s="62" t="n"/>
      <c r="CS61" s="62" t="n"/>
      <c r="CT61" s="62" t="n"/>
      <c r="CU61" s="62" t="n"/>
      <c r="CV61" s="62" t="n"/>
      <c r="CW61" s="62" t="n"/>
      <c r="CX61" s="13" t="n"/>
      <c r="CY61" s="13" t="n"/>
      <c r="CZ61" s="62" t="n"/>
      <c r="DA61" s="62" t="n"/>
      <c r="DB61" s="62" t="n"/>
      <c r="DC61" s="62" t="n"/>
      <c r="DD61" s="62" t="n"/>
      <c r="DE61" s="13" t="n"/>
      <c r="DF61" s="13" t="n"/>
      <c r="DG61" s="13" t="n"/>
      <c r="DH61" s="13" t="n"/>
      <c r="DI61" s="13" t="n"/>
      <c r="DJ61" s="13" t="n"/>
      <c r="DK61" s="13" t="n"/>
      <c r="DL61" s="13" t="n"/>
      <c r="DM61" s="13" t="n"/>
      <c r="DN61" s="107" t="n"/>
      <c r="DO61" s="13" t="n"/>
      <c r="DP61" s="13" t="n"/>
    </row>
    <row r="62" ht="12.6" customFormat="1" customHeight="1" s="17" thickBot="1">
      <c r="A62" s="665" t="n"/>
      <c r="C62" s="943" t="n"/>
      <c r="D62" s="944" t="n"/>
      <c r="E62" s="944" t="n"/>
      <c r="F62" s="944" t="n"/>
      <c r="G62" s="945" t="n"/>
      <c r="H62" s="139" t="n"/>
      <c r="I62" s="139" t="n"/>
      <c r="J62" s="139" t="n"/>
      <c r="CN62" s="13" t="n"/>
      <c r="CO62" s="13" t="n"/>
      <c r="CP62" s="13" t="n"/>
      <c r="CQ62" s="62" t="n"/>
      <c r="CR62" s="62" t="n"/>
      <c r="CS62" s="62" t="n"/>
      <c r="CT62" s="62" t="n"/>
      <c r="CU62" s="62" t="n"/>
      <c r="CV62" s="62" t="n"/>
      <c r="CW62" s="62" t="n"/>
      <c r="CX62" s="13" t="n"/>
      <c r="CY62" s="13" t="n"/>
      <c r="CZ62" s="62" t="n"/>
      <c r="DA62" s="62" t="n"/>
      <c r="DB62" s="62" t="n"/>
      <c r="DC62" s="62" t="n"/>
      <c r="DD62" s="62" t="n"/>
      <c r="DE62" s="13" t="n"/>
      <c r="DF62" s="13" t="n"/>
      <c r="DG62" s="13" t="n"/>
      <c r="DH62" s="13" t="n"/>
      <c r="DI62" s="13" t="n"/>
      <c r="DJ62" s="13" t="n"/>
      <c r="DK62" s="13" t="n"/>
      <c r="DL62" s="13" t="n"/>
      <c r="DM62" s="13" t="n"/>
      <c r="DN62" s="13" t="n"/>
      <c r="DO62" s="13" t="n"/>
      <c r="DP62" s="13" t="n"/>
    </row>
    <row r="63">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6.5" customHeight="1">
      <c r="A66" s="540" t="n"/>
      <c r="B66" s="21" t="inlineStr">
        <is>
          <t xml:space="preserve">表2 </t>
        </is>
      </c>
      <c r="C66" s="140" t="inlineStr">
        <is>
          <t>对于单项费用类别金额占整个资产减值损失比例达到一定比例查看J列，需要获取该单项费用的组成明细，需要获取支持性文件如合同等，在必要时进行费用测试。（表格请审计团队自行设计）</t>
        </is>
      </c>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row r="106">
      <c r="A106" s="540" t="n"/>
      <c r="CW106" s="143" t="n"/>
      <c r="CX106" s="143" t="n"/>
      <c r="CY106" s="143" t="n"/>
      <c r="CZ106" s="143" t="n"/>
      <c r="DA106" s="143" t="n"/>
      <c r="DB106" s="143" t="n"/>
      <c r="DC106" s="143" t="n"/>
      <c r="DD106" s="143" t="n"/>
      <c r="DE106" s="143" t="n"/>
      <c r="DF106" s="143" t="n"/>
      <c r="DG106" s="143" t="n"/>
      <c r="DH106" s="143" t="n"/>
      <c r="DI106" s="143" t="n"/>
      <c r="DJ106" s="143" t="n"/>
      <c r="DK106" s="143" t="n"/>
      <c r="DL106" s="143" t="n"/>
      <c r="DM106" s="143" t="n"/>
      <c r="DN106" s="143" t="n"/>
      <c r="DO106" s="143" t="n"/>
      <c r="DP106" s="143" t="n"/>
      <c r="DQ106" s="143" t="n"/>
      <c r="DR106" s="143" t="n"/>
      <c r="DS106" s="143" t="n"/>
      <c r="DT106" s="143" t="n"/>
      <c r="DU106" s="143" t="n"/>
      <c r="DV106" s="143" t="n"/>
      <c r="DW106" s="252" t="n"/>
      <c r="DX106" s="143" t="n"/>
      <c r="DY106" s="149" t="n"/>
    </row>
    <row r="107">
      <c r="A107" s="540" t="n"/>
      <c r="CW107" s="143" t="n"/>
      <c r="CX107" s="143" t="n"/>
      <c r="CY107" s="143" t="n"/>
      <c r="CZ107" s="143" t="n"/>
      <c r="DA107" s="143" t="n"/>
      <c r="DB107" s="143" t="n"/>
      <c r="DC107" s="143" t="n"/>
      <c r="DD107" s="143" t="n"/>
      <c r="DE107" s="143" t="n"/>
      <c r="DF107" s="143" t="n"/>
      <c r="DG107" s="143" t="n"/>
      <c r="DH107" s="143" t="n"/>
      <c r="DI107" s="143" t="n"/>
      <c r="DJ107" s="143" t="n"/>
      <c r="DK107" s="143" t="n"/>
      <c r="DL107" s="143" t="n"/>
      <c r="DM107" s="143" t="n"/>
      <c r="DN107" s="143" t="n"/>
      <c r="DO107" s="143" t="n"/>
      <c r="DP107" s="143" t="n"/>
      <c r="DQ107" s="143" t="n"/>
      <c r="DR107" s="143" t="n"/>
      <c r="DS107" s="143" t="n"/>
      <c r="DT107" s="143" t="n"/>
      <c r="DU107" s="143" t="n"/>
      <c r="DV107" s="143" t="n"/>
      <c r="DW107" s="252" t="n"/>
      <c r="DX107" s="143" t="n"/>
      <c r="DY107" s="149" t="n"/>
    </row>
    <row r="108">
      <c r="A108" s="540" t="n"/>
      <c r="CW108" s="143" t="n"/>
      <c r="CX108" s="143" t="n"/>
      <c r="CY108" s="143" t="n"/>
      <c r="CZ108" s="143" t="n"/>
      <c r="DA108" s="143" t="n"/>
      <c r="DB108" s="143" t="n"/>
      <c r="DC108" s="143" t="n"/>
      <c r="DD108" s="143" t="n"/>
      <c r="DE108" s="143" t="n"/>
      <c r="DF108" s="143" t="n"/>
      <c r="DG108" s="143" t="n"/>
      <c r="DH108" s="143" t="n"/>
      <c r="DI108" s="143" t="n"/>
      <c r="DJ108" s="143" t="n"/>
      <c r="DK108" s="143" t="n"/>
      <c r="DL108" s="143" t="n"/>
      <c r="DM108" s="143" t="n"/>
      <c r="DN108" s="143" t="n"/>
      <c r="DO108" s="143" t="n"/>
      <c r="DP108" s="143" t="n"/>
      <c r="DQ108" s="143" t="n"/>
      <c r="DR108" s="143" t="n"/>
      <c r="DS108" s="143" t="n"/>
      <c r="DT108" s="143" t="n"/>
      <c r="DU108" s="143" t="n"/>
      <c r="DV108" s="143" t="n"/>
      <c r="DW108" s="252" t="n"/>
      <c r="DX108" s="143" t="n"/>
      <c r="DY108" s="149" t="n"/>
    </row>
    <row r="109">
      <c r="A109" s="540" t="n"/>
      <c r="CW109" s="143" t="n"/>
      <c r="CX109" s="143" t="n"/>
      <c r="CY109" s="143" t="n"/>
      <c r="CZ109" s="143" t="n"/>
      <c r="DA109" s="143" t="n"/>
      <c r="DB109" s="143" t="n"/>
      <c r="DC109" s="143" t="n"/>
      <c r="DD109" s="143" t="n"/>
      <c r="DE109" s="143" t="n"/>
      <c r="DF109" s="143" t="n"/>
      <c r="DG109" s="143" t="n"/>
      <c r="DH109" s="143" t="n"/>
      <c r="DI109" s="143" t="n"/>
      <c r="DJ109" s="143" t="n"/>
      <c r="DK109" s="143" t="n"/>
      <c r="DL109" s="143" t="n"/>
      <c r="DM109" s="143" t="n"/>
      <c r="DN109" s="143" t="n"/>
      <c r="DO109" s="143" t="n"/>
      <c r="DP109" s="143" t="n"/>
      <c r="DQ109" s="143" t="n"/>
      <c r="DR109" s="143" t="n"/>
      <c r="DS109" s="143" t="n"/>
      <c r="DT109" s="143" t="n"/>
      <c r="DU109" s="143" t="n"/>
      <c r="DV109" s="143" t="n"/>
      <c r="DW109" s="252" t="n"/>
      <c r="DX109" s="143" t="n"/>
      <c r="DY109" s="149" t="n"/>
    </row>
    <row r="110">
      <c r="A110" s="540" t="n"/>
      <c r="CW110" s="143" t="n"/>
      <c r="CX110" s="143" t="n"/>
      <c r="CY110" s="143" t="n"/>
      <c r="CZ110" s="143" t="n"/>
      <c r="DA110" s="143" t="n"/>
      <c r="DB110" s="143" t="n"/>
      <c r="DC110" s="143" t="n"/>
      <c r="DD110" s="143" t="n"/>
      <c r="DE110" s="143" t="n"/>
      <c r="DF110" s="143" t="n"/>
      <c r="DG110" s="143" t="n"/>
      <c r="DH110" s="143" t="n"/>
      <c r="DI110" s="143" t="n"/>
      <c r="DJ110" s="143" t="n"/>
      <c r="DK110" s="143" t="n"/>
      <c r="DL110" s="143" t="n"/>
      <c r="DM110" s="143" t="n"/>
      <c r="DN110" s="143" t="n"/>
      <c r="DO110" s="143" t="n"/>
      <c r="DP110" s="143" t="n"/>
      <c r="DQ110" s="143" t="n"/>
      <c r="DR110" s="143" t="n"/>
      <c r="DS110" s="143" t="n"/>
      <c r="DT110" s="143" t="n"/>
      <c r="DU110" s="143" t="n"/>
      <c r="DV110" s="143" t="n"/>
      <c r="DW110" s="252" t="n"/>
      <c r="DX110" s="143" t="n"/>
      <c r="DY110" s="149" t="n"/>
    </row>
    <row r="111">
      <c r="A111" s="540" t="n"/>
      <c r="CW111" s="143" t="n"/>
      <c r="CX111" s="143" t="n"/>
      <c r="CY111" s="143" t="n"/>
      <c r="CZ111" s="143" t="n"/>
      <c r="DA111" s="143" t="n"/>
      <c r="DB111" s="143" t="n"/>
      <c r="DC111" s="143" t="n"/>
      <c r="DD111" s="143" t="n"/>
      <c r="DE111" s="143" t="n"/>
      <c r="DF111" s="143" t="n"/>
      <c r="DG111" s="143" t="n"/>
      <c r="DH111" s="143" t="n"/>
      <c r="DI111" s="143" t="n"/>
      <c r="DJ111" s="143" t="n"/>
      <c r="DK111" s="143" t="n"/>
      <c r="DL111" s="143" t="n"/>
      <c r="DM111" s="143" t="n"/>
      <c r="DN111" s="143" t="n"/>
      <c r="DO111" s="143" t="n"/>
      <c r="DP111" s="143" t="n"/>
      <c r="DQ111" s="143" t="n"/>
      <c r="DR111" s="143" t="n"/>
      <c r="DS111" s="143" t="n"/>
      <c r="DT111" s="143" t="n"/>
      <c r="DU111" s="143" t="n"/>
      <c r="DV111" s="143" t="n"/>
      <c r="DW111" s="252" t="n"/>
      <c r="DX111" s="143" t="n"/>
      <c r="DY111" s="149" t="n"/>
    </row>
    <row r="112">
      <c r="A112" s="540" t="n"/>
      <c r="CW112" s="143" t="n"/>
      <c r="CX112" s="143" t="n"/>
      <c r="CY112" s="143" t="n"/>
      <c r="CZ112" s="143" t="n"/>
      <c r="DA112" s="143" t="n"/>
      <c r="DB112" s="143" t="n"/>
      <c r="DC112" s="143" t="n"/>
      <c r="DD112" s="143" t="n"/>
      <c r="DE112" s="143" t="n"/>
      <c r="DF112" s="143" t="n"/>
      <c r="DG112" s="143" t="n"/>
      <c r="DH112" s="143" t="n"/>
      <c r="DI112" s="143" t="n"/>
      <c r="DJ112" s="143" t="n"/>
      <c r="DK112" s="143" t="n"/>
      <c r="DL112" s="143" t="n"/>
      <c r="DM112" s="143" t="n"/>
      <c r="DN112" s="143" t="n"/>
      <c r="DO112" s="143" t="n"/>
      <c r="DP112" s="143" t="n"/>
      <c r="DQ112" s="143" t="n"/>
      <c r="DR112" s="143" t="n"/>
      <c r="DS112" s="143" t="n"/>
      <c r="DT112" s="143" t="n"/>
      <c r="DU112" s="143" t="n"/>
      <c r="DV112" s="143" t="n"/>
      <c r="DW112" s="252" t="n"/>
      <c r="DX112" s="143" t="n"/>
      <c r="DY112" s="149" t="n"/>
    </row>
    <row r="113">
      <c r="A113" s="540" t="n"/>
      <c r="CW113" s="143" t="n"/>
      <c r="CX113" s="143" t="n"/>
      <c r="CY113" s="143" t="n"/>
      <c r="CZ113" s="143" t="n"/>
      <c r="DA113" s="143" t="n"/>
      <c r="DB113" s="143" t="n"/>
      <c r="DC113" s="143" t="n"/>
      <c r="DD113" s="143" t="n"/>
      <c r="DE113" s="143" t="n"/>
      <c r="DF113" s="143" t="n"/>
      <c r="DG113" s="143" t="n"/>
      <c r="DH113" s="143" t="n"/>
      <c r="DI113" s="143" t="n"/>
      <c r="DJ113" s="143" t="n"/>
      <c r="DK113" s="143" t="n"/>
      <c r="DL113" s="143" t="n"/>
      <c r="DM113" s="143" t="n"/>
      <c r="DN113" s="143" t="n"/>
      <c r="DO113" s="143" t="n"/>
      <c r="DP113" s="143" t="n"/>
      <c r="DQ113" s="143" t="n"/>
      <c r="DR113" s="143" t="n"/>
      <c r="DS113" s="143" t="n"/>
      <c r="DT113" s="143" t="n"/>
      <c r="DU113" s="143" t="n"/>
      <c r="DV113" s="143" t="n"/>
      <c r="DW113" s="252" t="n"/>
      <c r="DX113" s="143" t="n"/>
      <c r="DY113" s="149" t="n"/>
    </row>
  </sheetData>
  <mergeCells count="13">
    <mergeCell ref="O5:O6"/>
    <mergeCell ref="N5:N6"/>
    <mergeCell ref="D14:F14"/>
    <mergeCell ref="D11:F11"/>
    <mergeCell ref="D13:F13"/>
    <mergeCell ref="C19:G21"/>
    <mergeCell ref="L5:L6"/>
    <mergeCell ref="D12:F12"/>
    <mergeCell ref="C60:G62"/>
    <mergeCell ref="D9:F9"/>
    <mergeCell ref="M5:M6"/>
    <mergeCell ref="D8:F8"/>
    <mergeCell ref="D10:F10"/>
  </mergeCells>
  <conditionalFormatting sqref="C44:G49">
    <cfRule type="containsBlanks" priority="1" dxfId="0">
      <formula>LEN(TRIM(C44))=0</formula>
    </cfRule>
  </conditionalFormatting>
  <conditionalFormatting sqref="C19:G21 C29:F29 C32:F34 C60:G62 D24 G9:I14 I38 M38:N38 N29 N32:N34">
    <cfRule type="containsBlanks" priority="2"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2.xml><?xml version="1.0" encoding="utf-8"?>
<worksheet xmlns="http://schemas.openxmlformats.org/spreadsheetml/2006/main">
  <sheetPr codeName="Sheet12">
    <outlinePr summaryBelow="1" summaryRight="1"/>
    <pageSetUpPr/>
  </sheetPr>
  <dimension ref="A1:EA105"/>
  <sheetViews>
    <sheetView showGridLines="0" zoomScale="70" zoomScaleNormal="70" workbookViewId="0">
      <selection activeCell="P37" sqref="P37"/>
    </sheetView>
  </sheetViews>
  <sheetFormatPr baseColWidth="8" defaultColWidth="9.5703125" defaultRowHeight="12.75" customHeight="1" outlineLevelRow="1"/>
  <cols>
    <col width="0.140625" customWidth="1" style="164" min="1" max="1"/>
    <col width="5.28515625" customWidth="1" style="19" min="2" max="2"/>
    <col width="25" customWidth="1" style="19" min="3" max="3"/>
    <col width="37.140625" customWidth="1" style="19" min="4" max="4"/>
    <col width="24.5703125" customWidth="1" style="19" min="5" max="5"/>
    <col width="22" customWidth="1" style="19" min="6" max="6"/>
    <col width="17.7109375" customWidth="1" style="19" min="7" max="7"/>
    <col width="22.140625" customWidth="1" style="19" min="8" max="8"/>
    <col width="22.42578125" customWidth="1" style="19" min="9" max="9"/>
    <col width="25.7109375" customWidth="1" style="19" min="10" max="10"/>
    <col outlineLevel="1" width="24.85546875" customWidth="1" style="19" min="11" max="11"/>
    <col outlineLevel="1" width="14.42578125" customWidth="1" style="19" min="12" max="12"/>
    <col width="14.42578125" customWidth="1" style="19" min="13" max="14"/>
    <col width="14.140625" customWidth="1" style="19" min="15" max="16"/>
    <col width="11.140625" customWidth="1" style="19" min="17" max="17"/>
    <col width="12.28515625" customWidth="1" style="19" min="18" max="18"/>
    <col width="22.7109375" customWidth="1" style="19" min="19" max="19"/>
    <col width="14.85546875" customWidth="1" style="19" min="20" max="20"/>
    <col width="8.7109375" customWidth="1" style="19" min="21" max="25"/>
    <col width="14.85546875" customWidth="1" style="19" min="26" max="26"/>
    <col width="13.28515625" customWidth="1" style="19" min="27" max="28"/>
    <col width="10.42578125" customWidth="1" style="19" min="29"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75" customHeight="1">
      <c r="A1" s="540" t="inlineStr">
        <is>
          <t>9044ccd0-ddb8-4146-932f-064afb5425f6</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6.3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1.通过执行分析和调查两期的资产处置损益重大变动来确定其变动是否合理。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从管理层处取得本期资产处置损益账户的明细。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93.59999999999999" customHeight="1">
      <c r="A12" s="660" t="n"/>
      <c r="C12" s="515" t="n">
        <v>4</v>
      </c>
      <c r="D12" s="948" t="inlineStr">
        <is>
          <t>对于单项重大的资产处置损益，需要获取该单项费用的组成明细，需要获取支持性文件如合同等，在必要时进行费用测试。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78.7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76.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0" t="n"/>
      <c r="CS25" s="6" t="n"/>
      <c r="CT25" s="6" t="n"/>
      <c r="CU25" s="6" t="n"/>
      <c r="CV25" s="143" t="n"/>
      <c r="CW25" s="143" t="n"/>
      <c r="CX25" s="143" t="n"/>
      <c r="CY25" s="143" t="n"/>
      <c r="CZ25" s="143" t="n"/>
      <c r="DA25" s="143" t="n"/>
      <c r="DB25" s="143" t="n"/>
      <c r="DC25" s="143" t="n"/>
      <c r="DD25" s="6" t="n"/>
      <c r="DE25" s="143" t="n"/>
      <c r="DF25" s="143" t="n"/>
      <c r="DG25" s="143" t="n"/>
      <c r="DH25" s="143" t="n"/>
      <c r="DI25" s="143" t="n"/>
      <c r="DJ25" s="6" t="n"/>
      <c r="DK25" s="6" t="n"/>
      <c r="DL25" s="6" t="n"/>
      <c r="DM25" s="6" t="n"/>
      <c r="DN25" s="6" t="n"/>
      <c r="DO25" s="6" t="n"/>
      <c r="DP25" s="6" t="n"/>
      <c r="DQ25" s="6" t="n"/>
      <c r="DR25" s="6" t="n"/>
      <c r="DS25" s="200" t="n"/>
      <c r="DT25" s="6" t="n"/>
      <c r="DU25" s="6" t="n"/>
    </row>
    <row r="26" ht="12.6"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J28" s="6" t="n"/>
      <c r="CK28" s="6" t="n"/>
      <c r="CL28" s="6" t="n"/>
      <c r="CM28" s="143" t="n"/>
      <c r="CN28" s="143" t="n"/>
      <c r="CO28" s="143" t="n"/>
      <c r="CP28" s="143" t="n"/>
      <c r="CQ28" s="143" t="n"/>
      <c r="CR28" s="143" t="n"/>
      <c r="CS28" s="143" t="n"/>
      <c r="CT28" s="143" t="n"/>
      <c r="CU28" s="6" t="n"/>
      <c r="CV28" s="143" t="n"/>
      <c r="CW28" s="143" t="n"/>
      <c r="CX28" s="143" t="n"/>
      <c r="CY28" s="143" t="n"/>
      <c r="CZ28" s="143" t="n"/>
      <c r="DA28" s="6" t="n"/>
      <c r="DB28" s="6" t="n"/>
      <c r="DC28" s="6" t="n"/>
      <c r="DD28" s="6" t="n"/>
      <c r="DE28" s="6" t="n"/>
      <c r="DF28" s="6" t="n"/>
      <c r="DG28" s="6" t="n"/>
      <c r="DH28" s="6" t="n"/>
      <c r="DI28" s="6" t="n"/>
      <c r="DJ28" s="200" t="n"/>
      <c r="DK28" s="6" t="n"/>
      <c r="DL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J29" s="6" t="n"/>
      <c r="CK29" s="6" t="n"/>
      <c r="CL29" s="6" t="n"/>
      <c r="CM29" s="143" t="n"/>
      <c r="CN29" s="143" t="n"/>
      <c r="CO29" s="143" t="n"/>
      <c r="CP29" s="143" t="n"/>
      <c r="CQ29" s="143" t="n"/>
      <c r="CR29" s="143" t="n"/>
      <c r="CS29" s="143" t="n"/>
      <c r="CT29" s="143" t="n"/>
      <c r="CU29" s="6" t="n"/>
      <c r="CV29" s="143" t="n"/>
      <c r="CW29" s="143" t="n"/>
      <c r="CX29" s="143" t="n"/>
      <c r="CY29" s="143" t="n"/>
      <c r="CZ29" s="143" t="n"/>
      <c r="DA29" s="6" t="n"/>
      <c r="DB29" s="6" t="n"/>
      <c r="DC29" s="6" t="n"/>
      <c r="DD29" s="6" t="n"/>
      <c r="DE29" s="6" t="n"/>
      <c r="DF29" s="6" t="n"/>
      <c r="DG29" s="6" t="n"/>
      <c r="DH29" s="6" t="n"/>
      <c r="DI29" s="6" t="n"/>
      <c r="DJ29" s="200" t="n"/>
      <c r="DK29" s="6" t="n"/>
      <c r="DL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J30" s="6" t="n"/>
      <c r="CK30" s="6" t="n"/>
      <c r="CL30" s="6" t="n"/>
      <c r="CM30" s="143" t="n"/>
      <c r="CN30" s="143" t="n"/>
      <c r="CO30" s="143" t="n"/>
      <c r="CP30" s="143" t="n"/>
      <c r="CQ30" s="143" t="n"/>
      <c r="CR30" s="143" t="n"/>
      <c r="CS30" s="143" t="n"/>
      <c r="CT30" s="143" t="n"/>
      <c r="CU30" s="6" t="n"/>
      <c r="CV30" s="143" t="n"/>
      <c r="CW30" s="143" t="n"/>
      <c r="CX30" s="143" t="n"/>
      <c r="CY30" s="143" t="n"/>
      <c r="CZ30" s="143" t="n"/>
      <c r="DA30" s="6" t="n"/>
      <c r="DB30" s="6" t="n"/>
      <c r="DC30" s="6" t="n"/>
      <c r="DD30" s="6" t="n"/>
      <c r="DE30" s="6" t="n"/>
      <c r="DF30" s="6" t="n"/>
      <c r="DG30" s="6" t="n"/>
      <c r="DH30" s="6" t="n"/>
      <c r="DI30" s="6" t="n"/>
      <c r="DJ30" s="200" t="n"/>
      <c r="DK30" s="6" t="n"/>
      <c r="DL30" s="6"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J35" s="6" t="n"/>
      <c r="CK35" s="6" t="n"/>
      <c r="CL35" s="6" t="n"/>
      <c r="CM35" s="143" t="n"/>
      <c r="CN35" s="143" t="n"/>
      <c r="CO35" s="143" t="n"/>
      <c r="CP35" s="143" t="n"/>
      <c r="CQ35" s="143" t="n"/>
      <c r="CR35" s="143" t="n"/>
      <c r="CS35" s="143" t="n"/>
      <c r="CT35" s="143" t="n"/>
      <c r="CU35" s="6" t="n"/>
      <c r="CV35" s="143" t="n"/>
      <c r="CW35" s="143" t="n"/>
      <c r="CX35" s="143" t="n"/>
      <c r="CY35" s="143" t="n"/>
      <c r="CZ35" s="143" t="n"/>
      <c r="DA35" s="6" t="n"/>
      <c r="DB35" s="6" t="n"/>
      <c r="DC35" s="6" t="n"/>
      <c r="DD35" s="6" t="n"/>
      <c r="DE35" s="6" t="n"/>
      <c r="DF35" s="6" t="n"/>
      <c r="DG35" s="6" t="n"/>
      <c r="DH35" s="6" t="n"/>
      <c r="DI35" s="6" t="n"/>
      <c r="DJ35" s="200" t="n"/>
      <c r="DK35" s="6" t="n"/>
      <c r="DL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19" t="n"/>
      <c r="U36" s="990" t="n"/>
      <c r="CM36" s="6" t="n"/>
      <c r="CN36" s="6" t="n"/>
      <c r="CO36" s="6" t="n"/>
      <c r="CP36" s="143" t="n"/>
      <c r="CQ36" s="143" t="n"/>
      <c r="CR36" s="143" t="n"/>
      <c r="CS36" s="143" t="n"/>
      <c r="CT36" s="143" t="n"/>
      <c r="CU36" s="143" t="n"/>
      <c r="CV36" s="143" t="n"/>
      <c r="CW36" s="143" t="n"/>
      <c r="CX36" s="6" t="n"/>
      <c r="CY36" s="143" t="n"/>
      <c r="CZ36" s="143" t="n"/>
      <c r="DA36" s="143" t="n"/>
      <c r="DB36" s="143" t="n"/>
      <c r="DC36" s="143" t="n"/>
      <c r="DD36" s="6" t="n"/>
      <c r="DE36" s="6" t="n"/>
      <c r="DF36" s="6" t="n"/>
      <c r="DG36" s="6" t="n"/>
      <c r="DH36" s="6" t="n"/>
      <c r="DI36" s="6" t="n"/>
      <c r="DJ36" s="6" t="n"/>
      <c r="DK36" s="6" t="n"/>
      <c r="DL36" s="6" t="n"/>
      <c r="DM36" s="200" t="n"/>
      <c r="DN36" s="6" t="n"/>
      <c r="DO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182" t="n"/>
      <c r="S39" s="182" t="n"/>
      <c r="T39" s="999" t="n"/>
      <c r="U39" s="990" t="n"/>
      <c r="V39" s="990" t="n"/>
      <c r="W39" s="990" t="n"/>
      <c r="CO39" s="6" t="n"/>
      <c r="CP39" s="6" t="n"/>
      <c r="CQ39" s="6" t="n"/>
      <c r="CR39" s="143" t="n"/>
      <c r="CS39" s="143" t="n"/>
      <c r="CT39" s="143" t="n"/>
      <c r="CU39" s="143" t="n"/>
      <c r="CV39" s="143" t="n"/>
      <c r="CW39" s="143" t="n"/>
      <c r="CX39" s="143" t="n"/>
      <c r="CY39" s="143" t="n"/>
      <c r="CZ39" s="6" t="n"/>
      <c r="DA39" s="143" t="n"/>
      <c r="DB39" s="143" t="n"/>
      <c r="DC39" s="143" t="n"/>
      <c r="DD39" s="143" t="n"/>
      <c r="DE39" s="143" t="n"/>
      <c r="DF39" s="6" t="n"/>
      <c r="DG39" s="6" t="n"/>
      <c r="DH39" s="6" t="n"/>
      <c r="DI39" s="6" t="n"/>
      <c r="DJ39" s="6" t="n"/>
      <c r="DK39" s="6" t="n"/>
      <c r="DL39" s="6" t="n"/>
      <c r="DM39" s="6" t="n"/>
      <c r="DN39" s="6" t="n"/>
      <c r="DO39" s="200" t="n"/>
      <c r="DP39" s="6" t="n"/>
      <c r="DQ39" s="6" t="n"/>
    </row>
    <row r="40" ht="12.75" customFormat="1" customHeight="1" s="1069" thickBot="1">
      <c r="A40" s="1070" t="n"/>
      <c r="C40" s="931" t="n"/>
      <c r="D40" s="1069" t="n"/>
      <c r="E40" s="1069" t="n"/>
      <c r="F40" s="1069" t="n"/>
      <c r="G40" s="1069" t="n"/>
      <c r="H40" s="1071" t="n"/>
      <c r="I40" s="1069" t="n"/>
      <c r="J40" s="1069" t="n"/>
      <c r="K40" s="1071" t="n"/>
      <c r="L40" s="1071" t="n"/>
      <c r="M40" s="1071" t="n"/>
      <c r="N40" s="1069" t="n"/>
      <c r="O40" s="1072" t="n"/>
      <c r="P40" s="1072" t="n"/>
      <c r="Q40" s="1072" t="n"/>
      <c r="R40" s="1072" t="n"/>
      <c r="S40" s="1069" t="n"/>
      <c r="T40" s="1069" t="n"/>
      <c r="U40" s="1072" t="n"/>
      <c r="V40" s="1072" t="n"/>
      <c r="W40" s="1072" t="n"/>
      <c r="X40" s="1072" t="n"/>
      <c r="Y40" s="1072" t="n"/>
      <c r="Z40" s="1072" t="n"/>
      <c r="AA40" s="1069" t="n"/>
      <c r="AC40" s="1072" t="n"/>
      <c r="AF40" s="1073" t="n"/>
      <c r="AG40" s="1073" t="n"/>
      <c r="AH40" s="1073" t="n"/>
      <c r="AI40" s="1073" t="n"/>
      <c r="AJ40" s="1073" t="n"/>
      <c r="AK40" s="1073" t="n"/>
      <c r="AL40" s="1074" t="n"/>
      <c r="AM40" s="1074" t="n"/>
      <c r="AN40" s="1074" t="n"/>
      <c r="AO40" s="1074" t="n"/>
      <c r="AP40" s="1074" t="n"/>
      <c r="AQ40" s="1074" t="n"/>
      <c r="CX40" s="6" t="n"/>
      <c r="CY40" s="6" t="n"/>
      <c r="CZ40" s="6" t="n"/>
      <c r="DA40" s="143" t="n"/>
      <c r="DB40" s="143" t="n"/>
      <c r="DC40" s="143" t="n"/>
      <c r="DD40" s="143" t="n"/>
      <c r="DE40" s="143" t="n"/>
      <c r="DF40" s="143" t="n"/>
      <c r="DG40" s="143" t="n"/>
      <c r="DH40" s="143" t="n"/>
      <c r="DI40" s="6" t="n"/>
      <c r="DJ40" s="143" t="n"/>
      <c r="DK40" s="143" t="n"/>
      <c r="DL40" s="143" t="n"/>
      <c r="DM40" s="143" t="n"/>
      <c r="DN40" s="143" t="n"/>
      <c r="DO40" s="6" t="n"/>
      <c r="DP40" s="6" t="n"/>
      <c r="DQ40" s="6" t="n"/>
      <c r="DR40" s="6" t="n"/>
      <c r="DS40" s="6" t="n"/>
      <c r="DT40" s="6" t="n"/>
      <c r="DU40" s="6" t="n"/>
      <c r="DV40" s="6" t="n"/>
      <c r="DW40" s="6" t="n"/>
      <c r="DX40" s="200" t="n"/>
      <c r="DY40" s="6" t="n"/>
      <c r="DZ40" s="6" t="n"/>
    </row>
    <row r="41" ht="12.75" customHeight="1">
      <c r="A41" s="541" t="n"/>
      <c r="C41" s="782" t="inlineStr">
        <is>
          <t>与资产负债表核对如下：</t>
        </is>
      </c>
      <c r="D41" s="783" t="n"/>
      <c r="E41" s="783" t="n"/>
      <c r="F41" s="784" t="n"/>
      <c r="G41" s="784" t="n"/>
      <c r="H41" s="785" t="n"/>
      <c r="CY41" s="6" t="n"/>
      <c r="CZ41" s="6" t="n"/>
      <c r="DA41" s="143" t="n"/>
      <c r="DB41" s="143" t="n"/>
      <c r="DC41" s="143" t="n"/>
      <c r="DD41" s="143" t="n"/>
      <c r="DE41" s="143" t="n"/>
      <c r="DF41" s="143" t="n"/>
      <c r="DG41" s="143" t="n"/>
      <c r="DH41" s="143" t="n"/>
      <c r="DI41" s="143" t="n"/>
      <c r="DJ41" s="6" t="n"/>
      <c r="DK41" s="143" t="n"/>
      <c r="DL41" s="143" t="n"/>
      <c r="DM41" s="143" t="n"/>
      <c r="DN41" s="143" t="n"/>
      <c r="DO41" s="143" t="n"/>
      <c r="DP41" s="6" t="n"/>
      <c r="DQ41" s="6" t="n"/>
      <c r="DR41" s="6" t="n"/>
      <c r="DS41" s="6" t="n"/>
      <c r="DT41" s="6" t="n"/>
      <c r="DU41" s="6" t="n"/>
      <c r="DV41" s="6" t="n"/>
      <c r="DW41" s="6" t="n"/>
      <c r="DX41" s="6" t="n"/>
      <c r="DY41" s="200" t="n"/>
      <c r="DZ41" s="6" t="n"/>
      <c r="EA41" s="6" t="n"/>
    </row>
    <row r="42" ht="12.75" customHeight="1">
      <c r="A42" s="660" t="n"/>
      <c r="C42" s="286" t="inlineStr">
        <is>
          <t>交叉索引</t>
        </is>
      </c>
      <c r="D42" s="287" t="inlineStr">
        <is>
          <t>账套名称/账套编码</t>
        </is>
      </c>
      <c r="E42" s="287" t="inlineStr">
        <is>
          <t>科目编码</t>
        </is>
      </c>
      <c r="F42" s="287" t="inlineStr">
        <is>
          <t>科目名称</t>
        </is>
      </c>
      <c r="G42" s="275" t="inlineStr">
        <is>
          <t>处置损益</t>
        </is>
      </c>
      <c r="H42" s="310" t="n"/>
      <c r="CY42" s="6" t="n"/>
      <c r="CZ42" s="143" t="n"/>
      <c r="DA42" s="143" t="n"/>
      <c r="DB42" s="143" t="n"/>
      <c r="DC42" s="143" t="n"/>
      <c r="DD42" s="143" t="n"/>
      <c r="DE42" s="143" t="n"/>
      <c r="DF42" s="143" t="n"/>
      <c r="DG42" s="143" t="n"/>
      <c r="DH42" s="143" t="n"/>
      <c r="DI42" s="143" t="n"/>
      <c r="DJ42" s="143" t="n"/>
      <c r="DK42" s="143" t="n"/>
      <c r="DL42" s="143" t="n"/>
      <c r="DM42" s="143" t="n"/>
      <c r="DN42" s="143" t="n"/>
      <c r="DO42" s="143" t="n"/>
      <c r="DP42" s="143" t="n"/>
      <c r="DQ42" s="6" t="n"/>
      <c r="DR42" s="6" t="n"/>
      <c r="DS42" s="6" t="n"/>
      <c r="DT42" s="6" t="n"/>
      <c r="DU42" s="6" t="n"/>
      <c r="DV42" s="143" t="n"/>
      <c r="DW42" s="143" t="n"/>
      <c r="DX42" s="143" t="n"/>
      <c r="DY42" s="252" t="n"/>
      <c r="DZ42" s="6" t="n"/>
      <c r="EA42" s="6" t="n"/>
    </row>
    <row r="43" ht="12.75" customHeight="1">
      <c r="A43" s="660" t="n"/>
      <c r="C43" s="311" t="n"/>
      <c r="D43" s="312" t="n"/>
      <c r="E43" s="312" t="n"/>
      <c r="F43" s="9" t="inlineStr">
        <is>
          <t>固定资产处置损益</t>
        </is>
      </c>
      <c r="G43" s="1075" t="n"/>
      <c r="H43" s="310" t="n"/>
      <c r="CY43" s="6" t="n"/>
      <c r="CZ43" s="143" t="n"/>
      <c r="DA43" s="143" t="n"/>
      <c r="DB43" s="143" t="n"/>
      <c r="DC43" s="143" t="n"/>
      <c r="DD43" s="143" t="n"/>
      <c r="DE43" s="143" t="n"/>
      <c r="DF43" s="143" t="n"/>
      <c r="DG43" s="143" t="n"/>
      <c r="DH43" s="143" t="n"/>
      <c r="DI43" s="143" t="n"/>
      <c r="DJ43" s="143" t="n"/>
      <c r="DK43" s="143" t="n"/>
      <c r="DL43" s="143" t="n"/>
      <c r="DM43" s="143" t="n"/>
      <c r="DN43" s="143" t="n"/>
      <c r="DO43" s="143" t="n"/>
      <c r="DP43" s="143" t="n"/>
      <c r="DQ43" s="143" t="n"/>
      <c r="DR43" s="143" t="n"/>
      <c r="DS43" s="143" t="n"/>
      <c r="DT43" s="143" t="n"/>
      <c r="DU43" s="143" t="n"/>
      <c r="DV43" s="143" t="n"/>
      <c r="DW43" s="143" t="n"/>
      <c r="DX43" s="143" t="n"/>
      <c r="DY43" s="252" t="n"/>
      <c r="DZ43" s="6" t="n"/>
      <c r="EA43" s="6" t="n"/>
    </row>
    <row r="44" ht="12.75" customHeight="1">
      <c r="A44" s="660" t="n"/>
      <c r="C44" s="311" t="n"/>
      <c r="D44" s="312" t="n"/>
      <c r="E44" s="312" t="n"/>
      <c r="F44" s="9" t="inlineStr">
        <is>
          <t>无形资产处置损益</t>
        </is>
      </c>
      <c r="G44" s="1075" t="n"/>
      <c r="H44" s="310" t="n"/>
      <c r="CY44" s="143"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143" t="n"/>
      <c r="DR44" s="143" t="n"/>
      <c r="DS44" s="143" t="n"/>
      <c r="DT44" s="143" t="n"/>
      <c r="DU44" s="143" t="n"/>
      <c r="DV44" s="143" t="n"/>
      <c r="DW44" s="143" t="n"/>
      <c r="DX44" s="143" t="n"/>
      <c r="DY44" s="252" t="n"/>
      <c r="DZ44" s="143" t="n"/>
      <c r="EA44" s="149" t="n"/>
    </row>
    <row r="45" ht="12.75" customHeight="1">
      <c r="A45" s="660" t="n"/>
      <c r="C45" s="311" t="n"/>
      <c r="D45" s="312" t="n"/>
      <c r="E45" s="312" t="n"/>
      <c r="F45" s="9" t="inlineStr">
        <is>
          <t>在建工程处置损益</t>
        </is>
      </c>
      <c r="G45" s="1075" t="n"/>
      <c r="H45" s="310" t="n"/>
      <c r="CY45" s="143"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143" t="n"/>
      <c r="DX45" s="143" t="n"/>
      <c r="DY45" s="252" t="n"/>
      <c r="DZ45" s="143" t="n"/>
      <c r="EA45" s="149" t="n"/>
    </row>
    <row r="46" ht="12.75" customHeight="1">
      <c r="A46" s="660" t="n"/>
      <c r="C46" s="311" t="n"/>
      <c r="D46" s="312" t="n"/>
      <c r="E46" s="312" t="n"/>
      <c r="F46" s="282" t="inlineStr">
        <is>
          <t>【其他-可加行】</t>
        </is>
      </c>
      <c r="G46" s="1076" t="n"/>
      <c r="H46" s="310"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143" t="n"/>
      <c r="DX46" s="143" t="n"/>
      <c r="DY46" s="252" t="n"/>
      <c r="DZ46" s="143" t="n"/>
      <c r="EA46" s="149" t="n"/>
    </row>
    <row r="47" ht="12.75" customHeight="1">
      <c r="A47" s="540" t="n"/>
      <c r="C47" s="311" t="n"/>
      <c r="D47" s="312" t="n"/>
      <c r="E47" s="312" t="n"/>
      <c r="F47" s="9" t="inlineStr">
        <is>
          <t>资产负债表科目金额小计</t>
        </is>
      </c>
      <c r="G47" s="1075">
        <f>SUM(G43:G46)</f>
        <v/>
      </c>
      <c r="H47" s="310"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143" t="n"/>
      <c r="DX47" s="143" t="n"/>
      <c r="DY47" s="252" t="n"/>
      <c r="DZ47" s="143" t="n"/>
      <c r="EA47" s="149" t="n"/>
    </row>
    <row r="48" ht="12.75" customHeight="1">
      <c r="A48" s="540" t="n"/>
      <c r="C48" s="311" t="n"/>
      <c r="D48" s="312" t="n"/>
      <c r="E48" s="312" t="n"/>
      <c r="F48" s="9" t="inlineStr">
        <is>
          <t>利润表资产处置损益金额</t>
        </is>
      </c>
      <c r="G48" s="1075">
        <f>$I$36</f>
        <v/>
      </c>
      <c r="H48" s="310"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143" t="n"/>
      <c r="DX48" s="143" t="n"/>
      <c r="DY48" s="252" t="n"/>
      <c r="DZ48" s="143" t="n"/>
      <c r="EA48" s="149" t="n"/>
    </row>
    <row r="49" ht="12.75" customHeight="1">
      <c r="A49" s="540" t="n"/>
      <c r="C49" s="311" t="n"/>
      <c r="D49" s="312" t="n"/>
      <c r="E49" s="312" t="n"/>
      <c r="F49" s="9" t="n"/>
      <c r="G49" s="1075" t="n"/>
      <c r="H49" s="310"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143" t="n"/>
      <c r="DX49" s="143" t="n"/>
      <c r="DY49" s="252" t="n"/>
      <c r="DZ49" s="143" t="n"/>
      <c r="EA49" s="149" t="n"/>
    </row>
    <row r="50" ht="12.75" customHeight="1" thickBot="1">
      <c r="A50" s="540" t="n"/>
      <c r="C50" s="311" t="n"/>
      <c r="D50" s="312" t="n"/>
      <c r="E50" s="312" t="n"/>
      <c r="F50" s="9" t="inlineStr">
        <is>
          <t>差异</t>
        </is>
      </c>
      <c r="G50" s="1077">
        <f>G47-G48</f>
        <v/>
      </c>
      <c r="H50" s="310"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143" t="n"/>
      <c r="DX50" s="143" t="n"/>
      <c r="DY50" s="252" t="n"/>
      <c r="DZ50" s="143" t="n"/>
      <c r="EA50" s="149" t="n"/>
    </row>
    <row r="51" ht="12.75" customHeight="1" thickTop="1">
      <c r="A51" s="540" t="n"/>
      <c r="C51" s="311" t="n"/>
      <c r="D51" s="312" t="n"/>
      <c r="E51" s="312" t="n"/>
      <c r="F51" s="9" t="n"/>
      <c r="G51" s="1078" t="n"/>
      <c r="H51" s="310"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143" t="n"/>
      <c r="DX51" s="143" t="n"/>
      <c r="DY51" s="252" t="n"/>
      <c r="DZ51" s="143" t="n"/>
      <c r="EA51" s="149" t="n"/>
    </row>
    <row r="52" ht="12.75" customHeight="1" thickBot="1">
      <c r="A52" s="540" t="n"/>
      <c r="C52" s="316" t="n"/>
      <c r="D52" s="317" t="n"/>
      <c r="E52" s="317" t="n"/>
      <c r="F52" s="318" t="n"/>
      <c r="G52" s="319" t="n"/>
      <c r="H52" s="320"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143" t="n"/>
      <c r="DX52" s="143" t="n"/>
      <c r="DY52" s="252" t="n"/>
      <c r="DZ52" s="143" t="n"/>
      <c r="EA52" s="149" t="n"/>
    </row>
    <row r="53" ht="13.35" customFormat="1" customHeight="1" s="6">
      <c r="A53" s="539" t="n"/>
      <c r="G53" s="215" t="n"/>
      <c r="H53" s="1069" t="n"/>
      <c r="I53" s="19" t="n"/>
      <c r="J53" s="215"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3.35" customFormat="1" customHeight="1" s="6">
      <c r="A54" s="539" t="n"/>
      <c r="G54" s="215" t="n"/>
      <c r="H54" s="1069" t="n"/>
      <c r="I54" s="19" t="n"/>
      <c r="J54" s="215"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3.35" customFormat="1" customHeight="1" s="13" thickBot="1">
      <c r="A55" s="663" t="n"/>
      <c r="B55" s="88" t="inlineStr">
        <is>
          <t>Notes</t>
        </is>
      </c>
      <c r="C55" s="13" t="inlineStr">
        <is>
          <t>对变动不在范围内的项目进行调查，评估其合理性，并记录在“说明”中。对异常项目进行调查，并记录在“说明”中。</t>
        </is>
      </c>
      <c r="G55" s="137" t="n"/>
      <c r="H55" s="985" t="n"/>
      <c r="I55" s="19" t="n"/>
      <c r="J55" s="137" t="n"/>
      <c r="CV55" s="62" t="n"/>
      <c r="CW55" s="62" t="n"/>
      <c r="CX55" s="62" t="n"/>
      <c r="CY55" s="62" t="n"/>
      <c r="CZ55" s="62" t="n"/>
      <c r="DA55" s="62" t="n"/>
      <c r="DB55" s="62" t="n"/>
      <c r="DE55" s="62" t="n"/>
      <c r="DF55" s="62" t="n"/>
      <c r="DG55" s="62" t="n"/>
      <c r="DH55" s="62" t="n"/>
      <c r="DI55" s="62" t="n"/>
      <c r="DS55" s="107" t="n"/>
    </row>
    <row r="56" ht="12.6" customFormat="1" customHeight="1" s="17">
      <c r="A56" s="664" t="n"/>
      <c r="C56" s="986" t="n"/>
      <c r="D56" s="937" t="n"/>
      <c r="E56" s="937" t="n"/>
      <c r="F56" s="937" t="n"/>
      <c r="G56" s="938" t="n"/>
      <c r="H56" s="139" t="n"/>
      <c r="I56" s="19" t="n"/>
      <c r="J56" s="139" t="n"/>
      <c r="CN56" s="13" t="n"/>
      <c r="CO56" s="13" t="n"/>
      <c r="CP56" s="13" t="n"/>
      <c r="CQ56" s="62" t="n"/>
      <c r="CR56" s="62" t="n"/>
      <c r="CS56" s="62" t="n"/>
      <c r="CT56" s="62" t="n"/>
      <c r="CU56" s="62" t="n"/>
      <c r="CV56" s="62" t="n"/>
      <c r="CW56" s="62" t="n"/>
      <c r="CX56" s="13" t="n"/>
      <c r="CY56" s="13" t="n"/>
      <c r="CZ56" s="62" t="n"/>
      <c r="DA56" s="62" t="n"/>
      <c r="DB56" s="62" t="n"/>
      <c r="DC56" s="62" t="n"/>
      <c r="DD56" s="62" t="n"/>
      <c r="DE56" s="13" t="n"/>
      <c r="DF56" s="13" t="n"/>
      <c r="DG56" s="13" t="n"/>
      <c r="DH56" s="13" t="n"/>
      <c r="DI56" s="13" t="n"/>
      <c r="DJ56" s="13" t="n"/>
      <c r="DK56" s="13" t="n"/>
      <c r="DL56" s="13" t="n"/>
      <c r="DM56" s="13" t="n"/>
      <c r="DN56" s="107" t="n"/>
      <c r="DO56" s="13" t="n"/>
      <c r="DP56" s="13" t="n"/>
    </row>
    <row r="57" ht="12.6" customFormat="1" customHeight="1" s="17">
      <c r="A57" s="665" t="n"/>
      <c r="C57" s="940" t="n"/>
      <c r="D57" s="941" t="n"/>
      <c r="E57" s="941" t="n"/>
      <c r="F57" s="941" t="n"/>
      <c r="G57" s="942" t="n"/>
      <c r="H57" s="139" t="n"/>
      <c r="I57" s="139" t="n"/>
      <c r="J57" s="139" t="n"/>
      <c r="CN57" s="13" t="n"/>
      <c r="CO57" s="13" t="n"/>
      <c r="CP57" s="13" t="n"/>
      <c r="CQ57" s="62" t="n"/>
      <c r="CR57" s="62" t="n"/>
      <c r="CS57" s="62" t="n"/>
      <c r="CT57" s="62" t="n"/>
      <c r="CU57" s="62" t="n"/>
      <c r="CV57" s="62" t="n"/>
      <c r="CW57" s="62" t="n"/>
      <c r="CX57" s="13" t="n"/>
      <c r="CY57" s="13" t="n"/>
      <c r="CZ57" s="62" t="n"/>
      <c r="DA57" s="62" t="n"/>
      <c r="DB57" s="62" t="n"/>
      <c r="DC57" s="62" t="n"/>
      <c r="DD57" s="62" t="n"/>
      <c r="DE57" s="13" t="n"/>
      <c r="DF57" s="13" t="n"/>
      <c r="DG57" s="13" t="n"/>
      <c r="DH57" s="13" t="n"/>
      <c r="DI57" s="13" t="n"/>
      <c r="DJ57" s="13" t="n"/>
      <c r="DK57" s="13" t="n"/>
      <c r="DL57" s="13" t="n"/>
      <c r="DM57" s="13" t="n"/>
      <c r="DN57" s="107" t="n"/>
      <c r="DO57" s="13" t="n"/>
      <c r="DP57" s="13" t="n"/>
    </row>
    <row r="58" ht="12.6" customFormat="1" customHeight="1" s="17" thickBot="1">
      <c r="A58" s="665" t="n"/>
      <c r="C58" s="943" t="n"/>
      <c r="D58" s="944" t="n"/>
      <c r="E58" s="944" t="n"/>
      <c r="F58" s="944" t="n"/>
      <c r="G58" s="945" t="n"/>
      <c r="H58" s="139" t="n"/>
      <c r="I58" s="139" t="n"/>
      <c r="J58" s="139" t="n"/>
      <c r="CN58" s="13" t="n"/>
      <c r="CO58" s="13" t="n"/>
      <c r="CP58" s="13" t="n"/>
      <c r="CQ58" s="62" t="n"/>
      <c r="CR58" s="62" t="n"/>
      <c r="CS58" s="62" t="n"/>
      <c r="CT58" s="62" t="n"/>
      <c r="CU58" s="62" t="n"/>
      <c r="CV58" s="62" t="n"/>
      <c r="CW58" s="62" t="n"/>
      <c r="CX58" s="13" t="n"/>
      <c r="CY58" s="13" t="n"/>
      <c r="CZ58" s="62" t="n"/>
      <c r="DA58" s="62" t="n"/>
      <c r="DB58" s="62" t="n"/>
      <c r="DC58" s="62" t="n"/>
      <c r="DD58" s="62" t="n"/>
      <c r="DE58" s="13" t="n"/>
      <c r="DF58" s="13" t="n"/>
      <c r="DG58" s="13" t="n"/>
      <c r="DH58" s="13" t="n"/>
      <c r="DI58" s="13" t="n"/>
      <c r="DJ58" s="13" t="n"/>
      <c r="DK58" s="13" t="n"/>
      <c r="DL58" s="13" t="n"/>
      <c r="DM58" s="13" t="n"/>
      <c r="DN58" s="13" t="n"/>
      <c r="DO58" s="13" t="n"/>
      <c r="DP58" s="13" t="n"/>
    </row>
    <row r="59" ht="12.75" customHeight="1">
      <c r="A59" s="660" t="n"/>
      <c r="CW59" s="143" t="n"/>
      <c r="CX59" s="143" t="n"/>
      <c r="CY59" s="143" t="n"/>
      <c r="CZ59" s="143" t="n"/>
      <c r="DA59" s="143" t="n"/>
      <c r="DB59" s="143" t="n"/>
      <c r="DC59" s="143" t="n"/>
      <c r="DD59" s="143" t="n"/>
      <c r="DE59" s="143" t="n"/>
      <c r="DF59" s="143" t="n"/>
      <c r="DG59" s="143" t="n"/>
      <c r="DH59" s="143" t="n"/>
      <c r="DI59" s="143" t="n"/>
      <c r="DJ59" s="143" t="n"/>
      <c r="DK59" s="143" t="n"/>
      <c r="DL59" s="143" t="n"/>
      <c r="DM59" s="143" t="n"/>
      <c r="DN59" s="143" t="n"/>
      <c r="DO59" s="143" t="n"/>
      <c r="DP59" s="143" t="n"/>
      <c r="DQ59" s="143" t="n"/>
      <c r="DR59" s="143" t="n"/>
      <c r="DS59" s="143" t="n"/>
      <c r="DT59" s="143" t="n"/>
      <c r="DU59" s="143" t="n"/>
      <c r="DV59" s="143" t="n"/>
      <c r="DW59" s="252" t="n"/>
      <c r="DX59" s="143" t="n"/>
      <c r="DY59" s="149" t="n"/>
    </row>
    <row r="60" ht="12.75" customHeight="1">
      <c r="A60" s="66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75" customHeight="1">
      <c r="A61" s="66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75" customHeight="1">
      <c r="A62" s="660" t="n"/>
      <c r="B62" s="21" t="inlineStr">
        <is>
          <t xml:space="preserve">表2 </t>
        </is>
      </c>
      <c r="C62" s="140" t="inlineStr">
        <is>
          <t>对于单项费用类别金额占整个资产处置损益比例达到一定比例查看J列，需要获取该单项费用的组成明细，需要获取支持性文件如合同等，在必要时进行费用测试。（表格请审计团队自行设计）</t>
        </is>
      </c>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75" customHeight="1">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75"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75"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75"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75"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75"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75"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75"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75"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75"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75"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75"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75"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75"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75"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75"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75"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75"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75"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75"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75"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75"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75"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75"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75"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75"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75"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75"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75"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75"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75"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75"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75"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75"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75"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75"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75"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ht="12.75" customHeight="1">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ht="12.75" customHeight="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ht="12.75" customHeight="1">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ht="12.75" customHeight="1">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ht="12.75" customHeight="1">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ht="12.75" customHeight="1">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sheetData>
  <mergeCells count="13">
    <mergeCell ref="O5:O6"/>
    <mergeCell ref="N5:N6"/>
    <mergeCell ref="D14:F14"/>
    <mergeCell ref="D11:F11"/>
    <mergeCell ref="D13:F13"/>
    <mergeCell ref="C19:G21"/>
    <mergeCell ref="L5:L6"/>
    <mergeCell ref="D12:F12"/>
    <mergeCell ref="D9:F9"/>
    <mergeCell ref="M5:M6"/>
    <mergeCell ref="C56:G58"/>
    <mergeCell ref="D8:F8"/>
    <mergeCell ref="D10:F10"/>
  </mergeCells>
  <conditionalFormatting sqref="C19:G21 C29:F29 C32:F34 C43:G46 C56:G58 D24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3.xml><?xml version="1.0" encoding="utf-8"?>
<worksheet xmlns="http://schemas.openxmlformats.org/spreadsheetml/2006/main">
  <sheetPr codeName="Sheet13">
    <outlinePr summaryBelow="1" summaryRight="1"/>
    <pageSetUpPr/>
  </sheetPr>
  <dimension ref="A1:DZ48"/>
  <sheetViews>
    <sheetView showGridLines="0" zoomScale="70" zoomScaleNormal="70" workbookViewId="0">
      <selection activeCell="P37" sqref="P37"/>
    </sheetView>
  </sheetViews>
  <sheetFormatPr baseColWidth="8" defaultColWidth="9.5703125" defaultRowHeight="12.6" customHeight="1" outlineLevelRow="1"/>
  <cols>
    <col width="0.140625" customWidth="1" style="164" min="1" max="1"/>
    <col width="5.5703125" customWidth="1" style="19" min="2" max="2"/>
    <col width="17" customWidth="1" style="19" min="3" max="3"/>
    <col width="39.28515625" customWidth="1" style="19" min="4" max="4"/>
    <col width="26.140625" customWidth="1" style="19" min="5" max="6"/>
    <col width="22.5703125" customWidth="1" style="19" min="7" max="7"/>
    <col width="20.140625" customWidth="1" style="19" min="8" max="8"/>
    <col width="23.42578125" customWidth="1" style="19" min="9" max="9"/>
    <col width="29.5703125" customWidth="1" style="19" min="10" max="10"/>
    <col outlineLevel="1" width="21.42578125" customWidth="1" style="19" min="11" max="11"/>
    <col outlineLevel="1" width="13.85546875" customWidth="1" style="19" min="12" max="12"/>
    <col width="13.85546875" customWidth="1" style="19" min="13" max="14"/>
    <col width="14.5703125" customWidth="1" style="19" min="15" max="16"/>
    <col width="12.85546875" customWidth="1" style="19" min="17" max="18"/>
    <col width="23" customWidth="1" style="19" min="19" max="19"/>
    <col width="16" customWidth="1" style="19" min="20" max="20"/>
    <col width="9.7109375" customWidth="1" style="19" min="21" max="21"/>
    <col width="8.7109375" customWidth="1" style="19" min="22" max="25"/>
    <col width="14.85546875" customWidth="1" style="19" min="26" max="26"/>
    <col width="13.28515625" customWidth="1" style="19" min="27" max="28"/>
    <col width="10.42578125" customWidth="1" style="19" min="29"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00"/>
    <col width="15.7109375" customWidth="1" style="143" min="101" max="101"/>
    <col width="8.85546875" customWidth="1" style="143" min="102" max="102"/>
    <col width="9.5703125" customWidth="1" style="143" min="103" max="112"/>
    <col width="17.140625" customWidth="1" style="143" min="113" max="113"/>
    <col width="9.5703125" customWidth="1" style="143" min="114" max="119"/>
    <col width="12.42578125" customWidth="1" style="143" min="120" max="120"/>
    <col width="9.5703125" customWidth="1" style="143" min="121" max="124"/>
    <col width="12.140625" customWidth="1" style="143" min="125" max="125"/>
    <col width="14.85546875" customWidth="1" style="143" min="126" max="126"/>
    <col width="9.5703125" customWidth="1" style="252" min="127" max="127"/>
    <col width="9.5703125" customWidth="1" style="143" min="128" max="128"/>
    <col width="9.5703125" customWidth="1" style="149" min="129" max="129"/>
    <col width="9.5703125" customWidth="1" style="19" min="130" max="16384"/>
  </cols>
  <sheetData>
    <row r="1" ht="12.6" customHeight="1">
      <c r="A1" s="540" t="inlineStr">
        <is>
          <t>91604a69-e836-47f0-8f3a-ad5c01fa9c1f</t>
        </is>
      </c>
      <c r="CW1" s="321" t="n"/>
      <c r="CX1" s="6" t="n"/>
      <c r="CY1" s="6" t="n"/>
      <c r="CZ1" s="142" t="n"/>
      <c r="DH1" s="6" t="n"/>
      <c r="DO1" s="6" t="n"/>
      <c r="DP1" s="322" t="n"/>
      <c r="DQ1" s="323" t="n"/>
      <c r="DR1" s="324" t="n"/>
      <c r="DS1" s="324" t="n"/>
      <c r="DT1" s="6" t="n"/>
      <c r="DV1" s="147" t="n"/>
    </row>
    <row r="2" ht="21" customFormat="1" customHeight="1" s="9">
      <c r="A2" s="539" t="n"/>
      <c r="C2" s="473" t="n"/>
      <c r="J2" s="48" t="inlineStr">
        <is>
          <t>返回汇总页</t>
        </is>
      </c>
    </row>
    <row r="3" ht="12.6" customHeight="1" thickBot="1">
      <c r="A3" s="540" t="n"/>
      <c r="CR3" s="143" t="n"/>
      <c r="CS3" s="6" t="n"/>
      <c r="CT3" s="6" t="n"/>
      <c r="CU3" s="143" t="n"/>
      <c r="CV3" s="143" t="n"/>
      <c r="DC3" s="6" t="n"/>
      <c r="DI3" s="6" t="n"/>
      <c r="DJ3" s="6" t="n"/>
      <c r="DK3" s="6" t="n"/>
      <c r="DL3" s="6" t="n"/>
      <c r="DM3" s="6" t="n"/>
      <c r="DN3" s="6" t="n"/>
      <c r="DO3" s="6" t="n"/>
      <c r="DP3" s="6" t="n"/>
      <c r="DQ3" s="6" t="n"/>
      <c r="DR3" s="200" t="n"/>
      <c r="DT3" s="149" t="n"/>
      <c r="DU3" s="19" t="n"/>
      <c r="DV3" s="19" t="n"/>
      <c r="DW3" s="19" t="n"/>
      <c r="DX3" s="19" t="n"/>
      <c r="DY3" s="19" t="n"/>
    </row>
    <row r="4" ht="21" customHeight="1">
      <c r="A4" s="540" t="n"/>
      <c r="C4" s="757" t="inlineStr">
        <is>
          <t>目标</t>
        </is>
      </c>
      <c r="D4" s="758" t="n"/>
      <c r="E4" s="758" t="n"/>
      <c r="F4" s="758" t="n"/>
      <c r="G4" s="758" t="n"/>
      <c r="H4" s="758" t="n"/>
      <c r="I4" s="758" t="n"/>
      <c r="J4" s="759" t="n"/>
      <c r="K4" s="151" t="n"/>
      <c r="L4" s="151" t="n"/>
      <c r="M4" s="151" t="n"/>
      <c r="CT4" s="6" t="n"/>
      <c r="CU4" s="6" t="n"/>
      <c r="CV4" s="6" t="n"/>
      <c r="DE4" s="6" t="n"/>
      <c r="DK4" s="6" t="n"/>
      <c r="DL4" s="6" t="n"/>
      <c r="DM4" s="6" t="n"/>
      <c r="DN4" s="6" t="n"/>
      <c r="DO4" s="6" t="n"/>
      <c r="DP4" s="6" t="n"/>
      <c r="DQ4" s="6" t="n"/>
      <c r="DR4" s="6" t="n"/>
      <c r="DS4" s="6" t="n"/>
      <c r="DT4" s="200" t="n"/>
      <c r="DU4" s="6" t="n"/>
      <c r="DV4" s="6" t="n"/>
      <c r="DW4" s="19" t="n"/>
      <c r="DX4" s="19" t="n"/>
      <c r="DY4" s="19" t="n"/>
    </row>
    <row r="5" ht="17.25" customHeight="1">
      <c r="A5" s="540" t="n"/>
      <c r="C5" s="49" t="inlineStr">
        <is>
          <t>1.通过执行分析和调查两期的营业外收入重大变动来确定其变动是否合理。</t>
        </is>
      </c>
      <c r="D5" s="152" t="n"/>
      <c r="E5" s="152" t="n"/>
      <c r="F5" s="152" t="n"/>
      <c r="G5" s="152" t="n"/>
      <c r="H5" s="152" t="n"/>
      <c r="I5" s="152" t="n"/>
      <c r="J5" s="153" t="n"/>
      <c r="K5" s="151" t="n"/>
      <c r="L5" s="843" t="n"/>
      <c r="M5" s="843" t="n"/>
      <c r="N5" s="843" t="n"/>
      <c r="O5" s="842" t="n"/>
      <c r="CT5" s="6" t="n"/>
      <c r="CU5" s="6" t="n"/>
      <c r="CV5" s="987" t="n"/>
      <c r="DE5" s="6" t="n"/>
      <c r="DK5" s="6" t="n"/>
      <c r="DL5" s="6" t="n"/>
      <c r="DM5" s="6" t="n"/>
      <c r="DN5" s="6" t="n"/>
      <c r="DO5" s="6" t="n"/>
      <c r="DP5" s="6" t="n"/>
      <c r="DQ5" s="6" t="n"/>
      <c r="DR5" s="6" t="n"/>
      <c r="DS5" s="6" t="n"/>
      <c r="DT5" s="200" t="n"/>
      <c r="DU5" s="6" t="n"/>
      <c r="DV5" s="6" t="n"/>
      <c r="DW5" s="19" t="n"/>
      <c r="DX5" s="19" t="n"/>
      <c r="DY5" s="19"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DE6" s="987" t="n"/>
      <c r="DK6" s="987" t="n"/>
      <c r="DL6" s="6" t="n"/>
      <c r="DM6" s="6" t="n"/>
      <c r="DN6" s="6" t="n"/>
      <c r="DO6" s="6" t="n"/>
      <c r="DP6" s="6" t="n"/>
      <c r="DQ6" s="987" t="n"/>
      <c r="DR6" s="987" t="n"/>
      <c r="DS6" s="987" t="n"/>
      <c r="DT6" s="155" t="n"/>
      <c r="DU6" s="6" t="n"/>
      <c r="DV6" s="6" t="n"/>
      <c r="DW6" s="19" t="n"/>
      <c r="DX6" s="19" t="n"/>
      <c r="DY6" s="19" t="n"/>
    </row>
    <row r="7" ht="12.6" customHeight="1">
      <c r="A7" s="540" t="n"/>
      <c r="C7" s="49" t="n"/>
      <c r="D7" s="152" t="n"/>
      <c r="E7" s="152" t="n"/>
      <c r="F7" s="152" t="n"/>
      <c r="G7" s="152" t="n"/>
      <c r="H7" s="152" t="n"/>
      <c r="I7" s="152" t="n"/>
      <c r="J7" s="153" t="n"/>
      <c r="K7" s="151" t="n"/>
      <c r="L7" s="353" t="n"/>
      <c r="M7" s="156" t="n"/>
      <c r="N7" s="156" t="n"/>
      <c r="O7" s="156" t="n"/>
      <c r="CT7" s="6" t="n"/>
      <c r="CU7" s="987" t="n"/>
      <c r="CV7" s="987" t="n"/>
      <c r="DE7" s="987" t="n"/>
      <c r="DK7" s="987" t="n"/>
      <c r="DL7" s="6" t="n"/>
      <c r="DM7" s="6" t="n"/>
      <c r="DN7" s="6" t="n"/>
      <c r="DO7" s="6" t="n"/>
      <c r="DP7" s="6" t="n"/>
      <c r="DQ7" s="987" t="n"/>
      <c r="DR7" s="987" t="n"/>
      <c r="DS7" s="987" t="n"/>
      <c r="DT7" s="155" t="n"/>
      <c r="DU7" s="6" t="n"/>
      <c r="DV7" s="6" t="n"/>
      <c r="DW7" s="19" t="n"/>
      <c r="DX7" s="19" t="n"/>
      <c r="DY7" s="19"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DF8" s="7" t="n"/>
      <c r="DL8" s="7" t="n"/>
      <c r="DM8" s="987" t="n"/>
      <c r="DN8" s="987" t="n"/>
      <c r="DO8" s="987" t="n"/>
      <c r="DP8" s="987" t="n"/>
      <c r="DQ8" s="987" t="n"/>
      <c r="DR8" s="7" t="n"/>
      <c r="DS8" s="7" t="n"/>
      <c r="DT8" s="7" t="n"/>
      <c r="DU8" s="155" t="n"/>
      <c r="DV8" s="7" t="n"/>
      <c r="DW8" s="159" t="n"/>
      <c r="DX8" s="19" t="n"/>
      <c r="DY8" s="19" t="n"/>
    </row>
    <row r="9" outlineLevel="1" ht="21" customHeight="1">
      <c r="A9" s="660" t="n"/>
      <c r="C9" s="515" t="n">
        <v>1</v>
      </c>
      <c r="D9" s="844" t="inlineStr">
        <is>
          <t>从管理层处取得本期营业外收入账户的明细。</t>
        </is>
      </c>
      <c r="E9" s="988" t="n"/>
      <c r="F9" s="989" t="n"/>
      <c r="G9" s="560" t="inlineStr">
        <is>
          <t>表1</t>
        </is>
      </c>
      <c r="H9" s="903" t="inlineStr">
        <is>
          <t>是</t>
        </is>
      </c>
      <c r="I9" s="904" t="n"/>
      <c r="J9" s="516" t="n"/>
      <c r="K9" s="158" t="n"/>
      <c r="L9" s="158" t="n"/>
      <c r="M9" s="160" t="n"/>
      <c r="N9" s="160" t="n"/>
      <c r="O9" s="160" t="n"/>
      <c r="CV9" s="987" t="n"/>
      <c r="CW9" s="7" t="n"/>
      <c r="CX9" s="987" t="n"/>
      <c r="DG9" s="7" t="n"/>
      <c r="DM9" s="7" t="n"/>
      <c r="DN9" s="7" t="n"/>
      <c r="DO9" s="7" t="n"/>
      <c r="DP9" s="7" t="n"/>
      <c r="DQ9" s="7" t="n"/>
      <c r="DR9" s="7" t="n"/>
      <c r="DS9" s="7" t="n"/>
      <c r="DT9" s="7" t="n"/>
      <c r="DU9" s="7" t="n"/>
      <c r="DV9" s="155" t="n"/>
      <c r="DW9" s="987" t="n"/>
      <c r="DX9" s="931" t="n"/>
      <c r="DY9" s="19"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DG10" s="7" t="n"/>
      <c r="DM10" s="7" t="n"/>
      <c r="DN10" s="7" t="n"/>
      <c r="DO10" s="7" t="n"/>
      <c r="DP10" s="7" t="n"/>
      <c r="DQ10" s="7" t="n"/>
      <c r="DR10" s="7" t="n"/>
      <c r="DS10" s="7" t="n"/>
      <c r="DT10" s="7" t="n"/>
      <c r="DU10" s="7" t="n"/>
      <c r="DV10" s="155" t="n"/>
      <c r="DW10" s="987" t="n"/>
      <c r="DX10" s="931" t="n"/>
      <c r="DY10" s="19"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DG11" s="987" t="n"/>
      <c r="DM11" s="987" t="n"/>
      <c r="DN11" s="7" t="n"/>
      <c r="DO11" s="7" t="n"/>
      <c r="DP11" s="7" t="n"/>
      <c r="DQ11" s="7" t="n"/>
      <c r="DR11" s="7" t="n"/>
      <c r="DS11" s="987" t="n"/>
      <c r="DT11" s="987" t="n"/>
      <c r="DU11" s="987" t="n"/>
      <c r="DV11" s="155" t="n"/>
      <c r="DW11" s="7" t="n"/>
      <c r="DX11" s="7" t="n"/>
      <c r="DY11" s="19" t="n"/>
    </row>
    <row r="12" outlineLevel="1" ht="89.45" customHeight="1">
      <c r="A12" s="660" t="n"/>
      <c r="C12" s="515" t="n">
        <v>4</v>
      </c>
      <c r="D12" s="948" t="inlineStr">
        <is>
          <t>对于单项重大的利得，需要获取该单项利得的组成明细，需要获取支持性文件如合同等，在必要时进行利得测试。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DG12" s="987" t="n"/>
      <c r="DM12" s="987" t="n"/>
      <c r="DN12" s="7" t="n"/>
      <c r="DO12" s="7" t="n"/>
      <c r="DP12" s="7" t="n"/>
      <c r="DQ12" s="7" t="n"/>
      <c r="DR12" s="7" t="n"/>
      <c r="DS12" s="987" t="n"/>
      <c r="DT12" s="987" t="n"/>
      <c r="DU12" s="987" t="n"/>
      <c r="DV12" s="155" t="n"/>
      <c r="DW12" s="7" t="n"/>
      <c r="DX12" s="7" t="n"/>
      <c r="DY12" s="19" t="n"/>
    </row>
    <row r="13" outlineLevel="1" ht="21"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DG13" s="162" t="n"/>
      <c r="DM13" s="162" t="n"/>
      <c r="DN13" s="987" t="n"/>
      <c r="DO13" s="987" t="n"/>
      <c r="DP13" s="987" t="n"/>
      <c r="DQ13" s="987" t="n"/>
      <c r="DR13" s="987" t="n"/>
      <c r="DS13" s="162" t="n"/>
      <c r="DT13" s="162" t="n"/>
      <c r="DU13" s="162" t="n"/>
      <c r="DV13" s="200" t="n"/>
      <c r="DW13" s="7" t="n"/>
      <c r="DX13" s="159" t="n"/>
      <c r="DY13" s="1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DG14" s="162" t="n"/>
      <c r="DM14" s="162" t="n"/>
      <c r="DN14" s="987" t="n"/>
      <c r="DO14" s="987" t="n"/>
      <c r="DP14" s="987" t="n"/>
      <c r="DQ14" s="987" t="n"/>
      <c r="DR14" s="987" t="n"/>
      <c r="DS14" s="162" t="n"/>
      <c r="DT14" s="162" t="n"/>
      <c r="DU14" s="162" t="n"/>
      <c r="DV14" s="200" t="n"/>
      <c r="DW14" s="7" t="n"/>
      <c r="DX14" s="159" t="n"/>
      <c r="DY14" s="19" t="n"/>
    </row>
    <row r="15" ht="18.75" customHeight="1" thickBot="1">
      <c r="A15" s="660" t="n"/>
      <c r="C15" s="253" t="n"/>
      <c r="D15" s="208" t="n"/>
      <c r="E15" s="208" t="n"/>
      <c r="F15" s="208" t="n"/>
      <c r="G15" s="208" t="n"/>
      <c r="H15" s="208" t="n"/>
      <c r="I15" s="208" t="n"/>
      <c r="J15" s="254" t="n"/>
      <c r="K15" s="151" t="n"/>
      <c r="L15" s="151" t="n"/>
      <c r="M15" s="151" t="n"/>
      <c r="CT15" s="7" t="n"/>
      <c r="CU15" s="162" t="n"/>
      <c r="CV15" s="162" t="n"/>
      <c r="DE15" s="162" t="n"/>
      <c r="DK15" s="162" t="n"/>
      <c r="DL15" s="987" t="n"/>
      <c r="DM15" s="987" t="n"/>
      <c r="DN15" s="987" t="n"/>
      <c r="DO15" s="987" t="n"/>
      <c r="DP15" s="987" t="n"/>
      <c r="DQ15" s="162" t="n"/>
      <c r="DR15" s="162" t="n"/>
      <c r="DS15" s="162" t="n"/>
      <c r="DT15" s="200" t="n"/>
      <c r="DU15" s="7" t="n"/>
      <c r="DV15" s="159" t="n"/>
      <c r="DW15" s="19" t="n"/>
      <c r="DX15" s="19" t="n"/>
      <c r="DY15" s="19" t="n"/>
    </row>
    <row r="16" ht="12.6" customHeight="1">
      <c r="A16" s="660" t="n"/>
      <c r="C16" s="163" t="n"/>
      <c r="CT16" s="6" t="n"/>
      <c r="CU16" s="6" t="n"/>
      <c r="CV16" s="6" t="n"/>
      <c r="DE16" s="6" t="n"/>
      <c r="DK16" s="6" t="n"/>
      <c r="DL16" s="6" t="n"/>
      <c r="DM16" s="6" t="n"/>
      <c r="DN16" s="6" t="n"/>
      <c r="DO16" s="6" t="n"/>
      <c r="DP16" s="6" t="n"/>
      <c r="DQ16" s="6" t="n"/>
      <c r="DR16" s="6" t="n"/>
      <c r="DS16" s="6" t="n"/>
      <c r="DT16" s="200" t="n"/>
      <c r="DU16" s="6" t="n"/>
      <c r="DV16" s="6" t="n"/>
      <c r="DW16" s="19" t="n"/>
      <c r="DX16" s="19" t="n"/>
      <c r="DY16" s="19" t="n"/>
    </row>
    <row r="17" ht="12.6" customHeight="1">
      <c r="A17" s="660" t="n"/>
      <c r="CT17" s="6" t="n"/>
      <c r="CU17" s="6" t="n"/>
      <c r="CV17" s="6" t="n"/>
      <c r="DE17" s="6" t="n"/>
      <c r="DK17" s="6" t="n"/>
      <c r="DL17" s="6" t="n"/>
      <c r="DM17" s="6" t="n"/>
      <c r="DN17" s="6" t="n"/>
      <c r="DO17" s="6" t="n"/>
      <c r="DP17" s="6" t="n"/>
      <c r="DQ17" s="6" t="n"/>
      <c r="DR17" s="6" t="n"/>
      <c r="DS17" s="6" t="n"/>
      <c r="DT17" s="200" t="n"/>
      <c r="DU17" s="6" t="n"/>
      <c r="DV17" s="6" t="n"/>
      <c r="DW17" s="19" t="n"/>
      <c r="DX17" s="19" t="n"/>
      <c r="DY17" s="19"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102"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3.35" customHeight="1">
      <c r="A25" s="660" t="n"/>
      <c r="CT25" s="6" t="n"/>
      <c r="CU25" s="6" t="n"/>
      <c r="CV25" s="6" t="n"/>
      <c r="DE25" s="6" t="n"/>
      <c r="DK25" s="6" t="n"/>
      <c r="DL25" s="6" t="n"/>
      <c r="DM25" s="6" t="n"/>
      <c r="DN25" s="6" t="n"/>
      <c r="DO25" s="6" t="n"/>
      <c r="DP25" s="6" t="n"/>
      <c r="DQ25" s="6" t="n"/>
      <c r="DR25" s="6" t="n"/>
      <c r="DS25" s="6" t="n"/>
      <c r="DT25" s="200" t="n"/>
      <c r="DU25" s="6" t="n"/>
      <c r="DV25" s="6" t="n"/>
      <c r="DW25" s="19" t="n"/>
      <c r="DX25" s="19" t="n"/>
      <c r="DY25" s="19" t="n"/>
    </row>
    <row r="26" ht="13.35" customHeight="1">
      <c r="A26" s="660" t="n"/>
      <c r="CS26" s="6" t="n"/>
      <c r="CT26" s="6" t="n"/>
      <c r="CU26" s="6" t="n"/>
      <c r="CV26" s="143" t="n"/>
      <c r="DD26" s="6" t="n"/>
      <c r="DJ26" s="6" t="n"/>
      <c r="DK26" s="6" t="n"/>
      <c r="DL26" s="6" t="n"/>
      <c r="DM26" s="6" t="n"/>
      <c r="DN26" s="6" t="n"/>
      <c r="DO26" s="6" t="n"/>
      <c r="DP26" s="6" t="n"/>
      <c r="DQ26" s="6" t="n"/>
      <c r="DR26" s="6" t="n"/>
      <c r="DS26" s="200" t="n"/>
      <c r="DT26" s="6" t="n"/>
      <c r="DU26" s="6" t="n"/>
      <c r="DV26" s="19" t="n"/>
      <c r="DW26" s="19" t="n"/>
      <c r="DX26" s="19" t="n"/>
      <c r="DY26" s="19"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DC27" s="6" t="n"/>
      <c r="DD27" s="6" t="n"/>
      <c r="DE27" s="6" t="n"/>
      <c r="DF27" s="6" t="n"/>
      <c r="DG27" s="6" t="n"/>
      <c r="DH27" s="6" t="n"/>
      <c r="DI27" s="6" t="n"/>
      <c r="DJ27" s="6" t="n"/>
      <c r="DK27" s="6" t="n"/>
      <c r="DL27" s="200" t="n"/>
      <c r="DM27" s="6" t="n"/>
      <c r="DN27" s="6" t="n"/>
      <c r="DO27" s="19" t="n"/>
      <c r="DP27" s="19" t="n"/>
      <c r="DQ27" s="19" t="n"/>
      <c r="DR27" s="19" t="n"/>
      <c r="DS27" s="19" t="n"/>
      <c r="DT27" s="19" t="n"/>
      <c r="DU27" s="19" t="n"/>
      <c r="DV27" s="19" t="n"/>
      <c r="DW27" s="19" t="n"/>
      <c r="DX27" s="19" t="n"/>
      <c r="DY27" s="19"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DB28" s="6" t="n"/>
      <c r="DC28" s="6" t="n"/>
      <c r="DD28" s="6" t="n"/>
      <c r="DE28" s="6" t="n"/>
      <c r="DF28" s="6" t="n"/>
      <c r="DG28" s="6" t="n"/>
      <c r="DH28" s="6" t="n"/>
      <c r="DI28" s="6" t="n"/>
      <c r="DJ28" s="6" t="n"/>
      <c r="DK28" s="200" t="n"/>
      <c r="DL28" s="6" t="n"/>
      <c r="DM28" s="6" t="n"/>
      <c r="DN28" s="19" t="n"/>
      <c r="DO28" s="19" t="n"/>
      <c r="DP28" s="19" t="n"/>
      <c r="DQ28" s="19" t="n"/>
      <c r="DR28" s="19" t="n"/>
      <c r="DS28" s="19" t="n"/>
      <c r="DT28" s="19" t="n"/>
      <c r="DU28" s="19" t="n"/>
      <c r="DV28" s="19" t="n"/>
      <c r="DW28" s="19" t="n"/>
      <c r="DX28" s="19" t="n"/>
      <c r="DY28" s="19"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DB29" s="6" t="n"/>
      <c r="DC29" s="6" t="n"/>
      <c r="DD29" s="6" t="n"/>
      <c r="DE29" s="6" t="n"/>
      <c r="DF29" s="6" t="n"/>
      <c r="DG29" s="6" t="n"/>
      <c r="DH29" s="6" t="n"/>
      <c r="DI29" s="6" t="n"/>
      <c r="DJ29" s="6" t="n"/>
      <c r="DK29" s="200" t="n"/>
      <c r="DL29" s="6" t="n"/>
      <c r="DM29" s="6" t="n"/>
      <c r="DN29" s="19" t="n"/>
      <c r="DO29" s="19" t="n"/>
      <c r="DP29" s="19" t="n"/>
      <c r="DQ29" s="19" t="n"/>
      <c r="DR29" s="19" t="n"/>
      <c r="DS29" s="19" t="n"/>
      <c r="DT29" s="19" t="n"/>
      <c r="DU29" s="19" t="n"/>
      <c r="DV29" s="19" t="n"/>
      <c r="DW29" s="19" t="n"/>
      <c r="DX29" s="19" t="n"/>
      <c r="DY29" s="19"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K30" s="6" t="n"/>
      <c r="CL30" s="6" t="n"/>
      <c r="CM30" s="6" t="n"/>
      <c r="CN30" s="143" t="n"/>
      <c r="CO30" s="143" t="n"/>
      <c r="CP30" s="143" t="n"/>
      <c r="CQ30" s="143" t="n"/>
      <c r="CR30" s="143" t="n"/>
      <c r="CS30" s="143" t="n"/>
      <c r="CT30" s="143" t="n"/>
      <c r="CU30" s="143" t="n"/>
      <c r="CV30" s="6" t="n"/>
      <c r="DB30" s="6" t="n"/>
      <c r="DC30" s="6" t="n"/>
      <c r="DD30" s="6" t="n"/>
      <c r="DE30" s="6" t="n"/>
      <c r="DF30" s="6" t="n"/>
      <c r="DG30" s="6" t="n"/>
      <c r="DH30" s="6" t="n"/>
      <c r="DI30" s="6" t="n"/>
      <c r="DJ30" s="6" t="n"/>
      <c r="DK30" s="200" t="n"/>
      <c r="DL30" s="6" t="n"/>
      <c r="DM30" s="6" t="n"/>
      <c r="DN30" s="19" t="n"/>
      <c r="DO30" s="19" t="n"/>
      <c r="DP30" s="19" t="n"/>
      <c r="DQ30" s="19" t="n"/>
      <c r="DR30" s="19" t="n"/>
      <c r="DS30" s="19" t="n"/>
      <c r="DT30" s="19" t="n"/>
      <c r="DU30" s="19" t="n"/>
      <c r="DV30" s="19" t="n"/>
      <c r="DW30" s="19" t="n"/>
      <c r="DX30" s="19" t="n"/>
      <c r="DY30" s="19"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DB31" s="6" t="n"/>
      <c r="DC31" s="6" t="n"/>
      <c r="DD31" s="6" t="n"/>
      <c r="DE31" s="6" t="n"/>
      <c r="DF31" s="6" t="n"/>
      <c r="DG31" s="6" t="n"/>
      <c r="DH31" s="6" t="n"/>
      <c r="DI31" s="6" t="n"/>
      <c r="DJ31" s="6" t="n"/>
      <c r="DK31" s="200" t="n"/>
      <c r="DL31" s="6" t="n"/>
      <c r="DM31" s="6" t="n"/>
      <c r="DN31" s="19" t="n"/>
      <c r="DO31" s="19" t="n"/>
      <c r="DP31" s="19" t="n"/>
      <c r="DQ31" s="19" t="n"/>
      <c r="DR31" s="19" t="n"/>
      <c r="DS31" s="19" t="n"/>
      <c r="DT31" s="19" t="n"/>
      <c r="DU31" s="19" t="n"/>
      <c r="DV31" s="19" t="n"/>
      <c r="DW31" s="19" t="n"/>
      <c r="DX31" s="19" t="n"/>
      <c r="DY31" s="19"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DB32" s="6" t="n"/>
      <c r="DC32" s="6" t="n"/>
      <c r="DD32" s="6" t="n"/>
      <c r="DE32" s="6" t="n"/>
      <c r="DF32" s="6" t="n"/>
      <c r="DG32" s="6" t="n"/>
      <c r="DH32" s="6" t="n"/>
      <c r="DI32" s="6" t="n"/>
      <c r="DJ32" s="6" t="n"/>
      <c r="DK32" s="200" t="n"/>
      <c r="DL32" s="6" t="n"/>
      <c r="DM32" s="6" t="n"/>
      <c r="DN32" s="19" t="n"/>
      <c r="DO32" s="19" t="n"/>
      <c r="DP32" s="19" t="n"/>
      <c r="DQ32" s="19" t="n"/>
      <c r="DR32" s="19" t="n"/>
      <c r="DS32" s="19" t="n"/>
      <c r="DT32" s="19" t="n"/>
      <c r="DU32" s="19" t="n"/>
      <c r="DV32" s="19" t="n"/>
      <c r="DW32" s="19" t="n"/>
      <c r="DX32" s="19" t="n"/>
      <c r="DY32" s="19"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DB33" s="6" t="n"/>
      <c r="DC33" s="6" t="n"/>
      <c r="DD33" s="6" t="n"/>
      <c r="DE33" s="6" t="n"/>
      <c r="DF33" s="6" t="n"/>
      <c r="DG33" s="6" t="n"/>
      <c r="DH33" s="6" t="n"/>
      <c r="DI33" s="6" t="n"/>
      <c r="DJ33" s="6" t="n"/>
      <c r="DK33" s="200" t="n"/>
      <c r="DL33" s="6" t="n"/>
      <c r="DM33" s="6" t="n"/>
      <c r="DN33" s="19" t="n"/>
      <c r="DO33" s="19" t="n"/>
      <c r="DP33" s="19" t="n"/>
      <c r="DQ33" s="19" t="n"/>
      <c r="DR33" s="19" t="n"/>
      <c r="DS33" s="19" t="n"/>
      <c r="DT33" s="19" t="n"/>
      <c r="DU33" s="19" t="n"/>
      <c r="DV33" s="19" t="n"/>
      <c r="DW33" s="19" t="n"/>
      <c r="DX33" s="19" t="n"/>
      <c r="DY33" s="19"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K34" s="6" t="n"/>
      <c r="CL34" s="6" t="n"/>
      <c r="CM34" s="6" t="n"/>
      <c r="CN34" s="143" t="n"/>
      <c r="CO34" s="143" t="n"/>
      <c r="CP34" s="143" t="n"/>
      <c r="CQ34" s="143" t="n"/>
      <c r="CR34" s="143" t="n"/>
      <c r="CS34" s="143" t="n"/>
      <c r="CT34" s="143" t="n"/>
      <c r="CU34" s="143" t="n"/>
      <c r="CV34" s="6" t="n"/>
      <c r="DB34" s="6" t="n"/>
      <c r="DC34" s="6" t="n"/>
      <c r="DD34" s="6" t="n"/>
      <c r="DE34" s="6" t="n"/>
      <c r="DF34" s="6" t="n"/>
      <c r="DG34" s="6" t="n"/>
      <c r="DH34" s="6" t="n"/>
      <c r="DI34" s="6" t="n"/>
      <c r="DJ34" s="6" t="n"/>
      <c r="DK34" s="200" t="n"/>
      <c r="DL34" s="6" t="n"/>
      <c r="DM34" s="6" t="n"/>
      <c r="DN34" s="19" t="n"/>
      <c r="DO34" s="19" t="n"/>
      <c r="DP34" s="19" t="n"/>
      <c r="DQ34" s="19" t="n"/>
      <c r="DR34" s="19" t="n"/>
      <c r="DS34" s="19" t="n"/>
      <c r="DT34" s="19" t="n"/>
      <c r="DU34" s="19" t="n"/>
      <c r="DV34" s="19" t="n"/>
      <c r="DW34" s="19" t="n"/>
      <c r="DX34" s="19" t="n"/>
      <c r="DY34" s="19"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K35" s="6" t="n"/>
      <c r="CL35" s="6" t="n"/>
      <c r="CM35" s="6" t="n"/>
      <c r="CN35" s="143" t="n"/>
      <c r="CO35" s="143" t="n"/>
      <c r="CP35" s="143" t="n"/>
      <c r="CQ35" s="143" t="n"/>
      <c r="CR35" s="143" t="n"/>
      <c r="CS35" s="143" t="n"/>
      <c r="CT35" s="143" t="n"/>
      <c r="CU35" s="143" t="n"/>
      <c r="CV35" s="6" t="n"/>
      <c r="DB35" s="6" t="n"/>
      <c r="DC35" s="6" t="n"/>
      <c r="DD35" s="6" t="n"/>
      <c r="DE35" s="6" t="n"/>
      <c r="DF35" s="6" t="n"/>
      <c r="DG35" s="6" t="n"/>
      <c r="DH35" s="6" t="n"/>
      <c r="DI35" s="6" t="n"/>
      <c r="DJ35" s="6" t="n"/>
      <c r="DK35" s="200" t="n"/>
      <c r="DL35" s="6" t="n"/>
      <c r="DM35" s="6" t="n"/>
      <c r="DN35" s="19" t="n"/>
      <c r="DO35" s="19" t="n"/>
      <c r="DP35" s="19" t="n"/>
      <c r="DQ35" s="19" t="n"/>
      <c r="DR35" s="19" t="n"/>
      <c r="DS35" s="19" t="n"/>
      <c r="DT35" s="19" t="n"/>
      <c r="DU35" s="19" t="n"/>
      <c r="DV35" s="19" t="n"/>
      <c r="DW35" s="19" t="n"/>
      <c r="DX35" s="19" t="n"/>
      <c r="DY35" s="19"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990"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Top="1">
      <c r="A37" s="991" t="n"/>
      <c r="B37" s="990" t="n"/>
      <c r="C37" s="990" t="n"/>
      <c r="D37" s="997" t="n"/>
      <c r="E37" s="995" t="n"/>
      <c r="F37" s="131" t="inlineStr">
        <is>
          <t>Rx</t>
        </is>
      </c>
      <c r="G37" s="997" t="n"/>
      <c r="H37" s="131" t="inlineStr">
        <is>
          <t>Rx</t>
        </is>
      </c>
      <c r="I37" s="131" t="inlineStr">
        <is>
          <t>Rx</t>
        </is>
      </c>
      <c r="J37" s="186" t="inlineStr">
        <is>
          <t>^</t>
        </is>
      </c>
      <c r="K37" s="265" t="n"/>
      <c r="L37" s="131" t="inlineStr">
        <is>
          <t>Rx</t>
        </is>
      </c>
      <c r="M37" s="131" t="inlineStr">
        <is>
          <t>Rx</t>
        </is>
      </c>
      <c r="N37" s="131" t="inlineStr">
        <is>
          <t>Rx</t>
        </is>
      </c>
      <c r="O37" s="984" t="n"/>
      <c r="P37" s="266" t="n"/>
      <c r="Q37" s="266" t="n"/>
      <c r="R37" s="999"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990" t="n"/>
      <c r="R39" s="990" t="n"/>
      <c r="CJ39" s="6" t="n"/>
      <c r="CK39" s="6" t="n"/>
      <c r="CL39" s="6" t="n"/>
      <c r="CM39" s="143" t="n"/>
      <c r="CN39" s="143" t="n"/>
      <c r="CO39" s="143" t="n"/>
      <c r="CP39" s="143" t="n"/>
      <c r="CQ39" s="143" t="n"/>
      <c r="CR39" s="143" t="n"/>
      <c r="CS39" s="143" t="n"/>
      <c r="CT39" s="143" t="n"/>
      <c r="CU39" s="6" t="n"/>
      <c r="CV39" s="143" t="n"/>
      <c r="CW39" s="143" t="n"/>
      <c r="CX39" s="143" t="n"/>
      <c r="CY39" s="143" t="n"/>
      <c r="CZ39" s="143" t="n"/>
      <c r="DA39" s="6" t="n"/>
      <c r="DB39" s="6" t="n"/>
      <c r="DC39" s="6" t="n"/>
      <c r="DD39" s="6" t="n"/>
      <c r="DE39" s="6" t="n"/>
      <c r="DF39" s="6" t="n"/>
      <c r="DG39" s="6" t="n"/>
      <c r="DH39" s="6" t="n"/>
      <c r="DI39" s="6" t="n"/>
      <c r="DJ39" s="200" t="n"/>
      <c r="DK39" s="6" t="n"/>
      <c r="DL39" s="6" t="n"/>
    </row>
    <row r="40" ht="12.6" customFormat="1" customHeight="1" s="1007">
      <c r="A40" s="1008" t="n"/>
      <c r="C40" s="931" t="n"/>
      <c r="H40" s="1050" t="n"/>
      <c r="K40" s="1050" t="n"/>
      <c r="L40" s="1050" t="n"/>
      <c r="M40" s="1050" t="n"/>
      <c r="O40" s="1051" t="n"/>
      <c r="P40" s="1051" t="n"/>
      <c r="Q40" s="1051" t="n"/>
      <c r="R40" s="1051" t="n"/>
      <c r="U40" s="1051" t="n"/>
      <c r="V40" s="1051" t="n"/>
      <c r="W40" s="1051" t="n"/>
      <c r="X40" s="1051" t="n"/>
      <c r="Y40" s="1051" t="n"/>
      <c r="Z40" s="1051" t="n"/>
      <c r="AC40" s="1051" t="n"/>
      <c r="AF40" s="1011" t="n"/>
      <c r="AG40" s="1011" t="n"/>
      <c r="AH40" s="1011" t="n"/>
      <c r="AI40" s="1011" t="n"/>
      <c r="AJ40" s="1011" t="n"/>
      <c r="AK40" s="1011" t="n"/>
      <c r="AL40" s="995" t="n"/>
      <c r="AM40" s="995" t="n"/>
      <c r="AN40" s="995" t="n"/>
      <c r="AO40" s="995" t="n"/>
      <c r="AP40" s="995" t="n"/>
      <c r="AQ40" s="995" t="n"/>
      <c r="CX40" s="6" t="n"/>
      <c r="CY40" s="6" t="n"/>
      <c r="CZ40" s="6" t="n"/>
      <c r="DA40" s="143" t="n"/>
      <c r="DB40" s="143" t="n"/>
      <c r="DC40" s="143" t="n"/>
      <c r="DD40" s="143" t="n"/>
      <c r="DE40" s="143" t="n"/>
      <c r="DF40" s="143" t="n"/>
      <c r="DG40" s="143" t="n"/>
      <c r="DH40" s="143" t="n"/>
      <c r="DI40" s="6" t="n"/>
      <c r="DJ40" s="143" t="n"/>
      <c r="DK40" s="143" t="n"/>
      <c r="DL40" s="143" t="n"/>
      <c r="DM40" s="143" t="n"/>
      <c r="DN40" s="143" t="n"/>
      <c r="DO40" s="6" t="n"/>
      <c r="DP40" s="6" t="n"/>
      <c r="DQ40" s="6" t="n"/>
      <c r="DR40" s="6" t="n"/>
      <c r="DS40" s="6" t="n"/>
      <c r="DT40" s="6" t="n"/>
      <c r="DU40" s="6" t="n"/>
      <c r="DV40" s="6" t="n"/>
      <c r="DW40" s="6" t="n"/>
      <c r="DX40" s="200" t="n"/>
      <c r="DY40" s="6" t="n"/>
      <c r="DZ40" s="6" t="n"/>
    </row>
    <row r="41" ht="13.35" customFormat="1" customHeight="1" s="13" thickBot="1">
      <c r="A41" s="663" t="n"/>
      <c r="B41" s="88" t="inlineStr">
        <is>
          <t>Notes</t>
        </is>
      </c>
      <c r="C41" s="13" t="inlineStr">
        <is>
          <t>对变动不在范围内的项目进行调查，评估其合理性，并记录在“说明”中。对异常项目进行调查，并记录在“说明”中。</t>
        </is>
      </c>
      <c r="G41" s="137" t="n"/>
      <c r="H41" s="985" t="n"/>
      <c r="I41" s="137" t="n"/>
      <c r="J41" s="137" t="n"/>
      <c r="CV41" s="62" t="n"/>
      <c r="CW41" s="62" t="n"/>
      <c r="CX41" s="62" t="n"/>
      <c r="CY41" s="62" t="n"/>
      <c r="CZ41" s="62" t="n"/>
      <c r="DA41" s="62" t="n"/>
      <c r="DB41" s="62" t="n"/>
      <c r="DE41" s="62" t="n"/>
      <c r="DF41" s="62" t="n"/>
      <c r="DG41" s="62" t="n"/>
      <c r="DH41" s="62" t="n"/>
      <c r="DI41" s="62" t="n"/>
      <c r="DS41" s="107" t="n"/>
    </row>
    <row r="42" ht="12.6" customFormat="1" customHeight="1" s="17">
      <c r="A42" s="664" t="n"/>
      <c r="C42" s="986" t="n"/>
      <c r="D42" s="937" t="n"/>
      <c r="E42" s="937" t="n"/>
      <c r="F42" s="937" t="n"/>
      <c r="G42" s="938"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c r="A43" s="665" t="n"/>
      <c r="C43" s="940" t="n"/>
      <c r="D43" s="941" t="n"/>
      <c r="E43" s="941" t="n"/>
      <c r="F43" s="941" t="n"/>
      <c r="G43" s="942"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thickBot="1">
      <c r="A44" s="665" t="n"/>
      <c r="C44" s="943" t="n"/>
      <c r="D44" s="944" t="n"/>
      <c r="E44" s="944" t="n"/>
      <c r="F44" s="944" t="n"/>
      <c r="G44" s="945"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3" t="n"/>
      <c r="DO44" s="13" t="n"/>
      <c r="DP44" s="13" t="n"/>
    </row>
    <row r="45" ht="12.6" customHeight="1">
      <c r="A45" s="660" t="n"/>
    </row>
    <row r="46" ht="12.6" customHeight="1">
      <c r="A46" s="660" t="n"/>
    </row>
    <row r="47" ht="12.6" customHeight="1">
      <c r="A47" s="540" t="n"/>
    </row>
    <row r="48" ht="12.6" customHeight="1">
      <c r="A48" s="540" t="n"/>
      <c r="B48" s="21" t="inlineStr">
        <is>
          <t xml:space="preserve">表2 </t>
        </is>
      </c>
      <c r="C48" s="140" t="inlineStr">
        <is>
          <t>对于单项利得类别金额占整个营业外收入比例达到一定比例查看J列，需要获取该单项利得的组成明细，需要获取支持性文件如合同等，在必要时进行利得测试。（表格请审计团队自行设计）</t>
        </is>
      </c>
    </row>
  </sheetData>
  <mergeCells count="13">
    <mergeCell ref="O5:O6"/>
    <mergeCell ref="N5:N6"/>
    <mergeCell ref="D14:F14"/>
    <mergeCell ref="D11:F11"/>
    <mergeCell ref="D13:F13"/>
    <mergeCell ref="C19:G21"/>
    <mergeCell ref="L5:L6"/>
    <mergeCell ref="C42:G44"/>
    <mergeCell ref="D12:F12"/>
    <mergeCell ref="D9:F9"/>
    <mergeCell ref="M5:M6"/>
    <mergeCell ref="D8:F8"/>
    <mergeCell ref="D10:F10"/>
  </mergeCells>
  <conditionalFormatting sqref="C19:G21 C29:F29 C32:F34 C42:G44 D24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4.xml><?xml version="1.0" encoding="utf-8"?>
<worksheet xmlns="http://schemas.openxmlformats.org/spreadsheetml/2006/main">
  <sheetPr codeName="Sheet14">
    <outlinePr summaryBelow="1" summaryRight="1"/>
    <pageSetUpPr/>
  </sheetPr>
  <dimension ref="A1:DX49"/>
  <sheetViews>
    <sheetView showGridLines="0" zoomScale="70" zoomScaleNormal="70" workbookViewId="0">
      <selection activeCell="P38" sqref="P38"/>
    </sheetView>
  </sheetViews>
  <sheetFormatPr baseColWidth="8" defaultColWidth="9.5703125" defaultRowHeight="12.75" customHeight="1" outlineLevelRow="1"/>
  <cols>
    <col width="0.140625" customWidth="1" style="164" min="1" max="1"/>
    <col width="5.42578125" customWidth="1" style="19" min="2" max="2"/>
    <col width="18.28515625" customWidth="1" style="19" min="3" max="3"/>
    <col width="39.5703125" customWidth="1" style="19" min="4" max="4"/>
    <col width="20.5703125" customWidth="1" style="19" min="5" max="6"/>
    <col width="17.28515625" customWidth="1" style="19" min="7" max="7"/>
    <col width="19.42578125" customWidth="1" style="19" min="8" max="8"/>
    <col width="18.5703125" customWidth="1" style="19" min="9" max="9"/>
    <col width="19.140625" customWidth="1" style="19" min="10" max="10"/>
    <col outlineLevel="1" width="19.140625" customWidth="1" style="19" min="11" max="11"/>
    <col outlineLevel="1" width="13.28515625" customWidth="1" style="19" min="12" max="12"/>
    <col width="15.28515625" customWidth="1" style="19" min="13" max="13"/>
    <col width="14" customWidth="1" style="19" min="14" max="14"/>
    <col width="14.28515625" customWidth="1" style="19" min="15" max="16"/>
    <col width="12" customWidth="1" style="19" min="17" max="18"/>
    <col width="23.28515625" customWidth="1" style="19" min="19" max="19"/>
    <col width="15.140625" customWidth="1" style="19" min="20" max="20"/>
    <col width="8.7109375" customWidth="1" style="19" min="21" max="25"/>
    <col width="10.42578125" customWidth="1" style="19" min="26" max="27"/>
    <col width="8.7109375"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2.75" customHeight="1">
      <c r="A1" s="540" t="inlineStr">
        <is>
          <t>86864713-feda-4db1-b1c3-d36448fb3132</t>
        </is>
      </c>
    </row>
    <row r="2" ht="13.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20.25" customHeight="1">
      <c r="A5" s="540" t="n"/>
      <c r="C5" s="49" t="inlineStr">
        <is>
          <t>1.通过执行分析和调查两期的营业外支出重大变动来确定其变动是否合理。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20.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8.5"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从管理层处取得本期营业外支出账户的明细。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3.45" customHeight="1">
      <c r="A12" s="660" t="n"/>
      <c r="C12" s="515" t="n">
        <v>4</v>
      </c>
      <c r="D12" s="948" t="inlineStr">
        <is>
          <t>对于单项重大损失，需要获取该单项损失的组成明细，需要获取支持性文件如合同等，在必要时进行损失测试。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325" t="n"/>
      <c r="D15" s="208" t="n"/>
      <c r="E15" s="208" t="n"/>
      <c r="F15" s="208" t="n"/>
      <c r="G15" s="208" t="n"/>
      <c r="H15" s="208" t="n"/>
      <c r="I15" s="208" t="n"/>
      <c r="J15" s="254" t="n"/>
      <c r="K15" s="158" t="n"/>
      <c r="L15" s="151" t="n"/>
      <c r="M15" s="151" t="n"/>
      <c r="N15" s="151" t="n"/>
      <c r="CU15" s="7" t="n"/>
      <c r="CV15" s="162" t="n"/>
      <c r="CW15" s="162" t="n"/>
      <c r="CX15" s="143" t="n"/>
      <c r="CY15" s="143" t="n"/>
      <c r="CZ15" s="143" t="n"/>
      <c r="DA15" s="143" t="n"/>
      <c r="DB15" s="143" t="n"/>
      <c r="DC15" s="143" t="n"/>
      <c r="DD15" s="143" t="n"/>
      <c r="DE15" s="143" t="n"/>
      <c r="DF15" s="162" t="n"/>
      <c r="DG15" s="143" t="n"/>
      <c r="DH15" s="143" t="n"/>
      <c r="DI15" s="143" t="n"/>
      <c r="DJ15" s="143" t="n"/>
      <c r="DK15" s="143" t="n"/>
      <c r="DL15" s="162" t="n"/>
      <c r="DM15" s="987" t="n"/>
      <c r="DN15" s="987" t="n"/>
      <c r="DO15" s="987" t="n"/>
      <c r="DP15" s="987" t="n"/>
      <c r="DQ15" s="987" t="n"/>
      <c r="DR15" s="162" t="n"/>
      <c r="DS15" s="162" t="n"/>
      <c r="DT15" s="162" t="n"/>
      <c r="DU15" s="200" t="n"/>
      <c r="DV15" s="7" t="n"/>
      <c r="DW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4" t="n"/>
      <c r="S25" s="424" t="n"/>
      <c r="T25" s="425" t="n"/>
    </row>
    <row r="26" ht="12.6"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S27" s="6" t="n"/>
      <c r="CT27" s="6" t="n"/>
      <c r="CU27" s="6" t="n"/>
      <c r="CV27" s="143" t="n"/>
      <c r="CW27" s="143" t="n"/>
      <c r="CX27" s="143" t="n"/>
      <c r="CY27" s="143" t="n"/>
      <c r="CZ27" s="143" t="n"/>
      <c r="DA27" s="143" t="n"/>
      <c r="DB27" s="143" t="n"/>
      <c r="DC27" s="143" t="n"/>
      <c r="DD27" s="6" t="n"/>
      <c r="DE27" s="143" t="n"/>
      <c r="DF27" s="143" t="n"/>
      <c r="DG27" s="143" t="n"/>
      <c r="DH27" s="143" t="n"/>
      <c r="DI27" s="143" t="n"/>
      <c r="DJ27" s="6" t="n"/>
      <c r="DK27" s="6" t="n"/>
      <c r="DL27" s="6" t="n"/>
      <c r="DM27" s="6" t="n"/>
      <c r="DN27" s="6" t="n"/>
      <c r="DO27" s="6" t="n"/>
      <c r="DP27" s="6" t="n"/>
      <c r="DQ27" s="6" t="n"/>
      <c r="DR27" s="6" t="n"/>
      <c r="DS27" s="200" t="n"/>
      <c r="DT27" s="6" t="n"/>
      <c r="DU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S28" s="260"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589">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589">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8">
        <f>F35+H35</f>
        <v/>
      </c>
      <c r="J35" s="377">
        <f>IF($I$37&lt;&gt;0,I35/$I$37,"")</f>
        <v/>
      </c>
      <c r="K35" s="378" t="n"/>
      <c r="L35" s="969" t="n"/>
      <c r="M35" s="970">
        <f>I35+L35</f>
        <v/>
      </c>
      <c r="N35" s="970" t="n"/>
      <c r="O35" s="972">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990" t="n"/>
      <c r="C36" s="992" t="n"/>
      <c r="D36" s="761" t="n"/>
      <c r="E36" s="993" t="n"/>
      <c r="F36" s="993" t="n"/>
      <c r="G36" s="993" t="n"/>
      <c r="H36" s="993" t="n"/>
      <c r="I36" s="994" t="n"/>
      <c r="J36" s="765" t="n"/>
      <c r="K36" s="765" t="n"/>
      <c r="L36" s="994" t="n"/>
      <c r="M36" s="994" t="n"/>
      <c r="N36" s="994" t="n"/>
      <c r="O36" s="976" t="n"/>
      <c r="P36" s="767" t="n"/>
      <c r="Q36" s="767" t="n"/>
      <c r="R36" s="768"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86" t="inlineStr">
        <is>
          <t>^</t>
        </is>
      </c>
      <c r="K38" s="265" t="n"/>
      <c r="L38" s="131" t="inlineStr">
        <is>
          <t>Rx</t>
        </is>
      </c>
      <c r="M38" s="131" t="inlineStr">
        <is>
          <t>Rx</t>
        </is>
      </c>
      <c r="N38" s="131" t="inlineStr">
        <is>
          <t>Rx</t>
        </is>
      </c>
      <c r="O38" s="984" t="n"/>
      <c r="P38" s="266" t="n"/>
      <c r="Q38" s="266"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19" t="n"/>
      <c r="T39" s="990" t="n"/>
      <c r="CL39" s="6" t="n"/>
      <c r="CM39" s="6" t="n"/>
      <c r="CN39" s="6" t="n"/>
      <c r="CO39" s="143" t="n"/>
      <c r="CP39" s="143" t="n"/>
      <c r="CQ39" s="143" t="n"/>
      <c r="CR39" s="143" t="n"/>
      <c r="CS39" s="143" t="n"/>
      <c r="CT39" s="143" t="n"/>
      <c r="CU39" s="143" t="n"/>
      <c r="CV39" s="143" t="n"/>
      <c r="CW39" s="6" t="n"/>
      <c r="CX39" s="143" t="n"/>
      <c r="CY39" s="143" t="n"/>
      <c r="CZ39" s="143" t="n"/>
      <c r="DA39" s="143" t="n"/>
      <c r="DB39" s="143" t="n"/>
      <c r="DC39" s="6" t="n"/>
      <c r="DD39" s="6" t="n"/>
      <c r="DE39" s="6" t="n"/>
      <c r="DF39" s="6" t="n"/>
      <c r="DG39" s="6" t="n"/>
      <c r="DH39" s="6" t="n"/>
      <c r="DI39" s="6" t="n"/>
      <c r="DJ39" s="6" t="n"/>
      <c r="DK39" s="6" t="n"/>
      <c r="DL39" s="200" t="n"/>
      <c r="DM39" s="6" t="n"/>
      <c r="DN39" s="6" t="n"/>
    </row>
    <row r="40" ht="12.6" customFormat="1" customHeight="1" s="990">
      <c r="A40" s="991" t="n"/>
      <c r="B40" s="1045" t="n"/>
      <c r="C40" s="990" t="n"/>
      <c r="D40" s="997" t="n"/>
      <c r="F40" s="1002" t="n"/>
      <c r="G40" s="997" t="n"/>
      <c r="H40" s="1001" t="inlineStr">
        <is>
          <t>Diff</t>
        </is>
      </c>
      <c r="I40" s="1002">
        <f>I37-I39</f>
        <v/>
      </c>
      <c r="J40" s="189" t="n"/>
      <c r="K40" s="984" t="n"/>
      <c r="M40" s="1002">
        <f>M37-M39</f>
        <v/>
      </c>
      <c r="N40" s="1002">
        <f>N37-N39</f>
        <v/>
      </c>
      <c r="O40" s="984" t="n"/>
      <c r="P40" s="182" t="n"/>
      <c r="Q40" s="182" t="n"/>
      <c r="R40" s="182" t="n"/>
      <c r="S40" s="182" t="n"/>
      <c r="T40" s="999" t="n"/>
      <c r="U40" s="990" t="n"/>
      <c r="V40" s="990" t="n"/>
      <c r="CN40" s="6" t="n"/>
      <c r="CO40" s="6" t="n"/>
      <c r="CP40" s="6" t="n"/>
      <c r="CQ40" s="143" t="n"/>
      <c r="CR40" s="143" t="n"/>
      <c r="CS40" s="143" t="n"/>
      <c r="CT40" s="143" t="n"/>
      <c r="CU40" s="143" t="n"/>
      <c r="CV40" s="143" t="n"/>
      <c r="CW40" s="143" t="n"/>
      <c r="CX40" s="143" t="n"/>
      <c r="CY40" s="6" t="n"/>
      <c r="CZ40" s="143" t="n"/>
      <c r="DA40" s="143" t="n"/>
      <c r="DB40" s="143" t="n"/>
      <c r="DC40" s="143" t="n"/>
      <c r="DD40" s="143" t="n"/>
      <c r="DE40" s="6" t="n"/>
      <c r="DF40" s="6" t="n"/>
      <c r="DG40" s="6" t="n"/>
      <c r="DH40" s="6" t="n"/>
      <c r="DI40" s="6" t="n"/>
      <c r="DJ40" s="6" t="n"/>
      <c r="DK40" s="6" t="n"/>
      <c r="DL40" s="6" t="n"/>
      <c r="DM40" s="6" t="n"/>
      <c r="DN40" s="200" t="n"/>
      <c r="DO40" s="6" t="n"/>
      <c r="DP40" s="6" t="n"/>
    </row>
    <row r="41" ht="12.75" customFormat="1" customHeight="1" s="1079">
      <c r="A41" s="1080" t="n"/>
      <c r="C41" s="931" t="n"/>
      <c r="H41" s="1081" t="n"/>
      <c r="K41" s="1081" t="n"/>
      <c r="L41" s="1081" t="n"/>
      <c r="M41" s="1081" t="n"/>
      <c r="O41" s="1082" t="n"/>
      <c r="P41" s="1082" t="n"/>
      <c r="Q41" s="1082" t="n"/>
      <c r="R41" s="1082" t="n"/>
      <c r="U41" s="1082" t="n"/>
      <c r="V41" s="1082" t="n"/>
      <c r="Y41" s="1082" t="n"/>
      <c r="AB41" s="1083" t="n"/>
      <c r="AC41" s="1083" t="n"/>
      <c r="AD41" s="1083" t="n"/>
      <c r="AE41" s="1083" t="n"/>
      <c r="AF41" s="1083" t="n"/>
      <c r="AG41" s="1083" t="n"/>
      <c r="AH41" s="1084" t="n"/>
      <c r="AI41" s="1084" t="n"/>
      <c r="AJ41" s="1084" t="n"/>
      <c r="AK41" s="1084" t="n"/>
      <c r="AL41" s="1084" t="n"/>
      <c r="AM41" s="1084"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75" customHeight="1">
      <c r="A46" s="660" t="n"/>
    </row>
    <row r="47" ht="12.75" customHeight="1">
      <c r="A47" s="540" t="n"/>
    </row>
    <row r="48" ht="12.75" customHeight="1">
      <c r="A48" s="540" t="n"/>
    </row>
    <row r="49" ht="12.75" customHeight="1">
      <c r="A49" s="540" t="n"/>
      <c r="B49" s="21" t="inlineStr">
        <is>
          <t xml:space="preserve">表2 </t>
        </is>
      </c>
      <c r="C49" s="140" t="inlineStr">
        <is>
          <t>对于单项损失类别金额占整个营业外支出达到一定比例查看J列，需要获取该单项损失的组成明细，需要获取支持性文件如合同等，在必要时进行损失测试。（表格请审计团队自行设计）</t>
        </is>
      </c>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5.xml><?xml version="1.0" encoding="utf-8"?>
<worksheet xmlns="http://schemas.openxmlformats.org/spreadsheetml/2006/main">
  <sheetPr codeName="Sheet15">
    <outlinePr summaryBelow="1" summaryRight="1"/>
    <pageSetUpPr/>
  </sheetPr>
  <dimension ref="A1:DV53"/>
  <sheetViews>
    <sheetView showGridLines="0" zoomScale="70" zoomScaleNormal="70" workbookViewId="0">
      <selection activeCell="P38" sqref="P38"/>
    </sheetView>
  </sheetViews>
  <sheetFormatPr baseColWidth="8" defaultColWidth="9.5703125" defaultRowHeight="12.75" customHeight="1" outlineLevelRow="1"/>
  <cols>
    <col width="0.140625" customWidth="1" style="164" min="1" max="1"/>
    <col width="5.5703125" customWidth="1" style="19" min="2" max="2"/>
    <col width="18.140625" customWidth="1" style="19" min="3" max="3"/>
    <col width="36.5703125" customWidth="1" style="19" min="4" max="4"/>
    <col width="24.5703125" customWidth="1" style="19" min="5" max="6"/>
    <col width="16.85546875" customWidth="1" style="19" min="7" max="7"/>
    <col width="16.7109375" customWidth="1" style="19" min="8" max="8"/>
    <col width="29.42578125" customWidth="1" style="19" min="9" max="9"/>
    <col width="23.85546875" customWidth="1" style="19" min="10" max="10"/>
    <col outlineLevel="1" width="34.140625" customWidth="1" style="19" min="11" max="11"/>
    <col outlineLevel="1" width="14.7109375" customWidth="1" style="19" min="12" max="12"/>
    <col width="14.7109375" customWidth="1" style="19" min="13" max="14"/>
    <col width="14.140625" customWidth="1" style="19" min="15" max="15"/>
    <col width="26.42578125" customWidth="1" style="19" min="16" max="16"/>
    <col width="11.28515625" customWidth="1" style="19" min="17" max="18"/>
    <col width="9.42578125" customWidth="1" style="19" min="19" max="19"/>
    <col width="8.7109375" customWidth="1" style="19" min="20" max="23"/>
    <col width="15.140625" customWidth="1" style="19" min="24" max="24"/>
    <col width="15.42578125" customWidth="1" style="19" min="25" max="25"/>
    <col width="16" customWidth="1" style="19" min="26" max="26"/>
    <col width="9.5703125" customWidth="1" style="19" min="27" max="27"/>
    <col width="7.7109375" customWidth="1" style="19" min="28" max="28"/>
    <col width="13.28515625" customWidth="1" style="19" min="29" max="30"/>
    <col width="10.42578125" customWidth="1" style="19" min="31" max="31"/>
    <col width="11.7109375" customWidth="1" style="19" min="32" max="32"/>
    <col width="7.5703125" customWidth="1" style="19" min="33" max="33"/>
    <col width="8.85546875" customWidth="1" style="19" min="34" max="34"/>
    <col width="9.5703125" customWidth="1" style="19" min="35" max="16384"/>
  </cols>
  <sheetData>
    <row r="1" ht="12.75" customHeight="1">
      <c r="A1" s="540" t="inlineStr">
        <is>
          <t>28183d84-3dae-44d6-9b07-fad4d0edb8e4</t>
        </is>
      </c>
    </row>
    <row r="2" ht="19.5" customFormat="1" customHeight="1" s="9">
      <c r="A2" s="539" t="n"/>
      <c r="C2" s="473" t="n"/>
      <c r="J2" s="48" t="inlineStr">
        <is>
          <t>返回汇总页</t>
        </is>
      </c>
    </row>
    <row r="3" ht="13.35" customHeight="1" thickBot="1">
      <c r="A3" s="540" t="n"/>
      <c r="CP3" s="143" t="n"/>
      <c r="CQ3" s="6" t="n"/>
      <c r="CR3" s="6" t="n"/>
      <c r="CS3" s="143" t="n"/>
      <c r="CT3" s="143" t="n"/>
      <c r="CU3" s="143" t="n"/>
      <c r="CV3" s="143" t="n"/>
      <c r="CW3" s="143" t="n"/>
      <c r="CX3" s="143" t="n"/>
      <c r="CY3" s="143" t="n"/>
      <c r="CZ3" s="143" t="n"/>
      <c r="DA3" s="6" t="n"/>
      <c r="DB3" s="143" t="n"/>
      <c r="DC3" s="143" t="n"/>
      <c r="DD3" s="143" t="n"/>
      <c r="DE3" s="143" t="n"/>
      <c r="DF3" s="143" t="n"/>
      <c r="DG3" s="6" t="n"/>
      <c r="DH3" s="6" t="n"/>
      <c r="DI3" s="6" t="n"/>
      <c r="DJ3" s="6" t="n"/>
      <c r="DK3" s="6" t="n"/>
      <c r="DL3" s="6" t="n"/>
      <c r="DM3" s="6" t="n"/>
      <c r="DN3" s="6" t="n"/>
      <c r="DO3" s="6" t="n"/>
      <c r="DP3" s="200" t="n"/>
      <c r="DQ3" s="143" t="n"/>
      <c r="DR3" s="149" t="n"/>
    </row>
    <row r="4" ht="21" customHeight="1">
      <c r="A4" s="540" t="n"/>
      <c r="C4" s="757" t="inlineStr">
        <is>
          <t>目标</t>
        </is>
      </c>
      <c r="D4" s="758" t="n"/>
      <c r="E4" s="758" t="n"/>
      <c r="F4" s="758" t="n"/>
      <c r="G4" s="758" t="n"/>
      <c r="H4" s="758" t="n"/>
      <c r="I4" s="758" t="n"/>
      <c r="J4" s="759" t="n"/>
      <c r="K4" s="151" t="n"/>
      <c r="L4" s="151" t="n"/>
      <c r="M4" s="151" t="n"/>
      <c r="CR4" s="6" t="n"/>
      <c r="CS4" s="6" t="n"/>
      <c r="CT4" s="6" t="n"/>
      <c r="CU4" s="143" t="n"/>
      <c r="CV4" s="143" t="n"/>
      <c r="CW4" s="143" t="n"/>
      <c r="CX4" s="143" t="n"/>
      <c r="CY4" s="143" t="n"/>
      <c r="CZ4" s="143" t="n"/>
      <c r="DA4" s="143" t="n"/>
      <c r="DB4" s="143" t="n"/>
      <c r="DC4" s="6" t="n"/>
      <c r="DD4" s="143" t="n"/>
      <c r="DE4" s="143" t="n"/>
      <c r="DF4" s="143" t="n"/>
      <c r="DG4" s="143" t="n"/>
      <c r="DH4" s="143" t="n"/>
      <c r="DI4" s="6" t="n"/>
      <c r="DJ4" s="6" t="n"/>
      <c r="DK4" s="6" t="n"/>
      <c r="DL4" s="6" t="n"/>
      <c r="DM4" s="6" t="n"/>
      <c r="DN4" s="6" t="n"/>
      <c r="DO4" s="6" t="n"/>
      <c r="DP4" s="6" t="n"/>
      <c r="DQ4" s="6" t="n"/>
      <c r="DR4" s="200" t="n"/>
      <c r="DS4" s="6" t="n"/>
      <c r="DT4" s="6" t="n"/>
    </row>
    <row r="5" ht="20.25" customHeight="1">
      <c r="A5" s="540" t="n"/>
      <c r="C5" s="49" t="inlineStr">
        <is>
          <t>1.通过执行分析和调查两期的债务重组利得和损失重大变动来确定其变动是否合理。</t>
        </is>
      </c>
      <c r="D5" s="152" t="n"/>
      <c r="E5" s="152" t="n"/>
      <c r="F5" s="152" t="n"/>
      <c r="G5" s="152" t="n"/>
      <c r="H5" s="152" t="n"/>
      <c r="I5" s="152" t="n"/>
      <c r="J5" s="153" t="n"/>
      <c r="K5" s="151" t="n"/>
      <c r="L5" s="843" t="n"/>
      <c r="M5" s="843" t="n"/>
      <c r="N5" s="843" t="n"/>
      <c r="O5" s="842" t="n"/>
      <c r="CR5" s="6" t="n"/>
      <c r="CS5" s="6" t="n"/>
      <c r="CT5" s="987" t="n"/>
      <c r="CU5" s="143" t="n"/>
      <c r="CV5" s="143" t="n"/>
      <c r="CW5" s="143" t="n"/>
      <c r="CX5" s="143" t="n"/>
      <c r="CY5" s="143" t="n"/>
      <c r="CZ5" s="143" t="n"/>
      <c r="DA5" s="143" t="n"/>
      <c r="DB5" s="143" t="n"/>
      <c r="DC5" s="6" t="n"/>
      <c r="DD5" s="143" t="n"/>
      <c r="DE5" s="143" t="n"/>
      <c r="DF5" s="143" t="n"/>
      <c r="DG5" s="143" t="n"/>
      <c r="DH5" s="143" t="n"/>
      <c r="DI5" s="6" t="n"/>
      <c r="DJ5" s="6" t="n"/>
      <c r="DK5" s="6" t="n"/>
      <c r="DL5" s="6" t="n"/>
      <c r="DM5" s="6" t="n"/>
      <c r="DN5" s="6" t="n"/>
      <c r="DO5" s="6" t="n"/>
      <c r="DP5" s="6" t="n"/>
      <c r="DQ5" s="6" t="n"/>
      <c r="DR5" s="200" t="n"/>
      <c r="DS5" s="6" t="n"/>
      <c r="DT5" s="6" t="n"/>
    </row>
    <row r="6" ht="20.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R6" s="6" t="n"/>
      <c r="CS6" s="987" t="n"/>
      <c r="CT6" s="987" t="n"/>
      <c r="CU6" s="143" t="n"/>
      <c r="CV6" s="143" t="n"/>
      <c r="CW6" s="143" t="n"/>
      <c r="CX6" s="143" t="n"/>
      <c r="CY6" s="143" t="n"/>
      <c r="CZ6" s="143" t="n"/>
      <c r="DA6" s="143" t="n"/>
      <c r="DB6" s="143" t="n"/>
      <c r="DC6" s="987" t="n"/>
      <c r="DD6" s="143" t="n"/>
      <c r="DE6" s="143" t="n"/>
      <c r="DF6" s="143" t="n"/>
      <c r="DG6" s="143" t="n"/>
      <c r="DH6" s="143" t="n"/>
      <c r="DI6" s="987" t="n"/>
      <c r="DJ6" s="6" t="n"/>
      <c r="DK6" s="6" t="n"/>
      <c r="DL6" s="6" t="n"/>
      <c r="DM6" s="6" t="n"/>
      <c r="DN6" s="6" t="n"/>
      <c r="DO6" s="987" t="n"/>
      <c r="DP6" s="987" t="n"/>
      <c r="DQ6" s="987" t="n"/>
      <c r="DR6" s="155" t="n"/>
      <c r="DS6" s="6" t="n"/>
      <c r="DT6" s="6" t="n"/>
    </row>
    <row r="7" ht="12.6" customHeight="1">
      <c r="A7" s="540" t="n"/>
      <c r="C7" s="49" t="n"/>
      <c r="D7" s="152" t="n"/>
      <c r="E7" s="152" t="n"/>
      <c r="F7" s="152" t="n"/>
      <c r="G7" s="152" t="n"/>
      <c r="H7" s="152" t="n"/>
      <c r="I7" s="152" t="n"/>
      <c r="J7" s="153" t="n"/>
      <c r="K7" s="151" t="n"/>
      <c r="L7" s="353" t="n"/>
      <c r="M7" s="156" t="n"/>
      <c r="N7" s="1085" t="n"/>
      <c r="O7" s="156" t="n"/>
      <c r="CR7" s="6" t="n"/>
      <c r="CS7" s="987" t="n"/>
      <c r="CT7" s="987" t="n"/>
      <c r="CU7" s="143" t="n"/>
      <c r="CV7" s="143" t="n"/>
      <c r="CW7" s="143" t="n"/>
      <c r="CX7" s="143" t="n"/>
      <c r="CY7" s="143" t="n"/>
      <c r="CZ7" s="143" t="n"/>
      <c r="DA7" s="143" t="n"/>
      <c r="DB7" s="143" t="n"/>
      <c r="DC7" s="987" t="n"/>
      <c r="DD7" s="143" t="n"/>
      <c r="DE7" s="143" t="n"/>
      <c r="DF7" s="143" t="n"/>
      <c r="DG7" s="143" t="n"/>
      <c r="DH7" s="143" t="n"/>
      <c r="DI7" s="987" t="n"/>
      <c r="DJ7" s="6" t="n"/>
      <c r="DK7" s="6" t="n"/>
      <c r="DL7" s="6" t="n"/>
      <c r="DM7" s="6" t="n"/>
      <c r="DN7" s="6" t="n"/>
      <c r="DO7" s="987" t="n"/>
      <c r="DP7" s="987" t="n"/>
      <c r="DQ7" s="987" t="n"/>
      <c r="DR7" s="155" t="n"/>
      <c r="DS7" s="6" t="n"/>
      <c r="DT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S8" s="7" t="n"/>
      <c r="CT8" s="7" t="n"/>
      <c r="CU8" s="7" t="n"/>
      <c r="CV8" s="143" t="n"/>
      <c r="CW8" s="143" t="n"/>
      <c r="CX8" s="143" t="n"/>
      <c r="CY8" s="143" t="n"/>
      <c r="CZ8" s="143" t="n"/>
      <c r="DA8" s="143" t="n"/>
      <c r="DB8" s="143" t="n"/>
      <c r="DC8" s="143" t="n"/>
      <c r="DD8" s="7" t="n"/>
      <c r="DE8" s="143" t="n"/>
      <c r="DF8" s="143" t="n"/>
      <c r="DG8" s="143" t="n"/>
      <c r="DH8" s="143" t="n"/>
      <c r="DI8" s="143" t="n"/>
      <c r="DJ8" s="7" t="n"/>
      <c r="DK8" s="987" t="n"/>
      <c r="DL8" s="987" t="n"/>
      <c r="DM8" s="987" t="n"/>
      <c r="DN8" s="987" t="n"/>
      <c r="DO8" s="987" t="n"/>
      <c r="DP8" s="7" t="n"/>
      <c r="DQ8" s="7" t="n"/>
      <c r="DR8" s="7" t="n"/>
      <c r="DS8" s="155" t="n"/>
      <c r="DT8" s="7" t="n"/>
      <c r="DU8" s="159" t="n"/>
    </row>
    <row r="9" outlineLevel="1" ht="21" customHeight="1">
      <c r="A9" s="660" t="n"/>
      <c r="C9" s="515" t="n">
        <v>1</v>
      </c>
      <c r="D9" s="844" t="inlineStr">
        <is>
          <t>从管理层处取得本期债务重组利得和损失账户的明细。</t>
        </is>
      </c>
      <c r="E9" s="988" t="n"/>
      <c r="F9" s="989" t="n"/>
      <c r="G9" s="560" t="inlineStr">
        <is>
          <t>表1</t>
        </is>
      </c>
      <c r="H9" s="903" t="inlineStr">
        <is>
          <t>是</t>
        </is>
      </c>
      <c r="I9" s="904" t="n"/>
      <c r="J9" s="516" t="n"/>
      <c r="K9" s="158" t="n"/>
      <c r="L9" s="158" t="n"/>
      <c r="M9" s="160" t="n"/>
      <c r="N9" s="160" t="n"/>
      <c r="O9" s="160" t="n"/>
      <c r="CT9" s="987" t="n"/>
      <c r="CU9" s="7" t="n"/>
      <c r="CV9" s="987" t="n"/>
      <c r="CW9" s="143" t="n"/>
      <c r="CX9" s="143" t="n"/>
      <c r="CY9" s="143" t="n"/>
      <c r="CZ9" s="143" t="n"/>
      <c r="DA9" s="143" t="n"/>
      <c r="DB9" s="143" t="n"/>
      <c r="DC9" s="143" t="n"/>
      <c r="DD9" s="143" t="n"/>
      <c r="DE9" s="7" t="n"/>
      <c r="DF9" s="143" t="n"/>
      <c r="DG9" s="143" t="n"/>
      <c r="DH9" s="143" t="n"/>
      <c r="DI9" s="143" t="n"/>
      <c r="DJ9" s="143" t="n"/>
      <c r="DK9" s="7" t="n"/>
      <c r="DL9" s="7" t="n"/>
      <c r="DM9" s="7" t="n"/>
      <c r="DN9" s="7" t="n"/>
      <c r="DO9" s="7" t="n"/>
      <c r="DP9" s="7" t="n"/>
      <c r="DQ9" s="7" t="n"/>
      <c r="DR9" s="7" t="n"/>
      <c r="DS9" s="7" t="n"/>
      <c r="DT9" s="155" t="n"/>
      <c r="DU9" s="987" t="n"/>
      <c r="DV9" s="931" t="n"/>
    </row>
    <row r="10" outlineLevel="1" ht="61.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T10" s="987" t="n"/>
      <c r="CU10" s="7" t="n"/>
      <c r="CV10" s="987" t="n"/>
      <c r="CW10" s="143" t="n"/>
      <c r="CX10" s="143" t="n"/>
      <c r="CY10" s="143" t="n"/>
      <c r="CZ10" s="143" t="n"/>
      <c r="DA10" s="143" t="n"/>
      <c r="DB10" s="143" t="n"/>
      <c r="DC10" s="143" t="n"/>
      <c r="DD10" s="143" t="n"/>
      <c r="DE10" s="7" t="n"/>
      <c r="DF10" s="143" t="n"/>
      <c r="DG10" s="143" t="n"/>
      <c r="DH10" s="143" t="n"/>
      <c r="DI10" s="143" t="n"/>
      <c r="DJ10" s="143" t="n"/>
      <c r="DK10" s="7" t="n"/>
      <c r="DL10" s="7" t="n"/>
      <c r="DM10" s="7" t="n"/>
      <c r="DN10" s="7" t="n"/>
      <c r="DO10" s="7" t="n"/>
      <c r="DP10" s="7" t="n"/>
      <c r="DQ10" s="7" t="n"/>
      <c r="DR10" s="7" t="n"/>
      <c r="DS10" s="7" t="n"/>
      <c r="DT10" s="155" t="n"/>
      <c r="DU10" s="987" t="n"/>
      <c r="DV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T11" s="7" t="n"/>
      <c r="CU11" s="987" t="n"/>
      <c r="CV11" s="162" t="n"/>
      <c r="CW11" s="143" t="n"/>
      <c r="CX11" s="143" t="n"/>
      <c r="CY11" s="143" t="n"/>
      <c r="CZ11" s="143" t="n"/>
      <c r="DA11" s="143" t="n"/>
      <c r="DB11" s="143" t="n"/>
      <c r="DC11" s="143" t="n"/>
      <c r="DD11" s="143" t="n"/>
      <c r="DE11" s="987" t="n"/>
      <c r="DF11" s="143" t="n"/>
      <c r="DG11" s="143" t="n"/>
      <c r="DH11" s="143" t="n"/>
      <c r="DI11" s="143" t="n"/>
      <c r="DJ11" s="143" t="n"/>
      <c r="DK11" s="987" t="n"/>
      <c r="DL11" s="7" t="n"/>
      <c r="DM11" s="7" t="n"/>
      <c r="DN11" s="7" t="n"/>
      <c r="DO11" s="7" t="n"/>
      <c r="DP11" s="7" t="n"/>
      <c r="DQ11" s="987" t="n"/>
      <c r="DR11" s="987" t="n"/>
      <c r="DS11" s="987" t="n"/>
      <c r="DT11" s="155" t="n"/>
      <c r="DU11" s="7" t="n"/>
      <c r="DV11" s="7" t="n"/>
    </row>
    <row r="12" outlineLevel="1" ht="97.34999999999999" customHeight="1">
      <c r="A12" s="660" t="n"/>
      <c r="C12" s="515" t="n">
        <v>4</v>
      </c>
      <c r="D12" s="869" t="inlineStr">
        <is>
          <t>获取债务重组明细表，对当期确认债务重组利得/损益的时点进行判断，复核是否满足金融资产和金融负债终止确认条件，判断相关债务的现实义务已经解除的依据，包括但不限于查看债务重组协议的具体条款以及协议的执行情况，律师意见书、董事会决议、股东会决议等。</t>
        </is>
      </c>
      <c r="E12" s="988" t="n"/>
      <c r="F12" s="989" t="n"/>
      <c r="G12" s="517" t="inlineStr">
        <is>
          <t>项目组自行设计</t>
        </is>
      </c>
      <c r="H12" s="903" t="inlineStr">
        <is>
          <t>是</t>
        </is>
      </c>
      <c r="I12" s="904" t="n"/>
      <c r="J12" s="620" t="n"/>
      <c r="K12" s="158" t="n"/>
      <c r="L12" s="158" t="n"/>
      <c r="M12" s="151" t="n"/>
      <c r="N12" s="151" t="n"/>
      <c r="O12" s="151" t="n"/>
      <c r="CT12" s="7" t="n"/>
      <c r="CU12" s="987" t="n"/>
      <c r="CV12" s="162" t="n"/>
      <c r="CW12" s="143" t="n"/>
      <c r="CX12" s="143" t="n"/>
      <c r="CY12" s="143" t="n"/>
      <c r="CZ12" s="143" t="n"/>
      <c r="DA12" s="143" t="n"/>
      <c r="DB12" s="143" t="n"/>
      <c r="DC12" s="143" t="n"/>
      <c r="DD12" s="143" t="n"/>
      <c r="DE12" s="987" t="n"/>
      <c r="DF12" s="143" t="n"/>
      <c r="DG12" s="143" t="n"/>
      <c r="DH12" s="143" t="n"/>
      <c r="DI12" s="143" t="n"/>
      <c r="DJ12" s="143" t="n"/>
      <c r="DK12" s="987" t="n"/>
      <c r="DL12" s="7" t="n"/>
      <c r="DM12" s="7" t="n"/>
      <c r="DN12" s="7" t="n"/>
      <c r="DO12" s="7" t="n"/>
      <c r="DP12" s="7" t="n"/>
      <c r="DQ12" s="987" t="n"/>
      <c r="DR12" s="987" t="n"/>
      <c r="DS12" s="987" t="n"/>
      <c r="DT12" s="155" t="n"/>
      <c r="DU12" s="7" t="n"/>
      <c r="DV12" s="7" t="n"/>
    </row>
    <row r="13" outlineLevel="1" ht="40.5" customHeight="1">
      <c r="A13" s="660" t="n"/>
      <c r="C13" s="515" t="n">
        <v>5</v>
      </c>
      <c r="D13" s="844" t="inlineStr">
        <is>
          <t>调查任何异常交易，并基于综合风险评估和已确定的测试临界值测试交易。</t>
        </is>
      </c>
      <c r="E13" s="988" t="n"/>
      <c r="F13" s="989" t="n"/>
      <c r="G13" s="517" t="inlineStr">
        <is>
          <t>自行介绍</t>
        </is>
      </c>
      <c r="H13" s="903" t="inlineStr">
        <is>
          <t>是</t>
        </is>
      </c>
      <c r="I13" s="904" t="n"/>
      <c r="J13" s="516" t="n"/>
      <c r="K13" s="158" t="n"/>
      <c r="L13" s="158" t="n"/>
      <c r="M13" s="151" t="n"/>
      <c r="N13" s="151" t="n"/>
      <c r="O13" s="151" t="n"/>
      <c r="CT13" s="7" t="n"/>
      <c r="CU13" s="162" t="n"/>
      <c r="CV13" s="162" t="n"/>
      <c r="CW13" s="143" t="n"/>
      <c r="CX13" s="143" t="n"/>
      <c r="CY13" s="143" t="n"/>
      <c r="CZ13" s="143" t="n"/>
      <c r="DA13" s="143" t="n"/>
      <c r="DB13" s="143" t="n"/>
      <c r="DC13" s="143" t="n"/>
      <c r="DD13" s="143" t="n"/>
      <c r="DE13" s="162" t="n"/>
      <c r="DF13" s="143" t="n"/>
      <c r="DG13" s="143" t="n"/>
      <c r="DH13" s="143" t="n"/>
      <c r="DI13" s="143" t="n"/>
      <c r="DJ13" s="143" t="n"/>
      <c r="DK13" s="162" t="n"/>
      <c r="DL13" s="987" t="n"/>
      <c r="DM13" s="987" t="n"/>
      <c r="DN13" s="987" t="n"/>
      <c r="DO13" s="987" t="n"/>
      <c r="DP13" s="987" t="n"/>
      <c r="DQ13" s="162" t="n"/>
      <c r="DR13" s="162" t="n"/>
      <c r="DS13" s="162" t="n"/>
      <c r="DT13" s="200" t="n"/>
      <c r="DU13" s="7" t="n"/>
      <c r="DV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T14" s="7" t="n"/>
      <c r="CU14" s="162" t="n"/>
      <c r="CV14" s="162" t="n"/>
      <c r="CW14" s="143" t="n"/>
      <c r="CX14" s="143" t="n"/>
      <c r="CY14" s="143" t="n"/>
      <c r="CZ14" s="143" t="n"/>
      <c r="DA14" s="143" t="n"/>
      <c r="DB14" s="143" t="n"/>
      <c r="DC14" s="143" t="n"/>
      <c r="DD14" s="143" t="n"/>
      <c r="DE14" s="162" t="n"/>
      <c r="DF14" s="143" t="n"/>
      <c r="DG14" s="143" t="n"/>
      <c r="DH14" s="143" t="n"/>
      <c r="DI14" s="143" t="n"/>
      <c r="DJ14" s="143" t="n"/>
      <c r="DK14" s="162" t="n"/>
      <c r="DL14" s="987" t="n"/>
      <c r="DM14" s="987" t="n"/>
      <c r="DN14" s="987" t="n"/>
      <c r="DO14" s="987" t="n"/>
      <c r="DP14" s="987" t="n"/>
      <c r="DQ14" s="162" t="n"/>
      <c r="DR14" s="162" t="n"/>
      <c r="DS14" s="162" t="n"/>
      <c r="DT14" s="200" t="n"/>
      <c r="DU14" s="7" t="n"/>
      <c r="DV14" s="159" t="n"/>
    </row>
    <row r="15" ht="18.75" customHeight="1" thickBot="1">
      <c r="A15" s="660" t="n"/>
      <c r="C15" s="253" t="n"/>
      <c r="D15" s="208" t="n"/>
      <c r="E15" s="208" t="n"/>
      <c r="F15" s="208" t="n"/>
      <c r="G15" s="208" t="n"/>
      <c r="H15" s="208" t="n"/>
      <c r="I15" s="208" t="n"/>
      <c r="J15" s="254" t="n"/>
      <c r="K15" s="151" t="n"/>
      <c r="L15" s="151" t="n"/>
      <c r="M15" s="151" t="n"/>
      <c r="CR15" s="7" t="n"/>
      <c r="CS15" s="162" t="n"/>
      <c r="CT15" s="162" t="n"/>
      <c r="CU15" s="143" t="n"/>
      <c r="CV15" s="143" t="n"/>
      <c r="CW15" s="143" t="n"/>
      <c r="CX15" s="143" t="n"/>
      <c r="CY15" s="143" t="n"/>
      <c r="CZ15" s="143" t="n"/>
      <c r="DA15" s="143" t="n"/>
      <c r="DB15" s="143" t="n"/>
      <c r="DC15" s="162" t="n"/>
      <c r="DD15" s="143" t="n"/>
      <c r="DE15" s="143" t="n"/>
      <c r="DF15" s="143" t="n"/>
      <c r="DG15" s="143" t="n"/>
      <c r="DH15" s="143" t="n"/>
      <c r="DI15" s="162" t="n"/>
      <c r="DJ15" s="987" t="n"/>
      <c r="DK15" s="987" t="n"/>
      <c r="DL15" s="987" t="n"/>
      <c r="DM15" s="987" t="n"/>
      <c r="DN15" s="987" t="n"/>
      <c r="DO15" s="162" t="n"/>
      <c r="DP15" s="162" t="n"/>
      <c r="DQ15" s="162" t="n"/>
      <c r="DR15" s="200" t="n"/>
      <c r="DS15" s="7" t="n"/>
      <c r="DT15" s="159" t="n"/>
    </row>
    <row r="16" ht="12.6" customHeight="1">
      <c r="A16" s="660" t="n"/>
      <c r="C16" s="163" t="n"/>
      <c r="CR16" s="6" t="n"/>
      <c r="CS16" s="6" t="n"/>
      <c r="CT16" s="6" t="n"/>
      <c r="CU16" s="143" t="n"/>
      <c r="CV16" s="143" t="n"/>
      <c r="CW16" s="143" t="n"/>
      <c r="CX16" s="143" t="n"/>
      <c r="CY16" s="143" t="n"/>
      <c r="CZ16" s="143" t="n"/>
      <c r="DA16" s="143" t="n"/>
      <c r="DB16" s="143" t="n"/>
      <c r="DC16" s="6" t="n"/>
      <c r="DD16" s="143" t="n"/>
      <c r="DE16" s="143" t="n"/>
      <c r="DF16" s="143" t="n"/>
      <c r="DG16" s="143" t="n"/>
      <c r="DH16" s="143" t="n"/>
      <c r="DI16" s="6" t="n"/>
      <c r="DJ16" s="6" t="n"/>
      <c r="DK16" s="6" t="n"/>
      <c r="DL16" s="6" t="n"/>
      <c r="DM16" s="6" t="n"/>
      <c r="DN16" s="6" t="n"/>
      <c r="DO16" s="6" t="n"/>
      <c r="DP16" s="6" t="n"/>
      <c r="DQ16" s="6" t="n"/>
      <c r="DR16" s="200" t="n"/>
      <c r="DS16" s="6" t="n"/>
      <c r="DT16" s="6" t="n"/>
    </row>
    <row r="17" ht="12.6" customHeight="1">
      <c r="A17" s="660" t="n"/>
      <c r="C17" s="163" t="n"/>
      <c r="CR17" s="6" t="n"/>
      <c r="CS17" s="6" t="n"/>
      <c r="CT17" s="6" t="n"/>
      <c r="CU17" s="143" t="n"/>
      <c r="CV17" s="143" t="n"/>
      <c r="CW17" s="143" t="n"/>
      <c r="CX17" s="143" t="n"/>
      <c r="CY17" s="143" t="n"/>
      <c r="CZ17" s="143" t="n"/>
      <c r="DA17" s="143" t="n"/>
      <c r="DB17" s="143" t="n"/>
      <c r="DC17" s="6" t="n"/>
      <c r="DD17" s="143" t="n"/>
      <c r="DE17" s="143" t="n"/>
      <c r="DF17" s="143" t="n"/>
      <c r="DG17" s="143" t="n"/>
      <c r="DH17" s="143" t="n"/>
      <c r="DI17" s="6" t="n"/>
      <c r="DJ17" s="6" t="n"/>
      <c r="DK17" s="6" t="n"/>
      <c r="DL17" s="6" t="n"/>
      <c r="DM17" s="6" t="n"/>
      <c r="DN17" s="6" t="n"/>
      <c r="DO17" s="6" t="n"/>
      <c r="DP17" s="6" t="n"/>
      <c r="DQ17" s="6" t="n"/>
      <c r="DR17" s="200" t="n"/>
      <c r="DS17" s="6" t="n"/>
      <c r="DT17" s="6" t="n"/>
    </row>
    <row r="18" ht="12.6" customHeight="1">
      <c r="A18" s="660" t="n"/>
      <c r="C18" s="163" t="n"/>
      <c r="CR18" s="6" t="n"/>
      <c r="CS18" s="6" t="n"/>
      <c r="CT18" s="6" t="n"/>
      <c r="CU18" s="143" t="n"/>
      <c r="CV18" s="143" t="n"/>
      <c r="CW18" s="143" t="n"/>
      <c r="CX18" s="143" t="n"/>
      <c r="CY18" s="143" t="n"/>
      <c r="CZ18" s="143" t="n"/>
      <c r="DA18" s="143" t="n"/>
      <c r="DB18" s="143" t="n"/>
      <c r="DC18" s="6" t="n"/>
      <c r="DD18" s="143" t="n"/>
      <c r="DE18" s="143" t="n"/>
      <c r="DF18" s="143" t="n"/>
      <c r="DG18" s="143" t="n"/>
      <c r="DH18" s="143" t="n"/>
      <c r="DI18" s="6" t="n"/>
      <c r="DJ18" s="6" t="n"/>
      <c r="DK18" s="6" t="n"/>
      <c r="DL18" s="6" t="n"/>
      <c r="DM18" s="6" t="n"/>
      <c r="DN18" s="6" t="n"/>
      <c r="DO18" s="6" t="n"/>
      <c r="DP18" s="6" t="n"/>
      <c r="DQ18" s="6" t="n"/>
      <c r="DR18" s="200" t="n"/>
      <c r="DS18" s="6" t="n"/>
      <c r="DT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5" t="n"/>
    </row>
    <row r="26" ht="12.6" customHeight="1">
      <c r="A26" s="660" t="n"/>
      <c r="CP26" s="6" t="n"/>
      <c r="CQ26" s="6" t="n"/>
      <c r="CR26" s="6" t="n"/>
      <c r="CS26" s="143" t="n"/>
      <c r="CT26" s="143" t="n"/>
      <c r="CU26" s="143" t="n"/>
      <c r="CV26" s="143" t="n"/>
      <c r="CW26" s="143" t="n"/>
      <c r="CX26" s="143" t="n"/>
      <c r="CY26" s="143" t="n"/>
      <c r="CZ26" s="143" t="n"/>
      <c r="DA26" s="6" t="n"/>
      <c r="DB26" s="143" t="n"/>
      <c r="DC26" s="143" t="n"/>
      <c r="DD26" s="143" t="n"/>
      <c r="DE26" s="143" t="n"/>
      <c r="DF26" s="143" t="n"/>
      <c r="DG26" s="6" t="n"/>
      <c r="DH26" s="6" t="n"/>
      <c r="DI26" s="6" t="n"/>
      <c r="DJ26" s="6" t="n"/>
      <c r="DK26" s="6" t="n"/>
      <c r="DL26" s="6" t="n"/>
      <c r="DM26" s="6" t="n"/>
      <c r="DN26" s="6" t="n"/>
      <c r="DO26" s="6" t="n"/>
      <c r="DP26" s="200" t="n"/>
      <c r="DQ26" s="6" t="n"/>
      <c r="DR26" s="6" t="n"/>
    </row>
    <row r="27" ht="12.75" customHeight="1">
      <c r="A27" s="660" t="n"/>
      <c r="CR27" s="6" t="n"/>
      <c r="CS27" s="6" t="n"/>
      <c r="CT27" s="6" t="n"/>
      <c r="CU27" s="143" t="n"/>
      <c r="CV27" s="143" t="n"/>
      <c r="CW27" s="143" t="n"/>
      <c r="CX27" s="143" t="n"/>
      <c r="CY27" s="143" t="n"/>
      <c r="CZ27" s="143" t="n"/>
      <c r="DA27" s="143" t="n"/>
      <c r="DB27" s="143" t="n"/>
      <c r="DC27" s="6" t="n"/>
      <c r="DD27" s="143" t="n"/>
      <c r="DE27" s="143" t="n"/>
      <c r="DF27" s="143" t="n"/>
      <c r="DG27" s="143" t="n"/>
      <c r="DH27" s="143" t="n"/>
      <c r="DI27" s="6" t="n"/>
      <c r="DJ27" s="6" t="n"/>
      <c r="DK27" s="6" t="n"/>
      <c r="DL27" s="6" t="n"/>
      <c r="DM27" s="6" t="n"/>
      <c r="DN27" s="6" t="n"/>
      <c r="DO27" s="6" t="n"/>
      <c r="DP27" s="6" t="n"/>
      <c r="DQ27" s="6" t="n"/>
      <c r="DR27" s="200" t="n"/>
      <c r="DS27" s="6" t="n"/>
      <c r="DT27" s="6" t="n"/>
    </row>
    <row r="28">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990" t="n"/>
      <c r="C36" s="992" t="n"/>
      <c r="D36" s="761" t="n"/>
      <c r="E36" s="993" t="n"/>
      <c r="F36" s="993" t="n"/>
      <c r="G36" s="993" t="n"/>
      <c r="H36" s="993" t="n"/>
      <c r="I36" s="994" t="n"/>
      <c r="J36" s="765" t="n"/>
      <c r="K36" s="765" t="n"/>
      <c r="L36" s="994" t="n"/>
      <c r="M36" s="994" t="n"/>
      <c r="N36" s="994" t="n"/>
      <c r="O36" s="976" t="n"/>
      <c r="P36" s="767" t="n"/>
      <c r="Q36" s="767" t="n"/>
      <c r="R36" s="768"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990" t="n"/>
      <c r="CK38" s="6" t="n"/>
      <c r="CL38" s="6" t="n"/>
      <c r="CM38" s="6" t="n"/>
      <c r="CN38" s="143" t="n"/>
      <c r="CO38" s="143" t="n"/>
      <c r="CP38" s="143" t="n"/>
      <c r="CQ38" s="143" t="n"/>
      <c r="CR38" s="143" t="n"/>
      <c r="CS38" s="143" t="n"/>
      <c r="CT38" s="143" t="n"/>
      <c r="CU38" s="143" t="n"/>
      <c r="CV38" s="6" t="n"/>
      <c r="CW38" s="143" t="n"/>
      <c r="CX38" s="143" t="n"/>
      <c r="CY38" s="143" t="n"/>
      <c r="CZ38" s="143" t="n"/>
      <c r="DA38" s="143" t="n"/>
      <c r="DB38" s="6" t="n"/>
      <c r="DC38" s="6" t="n"/>
      <c r="DD38" s="6" t="n"/>
      <c r="DE38" s="6" t="n"/>
      <c r="DF38" s="6" t="n"/>
      <c r="DG38" s="6" t="n"/>
      <c r="DH38" s="6" t="n"/>
      <c r="DI38" s="6" t="n"/>
      <c r="DJ38" s="6" t="n"/>
      <c r="DK38" s="200" t="n"/>
      <c r="DL38" s="6" t="n"/>
      <c r="DM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990" t="n"/>
      <c r="CK39" s="6" t="n"/>
      <c r="CL39" s="6" t="n"/>
      <c r="CM39" s="6" t="n"/>
      <c r="CN39" s="143" t="n"/>
      <c r="CO39" s="143" t="n"/>
      <c r="CP39" s="143" t="n"/>
      <c r="CQ39" s="143" t="n"/>
      <c r="CR39" s="143" t="n"/>
      <c r="CS39" s="143" t="n"/>
      <c r="CT39" s="143" t="n"/>
      <c r="CU39" s="143" t="n"/>
      <c r="CV39" s="6" t="n"/>
      <c r="CW39" s="143" t="n"/>
      <c r="CX39" s="143" t="n"/>
      <c r="CY39" s="143" t="n"/>
      <c r="CZ39" s="143" t="n"/>
      <c r="DA39" s="143" t="n"/>
      <c r="DB39" s="6" t="n"/>
      <c r="DC39" s="6" t="n"/>
      <c r="DD39" s="6" t="n"/>
      <c r="DE39" s="6" t="n"/>
      <c r="DF39" s="6" t="n"/>
      <c r="DG39" s="6" t="n"/>
      <c r="DH39" s="6" t="n"/>
      <c r="DI39" s="6" t="n"/>
      <c r="DJ39" s="6" t="n"/>
      <c r="DK39" s="200" t="n"/>
      <c r="DL39" s="6" t="n"/>
      <c r="DM39" s="6" t="n"/>
    </row>
    <row r="40" ht="12.6" customFormat="1" customHeight="1" s="990">
      <c r="A40" s="991" t="n"/>
      <c r="B40" s="1045" t="n"/>
      <c r="C40" s="990" t="n"/>
      <c r="D40" s="997" t="n"/>
      <c r="F40" s="1002" t="n"/>
      <c r="G40" s="997" t="n"/>
      <c r="H40" s="1001" t="inlineStr">
        <is>
          <t>Diff</t>
        </is>
      </c>
      <c r="I40" s="1002">
        <f>I37-I39</f>
        <v/>
      </c>
      <c r="J40" s="189" t="n"/>
      <c r="K40" s="984" t="n"/>
      <c r="M40" s="1002">
        <f>M37-M39</f>
        <v/>
      </c>
      <c r="N40" s="1002">
        <f>N37-N39</f>
        <v/>
      </c>
      <c r="O40" s="984" t="n"/>
      <c r="P40" s="182" t="n"/>
      <c r="Q40" s="182" t="n"/>
      <c r="R40" s="999" t="n"/>
      <c r="S40" s="990" t="n"/>
      <c r="CK40" s="6" t="n"/>
      <c r="CL40" s="6" t="n"/>
      <c r="CM40" s="6" t="n"/>
      <c r="CN40" s="143" t="n"/>
      <c r="CO40" s="143" t="n"/>
      <c r="CP40" s="143" t="n"/>
      <c r="CQ40" s="143" t="n"/>
      <c r="CR40" s="143" t="n"/>
      <c r="CS40" s="143" t="n"/>
      <c r="CT40" s="143" t="n"/>
      <c r="CU40" s="143" t="n"/>
      <c r="CV40" s="6" t="n"/>
      <c r="CW40" s="143" t="n"/>
      <c r="CX40" s="143" t="n"/>
      <c r="CY40" s="143" t="n"/>
      <c r="CZ40" s="143" t="n"/>
      <c r="DA40" s="143" t="n"/>
      <c r="DB40" s="6" t="n"/>
      <c r="DC40" s="6" t="n"/>
      <c r="DD40" s="6" t="n"/>
      <c r="DE40" s="6" t="n"/>
      <c r="DF40" s="6" t="n"/>
      <c r="DG40" s="6" t="n"/>
      <c r="DH40" s="6" t="n"/>
      <c r="DI40" s="6" t="n"/>
      <c r="DJ40" s="6" t="n"/>
      <c r="DK40" s="200" t="n"/>
      <c r="DL40" s="6" t="n"/>
      <c r="DM40" s="6" t="n"/>
    </row>
    <row r="41" ht="12.75" customFormat="1" customHeight="1" s="1007">
      <c r="A41" s="1052" t="n"/>
      <c r="C41" s="931" t="n"/>
      <c r="H41" s="1050" t="n"/>
      <c r="K41" s="1050" t="n"/>
      <c r="L41" s="1050" t="n"/>
      <c r="M41" s="1050" t="n"/>
      <c r="O41" s="1051" t="n"/>
      <c r="P41" s="1051" t="n"/>
      <c r="Q41" s="1051" t="n"/>
      <c r="R41" s="1051" t="n"/>
      <c r="S41" s="1051" t="n"/>
      <c r="T41" s="1051" t="n"/>
      <c r="Z41" s="1011" t="n"/>
      <c r="AA41" s="1011" t="n"/>
      <c r="AB41" s="1011" t="n"/>
      <c r="AC41" s="1011" t="n"/>
      <c r="AD41" s="1011" t="n"/>
      <c r="AE41" s="1011" t="n"/>
      <c r="AF41" s="995" t="n"/>
      <c r="AG41" s="995" t="n"/>
      <c r="AH41" s="995" t="n"/>
      <c r="AI41" s="995" t="n"/>
      <c r="AJ41" s="995" t="n"/>
      <c r="AK41" s="995"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6" customHeight="1">
      <c r="A46" s="660" t="n"/>
      <c r="C46" s="59" t="n"/>
      <c r="CL46" s="6" t="n"/>
      <c r="CM46" s="6" t="n"/>
      <c r="CN46" s="6" t="n"/>
      <c r="CO46" s="143" t="n"/>
      <c r="CP46" s="143" t="n"/>
      <c r="CQ46" s="143" t="n"/>
      <c r="CR46" s="143" t="n"/>
      <c r="CS46" s="143" t="n"/>
      <c r="CT46" s="143" t="n"/>
      <c r="CU46" s="143" t="n"/>
      <c r="CV46" s="6" t="n"/>
      <c r="CW46" s="6" t="n"/>
      <c r="CX46" s="143" t="n"/>
      <c r="CY46" s="143" t="n"/>
      <c r="CZ46" s="143" t="n"/>
      <c r="DA46" s="143" t="n"/>
      <c r="DB46" s="143" t="n"/>
      <c r="DC46" s="6" t="n"/>
      <c r="DD46" s="6" t="n"/>
      <c r="DE46" s="6" t="n"/>
      <c r="DF46" s="6" t="n"/>
      <c r="DG46" s="6" t="n"/>
      <c r="DH46" s="6" t="n"/>
      <c r="DI46" s="6" t="n"/>
      <c r="DJ46" s="6" t="n"/>
      <c r="DK46" s="6" t="n"/>
      <c r="DL46" s="6" t="n"/>
      <c r="DM46" s="6" t="n"/>
      <c r="DN46" s="6" t="n"/>
    </row>
    <row r="47" ht="12.75" customHeight="1">
      <c r="A47" s="540" t="n"/>
    </row>
    <row r="48" ht="12.75" customHeight="1">
      <c r="A48" s="540" t="n"/>
    </row>
    <row r="49" ht="12.75" customFormat="1" customHeight="1" s="18">
      <c r="A49" s="666" t="n"/>
      <c r="B49" s="331" t="n"/>
      <c r="C49" s="332" t="n"/>
      <c r="D49" s="333" t="n"/>
      <c r="E49" s="333" t="n"/>
      <c r="F49" s="333" t="n"/>
      <c r="G49" s="333" t="n"/>
      <c r="H49" s="333" t="n"/>
      <c r="I49" s="333" t="n"/>
      <c r="J49" s="333" t="n"/>
      <c r="K49" s="333" t="n"/>
      <c r="T49" s="19" t="n"/>
      <c r="U49" s="19" t="n"/>
    </row>
    <row r="50" ht="12.75" customFormat="1" customHeight="1" s="18">
      <c r="A50" s="666" t="n"/>
      <c r="B50" s="21" t="inlineStr">
        <is>
          <t xml:space="preserve">表2 </t>
        </is>
      </c>
      <c r="C50" s="334" t="inlineStr">
        <is>
          <t>获取债务重组明细表，并检查相关支持性文件并记录检查结果，判断债务重组确认时点满足金融资产和金融负债终止确认的条件。（项目组请根据实际情况进行修改）</t>
        </is>
      </c>
      <c r="T50" s="19" t="n"/>
      <c r="U50" s="19" t="n"/>
    </row>
    <row r="51" ht="12.75" customFormat="1" customHeight="1" s="18">
      <c r="A51" s="666" t="n"/>
      <c r="B51" s="335" t="n"/>
      <c r="C51" s="334" t="n"/>
      <c r="I51" s="336" t="n"/>
      <c r="J51" s="337" t="n"/>
      <c r="K51" s="337" t="n"/>
      <c r="L51" s="337" t="n"/>
      <c r="M51" s="337" t="n"/>
      <c r="N51" s="337" t="n"/>
      <c r="O51" s="337" t="n"/>
      <c r="P51" s="338" t="n"/>
      <c r="T51" s="19" t="n"/>
      <c r="U51" s="19" t="n"/>
    </row>
    <row r="52" ht="12.75" customFormat="1" customHeight="1" s="18">
      <c r="A52" s="666" t="n"/>
      <c r="B52" s="335" t="n"/>
      <c r="C52" s="339" t="inlineStr">
        <is>
          <t>【测试表格由项目组自行设计】</t>
        </is>
      </c>
      <c r="T52" s="19" t="n"/>
      <c r="U52" s="19" t="n"/>
    </row>
    <row r="53" ht="12.75" customHeight="1">
      <c r="A53" s="540" t="n"/>
      <c r="S53" s="18" t="n"/>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6.xml><?xml version="1.0" encoding="utf-8"?>
<worksheet xmlns="http://schemas.openxmlformats.org/spreadsheetml/2006/main">
  <sheetPr codeName="Sheet16">
    <outlinePr summaryBelow="1" summaryRight="1"/>
    <pageSetUpPr/>
  </sheetPr>
  <dimension ref="A1:DL46"/>
  <sheetViews>
    <sheetView showGridLines="0" zoomScale="70" zoomScaleNormal="70" workbookViewId="0">
      <selection activeCell="J2" sqref="J2"/>
    </sheetView>
  </sheetViews>
  <sheetFormatPr baseColWidth="8" defaultColWidth="10.42578125" defaultRowHeight="12.6" customHeight="1" outlineLevelRow="1"/>
  <cols>
    <col width="0.140625" customWidth="1" style="549" min="1" max="1"/>
    <col width="9" customWidth="1" style="340" min="2" max="2"/>
    <col width="19.28515625" customWidth="1" style="340" min="3" max="3"/>
    <col width="42" customWidth="1" style="340" min="4" max="4"/>
    <col width="19.28515625" customWidth="1" style="340" min="5" max="7"/>
    <col width="27" customWidth="1" style="340" min="8" max="8"/>
    <col width="21.42578125" customWidth="1" style="340" min="9" max="9"/>
    <col width="37.42578125" customWidth="1" style="340" min="10" max="10"/>
    <col width="28.28515625" customWidth="1" style="340" min="11" max="11"/>
    <col width="10.42578125" customWidth="1" style="340" min="12" max="16384"/>
  </cols>
  <sheetData>
    <row r="1" ht="13.35" customHeight="1">
      <c r="A1" s="543" t="inlineStr">
        <is>
          <t>27072530-60da-4b5d-87b1-4357f8557a1f</t>
        </is>
      </c>
    </row>
    <row r="2" ht="16.35" customFormat="1" customHeight="1" s="9">
      <c r="A2" s="539" t="n"/>
      <c r="C2" s="473" t="n"/>
      <c r="J2" s="48" t="inlineStr">
        <is>
          <t>返回汇总页</t>
        </is>
      </c>
    </row>
    <row r="3" ht="12.6" customHeight="1">
      <c r="A3" s="679" t="n"/>
    </row>
    <row r="4" ht="12.6" customHeight="1" thickBot="1">
      <c r="A4" s="679" t="n"/>
    </row>
    <row r="5" ht="21" customHeight="1">
      <c r="A5" s="679" t="n"/>
      <c r="C5" s="786" t="inlineStr">
        <is>
          <t>目标</t>
        </is>
      </c>
      <c r="D5" s="758" t="n"/>
      <c r="E5" s="758" t="n"/>
      <c r="F5" s="758" t="n"/>
      <c r="G5" s="758" t="n"/>
      <c r="H5" s="758" t="n"/>
      <c r="I5" s="758" t="n"/>
      <c r="J5" s="759" t="n"/>
      <c r="K5" s="158" t="n"/>
    </row>
    <row r="6" ht="16.5" customHeight="1">
      <c r="A6" s="679" t="n"/>
      <c r="C6" s="49" t="inlineStr">
        <is>
          <t>测试记录在账面的费用交易是否记录于正确期间</t>
        </is>
      </c>
      <c r="D6" s="152" t="n"/>
      <c r="E6" s="152" t="n"/>
      <c r="F6" s="152" t="n"/>
      <c r="G6" s="152" t="n"/>
      <c r="H6" s="152" t="n"/>
      <c r="I6" s="152" t="n"/>
      <c r="J6" s="341" t="n"/>
      <c r="K6" s="158" t="n"/>
    </row>
    <row r="7" ht="12.6" customHeight="1">
      <c r="A7" s="680" t="n"/>
      <c r="C7" s="49" t="n"/>
      <c r="D7" s="152" t="n"/>
      <c r="E7" s="152" t="n"/>
      <c r="F7" s="152" t="n"/>
      <c r="G7" s="152" t="n"/>
      <c r="H7" s="152" t="n"/>
      <c r="I7" s="152" t="n"/>
      <c r="J7" s="342" t="n"/>
    </row>
    <row r="8" ht="21" customHeight="1">
      <c r="A8" s="68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row>
    <row r="9" outlineLevel="1" ht="42" customHeight="1">
      <c r="A9" s="680" t="n"/>
      <c r="C9" s="515" t="n">
        <v>1</v>
      </c>
      <c r="D9" s="844" t="inlineStr">
        <is>
          <t>结合我们对于被审计单位费用确认时点的理解，考虑截止性测试的涵盖期间。</t>
        </is>
      </c>
      <c r="E9" s="988" t="n"/>
      <c r="F9" s="989" t="n"/>
      <c r="G9" s="161" t="inlineStr">
        <is>
          <t>表1</t>
        </is>
      </c>
      <c r="H9" s="903" t="n"/>
      <c r="I9" s="904" t="n"/>
      <c r="J9" s="1086" t="inlineStr">
        <is>
          <t xml:space="preserve">考虑我们从其他审计程序中获取的审计证据（例如，已测试过的折旧、摊销、职工薪酬、租赁费、保险费等），确认我们是否已经对全部期间费用的截止性执行了充分、适当的审计程序。
</t>
        </is>
      </c>
    </row>
    <row r="10" outlineLevel="1" ht="93" customHeight="1">
      <c r="A10" s="681" t="n"/>
      <c r="C10" s="515" t="n">
        <v>2</v>
      </c>
      <c r="D10" s="844" t="inlineStr">
        <is>
          <t>获取截止测试涵盖期间内的期间费用明细账，并考虑IPE测试的结果。</t>
        </is>
      </c>
      <c r="E10" s="988" t="n"/>
      <c r="F10" s="989" t="n"/>
      <c r="G10" s="1087" t="inlineStr">
        <is>
          <t>【请项目组更新底稿索引】</t>
        </is>
      </c>
      <c r="H10" s="903" t="n"/>
      <c r="I10" s="904" t="n"/>
      <c r="J10" s="1088" t="n"/>
    </row>
    <row r="11" outlineLevel="1" ht="101.1" customHeight="1">
      <c r="A11" s="681" t="n"/>
      <c r="C11" s="515" t="n">
        <v>3</v>
      </c>
      <c r="D11" s="869" t="inlineStr">
        <is>
          <t>获得测试期间内所选交易的支持文件，并确定它们是否记录在适当的期间。项目组可以检查发生额大于TE的交易，或项目组发现符合其他特定标准的交易作为关键项（key item）。如果关键项（key item）的检查不足以应对CRA的风险水平，项目组应当采取安永审计抽样工具抽取代表性样本。</t>
        </is>
      </c>
      <c r="E11" s="988" t="n"/>
      <c r="F11" s="989" t="n"/>
      <c r="G11" s="645" t="inlineStr">
        <is>
          <t>表2及表3</t>
        </is>
      </c>
      <c r="H11" s="903" t="n"/>
      <c r="I11" s="904" t="n"/>
      <c r="J11" s="1089" t="n"/>
    </row>
    <row r="12" ht="18.75" customHeight="1" thickBot="1">
      <c r="A12" s="681" t="n"/>
      <c r="C12" s="384" t="n"/>
      <c r="D12" s="511" t="n"/>
      <c r="E12" s="511" t="n"/>
      <c r="F12" s="511" t="n"/>
      <c r="G12" s="511" t="n"/>
      <c r="H12" s="511" t="n"/>
      <c r="I12" s="511" t="n"/>
      <c r="J12" s="518" t="n"/>
    </row>
    <row r="13" ht="12.6" customHeight="1">
      <c r="A13" s="681" t="n"/>
    </row>
    <row r="14" ht="12.6" customHeight="1">
      <c r="A14" s="681" t="n"/>
    </row>
    <row r="15" ht="12.6" customHeight="1" thickBot="1">
      <c r="A15" s="681" t="n"/>
      <c r="B15" s="343" t="inlineStr">
        <is>
          <t>表1</t>
        </is>
      </c>
      <c r="C15" s="344" t="inlineStr">
        <is>
          <t>确定截止性测试的涵盖期间</t>
        </is>
      </c>
    </row>
    <row r="16" ht="33" customHeight="1">
      <c r="A16" s="681" t="n"/>
      <c r="C16" s="621" t="inlineStr">
        <is>
          <t>测试期间（输入前后天数）</t>
        </is>
      </c>
      <c r="D16" s="622" t="inlineStr">
        <is>
          <t>测试期间确定依据/原因</t>
        </is>
      </c>
      <c r="E16" s="787" t="inlineStr">
        <is>
          <t>测试开始日期</t>
        </is>
      </c>
      <c r="F16" s="788" t="inlineStr">
        <is>
          <t>测试结束日期</t>
        </is>
      </c>
    </row>
    <row r="17" ht="36" customHeight="1" thickBot="1">
      <c r="A17" s="681" t="n"/>
      <c r="C17" s="646" t="n"/>
      <c r="D17" s="642" t="inlineStr">
        <is>
          <t>（测试期间项目组要根据需要根据关账时间和发票入账频率进行判断，并在此记录。）</t>
        </is>
      </c>
      <c r="E17" s="643">
        <f>汇总!D5-C17</f>
        <v/>
      </c>
      <c r="F17" s="644">
        <f>汇总!D5+C17</f>
        <v/>
      </c>
    </row>
    <row r="18" ht="12.6" customHeight="1">
      <c r="A18" s="681" t="n"/>
    </row>
    <row r="19" ht="12.6" customHeight="1" thickBot="1">
      <c r="A19" s="682" t="n"/>
      <c r="B19" s="493" t="inlineStr">
        <is>
          <t>表2</t>
        </is>
      </c>
      <c r="C19" s="547" t="inlineStr">
        <is>
          <t>记录确定截止性测试样本的策略</t>
        </is>
      </c>
      <c r="D19" s="504" t="n"/>
      <c r="E19" s="504" t="n"/>
      <c r="F19" s="504" t="n"/>
      <c r="G19" s="504" t="n"/>
      <c r="H19" s="504" t="n"/>
      <c r="I19" s="504" t="n"/>
      <c r="J19" s="504" t="n"/>
      <c r="K19" s="504" t="n"/>
      <c r="L19" s="504" t="n"/>
      <c r="M19" s="504" t="n"/>
      <c r="N19" s="504" t="n"/>
      <c r="O19" s="504" t="n"/>
      <c r="P19" s="504" t="n"/>
      <c r="Q19" s="548" t="n"/>
      <c r="R19" s="548" t="n"/>
      <c r="S19" s="548" t="n"/>
      <c r="T19" s="548" t="n"/>
      <c r="U19" s="548" t="n"/>
      <c r="V19" s="548" t="n"/>
      <c r="W19" s="548" t="n"/>
      <c r="X19" s="548" t="n"/>
      <c r="Y19" s="548" t="n"/>
      <c r="Z19" s="548" t="n"/>
      <c r="AA19" s="548" t="n"/>
      <c r="AB19" s="548" t="n"/>
      <c r="AC19" s="548" t="n"/>
      <c r="AD19" s="548" t="n"/>
      <c r="AE19" s="548" t="n"/>
      <c r="AF19" s="548" t="n"/>
      <c r="AG19" s="548" t="n"/>
      <c r="AH19" s="548" t="n"/>
      <c r="AI19" s="548" t="n"/>
      <c r="AJ19" s="548" t="n"/>
      <c r="AK19" s="548" t="n"/>
      <c r="AL19" s="548" t="n"/>
      <c r="AM19" s="548" t="n"/>
      <c r="AN19" s="548" t="n"/>
      <c r="AO19" s="548" t="n"/>
      <c r="AP19" s="548" t="n"/>
      <c r="AQ19" s="548" t="n"/>
      <c r="AR19" s="548" t="n"/>
      <c r="AS19" s="548" t="n"/>
      <c r="AT19" s="548" t="n"/>
      <c r="AU19" s="548" t="n"/>
      <c r="AV19" s="548" t="n"/>
      <c r="AW19" s="548" t="n"/>
      <c r="AX19" s="548" t="n"/>
      <c r="AY19" s="548" t="n"/>
      <c r="AZ19" s="548" t="n"/>
      <c r="BA19" s="548" t="n"/>
      <c r="BB19" s="548" t="n"/>
      <c r="BC19" s="548" t="n"/>
      <c r="BD19" s="548" t="n"/>
      <c r="BE19" s="548" t="n"/>
      <c r="BF19" s="548" t="n"/>
      <c r="BG19" s="548" t="n"/>
      <c r="BH19" s="548" t="n"/>
      <c r="BI19" s="548" t="n"/>
      <c r="BJ19" s="548" t="n"/>
      <c r="BK19" s="548" t="n"/>
      <c r="BL19" s="548" t="n"/>
      <c r="BM19" s="548" t="n"/>
      <c r="BN19" s="548" t="n"/>
      <c r="BO19" s="548" t="n"/>
      <c r="BP19" s="548" t="n"/>
      <c r="BQ19" s="548" t="n"/>
      <c r="BR19" s="548" t="n"/>
      <c r="BS19" s="548" t="n"/>
      <c r="BT19" s="548" t="n"/>
      <c r="BU19" s="548" t="n"/>
      <c r="BV19" s="548" t="n"/>
      <c r="BW19" s="548" t="n"/>
      <c r="BX19" s="548" t="n"/>
      <c r="BY19" s="548" t="n"/>
      <c r="BZ19" s="548" t="n"/>
      <c r="CA19" s="548" t="n"/>
      <c r="CB19" s="548" t="n"/>
      <c r="CC19" s="548" t="n"/>
      <c r="CD19" s="548" t="n"/>
      <c r="CE19" s="548" t="n"/>
      <c r="CF19" s="548" t="n"/>
      <c r="CG19" s="548" t="n"/>
      <c r="CH19" s="548" t="n"/>
      <c r="CI19" s="548" t="n"/>
      <c r="CJ19" s="548" t="n"/>
      <c r="CK19" s="548" t="n"/>
      <c r="CL19" s="548" t="n"/>
      <c r="CM19" s="548" t="n"/>
      <c r="CN19" s="548" t="n"/>
      <c r="CO19" s="548" t="n"/>
      <c r="CP19" s="548" t="n"/>
      <c r="CQ19" s="548" t="n"/>
      <c r="CR19" s="548" t="n"/>
      <c r="CS19" s="548" t="n"/>
      <c r="CT19" s="548" t="n"/>
      <c r="CU19" s="548" t="n"/>
      <c r="CV19" s="548" t="n"/>
      <c r="CW19" s="548" t="n"/>
      <c r="CX19" s="548" t="n"/>
      <c r="CY19" s="548" t="n"/>
      <c r="CZ19" s="548" t="n"/>
      <c r="DA19" s="548" t="n"/>
      <c r="DB19" s="548" t="n"/>
      <c r="DC19" s="548" t="n"/>
      <c r="DD19" s="548" t="n"/>
      <c r="DE19" s="548" t="n"/>
      <c r="DF19" s="548" t="n"/>
      <c r="DG19" s="548" t="n"/>
      <c r="DH19" s="548" t="n"/>
      <c r="DI19" s="548" t="n"/>
      <c r="DJ19" s="548" t="n"/>
      <c r="DK19" s="548" t="n"/>
      <c r="DL19" s="548" t="n"/>
    </row>
    <row r="20" ht="12.6" customHeight="1">
      <c r="A20" s="682" t="n"/>
      <c r="B20" s="504" t="n"/>
      <c r="C20" s="1090" t="n"/>
      <c r="D20" s="907" t="n"/>
      <c r="E20" s="907" t="n"/>
      <c r="F20" s="908" t="n"/>
      <c r="G20" s="504" t="n"/>
      <c r="H20" s="504" t="n"/>
      <c r="I20" s="504" t="n"/>
      <c r="J20" s="504" t="n"/>
      <c r="K20" s="504" t="n"/>
      <c r="L20" s="504" t="n"/>
      <c r="M20" s="504" t="n"/>
      <c r="N20" s="504" t="n"/>
      <c r="O20" s="504" t="n"/>
      <c r="P20" s="504" t="n"/>
      <c r="Q20" s="548" t="n"/>
      <c r="R20" s="548" t="n"/>
      <c r="S20" s="548" t="n"/>
      <c r="T20" s="548" t="n"/>
      <c r="U20" s="548" t="n"/>
      <c r="V20" s="548" t="n"/>
      <c r="W20" s="548" t="n"/>
      <c r="X20" s="548" t="n"/>
      <c r="Y20" s="548" t="n"/>
      <c r="Z20" s="548" t="n"/>
      <c r="AA20" s="548" t="n"/>
      <c r="AB20" s="548" t="n"/>
      <c r="AC20" s="548" t="n"/>
      <c r="AD20" s="548" t="n"/>
      <c r="AE20" s="548" t="n"/>
      <c r="AF20" s="548" t="n"/>
      <c r="AG20" s="548" t="n"/>
      <c r="AH20" s="548" t="n"/>
      <c r="AI20" s="548" t="n"/>
      <c r="AJ20" s="548" t="n"/>
      <c r="AK20" s="548" t="n"/>
      <c r="AL20" s="548" t="n"/>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8" t="n"/>
      <c r="BK20" s="548" t="n"/>
      <c r="BL20" s="548" t="n"/>
      <c r="BM20" s="548" t="n"/>
      <c r="BN20" s="548" t="n"/>
      <c r="BO20" s="548" t="n"/>
      <c r="BP20" s="548" t="n"/>
      <c r="BQ20" s="548" t="n"/>
      <c r="BR20" s="548" t="n"/>
      <c r="BS20" s="548" t="n"/>
      <c r="BT20" s="548" t="n"/>
      <c r="BU20" s="548" t="n"/>
      <c r="BV20" s="548" t="n"/>
      <c r="BW20" s="548" t="n"/>
      <c r="BX20" s="548" t="n"/>
      <c r="BY20" s="548" t="n"/>
      <c r="BZ20" s="548" t="n"/>
      <c r="CA20" s="548" t="n"/>
      <c r="CB20" s="548" t="n"/>
      <c r="CC20" s="548" t="n"/>
      <c r="CD20" s="548" t="n"/>
      <c r="CE20" s="548" t="n"/>
      <c r="CF20" s="548" t="n"/>
      <c r="CG20" s="548" t="n"/>
      <c r="CH20" s="548" t="n"/>
      <c r="CI20" s="548" t="n"/>
      <c r="CJ20" s="548" t="n"/>
      <c r="CK20" s="548" t="n"/>
      <c r="CL20" s="548" t="n"/>
      <c r="CM20" s="548" t="n"/>
      <c r="CN20" s="548" t="n"/>
      <c r="CO20" s="548" t="n"/>
      <c r="CP20" s="548" t="n"/>
      <c r="CQ20" s="548" t="n"/>
      <c r="CR20" s="548" t="n"/>
      <c r="CS20" s="548" t="n"/>
      <c r="CT20" s="548" t="n"/>
      <c r="CU20" s="548" t="n"/>
      <c r="CV20" s="548" t="n"/>
      <c r="CW20" s="548" t="n"/>
      <c r="CX20" s="548" t="n"/>
      <c r="CY20" s="548" t="n"/>
      <c r="CZ20" s="548" t="n"/>
      <c r="DA20" s="548" t="n"/>
      <c r="DB20" s="548" t="n"/>
      <c r="DC20" s="548" t="n"/>
      <c r="DD20" s="548" t="n"/>
      <c r="DE20" s="548" t="n"/>
      <c r="DF20" s="548" t="n"/>
      <c r="DG20" s="548" t="n"/>
      <c r="DH20" s="548" t="n"/>
      <c r="DI20" s="548" t="n"/>
      <c r="DJ20" s="548" t="n"/>
      <c r="DK20" s="548" t="n"/>
      <c r="DL20" s="548" t="n"/>
    </row>
    <row r="21" ht="24.6" customHeight="1" thickBot="1">
      <c r="A21" s="682" t="n"/>
      <c r="B21" s="504" t="n"/>
      <c r="C21" s="911" t="n"/>
      <c r="D21" s="912" t="n"/>
      <c r="E21" s="912" t="n"/>
      <c r="F21" s="913" t="n"/>
      <c r="G21" s="504" t="n"/>
      <c r="H21" s="504" t="n"/>
      <c r="I21" s="504" t="n"/>
      <c r="J21" s="504" t="n"/>
      <c r="K21" s="504" t="n"/>
      <c r="L21" s="504" t="n"/>
      <c r="M21" s="504" t="n"/>
      <c r="N21" s="504" t="n"/>
      <c r="O21" s="504" t="n"/>
      <c r="P21" s="504" t="n"/>
      <c r="Q21" s="548" t="n"/>
      <c r="R21" s="548" t="n"/>
      <c r="S21" s="548" t="n"/>
      <c r="T21" s="548" t="n"/>
      <c r="U21" s="548" t="n"/>
      <c r="V21" s="548" t="n"/>
      <c r="W21" s="548" t="n"/>
      <c r="X21" s="548" t="n"/>
      <c r="Y21" s="548" t="n"/>
      <c r="Z21" s="548" t="n"/>
      <c r="AA21" s="548" t="n"/>
      <c r="AB21" s="548" t="n"/>
      <c r="AC21" s="548" t="n"/>
      <c r="AD21" s="548" t="n"/>
      <c r="AE21" s="548" t="n"/>
      <c r="AF21" s="548" t="n"/>
      <c r="AG21" s="548" t="n"/>
      <c r="AH21" s="548" t="n"/>
      <c r="AI21" s="548" t="n"/>
      <c r="AJ21" s="548" t="n"/>
      <c r="AK21" s="548" t="n"/>
      <c r="AL21" s="548" t="n"/>
      <c r="AM21" s="548" t="n"/>
      <c r="AN21" s="548" t="n"/>
      <c r="AO21" s="548" t="n"/>
      <c r="AP21" s="548" t="n"/>
      <c r="AQ21" s="548" t="n"/>
      <c r="AR21" s="548" t="n"/>
      <c r="AS21" s="548" t="n"/>
      <c r="AT21" s="548" t="n"/>
      <c r="AU21" s="548" t="n"/>
      <c r="AV21" s="548" t="n"/>
      <c r="AW21" s="548" t="n"/>
      <c r="AX21" s="548" t="n"/>
      <c r="AY21" s="548" t="n"/>
      <c r="AZ21" s="548" t="n"/>
      <c r="BA21" s="548" t="n"/>
      <c r="BB21" s="548" t="n"/>
      <c r="BC21" s="548" t="n"/>
      <c r="BD21" s="548" t="n"/>
      <c r="BE21" s="548" t="n"/>
      <c r="BF21" s="548" t="n"/>
      <c r="BG21" s="548" t="n"/>
      <c r="BH21" s="548" t="n"/>
      <c r="BI21" s="548" t="n"/>
      <c r="BJ21" s="548" t="n"/>
      <c r="BK21" s="548" t="n"/>
      <c r="BL21" s="548" t="n"/>
      <c r="BM21" s="548" t="n"/>
      <c r="BN21" s="548" t="n"/>
      <c r="BO21" s="548" t="n"/>
      <c r="BP21" s="548" t="n"/>
      <c r="BQ21" s="548" t="n"/>
      <c r="BR21" s="548" t="n"/>
      <c r="BS21" s="548" t="n"/>
      <c r="BT21" s="548" t="n"/>
      <c r="BU21" s="548" t="n"/>
      <c r="BV21" s="548" t="n"/>
      <c r="BW21" s="548" t="n"/>
      <c r="BX21" s="548" t="n"/>
      <c r="BY21" s="548" t="n"/>
      <c r="BZ21" s="548" t="n"/>
      <c r="CA21" s="548" t="n"/>
      <c r="CB21" s="548" t="n"/>
      <c r="CC21" s="548" t="n"/>
      <c r="CD21" s="548" t="n"/>
      <c r="CE21" s="548" t="n"/>
      <c r="CF21" s="548" t="n"/>
      <c r="CG21" s="548" t="n"/>
      <c r="CH21" s="548" t="n"/>
      <c r="CI21" s="548" t="n"/>
      <c r="CJ21" s="548" t="n"/>
      <c r="CK21" s="548" t="n"/>
      <c r="CL21" s="548" t="n"/>
      <c r="CM21" s="548" t="n"/>
      <c r="CN21" s="548" t="n"/>
      <c r="CO21" s="548" t="n"/>
      <c r="CP21" s="548" t="n"/>
      <c r="CQ21" s="548" t="n"/>
      <c r="CR21" s="548" t="n"/>
      <c r="CS21" s="548" t="n"/>
      <c r="CT21" s="548" t="n"/>
      <c r="CU21" s="548" t="n"/>
      <c r="CV21" s="548" t="n"/>
      <c r="CW21" s="548" t="n"/>
      <c r="CX21" s="548" t="n"/>
      <c r="CY21" s="548" t="n"/>
      <c r="CZ21" s="548" t="n"/>
      <c r="DA21" s="548" t="n"/>
      <c r="DB21" s="548" t="n"/>
      <c r="DC21" s="548" t="n"/>
      <c r="DD21" s="548" t="n"/>
      <c r="DE21" s="548" t="n"/>
      <c r="DF21" s="548" t="n"/>
      <c r="DG21" s="548" t="n"/>
      <c r="DH21" s="548" t="n"/>
      <c r="DI21" s="548" t="n"/>
      <c r="DJ21" s="548" t="n"/>
      <c r="DK21" s="548" t="n"/>
      <c r="DL21" s="548" t="n"/>
    </row>
    <row r="22" ht="12.6" customHeight="1">
      <c r="A22" s="681" t="n"/>
    </row>
    <row r="23" ht="12.6" customHeight="1" thickBot="1">
      <c r="A23" s="543" t="n"/>
      <c r="B23" s="343" t="inlineStr">
        <is>
          <t>表3</t>
        </is>
      </c>
      <c r="C23" s="344" t="inlineStr">
        <is>
          <t>测试期间费用的截止性</t>
        </is>
      </c>
    </row>
    <row r="24" ht="33.75" customHeight="1" thickBot="1">
      <c r="A24" s="681" t="n"/>
      <c r="C24" s="458" t="inlineStr">
        <is>
          <t>记账日期</t>
        </is>
      </c>
      <c r="D24" s="461" t="inlineStr">
        <is>
          <t>交易事项描述</t>
        </is>
      </c>
      <c r="E24" s="461" t="inlineStr">
        <is>
          <t>发票日期</t>
        </is>
      </c>
      <c r="F24" s="461" t="inlineStr">
        <is>
          <t>交易金额</t>
        </is>
      </c>
      <c r="G24" s="461" t="inlineStr">
        <is>
          <t>发票号码</t>
        </is>
      </c>
      <c r="H24" s="461" t="inlineStr">
        <is>
          <t>业务发生日期</t>
        </is>
      </c>
      <c r="I24" s="461" t="inlineStr">
        <is>
          <t>交易是否被记录在正确的期间</t>
        </is>
      </c>
      <c r="J24" s="459" t="inlineStr">
        <is>
          <t>说明我们所执行的工作以及检查的外部审计证据。</t>
        </is>
      </c>
    </row>
    <row r="25" ht="12.6" customHeight="1">
      <c r="A25" s="681" t="n"/>
      <c r="C25" s="345" t="inlineStr">
        <is>
          <t>本期资产负债表日前记录的交易</t>
        </is>
      </c>
      <c r="D25" s="346" t="n"/>
      <c r="E25" s="346" t="n"/>
      <c r="F25" s="346" t="n"/>
      <c r="G25" s="346" t="n"/>
      <c r="H25" s="346" t="n"/>
      <c r="I25" s="346" t="n"/>
      <c r="J25" s="347" t="n"/>
    </row>
    <row r="26" ht="12.6" customHeight="1">
      <c r="A26" s="681" t="n"/>
      <c r="C26" s="1091" t="n"/>
      <c r="D26" s="1092" t="n"/>
      <c r="E26" s="1092" t="n"/>
      <c r="F26" s="1092" t="n"/>
      <c r="G26" s="1092" t="n"/>
      <c r="H26" s="1092" t="n"/>
      <c r="I26" s="625" t="n"/>
      <c r="J26" s="1093" t="n"/>
    </row>
    <row r="27" ht="12.6" customHeight="1">
      <c r="A27" s="681" t="n"/>
      <c r="C27" s="1091" t="n"/>
      <c r="D27" s="1092" t="n"/>
      <c r="E27" s="1092" t="n"/>
      <c r="F27" s="1092" t="n"/>
      <c r="G27" s="1092" t="n"/>
      <c r="H27" s="1092" t="n"/>
      <c r="I27" s="625" t="n"/>
      <c r="J27" s="1093" t="n"/>
    </row>
    <row r="28" ht="12.6" customHeight="1">
      <c r="A28" s="543" t="n"/>
      <c r="C28" s="1091" t="n"/>
      <c r="D28" s="1092" t="n"/>
      <c r="E28" s="1092" t="n"/>
      <c r="F28" s="1092" t="n"/>
      <c r="G28" s="1092" t="n"/>
      <c r="H28" s="1092" t="n"/>
      <c r="I28" s="625" t="n"/>
      <c r="J28" s="1093" t="n"/>
    </row>
    <row r="29" ht="12.6" customHeight="1">
      <c r="A29" s="543" t="n"/>
      <c r="C29" s="1091" t="n"/>
      <c r="D29" s="1092" t="n"/>
      <c r="E29" s="1092" t="n"/>
      <c r="F29" s="1092" t="n"/>
      <c r="G29" s="1092" t="n"/>
      <c r="H29" s="1092" t="n"/>
      <c r="I29" s="625" t="n"/>
      <c r="J29" s="1093" t="n"/>
    </row>
    <row r="30" ht="12.6" customHeight="1">
      <c r="A30" s="543" t="n"/>
      <c r="C30" s="1091" t="n"/>
      <c r="D30" s="1092" t="n"/>
      <c r="E30" s="1092" t="n"/>
      <c r="F30" s="1092" t="n"/>
      <c r="G30" s="1092" t="n"/>
      <c r="H30" s="1092" t="n"/>
      <c r="I30" s="625" t="n"/>
      <c r="J30" s="1093" t="n"/>
    </row>
    <row r="31" ht="12.6" customHeight="1">
      <c r="A31" s="543" t="n"/>
      <c r="C31" s="1091" t="n"/>
      <c r="D31" s="1092" t="n"/>
      <c r="E31" s="1092" t="n"/>
      <c r="F31" s="1092" t="n"/>
      <c r="G31" s="1092" t="n"/>
      <c r="H31" s="1092" t="n"/>
      <c r="I31" s="625" t="n"/>
      <c r="J31" s="1093" t="n"/>
    </row>
    <row r="32" ht="12.6" customHeight="1">
      <c r="A32" s="543" t="n"/>
      <c r="C32" s="1091" t="n"/>
      <c r="D32" s="1092" t="n"/>
      <c r="E32" s="1092" t="n"/>
      <c r="F32" s="1092" t="n"/>
      <c r="G32" s="1092" t="n"/>
      <c r="H32" s="1092" t="n"/>
      <c r="I32" s="625" t="n"/>
      <c r="J32" s="1093" t="n"/>
    </row>
    <row r="33" ht="12.6" customHeight="1">
      <c r="A33" s="543" t="n"/>
      <c r="C33" s="1091" t="n"/>
      <c r="D33" s="1092" t="n"/>
      <c r="E33" s="1092" t="n"/>
      <c r="F33" s="1092" t="n"/>
      <c r="G33" s="1092" t="n"/>
      <c r="H33" s="1092" t="n"/>
      <c r="I33" s="625" t="n"/>
      <c r="J33" s="1093" t="n"/>
    </row>
    <row r="34" ht="12.6" customHeight="1">
      <c r="A34" s="543" t="n"/>
      <c r="C34" s="1091" t="n"/>
      <c r="D34" s="1092" t="n"/>
      <c r="E34" s="1092" t="n"/>
      <c r="F34" s="1092" t="n"/>
      <c r="G34" s="1092" t="n"/>
      <c r="H34" s="1092" t="n"/>
      <c r="I34" s="625" t="n"/>
      <c r="J34" s="1093" t="n"/>
    </row>
    <row r="35" ht="12.6" customHeight="1">
      <c r="A35" s="543" t="n"/>
      <c r="C35" s="1091" t="n"/>
      <c r="D35" s="1092" t="n"/>
      <c r="E35" s="1092" t="n"/>
      <c r="F35" s="1092" t="n"/>
      <c r="G35" s="1092" t="n"/>
      <c r="H35" s="1092" t="n"/>
      <c r="I35" s="625" t="n"/>
      <c r="J35" s="1093" t="n"/>
    </row>
    <row r="36" ht="12.6" customHeight="1">
      <c r="A36" s="681" t="n"/>
      <c r="C36" s="345" t="inlineStr">
        <is>
          <t>本期资产负债表日后记录的交易</t>
        </is>
      </c>
      <c r="D36" s="348" t="n"/>
      <c r="E36" s="348" t="n"/>
      <c r="F36" s="348" t="n"/>
      <c r="G36" s="348" t="n"/>
      <c r="H36" s="348" t="n"/>
      <c r="I36" s="348" t="n"/>
      <c r="J36" s="349" t="n"/>
    </row>
    <row r="37" ht="12.6" customHeight="1">
      <c r="A37" s="681" t="n"/>
      <c r="C37" s="1091" t="n"/>
      <c r="D37" s="1092" t="n"/>
      <c r="E37" s="1092" t="n"/>
      <c r="F37" s="1092" t="n"/>
      <c r="G37" s="1092" t="n"/>
      <c r="H37" s="1092" t="n"/>
      <c r="I37" s="625" t="n"/>
      <c r="J37" s="1093" t="n"/>
    </row>
    <row r="38" ht="12.6" customHeight="1">
      <c r="A38" s="681" t="n"/>
      <c r="C38" s="1094" t="inlineStr">
        <is>
          <t>已经在P_寻找未入账负债中包含期后费用入账时间是否合理的测试，此处不再赘述。</t>
        </is>
      </c>
      <c r="D38" s="1092" t="n"/>
      <c r="E38" s="1092" t="n"/>
      <c r="F38" s="1092" t="n"/>
      <c r="G38" s="1092" t="n"/>
      <c r="H38" s="1092" t="n"/>
      <c r="I38" s="625" t="n"/>
      <c r="J38" s="1093" t="n"/>
    </row>
    <row r="39" ht="12.6" customHeight="1" thickBot="1">
      <c r="A39" s="681" t="n"/>
      <c r="C39" s="1095" t="n"/>
      <c r="D39" s="1096" t="n"/>
      <c r="E39" s="1096" t="n"/>
      <c r="F39" s="1096" t="n"/>
      <c r="G39" s="1096" t="n"/>
      <c r="H39" s="1096" t="n"/>
      <c r="I39" s="408" t="n"/>
      <c r="J39" s="1097" t="n"/>
    </row>
    <row r="40" ht="12.6" customHeight="1">
      <c r="A40" s="543" t="n"/>
    </row>
    <row r="41" ht="12.6" customHeight="1">
      <c r="A41" s="543" t="n"/>
    </row>
    <row r="42" ht="12.6" customHeight="1" thickBot="1">
      <c r="A42" s="543" t="n"/>
      <c r="B42" s="350" t="n"/>
    </row>
    <row r="43" ht="12.6" customHeight="1">
      <c r="A43" s="543" t="n"/>
      <c r="B43" s="350" t="inlineStr">
        <is>
          <t>Notes</t>
        </is>
      </c>
      <c r="C43" s="946" t="inlineStr">
        <is>
          <t>*我们在注释框中包括我们认为有必要的任何附加评论，以使以前与本项目没有联系的有经验的审计师清楚地理解
1)我们所执行程序的性质、时间和范围;
2)我们执行的程序的结果;
3)获得的证据和得出的结论，包括我们考虑的任何不一致或相反的信息以及与该信息相关的结论;
4)确定的例外情况的细节，如果适用，以及如何解决这些问题，包括执行的其他实质性程序。</t>
        </is>
      </c>
      <c r="D43" s="937" t="n"/>
      <c r="E43" s="937" t="n"/>
      <c r="F43" s="937" t="n"/>
      <c r="G43" s="938" t="n"/>
    </row>
    <row r="44" ht="23.1" customHeight="1">
      <c r="A44" s="543" t="n"/>
      <c r="C44" s="940" t="n"/>
      <c r="D44" s="941" t="n"/>
      <c r="E44" s="941" t="n"/>
      <c r="F44" s="941" t="n"/>
      <c r="G44" s="942" t="n"/>
      <c r="I44" s="351" t="n"/>
    </row>
    <row r="45" ht="48.75" customHeight="1" thickBot="1">
      <c r="A45" s="543" t="n"/>
      <c r="C45" s="943" t="n"/>
      <c r="D45" s="944" t="n"/>
      <c r="E45" s="944" t="n"/>
      <c r="F45" s="944" t="n"/>
      <c r="G45" s="945" t="n"/>
    </row>
    <row r="46" ht="12.6" customHeight="1">
      <c r="A46" s="543" t="n"/>
      <c r="C46" s="59" t="n"/>
      <c r="D46" s="19" t="n"/>
      <c r="E46" s="19" t="n"/>
      <c r="F46" s="19" t="n"/>
      <c r="G46" s="19" t="n"/>
    </row>
  </sheetData>
  <mergeCells count="7">
    <mergeCell ref="J9:J11"/>
    <mergeCell ref="D11:F11"/>
    <mergeCell ref="C20:F21"/>
    <mergeCell ref="D9:F9"/>
    <mergeCell ref="D8:F8"/>
    <mergeCell ref="C43:G45"/>
    <mergeCell ref="D10:F10"/>
  </mergeCells>
  <conditionalFormatting sqref="C17:D17 C20:F21 C26:J35 C37:J37 C43:G45 G9:I11">
    <cfRule type="containsBlanks" priority="1" dxfId="0">
      <formula>LEN(TRIM(C9))=0</formula>
    </cfRule>
  </conditionalFormatting>
  <dataValidations count="3">
    <dataValidation sqref="I26:I35 I37:I39" showDropDown="0" showInputMessage="1" showErrorMessage="1" allowBlank="1" type="list">
      <formula1>"Yes, No"</formula1>
    </dataValidation>
    <dataValidation sqref="I9:I11" showDropDown="0" showInputMessage="1" showErrorMessage="0" allowBlank="1" type="list">
      <formula1>"是,不适用"</formula1>
    </dataValidation>
    <dataValidation sqref="H9:H11"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7.xml><?xml version="1.0" encoding="utf-8"?>
<worksheet xmlns="http://schemas.openxmlformats.org/spreadsheetml/2006/main">
  <sheetPr codeName="Sheet17">
    <outlinePr summaryBelow="1" summaryRight="1"/>
    <pageSetUpPr/>
  </sheetPr>
  <dimension ref="C2:I6"/>
  <sheetViews>
    <sheetView showGridLines="0" zoomScale="70" zoomScaleNormal="70" workbookViewId="0">
      <selection activeCell="I2" sqref="I2"/>
    </sheetView>
  </sheetViews>
  <sheetFormatPr baseColWidth="8" defaultRowHeight="12"/>
  <cols>
    <col width="4.42578125" customWidth="1" min="1" max="2"/>
    <col width="30.28515625" customWidth="1" min="3" max="3"/>
    <col width="19.140625" customWidth="1" min="8" max="8"/>
    <col width="13.42578125" customWidth="1" min="9" max="9"/>
  </cols>
  <sheetData>
    <row r="2" ht="16.5" customHeight="1">
      <c r="I2" s="48" t="inlineStr">
        <is>
          <t>返回汇总页</t>
        </is>
      </c>
    </row>
    <row r="3" ht="21" customHeight="1">
      <c r="C3" s="718" t="inlineStr">
        <is>
          <t>请项目组使用以下链接获取标准底稿执行费用TOD程序：</t>
        </is>
      </c>
      <c r="D3" s="720" t="n"/>
      <c r="E3" s="720" t="n"/>
      <c r="F3" s="720" t="n"/>
      <c r="G3" s="720" t="n"/>
      <c r="H3" s="720" t="n"/>
    </row>
    <row r="4" ht="20.25" customHeight="1">
      <c r="C4" s="719" t="inlineStr">
        <is>
          <t>TOD SWP U_Exp 202YXXDD XYZ公司.xlsx</t>
        </is>
      </c>
      <c r="D4" s="720" t="n"/>
      <c r="E4" s="720" t="n"/>
      <c r="F4" s="720" t="n"/>
      <c r="G4" s="720" t="n"/>
      <c r="H4" s="720" t="n"/>
    </row>
    <row r="5" ht="18.75" customHeight="1">
      <c r="C5" s="720" t="n"/>
      <c r="D5" s="720" t="n"/>
      <c r="E5" s="720" t="n"/>
      <c r="F5" s="720" t="n"/>
      <c r="G5" s="720" t="n"/>
      <c r="H5" s="720" t="n"/>
    </row>
    <row r="6" ht="18.75" customHeight="1">
      <c r="C6" s="720" t="n"/>
      <c r="D6" s="720" t="n"/>
      <c r="E6" s="720" t="n"/>
      <c r="F6" s="720" t="n"/>
      <c r="G6" s="720" t="n"/>
      <c r="H6" s="720" t="n"/>
    </row>
  </sheetData>
  <hyperlinks>
    <hyperlink ref="I2" location="汇总!A1" display="返回汇总页"/>
    <hyperlink xmlns:r="http://schemas.openxmlformats.org/officeDocument/2006/relationships" ref="C4" display="https://eychinamanaged.sharepoint.cn/:x:/r/sites/GCknowledgecenter/Shared Documents/%E5%AE%A1%E8%AE%A1%E6%A0%87%E5%87%86%E5%BA%95%E7%A8%BF/%E6%A0%87%E5%87%86%E5%AE%A1%E8%AE%A1%E5%BA%95%E7%A8%BF%E6%A8%A1%E6%9D%BF%E7%AC%AC%E4%BA%94%E7%89%88-%E4%BD%BF%E7%94%A8%E7%89%88/TOD/TOD SWP U_Exp 202YXXDD XYZ%E5%85%AC%E5%8F%B8.xlsx?d=wec28ffcfbf6c426db26290decd058726&amp;csf=1&amp;web=1&amp;e=j59BIK" r:id="rId1"/>
  </hyperlinks>
  <pageMargins left="0.7" right="0.7" top="0.75" bottom="0.75" header="0.3" footer="0.3"/>
</worksheet>
</file>

<file path=xl/worksheets/sheet18.xml><?xml version="1.0" encoding="utf-8"?>
<worksheet xmlns="http://schemas.openxmlformats.org/spreadsheetml/2006/main">
  <sheetPr codeName="Sheet19">
    <outlinePr summaryBelow="1" summaryRight="1"/>
    <pageSetUpPr/>
  </sheetPr>
  <dimension ref="A1:DA169"/>
  <sheetViews>
    <sheetView workbookViewId="0">
      <selection activeCell="A1" sqref="A1"/>
    </sheetView>
  </sheetViews>
  <sheetFormatPr baseColWidth="8" defaultColWidth="9" defaultRowHeight="12"/>
  <cols>
    <col width="0.140625" customWidth="1" min="1" max="1"/>
  </cols>
  <sheetData>
    <row r="1">
      <c r="A1" t="inlineStr">
        <is>
          <t>4dc9ee5d-f2ce-45d3-9ab7-e53d6fd7e35c</t>
        </is>
      </c>
    </row>
    <row r="3">
      <c r="A3" t="inlineStr">
        <is>
          <t>{"Id":"2120093264","IsProject":false,"ProjectId":"2006600230","TempProjectName":"测试上数","TempType":2}</t>
        </is>
      </c>
    </row>
    <row r="4">
      <c r="A4" t="b">
        <v>1</v>
      </c>
    </row>
    <row r="5">
      <c r="A5" t="inlineStr">
        <is>
          <t>管理费用</t>
        </is>
      </c>
    </row>
    <row r="6">
      <c r="E6" t="inlineStr">
        <is>
          <t>ABC7Z1bb2XHdeffA+Q7NBrzqCXUZdVl5U1qSYkQjd1jtTEYBAZRl1UOx2xSw2ZHEQYGbMCGDSWGkoFiBxMDtgb2WMEE9hiQHdvyjL+M2N15mq8wVaebbG6eGw/Fc7gPu/jQ6LN37et/VdWqqt9e6/99+oe/+OM/unXrv7Z/bt26/e+O3nuHb//Jrduv/6eX3/7ae+/u7ueX/+PB4dfuhnf48OU39995ePT2XzIfvXRrVoHbLz07zZu5nSPKoosXEYQxCjDoDEHXnz4KNM7aUEieHvL2w3jv4Cjsvb4f4h6340vYe8Dnd7+xy3uTk58eeO/P6s/9h3t7Jxu+EO5PHuHRL7/z6BufPr+nB29xmDrvmw9ePeTwtXzw7v75XV86ePfOwcP9o7rd4snGOwd7pxvdycbX9492j3b5Qd34F083nb7RuW/1zt4u7x+9PDn0vZe/GP8zp6PdspvC0e7B/stvHBzef7gXnu4dvOzBcScPN7nKs2PePgqHR/Xe39zP/Nf1olqcLfRn9R3w4dnd8uzuk4PvHZwWfG23lFpOnS325v4DXnCRt3YfHD27mzu8t9dey1fO7v8PD/nwvQdTm9/mvfoSOE80fn3/mY5npJ0udWdeqcktHB7cv3fwxl746vSl/vLg3VcPDusTvnJY5TxvFpMyT/e/ffTe3qwLPDVxkZWKLKphC/KAVE08Cq+qxSfKOlOJmW7PesF/+nB3cgLKwVvHDMk7U+tISRBLPZVOTpSUkNG5wQle389nDjfWeKWZwLNgQA4OqIgAiowp1jtfWA4OvxsOq/lMbn7qxZ4zHEXT1z3ZhzR1ZK0ZD+/vnxrEuWOHe+XA6O49rR1Tb3h/nw9PKvPwJbYmaI7wMw+419qUZggne+8O38pbXI7uhn3ea3Yx8wwPjg5f3+P79d09u9vbxz//6MnPP3r88d8c/+6D4+/+4MlHH885oNWEcHSBQ+prPHrYqkVtZe6/s8dHPNj95oPXeLLxma2e7Pr60/985bTd4vsHf8X5bKN0uu/th/fvh8P3Ju9jbkv7vMjE+Kdf9O1XvnT3CwdHPPMSdw8PvnoY7r+xu7d35/DgwYMvcfn3B3lw119/6eJ9zmtcwsO9FXqdpJXIzAWiNRLQkwCvk4cSMBrNtlbJssZe58v81+/sTHqaqY7n6PDhiv2OxJOKcrbjUSdt8e2ZArzg+mNOxGwyFJVqk2iyBgrRARudbcmOtUlr1P/Z7b3NR0e7+1+d3PaVuCDS0gxTkMJ0W5hvC8pLr7NH0DlUW8BsgaJwtS3ImAXn6BnX3BYcf+N3x+9/9G/f+d7jT791/N1/Pv6/Pzj+b3/76Hs/Ov7JL1/989dWMo2z7ccZyzB6lmEoeyO804HbOd87Hbgb097pYPcM7/T53sGr+Xyvp518lVf0rMLuhercTmrciRnde3XnS6/fnSr61KmZ+MpfOCnKk7Pu7Ob2n7L7vELMOOrO6VFPPvmfxz/9wWd/+OjRN38xdUBzm069VSpEqTmqbBBQBAFRaQSna1urLGfWduoEk/ddT/LMcRo44qdXeOXewavT3txz1ed7lwPLeG43Zwt8/aUbI/BX93ZCSq2S7+w/vB8vKPDjn/3943/6+ePff//4g39dKLDMruRQNCjXxhPNb4oKPdjI7IOImpzfhMDYBa4Ct00Xl/f47773+Gf/e6G8hWLtEZUDGWOp9ZcdeCJTB5/W1fEiJtJuqbzD3bdu6eGGK1DfvLDql4f7qd1D2Nvh/VwdyJ0Y9sJ+4p139IVM4dEP/+X4t5+0f3/zzUc//NGjH/6vhQYhvCjWWw/UajnW6g0hmgIu1ga+6OoleVrZINyVG4S9UQYx66FnGMPiYncWFTsrsTVVYksRuEQN6FQESpnBJVFQuohIOAKJXZf40hITK6etDqCQUm3WlQVvZW3bPUpWQYkSyggk9l3iS0usk0zeaAXSYu25kavE6Al8QBeD40AqjEDiwcRu13g1jaNWVKTNYHKOgMVLoCDq6IqDQydjSml172wNGquu8aU1DsWxdam6WVzaeg/GWoWdh+JKSuRFEkGtrLG5uMa3X5FTp5+l8Ys7wl7ggk/7SbNc8M9+8/4qLrgqmh1mV8fYiQC9rS179BZIVDMRRkfhpyW7Sot49WIWseqQ/PmPOWu/V2sxk/OuYCVv7O4d8eGfHh48fGfqbmbc0SXv6sxVLn5vk2tNrLieYlJn9/PMMsueYc5zbPpZpp7ni1OzVnMf6bzlnis497EXPPrnevzVn3yFp58UvXO4W6+zG1rRLxwcvf5fHoa9hQfcDYfhvlx19mD6FGoyIbC8nJ7dzc0ouPPm/rMZ9mXlv7wfDt/74jt8GI4ODk9W2G/PO+Drc0/VJV/QW02fYoskn73jK7M2zyg7qxlZ1oRcdcv5ORvNOZ3ApNxZA3pr92tTs8anBZ8bzrvvnMwzLy48MZEFi5iLj15iOKsYzQoGM7t92FI9F7YGZwTdCw+Odvb4r3hJ4Ymgj/5xaqFvWOqahJtRc89vOldmyrV97dVZnv9FXNP18odn72BqFNac8Hl3dUWoYkEiyUWAlC62tZ/YlvYsuKQkUUg685A0PI8qCpaJiC2gzRow6gSBhIHkUDnOxZk8GLqeQxWzYZtM8aAs1sO9ZojFZmAZo/FKpeAGa8dXhSpqM3XkSqji2VnL60AV710AVXz1z1/bufvW02XAJx99/OjHv9+59+oSfvGULNl5esRSenH5RU4Bxqn309HFC6FrKSflEwIHH2o1cwwUNQFnFsF6Z6w+XX1fE670+McfHn/w908++e3jDz++Kj7pFFcc8EmnONuo+aRhy3Jpen4JnzSgnDqfdGk+KXqJJCWDCKH2MdbXCqSzAEJHpdiQywVmVzfCJ8mBQ3JzZk/XzCdhkCKy1GBN4eqDBAGBJYJU9arCaWvL8pXOjfBJL4LAV84nUTIxlhhB24iAaAjIhABaKCsRXVZ69VXO6+CTbqr6m+aTlPcl65zA6tagywasFVugWolI3gmvbFrZIK6DT9omg9jsimiKUXmRLajUnF5VNATLAhLlRNYHm9wYyIblfFKXeK7ESRff/DApuPbahTREXQLk5LOgIIwtYwAblvNJXeJ5EmdSTrjaPCdTKzCyIAiKFaiiFNdmu5Bc/mXA+iW+AJ/UNZ6nMSd0dUyFIFRtn5Gbd4aUwaCTPnFUzoyhpb4An9Q1nqexzb54HxPEVoXRx9pUo6oaB+N9ckVZO+3ojZJP2iaNx8wnabQpZKuhlNZ5C5mqf6YJ6ggt5YDF5bL6JwLXwicNLeL5j84ndT6p80mdT1pQvvNJnU9aLPnsHZ1PmpRbN590dtVylFzLzFNsqYAdSFpY5uYAScMNr6jzJdS6kaUYLZK0EpwKGTCTA+JgIYtSMGrhYx7M/k8hS6lEW7KU9Vil29wyAjnngaNg53NE4cwCZKmeXxppHBRf6vW9URASRShcB8Ki3pgJl4+u5qevezpS+ZzR1a4OWbr9ZSPEzgAKOQU+zh7TUaaOMj070dOqy4WQoqtVx0y+V20oUzYCXKKCtV5ZJU9r3ppQpief/I/j9z+6UpTpTLitAcu0HZFAh03ONMskZrVXK7NMAyKqs0yXZplclmxNC9lQO7HGy1qglBCstxFLziji8kWzjbBMYuDL3JyZ1jWzTNUFsaiSAh9sVTl5D2QzQRFCShNjZrecbdgIy/QiCHzlLJPQOVAwDAJbHEpukX3JVF82aJlMNCLw6t/1XgfLdFPV3zTLVAcbnF1x4HJWdUTCAahoBbo4FTmSRTYrG8R1sEzbZBAbju5AwhurHKhoCFCzhOjbeFPnXBijID+GQDzLWaYu8TyJC/vitSdIORtAZR0QGg2OMJrYosGn1RfIr4Nl6hLPk1gl71wWAaJtMVqMMhAsZvDZS87WmqRX77mvhWXqGs/TOKNGVf9AYUyAEQMEJTxkllLmTI7FKHi15SxT13iexoTeF8kErmXIqMPoAF7mqjbH6pp7NDZN+/yjZJm2SeMxs0wiYPsIWYC1Gmut97XW61iqWRCWHJ0NcXl4489jEVfGMg0t4vmPzjJ1lqmzTJ1lWlC+s0ydZVos+ewdnWWalFs3y3R22XKUSMzMU2ypgJ1lWljm5rBM8+7qqkglX1xOqkBJjVSyHIF88pAjsg7FGymHsZHOk0rWFybM9QgUDlC1ryxiwjoycSIKFUoWA7fifHClErIpOoGi1KYztABKjkFGR+yN5XDu+quQSm76uqfjED115LWRSlaInQHz0UmlTiotJ5WyCZxp8n2TCC3mRJslkgglel1rj1CG45pJpeNv//qzT7//6MNfP/6n96+KVJKnTNIWRl3qWeGGVxs3qZSsZ4rUlkqybJ2frn2Xrj2gMtLHQiHEjQTleXFj1q+ZVIqaNamcIPnql6AUHnyQBiKilplCS00xDlLpRRD4ykmlBuNmlhakr34jemxV1xJkbTAKI6I0q8+K96xwV6f+pkklG0iXaDxYrRnQGQYSwoK21RnSKkYjela47V4bTZKEplzrfFAtom+p401dCFQ2KpM0mi8QSG/9EvescJeXOBRJEaOBlEN1y7TP4EuxYJRX1ggtjRoDxtKzwl1eYsXIznkEJ22txVEpiKI4EIJsriqjyGOA0XpWuM+hcR09iZhVaVmhWtj1Wo2jSgKSkk5ooXOUq2cM61nhRqVxTnV05WIGdtiG0aI21akwlEDV4QqJ/SVytPascEs0HjOpxJGRGpDolS7t65FqEcYicEGvhIxk/OofC/SscJ1Umvscm36WqefppNKCop1U6qRSJ5XO/3VS6Vqzwp1Zthwl8DLzFFsqYCeVFpbppNKtC5JKjoPQsaXI0RYwuwC1xgewVhaVBEltFqeBK8qKgHVQorOcoE4SYsgeirXaZaWMTcM8bkNSyXg2aK0CnISTbeGkgy/1bKRCwkTJpEGFuHlp4G5/2QmxM2A+OqnUSaXlpJKq1cMYo0HYjIDSBCBbuC3cWHZaWZVP+/g1kUqP3v+HJ7/61pWSSniKJA1ApZP61kGlDirNPOoSoJIovvZ8QoJ1KgF6qn1fdAUsU/EuofZm+TRrB5XGCyoFTtqQaMskVWWsDk1LUVultqK03BWi7u2g0taCSqirp0lKVFFdldf7COSiB5NlilQdWH+JpbAOKl2d+psGlVq+3GhjreUJHaCowxpvyIGtzblXRSocRUaaDirNl3wp4pB1kbK24ey5SpyKgaidgiKxDl5bTF4cw/J3B5UuL7GUNhRFtTFn32YUoqjjGhFAkY4qanKexpDksYNKl5dYoLO+Oti1oW49t7YJiDCAs0ULo2JyYWrBoYNK26Vx8V6gznV01RL/1dFVri21jqCjkR6tw4Kj0LiDSpfXOEufjYsK1IQM16XW44aHx1wd8GCzQLMlIZW2SeMxg0rJCUUOY+2tswd0wgMF48GRzZkLcZaru+AdVOqg0tzn2PSzTD1PB5UWFO2gUgeVOqh0/q+DStcJKp1dtRwl7zLzFFsqYAeVFpbpoNKti4FKxsvoQvHgsSVfK7rFG/AaTCLSxSXDuDj5GyMZkkmBFjICmnoWysFAigqDdFbhMBj/OVApam2yIwTnHLe4MAihKA0xCYHSMDMNBjY3EVTyQuwMkI8OKnVQaTmoJIiiYaXAEOtadahW4mTbV6ree/TSqXAaUGJtIZX+5fjb3/zs0389/sbvjz/4x+P3P370vR91aGlG6zMNLclZTdfK0NIAferQ0qWhpTZxbr13YEJjWpKVQC1dgbZaWDJZeL18AXQj0JIcOC03Z0p1zdASplxiC6+SgqiOjtEMnkv1U0QkgYiB9EiiK70IAl85tGSKLSGqCMoFBHRBQEBff0ZrvYqhOpVxqbznBxXXAS3dVPU3DS1FEbxAipCkbt5RqN4RZwaqQwpdTObktiMP3DYZxKZxB1HsJFO5U22Z1BJEZyOIULRVWcTAq8dzuA5oqUs8T+IoXRQYCRhbLZapLYKTg2wxeqckuzA1XzZKaKlLPE9iGUrOXntQpvXcrCwQlVqVvY+RYyQ3ilp8AWipazxPY2dlKlRa9rcWJM2kAITomgeeLIaSpBpDqMMLQEtd43kao1Mxt+koDm0mt1AdYKmSwFulQ6wGEN3qUdKuBVraJo3HDC0ZGWrjThpywACosI7JMlezkKWQ9CHYsCXRlYYW8fxHh5Y6tNShpQ4tLSjfoaUOLS2WfPaODi1Nyq0/utLsFcxRcjAzT7GlYnaAaWGZDjDduiDApJCMoQRkUdVBBiN4jgiStCwhU/E4jHR0HmAKsX0+ETJoUYcq6FpKHa8LOI6ZpPIinguVNASYOOrsS0xQ2uezyClBMInBtEAx5EX2adBdrQQw+enrno5JcOrIawOYaBJpaQ4K0mGmDjNdAGby2SUpCFi1T1cxMrTg+uCDxuISKU2nGOGaYKbP/vDR4w8/Pv7OB9WCq+0e/+SXV4Qx0UyM6TSo0cgxpkFDMY0xiVkN2MoY0wCG6hjTpTGmqILBoCKY+lc7s9oR+sC1b0MRRcg+hwuE6tgIxiQGrsvNmWRdM8ZUksRghQGazLJHI4FUWwJPgaXU5IxzmxB4+ZzpiyDwlWNMQntFikKtsC34YAgaQqn/c0qHxiGyNqsvolwHxnRT1d80xuRNQe+wQAxBAKZM4I23YDl5K5UqHMYQtWU5xrRNBrFhACImr6yUoIqmloREgI/RAzmKiMlo4ceQXmo5xtQlnidxKVZl5RS4QK6F1DMQtCGQHpPzJZLUq9Op14ExdYnnSZxSCkmyhyhbqkeKoX1IF8DoZEUdwyJ6OwKJL4AxdY3naSxSrb61RQYjkgJEWb0zDAhslK4dtTKKx8AUXwBj6hrP09jV0ZSKwYArVtZ6LCPUcbMDa5mTValQ3BKMaZs0HjPGJIoqLToiSBtr560FQjTVIjzJkmu7nlNcb9rAK8OYhhbx/EfHmDrG1DGmjjEtKN8xpo4xLZZ89o6OMU3KrRtjml67HCUHM/MUWypjB5gWlukA062LAUze5+JCQ49aQFcMdcBJtjigohyhzcxmEHliCmAypZVkC66OVusJWAGRaJ++SxTGtQWlYa65IcBUZIkyZQ9BRFWHN2YysiGIyqKO2iqpBr7JSgCTm77u6WhETx15bQCTFELszOA/OrvU2aXl7BIK0iKaDCLpDChkBh+LBjZBI5vsSz6dFlwTu/TkV9/67Hc/WwO7JE8nmobw0sk08sjhpR6DaXC1ccNLwQjvZFsITZRbR4YQE0qom0jnEnXAjYToeXG/EF0zvBQDcUKTIFkiwLZQ5qurAo4NE8sQJJdNCNxjMK0FXtKodCrZATfkEI0mCC0PpEGtar3WLHD1tBU9BtPVqb/xxHGRjMYkgH0U1SB8Ac+OwWnHykQOGMYQ9qHHYJov+bLlUqOlkEogmEilSlxrv9fegAmyVvkgNKkxBOjpMZguL3EJzvsYHDgjseUGDBCc8rX/DmglK5fT9ALlGOGlLvE8iYMjxpQVhJyqsKUOXkPEDNFlDtLGYtSWwEtd43ka197XFm89kG2B2qm6aCEJBdkYm6UpisSWwEtd43kay0BWpeBBWplqA22p9sbk2sewQlAK0efVm+oeg2mJxmOGl+rAKzPnDDyp9ZYaVy5K9c9stQiO5Mrq6SJ7DKYOL819jk0/y9TzdHhpQdEOL3V4qcNL5/86vHSd8NL04uUoGZiZp9hSGTu8tLBMh5duXQxeQpHqkEIwCO9cmxtkCKwS+GS8C0IJjUP26Dy8pGU0OZUEDmOblVASgrcaikylFEtRuUEPcg5eyvW6ih2BtsECIgsgwR4KoVfKUwhx8GHlTYy+JKUQOzMAkA4vdXhpObzUkh+llAXkHNucPlogrQqIFpc9GlSmnE79rhde+sm3Hv+fn19p/jgpTtZ6O7x00qZ0eGk98JJBQ8FICzm42BKZSvCq/tTeliJESDkvX+vu8NJ44SUTyaXADjK1htJq9zQ0j/YZWcYYJG4ktFaHl9YCL0V2zghKIF2snqSyFqKtP5Oy0pmiio+rB9rp8NLVqb/xyEsl5TqGMRCDzdUgRB2ZUFZgvK6DmihzoO2IvLRNBrFh7EGohJYjRFUaj5oExOgy6Dp8tKSLCX55k75+iTu8dHmJrc1CS/TAWFq8RDYQRK3FKpFHUlHaUSCIHV66vMQmiSKcrf52ybUWo4otWF7tyINF8hQL59WXuDu8NCqNkX3WxWogl9ssheaW3jcARy8xcXXP4hiqcYeXPofGmlkQSQNonG3/1N5YogaZEluVhI1idZS4w0tLNB4zvESmeDJ1jM0FBWBt5iGSUtVd48gUtDd+9Q9KOrzU4aW5z7HpZ5l6ng4vLSja4aUOL3V46fxfh5dGAC+dWbwcJQMz8xRbKmOHlxaW6fDSrQumjhMGpcp1UGGSBvQiQYzta5kSUWBhnXhx6jiZDEb2EUrR7bM5o4CSyRCsEb6OZFOUg1mJc/BSslpzqiMbk6xoS8YBvChcr0+UMUtiOfgi60bCS+o5vHQWAOnwUoeXLgAvSSswWAL22gK6ljqj6AAhmyRkCZTkurPGPfm7n372m/9+/JPvP/rw18ff/ukVkUt4Use2MmVcB5cGVxs3uMReOp85Q0GtAIVJEEopoKOVTlnLaTNBeV7cadV1p4wLEWtzGMDmbBvhWYCQDKTqvRTiUJTt4NL2gkuuoE+UFKTYEs+E4iEklSEpFbRpETzl6rmFOrh0depvGlyyVXmFVoHQqjborJo/xAxFO8FJc4lp9XwVHVxabBAbRh6YzARoYUTbsoAyeNQMyopgRVHK5THE8ujg0uUlJsschSYw0cfqljXcWCGCCoYKWa2KGwOb1sGly0uckRSjzLWNZgmo2qc3kgW0qm21Ngr1GAjTDi59Do1ddbdT9ARKtuRRFiNQNBooe9baW6vyGKpxB5c+h8bJorZoMsjsPSD5Fjgt1nqsSq3fCUXJq9fjDi4t0XjM4FKRMVtTIrB1WFv2FllPiQyZqa0woIhl9Xh6HVzq4NLc59j0s0w9TweXFhTt4FIHlzq4dP6vg0vXCi4NFy5HCb/MPMWWatippYVlOrV064LUkvTB65DABp8As2TwUbflHwrFsSwpDUMenaeWojEuBcxAiAzoVYYg2syiCiHJtkag/AJqqY5rNBmp60A313+cYaBJJpfgbcqZZfA3n1rSjVo6R350ZKkjS8uRJW+9RVerT+EcavWNEqJMGrK2iL5ELfVpusf1I0u/OP7O764KWTqhfgbI0mmNHjeydEpWTQpNI0tqVqu1MrI02N2RpUsjS9GTROMZBDIBFq5dkNIWWHhRpMKc4/TK+rUgS2rgr9ycCdU1I0uOXPLZeFAmVBclUIHIVWVHMQfpWdEFZtQ3giy9CAJfPbKUUKFzCBbJAWJAoFgkBGZKtmSXxHbEWrqp6m8cWRKMyddaLmQpgCIaiFYilEJOmcQupTFkEVuOLG2TQWwYdrAxaIwEMogIaFjXOq8NkCkoTHQK03LMeP0SL0eWusTzJA6RPCUTgZKsbhnFAD67CEoVG1m3OM1uBBIvR5a6xPMk5pgLiTpmFdkIwNZGx6AyVK+MdW23a1e+3PNev8QXQJa6xvM0RsuyqJxbvRVthoJqZ2yqs5YwMBlB0o4CS1uOLHWN52mso07KKAtJ19qLLkQIQSsw0eaQycgQVv9o4FqQpW3SeMzIkqmDMsqGIStuEda4Drk1EbhEjJp8dHr1CGvXgiwNLeL5j44sdWSpI0sdWVpQviNLHVlaLPnsHR1ZmpTbILLUFi5HSb7MPMWWatiRpYVlOrJ066JZ4ooOUbS0Gi7V0aY0QJQdlBYmKUfiGIfI0HlkiSepqmVoIV4QMEgJMVoD1kQSbCkkHnxPcT5LXIjF6hRAWceASRvwzhGoErMIyudoh3GaVkGWaPq6p0MRM3Xk9SFLOESWJuRHR5Y6srQcWVIeAylOoFJLsqi9BcrIwFYkpaxCl08ni9aELB1/958fffMXj371N09+8Q8rwUqDXWdoJXtS9Qa00snkwu2ZOrzoZuCEU0YLsKKRa9Hk2opGWQ3CuOKNcWHtwbZ27jw8OijlSiwA7SwLkLabwHwTcEZkRJ3A2dSyqQgECs5BDh4VB5USrb8l+PW/fePHTz757eMPP76yNJE4yxS2BF0cMtPT6OKAbLw0ujiI2dbRxUuji4pNdpwFkHKlZRXLEGVhiKUklchYHUcSbU0Mxi0v3RiB14wuBh3RK63AoY7t84gE0XrTvtZAi7b4MpZoay+CwFeOLgbjqrzJgZGyYUzaQcSWvjx7ayS7kNPqyaauA128qepvGl3UZDxqDKBVSzDXUs2FIBw4kiIaEl6FMUBPy9HFbTKIDcfwMTHKLBPYkicRFiMEn2OLp+kKu2xTGUNAveXoYpd4nsRBahuIHXjfJE6mQLAUwHmdVLHFBDsGrm05utglnidxkSwzxwIyGwLMHGotFgWECNJLK4pNY5D4Auhi13iexk7LnJwzUHvlFurYIvhgPOisUmZjvTBbEm2tazxPY6/Ze1s01OpsAFtmwChre11S4rrPZOu2JNraNmk8ZnQxRU6xBVUsLEUbcgfwXH+iNKkOyIyWcb0w65Whi0OLeP6jo4sdXezoYkcXF5Tv6GJHFxdLPntHRxcn5daNLp5dthwl/jbzFFsqYOcWF5bp3OKti3GLhZQq3jmILQk9oogQOQYga4zGyI7kYLF2ilvMLKWzLoDyLgOS5HqqSKB0IW65tYIbYnRDblESCYdJ16vKCXFTrx+43gmhwSKQolGDw1fhFt30dWcHKrpObvH8UVfHJnYMccvgo7O3uSa67N4XV+OJ5qFlJ6uvZ3Gik+q2tVzZH//RV/4/</t>
        </is>
      </c>
      <c r="Y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Z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A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B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C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D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E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F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G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is>
      </c>
      <c r="AH6" t="inlineStr">
        <is>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is>
      </c>
      <c r="AI6" t="inlineStr">
        <is>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is>
      </c>
      <c r="AJ6" t="inlineStr">
        <is>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is>
      </c>
      <c r="AK6" t="inlineStr">
        <is>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L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M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N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O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P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Q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R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S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T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U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V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W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X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Y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Z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A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B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C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D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E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F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G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H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I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BJ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BK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BL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BM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N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O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P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Q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R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S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T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U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V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W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X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C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C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C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CD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is>
      </c>
      <c r="CE6" t="inlineStr">
        <is>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CF6"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CG6"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is>
      </c>
      <c r="CH6" t="inlineStr">
        <is>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is>
      </c>
      <c r="CI6" t="inlineStr">
        <is>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is>
      </c>
      <c r="CJ6" t="inlineStr">
        <is>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is>
      </c>
      <c r="CK6" t="inlineStr">
        <is>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is>
      </c>
      <c r="CL6" t="inlineStr">
        <is>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is>
      </c>
      <c r="CM6" t="inlineStr">
        <is>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is>
      </c>
      <c r="CN6" t="inlineStr">
        <is>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is>
      </c>
      <c r="CO6" t="inlineStr">
        <is>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is>
      </c>
      <c r="CP6" t="inlineStr">
        <is>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is>
      </c>
      <c r="CQ6" t="inlineStr">
        <is>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is>
      </c>
      <c r="CR6" t="inlineStr">
        <is>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is>
      </c>
      <c r="CS6" t="inlineStr">
        <is>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is>
      </c>
      <c r="CT6" t="inlineStr">
        <is>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is>
      </c>
      <c r="CU6" t="inlineStr">
        <is>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is>
      </c>
      <c r="CV6" t="inlineStr">
        <is>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is>
      </c>
      <c r="CW6" t="inlineStr">
        <is>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is>
      </c>
      <c r="CX6" t="inlineStr">
        <is>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is>
      </c>
      <c r="CY6" t="inlineStr">
        <is>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is>
      </c>
      <c r="CZ6" t="inlineStr">
        <is>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is>
      </c>
      <c r="DA6" t="inlineStr">
        <is>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is>
      </c>
    </row>
    <row r="7">
      <c r="A7" t="inlineStr">
        <is>
          <t>{"MD5":"0612EBC579C6FC4DD5D4FF0491A62716","FullPath":"C:\\SkyWind\\Files\\Template\\WPT\\EY底稿模板\\Skywind_U4_管理费用_202YMMDD_XYZ公司1130.xlsx","Length":131281,"LastWriteTime":"2020-11-27T17:52:08+08:00"}</t>
        </is>
      </c>
    </row>
    <row r="10">
      <c r="F10">
        <f>Uexp制造费用BKD!C30</f>
        <v/>
      </c>
      <c r="G10" t="inlineStr">
        <is>
          <t>2e5d7ed0-927f-420d-b1fe-bffc2c9563bf</t>
        </is>
      </c>
    </row>
    <row r="11">
      <c r="A11" s="352" t="n">
        <v>169</v>
      </c>
      <c r="F11">
        <f>Uexp制造费用BKD!D30</f>
        <v/>
      </c>
      <c r="G11" t="inlineStr">
        <is>
          <t>a3b48232-743b-475c-b685-6a84646f8f6a</t>
        </is>
      </c>
    </row>
    <row r="12">
      <c r="F12">
        <f>Uexp制造费用BKD!E30</f>
        <v/>
      </c>
      <c r="G12" t="inlineStr">
        <is>
          <t>a57482c7-511b-4537-b4fc-7d8651e7adc0</t>
        </is>
      </c>
    </row>
    <row r="13">
      <c r="F13">
        <f>Uexp制造费用BKD!F30</f>
        <v/>
      </c>
      <c r="G13" t="inlineStr">
        <is>
          <t>3958434a-32fe-4148-aa07-7910b59082a7</t>
        </is>
      </c>
    </row>
    <row r="14">
      <c r="F14">
        <f>Uexp制造费用BKD!G30</f>
        <v/>
      </c>
      <c r="G14" t="inlineStr">
        <is>
          <t>75bb1d1c-6fd6-4afb-a8db-6dd7fe7d6cf4</t>
        </is>
      </c>
    </row>
    <row r="15">
      <c r="A15" s="352" t="n">
        <v>82</v>
      </c>
      <c r="F15">
        <f>Uexp制造费用BKD!H30</f>
        <v/>
      </c>
      <c r="G15" t="inlineStr">
        <is>
          <t>a136a9e7-88d6-4c5f-a69a-783c2f6f5a63</t>
        </is>
      </c>
      <c r="R15">
        <f>汇总!A29</f>
        <v/>
      </c>
      <c r="S15" t="inlineStr">
        <is>
          <t>9da867ee-c875-4afc-bf98-3c70fcc4e477</t>
        </is>
      </c>
    </row>
    <row r="16">
      <c r="F16">
        <f>Uexp制造费用BKD!K30</f>
        <v/>
      </c>
      <c r="G16" t="inlineStr">
        <is>
          <t>f1e1debf-1d59-4dea-a80f-00a18160f6c3</t>
        </is>
      </c>
      <c r="R16">
        <f>汇总!A49</f>
        <v/>
      </c>
      <c r="S16" t="inlineStr">
        <is>
          <t>565823e9-8e0e-4ea7-9f0a-2955f6878fe1</t>
        </is>
      </c>
    </row>
    <row r="17">
      <c r="F17" s="352">
        <f>Uexp制造费用BKD!L30</f>
        <v/>
      </c>
      <c r="G17" t="inlineStr">
        <is>
          <t>731dc775-3956-4164-8a58-3d2cde56805a</t>
        </is>
      </c>
      <c r="R17">
        <f>汇总!A51</f>
        <v/>
      </c>
      <c r="S17" t="inlineStr">
        <is>
          <t>a62d30e0-4c87-424d-8929-2cb9079dbc6a</t>
        </is>
      </c>
    </row>
    <row r="18">
      <c r="F18" s="352">
        <f>Uexp制造费用BKD!M30</f>
        <v/>
      </c>
      <c r="G18" t="inlineStr">
        <is>
          <t>83e886f3-e1d5-4f40-b15f-fcce83e5d67c</t>
        </is>
      </c>
      <c r="R18">
        <f>汇总!#REF!</f>
        <v/>
      </c>
      <c r="S18" t="inlineStr">
        <is>
          <t>fa3fb33c-82ce-4161-a2e8-390c7cd8f93b</t>
        </is>
      </c>
    </row>
    <row r="19">
      <c r="F19" s="352">
        <f>Uexp制造费用BKD!N30</f>
        <v/>
      </c>
      <c r="G19" t="inlineStr">
        <is>
          <t>cbecbb53-fe10-475a-8e53-415c7ad531bb</t>
        </is>
      </c>
      <c r="R19">
        <f>#REF!</f>
        <v/>
      </c>
      <c r="S19" t="inlineStr">
        <is>
          <t>9835fcd3-9381-4d04-98b0-29bb6734d218</t>
        </is>
      </c>
    </row>
    <row r="20">
      <c r="F20">
        <f>#REF!</f>
        <v/>
      </c>
      <c r="G20" t="inlineStr">
        <is>
          <t>4bdda62f-71ff-439d-a694-df7c321be0a4</t>
        </is>
      </c>
      <c r="R20" s="352">
        <f>#REF!</f>
        <v/>
      </c>
      <c r="S20" t="inlineStr">
        <is>
          <t>a863e8db-b5e3-4e46-983d-f5db130bcc09</t>
        </is>
      </c>
    </row>
    <row r="21">
      <c r="F21">
        <f>#REF!</f>
        <v/>
      </c>
      <c r="G21" t="inlineStr">
        <is>
          <t>b17c9dad-b470-4b68-8b68-84b46418b266</t>
        </is>
      </c>
      <c r="R21">
        <f>#REF!</f>
        <v/>
      </c>
      <c r="S21" t="inlineStr">
        <is>
          <t>afe299b9-3f80-41f3-b124-7ee41ddcbd19</t>
        </is>
      </c>
    </row>
    <row r="22">
      <c r="F22">
        <f>#REF!</f>
        <v/>
      </c>
      <c r="G22" t="inlineStr">
        <is>
          <t>904c86a6-f18d-46a4-a312-fbfe141be706</t>
        </is>
      </c>
      <c r="R22">
        <f>#REF!</f>
        <v/>
      </c>
      <c r="S22" t="inlineStr">
        <is>
          <t>d5fddef2-be13-4ec7-b0ee-40ffb0e973db</t>
        </is>
      </c>
    </row>
    <row r="23">
      <c r="F23">
        <f>#REF!</f>
        <v/>
      </c>
      <c r="G23" t="inlineStr">
        <is>
          <t>779e1864-d030-449f-a366-6cd2ab355b55</t>
        </is>
      </c>
      <c r="R23">
        <f>#REF!</f>
        <v/>
      </c>
      <c r="S23" t="inlineStr">
        <is>
          <t>48402b64-c4c6-4cce-b1b0-afe4866ff0f1</t>
        </is>
      </c>
    </row>
    <row r="24">
      <c r="F24">
        <f>#REF!</f>
        <v/>
      </c>
      <c r="G24" t="inlineStr">
        <is>
          <t>8b024812-465a-4caa-8947-8035c0751bd1</t>
        </is>
      </c>
      <c r="R24">
        <f>#REF!</f>
        <v/>
      </c>
      <c r="S24" t="inlineStr">
        <is>
          <t>773d6068-3ef9-4d9d-8720-f926a0ba0a0b</t>
        </is>
      </c>
    </row>
    <row r="25">
      <c r="F25">
        <f>#REF!</f>
        <v/>
      </c>
      <c r="G25" t="inlineStr">
        <is>
          <t>127e0daa-2250-4495-aa9b-56cc092546ff</t>
        </is>
      </c>
      <c r="R25">
        <f>Uexp债务重组利得和损失BKD!A29</f>
        <v/>
      </c>
      <c r="S25" t="inlineStr">
        <is>
          <t>0e1c99e6-46d3-4b3c-a905-c7427edf75d2</t>
        </is>
      </c>
    </row>
    <row r="26">
      <c r="F26">
        <f>#REF!</f>
        <v/>
      </c>
      <c r="G26" t="inlineStr">
        <is>
          <t>4c73fe8c-eda1-4e10-a01c-7e4c86457f33</t>
        </is>
      </c>
      <c r="R26">
        <f>Uexp债务重组利得和损失BKD!A35</f>
        <v/>
      </c>
      <c r="S26" t="inlineStr">
        <is>
          <t>d5e6c5f8-2643-483e-bf6d-e1bb5822ca76</t>
        </is>
      </c>
    </row>
    <row r="27">
      <c r="F27" s="352">
        <f>#REF!</f>
        <v/>
      </c>
      <c r="G27" t="inlineStr">
        <is>
          <t>b8813cd7-bf40-49f0-a4ea-04b6480d2e3d</t>
        </is>
      </c>
      <c r="R27">
        <f>Uexp债务重组利得和损失BKD!A42</f>
        <v/>
      </c>
      <c r="S27" t="inlineStr">
        <is>
          <t>97a719e3-7a40-4579-9bd4-4adc164ed130</t>
        </is>
      </c>
    </row>
    <row r="28">
      <c r="F28" s="352">
        <f>#REF!</f>
        <v/>
      </c>
      <c r="G28" t="inlineStr">
        <is>
          <t>38e6291c-14c1-4667-8589-617f961070c0</t>
        </is>
      </c>
      <c r="R28">
        <f>Uexp债务重组利得和损失BKD!A45</f>
        <v/>
      </c>
      <c r="S28" t="inlineStr">
        <is>
          <t>5f775f0a-2fbd-44c8-9ee9-8a93a87d8ec9</t>
        </is>
      </c>
    </row>
    <row r="29">
      <c r="F29" s="352">
        <f>#REF!</f>
        <v/>
      </c>
      <c r="G29" t="inlineStr">
        <is>
          <t>48767849-cc17-45fc-aa67-44348ceab0ec</t>
        </is>
      </c>
      <c r="R29">
        <f>#REF!</f>
        <v/>
      </c>
      <c r="S29" t="inlineStr">
        <is>
          <t>93947255-1890-4cdb-a6a0-94b4804ad6f7</t>
        </is>
      </c>
    </row>
    <row r="30">
      <c r="F30">
        <f>#REF!</f>
        <v/>
      </c>
      <c r="G30" t="inlineStr">
        <is>
          <t>8ea2e96b-7bcb-4fb6-b47d-2be3377b2b59</t>
        </is>
      </c>
      <c r="R30">
        <f>#REF!</f>
        <v/>
      </c>
      <c r="S30" t="inlineStr">
        <is>
          <t>6bba4393-c698-4388-b43d-ec243c6779c3</t>
        </is>
      </c>
    </row>
    <row r="31">
      <c r="F31">
        <f>#REF!</f>
        <v/>
      </c>
      <c r="G31" t="inlineStr">
        <is>
          <t>65802f6d-9145-4965-afff-dca84a2cb561</t>
        </is>
      </c>
      <c r="R31">
        <f>#REF!</f>
        <v/>
      </c>
      <c r="S31" t="inlineStr">
        <is>
          <t>7d840842-5c5b-4389-9a92-87e3b87140f2</t>
        </is>
      </c>
    </row>
    <row r="32">
      <c r="F32">
        <f>#REF!</f>
        <v/>
      </c>
      <c r="G32" t="inlineStr">
        <is>
          <t>d91aff65-3c94-4247-82ce-88a24bafcaa8</t>
        </is>
      </c>
      <c r="R32">
        <f>#REF!</f>
        <v/>
      </c>
      <c r="S32" t="inlineStr">
        <is>
          <t>89438705-293f-4ac4-898c-24b245e57dcf</t>
        </is>
      </c>
    </row>
    <row r="33">
      <c r="F33">
        <f>#REF!</f>
        <v/>
      </c>
      <c r="G33" t="inlineStr">
        <is>
          <t>7f1dacfd-14d4-4ba7-b915-018599444db2</t>
        </is>
      </c>
      <c r="R33">
        <f>#REF!</f>
        <v/>
      </c>
      <c r="S33" t="inlineStr">
        <is>
          <t>cfb6fd11-4d23-42f4-9778-eb0e78db4075</t>
        </is>
      </c>
    </row>
    <row r="34">
      <c r="F34">
        <f>#REF!</f>
        <v/>
      </c>
      <c r="G34" t="inlineStr">
        <is>
          <t>c9bbb7ff-b986-4234-9347-ad886a469108</t>
        </is>
      </c>
      <c r="R34">
        <f>#REF!</f>
        <v/>
      </c>
      <c r="S34" t="inlineStr">
        <is>
          <t>8bd15157-f8fd-4852-ac9b-fe7f201615a1</t>
        </is>
      </c>
    </row>
    <row r="35">
      <c r="F35">
        <f>#REF!</f>
        <v/>
      </c>
      <c r="G35" t="inlineStr">
        <is>
          <t>7dbbe21e-6eae-4da7-895d-1ebd63d9dff3</t>
        </is>
      </c>
      <c r="R35">
        <f>#REF!</f>
        <v/>
      </c>
      <c r="S35" t="inlineStr">
        <is>
          <t>53876337-3df1-42b5-88d3-f8ff5c2079e3</t>
        </is>
      </c>
    </row>
    <row r="36">
      <c r="F36">
        <f>#REF!</f>
        <v/>
      </c>
      <c r="G36" t="inlineStr">
        <is>
          <t>bc724959-aebc-46af-a320-57675bad5af5</t>
        </is>
      </c>
      <c r="R36">
        <f>#REF!</f>
        <v/>
      </c>
      <c r="S36" t="inlineStr">
        <is>
          <t>6d1df293-8014-44c5-9772-5c03c7d0e32b</t>
        </is>
      </c>
    </row>
    <row r="37">
      <c r="F37" s="352">
        <f>#REF!</f>
        <v/>
      </c>
      <c r="G37" t="inlineStr">
        <is>
          <t>b5a0ba96-6ce2-4eb6-be91-f2fd0079826c</t>
        </is>
      </c>
      <c r="R37">
        <f>Uexp财务费用BKD!A27</f>
        <v/>
      </c>
      <c r="S37" t="inlineStr">
        <is>
          <t>68fe94d8-d407-421c-abc4-8170b02afd03</t>
        </is>
      </c>
    </row>
    <row r="38">
      <c r="F38" s="352">
        <f>#REF!</f>
        <v/>
      </c>
      <c r="G38" t="inlineStr">
        <is>
          <t>a256fd90-b0b9-43ba-a44e-a9bb06f425f0</t>
        </is>
      </c>
      <c r="R38">
        <f>Uexp财务费用BKD!A33</f>
        <v/>
      </c>
      <c r="S38" t="inlineStr">
        <is>
          <t>dfad5f3c-29cc-4b30-9c7e-1b79e856ea12</t>
        </is>
      </c>
    </row>
    <row r="39">
      <c r="F39" s="352">
        <f>#REF!</f>
        <v/>
      </c>
      <c r="G39" t="inlineStr">
        <is>
          <t>38850cab-033c-46c0-83c2-ad46d529a764</t>
        </is>
      </c>
      <c r="R39">
        <f>Uexp财务费用BKD!A40</f>
        <v/>
      </c>
      <c r="S39" t="inlineStr">
        <is>
          <t>978bda39-d29e-4222-85c7-beb04c8e1bd1</t>
        </is>
      </c>
    </row>
    <row r="40">
      <c r="F40">
        <f>Uexp研发费用BKD!C31</f>
        <v/>
      </c>
      <c r="G40" t="inlineStr">
        <is>
          <t>b814911e-0aa3-468e-93d0-9479ff6adfa2</t>
        </is>
      </c>
      <c r="R40">
        <f>Uexp财务费用BKD!A43</f>
        <v/>
      </c>
      <c r="S40" t="inlineStr">
        <is>
          <t>06f31434-81e6-4cf3-b8f0-14b854a5c218</t>
        </is>
      </c>
    </row>
    <row r="41">
      <c r="F41">
        <f>Uexp研发费用BKD!D31</f>
        <v/>
      </c>
      <c r="G41" t="inlineStr">
        <is>
          <t>4a10be13-65fe-4ba0-ae14-12acc07366ff</t>
        </is>
      </c>
      <c r="R41">
        <f>Uexp其他收益BKD!A29</f>
        <v/>
      </c>
      <c r="S41" t="inlineStr">
        <is>
          <t>f260a43f-3d1d-46e1-bad8-f6637d2256c6</t>
        </is>
      </c>
    </row>
    <row r="42">
      <c r="F42">
        <f>Uexp研发费用BKD!E31</f>
        <v/>
      </c>
      <c r="G42" t="inlineStr">
        <is>
          <t>9c5bbfbb-36b4-4459-95aa-30261447d23a</t>
        </is>
      </c>
      <c r="R42">
        <f>Uexp其他收益BKD!A35</f>
        <v/>
      </c>
      <c r="S42" t="inlineStr">
        <is>
          <t>58e54662-4fee-4684-a8ff-392ac4c9c5cd</t>
        </is>
      </c>
    </row>
    <row r="43">
      <c r="F43">
        <f>Uexp研发费用BKD!F31</f>
        <v/>
      </c>
      <c r="G43" t="inlineStr">
        <is>
          <t>288fd3dc-63a3-41e7-8f6f-bbf0c870826c</t>
        </is>
      </c>
      <c r="R43">
        <f>Uexp其他收益BKD!A42</f>
        <v/>
      </c>
      <c r="S43" t="inlineStr">
        <is>
          <t>e09c044f-ffde-4c23-8b10-43b2f4c04156</t>
        </is>
      </c>
    </row>
    <row r="44">
      <c r="F44">
        <f>Uexp研发费用BKD!G31</f>
        <v/>
      </c>
      <c r="G44" t="inlineStr">
        <is>
          <t>cbb280d6-2c8a-42f3-a6e0-c9dc968a6c7a</t>
        </is>
      </c>
      <c r="R44">
        <f>Uexp其他收益BKD!A45</f>
        <v/>
      </c>
      <c r="S44" t="inlineStr">
        <is>
          <t>4d362527-3a94-4c12-8325-42b7ad025ef6</t>
        </is>
      </c>
    </row>
    <row r="45">
      <c r="F45">
        <f>Uexp研发费用BKD!H31</f>
        <v/>
      </c>
      <c r="G45" t="inlineStr">
        <is>
          <t>cc3f83d0-10ee-4f93-b3fa-dc8d09a056f7</t>
        </is>
      </c>
      <c r="R45">
        <f>Uexp投资收益BKD!A29</f>
        <v/>
      </c>
      <c r="S45" t="inlineStr">
        <is>
          <t>e49591c2-301b-45fd-9da5-cb24a176248f</t>
        </is>
      </c>
    </row>
    <row r="46">
      <c r="F46">
        <f>Uexp研发费用BKD!K31</f>
        <v/>
      </c>
      <c r="G46" t="inlineStr">
        <is>
          <t>d92707e7-c5f3-4e09-a2e2-2f22e1e7f916</t>
        </is>
      </c>
      <c r="R46">
        <f>Uexp投资收益BKD!A35</f>
        <v/>
      </c>
      <c r="S46" t="inlineStr">
        <is>
          <t>b335d794-777e-4454-af23-bc00415eee9a</t>
        </is>
      </c>
    </row>
    <row r="47">
      <c r="F47" s="352">
        <f>Uexp研发费用BKD!L31</f>
        <v/>
      </c>
      <c r="G47" t="inlineStr">
        <is>
          <t>ec474684-02e0-4e59-949d-54718ceb275a</t>
        </is>
      </c>
      <c r="R47">
        <f>Uexp投资收益BKD!A42</f>
        <v/>
      </c>
      <c r="S47" t="inlineStr">
        <is>
          <t>60207863-9e43-41c1-839b-7df6d1c907fc</t>
        </is>
      </c>
    </row>
    <row r="48">
      <c r="F48" s="352">
        <f>Uexp研发费用BKD!M31</f>
        <v/>
      </c>
      <c r="G48" t="inlineStr">
        <is>
          <t>6d8f88bc-be09-48b3-b42d-5a588c7f2663</t>
        </is>
      </c>
      <c r="R48">
        <f>Uexp投资收益BKD!A45</f>
        <v/>
      </c>
      <c r="S48" t="inlineStr">
        <is>
          <t>fbefcb6a-b20c-4f5b-a253-ee77e74e8f37</t>
        </is>
      </c>
    </row>
    <row r="49">
      <c r="F49" s="352">
        <f>Uexp研发费用BKD!N31</f>
        <v/>
      </c>
      <c r="G49" t="inlineStr">
        <is>
          <t>346cad63-ffee-401c-a639-6b4cda4f7df9</t>
        </is>
      </c>
      <c r="R49">
        <f>Uexp公允价值变动损益BKD!A28</f>
        <v/>
      </c>
      <c r="S49" t="inlineStr">
        <is>
          <t>abf9edad-3093-473b-983f-7ebd91280bcd</t>
        </is>
      </c>
    </row>
    <row r="50">
      <c r="F50">
        <f>Uexp财务费用BKD!C30</f>
        <v/>
      </c>
      <c r="G50" t="inlineStr">
        <is>
          <t>7d1e65b3-4fb6-4836-9cc4-686b4fdd40b7</t>
        </is>
      </c>
      <c r="R50">
        <f>Uexp公允价值变动损益BKD!A34</f>
        <v/>
      </c>
      <c r="S50" t="inlineStr">
        <is>
          <t>eb3d8fbc-f10c-4ecc-a5ce-5262d980d8c4</t>
        </is>
      </c>
    </row>
    <row r="51">
      <c r="F51">
        <f>Uexp财务费用BKD!D30</f>
        <v/>
      </c>
      <c r="G51" t="inlineStr">
        <is>
          <t>0e7642c2-8a63-4c88-96d9-f00115bbde7c</t>
        </is>
      </c>
      <c r="R51">
        <f>Uexp公允价值变动损益BKD!A41</f>
        <v/>
      </c>
      <c r="S51" t="inlineStr">
        <is>
          <t>2305edf0-c4f6-4e1e-9e62-c2f275c2bffc</t>
        </is>
      </c>
    </row>
    <row r="52">
      <c r="F52">
        <f>Uexp财务费用BKD!E30</f>
        <v/>
      </c>
      <c r="G52" t="inlineStr">
        <is>
          <t>03da9a5e-04ce-4efc-b951-7a31c5b50ae1</t>
        </is>
      </c>
      <c r="R52">
        <f>Uexp公允价值变动损益BKD!A44</f>
        <v/>
      </c>
      <c r="S52" t="inlineStr">
        <is>
          <t>b67a9f4a-d9f7-41c6-8331-9081b29ad0a0</t>
        </is>
      </c>
    </row>
    <row r="53">
      <c r="F53">
        <f>Uexp财务费用BKD!F30</f>
        <v/>
      </c>
      <c r="G53" t="inlineStr">
        <is>
          <t>407ed7f7-7dd2-4dea-9f32-3f72beb964e5</t>
        </is>
      </c>
      <c r="R53">
        <f>Uexp信用减值损失BKD!A27</f>
        <v/>
      </c>
      <c r="S53" t="inlineStr">
        <is>
          <t>5ff279e6-7491-4ae2-990b-2b1405782927</t>
        </is>
      </c>
    </row>
    <row r="54">
      <c r="F54">
        <f>Uexp财务费用BKD!G30</f>
        <v/>
      </c>
      <c r="G54" t="inlineStr">
        <is>
          <t>a9085627-2b59-43e1-b878-e3ddfe4b098f</t>
        </is>
      </c>
      <c r="R54">
        <f>Uexp信用减值损失BKD!A33</f>
        <v/>
      </c>
      <c r="S54" t="inlineStr">
        <is>
          <t>f1fb1cd8-a0b2-4357-8919-b2643b362123</t>
        </is>
      </c>
    </row>
    <row r="55">
      <c r="F55">
        <f>Uexp财务费用BKD!H30</f>
        <v/>
      </c>
      <c r="G55" t="inlineStr">
        <is>
          <t>fe8f8389-cdd5-4267-9453-794b5b22bec3</t>
        </is>
      </c>
      <c r="R55">
        <f>Uexp信用减值损失BKD!A56</f>
        <v/>
      </c>
      <c r="S55" t="inlineStr">
        <is>
          <t>4026dca4-5a35-4e52-9dbb-fdd143026d79</t>
        </is>
      </c>
    </row>
    <row r="56">
      <c r="F56">
        <f>Uexp财务费用BKD!K30</f>
        <v/>
      </c>
      <c r="G56" t="inlineStr">
        <is>
          <t>2c877d0a-b6f5-4525-a64d-8d81ed665c31</t>
        </is>
      </c>
      <c r="R56">
        <f>Uexp信用减值损失BKD!A59</f>
        <v/>
      </c>
      <c r="S56" t="inlineStr">
        <is>
          <t>afcd1915-8d56-4788-9865-a43d1fb9f912</t>
        </is>
      </c>
    </row>
    <row r="57">
      <c r="F57" s="352">
        <f>Uexp财务费用BKD!L30</f>
        <v/>
      </c>
      <c r="G57" t="inlineStr">
        <is>
          <t>d4342222-24bc-4b4a-a208-de111dd97e06</t>
        </is>
      </c>
      <c r="R57">
        <f>Uexp资产减值损失BKD!A28</f>
        <v/>
      </c>
      <c r="S57" t="inlineStr">
        <is>
          <t>31b5dcfc-74bb-4921-a863-f1cfff69b270</t>
        </is>
      </c>
    </row>
    <row r="58">
      <c r="F58" s="352">
        <f>Uexp财务费用BKD!M30</f>
        <v/>
      </c>
      <c r="G58" t="inlineStr">
        <is>
          <t>9488f1e9-73e9-4fba-81dc-4ebda98456ce</t>
        </is>
      </c>
      <c r="R58">
        <f>Uexp资产减值损失BKD!A34</f>
        <v/>
      </c>
      <c r="S58" t="inlineStr">
        <is>
          <t>d0872e79-36a6-44e0-90e8-f9482289aabb</t>
        </is>
      </c>
    </row>
    <row r="59">
      <c r="F59" s="352">
        <f>Uexp财务费用BKD!N30</f>
        <v/>
      </c>
      <c r="G59" t="inlineStr">
        <is>
          <t>0a4e6c50-6634-4b8a-a3bf-8194fdb76ab8</t>
        </is>
      </c>
      <c r="R59">
        <f>Uexp资产减值损失BKD!A59</f>
        <v/>
      </c>
      <c r="S59" t="inlineStr">
        <is>
          <t>18718e2e-56f8-4f0f-8124-a3040378f47b</t>
        </is>
      </c>
    </row>
    <row r="60">
      <c r="F60">
        <f>Uexp其他收益BKD!C32</f>
        <v/>
      </c>
      <c r="G60" t="inlineStr">
        <is>
          <t>c68e9b95-45d1-46e3-ab3b-92518bf9aabf</t>
        </is>
      </c>
      <c r="R60">
        <f>Uexp资产减值损失BKD!A62</f>
        <v/>
      </c>
      <c r="S60" t="inlineStr">
        <is>
          <t>aeb0d24c-a4d3-4ded-a771-784d43b601bb</t>
        </is>
      </c>
    </row>
    <row r="61">
      <c r="F61">
        <f>Uexp其他收益BKD!D32</f>
        <v/>
      </c>
      <c r="G61" t="inlineStr">
        <is>
          <t>b3e392dc-c81c-4108-8a15-b4431d9a1bcc</t>
        </is>
      </c>
      <c r="R61">
        <f>Uexp资产处置损益BKD!A28</f>
        <v/>
      </c>
      <c r="S61" t="inlineStr">
        <is>
          <t>1c54be8b-ff38-4f52-9c5d-a6508915cb19</t>
        </is>
      </c>
    </row>
    <row r="62">
      <c r="F62">
        <f>Uexp其他收益BKD!E32</f>
        <v/>
      </c>
      <c r="G62" t="inlineStr">
        <is>
          <t>d621de16-1830-484b-9269-d354b050b158</t>
        </is>
      </c>
      <c r="R62">
        <f>Uexp资产处置损益BKD!A34</f>
        <v/>
      </c>
      <c r="S62" t="inlineStr">
        <is>
          <t>c633ec40-5c60-445a-80fe-1f99d4d19e15</t>
        </is>
      </c>
    </row>
    <row r="63">
      <c r="F63">
        <f>Uexp其他收益BKD!F32</f>
        <v/>
      </c>
      <c r="G63" t="inlineStr">
        <is>
          <t>6a93fb58-633e-475e-9006-3625e32bb509</t>
        </is>
      </c>
      <c r="R63">
        <f>Uexp资产处置损益BKD!A55</f>
        <v/>
      </c>
      <c r="S63" t="inlineStr">
        <is>
          <t>62ddb3ec-d7d9-459b-881f-f635ae742503</t>
        </is>
      </c>
    </row>
    <row r="64">
      <c r="F64">
        <f>Uexp其他收益BKD!G32</f>
        <v/>
      </c>
      <c r="G64" t="inlineStr">
        <is>
          <t>c19039d6-1a26-46fc-a3f9-2d52d9153eff</t>
        </is>
      </c>
      <c r="R64">
        <f>Uexp资产处置损益BKD!A58</f>
        <v/>
      </c>
      <c r="S64" t="inlineStr">
        <is>
          <t>c785bf84-7957-454e-ae6e-01a46badf02d</t>
        </is>
      </c>
    </row>
    <row r="65">
      <c r="F65">
        <f>Uexp其他收益BKD!H32</f>
        <v/>
      </c>
      <c r="G65" t="inlineStr">
        <is>
          <t>af19b4b5-cda1-438d-8ff6-528265031521</t>
        </is>
      </c>
      <c r="R65">
        <f>Uexp营业外收入BKD!A28</f>
        <v/>
      </c>
      <c r="S65" t="inlineStr">
        <is>
          <t>b557ca4d-944e-482d-a044-22aac170ec28</t>
        </is>
      </c>
    </row>
    <row r="66">
      <c r="F66">
        <f>Uexp其他收益BKD!K32</f>
        <v/>
      </c>
      <c r="G66" t="inlineStr">
        <is>
          <t>2e4e7784-7166-4b22-b0f7-0096d82640d3</t>
        </is>
      </c>
      <c r="R66">
        <f>Uexp营业外收入BKD!A34</f>
        <v/>
      </c>
      <c r="S66" t="inlineStr">
        <is>
          <t>65f39513-49d3-475e-9126-8a86cdde1a85</t>
        </is>
      </c>
    </row>
    <row r="67">
      <c r="F67" s="352">
        <f>Uexp其他收益BKD!L32</f>
        <v/>
      </c>
      <c r="G67" t="inlineStr">
        <is>
          <t>aab0bd2f-8b83-4b8d-b2c0-c2170303db12</t>
        </is>
      </c>
      <c r="R67">
        <f>Uexp营业外收入BKD!A41</f>
        <v/>
      </c>
      <c r="S67" t="inlineStr">
        <is>
          <t>f8bef442-2bee-4474-b108-62eba0c077f3</t>
        </is>
      </c>
    </row>
    <row r="68">
      <c r="F68" s="352">
        <f>Uexp其他收益BKD!M32</f>
        <v/>
      </c>
      <c r="G68" t="inlineStr">
        <is>
          <t>dc2dc7bd-e745-450d-8cfe-fa95e3ace894</t>
        </is>
      </c>
      <c r="R68">
        <f>Uexp营业外收入BKD!A44</f>
        <v/>
      </c>
      <c r="S68" t="inlineStr">
        <is>
          <t>a277c8a4-cdec-4980-befa-6f9864c61cd1</t>
        </is>
      </c>
    </row>
    <row r="69">
      <c r="F69" s="352">
        <f>Uexp其他收益BKD!N32</f>
        <v/>
      </c>
      <c r="G69" t="inlineStr">
        <is>
          <t>ebe49208-823f-4efd-8564-ef48201b9585</t>
        </is>
      </c>
      <c r="R69">
        <f>Uexp营业外支出BKD!A29</f>
        <v/>
      </c>
      <c r="S69" t="inlineStr">
        <is>
          <t>e09eb91a-47f4-4a11-bb65-65b90e69ace6</t>
        </is>
      </c>
    </row>
    <row r="70">
      <c r="F70">
        <f>Uexp投资收益BKD!C32</f>
        <v/>
      </c>
      <c r="G70" t="inlineStr">
        <is>
          <t>0f83be01-672c-489a-ab7f-6e9f87c43854</t>
        </is>
      </c>
      <c r="R70">
        <f>Uexp营业外支出BKD!A35</f>
        <v/>
      </c>
      <c r="S70" t="inlineStr">
        <is>
          <t>dabf63ca-267e-4c35-8779-2fbd0a28db69</t>
        </is>
      </c>
    </row>
    <row r="71">
      <c r="F71">
        <f>Uexp投资收益BKD!D32</f>
        <v/>
      </c>
      <c r="G71" t="inlineStr">
        <is>
          <t>aec35903-4b01-4f2c-a90c-460f47460359</t>
        </is>
      </c>
      <c r="R71">
        <f>Uexp营业外支出BKD!A42</f>
        <v/>
      </c>
      <c r="S71" t="inlineStr">
        <is>
          <t>73694999-0d85-42d2-9a8e-094598ead8bd</t>
        </is>
      </c>
    </row>
    <row r="72">
      <c r="F72">
        <f>Uexp投资收益BKD!E32</f>
        <v/>
      </c>
      <c r="G72" t="inlineStr">
        <is>
          <t>43bad920-a971-488b-97b8-5d1cb961f812</t>
        </is>
      </c>
      <c r="R72">
        <f>Uexp营业外支出BKD!A45</f>
        <v/>
      </c>
      <c r="S72" t="inlineStr">
        <is>
          <t>cbf4a0df-8431-4ec0-8b52-6babb4ea5462</t>
        </is>
      </c>
    </row>
    <row r="73">
      <c r="F73">
        <f>Uexp投资收益BKD!F32</f>
        <v/>
      </c>
      <c r="G73" t="inlineStr">
        <is>
          <t>cdc2b6bc-ac47-40be-8597-6f8782f1245a</t>
        </is>
      </c>
      <c r="R73">
        <f>Uexp制造费用BKD!A27</f>
        <v/>
      </c>
      <c r="S73" t="inlineStr">
        <is>
          <t>b3307cbb-2dc6-48e6-92df-ff077099e333</t>
        </is>
      </c>
    </row>
    <row r="74">
      <c r="F74">
        <f>Uexp投资收益BKD!G32</f>
        <v/>
      </c>
      <c r="G74" t="inlineStr">
        <is>
          <t>2d3f110c-e8e7-4cf5-b372-f144d7485242</t>
        </is>
      </c>
      <c r="R74">
        <f>Uexp制造费用BKD!A33</f>
        <v/>
      </c>
      <c r="S74" t="inlineStr">
        <is>
          <t>1337ac35-7750-4024-9741-0d419832ec4f</t>
        </is>
      </c>
    </row>
    <row r="75">
      <c r="F75">
        <f>Uexp投资收益BKD!H32</f>
        <v/>
      </c>
      <c r="G75" t="inlineStr">
        <is>
          <t>116af29b-9e8d-46b0-960a-293b2b39789c</t>
        </is>
      </c>
      <c r="R75">
        <f>Uexp制造费用BKD!A41</f>
        <v/>
      </c>
      <c r="S75" t="inlineStr">
        <is>
          <t>7b67d732-3e5a-457e-a6c2-f5d5cce467df</t>
        </is>
      </c>
    </row>
    <row r="76">
      <c r="F76">
        <f>Uexp投资收益BKD!K32</f>
        <v/>
      </c>
      <c r="G76" t="inlineStr">
        <is>
          <t>04768c43-ac71-436c-994a-76f3052bc7a0</t>
        </is>
      </c>
      <c r="R76">
        <f>Uexp制造费用BKD!A43</f>
        <v/>
      </c>
      <c r="S76" t="inlineStr">
        <is>
          <t>408b6819-90ba-4fcb-ac8d-09dc34234103</t>
        </is>
      </c>
    </row>
    <row r="77">
      <c r="F77" s="352">
        <f>Uexp投资收益BKD!L32</f>
        <v/>
      </c>
      <c r="G77" t="inlineStr">
        <is>
          <t>f88043d1-62e2-489d-b33b-3b5184674f40</t>
        </is>
      </c>
      <c r="R77">
        <f>#REF!</f>
        <v/>
      </c>
      <c r="S77" t="inlineStr">
        <is>
          <t>3f16a684-9412-4bf5-bcdd-366a7cc9a7fc</t>
        </is>
      </c>
    </row>
    <row r="78">
      <c r="F78" s="352">
        <f>Uexp投资收益BKD!M32</f>
        <v/>
      </c>
      <c r="G78" t="inlineStr">
        <is>
          <t>d18d57b2-233e-43fc-975e-bdcb9a6d045e</t>
        </is>
      </c>
      <c r="R78">
        <f>#REF!</f>
        <v/>
      </c>
      <c r="S78" t="inlineStr">
        <is>
          <t>cf288d2e-19b9-4997-a7e4-752b9893ef73</t>
        </is>
      </c>
    </row>
    <row r="79">
      <c r="F79" s="352">
        <f>Uexp投资收益BKD!N32</f>
        <v/>
      </c>
      <c r="G79" t="inlineStr">
        <is>
          <t>c702974b-29d8-4708-9a58-796ddef9ed1a</t>
        </is>
      </c>
      <c r="R79">
        <f>#REF!</f>
        <v/>
      </c>
      <c r="S79" t="inlineStr">
        <is>
          <t>8de145d5-aeba-4a2e-8a80-d6e2fce8659b</t>
        </is>
      </c>
    </row>
    <row r="80">
      <c r="F80">
        <f>Uexp公允价值变动损益BKD!C31</f>
        <v/>
      </c>
      <c r="G80" t="inlineStr">
        <is>
          <t>674f6887-5a01-4c61-9b4a-3630695d0832</t>
        </is>
      </c>
      <c r="R80">
        <f>#REF!</f>
        <v/>
      </c>
      <c r="S80" t="inlineStr">
        <is>
          <t>4dfe9a6a-4a4e-4cfa-8afa-8df434cf5b0e</t>
        </is>
      </c>
    </row>
    <row r="81">
      <c r="F81">
        <f>Uexp公允价值变动损益BKD!D31</f>
        <v/>
      </c>
      <c r="G81" t="inlineStr">
        <is>
          <t>4cdfb006-ca0d-453e-8ef5-c0b90444a93c</t>
        </is>
      </c>
      <c r="R81">
        <f>Uexp制造费用BKD!A27</f>
        <v/>
      </c>
      <c r="S81" t="inlineStr">
        <is>
          <t>de11767a-287d-491e-b5b9-23f9e266ea71</t>
        </is>
      </c>
    </row>
    <row r="82">
      <c r="F82">
        <f>Uexp公允价值变动损益BKD!E31</f>
        <v/>
      </c>
      <c r="G82" t="inlineStr">
        <is>
          <t>5f6fab2b-27a4-47a0-a48b-2b6682baaf2b</t>
        </is>
      </c>
      <c r="R82">
        <f>Uexp制造费用BKD!A33</f>
        <v/>
      </c>
      <c r="S82" t="inlineStr">
        <is>
          <t>199074c3-be1a-4b5b-bae4-49454f049b52</t>
        </is>
      </c>
    </row>
    <row r="83">
      <c r="F83">
        <f>Uexp公允价值变动损益BKD!F31</f>
        <v/>
      </c>
      <c r="G83" t="inlineStr">
        <is>
          <t>b0a8049b-c133-44a8-8ede-9eee3f5dec75</t>
        </is>
      </c>
    </row>
    <row r="84">
      <c r="F84">
        <f>Uexp公允价值变动损益BKD!G31</f>
        <v/>
      </c>
      <c r="G84" t="inlineStr">
        <is>
          <t>040f6ea6-d72e-4369-b76b-0af362d0bae4</t>
        </is>
      </c>
    </row>
    <row r="85">
      <c r="F85">
        <f>Uexp公允价值变动损益BKD!H31</f>
        <v/>
      </c>
      <c r="G85" t="inlineStr">
        <is>
          <t>b17b04b9-e433-41ce-bd97-d64b8721e7ad</t>
        </is>
      </c>
    </row>
    <row r="86">
      <c r="F86">
        <f>Uexp公允价值变动损益BKD!K31</f>
        <v/>
      </c>
      <c r="G86" t="inlineStr">
        <is>
          <t>1afdd838-25a4-4e26-99f9-b88bbebb97e4</t>
        </is>
      </c>
    </row>
    <row r="87">
      <c r="F87" s="352">
        <f>Uexp公允价值变动损益BKD!L31</f>
        <v/>
      </c>
      <c r="G87" t="inlineStr">
        <is>
          <t>761cf9fa-a2a1-45ca-9447-8efc64afc129</t>
        </is>
      </c>
    </row>
    <row r="88">
      <c r="F88" s="352">
        <f>Uexp公允价值变动损益BKD!M31</f>
        <v/>
      </c>
      <c r="G88" t="inlineStr">
        <is>
          <t>472bde22-ea7e-4f9e-82fc-8623ab61cb73</t>
        </is>
      </c>
    </row>
    <row r="89">
      <c r="F89" s="352">
        <f>Uexp公允价值变动损益BKD!N31</f>
        <v/>
      </c>
      <c r="G89" t="inlineStr">
        <is>
          <t>51a1af93-da4a-4240-adee-81ff918aa6a5</t>
        </is>
      </c>
    </row>
    <row r="90">
      <c r="F90">
        <f>Uexp信用减值损失BKD!C30</f>
        <v/>
      </c>
      <c r="G90" t="inlineStr">
        <is>
          <t>b2a54a2b-5555-47b4-8aed-340b0ad8da5a</t>
        </is>
      </c>
    </row>
    <row r="91">
      <c r="F91">
        <f>Uexp信用减值损失BKD!D30</f>
        <v/>
      </c>
      <c r="G91" t="inlineStr">
        <is>
          <t>fc14a605-9a7e-4b51-92a6-dcae11397577</t>
        </is>
      </c>
    </row>
    <row r="92">
      <c r="F92">
        <f>Uexp信用减值损失BKD!E30</f>
        <v/>
      </c>
      <c r="G92" t="inlineStr">
        <is>
          <t>0382929a-34d4-4aa3-afd4-723a0695e353</t>
        </is>
      </c>
    </row>
    <row r="93">
      <c r="F93">
        <f>Uexp信用减值损失BKD!F30</f>
        <v/>
      </c>
      <c r="G93" t="inlineStr">
        <is>
          <t>85f4874f-baa0-4cd9-8586-6ec86122feac</t>
        </is>
      </c>
    </row>
    <row r="94">
      <c r="F94">
        <f>Uexp信用减值损失BKD!G30</f>
        <v/>
      </c>
      <c r="G94" t="inlineStr">
        <is>
          <t>1bc82611-2f39-4ef0-8bb8-979b44c53083</t>
        </is>
      </c>
    </row>
    <row r="95">
      <c r="F95">
        <f>Uexp信用减值损失BKD!H30</f>
        <v/>
      </c>
      <c r="G95" t="inlineStr">
        <is>
          <t>ff62d272-7a97-4885-a359-184c78fb913b</t>
        </is>
      </c>
    </row>
    <row r="96">
      <c r="F96">
        <f>Uexp信用减值损失BKD!K30</f>
        <v/>
      </c>
      <c r="G96" t="inlineStr">
        <is>
          <t>cccac1e8-b126-49ba-b48a-53c6034f4486</t>
        </is>
      </c>
    </row>
    <row r="97">
      <c r="F97" s="352">
        <f>Uexp信用减值损失BKD!L30</f>
        <v/>
      </c>
      <c r="G97" t="inlineStr">
        <is>
          <t>0ca974c5-50c2-4413-a4a4-e52385f252e5</t>
        </is>
      </c>
    </row>
    <row r="98">
      <c r="F98" s="352">
        <f>Uexp信用减值损失BKD!M30</f>
        <v/>
      </c>
      <c r="G98" t="inlineStr">
        <is>
          <t>72a62ba5-7f61-491b-ad87-66eec62cf9b3</t>
        </is>
      </c>
    </row>
    <row r="99">
      <c r="F99" s="352">
        <f>Uexp信用减值损失BKD!N30</f>
        <v/>
      </c>
      <c r="G99" t="inlineStr">
        <is>
          <t>0f2f9789-16b7-4304-b587-891fdf44dcb4</t>
        </is>
      </c>
    </row>
    <row r="100">
      <c r="F100">
        <f>Uexp资产减值损失BKD!C31</f>
        <v/>
      </c>
      <c r="G100" t="inlineStr">
        <is>
          <t>a5087111-2c9d-4ae4-bc41-11193dfb3a4c</t>
        </is>
      </c>
    </row>
    <row r="101">
      <c r="F101">
        <f>Uexp资产减值损失BKD!D31</f>
        <v/>
      </c>
      <c r="G101" t="inlineStr">
        <is>
          <t>ba9ec45c-c699-4126-8990-7e5e9e1aa1ef</t>
        </is>
      </c>
    </row>
    <row r="102">
      <c r="F102">
        <f>Uexp资产减值损失BKD!E31</f>
        <v/>
      </c>
      <c r="G102" t="inlineStr">
        <is>
          <t>3423cfd7-eaed-4539-ae01-54327113e04e</t>
        </is>
      </c>
    </row>
    <row r="103">
      <c r="F103">
        <f>Uexp资产减值损失BKD!F31</f>
        <v/>
      </c>
      <c r="G103" t="inlineStr">
        <is>
          <t>cb9534c0-e8b0-458f-8e7e-737e25bea4a9</t>
        </is>
      </c>
    </row>
    <row r="104">
      <c r="F104">
        <f>Uexp资产减值损失BKD!G31</f>
        <v/>
      </c>
      <c r="G104" t="inlineStr">
        <is>
          <t>53101204-5b9f-45d7-8385-5a1711a0392d</t>
        </is>
      </c>
    </row>
    <row r="105">
      <c r="F105">
        <f>Uexp资产减值损失BKD!H31</f>
        <v/>
      </c>
      <c r="G105" t="inlineStr">
        <is>
          <t>fa788ba7-7514-4cfa-a728-41a461e27dc1</t>
        </is>
      </c>
    </row>
    <row r="106">
      <c r="F106">
        <f>Uexp资产减值损失BKD!K31</f>
        <v/>
      </c>
      <c r="G106" t="inlineStr">
        <is>
          <t>a79e4cd2-adc8-4ff3-ab4d-b7dea16bf526</t>
        </is>
      </c>
    </row>
    <row r="107">
      <c r="F107" s="352">
        <f>Uexp资产减值损失BKD!L31</f>
        <v/>
      </c>
      <c r="G107" t="inlineStr">
        <is>
          <t>58f6f868-961b-49ed-ac02-d556d15f2905</t>
        </is>
      </c>
    </row>
    <row r="108">
      <c r="F108" s="352">
        <f>Uexp资产减值损失BKD!M31</f>
        <v/>
      </c>
      <c r="G108" t="inlineStr">
        <is>
          <t>1a962ca8-161c-4169-8397-193009cab8d1</t>
        </is>
      </c>
    </row>
    <row r="109">
      <c r="F109" s="352">
        <f>Uexp资产减值损失BKD!N31</f>
        <v/>
      </c>
      <c r="G109" t="inlineStr">
        <is>
          <t>271deedd-e61b-4698-970f-5a6009eb97f0</t>
        </is>
      </c>
    </row>
    <row r="110">
      <c r="F110">
        <f>Uexp资产处置损益BKD!C31</f>
        <v/>
      </c>
      <c r="G110" t="inlineStr">
        <is>
          <t>5459a516-da7b-4451-8216-386ff00acdd9</t>
        </is>
      </c>
    </row>
    <row r="111">
      <c r="F111">
        <f>Uexp资产处置损益BKD!D31</f>
        <v/>
      </c>
      <c r="G111" t="inlineStr">
        <is>
          <t>5b97cae7-d9b8-4637-afd4-38d4e1bba14a</t>
        </is>
      </c>
    </row>
    <row r="112">
      <c r="F112">
        <f>Uexp资产处置损益BKD!E31</f>
        <v/>
      </c>
      <c r="G112" t="inlineStr">
        <is>
          <t>be77509c-17b6-4266-b69c-c26175f2f8bc</t>
        </is>
      </c>
    </row>
    <row r="113">
      <c r="F113">
        <f>Uexp资产处置损益BKD!F31</f>
        <v/>
      </c>
      <c r="G113" t="inlineStr">
        <is>
          <t>8fcd87a5-ba6d-4201-a9d2-583347b1da9c</t>
        </is>
      </c>
    </row>
    <row r="114">
      <c r="F114">
        <f>Uexp资产处置损益BKD!G31</f>
        <v/>
      </c>
      <c r="G114" t="inlineStr">
        <is>
          <t>a02c46eb-b2f9-41c0-bb7d-3f94693f5a8a</t>
        </is>
      </c>
    </row>
    <row r="115">
      <c r="F115">
        <f>Uexp资产处置损益BKD!H31</f>
        <v/>
      </c>
      <c r="G115" t="inlineStr">
        <is>
          <t>66d03148-e4fe-4be5-a0d2-2c98492b16a9</t>
        </is>
      </c>
    </row>
    <row r="116">
      <c r="F116">
        <f>Uexp资产处置损益BKD!K31</f>
        <v/>
      </c>
      <c r="G116" t="inlineStr">
        <is>
          <t>5c0f0761-8fd9-442b-baac-1a64989bfed0</t>
        </is>
      </c>
    </row>
    <row r="117">
      <c r="F117" s="352">
        <f>Uexp资产处置损益BKD!L31</f>
        <v/>
      </c>
      <c r="G117" t="inlineStr">
        <is>
          <t>4e8d3f63-97d8-413e-a48a-eb814cef2fb9</t>
        </is>
      </c>
    </row>
    <row r="118">
      <c r="F118" s="352">
        <f>Uexp资产处置损益BKD!M31</f>
        <v/>
      </c>
      <c r="G118" t="inlineStr">
        <is>
          <t>3ee09915-4576-4570-b143-1cce62c06b0d</t>
        </is>
      </c>
    </row>
    <row r="119">
      <c r="F119" s="352">
        <f>Uexp资产处置损益BKD!N31</f>
        <v/>
      </c>
      <c r="G119" t="inlineStr">
        <is>
          <t>95f895d4-ef40-40f0-b922-b2ebe9a3858e</t>
        </is>
      </c>
    </row>
    <row r="120">
      <c r="F120">
        <f>Uexp营业外收入BKD!C31</f>
        <v/>
      </c>
      <c r="G120" t="inlineStr">
        <is>
          <t>e8178ded-f432-405c-afff-3b617266ecef</t>
        </is>
      </c>
    </row>
    <row r="121">
      <c r="F121">
        <f>Uexp营业外收入BKD!D31</f>
        <v/>
      </c>
      <c r="G121" t="inlineStr">
        <is>
          <t>fab45c0a-6dd6-414f-9495-cc54f9eaf26a</t>
        </is>
      </c>
    </row>
    <row r="122">
      <c r="F122">
        <f>Uexp营业外收入BKD!E31</f>
        <v/>
      </c>
      <c r="G122" t="inlineStr">
        <is>
          <t>7f48c9c2-cb26-4af8-ac2d-c22a353b361b</t>
        </is>
      </c>
    </row>
    <row r="123">
      <c r="F123">
        <f>Uexp营业外收入BKD!F31</f>
        <v/>
      </c>
      <c r="G123" t="inlineStr">
        <is>
          <t>6c222462-0322-4e2a-adee-f370ec3efbc4</t>
        </is>
      </c>
    </row>
    <row r="124">
      <c r="F124">
        <f>Uexp营业外收入BKD!G31</f>
        <v/>
      </c>
      <c r="G124" t="inlineStr">
        <is>
          <t>5e95e4fe-e446-4b5e-843e-260a60f227d5</t>
        </is>
      </c>
    </row>
    <row r="125">
      <c r="F125">
        <f>Uexp营业外收入BKD!H31</f>
        <v/>
      </c>
      <c r="G125" t="inlineStr">
        <is>
          <t>96eeb039-5b8b-4037-a244-2a59f9632f7a</t>
        </is>
      </c>
    </row>
    <row r="126">
      <c r="F126">
        <f>Uexp营业外收入BKD!K31</f>
        <v/>
      </c>
      <c r="G126" t="inlineStr">
        <is>
          <t>d492e41d-4ee1-4246-91e0-5e4f6335243c</t>
        </is>
      </c>
    </row>
    <row r="127">
      <c r="F127" s="352">
        <f>Uexp营业外收入BKD!L31</f>
        <v/>
      </c>
      <c r="G127" t="inlineStr">
        <is>
          <t>714fcb89-21b7-464b-9b53-9d8e338662da</t>
        </is>
      </c>
    </row>
    <row r="128">
      <c r="F128" s="352">
        <f>Uexp营业外收入BKD!M31</f>
        <v/>
      </c>
      <c r="G128" t="inlineStr">
        <is>
          <t>c643645d-1d88-498d-b7b0-52f2e4c40fdc</t>
        </is>
      </c>
    </row>
    <row r="129">
      <c r="F129" s="352">
        <f>Uexp营业外收入BKD!N31</f>
        <v/>
      </c>
      <c r="G129" t="inlineStr">
        <is>
          <t>f1bd65fb-e674-42d2-a20d-de9bb9740bf6</t>
        </is>
      </c>
    </row>
    <row r="130">
      <c r="F130">
        <f>Uexp营业外支出BKD!C32</f>
        <v/>
      </c>
      <c r="G130" t="inlineStr">
        <is>
          <t>b891458e-04e9-4fee-9236-e080f124ddb3</t>
        </is>
      </c>
    </row>
    <row r="131">
      <c r="F131">
        <f>Uexp营业外支出BKD!D32</f>
        <v/>
      </c>
      <c r="G131" t="inlineStr">
        <is>
          <t>797c8d58-25ae-4a9f-beee-79bda18e29dc</t>
        </is>
      </c>
    </row>
    <row r="132">
      <c r="F132">
        <f>Uexp营业外支出BKD!E32</f>
        <v/>
      </c>
      <c r="G132" t="inlineStr">
        <is>
          <t>7c424774-6497-44a4-9bf1-aee9c6fd7c0c</t>
        </is>
      </c>
    </row>
    <row r="133">
      <c r="F133">
        <f>Uexp营业外支出BKD!F32</f>
        <v/>
      </c>
      <c r="G133" t="inlineStr">
        <is>
          <t>60e4c89f-01ff-40b5-b614-ff9725ce7ccd</t>
        </is>
      </c>
    </row>
    <row r="134">
      <c r="F134">
        <f>Uexp营业外支出BKD!G32</f>
        <v/>
      </c>
      <c r="G134" t="inlineStr">
        <is>
          <t>d6ba34b9-1a0b-45e3-9b35-95f405b724cf</t>
        </is>
      </c>
    </row>
    <row r="135">
      <c r="F135">
        <f>Uexp营业外支出BKD!H32</f>
        <v/>
      </c>
      <c r="G135" t="inlineStr">
        <is>
          <t>ab989c5b-9c19-49ba-8d7b-22f6be32e797</t>
        </is>
      </c>
    </row>
    <row r="136">
      <c r="F136">
        <f>Uexp营业外支出BKD!K32</f>
        <v/>
      </c>
      <c r="G136" t="inlineStr">
        <is>
          <t>ebdf90b1-0d50-4614-ba2d-da1e340b4a43</t>
        </is>
      </c>
    </row>
    <row r="137">
      <c r="F137" s="352">
        <f>Uexp营业外支出BKD!L32</f>
        <v/>
      </c>
      <c r="G137" t="inlineStr">
        <is>
          <t>46e1f2dd-22f0-4db9-b654-6c4ae950916c</t>
        </is>
      </c>
    </row>
    <row r="138">
      <c r="F138" s="352">
        <f>Uexp营业外支出BKD!M32</f>
        <v/>
      </c>
      <c r="G138" t="inlineStr">
        <is>
          <t>3b3c2526-c32d-47ab-aa32-5b6dad951aab</t>
        </is>
      </c>
    </row>
    <row r="139">
      <c r="F139" s="352">
        <f>Uexp营业外支出BKD!N32</f>
        <v/>
      </c>
      <c r="G139" t="inlineStr">
        <is>
          <t>57c49d5e-d2e8-41ef-b399-7c9e4398b739</t>
        </is>
      </c>
    </row>
    <row r="140">
      <c r="F140">
        <f>Uexp债务重组利得和损失BKD!C32</f>
        <v/>
      </c>
      <c r="G140" t="inlineStr">
        <is>
          <t>99f99c75-4e54-40a0-b234-732ce26ede36</t>
        </is>
      </c>
    </row>
    <row r="141">
      <c r="F141">
        <f>Uexp债务重组利得和损失BKD!D32</f>
        <v/>
      </c>
      <c r="G141" t="inlineStr">
        <is>
          <t>1d7fdaf3-270e-43c8-b248-6bee8a0b3978</t>
        </is>
      </c>
    </row>
    <row r="142">
      <c r="F142">
        <f>Uexp债务重组利得和损失BKD!E32</f>
        <v/>
      </c>
      <c r="G142" t="inlineStr">
        <is>
          <t>f9b81827-1bbf-40e7-8995-c8675f64c937</t>
        </is>
      </c>
    </row>
    <row r="143">
      <c r="F143">
        <f>Uexp债务重组利得和损失BKD!F32</f>
        <v/>
      </c>
      <c r="G143" t="inlineStr">
        <is>
          <t>080f6868-9248-4397-ab5f-7be54f3d4d89</t>
        </is>
      </c>
    </row>
    <row r="144">
      <c r="F144">
        <f>Uexp债务重组利得和损失BKD!G32</f>
        <v/>
      </c>
      <c r="G144" t="inlineStr">
        <is>
          <t>650f669b-efb3-472b-9cde-7c0f417b4494</t>
        </is>
      </c>
    </row>
    <row r="145">
      <c r="F145">
        <f>Uexp债务重组利得和损失BKD!H32</f>
        <v/>
      </c>
      <c r="G145" t="inlineStr">
        <is>
          <t>9e27363a-249c-4026-8617-8841e2a20faf</t>
        </is>
      </c>
    </row>
    <row r="146">
      <c r="F146">
        <f>Uexp债务重组利得和损失BKD!K32</f>
        <v/>
      </c>
      <c r="G146" t="inlineStr">
        <is>
          <t>3c1c8532-164f-44e6-8489-8a47ba7ea92a</t>
        </is>
      </c>
    </row>
    <row r="147">
      <c r="F147" s="352">
        <f>Uexp债务重组利得和损失BKD!L32</f>
        <v/>
      </c>
      <c r="G147" t="inlineStr">
        <is>
          <t>b329f16d-5ddb-4f81-9a04-7ea7471bccc7</t>
        </is>
      </c>
    </row>
    <row r="148">
      <c r="F148" s="352">
        <f>Uexp债务重组利得和损失BKD!M32</f>
        <v/>
      </c>
      <c r="G148" t="inlineStr">
        <is>
          <t>af7e67c7-aef5-4a4b-8a78-f7fcc980c0a2</t>
        </is>
      </c>
    </row>
    <row r="149">
      <c r="F149" s="352">
        <f>Uexp债务重组利得和损失BKD!N32</f>
        <v/>
      </c>
      <c r="G149" t="inlineStr">
        <is>
          <t>2f3e74d7-6bc9-4866-8b86-907c7053b081</t>
        </is>
      </c>
    </row>
    <row r="150">
      <c r="F150">
        <f>Uexp制造费用BKD!#REF!</f>
        <v/>
      </c>
      <c r="G150" t="inlineStr">
        <is>
          <t>d167b3fc-58c2-4c96-aca7-a856916a237a</t>
        </is>
      </c>
    </row>
    <row r="151">
      <c r="F151">
        <f>Uexp制造费用BKD!#REF!</f>
        <v/>
      </c>
      <c r="G151" t="inlineStr">
        <is>
          <t>f217a4cb-e263-42a5-a44e-ee264181d093</t>
        </is>
      </c>
    </row>
    <row r="152">
      <c r="F152">
        <f>Uexp制造费用BKD!#REF!</f>
        <v/>
      </c>
      <c r="G152" t="inlineStr">
        <is>
          <t>a45fe681-52f1-442f-a477-93a866bc2061</t>
        </is>
      </c>
    </row>
    <row r="153">
      <c r="F153">
        <f>Uexp制造费用BKD!#REF!</f>
        <v/>
      </c>
      <c r="G153" t="inlineStr">
        <is>
          <t>fa854dae-7fe8-412a-96f6-1867c45de8e5</t>
        </is>
      </c>
    </row>
    <row r="154">
      <c r="F154">
        <f>Uexp制造费用BKD!#REF!</f>
        <v/>
      </c>
      <c r="G154" t="inlineStr">
        <is>
          <t>5d7742d0-2919-4ae9-aafb-d85e31b258b8</t>
        </is>
      </c>
    </row>
    <row r="155">
      <c r="F155">
        <f>Uexp制造费用BKD!#REF!</f>
        <v/>
      </c>
      <c r="G155" t="inlineStr">
        <is>
          <t>66115a82-d8ad-430a-a9a3-8d1b77d5a241</t>
        </is>
      </c>
    </row>
    <row r="156">
      <c r="F156">
        <f>Uexp制造费用BKD!#REF!</f>
        <v/>
      </c>
      <c r="G156" t="inlineStr">
        <is>
          <t>d0bb491e-b34b-4f76-bc0e-fdffda64bfb2</t>
        </is>
      </c>
    </row>
    <row r="157">
      <c r="F157" s="352">
        <f>Uexp制造费用BKD!#REF!</f>
        <v/>
      </c>
      <c r="G157" t="inlineStr">
        <is>
          <t>e13b7b39-a985-48c5-8da3-049ba019c75f</t>
        </is>
      </c>
    </row>
    <row r="158">
      <c r="F158" s="352">
        <f>Uexp制造费用BKD!#REF!</f>
        <v/>
      </c>
      <c r="G158" t="inlineStr">
        <is>
          <t>466e3619-da9c-498b-b902-85f8d139214d</t>
        </is>
      </c>
    </row>
    <row r="159">
      <c r="F159" s="352">
        <f>Uexp制造费用BKD!#REF!</f>
        <v/>
      </c>
      <c r="G159" t="inlineStr">
        <is>
          <t>60f687e2-f195-467e-8c04-7f77f36a119f</t>
        </is>
      </c>
    </row>
    <row r="160">
      <c r="F160">
        <f>#REF!</f>
        <v/>
      </c>
      <c r="G160" t="inlineStr">
        <is>
          <t>c63c9d79-2683-4b42-8bae-a73d85ab3125</t>
        </is>
      </c>
    </row>
    <row r="161">
      <c r="F161">
        <f>#REF!</f>
        <v/>
      </c>
      <c r="G161" t="inlineStr">
        <is>
          <t>d0c58209-17b6-4f1c-8e04-f1407e221f46</t>
        </is>
      </c>
    </row>
    <row r="162">
      <c r="F162">
        <f>#REF!</f>
        <v/>
      </c>
      <c r="G162" t="inlineStr">
        <is>
          <t>14981665-9050-4daf-9086-7ee87767996c</t>
        </is>
      </c>
    </row>
    <row r="163">
      <c r="F163">
        <f>#REF!</f>
        <v/>
      </c>
      <c r="G163" t="inlineStr">
        <is>
          <t>6ea506e1-e7ad-4e3a-a872-cf3cd9058c60</t>
        </is>
      </c>
    </row>
    <row r="164">
      <c r="F164">
        <f>#REF!</f>
        <v/>
      </c>
      <c r="G164" t="inlineStr">
        <is>
          <t>9af32cb9-51e6-4872-9dab-2f00ec97ec74</t>
        </is>
      </c>
    </row>
    <row r="165">
      <c r="F165">
        <f>#REF!</f>
        <v/>
      </c>
      <c r="G165" t="inlineStr">
        <is>
          <t>d0b1df97-1024-41a3-83fa-47edf3fd65b6</t>
        </is>
      </c>
    </row>
    <row r="166">
      <c r="F166">
        <f>#REF!</f>
        <v/>
      </c>
      <c r="G166" t="inlineStr">
        <is>
          <t>75c35215-598b-4781-b0e4-48d447d0d338</t>
        </is>
      </c>
    </row>
    <row r="167">
      <c r="F167">
        <f>#REF!</f>
        <v/>
      </c>
      <c r="G167" t="inlineStr">
        <is>
          <t>982c0ba2-d425-43eb-81b2-776bb9ca21ae</t>
        </is>
      </c>
    </row>
    <row r="168">
      <c r="F168">
        <f>#REF!</f>
        <v/>
      </c>
      <c r="G168" t="inlineStr">
        <is>
          <t>29df1df1-a1e5-4cd3-9f83-a41d9540ffbb</t>
        </is>
      </c>
    </row>
    <row r="169">
      <c r="F169">
        <f>#REF!</f>
        <v/>
      </c>
      <c r="G169" t="inlineStr">
        <is>
          <t>ae16226f-6f33-4ddc-aa95-16d4eb29287f</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Jadey Cai</dc:creator>
  <dc:title>标准审计底稿模板_U_Exp_202YMMDD_XYZ公司</dc:title>
  <dc:description>B2EE6476-01BB-4A47-B969-699B73282C31</dc:description>
  <dcterms:created xsi:type="dcterms:W3CDTF">2019-11-17T09:56:00Z</dcterms:created>
  <dcterms:modified xsi:type="dcterms:W3CDTF">2026-05-26T09:31:10Z</dcterms:modified>
  <cp:lastModifiedBy>Dan Y Yao</cp:lastModifiedBy>
  <cp:keywords>Final Audit.V5.U_Exp other.1219</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A302EF344059403B925D29DE0A0B98A2</vt:lpwstr>
  </property>
  <property name="KSOProductBuildVer" fmtid="{D5CDD505-2E9C-101B-9397-08002B2CF9AE}" pid="4">
    <vt:lpwstr>2052-11.1.0.12358</vt:lpwstr>
  </property>
</Properties>
</file>
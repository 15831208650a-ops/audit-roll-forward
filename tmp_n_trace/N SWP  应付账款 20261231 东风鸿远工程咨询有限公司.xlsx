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C:\Users\EQ877NU\Downloads\标准审计底稿模板第六版-使用版\标准审计底稿模板第六版-使用版\标准审计底稿模板第六版-使用版\"/>
    </mc:Choice>
  </mc:AlternateContent>
  <xr:revisionPtr revIDLastSave="0" documentId="13_ncr:1_{3F0C217B-FDD4-4FDE-939D-C5D721CE97B3}" xr6:coauthVersionLast="47" xr6:coauthVersionMax="47" xr10:uidLastSave="{00000000-0000-0000-0000-000000000000}"/>
  <bookViews>
    <workbookView xWindow="-120" yWindow="-120" windowWidth="29040" windowHeight="15720" tabRatio="824" xr2:uid="{00000000-000D-0000-FFFF-FFFF00000000}"/>
  </bookViews>
  <sheets>
    <sheet name="汇总" sheetId="73" r:id="rId1"/>
    <sheet name="N.00 Lead sheet" sheetId="4" r:id="rId2"/>
    <sheet name="N.01 明细账与总账核对" sheetId="86" r:id="rId3"/>
    <sheet name="N.01.01明细账" sheetId="87" r:id="rId4"/>
    <sheet name="N.02 异常项复核" sheetId="52" r:id="rId5"/>
    <sheet name="N.03 截止测试" sheetId="12" r:id="rId6"/>
    <sheet name="N.04 寻找未入账负债" sheetId="74" r:id="rId7"/>
    <sheet name="SkywindSettingSheet" sheetId="42" state="veryHidden" r:id="rId8"/>
    <sheet name="DS_INTERNAL_SETTINGS_STORAGE" sheetId="69" state="veryHidden" r:id="rId9"/>
    <sheet name="DS_INTERNAL_DOCGROUP_STORAGE" sheetId="70" state="veryHidden" r:id="rId10"/>
    <sheet name="DS_INTERNAL_DOCUMENT_STORAGE" sheetId="71" state="veryHidden" r:id="rId11"/>
    <sheet name="DS_INTERNAL_SNIP_STORAGE" sheetId="72" state="veryHidden" r:id="rId12"/>
  </sheets>
  <definedNames>
    <definedName name="_____dod1" localSheetId="3" hidden="1">{#N/A,#N/A,TRUE,"CPRD";#N/A,#N/A,TRUE,"BCCPDR";#N/A,#N/A,TRUE,"EWRD";#N/A,#N/A,TRUE,"5100";#N/A,#N/A,TRUE,"5110"}</definedName>
    <definedName name="_____dod1" localSheetId="6" hidden="1">{#N/A,#N/A,TRUE,"CPRD";#N/A,#N/A,TRUE,"BCCPDR";#N/A,#N/A,TRUE,"EWRD";#N/A,#N/A,TRUE,"5100";#N/A,#N/A,TRUE,"5110"}</definedName>
    <definedName name="_____dod1" localSheetId="0"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localSheetId="6" hidden="1">{#N/A,#N/A,TRUE,"CPRD";#N/A,#N/A,TRUE,"BCCPDR";#N/A,#N/A,TRUE,"EWRD";#N/A,#N/A,TRUE,"5100";#N/A,#N/A,TRUE,"5110"}</definedName>
    <definedName name="____dod1" localSheetId="0"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localSheetId="6" hidden="1">{#N/A,#N/A,TRUE,"CPRD";#N/A,#N/A,TRUE,"BCCPDR";#N/A,#N/A,TRUE,"EWRD";#N/A,#N/A,TRUE,"5100";#N/A,#N/A,TRUE,"5110"}</definedName>
    <definedName name="___dod1" localSheetId="0"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localSheetId="6" hidden="1">{#N/A,#N/A,TRUE,"CPRD";#N/A,#N/A,TRUE,"BCCPDR";#N/A,#N/A,TRUE,"EWRD";#N/A,#N/A,TRUE,"5100";#N/A,#N/A,TRUE,"5110"}</definedName>
    <definedName name="___dog1" localSheetId="0" hidden="1">{#N/A,#N/A,TRUE,"CPRD";#N/A,#N/A,TRUE,"BCCPDR";#N/A,#N/A,TRUE,"EWRD";#N/A,#N/A,TRUE,"5100";#N/A,#N/A,TRUE,"5110"}</definedName>
    <definedName name="___dog1" hidden="1">{#N/A,#N/A,TRUE,"CPRD";#N/A,#N/A,TRUE,"BCCPDR";#N/A,#N/A,TRUE,"EWRD";#N/A,#N/A,TRUE,"5100";#N/A,#N/A,TRUE,"5110"}</definedName>
    <definedName name="__123Graph_A" localSheetId="6" hidden="1">#REF!</definedName>
    <definedName name="__123Graph_A" hidden="1">#REF!</definedName>
    <definedName name="__123Graph_AGraph1" localSheetId="6" hidden="1">#REF!</definedName>
    <definedName name="__123Graph_AGraph1" hidden="1">#REF!</definedName>
    <definedName name="__123Graph_B" localSheetId="6" hidden="1">#REF!</definedName>
    <definedName name="__123Graph_B" hidden="1">#REF!</definedName>
    <definedName name="__123Graph_BGraph1" localSheetId="6" hidden="1">#REF!</definedName>
    <definedName name="__123Graph_BGraph1" hidden="1">#REF!</definedName>
    <definedName name="__123Graph_C" hidden="1">#REF!</definedName>
    <definedName name="__123Graph_CGraph1" hidden="1">#REF!</definedName>
    <definedName name="__123Graph_D" localSheetId="6"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localSheetId="3" hidden="1">{#N/A,#N/A,TRUE,"CPRD";#N/A,#N/A,TRUE,"BCCPDR";#N/A,#N/A,TRUE,"EWRD";#N/A,#N/A,TRUE,"5100";#N/A,#N/A,TRUE,"5110"}</definedName>
    <definedName name="__dod1" localSheetId="6" hidden="1">{#N/A,#N/A,TRUE,"CPRD";#N/A,#N/A,TRUE,"BCCPDR";#N/A,#N/A,TRUE,"EWRD";#N/A,#N/A,TRUE,"5100";#N/A,#N/A,TRUE,"5110"}</definedName>
    <definedName name="__dod1" localSheetId="0"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localSheetId="6" hidden="1">{#N/A,#N/A,TRUE,"CPRD";#N/A,#N/A,TRUE,"BCCPDR";#N/A,#N/A,TRUE,"EWRD";#N/A,#N/A,TRUE,"5100";#N/A,#N/A,TRUE,"5110"}</definedName>
    <definedName name="__dog1" localSheetId="0"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3" hidden="1">{#N/A,#N/A,TRUE,"CPRD";#N/A,#N/A,TRUE,"BCCPDR";#N/A,#N/A,TRUE,"EWRD";#N/A,#N/A,TRUE,"5100";#N/A,#N/A,TRUE,"5110"}</definedName>
    <definedName name="_dod1" localSheetId="6" hidden="1">{#N/A,#N/A,TRUE,"CPRD";#N/A,#N/A,TRUE,"BCCPDR";#N/A,#N/A,TRUE,"EWRD";#N/A,#N/A,TRUE,"5100";#N/A,#N/A,TRUE,"5110"}</definedName>
    <definedName name="_dod1" localSheetId="0"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localSheetId="6" hidden="1">{#N/A,#N/A,TRUE,"CPRD";#N/A,#N/A,TRUE,"BCCPDR";#N/A,#N/A,TRUE,"EWRD";#N/A,#N/A,TRUE,"5100";#N/A,#N/A,TRUE,"5110"}</definedName>
    <definedName name="_dog1" localSheetId="0" hidden="1">{#N/A,#N/A,TRUE,"CPRD";#N/A,#N/A,TRUE,"BCCPDR";#N/A,#N/A,TRUE,"EWRD";#N/A,#N/A,TRUE,"5100";#N/A,#N/A,TRUE,"5110"}</definedName>
    <definedName name="_dog1" hidden="1">{#N/A,#N/A,TRUE,"CPRD";#N/A,#N/A,TRUE,"BCCPDR";#N/A,#N/A,TRUE,"EWRD";#N/A,#N/A,TRUE,"5100";#N/A,#N/A,TRUE,"5110"}</definedName>
    <definedName name="_Fill" localSheetId="6" hidden="1">#REF!</definedName>
    <definedName name="_Fill" hidden="1">#REF!</definedName>
    <definedName name="_xlnm._FilterDatabase" localSheetId="6" hidden="1">#REF!</definedName>
    <definedName name="_xlnm._FilterDatabase" hidden="1">#REF!</definedName>
    <definedName name="_Key1" localSheetId="6" hidden="1">#REF!</definedName>
    <definedName name="_Key1" hidden="1">#REF!</definedName>
    <definedName name="_Key2" localSheetId="6"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localSheetId="6"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localSheetId="0"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localSheetId="3" hidden="1">{#N/A,#N/A,TRUE,"CPRD";#N/A,#N/A,TRUE,"BCCPDR";#N/A,#N/A,TRUE,"EWRD";#N/A,#N/A,TRUE,"5100";#N/A,#N/A,TRUE,"5110"}</definedName>
    <definedName name="ass" localSheetId="6" hidden="1">{#N/A,#N/A,TRUE,"CPRD";#N/A,#N/A,TRUE,"BCCPDR";#N/A,#N/A,TRUE,"EWRD";#N/A,#N/A,TRUE,"5100";#N/A,#N/A,TRUE,"5110"}</definedName>
    <definedName name="ass" localSheetId="0"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localSheetId="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3" hidden="1">{#N/A,#N/A,TRUE,"CPRD";#N/A,#N/A,TRUE,"BCCPDR";#N/A,#N/A,TRUE,"EWRD";#N/A,#N/A,TRUE,"5100";#N/A,#N/A,TRUE,"5110"}</definedName>
    <definedName name="doddd" localSheetId="6" hidden="1">{#N/A,#N/A,TRUE,"CPRD";#N/A,#N/A,TRUE,"BCCPDR";#N/A,#N/A,TRUE,"EWRD";#N/A,#N/A,TRUE,"5100";#N/A,#N/A,TRUE,"5110"}</definedName>
    <definedName name="doddd" localSheetId="0"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localSheetId="6" hidden="1">{#N/A,#N/A,TRUE,"CPRD";#N/A,#N/A,TRUE,"BCCPDR";#N/A,#N/A,TRUE,"EWRD";#N/A,#N/A,TRUE,"5100";#N/A,#N/A,TRUE,"5110"}</definedName>
    <definedName name="dog" localSheetId="0"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localSheetId="3" hidden="1">{#N/A,#N/A,FALSE,"Jan"}</definedName>
    <definedName name="ehdg" localSheetId="6" hidden="1">{#N/A,#N/A,FALSE,"Jan"}</definedName>
    <definedName name="ehdg" localSheetId="0" hidden="1">{#N/A,#N/A,FALSE,"Jan"}</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localSheetId="3" hidden="1">{#N/A,#N/A,TRUE,"CPRD";#N/A,#N/A,TRUE,"BCCPDR";#N/A,#N/A,TRUE,"EWRD";#N/A,#N/A,TRUE,"5100";#N/A,#N/A,TRUE,"5110"}</definedName>
    <definedName name="ExpenseUpload" localSheetId="6" hidden="1">{#N/A,#N/A,TRUE,"CPRD";#N/A,#N/A,TRUE,"BCCPDR";#N/A,#N/A,TRUE,"EWRD";#N/A,#N/A,TRUE,"5100";#N/A,#N/A,TRUE,"5110"}</definedName>
    <definedName name="ExpenseUpload" localSheetId="0" hidden="1">{#N/A,#N/A,TRUE,"CPRD";#N/A,#N/A,TRUE,"BCCPDR";#N/A,#N/A,TRUE,"EWRD";#N/A,#N/A,TRUE,"5100";#N/A,#N/A,TRUE,"5110"}</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localSheetId="3" hidden="1">{#N/A,#N/A,TRUE,"CPRD";#N/A,#N/A,TRUE,"BCCPDR";#N/A,#N/A,TRUE,"EWRD";#N/A,#N/A,TRUE,"5100";#N/A,#N/A,TRUE,"5110"}</definedName>
    <definedName name="feedback" localSheetId="6" hidden="1">{#N/A,#N/A,TRUE,"CPRD";#N/A,#N/A,TRUE,"BCCPDR";#N/A,#N/A,TRUE,"EWRD";#N/A,#N/A,TRUE,"5100";#N/A,#N/A,TRUE,"5110"}</definedName>
    <definedName name="feedback" localSheetId="0" hidden="1">{#N/A,#N/A,TRUE,"CPRD";#N/A,#N/A,TRUE,"BCCPDR";#N/A,#N/A,TRUE,"EWRD";#N/A,#N/A,TRUE,"5100";#N/A,#N/A,TRUE,"5110"}</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localSheetId="3" hidden="1">{#N/A,#N/A,TRUE,"CPRD";#N/A,#N/A,TRUE,"BCCPDR";#N/A,#N/A,TRUE,"EWRD";#N/A,#N/A,TRUE,"5100";#N/A,#N/A,TRUE,"5110"}</definedName>
    <definedName name="HdctTrnd" localSheetId="6" hidden="1">{#N/A,#N/A,TRUE,"CPRD";#N/A,#N/A,TRUE,"BCCPDR";#N/A,#N/A,TRUE,"EWRD";#N/A,#N/A,TRUE,"5100";#N/A,#N/A,TRUE,"5110"}</definedName>
    <definedName name="HdctTrnd" localSheetId="0" hidden="1">{#N/A,#N/A,TRUE,"CPRD";#N/A,#N/A,TRUE,"BCCPDR";#N/A,#N/A,TRUE,"EWRD";#N/A,#N/A,TRUE,"5100";#N/A,#N/A,TRUE,"5110"}</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localSheetId="3" hidden="1">{"'Vxxe_times_J750 (2)'!$A$3:$E$14"}</definedName>
    <definedName name="HTML_Control" localSheetId="6" hidden="1">{"'Vxxe_times_J750 (2)'!$A$3:$E$14"}</definedName>
    <definedName name="HTML_Control" localSheetId="0"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localSheetId="6" hidden="1">#REF!</definedName>
    <definedName name="LotusGraphChart1" hidden="1">#REF!</definedName>
    <definedName name="lotusgraphchart1b" localSheetId="6" hidden="1">#REF!</definedName>
    <definedName name="lotusgraphchart1b" hidden="1">#REF!</definedName>
    <definedName name="lotusgraphchart1x" localSheetId="6"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localSheetId="3" hidden="1">{#N/A,#N/A,TRUE,"CPRD";#N/A,#N/A,TRUE,"BCCPDR";#N/A,#N/A,TRUE,"EWRD";#N/A,#N/A,TRUE,"5100";#N/A,#N/A,TRUE,"5110"}</definedName>
    <definedName name="notused" localSheetId="6" hidden="1">{#N/A,#N/A,TRUE,"CPRD";#N/A,#N/A,TRUE,"BCCPDR";#N/A,#N/A,TRUE,"EWRD";#N/A,#N/A,TRUE,"5100";#N/A,#N/A,TRUE,"5110"}</definedName>
    <definedName name="notused" localSheetId="0" hidden="1">{#N/A,#N/A,TRUE,"CPRD";#N/A,#N/A,TRUE,"BCCPDR";#N/A,#N/A,TRUE,"EWRD";#N/A,#N/A,TRUE,"5100";#N/A,#N/A,TRUE,"5110"}</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3" hidden="1">{"M2aPrint",#N/A,FALSE,"M2a"}</definedName>
    <definedName name="qwertyuiopasdfghjkl" localSheetId="6" hidden="1">{"M2aPrint",#N/A,FALSE,"M2a"}</definedName>
    <definedName name="qwertyuiopasdfghjkl" localSheetId="0" hidden="1">{"M2aPrint",#N/A,FALSE,"M2a"}</definedName>
    <definedName name="qwertyuiopasdfghjkl" hidden="1">{"M2aPrint",#N/A,FALSE,"M2a"}</definedName>
    <definedName name="qwwertyuiop" localSheetId="3" hidden="1">{"M2Print",#N/A,FALSE,"M2"}</definedName>
    <definedName name="qwwertyuiop" localSheetId="6" hidden="1">{"M2Print",#N/A,FALSE,"M2"}</definedName>
    <definedName name="qwwertyuiop" localSheetId="0" hidden="1">{"M2Print",#N/A,FALSE,"M2"}</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localSheetId="6" hidden="1">#REF!</definedName>
    <definedName name="Sheet1_BNE_MESSAGES" hidden="1">#REF!</definedName>
    <definedName name="Sheet1_BNE_MESSAGES_HIDDEN" localSheetId="6" hidden="1">#REF!</definedName>
    <definedName name="Sheet1_BNE_MESSAGES_HIDDEN" hidden="1">#REF!</definedName>
    <definedName name="Sheet1_BNE_MESSAGES_LAMP" localSheetId="6" hidden="1">#REF!</definedName>
    <definedName name="Sheet1_BNE_MESSAGES_LAMP" hidden="1">#REF!</definedName>
    <definedName name="Sheet1_BNE_UPLOAD" localSheetId="6" hidden="1">#REF!</definedName>
    <definedName name="Sheet1_BNE_UPLOAD" hidden="1">#REF!</definedName>
    <definedName name="Sheet1_GL_INTERFACE_ACCOUNTING_DATE" localSheetId="6" hidden="1">#REF!</definedName>
    <definedName name="Sheet1_GL_INTERFACE_ACCOUNTING_DATE" hidden="1">#REF!</definedName>
    <definedName name="Sheet1_GL_INTERFACE_ACTUAL_FLAG" localSheetId="6" hidden="1">#REF!</definedName>
    <definedName name="Sheet1_GL_INTERFACE_ACTUAL_FLAG" hidden="1">#REF!</definedName>
    <definedName name="Sheet1_GL_INTERFACE_CURRENCY_CODE" localSheetId="6" hidden="1">#REF!</definedName>
    <definedName name="Sheet1_GL_INTERFACE_CURRENCY_CODE" hidden="1">#REF!</definedName>
    <definedName name="Sheet1_GL_INTERFACE_DATABASE" localSheetId="6" hidden="1">#REF!</definedName>
    <definedName name="Sheet1_GL_INTERFACE_DATABASE" hidden="1">#REF!</definedName>
    <definedName name="Sheet1_GL_INTERFACE_ENTERED_CR" localSheetId="6" hidden="1">#REF!</definedName>
    <definedName name="Sheet1_GL_INTERFACE_ENTERED_CR" hidden="1">#REF!</definedName>
    <definedName name="Sheet1_GL_INTERFACE_ENTERED_DR" localSheetId="6" hidden="1">#REF!</definedName>
    <definedName name="Sheet1_GL_INTERFACE_ENTERED_DR" hidden="1">#REF!</definedName>
    <definedName name="Sheet1_GL_INTERFACE_REFERENCE1" localSheetId="6" hidden="1">#REF!</definedName>
    <definedName name="Sheet1_GL_INTERFACE_REFERENCE1" hidden="1">#REF!</definedName>
    <definedName name="Sheet1_GL_INTERFACE_REFERENCE10" localSheetId="6" hidden="1">#REF!</definedName>
    <definedName name="Sheet1_GL_INTERFACE_REFERENCE10" hidden="1">#REF!</definedName>
    <definedName name="Sheet1_GL_INTERFACE_REFERENCE4" localSheetId="6" hidden="1">#REF!</definedName>
    <definedName name="Sheet1_GL_INTERFACE_REFERENCE4" hidden="1">#REF!</definedName>
    <definedName name="Sheet1_GL_INTERFACE_REFERENCE5" localSheetId="6" hidden="1">#REF!</definedName>
    <definedName name="Sheet1_GL_INTERFACE_REFERENCE5" hidden="1">#REF!</definedName>
    <definedName name="Sheet1_GL_INTERFACE_REFERENCE6" localSheetId="6" hidden="1">#REF!</definedName>
    <definedName name="Sheet1_GL_INTERFACE_REFERENCE6" hidden="1">#REF!</definedName>
    <definedName name="Sheet1_GL_INTERFACE_REFERENCE7" localSheetId="6" hidden="1">#REF!</definedName>
    <definedName name="Sheet1_GL_INTERFACE_REFERENCE7" hidden="1">#REF!</definedName>
    <definedName name="Sheet1_GL_INTERFACE_REFERENCE8" localSheetId="6" hidden="1">#REF!</definedName>
    <definedName name="Sheet1_GL_INTERFACE_REFERENCE8" hidden="1">#REF!</definedName>
    <definedName name="Sheet1_GL_INTERFACE_SEGMENT1" localSheetId="6" hidden="1">#REF!</definedName>
    <definedName name="Sheet1_GL_INTERFACE_SEGMENT1" hidden="1">#REF!</definedName>
    <definedName name="Sheet1_GL_INTERFACE_SEGMENT2" localSheetId="6" hidden="1">#REF!</definedName>
    <definedName name="Sheet1_GL_INTERFACE_SEGMENT2" hidden="1">#REF!</definedName>
    <definedName name="Sheet1_GL_INTERFACE_SEGMENT3" localSheetId="6" hidden="1">#REF!</definedName>
    <definedName name="Sheet1_GL_INTERFACE_SEGMENT3" hidden="1">#REF!</definedName>
    <definedName name="Sheet1_GL_INTERFACE_SEGMENT4" localSheetId="6" hidden="1">#REF!</definedName>
    <definedName name="Sheet1_GL_INTERFACE_SEGMENT4" hidden="1">#REF!</definedName>
    <definedName name="Sheet1_GL_INTERFACE_SEGMENT5" localSheetId="6" hidden="1">#REF!</definedName>
    <definedName name="Sheet1_GL_INTERFACE_SEGMENT5" hidden="1">#REF!</definedName>
    <definedName name="Sheet1_GL_INTERFACE_SEGMENT6" localSheetId="6" hidden="1">#REF!</definedName>
    <definedName name="Sheet1_GL_INTERFACE_SEGMENT6" hidden="1">#REF!</definedName>
    <definedName name="Sheet1_GL_INTERFACE_SET_OF_BOOKS_ID" localSheetId="6" hidden="1">#REF!</definedName>
    <definedName name="Sheet1_GL_INTERFACE_SET_OF_BOOKS_ID" hidden="1">#REF!</definedName>
    <definedName name="Sheet1_GL_INTERFACE_USER_JE_CATEGORY_NAME" localSheetId="6" hidden="1">#REF!</definedName>
    <definedName name="Sheet1_GL_INTERFACE_USER_JE_CATEGORY_NAME" hidden="1">#REF!</definedName>
    <definedName name="Sheet1_GL_INTERFACE_USER_JE_SOURCE_NAME" localSheetId="6"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localSheetId="3"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localSheetId="6" hidden="1">{#N/A,#N/A,FALSE,"SUM";#N/A,#N/A,FALSE,"SK_TOT";#N/A,#N/A,FALSE,"YM";#N/A,#N/A,FALSE,"TSMC";#N/A,#N/A,FALSE,"ICW";#N/A,#N/A,FALSE,"Sheet1"}</definedName>
    <definedName name="wrn.ALL." localSheetId="0" hidden="1">{#N/A,#N/A,FALSE,"SUM";#N/A,#N/A,FALSE,"SK_TOT";#N/A,#N/A,FALSE,"YM";#N/A,#N/A,FALSE,"TSMC";#N/A,#N/A,FALSE,"ICW";#N/A,#N/A,FALSE,"Sheet1"}</definedName>
    <definedName name="wrn.ALL."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3"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localSheetId="0"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3" hidden="1">{#N/A,#N/A,FALSE,"Deposits by day"}</definedName>
    <definedName name="wrn.Deposit._.By._.Day." localSheetId="6" hidden="1">{#N/A,#N/A,FALSE,"Deposits by day"}</definedName>
    <definedName name="wrn.Deposit._.By._.Day." localSheetId="0" hidden="1">{#N/A,#N/A,FALSE,"Deposits by day"}</definedName>
    <definedName name="wrn.Deposit._.By._.Day." hidden="1">{#N/A,#N/A,FALSE,"Deposits by day"}</definedName>
    <definedName name="wrn.Deptartment._.Expenses." localSheetId="3" hidden="1">{#N/A,#N/A,TRUE,"CPRD";#N/A,#N/A,TRUE,"BCCPDR";#N/A,#N/A,TRUE,"EWRD";#N/A,#N/A,TRUE,"5100";#N/A,#N/A,TRUE,"5110"}</definedName>
    <definedName name="wrn.Deptartment._.Expenses." localSheetId="6" hidden="1">{#N/A,#N/A,TRUE,"CPRD";#N/A,#N/A,TRUE,"BCCPDR";#N/A,#N/A,TRUE,"EWRD";#N/A,#N/A,TRUE,"5100";#N/A,#N/A,TRUE,"5110"}</definedName>
    <definedName name="wrn.Deptartment._.Expenses." localSheetId="0" hidden="1">{#N/A,#N/A,TRUE,"CPRD";#N/A,#N/A,TRUE,"BCCPDR";#N/A,#N/A,TRUE,"EWRD";#N/A,#N/A,TRUE,"5100";#N/A,#N/A,TRUE,"5110"}</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localSheetId="3" hidden="1">{#N/A,#N/A,FALSE,"Jan"}</definedName>
    <definedName name="wrn.jan." localSheetId="6" hidden="1">{#N/A,#N/A,FALSE,"Jan"}</definedName>
    <definedName name="wrn.jan." localSheetId="0" hidden="1">{#N/A,#N/A,FALSE,"Jan"}</definedName>
    <definedName name="wrn.jan." hidden="1">{#N/A,#N/A,FALSE,"Jan"}</definedName>
    <definedName name="wrn.M1._.Operating._.Statement." localSheetId="3" hidden="1">{"M1Print",#N/A,FALSE,"M1"}</definedName>
    <definedName name="wrn.M1._.Operating._.Statement." localSheetId="6" hidden="1">{"M1Print",#N/A,FALSE,"M1"}</definedName>
    <definedName name="wrn.M1._.Operating._.Statement." localSheetId="0" hidden="1">{"M1Print",#N/A,FALSE,"M1"}</definedName>
    <definedName name="wrn.M1._.Operating._.Statement." hidden="1">{"M1Print",#N/A,FALSE,"M1"}</definedName>
    <definedName name="wrn.M1s._.Statistics." localSheetId="3" hidden="1">{"M1sPrint",#N/A,FALSE,"M1s"}</definedName>
    <definedName name="wrn.M1s._.Statistics." localSheetId="6" hidden="1">{"M1sPrint",#N/A,FALSE,"M1s"}</definedName>
    <definedName name="wrn.M1s._.Statistics." localSheetId="0" hidden="1">{"M1sPrint",#N/A,FALSE,"M1s"}</definedName>
    <definedName name="wrn.M1s._.Statistics." hidden="1">{"M1sPrint",#N/A,FALSE,"M1s"}</definedName>
    <definedName name="wrn.M2._.Balance._.Sheet." localSheetId="3" hidden="1">{"M2Print",#N/A,FALSE,"M2"}</definedName>
    <definedName name="wrn.M2._.Balance._.Sheet." localSheetId="6" hidden="1">{"M2Print",#N/A,FALSE,"M2"}</definedName>
    <definedName name="wrn.M2._.Balance._.Sheet." localSheetId="0" hidden="1">{"M2Print",#N/A,FALSE,"M2"}</definedName>
    <definedName name="wrn.M2._.Balance._.Sheet." hidden="1">{"M2Print",#N/A,FALSE,"M2"}</definedName>
    <definedName name="wrn.M2a._.Cashflow." localSheetId="3" hidden="1">{"M2aPrint",#N/A,FALSE,"M2a"}</definedName>
    <definedName name="wrn.M2a._.Cashflow." localSheetId="6" hidden="1">{"M2aPrint",#N/A,FALSE,"M2a"}</definedName>
    <definedName name="wrn.M2a._.Cashflow." localSheetId="0" hidden="1">{"M2aPrint",#N/A,FALSE,"M2a"}</definedName>
    <definedName name="wrn.M2a._.Cashflow." hidden="1">{"M2aPrint",#N/A,FALSE,"M2a"}</definedName>
    <definedName name="wrn.M4._.Inventories." localSheetId="3" hidden="1">{"M4Print",#N/A,FALSE,"M4"}</definedName>
    <definedName name="wrn.M4._.Inventories." localSheetId="6" hidden="1">{"M4Print",#N/A,FALSE,"M4"}</definedName>
    <definedName name="wrn.M4._.Inventories." localSheetId="0" hidden="1">{"M4Print",#N/A,FALSE,"M4"}</definedName>
    <definedName name="wrn.M4._.Inventories." hidden="1">{"M4Print",#N/A,FALSE,"M4"}</definedName>
    <definedName name="wrn.M5._.Flash._.and._.Forecast." localSheetId="3" hidden="1">{"M5Print",#N/A,FALSE,"M5"}</definedName>
    <definedName name="wrn.M5._.Flash._.and._.Forecast." localSheetId="6" hidden="1">{"M5Print",#N/A,FALSE,"M5"}</definedName>
    <definedName name="wrn.M5._.Flash._.and._.Forecast." localSheetId="0"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localSheetId="6" hidden="1">{"M6Print",#N/A,FALSE,"M6";"M6_1Print",#N/A,FALSE,"M6_1";"M6_2Print",#N/A,FALSE,"M6_2"}</definedName>
    <definedName name="wrn.M6._.Management._.Summary." localSheetId="0"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localSheetId="6" hidden="1">{"M7_1Print",#N/A,TRUE,"M7_1";"M7_2Print",#N/A,TRUE,"M7_2"}</definedName>
    <definedName name="wrn.M7._.Financial._.Controllers._.report." localSheetId="0" hidden="1">{"M7_1Print",#N/A,TRUE,"M7_1";"M7_2Print",#N/A,TRUE,"M7_2"}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localSheetId="3" hidden="1">{#N/A,#N/A,FALSE,"YTD"}</definedName>
    <definedName name="wrn.ytd." localSheetId="6" hidden="1">{#N/A,#N/A,FALSE,"YTD"}</definedName>
    <definedName name="wrn.ytd." localSheetId="0" hidden="1">{#N/A,#N/A,FALSE,"YTD"}</definedName>
    <definedName name="wrn.ytd." hidden="1">{#N/A,#N/A,FALSE,"YTD"}</definedName>
    <definedName name="wrn100.gb" hidden="1">{#N/A,#N/A,FALSE,"资产负债表";#N/A,#N/A,FALSE,"资产负债表"}</definedName>
    <definedName name="wrnn.all." localSheetId="3" hidden="1">{#N/A,#N/A,FALSE,"SUM";#N/A,#N/A,FALSE,"SK_TOT";#N/A,#N/A,FALSE,"YM";#N/A,#N/A,FALSE,"TSMC";#N/A,#N/A,FALSE,"ICW";#N/A,#N/A,FALSE,"Sheet1"}</definedName>
    <definedName name="wrnn.all." localSheetId="6" hidden="1">{#N/A,#N/A,FALSE,"SUM";#N/A,#N/A,FALSE,"SK_TOT";#N/A,#N/A,FALSE,"YM";#N/A,#N/A,FALSE,"TSMC";#N/A,#N/A,FALSE,"ICW";#N/A,#N/A,FALSE,"Sheet1"}</definedName>
    <definedName name="wrnn.all." localSheetId="0" hidden="1">{#N/A,#N/A,FALSE,"SUM";#N/A,#N/A,FALSE,"SK_TOT";#N/A,#N/A,FALSE,"YM";#N/A,#N/A,FALSE,"TSMC";#N/A,#N/A,FALSE,"ICW";#N/A,#N/A,FALSE,"Sheet1"}</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localSheetId="6" hidden="1">#REF!</definedName>
    <definedName name="XREF_COLUMN_1" hidden="1">#REF!</definedName>
    <definedName name="XREF_COLUMN_10" localSheetId="6" hidden="1">#REF!</definedName>
    <definedName name="XREF_COLUMN_10" hidden="1">#REF!</definedName>
    <definedName name="XREF_COLUMN_11" localSheetId="6" hidden="1">#REF!</definedName>
    <definedName name="XREF_COLUMN_11" hidden="1">#REF!</definedName>
    <definedName name="XREF_COLUMN_12" localSheetId="6" hidden="1">#REF!</definedName>
    <definedName name="XREF_COLUMN_12" hidden="1">#REF!</definedName>
    <definedName name="XREF_COLUMN_19" localSheetId="6" hidden="1">#REF!</definedName>
    <definedName name="XREF_COLUMN_19" hidden="1">#REF!</definedName>
    <definedName name="XREF_COLUMN_2" localSheetId="6" hidden="1">#REF!</definedName>
    <definedName name="XREF_COLUMN_2" hidden="1">#REF!</definedName>
    <definedName name="XREF_COLUMN_20" localSheetId="6" hidden="1">#REF!</definedName>
    <definedName name="XREF_COLUMN_20" hidden="1">#REF!</definedName>
    <definedName name="XREF_COLUMN_21" localSheetId="6" hidden="1">#REF!</definedName>
    <definedName name="XREF_COLUMN_21" hidden="1">#REF!</definedName>
    <definedName name="XREF_COLUMN_3" localSheetId="6" hidden="1">#REF!</definedName>
    <definedName name="XREF_COLUMN_3" hidden="1">#REF!</definedName>
    <definedName name="XREF_COLUMN_4" localSheetId="6" hidden="1">#REF!</definedName>
    <definedName name="XREF_COLUMN_4" hidden="1">#REF!</definedName>
    <definedName name="XREF_COLUMN_5" localSheetId="6" hidden="1">#REF!</definedName>
    <definedName name="XREF_COLUMN_5" hidden="1">#REF!</definedName>
    <definedName name="XREF_COLUMN_6" localSheetId="6" hidden="1">#REF!</definedName>
    <definedName name="XREF_COLUMN_6" hidden="1">#REF!</definedName>
    <definedName name="XREF_COLUMN_7" localSheetId="6" hidden="1">#REF!</definedName>
    <definedName name="XREF_COLUMN_7" hidden="1">#REF!</definedName>
    <definedName name="XRefActiveRow" localSheetId="6" hidden="1">#REF!</definedName>
    <definedName name="XRefActiveRow" hidden="1">#REF!</definedName>
    <definedName name="XRefColumnsCount" hidden="1">2</definedName>
    <definedName name="XRefCopy1" localSheetId="6" hidden="1">#REF!</definedName>
    <definedName name="XRefCopy1" hidden="1">#REF!</definedName>
    <definedName name="XRefCopy10" localSheetId="6" hidden="1">#REF!</definedName>
    <definedName name="XRefCopy10" hidden="1">#REF!</definedName>
    <definedName name="XRefCopy10Row" localSheetId="6" hidden="1">#REF!</definedName>
    <definedName name="XRefCopy10Row" hidden="1">#REF!</definedName>
    <definedName name="XRefCopy11" localSheetId="6" hidden="1">#REF!</definedName>
    <definedName name="XRefCopy11" hidden="1">#REF!</definedName>
    <definedName name="XRefCopy11Row" localSheetId="6" hidden="1">#REF!</definedName>
    <definedName name="XRefCopy11Row" hidden="1">#REF!</definedName>
    <definedName name="XRefCopy12" localSheetId="6" hidden="1">#REF!</definedName>
    <definedName name="XRefCopy12" hidden="1">#REF!</definedName>
    <definedName name="XRefCopy13" localSheetId="6" hidden="1">#REF!</definedName>
    <definedName name="XRefCopy13" hidden="1">#REF!</definedName>
    <definedName name="XRefCopy13Row" localSheetId="6" hidden="1">#REF!</definedName>
    <definedName name="XRefCopy13Row" hidden="1">#REF!</definedName>
    <definedName name="XRefCopy14" localSheetId="6" hidden="1">#REF!</definedName>
    <definedName name="XRefCopy14" hidden="1">#REF!</definedName>
    <definedName name="XRefCopy15" localSheetId="6" hidden="1">#REF!</definedName>
    <definedName name="XRefCopy15" hidden="1">#REF!</definedName>
    <definedName name="XRefCopy16Row" localSheetId="6" hidden="1">#REF!</definedName>
    <definedName name="XRefCopy16Row" hidden="1">#REF!</definedName>
    <definedName name="XRefCopy1Row" localSheetId="6" hidden="1">#REF!</definedName>
    <definedName name="XRefCopy1Row" hidden="1">#REF!</definedName>
    <definedName name="XRefCopy2" localSheetId="6" hidden="1">#REF!</definedName>
    <definedName name="XRefCopy2" hidden="1">#REF!</definedName>
    <definedName name="XRefCopy2Row" localSheetId="6" hidden="1">#REF!</definedName>
    <definedName name="XRefCopy2Row" hidden="1">#REF!</definedName>
    <definedName name="XRefCopy3" localSheetId="6" hidden="1">#REF!</definedName>
    <definedName name="XRefCopy3" hidden="1">#REF!</definedName>
    <definedName name="XRefCopy3Row" localSheetId="6" hidden="1">#REF!</definedName>
    <definedName name="XRefCopy3Row" hidden="1">#REF!</definedName>
    <definedName name="XRefCopy4" localSheetId="6" hidden="1">#REF!</definedName>
    <definedName name="XRefCopy4" hidden="1">#REF!</definedName>
    <definedName name="XRefCopy46" localSheetId="6" hidden="1">#REF!</definedName>
    <definedName name="XRefCopy46" hidden="1">#REF!</definedName>
    <definedName name="XRefCopy47" localSheetId="6" hidden="1">#REF!</definedName>
    <definedName name="XRefCopy47" hidden="1">#REF!</definedName>
    <definedName name="XRefCopy47Row" localSheetId="6" hidden="1">#REF!</definedName>
    <definedName name="XRefCopy47Row" hidden="1">#REF!</definedName>
    <definedName name="XRefCopy48" localSheetId="6" hidden="1">#REF!</definedName>
    <definedName name="XRefCopy48" hidden="1">#REF!</definedName>
    <definedName name="XRefCopy48Row" localSheetId="6" hidden="1">#REF!</definedName>
    <definedName name="XRefCopy48Row" hidden="1">#REF!</definedName>
    <definedName name="XRefCopy49" localSheetId="6" hidden="1">#REF!</definedName>
    <definedName name="XRefCopy49" hidden="1">#REF!</definedName>
    <definedName name="XRefCopy49Row" localSheetId="6" hidden="1">#REF!</definedName>
    <definedName name="XRefCopy49Row" hidden="1">#REF!</definedName>
    <definedName name="XRefCopy4Row" localSheetId="6" hidden="1">#REF!</definedName>
    <definedName name="XRefCopy4Row" hidden="1">#REF!</definedName>
    <definedName name="XRefCopy5" localSheetId="6" hidden="1">#REF!</definedName>
    <definedName name="XRefCopy5" hidden="1">#REF!</definedName>
    <definedName name="XRefCopy50" localSheetId="6" hidden="1">#REF!</definedName>
    <definedName name="XRefCopy50" hidden="1">#REF!</definedName>
    <definedName name="XRefCopy50Row" localSheetId="6" hidden="1">#REF!</definedName>
    <definedName name="XRefCopy50Row" hidden="1">#REF!</definedName>
    <definedName name="XRefCopy51" localSheetId="6" hidden="1">#REF!</definedName>
    <definedName name="XRefCopy51" hidden="1">#REF!</definedName>
    <definedName name="XRefCopy52" localSheetId="6" hidden="1">#REF!</definedName>
    <definedName name="XRefCopy52" hidden="1">#REF!</definedName>
    <definedName name="XRefCopy52Row" localSheetId="6" hidden="1">#REF!</definedName>
    <definedName name="XRefCopy52Row" hidden="1">#REF!</definedName>
    <definedName name="XRefCopy53" localSheetId="6" hidden="1">#REF!</definedName>
    <definedName name="XRefCopy53" hidden="1">#REF!</definedName>
    <definedName name="XRefCopy53Row" localSheetId="6" hidden="1">#REF!</definedName>
    <definedName name="XRefCopy53Row" hidden="1">#REF!</definedName>
    <definedName name="XRefCopy54" localSheetId="6" hidden="1">#REF!</definedName>
    <definedName name="XRefCopy54" hidden="1">#REF!</definedName>
    <definedName name="XRefCopy54Row" localSheetId="6" hidden="1">#REF!</definedName>
    <definedName name="XRefCopy54Row" hidden="1">#REF!</definedName>
    <definedName name="XRefCopy55" localSheetId="6" hidden="1">#REF!</definedName>
    <definedName name="XRefCopy55" hidden="1">#REF!</definedName>
    <definedName name="XRefCopy55Row" localSheetId="6" hidden="1">#REF!</definedName>
    <definedName name="XRefCopy55Row" hidden="1">#REF!</definedName>
    <definedName name="XRefCopy56" localSheetId="6" hidden="1">#REF!</definedName>
    <definedName name="XRefCopy56" hidden="1">#REF!</definedName>
    <definedName name="XRefCopy56Row" localSheetId="6" hidden="1">#REF!</definedName>
    <definedName name="XRefCopy56Row" hidden="1">#REF!</definedName>
    <definedName name="XRefCopy57" localSheetId="6" hidden="1">#REF!</definedName>
    <definedName name="XRefCopy57" hidden="1">#REF!</definedName>
    <definedName name="XRefCopy57Row" localSheetId="6" hidden="1">#REF!</definedName>
    <definedName name="XRefCopy57Row" hidden="1">#REF!</definedName>
    <definedName name="XRefCopy5Row" localSheetId="6" hidden="1">#REF!</definedName>
    <definedName name="XRefCopy5Row" hidden="1">#REF!</definedName>
    <definedName name="XRefCopy6" localSheetId="6" hidden="1">#REF!</definedName>
    <definedName name="XRefCopy6" hidden="1">#REF!</definedName>
    <definedName name="XRefCopy6Row" localSheetId="6" hidden="1">#REF!</definedName>
    <definedName name="XRefCopy6Row" hidden="1">#REF!</definedName>
    <definedName name="XRefCopy7" localSheetId="6" hidden="1">#REF!</definedName>
    <definedName name="XRefCopy7" hidden="1">#REF!</definedName>
    <definedName name="XRefCopy7Row" localSheetId="6" hidden="1">#REF!</definedName>
    <definedName name="XRefCopy7Row" hidden="1">#REF!</definedName>
    <definedName name="XRefCopy8" localSheetId="6" hidden="1">#REF!</definedName>
    <definedName name="XRefCopy8" hidden="1">#REF!</definedName>
    <definedName name="XRefCopy8Row" localSheetId="6" hidden="1">#REF!</definedName>
    <definedName name="XRefCopy8Row" hidden="1">#REF!</definedName>
    <definedName name="XRefCopy9" localSheetId="6" hidden="1">#REF!</definedName>
    <definedName name="XRefCopy9" hidden="1">#REF!</definedName>
    <definedName name="XRefCopy9Row" localSheetId="6" hidden="1">#REF!</definedName>
    <definedName name="XRefCopy9Row" hidden="1">#REF!</definedName>
    <definedName name="XRefCopyRangeCount" hidden="1">3</definedName>
    <definedName name="XRefPaste1" localSheetId="6" hidden="1">#REF!</definedName>
    <definedName name="XRefPaste1" hidden="1">#REF!</definedName>
    <definedName name="XRefPaste10" localSheetId="6" hidden="1">#REF!</definedName>
    <definedName name="XRefPaste10" hidden="1">#REF!</definedName>
    <definedName name="XRefPaste11" localSheetId="6" hidden="1">#REF!</definedName>
    <definedName name="XRefPaste11" hidden="1">#REF!</definedName>
    <definedName name="XRefPaste1Row" localSheetId="6" hidden="1">#REF!</definedName>
    <definedName name="XRefPaste1Row" hidden="1">#REF!</definedName>
    <definedName name="XRefPaste2" localSheetId="6" hidden="1">#REF!</definedName>
    <definedName name="XRefPaste2" hidden="1">#REF!</definedName>
    <definedName name="XRefPaste24" localSheetId="6" hidden="1">#REF!</definedName>
    <definedName name="XRefPaste24" hidden="1">#REF!</definedName>
    <definedName name="XRefPaste24Row" localSheetId="6" hidden="1">#REF!</definedName>
    <definedName name="XRefPaste24Row" hidden="1">#REF!</definedName>
    <definedName name="XRefPaste25" localSheetId="6" hidden="1">#REF!</definedName>
    <definedName name="XRefPaste25" hidden="1">#REF!</definedName>
    <definedName name="XRefPaste25Row" localSheetId="6" hidden="1">#REF!</definedName>
    <definedName name="XRefPaste25Row" hidden="1">#REF!</definedName>
    <definedName name="XRefPaste26" localSheetId="6" hidden="1">#REF!</definedName>
    <definedName name="XRefPaste26" hidden="1">#REF!</definedName>
    <definedName name="XRefPaste26Row" localSheetId="6" hidden="1">#REF!</definedName>
    <definedName name="XRefPaste26Row" hidden="1">#REF!</definedName>
    <definedName name="XRefPaste27" localSheetId="6" hidden="1">#REF!</definedName>
    <definedName name="XRefPaste27" hidden="1">#REF!</definedName>
    <definedName name="XRefPaste27Row" localSheetId="6" hidden="1">#REF!</definedName>
    <definedName name="XRefPaste27Row" hidden="1">#REF!</definedName>
    <definedName name="XRefPaste28" localSheetId="6" hidden="1">#REF!</definedName>
    <definedName name="XRefPaste28" hidden="1">#REF!</definedName>
    <definedName name="XRefPaste28Row" localSheetId="6" hidden="1">#REF!</definedName>
    <definedName name="XRefPaste28Row" hidden="1">#REF!</definedName>
    <definedName name="XRefPaste29" localSheetId="6" hidden="1">#REF!</definedName>
    <definedName name="XRefPaste29" hidden="1">#REF!</definedName>
    <definedName name="XRefPaste29Row" localSheetId="6" hidden="1">#REF!</definedName>
    <definedName name="XRefPaste29Row" hidden="1">#REF!</definedName>
    <definedName name="XRefPaste2Row" localSheetId="6" hidden="1">#REF!</definedName>
    <definedName name="XRefPaste2Row" hidden="1">#REF!</definedName>
    <definedName name="XRefPaste3" localSheetId="6" hidden="1">#REF!</definedName>
    <definedName name="XRefPaste3" hidden="1">#REF!</definedName>
    <definedName name="XRefPaste3Row" localSheetId="6" hidden="1">#REF!</definedName>
    <definedName name="XRefPaste3Row" hidden="1">#REF!</definedName>
    <definedName name="XRefPaste4" localSheetId="6" hidden="1">#REF!</definedName>
    <definedName name="XRefPaste4" hidden="1">#REF!</definedName>
    <definedName name="XRefPaste4Row" localSheetId="6" hidden="1">#REF!</definedName>
    <definedName name="XRefPaste4Row" hidden="1">#REF!</definedName>
    <definedName name="XRefPaste5" localSheetId="6" hidden="1">#REF!</definedName>
    <definedName name="XRefPaste5" hidden="1">#REF!</definedName>
    <definedName name="XRefPaste6" localSheetId="6" hidden="1">#REF!</definedName>
    <definedName name="XRefPaste6" hidden="1">#REF!</definedName>
    <definedName name="XRefPaste6Row" localSheetId="6" hidden="1">#REF!</definedName>
    <definedName name="XRefPaste6Row" hidden="1">#REF!</definedName>
    <definedName name="XRefPaste7" localSheetId="6" hidden="1">#REF!</definedName>
    <definedName name="XRefPaste7" hidden="1">#REF!</definedName>
    <definedName name="XRefPaste8" localSheetId="6" hidden="1">#REF!</definedName>
    <definedName name="XRefPaste8" hidden="1">#REF!</definedName>
    <definedName name="XRefPaste9" localSheetId="6"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3" hidden="1">{"M1Print",#N/A,FALSE,"M1"}</definedName>
    <definedName name="xzxsfd" localSheetId="6" hidden="1">{"M1Print",#N/A,FALSE,"M1"}</definedName>
    <definedName name="xzxsfd" localSheetId="0" hidden="1">{"M1Print",#N/A,FALSE,"M1"}</definedName>
    <definedName name="xzxsfd" hidden="1">{"M1Print",#N/A,FALSE,"M1"}</definedName>
    <definedName name="y" hidden="1">{#N/A,#N/A,FALSE,"970301";#N/A,#N/A,FALSE,"970302";#N/A,#N/A,FALSE,"970303";#N/A,#N/A,FALSE,"970304";#N/A,#N/A,FALSE,"COM1";#N/A,#N/A,FALSE,"COM2"}</definedName>
    <definedName name="Z_1711050D_B2D8_42FB_A40D_E4BD90297684_.wvu.Cols" localSheetId="6" hidden="1">#REF!,#REF!,#REF!,#REF!,#REF!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6" hidden="1">#REF!</definedName>
    <definedName name="Z_E738B51C_56AE_4F9F_8D8A_36AD6137B90D_.wvu.Cols" hidden="1">#REF!</definedName>
    <definedName name="Z_E738B51C_56AE_4F9F_8D8A_36AD6137B90D_.wvu.PrintArea" localSheetId="6" hidden="1">#REF!</definedName>
    <definedName name="Z_E738B51C_56AE_4F9F_8D8A_36AD6137B90D_.wvu.PrintArea" hidden="1">#REF!</definedName>
    <definedName name="Z_E738B51C_56AE_4F9F_8D8A_36AD6137B90D_.wvu.PrintTitles" localSheetId="6" hidden="1">#REF!,#REF!</definedName>
    <definedName name="Z_E738B51C_56AE_4F9F_8D8A_36AD6137B90D_.wvu.PrintTitles" hidden="1">#REF!,#REF!</definedName>
    <definedName name="Z_E738B51C_56AE_4F9F_8D8A_36AD6137B90D_.wvu.Rows" localSheetId="6" hidden="1">#REF!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localSheetId="3" hidden="1">{"M1sPrint",#N/A,FALSE,"M1s"}</definedName>
    <definedName name="苛" localSheetId="6" hidden="1">{"M1sPrint",#N/A,FALSE,"M1s"}</definedName>
    <definedName name="苛" localSheetId="0" hidden="1">{"M1sPrint",#N/A,FALSE,"M1s"}</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2" i="4" l="1"/>
  <c r="F71" i="4"/>
  <c r="F69" i="4"/>
  <c r="F68" i="4"/>
  <c r="E72" i="4"/>
  <c r="D72" i="4"/>
  <c r="E71" i="4"/>
  <c r="D71" i="4"/>
  <c r="I16" i="86"/>
  <c r="I15" i="86"/>
  <c r="I14" i="86"/>
  <c r="I13" i="86"/>
  <c r="I12" i="86"/>
  <c r="G31" i="86"/>
  <c r="G30" i="86"/>
  <c r="G29" i="86"/>
  <c r="E31" i="86"/>
  <c r="E30" i="86"/>
  <c r="E29" i="86"/>
  <c r="E18" i="86"/>
  <c r="E16" i="86"/>
  <c r="E15" i="86"/>
  <c r="E14" i="86"/>
  <c r="E12" i="86"/>
  <c r="E13" i="86"/>
  <c r="K13" i="86"/>
  <c r="K14" i="86"/>
  <c r="K15" i="86"/>
  <c r="K16" i="86"/>
  <c r="K12" i="86"/>
  <c r="C18" i="52"/>
  <c r="G18" i="86"/>
  <c r="K45" i="4"/>
  <c r="K48" i="4" s="1"/>
  <c r="I45" i="4"/>
  <c r="G45" i="4"/>
  <c r="F45" i="4"/>
  <c r="H43" i="4"/>
  <c r="H39" i="4"/>
  <c r="J39" i="4" s="1"/>
  <c r="K37" i="4"/>
  <c r="F37" i="4"/>
  <c r="F49" i="4" l="1"/>
  <c r="L39" i="4"/>
  <c r="J43" i="4"/>
  <c r="L43" i="4" s="1"/>
  <c r="D16" i="4"/>
  <c r="D17" i="4"/>
  <c r="D18" i="4"/>
  <c r="D19" i="4"/>
  <c r="I18" i="86" l="1"/>
  <c r="M43" i="4"/>
  <c r="D15" i="4"/>
  <c r="F36" i="4" l="1"/>
  <c r="E66" i="4"/>
  <c r="D66" i="4"/>
  <c r="H42" i="4"/>
  <c r="J42" i="4" s="1"/>
  <c r="L42" i="4" s="1"/>
  <c r="M42" i="4" s="1"/>
  <c r="H41" i="4"/>
  <c r="J41" i="4" s="1"/>
  <c r="L41" i="4" s="1"/>
  <c r="M41" i="4" s="1"/>
  <c r="H40" i="4"/>
  <c r="B31" i="4"/>
  <c r="J40" i="4" l="1"/>
  <c r="H45" i="4"/>
  <c r="H48" i="4" s="1"/>
  <c r="E15" i="4"/>
  <c r="C17" i="52" s="1"/>
  <c r="B6" i="86"/>
  <c r="L40" i="4" l="1"/>
  <c r="M40" i="4" s="1"/>
  <c r="J45" i="4"/>
  <c r="C31" i="4"/>
  <c r="O43" i="4" s="1"/>
  <c r="B6" i="52"/>
  <c r="D68" i="4" l="1"/>
  <c r="L45" i="4"/>
  <c r="J48" i="4"/>
  <c r="M39" i="4"/>
  <c r="O39" i="4" s="1"/>
  <c r="O42" i="4"/>
  <c r="O40" i="4"/>
  <c r="O41" i="4"/>
  <c r="M45" i="4" l="1"/>
  <c r="O45" i="4" s="1"/>
  <c r="R34" i="42"/>
  <c r="R33" i="42"/>
  <c r="F102" i="42"/>
  <c r="F101" i="42"/>
  <c r="F100" i="42"/>
  <c r="F99" i="42"/>
  <c r="F98" i="42"/>
  <c r="F97" i="42"/>
  <c r="F96" i="42"/>
  <c r="F95" i="42"/>
  <c r="F94" i="42"/>
  <c r="F93" i="42"/>
  <c r="R32" i="42"/>
  <c r="R31" i="42"/>
  <c r="R28" i="42" l="1"/>
  <c r="R22" i="42"/>
  <c r="R27" i="42"/>
  <c r="R21" i="42"/>
  <c r="F81" i="42" l="1"/>
  <c r="F19" i="42"/>
  <c r="F18" i="42"/>
  <c r="F17" i="42"/>
  <c r="F16" i="42"/>
  <c r="F15" i="42"/>
  <c r="F14" i="42"/>
  <c r="F13" i="42"/>
  <c r="F12" i="42"/>
  <c r="F11" i="42"/>
  <c r="F10" i="42"/>
  <c r="R30" i="42"/>
  <c r="R29" i="42"/>
  <c r="R26" i="42"/>
  <c r="R25" i="42"/>
  <c r="R24" i="42" l="1"/>
  <c r="R23" i="42"/>
  <c r="R20" i="42"/>
  <c r="R19" i="42"/>
  <c r="R18" i="42"/>
  <c r="R17" i="42"/>
  <c r="R16" i="42"/>
  <c r="R15" i="42"/>
  <c r="F82" i="42" l="1"/>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alcChain>
</file>

<file path=xl/sharedStrings.xml><?xml version="1.0" encoding="utf-8"?>
<sst xmlns="http://schemas.openxmlformats.org/spreadsheetml/2006/main" count="772" uniqueCount="460">
  <si>
    <t>V6 SWP</t>
    <phoneticPr fontId="25" type="noConversion"/>
  </si>
  <si>
    <r>
      <rPr>
        <b/>
        <sz val="14"/>
        <color rgb="FF000000"/>
        <rFont val="微软雅黑"/>
        <family val="2"/>
        <charset val="134"/>
      </rPr>
      <t>该科目涉及</t>
    </r>
    <r>
      <rPr>
        <b/>
        <sz val="14"/>
        <color rgb="FF000000"/>
        <rFont val="Arial"/>
        <family val="2"/>
      </rPr>
      <t>OSP</t>
    </r>
    <r>
      <rPr>
        <b/>
        <sz val="14"/>
        <color rgb="FF000000"/>
        <rFont val="微软雅黑"/>
        <family val="2"/>
      </rPr>
      <t>底稿及函证底稿可参考此链接</t>
    </r>
  </si>
  <si>
    <t>OSP N SWP 应付账款账龄复核 202YMMDD XYZ公司.xlsx</t>
  </si>
  <si>
    <t>函证 SWP 负债类科目 202YMMDD XYZ公司.xlsx</t>
  </si>
  <si>
    <t>N.00</t>
    <phoneticPr fontId="25" type="noConversion"/>
  </si>
  <si>
    <r>
      <t xml:space="preserve">N.00 </t>
    </r>
    <r>
      <rPr>
        <b/>
        <sz val="10"/>
        <color rgb="FF000000"/>
        <rFont val="微软雅黑"/>
        <family val="2"/>
      </rPr>
      <t>应付账款引导表（认定：</t>
    </r>
    <r>
      <rPr>
        <b/>
        <sz val="10"/>
        <color rgb="FF000000"/>
        <rFont val="Arial"/>
        <family val="2"/>
      </rPr>
      <t>E</t>
    </r>
    <r>
      <rPr>
        <b/>
        <sz val="10"/>
        <color rgb="FF000000"/>
        <rFont val="微软雅黑"/>
        <family val="2"/>
      </rPr>
      <t>、</t>
    </r>
    <r>
      <rPr>
        <b/>
        <sz val="10"/>
        <color rgb="FF000000"/>
        <rFont val="Arial"/>
        <family val="2"/>
      </rPr>
      <t>C</t>
    </r>
    <r>
      <rPr>
        <b/>
        <sz val="10"/>
        <color rgb="FF000000"/>
        <rFont val="微软雅黑"/>
        <family val="2"/>
      </rPr>
      <t>）</t>
    </r>
    <phoneticPr fontId="25" type="noConversion"/>
  </si>
  <si>
    <r>
      <rPr>
        <b/>
        <sz val="10"/>
        <rFont val="微软雅黑"/>
        <family val="2"/>
      </rPr>
      <t>程序页</t>
    </r>
    <phoneticPr fontId="24" type="noConversion"/>
  </si>
  <si>
    <r>
      <rPr>
        <b/>
        <sz val="10"/>
        <rFont val="微软雅黑"/>
        <family val="2"/>
      </rPr>
      <t>执行</t>
    </r>
  </si>
  <si>
    <r>
      <rPr>
        <b/>
        <sz val="10"/>
        <rFont val="微软雅黑"/>
        <family val="2"/>
      </rPr>
      <t>不执行的原因</t>
    </r>
  </si>
  <si>
    <r>
      <rPr>
        <b/>
        <sz val="10"/>
        <rFont val="微软雅黑"/>
        <family val="2"/>
      </rPr>
      <t>注意事项</t>
    </r>
    <phoneticPr fontId="24" type="noConversion"/>
  </si>
  <si>
    <r>
      <rPr>
        <sz val="10"/>
        <color theme="1"/>
        <rFont val="微软雅黑"/>
        <family val="2"/>
      </rPr>
      <t>我们将两期金额进行比对，对那些变动大于范围或异常的事项，获得管理层解释并对解释是否合理进行调查并获取相关的支持性文件。</t>
    </r>
    <phoneticPr fontId="25" type="noConversion"/>
  </si>
  <si>
    <t>N.00 Lead sheet</t>
    <phoneticPr fontId="25" type="noConversion"/>
  </si>
  <si>
    <r>
      <rPr>
        <sz val="10"/>
        <rFont val="微软雅黑"/>
        <family val="2"/>
      </rPr>
      <t>如果项目仅对部分总账科目执行程序，需评估未执行程序的总账科目加总金额是否大于</t>
    </r>
    <r>
      <rPr>
        <sz val="10"/>
        <rFont val="Arial"/>
        <family val="2"/>
      </rPr>
      <t>TE</t>
    </r>
    <r>
      <rPr>
        <sz val="10"/>
        <rFont val="微软雅黑"/>
        <family val="2"/>
      </rPr>
      <t>，如大于</t>
    </r>
    <r>
      <rPr>
        <sz val="10"/>
        <rFont val="Arial"/>
        <family val="2"/>
      </rPr>
      <t>TE</t>
    </r>
    <r>
      <rPr>
        <sz val="10"/>
        <rFont val="微软雅黑"/>
        <family val="2"/>
      </rPr>
      <t>，请项目组执行额外的测试程序。</t>
    </r>
  </si>
  <si>
    <t>N.01</t>
  </si>
  <si>
    <r>
      <t xml:space="preserve">N.01 </t>
    </r>
    <r>
      <rPr>
        <b/>
        <sz val="10"/>
        <rFont val="微软雅黑"/>
        <family val="2"/>
      </rPr>
      <t>将明细账与总账核对一致（认定：</t>
    </r>
    <r>
      <rPr>
        <b/>
        <sz val="10"/>
        <rFont val="Arial"/>
        <family val="2"/>
      </rPr>
      <t>E</t>
    </r>
    <r>
      <rPr>
        <b/>
        <sz val="10"/>
        <rFont val="微软雅黑"/>
        <family val="2"/>
      </rPr>
      <t>、</t>
    </r>
    <r>
      <rPr>
        <b/>
        <sz val="10"/>
        <rFont val="Arial"/>
        <family val="2"/>
      </rPr>
      <t>C</t>
    </r>
    <r>
      <rPr>
        <b/>
        <sz val="10"/>
        <rFont val="微软雅黑"/>
        <family val="2"/>
      </rPr>
      <t>、</t>
    </r>
    <r>
      <rPr>
        <b/>
        <sz val="10"/>
        <rFont val="Arial"/>
        <family val="2"/>
      </rPr>
      <t>V</t>
    </r>
    <r>
      <rPr>
        <b/>
        <sz val="10"/>
        <rFont val="微软雅黑"/>
        <family val="2"/>
      </rPr>
      <t>）</t>
    </r>
    <phoneticPr fontId="25" type="noConversion"/>
  </si>
  <si>
    <r>
      <rPr>
        <b/>
        <sz val="10"/>
        <rFont val="微软雅黑"/>
        <family val="2"/>
      </rPr>
      <t>程序页</t>
    </r>
    <phoneticPr fontId="25" type="noConversion"/>
  </si>
  <si>
    <r>
      <rPr>
        <b/>
        <sz val="10"/>
        <rFont val="微软雅黑"/>
        <family val="2"/>
      </rPr>
      <t>注意事项</t>
    </r>
    <phoneticPr fontId="25" type="noConversion"/>
  </si>
  <si>
    <r>
      <rPr>
        <sz val="10"/>
        <color rgb="FF000000"/>
        <rFont val="微软雅黑"/>
        <family val="2"/>
      </rPr>
      <t>获取应付账款明细账（列示至各供应商的余额）</t>
    </r>
    <r>
      <rPr>
        <sz val="10"/>
        <color rgb="FFFF0000"/>
        <rFont val="Arial"/>
        <family val="2"/>
      </rPr>
      <t>N.01.01</t>
    </r>
    <r>
      <rPr>
        <sz val="10"/>
        <color rgb="FFFF0000"/>
        <rFont val="微软雅黑"/>
        <family val="2"/>
      </rPr>
      <t>明细账</t>
    </r>
    <r>
      <rPr>
        <sz val="10"/>
        <color rgb="FFFF0000"/>
        <rFont val="Arial"/>
        <family val="2"/>
      </rPr>
      <t>BKD</t>
    </r>
    <r>
      <rPr>
        <sz val="10"/>
        <color rgb="FF000000"/>
        <rFont val="微软雅黑"/>
        <family val="2"/>
      </rPr>
      <t>，与总账核对，如差异</t>
    </r>
    <r>
      <rPr>
        <b/>
        <sz val="10"/>
        <color rgb="FFFF0000"/>
        <rFont val="微软雅黑"/>
        <family val="2"/>
      </rPr>
      <t>大于</t>
    </r>
    <r>
      <rPr>
        <b/>
        <sz val="10"/>
        <color rgb="FFFF0000"/>
        <rFont val="Arial"/>
        <family val="2"/>
      </rPr>
      <t>SAD</t>
    </r>
    <r>
      <rPr>
        <sz val="10"/>
        <color rgb="FF000000"/>
        <rFont val="微软雅黑"/>
        <family val="2"/>
      </rPr>
      <t>，获取差异差异调节表并对调节项金额大于测试阈值及性质异常的项目执行进一步测试。</t>
    </r>
  </si>
  <si>
    <r>
      <t xml:space="preserve">N.01 </t>
    </r>
    <r>
      <rPr>
        <b/>
        <u/>
        <sz val="10"/>
        <color theme="4"/>
        <rFont val="微软雅黑"/>
        <family val="2"/>
      </rPr>
      <t>明细账与总账核对</t>
    </r>
    <phoneticPr fontId="25" type="noConversion"/>
  </si>
  <si>
    <r>
      <rPr>
        <sz val="10"/>
        <color theme="1"/>
        <rFont val="微软雅黑"/>
        <family val="2"/>
      </rPr>
      <t>对应付账款外币余额，我们使用第三方汇率</t>
    </r>
    <r>
      <rPr>
        <sz val="10"/>
        <color theme="1"/>
        <rFont val="Arial"/>
        <family val="2"/>
      </rPr>
      <t>(</t>
    </r>
    <r>
      <rPr>
        <sz val="10"/>
        <color theme="1"/>
        <rFont val="微软雅黑"/>
        <family val="2"/>
      </rPr>
      <t>独立于被审计单位获得汇率</t>
    </r>
    <r>
      <rPr>
        <sz val="10"/>
        <color theme="1"/>
        <rFont val="Arial"/>
        <family val="2"/>
      </rPr>
      <t>)</t>
    </r>
    <r>
      <rPr>
        <sz val="10"/>
        <color theme="1"/>
        <rFont val="微软雅黑"/>
        <family val="2"/>
      </rPr>
      <t>重新计算，并将重新计算的余额与被审计单位的余额进行比较。</t>
    </r>
  </si>
  <si>
    <t>N.02</t>
  </si>
  <si>
    <r>
      <t xml:space="preserve">N.02 </t>
    </r>
    <r>
      <rPr>
        <b/>
        <sz val="10"/>
        <color rgb="FF000000"/>
        <rFont val="微软雅黑"/>
        <family val="2"/>
      </rPr>
      <t>异常项复核（认定：</t>
    </r>
    <r>
      <rPr>
        <b/>
        <sz val="10"/>
        <color rgb="FF000000"/>
        <rFont val="Arial"/>
        <family val="2"/>
      </rPr>
      <t>E</t>
    </r>
    <r>
      <rPr>
        <b/>
        <sz val="10"/>
        <color rgb="FF000000"/>
        <rFont val="微软雅黑"/>
        <family val="2"/>
      </rPr>
      <t>、</t>
    </r>
    <r>
      <rPr>
        <b/>
        <sz val="10"/>
        <color rgb="FF000000"/>
        <rFont val="Arial"/>
        <family val="2"/>
      </rPr>
      <t>C</t>
    </r>
    <r>
      <rPr>
        <b/>
        <sz val="10"/>
        <color rgb="FF000000"/>
        <rFont val="微软雅黑"/>
        <family val="2"/>
      </rPr>
      <t>、</t>
    </r>
    <r>
      <rPr>
        <b/>
        <sz val="10"/>
        <color rgb="FF000000"/>
        <rFont val="Arial"/>
        <family val="2"/>
      </rPr>
      <t>V</t>
    </r>
    <r>
      <rPr>
        <b/>
        <sz val="10"/>
        <color rgb="FF000000"/>
        <rFont val="微软雅黑"/>
        <family val="2"/>
      </rPr>
      <t>、</t>
    </r>
    <r>
      <rPr>
        <b/>
        <sz val="10"/>
        <color rgb="FF000000"/>
        <rFont val="Arial"/>
        <family val="2"/>
      </rPr>
      <t>R&amp;O</t>
    </r>
    <r>
      <rPr>
        <b/>
        <sz val="10"/>
        <color rgb="FF000000"/>
        <rFont val="微软雅黑"/>
        <family val="2"/>
      </rPr>
      <t>、</t>
    </r>
    <r>
      <rPr>
        <b/>
        <sz val="10"/>
        <color rgb="FF000000"/>
        <rFont val="Arial"/>
        <family val="2"/>
      </rPr>
      <t>P&amp;D</t>
    </r>
    <r>
      <rPr>
        <b/>
        <sz val="10"/>
        <color rgb="FF000000"/>
        <rFont val="微软雅黑"/>
        <family val="2"/>
      </rPr>
      <t>）</t>
    </r>
  </si>
  <si>
    <r>
      <rPr>
        <sz val="10"/>
        <color theme="1"/>
        <rFont val="微软雅黑"/>
        <family val="2"/>
      </rPr>
      <t>对（单独或合计）大于测试阈值的借方余额，获取记账分录并检查对应支持性文件，确定对方科目账务处理是否正确，应付账款借方余额是否有必要根据名义金额进行重分类调整。</t>
    </r>
  </si>
  <si>
    <r>
      <t xml:space="preserve">N.02 </t>
    </r>
    <r>
      <rPr>
        <b/>
        <u/>
        <sz val="10"/>
        <color theme="4"/>
        <rFont val="微软雅黑"/>
        <family val="2"/>
      </rPr>
      <t>异常项复核</t>
    </r>
    <phoneticPr fontId="25" type="noConversion"/>
  </si>
  <si>
    <r>
      <rPr>
        <sz val="10"/>
        <color rgb="FF000000"/>
        <rFont val="微软雅黑"/>
        <family val="2"/>
      </rPr>
      <t>根据应付账款明细账，</t>
    </r>
    <r>
      <rPr>
        <sz val="10"/>
        <color rgb="FFFF0000"/>
        <rFont val="微软雅黑"/>
        <family val="2"/>
      </rPr>
      <t>我们识别金额、供应商或其他被认为异常或预期外的项目（例如，关联方、员工、客户、严重逾期余额）</t>
    </r>
    <r>
      <rPr>
        <sz val="10"/>
        <color rgb="FF000000"/>
        <rFont val="微软雅黑"/>
        <family val="2"/>
      </rPr>
      <t>，选择项目并记录做出此决定的依据；我们获取这些项目的支持性证据并记录检查结果。</t>
    </r>
    <phoneticPr fontId="25" type="noConversion"/>
  </si>
  <si>
    <t>N.03</t>
  </si>
  <si>
    <r>
      <t xml:space="preserve">N.03 </t>
    </r>
    <r>
      <rPr>
        <b/>
        <sz val="10"/>
        <rFont val="微软雅黑"/>
        <family val="2"/>
      </rPr>
      <t>应付账款截止测试（认定：</t>
    </r>
    <r>
      <rPr>
        <b/>
        <sz val="10"/>
        <rFont val="Arial"/>
        <family val="2"/>
      </rPr>
      <t>E</t>
    </r>
    <r>
      <rPr>
        <b/>
        <sz val="10"/>
        <rFont val="微软雅黑"/>
        <family val="2"/>
      </rPr>
      <t>、</t>
    </r>
    <r>
      <rPr>
        <b/>
        <sz val="10"/>
        <rFont val="Arial"/>
        <family val="2"/>
      </rPr>
      <t>C</t>
    </r>
    <r>
      <rPr>
        <b/>
        <sz val="10"/>
        <rFont val="微软雅黑"/>
        <family val="2"/>
      </rPr>
      <t>、</t>
    </r>
    <r>
      <rPr>
        <b/>
        <sz val="10"/>
        <rFont val="Arial"/>
        <family val="2"/>
      </rPr>
      <t>R&amp;O</t>
    </r>
    <r>
      <rPr>
        <b/>
        <sz val="10"/>
        <rFont val="微软雅黑"/>
        <family val="2"/>
      </rPr>
      <t>）</t>
    </r>
    <phoneticPr fontId="25" type="noConversion"/>
  </si>
  <si>
    <r>
      <rPr>
        <sz val="10"/>
        <color rgb="FF000000"/>
        <rFont val="Arial"/>
        <family val="2"/>
      </rPr>
      <t xml:space="preserve">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t>
    </r>
    <r>
      <rPr>
        <b/>
        <sz val="10"/>
        <color rgb="FFFF0000"/>
        <rFont val="Arial"/>
        <family val="2"/>
      </rPr>
      <t>IPE 考虑：</t>
    </r>
  </si>
  <si>
    <r>
      <t xml:space="preserve">N.03 </t>
    </r>
    <r>
      <rPr>
        <b/>
        <u/>
        <sz val="10"/>
        <color theme="4"/>
        <rFont val="微软雅黑"/>
        <family val="2"/>
      </rPr>
      <t>截止测试</t>
    </r>
    <phoneticPr fontId="25" type="noConversion"/>
  </si>
  <si>
    <r>
      <rPr>
        <sz val="10"/>
        <color rgb="FFFF0000"/>
        <rFont val="微软雅黑"/>
        <family val="2"/>
      </rPr>
      <t>若我们已从其他程序中获得了充分适当的审计证据，以应对应付账款截止风险时，无需执行本程序，并交叉索引至相关底稿；</t>
    </r>
  </si>
  <si>
    <t>N.04</t>
  </si>
  <si>
    <r>
      <t>N.04</t>
    </r>
    <r>
      <rPr>
        <b/>
        <sz val="10"/>
        <rFont val="微软雅黑"/>
        <family val="2"/>
      </rPr>
      <t>寻找未入账负债（认定：</t>
    </r>
    <r>
      <rPr>
        <b/>
        <sz val="10"/>
        <rFont val="Arial"/>
        <family val="2"/>
      </rPr>
      <t>C</t>
    </r>
    <r>
      <rPr>
        <b/>
        <sz val="10"/>
        <rFont val="微软雅黑"/>
        <family val="2"/>
      </rPr>
      <t>、</t>
    </r>
    <r>
      <rPr>
        <b/>
        <sz val="10"/>
        <rFont val="Arial"/>
        <family val="2"/>
      </rPr>
      <t>V</t>
    </r>
    <r>
      <rPr>
        <b/>
        <sz val="10"/>
        <rFont val="微软雅黑"/>
        <family val="2"/>
      </rPr>
      <t>）</t>
    </r>
    <phoneticPr fontId="25" type="noConversion"/>
  </si>
  <si>
    <r>
      <rPr>
        <sz val="10"/>
        <color rgb="FF000000"/>
        <rFont val="微软雅黑"/>
        <family val="2"/>
      </rPr>
      <t>通过寻找未入账的应付账款，验证资产负债表日应付账款的计价和完整性。</t>
    </r>
  </si>
  <si>
    <r>
      <t xml:space="preserve">N.04 </t>
    </r>
    <r>
      <rPr>
        <b/>
        <u/>
        <sz val="10"/>
        <color theme="4"/>
        <rFont val="微软雅黑"/>
        <family val="2"/>
      </rPr>
      <t>寻找未入账负债</t>
    </r>
    <phoneticPr fontId="25" type="noConversion"/>
  </si>
  <si>
    <t>标准工作底稿: N SWP 应付账款</t>
    <phoneticPr fontId="39"/>
  </si>
  <si>
    <t>客户名称</t>
    <phoneticPr fontId="39"/>
  </si>
  <si>
    <r>
      <t xml:space="preserve">此工作底稿需要与以下 Canvas PSP guided workflow forms一起使用：
</t>
    </r>
    <r>
      <rPr>
        <b/>
        <sz val="12"/>
        <color rgb="FFFF0000"/>
        <rFont val="Arial"/>
        <family val="2"/>
      </rPr>
      <t xml:space="preserve">    </t>
    </r>
    <r>
      <rPr>
        <b/>
        <sz val="12"/>
        <color rgb="FF000000"/>
        <rFont val="Arial"/>
        <family val="2"/>
      </rPr>
      <t xml:space="preserve"> •N.00应付账款引导表
     •N.01将明细账与总账核对一致
     •N.02异常项复核
     •N.03应付账款截止测试
     •N.04寻找未入账负债
     •账户结论</t>
    </r>
  </si>
  <si>
    <t>期末</t>
    <phoneticPr fontId="28" type="noConversion"/>
  </si>
  <si>
    <t>分析日期</t>
    <phoneticPr fontId="39"/>
  </si>
  <si>
    <t>可容忍误差（TE）</t>
    <phoneticPr fontId="28" type="noConversion"/>
  </si>
  <si>
    <t>名义金额（SAD）</t>
    <phoneticPr fontId="28" type="noConversion"/>
  </si>
  <si>
    <t>适用会计准则</t>
    <phoneticPr fontId="28" type="noConversion"/>
  </si>
  <si>
    <t>记账本位币</t>
    <phoneticPr fontId="28" type="noConversion"/>
  </si>
  <si>
    <t>N.00 编制引导表并比较余额</t>
    <phoneticPr fontId="39"/>
  </si>
  <si>
    <t>返回汇总页</t>
    <phoneticPr fontId="25" type="noConversion"/>
  </si>
  <si>
    <t>Threshold(s)</t>
  </si>
  <si>
    <t>安永标记</t>
  </si>
  <si>
    <t>认定</t>
    <phoneticPr fontId="25" type="noConversion"/>
  </si>
  <si>
    <t>CRA</t>
  </si>
  <si>
    <r>
      <t>各项认定</t>
    </r>
    <r>
      <rPr>
        <b/>
        <vertAlign val="superscript"/>
        <sz val="10"/>
        <color rgb="FFFF0000"/>
        <rFont val="Arial"/>
        <family val="2"/>
      </rPr>
      <t>1</t>
    </r>
    <phoneticPr fontId="25" type="noConversion"/>
  </si>
  <si>
    <r>
      <t xml:space="preserve">所有相关认定 </t>
    </r>
    <r>
      <rPr>
        <b/>
        <vertAlign val="superscript"/>
        <sz val="10"/>
        <color rgb="FFFF0000"/>
        <rFont val="Arial"/>
        <family val="2"/>
      </rPr>
      <t>2</t>
    </r>
    <phoneticPr fontId="25" type="noConversion"/>
  </si>
  <si>
    <t>TB</t>
  </si>
  <si>
    <t>已与科目余额表核对无误</t>
  </si>
  <si>
    <t>完整性 (C)</t>
  </si>
  <si>
    <t>PY</t>
  </si>
  <si>
    <t>与上年最终审定数核对一致</t>
  </si>
  <si>
    <t>存在性 (E)</t>
    <phoneticPr fontId="25" type="noConversion"/>
  </si>
  <si>
    <t>A3</t>
  </si>
  <si>
    <t>与未审数、审定数核对一致</t>
  </si>
  <si>
    <t>计价（V）</t>
  </si>
  <si>
    <t>A5</t>
  </si>
  <si>
    <t>与审计调整核对一致</t>
  </si>
  <si>
    <t>权利和义务（R&amp;O）</t>
    <phoneticPr fontId="25" type="noConversion"/>
  </si>
  <si>
    <t>FS</t>
  </si>
  <si>
    <t>与FS.0x与财务报表核对无误</t>
  </si>
  <si>
    <t>列报和披露（P&amp;D）</t>
    <phoneticPr fontId="25" type="noConversion"/>
  </si>
  <si>
    <t>w</t>
  </si>
  <si>
    <t>低于SAD的金额——放弃进一步调查</t>
  </si>
  <si>
    <t xml:space="preserve">1 各项认定的测试阈值，是根据EY GAM SUBSTANTIVE DESIGN 2.2.1 </t>
  </si>
  <si>
    <t>Rx</t>
  </si>
  <si>
    <t>重新计算，无异常</t>
  </si>
  <si>
    <t>中的示例测试阈值（用占TE的百分比表示）在相应风险等级（CRA）区间的上限计算得出的。</t>
  </si>
  <si>
    <t>m</t>
  </si>
  <si>
    <t>余额/活动不符合测试范围–无需进一步调查</t>
  </si>
  <si>
    <t>除负债/费用类别账户的完整性认定应当使用负债/费用账户表之外，其他类别账户和认定均可使用资产/收入账户表。</t>
  </si>
  <si>
    <t>SL</t>
  </si>
  <si>
    <t>已与明细账核对无误</t>
  </si>
  <si>
    <t>2 所有相关认定的测试阈值，是所有有效认定对应之测试阈值的最小值。我们在 Lead中使用该测试阈值：（a）作为选取总账账户进行测试的起点；（b）作为（需要进一步调查的）金额波动范围的起点。</t>
  </si>
  <si>
    <t>在下文中描述我们对应付账款在此期间的相关账户余额和相关波动的预期，以及我们对这些预期的依据和理由。</t>
  </si>
  <si>
    <t>波动范围</t>
    <phoneticPr fontId="28" type="noConversion"/>
  </si>
  <si>
    <t>波动幅度 (%):</t>
    <phoneticPr fontId="28" type="noConversion"/>
  </si>
  <si>
    <t>|------- TB -------|</t>
  </si>
  <si>
    <t>|------- PY -------|</t>
    <phoneticPr fontId="44"/>
  </si>
  <si>
    <t>表1</t>
    <phoneticPr fontId="25" type="noConversion"/>
  </si>
  <si>
    <t>账套名称/账套编码</t>
  </si>
  <si>
    <t>总账科目编码</t>
    <phoneticPr fontId="25" type="noConversion"/>
  </si>
  <si>
    <t>科目名称</t>
    <phoneticPr fontId="25" type="noConversion"/>
  </si>
  <si>
    <t>索引号</t>
    <phoneticPr fontId="25" type="noConversion"/>
  </si>
  <si>
    <t>本期和上期期末余额</t>
  </si>
  <si>
    <t>Notes</t>
  </si>
  <si>
    <t>基于波动幅度判断，是否进一步调查？</t>
  </si>
  <si>
    <t>基于定性考虑判断，是否进一步调查？</t>
  </si>
  <si>
    <t>期末账面数</t>
    <phoneticPr fontId="25" type="noConversion"/>
  </si>
  <si>
    <t>账表调整数</t>
    <phoneticPr fontId="25" type="noConversion"/>
  </si>
  <si>
    <t>期末未审数</t>
  </si>
  <si>
    <t>审计调整数</t>
  </si>
  <si>
    <t>期末审定数</t>
  </si>
  <si>
    <t>上期末审定数</t>
    <phoneticPr fontId="25" type="noConversion"/>
  </si>
  <si>
    <t>变动金额</t>
  </si>
  <si>
    <t>变动%</t>
  </si>
  <si>
    <t>N.01/</t>
    <phoneticPr fontId="25" type="noConversion"/>
  </si>
  <si>
    <t>[A]</t>
    <phoneticPr fontId="25" type="noConversion"/>
  </si>
  <si>
    <t>合计</t>
    <phoneticPr fontId="25" type="noConversion"/>
  </si>
  <si>
    <t>RX</t>
    <phoneticPr fontId="25" type="noConversion"/>
  </si>
  <si>
    <t>Diff</t>
  </si>
  <si>
    <t>未执行程序的总账科目加总金额是否大于TE</t>
  </si>
  <si>
    <t>Note2</t>
  </si>
  <si>
    <t>波动说明</t>
  </si>
  <si>
    <r>
      <rPr>
        <b/>
        <sz val="10"/>
        <color rgb="FFFF0000"/>
        <rFont val="Arial"/>
        <family val="2"/>
      </rPr>
      <t>Note2：</t>
    </r>
    <r>
      <rPr>
        <sz val="10"/>
        <color rgb="FF000000"/>
        <rFont val="Arial"/>
        <family val="2"/>
      </rPr>
      <t>如果项目仅对部分总账科目执行程序，需评估未执行程序的总账科目加总金额是否大于TE，如大于TE，请项目组执行额外的测试程序。</t>
    </r>
    <r>
      <rPr>
        <b/>
        <sz val="10"/>
        <color rgb="FFFF0000"/>
        <rFont val="Arial"/>
        <family val="2"/>
      </rPr>
      <t>(如不适用请删除）</t>
    </r>
  </si>
  <si>
    <r>
      <rPr>
        <b/>
        <sz val="10"/>
        <color rgb="FFFF0000"/>
        <rFont val="Arial"/>
        <family val="2"/>
      </rPr>
      <t>表2</t>
    </r>
    <r>
      <rPr>
        <b/>
        <sz val="10"/>
        <rFont val="Arial"/>
        <family val="2"/>
      </rPr>
      <t xml:space="preserve"> 应付账款周转率分析</t>
    </r>
    <phoneticPr fontId="25" type="noConversion"/>
  </si>
  <si>
    <t>应付账款平均余额 a</t>
  </si>
  <si>
    <t>销售成本 b</t>
  </si>
  <si>
    <t>/UGP_Lead</t>
    <phoneticPr fontId="25" type="noConversion"/>
  </si>
  <si>
    <t>周转天数 c=a/b*365</t>
  </si>
  <si>
    <t>周转率 d=b/a</t>
  </si>
  <si>
    <t>分析:</t>
  </si>
  <si>
    <t>在此输入分析。</t>
  </si>
  <si>
    <r>
      <t>调整汇总表</t>
    </r>
    <r>
      <rPr>
        <b/>
        <sz val="10"/>
        <color rgb="FFFF0000"/>
        <rFont val="Arial"/>
        <family val="2"/>
      </rPr>
      <t>（如不适用请删除）</t>
    </r>
    <phoneticPr fontId="25" type="noConversion"/>
  </si>
  <si>
    <t>调整类型</t>
    <phoneticPr fontId="25" type="noConversion"/>
  </si>
  <si>
    <r>
      <rPr>
        <b/>
        <sz val="14"/>
        <color theme="0"/>
        <rFont val="微软雅黑"/>
        <family val="2"/>
      </rPr>
      <t>标准工作底稿</t>
    </r>
    <r>
      <rPr>
        <b/>
        <sz val="14"/>
        <color theme="0"/>
        <rFont val="Arial"/>
        <family val="2"/>
      </rPr>
      <t xml:space="preserve">: N SWP </t>
    </r>
    <r>
      <rPr>
        <b/>
        <sz val="14"/>
        <color theme="0"/>
        <rFont val="微软雅黑"/>
        <family val="2"/>
      </rPr>
      <t>应付账款</t>
    </r>
    <phoneticPr fontId="48" type="noConversion"/>
  </si>
  <si>
    <r>
      <t xml:space="preserve">N.01: </t>
    </r>
    <r>
      <rPr>
        <b/>
        <sz val="12"/>
        <color rgb="FF000000"/>
        <rFont val="微软雅黑"/>
        <family val="2"/>
      </rPr>
      <t>明细账与总账核对并执行细节测试</t>
    </r>
    <phoneticPr fontId="25" type="noConversion"/>
  </si>
  <si>
    <r>
      <rPr>
        <u/>
        <sz val="11"/>
        <color rgb="FFFF0000"/>
        <rFont val="微软雅黑"/>
        <family val="2"/>
      </rPr>
      <t>返回汇总页</t>
    </r>
    <phoneticPr fontId="25" type="noConversion"/>
  </si>
  <si>
    <r>
      <rPr>
        <b/>
        <sz val="10"/>
        <color theme="1"/>
        <rFont val="微软雅黑"/>
        <family val="2"/>
      </rPr>
      <t>用于识别总账和明细账之间差异的测试阈值</t>
    </r>
    <phoneticPr fontId="25" type="noConversion"/>
  </si>
  <si>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将明细账与总账核对一致。</t>
    </r>
    <phoneticPr fontId="25" type="noConversion"/>
  </si>
  <si>
    <t>|------- Rx -------|</t>
  </si>
  <si>
    <r>
      <rPr>
        <b/>
        <sz val="10"/>
        <rFont val="微软雅黑"/>
        <family val="2"/>
      </rPr>
      <t>账套名称</t>
    </r>
    <r>
      <rPr>
        <b/>
        <sz val="10"/>
        <rFont val="Arial"/>
        <family val="2"/>
      </rPr>
      <t>/</t>
    </r>
    <r>
      <rPr>
        <b/>
        <sz val="10"/>
        <rFont val="微软雅黑"/>
        <family val="2"/>
      </rPr>
      <t>账套编码</t>
    </r>
    <phoneticPr fontId="25" type="noConversion"/>
  </si>
  <si>
    <r>
      <rPr>
        <b/>
        <sz val="10"/>
        <rFont val="微软雅黑"/>
        <family val="2"/>
      </rPr>
      <t>总账科目编码</t>
    </r>
    <phoneticPr fontId="25" type="noConversion"/>
  </si>
  <si>
    <r>
      <rPr>
        <b/>
        <sz val="10"/>
        <rFont val="微软雅黑"/>
        <family val="2"/>
      </rPr>
      <t>科目名称</t>
    </r>
    <phoneticPr fontId="25" type="noConversion"/>
  </si>
  <si>
    <r>
      <t>Lead</t>
    </r>
    <r>
      <rPr>
        <b/>
        <sz val="10"/>
        <rFont val="微软雅黑"/>
        <family val="2"/>
      </rPr>
      <t>页余额</t>
    </r>
    <phoneticPr fontId="25" type="noConversion"/>
  </si>
  <si>
    <r>
      <rPr>
        <b/>
        <sz val="10"/>
        <rFont val="微软雅黑"/>
        <family val="2"/>
      </rPr>
      <t>索引号</t>
    </r>
    <phoneticPr fontId="48" type="noConversion"/>
  </si>
  <si>
    <r>
      <rPr>
        <b/>
        <sz val="10"/>
        <rFont val="微软雅黑"/>
        <family val="2"/>
      </rPr>
      <t>明细账余额</t>
    </r>
  </si>
  <si>
    <r>
      <rPr>
        <b/>
        <sz val="10"/>
        <rFont val="微软雅黑"/>
        <family val="2"/>
      </rPr>
      <t>明细账索引</t>
    </r>
    <phoneticPr fontId="25" type="noConversion"/>
  </si>
  <si>
    <r>
      <rPr>
        <b/>
        <sz val="10"/>
        <color rgb="FF000000"/>
        <rFont val="微软雅黑"/>
        <family val="2"/>
      </rPr>
      <t xml:space="preserve">差异重新计算
</t>
    </r>
    <r>
      <rPr>
        <b/>
        <sz val="10"/>
        <color rgb="FFFF0000"/>
        <rFont val="微软雅黑"/>
        <family val="2"/>
      </rPr>
      <t>（</t>
    </r>
    <r>
      <rPr>
        <b/>
        <sz val="10"/>
        <color rgb="FFFF0000"/>
        <rFont val="Arial"/>
        <family val="2"/>
      </rPr>
      <t>Note1</t>
    </r>
    <r>
      <rPr>
        <b/>
        <sz val="10"/>
        <color rgb="FFFF0000"/>
        <rFont val="微软雅黑"/>
        <family val="2"/>
      </rPr>
      <t>）</t>
    </r>
  </si>
  <si>
    <r>
      <rPr>
        <b/>
        <sz val="10"/>
        <rFont val="微软雅黑"/>
        <family val="2"/>
      </rPr>
      <t>外币余额</t>
    </r>
    <phoneticPr fontId="25" type="noConversion"/>
  </si>
  <si>
    <r>
      <rPr>
        <b/>
        <sz val="10"/>
        <color rgb="FF000000"/>
        <rFont val="微软雅黑"/>
        <family val="2"/>
      </rPr>
      <t>是否适当重新计量</t>
    </r>
    <r>
      <rPr>
        <b/>
        <sz val="10"/>
        <color rgb="FF000000"/>
        <rFont val="Arial"/>
        <family val="2"/>
      </rPr>
      <t xml:space="preserve">?
</t>
    </r>
    <r>
      <rPr>
        <b/>
        <i/>
        <sz val="10"/>
        <color rgb="FFFF0000"/>
        <rFont val="Arial"/>
        <family val="2"/>
      </rPr>
      <t>(</t>
    </r>
    <r>
      <rPr>
        <b/>
        <i/>
        <sz val="10"/>
        <color rgb="FFFF0000"/>
        <rFont val="微软雅黑"/>
        <family val="2"/>
      </rPr>
      <t>使用下拉列表</t>
    </r>
    <r>
      <rPr>
        <b/>
        <i/>
        <sz val="10"/>
        <color rgb="FFFF0000"/>
        <rFont val="Arial"/>
        <family val="2"/>
      </rPr>
      <t>)</t>
    </r>
    <phoneticPr fontId="25" type="noConversion"/>
  </si>
  <si>
    <r>
      <rPr>
        <b/>
        <sz val="10"/>
        <rFont val="微软雅黑"/>
        <family val="2"/>
      </rPr>
      <t>工作底稿参考</t>
    </r>
    <phoneticPr fontId="25" type="noConversion"/>
  </si>
  <si>
    <t xml:space="preserve">/N.00 </t>
  </si>
  <si>
    <r>
      <t>/N.01.01</t>
    </r>
    <r>
      <rPr>
        <b/>
        <sz val="10"/>
        <color rgb="FFFF0000"/>
        <rFont val="微软雅黑"/>
        <family val="2"/>
      </rPr>
      <t>明细账</t>
    </r>
  </si>
  <si>
    <r>
      <rPr>
        <b/>
        <sz val="10"/>
        <color theme="1"/>
        <rFont val="微软雅黑"/>
        <family val="2"/>
      </rPr>
      <t>合计</t>
    </r>
    <phoneticPr fontId="48" type="noConversion"/>
  </si>
  <si>
    <r>
      <rPr>
        <b/>
        <sz val="10"/>
        <color rgb="FFFF0000"/>
        <rFont val="Arial"/>
        <family val="2"/>
      </rPr>
      <t>Note1</t>
    </r>
    <r>
      <rPr>
        <b/>
        <sz val="10"/>
        <color rgb="FFFF0000"/>
        <rFont val="微软雅黑"/>
        <family val="2"/>
        <charset val="134"/>
      </rPr>
      <t>：</t>
    </r>
    <r>
      <rPr>
        <sz val="10"/>
        <color rgb="FF000000"/>
        <rFont val="微软雅黑"/>
        <family val="2"/>
        <charset val="134"/>
      </rPr>
      <t>如果总账和明细账差异金额大于</t>
    </r>
    <r>
      <rPr>
        <sz val="10"/>
        <color rgb="FF000000"/>
        <rFont val="Arial"/>
        <family val="2"/>
      </rPr>
      <t>SAD</t>
    </r>
    <r>
      <rPr>
        <sz val="10"/>
        <color rgb="FF000000"/>
        <rFont val="微软雅黑"/>
        <family val="2"/>
        <charset val="134"/>
      </rPr>
      <t>请在以下解释差异并执行相应的程序：针对金额大于测试阈值及性质异常的项目我们需进一步进行测试。</t>
    </r>
    <r>
      <rPr>
        <b/>
        <sz val="10"/>
        <color rgb="FFFF0000"/>
        <rFont val="Arial"/>
        <family val="2"/>
      </rPr>
      <t>(</t>
    </r>
    <r>
      <rPr>
        <b/>
        <sz val="10"/>
        <color rgb="FFFF0000"/>
        <rFont val="微软雅黑"/>
        <family val="2"/>
        <charset val="134"/>
      </rPr>
      <t>如不适用请删除）</t>
    </r>
  </si>
  <si>
    <r>
      <rPr>
        <b/>
        <sz val="10"/>
        <color rgb="FFFF0000"/>
        <rFont val="Arial"/>
        <family val="2"/>
      </rPr>
      <t>Note2</t>
    </r>
    <r>
      <rPr>
        <b/>
        <sz val="10"/>
        <color rgb="FFFF0000"/>
        <rFont val="微软雅黑"/>
        <family val="2"/>
        <charset val="134"/>
      </rPr>
      <t>：</t>
    </r>
    <r>
      <rPr>
        <sz val="10"/>
        <color rgb="FF000000"/>
        <rFont val="微软雅黑"/>
        <family val="2"/>
        <charset val="134"/>
      </rPr>
      <t>对外币余额，我们使用第三方汇率（独立于客户获得汇率）重新计算，并将重新计算的余额与客户的余额进行比较。</t>
    </r>
    <r>
      <rPr>
        <b/>
        <sz val="10"/>
        <color rgb="FFFF0000"/>
        <rFont val="Arial"/>
        <family val="2"/>
      </rPr>
      <t>(</t>
    </r>
    <r>
      <rPr>
        <b/>
        <sz val="10"/>
        <color rgb="FFFF0000"/>
        <rFont val="微软雅黑"/>
        <family val="2"/>
        <charset val="134"/>
      </rPr>
      <t>如不适用请删除）</t>
    </r>
  </si>
  <si>
    <r>
      <rPr>
        <b/>
        <sz val="10"/>
        <color rgb="FFFF0000"/>
        <rFont val="Arial"/>
        <family val="2"/>
      </rPr>
      <t>|------- N.01.01</t>
    </r>
    <r>
      <rPr>
        <b/>
        <sz val="10"/>
        <color rgb="FFFF0000"/>
        <rFont val="微软雅黑"/>
        <family val="2"/>
        <charset val="134"/>
      </rPr>
      <t>明细账</t>
    </r>
    <r>
      <rPr>
        <b/>
        <sz val="10"/>
        <color rgb="FFFF0000"/>
        <rFont val="Arial"/>
        <family val="2"/>
      </rPr>
      <t xml:space="preserve"> -------|</t>
    </r>
  </si>
  <si>
    <t>EY Works</t>
  </si>
  <si>
    <r>
      <rPr>
        <sz val="10"/>
        <color rgb="FF000000"/>
        <rFont val="微软雅黑"/>
        <family val="2"/>
      </rPr>
      <t>原币币种</t>
    </r>
  </si>
  <si>
    <r>
      <rPr>
        <sz val="10"/>
        <color rgb="FF000000"/>
        <rFont val="微软雅黑"/>
        <family val="2"/>
      </rPr>
      <t>原币金额</t>
    </r>
  </si>
  <si>
    <r>
      <rPr>
        <sz val="10"/>
        <color rgb="FF000000"/>
        <rFont val="微软雅黑"/>
        <family val="2"/>
      </rPr>
      <t>折算汇率</t>
    </r>
  </si>
  <si>
    <r>
      <rPr>
        <sz val="10"/>
        <color rgb="FF000000"/>
        <rFont val="微软雅黑"/>
        <family val="2"/>
      </rPr>
      <t>折合本位币</t>
    </r>
  </si>
  <si>
    <r>
      <rPr>
        <sz val="10"/>
        <color rgb="FF000000"/>
        <rFont val="微软雅黑"/>
        <family val="2"/>
      </rPr>
      <t>账面本位币金额</t>
    </r>
  </si>
  <si>
    <r>
      <rPr>
        <sz val="10"/>
        <color rgb="FF000000"/>
        <rFont val="微软雅黑"/>
        <family val="2"/>
      </rPr>
      <t>差异</t>
    </r>
  </si>
  <si>
    <t>USD</t>
  </si>
  <si>
    <t>CNY</t>
  </si>
  <si>
    <r>
      <rPr>
        <b/>
        <sz val="14"/>
        <color rgb="FFFFFFFF"/>
        <rFont val="微软雅黑"/>
        <family val="2"/>
      </rPr>
      <t>标准底稿</t>
    </r>
    <r>
      <rPr>
        <b/>
        <sz val="14"/>
        <color rgb="FFFFFFFF"/>
        <rFont val="Arial"/>
        <family val="2"/>
      </rPr>
      <t xml:space="preserve">: N SWP </t>
    </r>
    <r>
      <rPr>
        <b/>
        <sz val="14"/>
        <color rgb="FFFFFFFF"/>
        <rFont val="微软雅黑"/>
        <family val="2"/>
      </rPr>
      <t>应付账款</t>
    </r>
    <phoneticPr fontId="25" type="noConversion"/>
  </si>
  <si>
    <t> </t>
  </si>
  <si>
    <r>
      <t xml:space="preserve">N.01.01 </t>
    </r>
    <r>
      <rPr>
        <b/>
        <sz val="12"/>
        <color rgb="FF000000"/>
        <rFont val="微软雅黑"/>
        <family val="2"/>
      </rPr>
      <t>获取应付账款明细账</t>
    </r>
    <phoneticPr fontId="25" type="noConversion"/>
  </si>
  <si>
    <t>标准工作底稿: N SWP 应付账款</t>
    <phoneticPr fontId="48" type="noConversion"/>
  </si>
  <si>
    <t>N.02: 借方余额测试和异常项目复核</t>
  </si>
  <si>
    <t>用于识别和测试项目的测试阈值</t>
  </si>
  <si>
    <t>安永属性测试说明：</t>
    <phoneticPr fontId="25" type="noConversion"/>
  </si>
  <si>
    <r>
      <rPr>
        <sz val="10"/>
        <color rgb="FF000000"/>
        <rFont val="Arial"/>
        <family val="2"/>
      </rPr>
      <t>1）获取并检查支持异常项目/借方余额的文档（例如，供应商发票、合同、采购订单、</t>
    </r>
    <r>
      <rPr>
        <sz val="10"/>
        <rFont val="Arial"/>
        <family val="2"/>
      </rPr>
      <t>付款水单等</t>
    </r>
    <r>
      <rPr>
        <sz val="10"/>
        <color rgb="FF000000"/>
        <rFont val="Arial"/>
        <family val="2"/>
      </rPr>
      <t>），以及与应付账款明细账的相关详细信息（例如，供应商名称、发票编号、发票金额和商品/服务的性质）核对一致。</t>
    </r>
    <phoneticPr fontId="25" type="noConversion"/>
  </si>
  <si>
    <t>2） 我们获取了与所选交易相关的记账分录。我们确认应付账款记账分录的对方科目账务处理正确‌。</t>
  </si>
  <si>
    <t>3） 根据我们对支持性文件（包括记账分录）的审查，得出结论认为，所选交易在应付账款中的分类是适当的。</t>
    <phoneticPr fontId="25" type="noConversion"/>
  </si>
  <si>
    <t>借方余额测试</t>
    <phoneticPr fontId="25" type="noConversion"/>
  </si>
  <si>
    <r>
      <rPr>
        <b/>
        <sz val="10"/>
        <color rgb="FFFF0000"/>
        <rFont val="Arial"/>
        <family val="2"/>
      </rPr>
      <t>表1</t>
    </r>
    <r>
      <rPr>
        <sz val="10"/>
        <color rgb="FF000000"/>
        <rFont val="Arial"/>
        <family val="2"/>
      </rPr>
      <t xml:space="preserve"> 我们获取了</t>
    </r>
    <r>
      <rPr>
        <sz val="10"/>
        <color rgb="FFFF0000"/>
        <rFont val="Arial"/>
        <family val="2"/>
      </rPr>
      <t>N.01.01明细账BKD</t>
    </r>
    <r>
      <rPr>
        <sz val="10"/>
        <color rgb="FF000000"/>
        <rFont val="Arial"/>
        <family val="2"/>
      </rPr>
      <t>中期末余额为借方的供应商，对（单独或合计）大于测试阈值的借方余额，检查了对应的支持文件，确认是否需要进行重分类。</t>
    </r>
  </si>
  <si>
    <t>借项期末余额合计</t>
  </si>
  <si>
    <t>是否执行借方余额测试</t>
  </si>
  <si>
    <t>是否调整</t>
  </si>
  <si>
    <t>分析所选项目，以进行了解和正确分类。</t>
  </si>
  <si>
    <t>供应商名称</t>
  </si>
  <si>
    <t>借方余额</t>
  </si>
  <si>
    <t>形成应付账款借方余额入账凭证</t>
    <phoneticPr fontId="25" type="noConversion"/>
  </si>
  <si>
    <t>根据交易性质获取的支持性证据信息</t>
    <phoneticPr fontId="25" type="noConversion"/>
  </si>
  <si>
    <t>备注</t>
    <phoneticPr fontId="25" type="noConversion"/>
  </si>
  <si>
    <t>凭证编号</t>
  </si>
  <si>
    <t>日期</t>
  </si>
  <si>
    <t>金额</t>
  </si>
  <si>
    <t>交易性质</t>
  </si>
  <si>
    <t>交易凭据名称</t>
  </si>
  <si>
    <t>交易凭据编号</t>
  </si>
  <si>
    <t>交易凭据日期</t>
  </si>
  <si>
    <t>交易凭据金额</t>
  </si>
  <si>
    <t>其他异常项测试</t>
    <phoneticPr fontId="25" type="noConversion"/>
  </si>
  <si>
    <r>
      <rPr>
        <b/>
        <sz val="10"/>
        <color rgb="FFFF0000"/>
        <rFont val="Arial"/>
        <family val="2"/>
      </rPr>
      <t xml:space="preserve">表2 </t>
    </r>
    <r>
      <rPr>
        <sz val="10"/>
        <color rgb="FF000000"/>
        <rFont val="Arial"/>
        <family val="2"/>
      </rPr>
      <t>在下面记录选择关键项目的理由</t>
    </r>
  </si>
  <si>
    <t>EY Works</t>
    <phoneticPr fontId="25" type="noConversion"/>
  </si>
  <si>
    <t>选择标准</t>
    <phoneticPr fontId="25" type="noConversion"/>
  </si>
  <si>
    <t>应付账款入账凭证</t>
    <phoneticPr fontId="25" type="noConversion"/>
  </si>
  <si>
    <t>支持性证据信息
（确认控制权转移/接受服务的交易凭据，如提单、运输单据（GDN)、第三方交货证明等）</t>
    <phoneticPr fontId="25" type="noConversion"/>
  </si>
  <si>
    <r>
      <t>Notes：</t>
    </r>
    <r>
      <rPr>
        <sz val="10"/>
        <color theme="1"/>
        <rFont val="Arial"/>
        <family val="2"/>
      </rPr>
      <t>记录识别的异常情况的详细信息以及如何解决这些异常情况，包括执行的额外实质性程序</t>
    </r>
    <phoneticPr fontId="25" type="noConversion"/>
  </si>
  <si>
    <r>
      <rPr>
        <b/>
        <sz val="14"/>
        <color theme="0"/>
        <rFont val="微软雅黑"/>
        <family val="2"/>
      </rPr>
      <t>标准工作底稿: N SWP 应付账款</t>
    </r>
    <phoneticPr fontId="48" type="noConversion"/>
  </si>
  <si>
    <r>
      <t xml:space="preserve">N.03: </t>
    </r>
    <r>
      <rPr>
        <b/>
        <sz val="12"/>
        <color rgb="FF000000"/>
        <rFont val="微软雅黑"/>
        <family val="2"/>
      </rPr>
      <t>应付账款截止测试</t>
    </r>
    <phoneticPr fontId="25" type="noConversion"/>
  </si>
  <si>
    <r>
      <rPr>
        <b/>
        <sz val="10"/>
        <color rgb="FFFF0000"/>
        <rFont val="微软雅黑"/>
        <family val="2"/>
      </rPr>
      <t>表1</t>
    </r>
    <r>
      <rPr>
        <b/>
        <sz val="10"/>
        <rFont val="微软雅黑"/>
        <family val="2"/>
      </rPr>
      <t xml:space="preserve"> 记录确定测试期间和样本策略的理由。</t>
    </r>
    <phoneticPr fontId="25" type="noConversion"/>
  </si>
  <si>
    <t>　</t>
  </si>
  <si>
    <r>
      <rPr>
        <b/>
        <sz val="10"/>
        <color rgb="FFFF0000"/>
        <rFont val="微软雅黑"/>
        <family val="2"/>
        <charset val="134"/>
      </rPr>
      <t>表2</t>
    </r>
    <r>
      <rPr>
        <b/>
        <sz val="10"/>
        <color rgb="FF000000"/>
        <rFont val="微软雅黑"/>
        <family val="2"/>
        <charset val="134"/>
      </rPr>
      <t xml:space="preserve"> 记录用于执行程序的总体</t>
    </r>
  </si>
  <si>
    <t>资料名称</t>
  </si>
  <si>
    <t>涵盖期间</t>
  </si>
  <si>
    <t xml:space="preserve"> 测试：用于在正确期间正确评估交易记录的截止测试项目 </t>
  </si>
  <si>
    <t>安永属性测试说明：</t>
  </si>
  <si>
    <t xml:space="preserve">根据支持性证据（例如，提单、运输单据（GDN)、第三方交货证明等）确定所选交易已记录在适当会计期间，包含所有关联的总账账户（如，资产负债表和利润表账户）中。 </t>
    <phoneticPr fontId="25" type="noConversion"/>
  </si>
  <si>
    <t>金额涉及：
（用“√”标记）</t>
  </si>
  <si>
    <t>日期</t>
    <phoneticPr fontId="25" type="noConversion"/>
  </si>
  <si>
    <t>供应商名称</t>
    <phoneticPr fontId="25" type="noConversion"/>
  </si>
  <si>
    <t>交易凭据名称</t>
    <phoneticPr fontId="25" type="noConversion"/>
  </si>
  <si>
    <t>交易凭据编号</t>
    <phoneticPr fontId="25" type="noConversion"/>
  </si>
  <si>
    <t>交易发生日期</t>
    <phoneticPr fontId="25" type="noConversion"/>
  </si>
  <si>
    <t>本期</t>
  </si>
  <si>
    <t>资产负债表日后期间</t>
    <phoneticPr fontId="25" type="noConversion"/>
  </si>
  <si>
    <t>截止日前的交易测试</t>
  </si>
  <si>
    <t>截止日后的交易测试</t>
  </si>
  <si>
    <r>
      <rPr>
        <b/>
        <sz val="10"/>
        <color rgb="FFFF0000"/>
        <rFont val="微软雅黑"/>
        <family val="2"/>
      </rPr>
      <t>Notes：</t>
    </r>
    <r>
      <rPr>
        <sz val="10"/>
        <color theme="1"/>
        <rFont val="微软雅黑"/>
        <family val="2"/>
      </rPr>
      <t>记录识别的异常情况的详细信息以及如何解决这些异常情况，包括执行的额外实质性程序</t>
    </r>
    <phoneticPr fontId="25" type="noConversion"/>
  </si>
  <si>
    <r>
      <t xml:space="preserve">N.04: </t>
    </r>
    <r>
      <rPr>
        <b/>
        <sz val="12"/>
        <color rgb="FF000000"/>
        <rFont val="微软雅黑"/>
        <family val="2"/>
        <charset val="134"/>
      </rPr>
      <t>寻找未入账负债</t>
    </r>
    <phoneticPr fontId="25" type="noConversion"/>
  </si>
  <si>
    <r>
      <rPr>
        <u/>
        <sz val="11"/>
        <color rgb="FFFF0000"/>
        <rFont val="微软雅黑"/>
        <family val="2"/>
        <charset val="134"/>
      </rPr>
      <t>返回汇总页</t>
    </r>
    <phoneticPr fontId="25" type="noConversion"/>
  </si>
  <si>
    <t>请项目组使用以下链接获取标准底稿执行Search For程序：</t>
  </si>
  <si>
    <t>N&amp;P SURL SWP 寻找未入账负债 202YMMDD XYZ公司.xlsx</t>
  </si>
  <si>
    <t>eca72055-06d3-4dd3-bf25-5248c0ca8d3d</t>
    <phoneticPr fontId="25" type="noConversion"/>
  </si>
  <si>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</si>
  <si>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phoneticPr fontId="25" type="noConversion"/>
  </si>
  <si>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phoneticPr fontId="25" type="noConversion"/>
  </si>
  <si>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phoneticPr fontId="25" type="noConversion"/>
  </si>
  <si>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phoneticPr fontId="25" type="noConversion"/>
  </si>
  <si>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phoneticPr fontId="25" type="noConversion"/>
  </si>
  <si>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phoneticPr fontId="25" type="noConversion"/>
  </si>
  <si>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phoneticPr fontId="25" type="noConversion"/>
  </si>
  <si>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phoneticPr fontId="25" type="noConversion"/>
  </si>
  <si>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phoneticPr fontId="25" type="noConversion"/>
  </si>
  <si>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phoneticPr fontId="25" type="noConversion"/>
  </si>
  <si>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phoneticPr fontId="25" type="noConversion"/>
  </si>
  <si>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phoneticPr fontId="25" type="noConversion"/>
  </si>
  <si>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phoneticPr fontId="25" type="noConversion"/>
  </si>
  <si>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phoneticPr fontId="25" type="noConversion"/>
  </si>
  <si>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phoneticPr fontId="25" type="noConversion"/>
  </si>
  <si>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phoneticPr fontId="25" type="noConversion"/>
  </si>
  <si>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phoneticPr fontId="25" type="noConversion"/>
  </si>
  <si>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phoneticPr fontId="25" type="noConversion"/>
  </si>
  <si>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phoneticPr fontId="25" type="noConversion"/>
  </si>
  <si>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phoneticPr fontId="25" type="noConversion"/>
  </si>
  <si>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phoneticPr fontId="25" type="noConversion"/>
  </si>
  <si>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phoneticPr fontId="25" type="noConversion"/>
  </si>
  <si>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phoneticPr fontId="25" type="noConversion"/>
  </si>
  <si>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phoneticPr fontId="25" type="noConversion"/>
  </si>
  <si>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phoneticPr fontId="25" type="noConversion"/>
  </si>
  <si>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phoneticPr fontId="25" type="noConversion"/>
  </si>
  <si>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phoneticPr fontId="25" type="noConversion"/>
  </si>
  <si>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phoneticPr fontId="25" type="noConversion"/>
  </si>
  <si>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phoneticPr fontId="25" type="noConversion"/>
  </si>
  <si>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phoneticPr fontId="25" type="noConversion"/>
  </si>
  <si>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phoneticPr fontId="25" type="noConversion"/>
  </si>
  <si>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phoneticPr fontId="25" type="noConversion"/>
  </si>
  <si>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phoneticPr fontId="25" type="noConversion"/>
  </si>
  <si>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phoneticPr fontId="25" type="noConversion"/>
  </si>
  <si>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phoneticPr fontId="25" type="noConversion"/>
  </si>
  <si>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phoneticPr fontId="25" type="noConversion"/>
  </si>
  <si>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phoneticPr fontId="25" type="noConversion"/>
  </si>
  <si>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phoneticPr fontId="25" type="noConversion"/>
  </si>
  <si>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phoneticPr fontId="25" type="noConversion"/>
  </si>
  <si>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phoneticPr fontId="25" type="noConversion"/>
  </si>
  <si>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phoneticPr fontId="25" type="noConversion"/>
  </si>
  <si>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phoneticPr fontId="25" type="noConversion"/>
  </si>
  <si>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</si>
  <si>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</si>
  <si>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</si>
  <si>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</si>
  <si>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</si>
  <si>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</si>
  <si>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</si>
  <si>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</si>
  <si>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</si>
  <si>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</si>
  <si>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</si>
  <si>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</si>
  <si>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</si>
  <si>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</si>
  <si>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</si>
  <si>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</si>
  <si>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</si>
  <si>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</si>
  <si>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</si>
  <si>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</si>
  <si>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</si>
  <si>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</si>
  <si>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</si>
  <si>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</si>
  <si>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</si>
  <si>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</si>
  <si>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</si>
  <si>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</si>
  <si>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</si>
  <si>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</si>
  <si>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</si>
  <si>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</si>
  <si>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</si>
  <si>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</si>
  <si>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</si>
  <si>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</si>
  <si>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</si>
  <si>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</si>
  <si>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</si>
  <si>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</si>
  <si>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</si>
  <si>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</si>
  <si>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</si>
  <si>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</si>
  <si>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</si>
  <si>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</si>
  <si>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</si>
  <si>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</si>
  <si>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</si>
  <si>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</si>
  <si>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</si>
  <si>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</si>
  <si>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</si>
  <si>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</si>
  <si>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</si>
  <si>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</si>
  <si>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</si>
  <si>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</si>
  <si>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</si>
  <si>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</si>
  <si>
    <t>0c1d5614-b719-4375-ab0b-c2eb36356630</t>
  </si>
  <si>
    <t>0ed1578d-c3d1-41cb-bf1a-0b8b16fe351b</t>
  </si>
  <si>
    <t>26b6c32d-5456-4a6c-ac24-0404a9fd88c6</t>
  </si>
  <si>
    <t>9d623d85-412f-4078-bd1e-abb140c171a2</t>
  </si>
  <si>
    <t>db74efef-4f05-4c4b-8d14-9ebc7f4e763a</t>
  </si>
  <si>
    <t>689964e5-d5ce-4506-866e-828ad946c4bc</t>
  </si>
  <si>
    <t>4aa8172f-bebf-428a-9d40-18ed13d529d9</t>
  </si>
  <si>
    <t>4959c36f-fd69-4143-8d60-2b90c61f6a4c</t>
  </si>
  <si>
    <t>dd1e28ba-81f1-40db-909c-26609433bb85</t>
  </si>
  <si>
    <t>22571d99-3693-465f-ae30-2f43f1397d18</t>
  </si>
  <si>
    <t>b4884ca6-2039-4441-9b03-287adfed6a07</t>
  </si>
  <si>
    <t>e4619576-8474-4cdc-8fc7-59e483ac3504</t>
  </si>
  <si>
    <t>28b6083d-dc79-4094-a62c-6b73750656e4</t>
  </si>
  <si>
    <t>552c3f0d-69a9-4fa1-9be8-62c927f2e3cf</t>
  </si>
  <si>
    <t>13def8fe-7e41-41fa-b5a7-b6f1b2e2d8fa</t>
  </si>
  <si>
    <t>5f0f71df-1c80-47fe-8049-01a984ad9c1d</t>
  </si>
  <si>
    <t>7afcc3d8-9f45-4912-8a96-e0d2b277a1be</t>
  </si>
  <si>
    <t>a7470e28-4f68-4cf2-bf33-253f6b3c1c98</t>
  </si>
  <si>
    <t>6b56a18e-8d3e-445b-9a0e-09933a1e05eb</t>
  </si>
  <si>
    <t>3b797bc9-8be6-4848-bbf3-33d143c5b8b3</t>
  </si>
  <si>
    <t>6208c3b6-26d8-435e-b99c-682effc18916</t>
  </si>
  <si>
    <t>3ef6b9a5-3833-496b-b845-bf9f5db4d434</t>
  </si>
  <si>
    <t>e8846001-be3a-4aea-a491-d2fbb2122966</t>
  </si>
  <si>
    <t>4ca549cb-037b-430c-aa51-380f5019b27d</t>
  </si>
  <si>
    <t>1dc8af52-c1ea-4ad6-9a98-63057c8c8513</t>
  </si>
  <si>
    <t>fab660f9-dc4b-4b51-a6af-61035481fe90</t>
  </si>
  <si>
    <t>783e1890-b601-4298-aa18-6179e238c645</t>
  </si>
  <si>
    <t>dbb84dfd-190c-45bb-902b-9e704d3c642c</t>
  </si>
  <si>
    <t>482e0bcd-32c9-4c96-b524-ce853ad5ee66</t>
  </si>
  <si>
    <t>d44c6c7e-4db0-4b9b-a7e4-3a23f9247412</t>
  </si>
  <si>
    <t>e0fa5039-ad71-4881-b58b-304d7a53cd7e</t>
  </si>
  <si>
    <t>f3800d40-973a-4cb6-9d51-b904e3691ef8</t>
  </si>
  <si>
    <t>625a02e1-5e82-41ef-b44c-1b268f3fe5d2</t>
  </si>
  <si>
    <t>56073803-5b18-47e9-b3e0-564a1b3a40bb</t>
  </si>
  <si>
    <t>dcfdac53-b669-43c3-9157-026b15cd0915</t>
  </si>
  <si>
    <t>52f0b29d-081d-4168-93bb-65e2ab693a66</t>
  </si>
  <si>
    <t>487d7efa-d6b4-4b0a-b9e7-b962353d8ecc</t>
  </si>
  <si>
    <t>96a250db-1922-486b-a688-3a5361161662</t>
  </si>
  <si>
    <t>18f18d6f-1d32-44e2-b5fc-a36f90976bb9</t>
  </si>
  <si>
    <t>1852ae93-0d62-4256-b665-f0ead08452bb</t>
  </si>
  <si>
    <t>ed82514b-5183-4b54-8d85-257a77ac1f54</t>
  </si>
  <si>
    <t>c8e4a9f7-af6f-4f9c-8c12-596f22a27109</t>
  </si>
  <si>
    <t>160fa604-87ef-4905-9773-31a2e9d26d94</t>
  </si>
  <si>
    <t>6ba2f11d-9dd1-48da-ac2d-9bf607f1fff0</t>
  </si>
  <si>
    <t>3b6dee10-70aa-4085-8c6b-95ffc977b79b</t>
  </si>
  <si>
    <t>b6ac9a73-4f34-4b71-9bd7-7adcb676d02c</t>
  </si>
  <si>
    <t>12c5d681-3216-418c-a18b-661c1eb33f88</t>
  </si>
  <si>
    <t>234d2168-9826-4d25-ba37-ed08e1ae0aab</t>
  </si>
  <si>
    <t>ce3b9236-86d6-40b5-8185-57af9fc4da99</t>
  </si>
  <si>
    <t>c5708e83-e8f3-4c06-96cd-69e27a89637f</t>
  </si>
  <si>
    <t>398ea5a8-6c4e-4358-b5d4-a1b87036c8fd</t>
  </si>
  <si>
    <t>4bb7c75a-c80c-4144-8e6c-c754bf51b61f</t>
  </si>
  <si>
    <t>b959fed2-9578-406a-b998-252b17674eda</t>
  </si>
  <si>
    <t>22253777-cde4-4b5b-b981-ab79d68251ec</t>
  </si>
  <si>
    <t>d6c05b82-167e-4305-b9e7-fd7bd6569c7f</t>
  </si>
  <si>
    <t>dfb12828-0b5c-4f25-88f5-086a4fd07901</t>
  </si>
  <si>
    <t>91b18949-d720-42b7-ad75-5b5db8f35567</t>
  </si>
  <si>
    <t>1ca60eba-d2f9-465c-abf4-19096b1464d3</t>
  </si>
  <si>
    <t>5157e35a-c93a-4995-b56d-c99b68f90981</t>
  </si>
  <si>
    <t>464b96a0-8de1-41bc-80c3-11557c7b305a</t>
  </si>
  <si>
    <t>179b73f8-59f8-4a8f-9190-efb2626873db</t>
  </si>
  <si>
    <t>0a78da83-d4dc-4024-94e4-5f2854834912</t>
  </si>
  <si>
    <t>ce39da16-2ab3-40a4-8095-f68c8bd26a2f</t>
  </si>
  <si>
    <t>c74234c6-b84c-424f-9341-04c80799954a</t>
  </si>
  <si>
    <t>b11b7060-e455-4e15-93b4-3ea59fe6ef4c</t>
  </si>
  <si>
    <t>7ab64df1-8648-4d27-bc11-4ec98def67e7</t>
  </si>
  <si>
    <t>eb387db5-811b-4cc5-b5cd-6df3e675c8d8</t>
  </si>
  <si>
    <t>d3ef5377-fe87-4dbc-8b00-7b00cced4b79</t>
  </si>
  <si>
    <t>8cd0b9dd-d09e-46cb-9099-543bd4d79a77</t>
  </si>
  <si>
    <t>f94f06a5-6a73-491c-865a-631536d6729f</t>
  </si>
  <si>
    <t>d80419ce-33eb-433e-b73d-6b70774a566f</t>
  </si>
  <si>
    <t>aa9ecb0d-ec47-4302-8b8d-6a79bc8f1456</t>
  </si>
  <si>
    <t>e54c2393-2c15-4937-bf5b-20252c488fd6</t>
  </si>
  <si>
    <t>ff4fb21f-8e41-4fd4-83c9-e1c4ffc8c99f</t>
  </si>
  <si>
    <t>cccd48d4-51b8-466e-a206-ce9be336f22a</t>
  </si>
  <si>
    <t>6dac5168-7b11-43cf-a281-c691dd1b8b44</t>
  </si>
  <si>
    <t>3f8cafd9-360f-4a34-bf6c-121509c03887</t>
  </si>
  <si>
    <t>2b145555-bd79-47b3-856b-259185c383b0</t>
  </si>
  <si>
    <t>3a7d64c9-f994-4354-b225-7503e738bbb0</t>
  </si>
  <si>
    <t>5683dff8-3224-41af-89a5-5118db40f95f</t>
  </si>
  <si>
    <t>922e077f-92f9-4f4f-93ac-8a5689fc02e7</t>
  </si>
  <si>
    <t>ead358eb-a4c9-4e01-a638-03513e38a2b5</t>
  </si>
  <si>
    <t>bbd0705c-b00c-40ce-9065-119b84dd71be</t>
  </si>
  <si>
    <t>5c30ae2d-6d41-4ff8-a411-5f897ce61216</t>
  </si>
  <si>
    <t>c7c9a683-e94f-40fb-9572-0dd3dc50115d</t>
  </si>
  <si>
    <t>3af9b26d-d651-4ee2-8874-8f2890688466</t>
  </si>
  <si>
    <t>b3fd2119-e7f3-4c28-99f2-486a798d345a</t>
  </si>
  <si>
    <t>0e003c5b-4188-463b-86f8-0690cf0046be</t>
  </si>
  <si>
    <t>a700e625-bc68-41da-ba2a-126ace1f25a8</t>
  </si>
  <si>
    <t>d5361656-61c6-49cb-9b7b-6c0d3a8bb1ad</t>
  </si>
  <si>
    <t>f0a1fe97-7dfa-4c80-9f52-903af60dbd35</t>
  </si>
  <si>
    <t>79325a34-d3dc-45f4-b760-86d0a32c8362</t>
  </si>
  <si>
    <t>11be7677-adc9-4c5f-8af6-c4f076353d07</t>
  </si>
  <si>
    <t>a8b58c94-90d7-4151-8c57-b0a0967486af</t>
  </si>
  <si>
    <t>82ce88dd-6a81-4332-bc06-8e54af5df5b0</t>
  </si>
  <si>
    <t>d8095dab-7f4c-4fe2-b664-7afb72f59298</t>
  </si>
  <si>
    <t>02c11b5a-74b7-48fb-9c42-a65c5c295b27</t>
  </si>
  <si>
    <t>4755e4f9-4374-4bed-a644-22c547cfecb0</t>
  </si>
  <si>
    <t>e3f4373d-e874-467d-b378-40e6f5c59aeb</t>
  </si>
  <si>
    <t>2bfe7a7a-63fa-4a68-937a-345381c69512</t>
  </si>
  <si>
    <t>93c05a6b-293f-442f-9ad0-41f3846507e2</t>
  </si>
  <si>
    <t>07290702-d941-425d-8b91-723fedf780a7</t>
  </si>
  <si>
    <t>b1982b0b-39b0-4f86-8496-bdf572cac346</t>
  </si>
  <si>
    <t>fa3cbc80-6baa-4302-8a87-f7fb63c17ca5</t>
    <phoneticPr fontId="25" type="noConversion"/>
  </si>
  <si>
    <t>VZTN83DQ0PNV1SC86TPFW2CC99KYK2XZ14KACGNDYCRQJ22XYD90</t>
  </si>
  <si>
    <t>Tony XD Dong</t>
  </si>
  <si>
    <t>YG0DNYWJ8NZCWJNY2PCG8613MM6FEXYYHF70GAHMCNX0Q9Y2QFBG</t>
  </si>
  <si>
    <t>Danny YF Deng</t>
  </si>
  <si>
    <t>K5ZAXJ2E9XP125K3V6VCZ229PXMT9QCYE231BYVH63CK85DC0770</t>
  </si>
  <si>
    <t>Margo Bo</t>
  </si>
  <si>
    <t>G7KX5FMG1R3QH83GQBFZHN3Z9N294HNAAMSW34CTJT51MC4J8R8G</t>
  </si>
  <si>
    <t>Barry B Li</t>
  </si>
  <si>
    <t>Q775XYNM7JGDVAMWSN3NR5KKNQM5NY4YPDM7W5EXVBGM3AB475NG</t>
  </si>
  <si>
    <t>Maikey Jin</t>
  </si>
  <si>
    <t>NJCBKWVS3J4F3HCA2MJBBCQ6HKD0ZSBEP3AX4S89TK4M9EY3DH60</t>
  </si>
  <si>
    <t>Phoebe YH Wang</t>
  </si>
  <si>
    <t>9QKVRYJWFZ38Q15SSC9F8R37HJH3965E74F5R92CN1PGMMZQECQ0</t>
  </si>
  <si>
    <t>Dan Y Yao</t>
  </si>
  <si>
    <t>T5WMV5MGJB59WZ0K302MPWMWM5G98C28W9B39WCZBPJXG5847NB0</t>
  </si>
  <si>
    <t>Grace YT Dai</t>
  </si>
  <si>
    <t>MQFDQD6SPH3FMJP2N0PQQ3N4PZ6XNH4T373A7HWSDE5TZ4A7V1DG</t>
  </si>
  <si>
    <t>Zelda Zhang</t>
  </si>
  <si>
    <t>6MHDXJSY0EZ4FTY38FAWS1RBQMJ5SQF0K82YD6H5SGJP9T080D20</t>
  </si>
  <si>
    <t>Esther WY Wang</t>
  </si>
  <si>
    <t>ESRXDMFF301213JT3ZH9F7ZDSK4QQHFF3A9ZCB0821P05Y900W90</t>
  </si>
  <si>
    <t>Alina Ye</t>
  </si>
  <si>
    <t>1P2X1MX3XYWCZ8E2MX2Y07YGB3MV287QRPBD8BFP4A63CGJFS7B0</t>
  </si>
  <si>
    <t>Evelyn Z Zhao</t>
  </si>
  <si>
    <t>Create</t>
  </si>
  <si>
    <t>e7785d87-b682-482e-a159-fe0e639e953f</t>
  </si>
  <si>
    <t>{"id":"e7785d87-b682-482e-a159-fe0e639e953f","type":1,"name":"workbookId","value":"c21f929e-0173-4ea4-a1cf-db50a5afa408"}</t>
  </si>
  <si>
    <t>1876fc14-bd5a-44ec-911a-255e9e63e861</t>
  </si>
  <si>
    <t>{"id":"1876fc14-bd5a-44ec-911a-255e9e63e861","type":0,"name":"dataSnipperSheetDeleted","value":"false"}</t>
  </si>
  <si>
    <t>a39a968e-c881-4c8e-97b4-ebceef18d2a2</t>
  </si>
  <si>
    <t>{"id":"a39a968e-c881-4c8e-97b4-ebceef18d2a2","type":0,"name":"embed-documents","value":"false"}</t>
  </si>
  <si>
    <t>c7d281ae-769b-4ecb-96a6-e3a5ac273429</t>
  </si>
  <si>
    <t>{"id":"c7d281ae-769b-4ecb-96a6-e3a5ac273429","type":0,"name":"table-snip-suggestions","value":"true"}</t>
  </si>
  <si>
    <t>c4ce4c64-519b-4c7d-a240-ff0aa00e17bd</t>
  </si>
  <si>
    <t>{"id":"c4ce4c64-519b-4c7d-a240-ff0aa00e17bd","type":1,"name":"migratedFssProjectId","value":""}</t>
  </si>
  <si>
    <t>{"id":"e7785d87-b682-482e-a159-fe0e639e953f","type":1,"name":"workbookId","value":"2467d5f5-7552-4c0e-859f-558468e903dc"}</t>
  </si>
  <si>
    <t>{"id":"a39a968e-c881-4c8e-97b4-ebceef18d2a2","type":0,"name":"embed-documents","value":"true"}</t>
  </si>
  <si>
    <t>ffd713b1-9af1-48a2-8863-2da7898409aa</t>
    <phoneticPr fontId="25" type="noConversion"/>
  </si>
  <si>
    <t>274beda0-5518-436e-b3b2-259f5e17eca4</t>
    <phoneticPr fontId="25" type="noConversion"/>
  </si>
  <si>
    <t>e329b5f6-2a62-4d23-9056-a1799579c52e</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</si>
</sst>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64" formatCode="_(* #,##0_);_(* \(#,##0\);_(* &quot;-&quot;_);_(@_)"/>
    <numFmt numFmtId="165" formatCode="_(* #,##0.00_);_(* \(#,##0.00\);_(* &quot;-&quot;??_);_(@_)"/>
    <numFmt numFmtId="166" formatCode="0.0%"/>
    <numFmt numFmtId="167" formatCode="_([$€-2]* #,##0.00000_);_([$€-2]* \(#,##0.00000\);_([$€-2]* &quot;-&quot;??_)"/>
    <numFmt numFmtId="168" formatCode="#,##0;\(#,##0\);\-#,##0"/>
    <numFmt numFmtId="169" formatCode="_(* #,##0_);_(* \(#,##0\);_(* &quot;-&quot;??_);_(@_)"/>
    <numFmt numFmtId="170" formatCode="_(&quot;$&quot;* #,##0.00_);_(&quot;$&quot;* \(#,##0.00\);_(&quot;$&quot;* &quot;-&quot;??_);_(@_)"/>
    <numFmt numFmtId="171" formatCode="_(&quot;$&quot;* #,##0_);_(&quot;$&quot;* \(#,##0\);_(&quot;$&quot;* &quot;-&quot;??_);_(@_)"/>
  </numFmts>
  <fonts count="121">
    <font>
      <sz val="11"/>
      <color theme="1"/>
      <name val="等线"/>
      <charset val="134"/>
      <scheme val="minor"/>
    </font>
    <font>
      <sz val="11"/>
      <color theme="1"/>
      <name val="等线"/>
      <family val="2"/>
      <charset val="134"/>
      <scheme val="minor"/>
    </font>
    <font>
      <sz val="11"/>
      <color theme="1"/>
      <name val="等线"/>
      <family val="2"/>
      <charset val="134"/>
      <scheme val="minor"/>
    </font>
    <font>
      <sz val="11"/>
      <color theme="1"/>
      <name val="Arial"/>
      <family val="2"/>
    </font>
    <font>
      <sz val="10"/>
      <color rgb="FF000000"/>
      <name val="Arial"/>
      <family val="2"/>
    </font>
    <font>
      <sz val="10"/>
      <name val="Arial"/>
      <family val="2"/>
    </font>
    <font>
      <sz val="10"/>
      <color theme="1"/>
      <name val="Arial"/>
      <family val="2"/>
    </font>
    <font>
      <b/>
      <sz val="10"/>
      <color rgb="FF000000"/>
      <name val="Arial"/>
      <family val="2"/>
    </font>
    <font>
      <u/>
      <sz val="11"/>
      <color theme="10"/>
      <name val="等线"/>
      <family val="3"/>
      <charset val="134"/>
      <scheme val="minor"/>
    </font>
    <font>
      <sz val="12"/>
      <name val="宋体"/>
      <family val="3"/>
      <charset val="134"/>
    </font>
    <font>
      <b/>
      <sz val="11"/>
      <color theme="0"/>
      <name val="等线"/>
      <family val="3"/>
      <charset val="134"/>
      <scheme val="minor"/>
    </font>
    <font>
      <sz val="11"/>
      <color rgb="FF000000"/>
      <name val="Calibri"/>
      <family val="2"/>
    </font>
    <font>
      <sz val="11"/>
      <color rgb="FF006100"/>
      <name val="等线"/>
      <family val="3"/>
      <charset val="134"/>
      <scheme val="minor"/>
    </font>
    <font>
      <sz val="8"/>
      <name val="EYInterstate Light"/>
    </font>
    <font>
      <sz val="10"/>
      <name val="宋体"/>
      <family val="3"/>
      <charset val="134"/>
    </font>
    <font>
      <strike/>
      <sz val="10"/>
      <name val="Arial"/>
      <family val="2"/>
    </font>
    <font>
      <sz val="10"/>
      <name val="等线"/>
      <family val="3"/>
      <charset val="134"/>
      <scheme val="minor"/>
    </font>
    <font>
      <sz val="11"/>
      <color indexed="8"/>
      <name val="Calibri"/>
      <family val="2"/>
    </font>
    <font>
      <sz val="12"/>
      <name val="楷体"/>
      <family val="3"/>
      <charset val="134"/>
    </font>
    <font>
      <sz val="10"/>
      <color rgb="FF000000"/>
      <name val="微软雅黑"/>
      <family val="2"/>
      <charset val="134"/>
    </font>
    <font>
      <sz val="10"/>
      <color theme="1"/>
      <name val="微软雅黑"/>
      <family val="2"/>
      <charset val="134"/>
    </font>
    <font>
      <b/>
      <sz val="10"/>
      <color rgb="FFFF0000"/>
      <name val="微软雅黑"/>
      <family val="2"/>
      <charset val="134"/>
    </font>
    <font>
      <b/>
      <sz val="10"/>
      <color theme="1"/>
      <name val="微软雅黑"/>
      <family val="2"/>
      <charset val="134"/>
    </font>
    <font>
      <b/>
      <sz val="10"/>
      <name val="微软雅黑"/>
      <family val="2"/>
      <charset val="134"/>
    </font>
    <font>
      <sz val="11"/>
      <color theme="1"/>
      <name val="等线"/>
      <family val="3"/>
      <charset val="134"/>
      <scheme val="minor"/>
    </font>
    <font>
      <sz val="9"/>
      <name val="等线"/>
      <family val="3"/>
      <charset val="134"/>
      <scheme val="minor"/>
    </font>
    <font>
      <sz val="11"/>
      <color theme="1"/>
      <name val="等线"/>
      <family val="2"/>
      <charset val="134"/>
      <scheme val="minor"/>
    </font>
    <font>
      <u/>
      <sz val="10"/>
      <color indexed="12"/>
      <name val="宋体"/>
      <family val="3"/>
      <charset val="134"/>
    </font>
    <font>
      <sz val="9"/>
      <name val="等线"/>
      <family val="2"/>
      <charset val="134"/>
      <scheme val="minor"/>
    </font>
    <font>
      <b/>
      <sz val="10"/>
      <color rgb="FFFF0000"/>
      <name val="Arial"/>
      <family val="2"/>
    </font>
    <font>
      <sz val="10"/>
      <color rgb="FFFF0000"/>
      <name val="Arial"/>
      <family val="2"/>
    </font>
    <font>
      <b/>
      <sz val="10"/>
      <name val="Arial"/>
      <family val="2"/>
    </font>
    <font>
      <u/>
      <sz val="11"/>
      <color theme="10"/>
      <name val="Arial"/>
      <family val="2"/>
    </font>
    <font>
      <sz val="14"/>
      <color theme="1"/>
      <name val="Arial"/>
      <family val="2"/>
    </font>
    <font>
      <b/>
      <sz val="10"/>
      <color indexed="10"/>
      <name val="Arial"/>
      <family val="2"/>
    </font>
    <font>
      <b/>
      <sz val="10"/>
      <color theme="1"/>
      <name val="Arial"/>
      <family val="2"/>
    </font>
    <font>
      <sz val="11"/>
      <color theme="1"/>
      <name val="等线"/>
      <family val="2"/>
      <scheme val="minor"/>
    </font>
    <font>
      <b/>
      <sz val="10"/>
      <color theme="1"/>
      <name val="Arial"/>
      <family val="2"/>
      <charset val="134"/>
    </font>
    <font>
      <b/>
      <sz val="14"/>
      <color theme="0"/>
      <name val="Arial"/>
      <family val="2"/>
    </font>
    <font>
      <sz val="6"/>
      <name val="等线"/>
      <family val="3"/>
      <charset val="128"/>
      <scheme val="minor"/>
    </font>
    <font>
      <b/>
      <sz val="14"/>
      <color rgb="FFFFC000"/>
      <name val="Arial"/>
      <family val="2"/>
    </font>
    <font>
      <b/>
      <sz val="12"/>
      <color rgb="FF000000"/>
      <name val="Arial"/>
      <family val="2"/>
    </font>
    <font>
      <sz val="8"/>
      <name val="EYInterstate Light"/>
      <family val="2"/>
    </font>
    <font>
      <b/>
      <i/>
      <sz val="10"/>
      <color rgb="FFFF0000"/>
      <name val="Arial"/>
      <family val="2"/>
    </font>
    <font>
      <b/>
      <i/>
      <sz val="10"/>
      <color theme="0"/>
      <name val="EYInterstate Light"/>
    </font>
    <font>
      <sz val="11"/>
      <color theme="1"/>
      <name val="SimSun"/>
      <family val="3"/>
      <charset val="134"/>
    </font>
    <font>
      <u/>
      <sz val="11"/>
      <color theme="10"/>
      <name val="SimSun"/>
      <family val="3"/>
      <charset val="134"/>
    </font>
    <font>
      <sz val="11"/>
      <color theme="1"/>
      <name val="SimSun"/>
      <family val="3"/>
      <charset val="134"/>
    </font>
    <font>
      <sz val="8"/>
      <name val="等线"/>
      <family val="2"/>
      <scheme val="minor"/>
    </font>
    <font>
      <b/>
      <sz val="12"/>
      <color indexed="8"/>
      <name val="Arial"/>
      <family val="2"/>
    </font>
    <font>
      <b/>
      <sz val="18"/>
      <color indexed="8"/>
      <name val="Arial"/>
      <family val="2"/>
    </font>
    <font>
      <u/>
      <sz val="11"/>
      <color theme="10"/>
      <name val="等线"/>
      <family val="2"/>
      <scheme val="minor"/>
    </font>
    <font>
      <b/>
      <strike/>
      <sz val="10"/>
      <color rgb="FFFF0000"/>
      <name val="Arial"/>
      <family val="2"/>
    </font>
    <font>
      <b/>
      <sz val="14"/>
      <color rgb="FFFFFFFF"/>
      <name val="Arial"/>
      <family val="2"/>
    </font>
    <font>
      <sz val="10"/>
      <color rgb="FFFFFFFF"/>
      <name val="Arial"/>
      <family val="2"/>
    </font>
    <font>
      <u/>
      <sz val="10"/>
      <color theme="10"/>
      <name val="Arial"/>
      <family val="2"/>
    </font>
    <font>
      <u/>
      <sz val="11"/>
      <color rgb="FFFF0000"/>
      <name val="等线"/>
      <family val="3"/>
      <charset val="134"/>
      <scheme val="minor"/>
    </font>
    <font>
      <u/>
      <sz val="11"/>
      <color rgb="FFFF0000"/>
      <name val="Arial"/>
      <family val="2"/>
    </font>
    <font>
      <i/>
      <sz val="10"/>
      <name val="Arial"/>
      <family val="2"/>
    </font>
    <font>
      <b/>
      <sz val="14"/>
      <color rgb="FFFF0000"/>
      <name val="微软雅黑"/>
      <family val="2"/>
      <charset val="134"/>
    </font>
    <font>
      <b/>
      <sz val="14"/>
      <color rgb="FF000000"/>
      <name val="Arial"/>
      <family val="2"/>
    </font>
    <font>
      <b/>
      <u/>
      <sz val="10"/>
      <color theme="4"/>
      <name val="Arial"/>
      <family val="2"/>
    </font>
    <font>
      <u/>
      <sz val="11"/>
      <color rgb="FFFF0000"/>
      <name val="微软雅黑"/>
      <family val="2"/>
      <charset val="134"/>
    </font>
    <font>
      <sz val="10"/>
      <color rgb="FF000000"/>
      <name val="微软雅黑"/>
      <family val="2"/>
    </font>
    <font>
      <sz val="10"/>
      <name val="微软雅黑"/>
      <family val="2"/>
    </font>
    <font>
      <b/>
      <sz val="14"/>
      <name val="Arial"/>
      <family val="2"/>
    </font>
    <font>
      <sz val="10"/>
      <color theme="1"/>
      <name val="微软雅黑"/>
      <family val="2"/>
      <charset val="134"/>
    </font>
    <font>
      <sz val="10"/>
      <color theme="1"/>
      <name val="微软雅黑"/>
      <family val="2"/>
    </font>
    <font>
      <b/>
      <sz val="10"/>
      <color rgb="FFFF0000"/>
      <name val="微软雅黑"/>
      <family val="2"/>
    </font>
    <font>
      <b/>
      <sz val="10"/>
      <color theme="1"/>
      <name val="微软雅黑"/>
      <family val="2"/>
    </font>
    <font>
      <sz val="10"/>
      <color rgb="FFFF0000"/>
      <name val="微软雅黑"/>
      <family val="2"/>
    </font>
    <font>
      <b/>
      <sz val="14"/>
      <color rgb="FF000000"/>
      <name val="微软雅黑"/>
      <family val="2"/>
      <charset val="134"/>
    </font>
    <font>
      <b/>
      <sz val="14"/>
      <color rgb="FF000000"/>
      <name val="微软雅黑"/>
      <family val="2"/>
    </font>
    <font>
      <b/>
      <sz val="10"/>
      <color rgb="FF000000"/>
      <name val="微软雅黑"/>
      <family val="2"/>
    </font>
    <font>
      <b/>
      <sz val="10"/>
      <name val="微软雅黑"/>
      <family val="2"/>
    </font>
    <font>
      <b/>
      <u/>
      <sz val="10"/>
      <color theme="4"/>
      <name val="微软雅黑"/>
      <family val="2"/>
    </font>
    <font>
      <b/>
      <sz val="14"/>
      <color theme="0"/>
      <name val="微软雅黑"/>
      <family val="2"/>
      <charset val="134"/>
    </font>
    <font>
      <sz val="14"/>
      <color theme="1"/>
      <name val="微软雅黑"/>
      <family val="2"/>
    </font>
    <font>
      <b/>
      <sz val="14"/>
      <color rgb="FFFFC000"/>
      <name val="微软雅黑"/>
      <family val="2"/>
    </font>
    <font>
      <b/>
      <sz val="12"/>
      <color rgb="FF000000"/>
      <name val="微软雅黑"/>
      <family val="2"/>
    </font>
    <font>
      <sz val="11"/>
      <color theme="1"/>
      <name val="微软雅黑"/>
      <family val="2"/>
    </font>
    <font>
      <u/>
      <sz val="11"/>
      <color rgb="FFFF0000"/>
      <name val="微软雅黑"/>
      <family val="2"/>
    </font>
    <font>
      <b/>
      <sz val="10"/>
      <color indexed="10"/>
      <name val="微软雅黑"/>
      <family val="2"/>
    </font>
    <font>
      <b/>
      <i/>
      <sz val="10"/>
      <color rgb="FFFF0000"/>
      <name val="微软雅黑"/>
      <family val="2"/>
    </font>
    <font>
      <i/>
      <sz val="10"/>
      <name val="微软雅黑"/>
      <family val="2"/>
    </font>
    <font>
      <b/>
      <sz val="14"/>
      <color theme="0"/>
      <name val="微软雅黑"/>
      <family val="2"/>
    </font>
    <font>
      <b/>
      <sz val="12"/>
      <color indexed="8"/>
      <name val="微软雅黑"/>
      <family val="2"/>
    </font>
    <font>
      <b/>
      <sz val="14"/>
      <color rgb="FFFFFFFF"/>
      <name val="微软雅黑"/>
      <family val="2"/>
    </font>
    <font>
      <b/>
      <i/>
      <sz val="10"/>
      <name val="微软雅黑"/>
      <family val="2"/>
    </font>
    <font>
      <b/>
      <sz val="18"/>
      <color indexed="8"/>
      <name val="微软雅黑"/>
      <family val="2"/>
    </font>
    <font>
      <sz val="7"/>
      <color rgb="FF2E2E38"/>
      <name val="微软雅黑"/>
      <family val="2"/>
    </font>
    <font>
      <sz val="10"/>
      <color theme="1"/>
      <name val="Arial"/>
      <family val="2"/>
    </font>
    <font>
      <sz val="12"/>
      <color rgb="FF000000"/>
      <name val="Arial"/>
      <family val="2"/>
    </font>
    <font>
      <sz val="12"/>
      <color theme="1"/>
      <name val="Arial"/>
      <family val="2"/>
    </font>
    <font>
      <sz val="11"/>
      <color theme="1"/>
      <name val="Arial"/>
      <family val="2"/>
    </font>
    <font>
      <sz val="10"/>
      <color indexed="10"/>
      <name val="Arial"/>
      <family val="2"/>
    </font>
    <font>
      <sz val="10"/>
      <color rgb="FF242424"/>
      <name val="Arial"/>
      <family val="2"/>
    </font>
    <font>
      <b/>
      <sz val="12"/>
      <name val="Arial"/>
      <family val="2"/>
    </font>
    <font>
      <b/>
      <sz val="12"/>
      <color rgb="FFFF0000"/>
      <name val="Arial"/>
      <family val="2"/>
    </font>
    <font>
      <b/>
      <vertAlign val="superscript"/>
      <sz val="10"/>
      <color rgb="FFFF0000"/>
      <name val="Arial"/>
      <family val="2"/>
    </font>
    <font>
      <b/>
      <sz val="10"/>
      <color rgb="FF0000FF"/>
      <name val="Arial"/>
      <family val="2"/>
    </font>
    <font>
      <b/>
      <strike/>
      <sz val="10"/>
      <color rgb="FF0000FF"/>
      <name val="Arial"/>
      <family val="2"/>
    </font>
    <font>
      <b/>
      <sz val="10"/>
      <color indexed="10"/>
      <name val="Arial"/>
      <family val="2"/>
    </font>
    <font>
      <i/>
      <sz val="10"/>
      <color rgb="FF000000"/>
      <name val="Arial"/>
      <family val="2"/>
    </font>
    <font>
      <b/>
      <i/>
      <sz val="10"/>
      <color theme="1"/>
      <name val="Arial"/>
      <family val="2"/>
    </font>
    <font>
      <b/>
      <sz val="12"/>
      <color indexed="8"/>
      <name val="微软雅黑"/>
      <family val="2"/>
      <charset val="134"/>
    </font>
    <font>
      <b/>
      <sz val="12"/>
      <color rgb="FF000000"/>
      <name val="微软雅黑"/>
      <family val="2"/>
      <charset val="134"/>
    </font>
    <font>
      <sz val="14"/>
      <color theme="1"/>
      <name val="微软雅黑"/>
      <family val="2"/>
      <charset val="134"/>
    </font>
    <font>
      <b/>
      <sz val="14"/>
      <color rgb="FFFFC000"/>
      <name val="微软雅黑"/>
      <family val="2"/>
      <charset val="134"/>
    </font>
    <font>
      <b/>
      <sz val="18"/>
      <color indexed="8"/>
      <name val="微软雅黑"/>
      <family val="2"/>
      <charset val="134"/>
    </font>
    <font>
      <b/>
      <i/>
      <sz val="9"/>
      <color rgb="FFFF0000"/>
      <name val="Arial"/>
      <family val="2"/>
    </font>
    <font>
      <sz val="10"/>
      <color theme="1"/>
      <name val="Arial"/>
      <family val="2"/>
    </font>
    <font>
      <b/>
      <sz val="10"/>
      <color indexed="10"/>
      <name val="Arial"/>
      <family val="2"/>
    </font>
    <font>
      <sz val="10"/>
      <name val="Arial"/>
      <family val="2"/>
    </font>
    <font>
      <i/>
      <sz val="10"/>
      <color theme="1"/>
      <name val="Arial"/>
      <family val="2"/>
    </font>
    <font>
      <u/>
      <sz val="10"/>
      <color rgb="FFFF0000"/>
      <name val="Arial"/>
      <family val="2"/>
    </font>
    <font>
      <b/>
      <sz val="10"/>
      <color rgb="FF000000"/>
      <name val="微软雅黑"/>
      <family val="2"/>
      <charset val="134"/>
    </font>
    <font>
      <u/>
      <sz val="11"/>
      <color theme="10"/>
      <name val="等线"/>
      <family val="3"/>
      <charset val="134"/>
      <scheme val="minor"/>
    </font>
    <font>
      <sz val="10"/>
      <name val="微软雅黑"/>
      <family val="2"/>
      <charset val="134"/>
    </font>
    <font>
      <u/>
      <sz val="11"/>
      <color theme="10"/>
      <name val="等线"/>
      <family val="3"/>
      <charset val="134"/>
      <scheme val="minor"/>
    </font>
    <font>
      <b/>
      <sz val="16"/>
      <color rgb="FFFF0000"/>
      <name val="Arial"/>
      <family val="2"/>
    </font>
  </fonts>
  <fills count="1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79"/>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2"/>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4.9989318521683403E-2"/>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79"/>
        <bgColor rgb="FF000000"/>
      </patternFill>
    </fill>
    <fill>
      <patternFill patternType="solid">
        <fgColor rgb="FFFFFFFF"/>
        <bgColor rgb="FF000000"/>
      </patternFill>
    </fill>
    <fill>
      <patternFill patternType="solid">
        <fgColor rgb="FFFFFFCC"/>
        <bgColor indexed="64"/>
      </patternFill>
    </fill>
  </fills>
  <borders count="69">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s>
  <cellStyleXfs count="337">
    <xf numFmtId="0" fontId="0" fillId="0" borderId="0">
      <alignment vertical="center"/>
    </xf>
    <xf numFmtId="0" fontId="24" fillId="0" borderId="0"/>
    <xf numFmtId="165" fontId="24" fillId="0" borderId="0" applyFont="0" applyFill="0" applyBorder="0" applyProtection="0"/>
    <xf numFmtId="164" fontId="9" fillId="0" borderId="0" applyFont="0" applyFill="0" applyBorder="0" applyAlignment="0" applyProtection="0"/>
    <xf numFmtId="0" fontId="10" fillId="6" borderId="11" applyNumberFormat="0" applyAlignment="0" applyProtection="0"/>
    <xf numFmtId="9"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164" fontId="9"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4" fontId="24" fillId="0" borderId="5">
      <alignment horizontal="right"/>
    </xf>
    <xf numFmtId="0" fontId="24" fillId="0" borderId="0"/>
    <xf numFmtId="0" fontId="10" fillId="6" borderId="11" applyNumberFormat="0" applyAlignment="0" applyProtection="0"/>
    <xf numFmtId="165" fontId="24" fillId="0" borderId="0" applyFont="0" applyFill="0" applyBorder="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0" fontId="24" fillId="0" borderId="0"/>
    <xf numFmtId="165" fontId="24" fillId="0" borderId="0" applyFont="0" applyFill="0" applyBorder="0" applyProtection="0"/>
    <xf numFmtId="165" fontId="24" fillId="0" borderId="0" applyFont="0" applyAlignment="0" applyProtection="0"/>
    <xf numFmtId="164" fontId="24" fillId="0" borderId="0" applyFont="0" applyFill="0" applyBorder="0" applyAlignment="0" applyProtection="0"/>
    <xf numFmtId="165" fontId="24" fillId="0" borderId="0" applyFont="0" applyFill="0" applyBorder="0" applyProtection="0"/>
    <xf numFmtId="164" fontId="24" fillId="0" borderId="0" applyFont="0" applyFill="0" applyBorder="0" applyAlignment="0" applyProtection="0"/>
    <xf numFmtId="165" fontId="5" fillId="0" borderId="0" applyFont="0" applyFill="0" applyBorder="0" applyAlignment="0" applyProtection="0"/>
    <xf numFmtId="165" fontId="11" fillId="0" borderId="0" applyAlignment="0"/>
    <xf numFmtId="165" fontId="24" fillId="0" borderId="0" applyFont="0" applyFill="0" applyBorder="0" applyAlignment="0" applyProtection="0"/>
    <xf numFmtId="165" fontId="24" fillId="0" borderId="0" applyFont="0" applyFill="0" applyBorder="0" applyAlignment="0" applyProtection="0"/>
    <xf numFmtId="165" fontId="9" fillId="0" borderId="0" applyFont="0" applyFill="0" applyBorder="0" applyAlignment="0" applyProtection="0"/>
    <xf numFmtId="0" fontId="24" fillId="0" borderId="5" applyAlignment="0"/>
    <xf numFmtId="0" fontId="24" fillId="0" borderId="5" applyAlignment="0"/>
    <xf numFmtId="0" fontId="12" fillId="7" borderId="0" applyNumberFormat="0" applyBorder="0" applyAlignment="0" applyProtection="0"/>
    <xf numFmtId="0" fontId="12" fillId="7"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4" fillId="0" borderId="0" applyAlignment="0"/>
    <xf numFmtId="0" fontId="5" fillId="0" borderId="0"/>
    <xf numFmtId="0" fontId="24" fillId="0" borderId="0"/>
    <xf numFmtId="0" fontId="24" fillId="0" borderId="0"/>
    <xf numFmtId="0" fontId="24" fillId="0" borderId="0"/>
    <xf numFmtId="0" fontId="24" fillId="0" borderId="0" applyAlignment="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protection locked="0"/>
    </xf>
    <xf numFmtId="0" fontId="24" fillId="0" borderId="0">
      <protection locked="0"/>
    </xf>
    <xf numFmtId="0" fontId="24" fillId="0" borderId="0"/>
    <xf numFmtId="0" fontId="24" fillId="0" borderId="0"/>
    <xf numFmtId="0" fontId="5" fillId="0" borderId="0"/>
    <xf numFmtId="0" fontId="13" fillId="0" borderId="0">
      <alignment vertical="center"/>
    </xf>
    <xf numFmtId="0" fontId="13" fillId="0" borderId="0">
      <alignment vertical="center"/>
    </xf>
    <xf numFmtId="0" fontId="13" fillId="0" borderId="0">
      <alignment vertical="center"/>
    </xf>
    <xf numFmtId="0" fontId="11" fillId="0" borderId="0" applyAlignment="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Alignment="0"/>
    <xf numFmtId="0" fontId="24" fillId="0" borderId="0" applyAlignment="0"/>
    <xf numFmtId="0" fontId="24" fillId="0" borderId="0"/>
    <xf numFmtId="0" fontId="14" fillId="0" borderId="0"/>
    <xf numFmtId="0" fontId="6" fillId="0" borderId="0"/>
    <xf numFmtId="0" fontId="9" fillId="0" borderId="0"/>
    <xf numFmtId="0" fontId="24" fillId="0" borderId="0"/>
    <xf numFmtId="0" fontId="24" fillId="0" borderId="0"/>
    <xf numFmtId="0" fontId="14" fillId="0" borderId="0"/>
    <xf numFmtId="0" fontId="24" fillId="0" borderId="0">
      <alignment vertical="center"/>
    </xf>
    <xf numFmtId="9" fontId="9" fillId="0" borderId="0" applyFont="0" applyFill="0" applyBorder="0" applyAlignment="0" applyProtection="0"/>
    <xf numFmtId="0" fontId="5" fillId="0" borderId="0"/>
    <xf numFmtId="0" fontId="15" fillId="0" borderId="0"/>
    <xf numFmtId="166" fontId="24" fillId="0" borderId="0" applyFont="0" applyFill="0" applyBorder="0" applyAlignment="0" applyProtection="0"/>
    <xf numFmtId="166"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Protection="0"/>
    <xf numFmtId="9" fontId="5" fillId="0" borderId="0" applyFont="0" applyFill="0" applyBorder="0" applyAlignment="0" applyProtection="0"/>
    <xf numFmtId="9" fontId="24" fillId="0" borderId="0" applyFont="0" applyFill="0" applyBorder="0" applyProtection="0"/>
    <xf numFmtId="9" fontId="24" fillId="0" borderId="0" applyFont="0" applyFill="0" applyBorder="0" applyProtection="0"/>
    <xf numFmtId="167" fontId="14" fillId="0" borderId="0"/>
    <xf numFmtId="167" fontId="16" fillId="0" borderId="0"/>
    <xf numFmtId="167" fontId="16" fillId="0" borderId="0"/>
    <xf numFmtId="0" fontId="5" fillId="0" borderId="0">
      <protection locked="0"/>
    </xf>
    <xf numFmtId="0" fontId="17" fillId="0" borderId="0">
      <protection locked="0"/>
    </xf>
    <xf numFmtId="0" fontId="24" fillId="0" borderId="0"/>
    <xf numFmtId="0" fontId="17" fillId="0" borderId="0">
      <protection locked="0"/>
    </xf>
    <xf numFmtId="0" fontId="17" fillId="0" borderId="0">
      <protection locked="0"/>
    </xf>
    <xf numFmtId="0" fontId="9" fillId="0" borderId="0"/>
    <xf numFmtId="0" fontId="17" fillId="0" borderId="0">
      <protection locked="0"/>
    </xf>
    <xf numFmtId="0" fontId="5" fillId="0" borderId="0">
      <protection locked="0"/>
    </xf>
    <xf numFmtId="0" fontId="14" fillId="0" borderId="0"/>
    <xf numFmtId="0" fontId="24" fillId="0" borderId="0"/>
    <xf numFmtId="0" fontId="24" fillId="0" borderId="0"/>
    <xf numFmtId="0" fontId="8" fillId="0" borderId="0" applyNumberFormat="0" applyFill="0" applyBorder="0" applyProtection="0"/>
    <xf numFmtId="0" fontId="18" fillId="0" borderId="0"/>
    <xf numFmtId="165" fontId="5" fillId="0" borderId="0" applyFont="0" applyFill="0" applyBorder="0" applyAlignment="0" applyProtection="0"/>
    <xf numFmtId="165" fontId="5" fillId="0" borderId="0" applyFont="0" applyFill="0" applyBorder="0" applyAlignment="0" applyProtection="0"/>
    <xf numFmtId="165" fontId="17" fillId="0" borderId="0" applyFont="0" applyAlignment="0" applyProtection="0"/>
    <xf numFmtId="165" fontId="24" fillId="0" borderId="0" applyFont="0" applyFill="0" applyBorder="0" applyProtection="0"/>
    <xf numFmtId="165" fontId="24" fillId="0" borderId="0" applyFont="0" applyFill="0" applyBorder="0" applyProtection="0"/>
    <xf numFmtId="165" fontId="9" fillId="0" borderId="0" applyFont="0" applyFill="0" applyBorder="0" applyAlignment="0" applyProtection="0"/>
    <xf numFmtId="165" fontId="24" fillId="0" borderId="0" applyFont="0" applyFill="0" applyBorder="0" applyProtection="0"/>
    <xf numFmtId="165" fontId="26" fillId="0" borderId="0" applyFont="0" applyFill="0" applyBorder="0" applyAlignment="0" applyProtection="0"/>
    <xf numFmtId="0" fontId="14" fillId="0" borderId="0"/>
    <xf numFmtId="0" fontId="14" fillId="0" borderId="0"/>
    <xf numFmtId="0" fontId="26" fillId="0" borderId="0">
      <alignment vertical="center"/>
    </xf>
    <xf numFmtId="0" fontId="27" fillId="0" borderId="0" applyNumberFormat="0" applyFill="0" applyBorder="0">
      <protection locked="0"/>
    </xf>
    <xf numFmtId="0" fontId="26" fillId="0" borderId="0">
      <alignment vertical="center"/>
    </xf>
    <xf numFmtId="165" fontId="24" fillId="0" borderId="0" applyFont="0" applyFill="0" applyBorder="0" applyProtection="0"/>
    <xf numFmtId="164" fontId="9"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9" fillId="0" borderId="0" applyFont="0" applyFill="0" applyBorder="0" applyAlignment="0" applyProtection="0"/>
    <xf numFmtId="165" fontId="24" fillId="0" borderId="0" applyFont="0" applyFill="0" applyBorder="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5" fontId="24" fillId="0" borderId="0" applyFont="0" applyFill="0" applyBorder="0" applyProtection="0"/>
    <xf numFmtId="165" fontId="24" fillId="0" borderId="0" applyFont="0" applyAlignment="0" applyProtection="0"/>
    <xf numFmtId="164" fontId="24" fillId="0" borderId="0" applyFont="0" applyFill="0" applyBorder="0" applyAlignment="0" applyProtection="0"/>
    <xf numFmtId="165" fontId="24" fillId="0" borderId="0" applyFont="0" applyFill="0" applyBorder="0" applyProtection="0"/>
    <xf numFmtId="164" fontId="24" fillId="0" borderId="0" applyFont="0" applyFill="0" applyBorder="0" applyAlignment="0" applyProtection="0"/>
    <xf numFmtId="165" fontId="5"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9"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7" fillId="0" borderId="0" applyFont="0" applyAlignment="0" applyProtection="0"/>
    <xf numFmtId="165" fontId="24" fillId="0" borderId="0" applyFont="0" applyFill="0" applyBorder="0" applyProtection="0"/>
    <xf numFmtId="165" fontId="24" fillId="0" borderId="0" applyFont="0" applyFill="0" applyBorder="0" applyProtection="0"/>
    <xf numFmtId="165" fontId="9" fillId="0" borderId="0" applyFont="0" applyFill="0" applyBorder="0" applyAlignment="0" applyProtection="0"/>
    <xf numFmtId="165" fontId="24" fillId="0" borderId="0" applyFont="0" applyFill="0" applyBorder="0" applyProtection="0"/>
    <xf numFmtId="165" fontId="26" fillId="0" borderId="0" applyFont="0" applyFill="0" applyBorder="0" applyAlignment="0" applyProtection="0"/>
    <xf numFmtId="0" fontId="24"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6" fillId="0" borderId="0"/>
    <xf numFmtId="0" fontId="24" fillId="0" borderId="0"/>
    <xf numFmtId="0" fontId="24" fillId="0" borderId="0">
      <alignment vertical="center"/>
    </xf>
    <xf numFmtId="0" fontId="26" fillId="0" borderId="0">
      <alignment vertical="center"/>
    </xf>
    <xf numFmtId="0" fontId="24" fillId="0" borderId="0"/>
    <xf numFmtId="0" fontId="24" fillId="0" borderId="0">
      <alignment vertical="center"/>
    </xf>
    <xf numFmtId="0" fontId="13" fillId="0" borderId="0">
      <alignment vertical="center"/>
    </xf>
    <xf numFmtId="0" fontId="26" fillId="0" borderId="0">
      <alignment vertical="center"/>
    </xf>
    <xf numFmtId="0" fontId="5" fillId="0" borderId="0"/>
    <xf numFmtId="0" fontId="13" fillId="0" borderId="0">
      <alignment vertical="center"/>
    </xf>
    <xf numFmtId="0" fontId="8" fillId="0" borderId="0" applyNumberFormat="0" applyFill="0" applyBorder="0" applyProtection="0"/>
    <xf numFmtId="0" fontId="24" fillId="0" borderId="0">
      <alignment vertical="center"/>
    </xf>
    <xf numFmtId="9" fontId="24" fillId="0" borderId="0" applyFont="0" applyFill="0" applyBorder="0" applyAlignment="0" applyProtection="0"/>
    <xf numFmtId="0" fontId="24" fillId="0" borderId="0">
      <alignment vertical="center"/>
    </xf>
    <xf numFmtId="0" fontId="24" fillId="0" borderId="0"/>
    <xf numFmtId="0" fontId="8" fillId="0" borderId="0" applyNumberFormat="0" applyFill="0" applyBorder="0" applyAlignment="0" applyProtection="0">
      <alignment vertical="center"/>
    </xf>
    <xf numFmtId="0" fontId="2" fillId="0" borderId="0"/>
    <xf numFmtId="0" fontId="2" fillId="0" borderId="0">
      <alignment vertical="center"/>
    </xf>
    <xf numFmtId="0" fontId="36" fillId="0" borderId="0"/>
    <xf numFmtId="0" fontId="1" fillId="0" borderId="0"/>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0" fontId="1" fillId="0" borderId="0">
      <alignment vertical="center"/>
    </xf>
    <xf numFmtId="0" fontId="1" fillId="0" borderId="0">
      <alignment vertical="center"/>
    </xf>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alignment vertical="center"/>
    </xf>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0" fontId="36" fillId="0" borderId="0"/>
    <xf numFmtId="0" fontId="42" fillId="0" borderId="0">
      <alignment vertical="center"/>
    </xf>
    <xf numFmtId="0" fontId="3" fillId="0" borderId="0"/>
    <xf numFmtId="165" fontId="36" fillId="0" borderId="0" applyFont="0" applyFill="0" applyBorder="0" applyAlignment="0" applyProtection="0"/>
    <xf numFmtId="0" fontId="45" fillId="0" borderId="0"/>
    <xf numFmtId="0" fontId="46" fillId="0" borderId="0" applyNumberFormat="0" applyFill="0" applyBorder="0" applyAlignment="0" applyProtection="0"/>
    <xf numFmtId="0" fontId="47" fillId="0" borderId="0"/>
    <xf numFmtId="165" fontId="47" fillId="0" borderId="0" applyFont="0" applyFill="0" applyBorder="0" applyAlignment="0" applyProtection="0"/>
    <xf numFmtId="38" fontId="47" fillId="0" borderId="0" applyFont="0" applyFill="0" applyBorder="0" applyAlignment="0" applyProtection="0">
      <alignment vertical="center"/>
    </xf>
    <xf numFmtId="170" fontId="47" fillId="0" borderId="0" applyFont="0" applyFill="0" applyBorder="0" applyAlignment="0" applyProtection="0"/>
    <xf numFmtId="0" fontId="51" fillId="0" borderId="0" applyNumberFormat="0" applyFill="0" applyBorder="0" applyAlignment="0" applyProtection="0"/>
    <xf numFmtId="38" fontId="36" fillId="0" borderId="0" applyFont="0" applyFill="0" applyBorder="0" applyAlignment="0" applyProtection="0">
      <alignment vertical="center"/>
    </xf>
    <xf numFmtId="170" fontId="36" fillId="0" borderId="0" applyFont="0" applyFill="0" applyBorder="0" applyAlignment="0" applyProtection="0"/>
    <xf numFmtId="0" fontId="36" fillId="0" borderId="0"/>
    <xf numFmtId="41" fontId="9" fillId="0" borderId="0" applyFont="0" applyFill="0" applyBorder="0" applyAlignment="0" applyProtection="0"/>
    <xf numFmtId="43" fontId="24" fillId="0" borderId="0" applyFont="0" applyAlignment="0" applyProtection="0"/>
    <xf numFmtId="43" fontId="24" fillId="0" borderId="0" applyFont="0" applyFill="0" applyBorder="0" applyProtection="0"/>
    <xf numFmtId="43" fontId="24" fillId="0" borderId="0" applyFont="0" applyFill="0" applyBorder="0" applyAlignment="0" applyProtection="0"/>
    <xf numFmtId="0" fontId="55" fillId="0" borderId="0" applyNumberFormat="0" applyFill="0" applyBorder="0" applyAlignment="0" applyProtection="0"/>
    <xf numFmtId="0" fontId="1" fillId="0" borderId="0">
      <alignment vertical="center"/>
    </xf>
    <xf numFmtId="0" fontId="14" fillId="0" borderId="0"/>
    <xf numFmtId="0" fontId="42" fillId="0" borderId="0">
      <alignment vertical="center"/>
    </xf>
    <xf numFmtId="0" fontId="1" fillId="0" borderId="0"/>
    <xf numFmtId="0" fontId="1" fillId="0" borderId="0"/>
    <xf numFmtId="0" fontId="17" fillId="0" borderId="0"/>
    <xf numFmtId="9" fontId="24" fillId="0" borderId="0" applyFont="0" applyFill="0" applyBorder="0" applyAlignment="0" applyProtection="0"/>
    <xf numFmtId="9" fontId="24" fillId="0" borderId="0" applyFont="0" applyFill="0" applyBorder="0" applyAlignment="0" applyProtection="0"/>
    <xf numFmtId="0" fontId="9" fillId="0" borderId="0"/>
    <xf numFmtId="0" fontId="1" fillId="0" borderId="0">
      <alignment vertical="center"/>
    </xf>
    <xf numFmtId="0" fontId="1" fillId="0" borderId="0">
      <alignment vertical="center"/>
    </xf>
    <xf numFmtId="0" fontId="1" fillId="0" borderId="0">
      <alignment vertical="center"/>
    </xf>
    <xf numFmtId="0" fontId="1" fillId="0" borderId="0"/>
    <xf numFmtId="43" fontId="5" fillId="0" borderId="0" applyFont="0" applyFill="0" applyBorder="0" applyAlignment="0" applyProtection="0"/>
    <xf numFmtId="43" fontId="1" fillId="0" borderId="0" applyFont="0" applyFill="0" applyBorder="0" applyProtection="0"/>
    <xf numFmtId="0" fontId="36" fillId="0" borderId="0"/>
    <xf numFmtId="43" fontId="36" fillId="0" borderId="0" applyFont="0" applyFill="0" applyBorder="0" applyAlignment="0" applyProtection="0">
      <alignment vertical="center"/>
    </xf>
    <xf numFmtId="0" fontId="117" fillId="0" borderId="0" applyNumberFormat="0" applyFill="0" applyBorder="0" applyAlignment="0" applyProtection="0">
      <alignment vertical="center"/>
    </xf>
    <xf numFmtId="0" fontId="119" fillId="0" borderId="0" applyNumberFormat="0" applyFill="0" applyBorder="0" applyAlignment="0" applyProtection="0">
      <alignment vertical="center"/>
    </xf>
  </cellStyleXfs>
  <cellXfs count="634">
    <xf numFmtId="0" fontId="0" fillId="0" borderId="0" xfId="0">
      <alignment vertical="center"/>
    </xf>
    <xf numFmtId="49" fontId="0" fillId="0" borderId="0" xfId="0" applyNumberFormat="1">
      <alignment vertical="center"/>
    </xf>
    <xf numFmtId="0" fontId="6" fillId="0" borderId="0" xfId="0" applyFont="1">
      <alignment vertical="center"/>
    </xf>
    <xf numFmtId="0" fontId="5" fillId="0" borderId="0" xfId="0" applyFont="1">
      <alignment vertical="center"/>
    </xf>
    <xf numFmtId="0" fontId="5" fillId="0" borderId="0" xfId="0" applyFont="1" applyAlignment="1">
      <alignment horizontal="left" vertical="center"/>
    </xf>
    <xf numFmtId="0" fontId="6" fillId="2" borderId="0" xfId="164" applyFont="1" applyFill="1">
      <alignment vertical="center"/>
    </xf>
    <xf numFmtId="0" fontId="6" fillId="0" borderId="0" xfId="100" applyFont="1" applyAlignment="1" applyProtection="1">
      <alignment vertical="center"/>
      <protection locked="0"/>
    </xf>
    <xf numFmtId="0" fontId="5" fillId="0" borderId="0" xfId="100" applyFont="1" applyAlignment="1" applyProtection="1">
      <alignment vertical="center"/>
      <protection locked="0"/>
    </xf>
    <xf numFmtId="9" fontId="6" fillId="0" borderId="0" xfId="165" applyFont="1" applyAlignment="1" applyProtection="1">
      <alignment vertical="center"/>
      <protection locked="0"/>
    </xf>
    <xf numFmtId="0" fontId="29" fillId="2" borderId="0" xfId="164" applyFont="1" applyFill="1">
      <alignment vertical="center"/>
    </xf>
    <xf numFmtId="0" fontId="6" fillId="0" borderId="0" xfId="171" applyFont="1" applyAlignment="1" applyProtection="1">
      <alignment vertical="center"/>
      <protection locked="0"/>
    </xf>
    <xf numFmtId="0" fontId="6" fillId="0" borderId="0" xfId="171" applyFont="1" applyAlignment="1" applyProtection="1">
      <alignment horizontal="center" vertical="center" wrapText="1"/>
      <protection locked="0"/>
    </xf>
    <xf numFmtId="0" fontId="4" fillId="0" borderId="0" xfId="171" applyFont="1" applyAlignment="1" applyProtection="1">
      <alignment horizontal="left" vertical="center"/>
      <protection locked="0"/>
    </xf>
    <xf numFmtId="0" fontId="29" fillId="0" borderId="0" xfId="171" applyFont="1" applyAlignment="1" applyProtection="1">
      <alignment horizontal="center" vertical="center"/>
      <protection locked="0"/>
    </xf>
    <xf numFmtId="0" fontId="33" fillId="10" borderId="8" xfId="171" applyFont="1" applyFill="1" applyBorder="1" applyAlignment="1" applyProtection="1">
      <alignment horizontal="centerContinuous" vertical="center"/>
      <protection locked="0"/>
    </xf>
    <xf numFmtId="0" fontId="40" fillId="11" borderId="10" xfId="171" applyFont="1" applyFill="1" applyBorder="1" applyAlignment="1" applyProtection="1">
      <alignment horizontal="centerContinuous" vertical="center"/>
      <protection locked="0"/>
    </xf>
    <xf numFmtId="0" fontId="40" fillId="11" borderId="3" xfId="171" applyFont="1" applyFill="1" applyBorder="1" applyAlignment="1" applyProtection="1">
      <alignment horizontal="centerContinuous" vertical="center"/>
      <protection locked="0"/>
    </xf>
    <xf numFmtId="0" fontId="6" fillId="14" borderId="0" xfId="171" applyFont="1" applyFill="1" applyAlignment="1" applyProtection="1">
      <alignment vertical="center"/>
      <protection locked="0"/>
    </xf>
    <xf numFmtId="0" fontId="49" fillId="13" borderId="7" xfId="171" applyFont="1" applyFill="1" applyBorder="1" applyAlignment="1" applyProtection="1">
      <alignment vertical="center"/>
      <protection locked="0"/>
    </xf>
    <xf numFmtId="0" fontId="49" fillId="13" borderId="8" xfId="171" applyFont="1" applyFill="1" applyBorder="1" applyAlignment="1" applyProtection="1">
      <alignment vertical="center"/>
      <protection locked="0"/>
    </xf>
    <xf numFmtId="0" fontId="49" fillId="13" borderId="4" xfId="171" applyFont="1" applyFill="1" applyBorder="1" applyAlignment="1" applyProtection="1">
      <alignment vertical="center"/>
      <protection locked="0"/>
    </xf>
    <xf numFmtId="0" fontId="50" fillId="0" borderId="0" xfId="171" applyFont="1" applyAlignment="1" applyProtection="1">
      <alignment vertical="center" wrapText="1"/>
      <protection locked="0"/>
    </xf>
    <xf numFmtId="0" fontId="35" fillId="0" borderId="0" xfId="171" applyFont="1" applyAlignment="1" applyProtection="1">
      <alignment vertical="center"/>
      <protection locked="0"/>
    </xf>
    <xf numFmtId="0" fontId="52" fillId="0" borderId="0" xfId="171" applyFont="1" applyAlignment="1" applyProtection="1">
      <alignment horizontal="center" vertical="center"/>
      <protection locked="0"/>
    </xf>
    <xf numFmtId="0" fontId="29" fillId="0" borderId="5" xfId="302" applyNumberFormat="1" applyFont="1" applyFill="1" applyBorder="1" applyAlignment="1" applyProtection="1">
      <alignment vertical="center"/>
      <protection locked="0"/>
    </xf>
    <xf numFmtId="171" fontId="4" fillId="0" borderId="0" xfId="311" applyNumberFormat="1" applyFont="1" applyFill="1" applyBorder="1" applyAlignment="1" applyProtection="1">
      <alignment horizontal="center" vertical="center"/>
      <protection locked="0"/>
    </xf>
    <xf numFmtId="0" fontId="3" fillId="0" borderId="0" xfId="171" applyFont="1" applyAlignment="1" applyProtection="1">
      <alignment horizontal="center" vertical="center"/>
      <protection locked="0"/>
    </xf>
    <xf numFmtId="169" fontId="35" fillId="0" borderId="0" xfId="171" applyNumberFormat="1" applyFont="1" applyAlignment="1" applyProtection="1">
      <alignment vertical="center"/>
      <protection locked="0"/>
    </xf>
    <xf numFmtId="169" fontId="29" fillId="0" borderId="0" xfId="171" applyNumberFormat="1" applyFont="1" applyAlignment="1" applyProtection="1">
      <alignment horizontal="center" vertical="center"/>
      <protection locked="0"/>
    </xf>
    <xf numFmtId="0" fontId="6" fillId="0" borderId="0" xfId="312" applyFont="1" applyAlignment="1" applyProtection="1">
      <alignment vertical="center"/>
      <protection locked="0"/>
    </xf>
    <xf numFmtId="0" fontId="4" fillId="0" borderId="0" xfId="312" applyFont="1"/>
    <xf numFmtId="0" fontId="4" fillId="15" borderId="0" xfId="312" applyFont="1" applyFill="1"/>
    <xf numFmtId="0" fontId="4" fillId="0" borderId="0" xfId="312" applyFont="1" applyAlignment="1">
      <alignment vertical="center"/>
    </xf>
    <xf numFmtId="0" fontId="41" fillId="13" borderId="26" xfId="312" applyFont="1" applyFill="1" applyBorder="1" applyAlignment="1">
      <alignment vertical="center"/>
    </xf>
    <xf numFmtId="0" fontId="41" fillId="13" borderId="27" xfId="312" applyFont="1" applyFill="1" applyBorder="1" applyAlignment="1">
      <alignment vertical="center"/>
    </xf>
    <xf numFmtId="0" fontId="4" fillId="15" borderId="0" xfId="312" applyFont="1" applyFill="1" applyAlignment="1">
      <alignment vertical="center"/>
    </xf>
    <xf numFmtId="0" fontId="54" fillId="0" borderId="0" xfId="312" applyFont="1"/>
    <xf numFmtId="0" fontId="5" fillId="0" borderId="0" xfId="312" applyFont="1"/>
    <xf numFmtId="0" fontId="49" fillId="0" borderId="0" xfId="171" applyFont="1" applyAlignment="1" applyProtection="1">
      <alignment vertical="center"/>
      <protection locked="0"/>
    </xf>
    <xf numFmtId="0" fontId="5" fillId="0" borderId="0" xfId="58" applyFont="1" applyAlignment="1" applyProtection="1">
      <alignment horizontal="left" vertical="top" wrapText="1"/>
      <protection locked="0"/>
    </xf>
    <xf numFmtId="0" fontId="4" fillId="0" borderId="0" xfId="150" applyFont="1">
      <alignment vertical="center"/>
    </xf>
    <xf numFmtId="0" fontId="6" fillId="0" borderId="0" xfId="150" applyFont="1" applyAlignment="1">
      <alignment horizontal="center" vertical="center"/>
    </xf>
    <xf numFmtId="0" fontId="6" fillId="0" borderId="0" xfId="150" applyFont="1">
      <alignment vertical="center"/>
    </xf>
    <xf numFmtId="0" fontId="35" fillId="0" borderId="0" xfId="150" applyFont="1" applyAlignment="1">
      <alignment horizontal="center" vertical="center"/>
    </xf>
    <xf numFmtId="0" fontId="30" fillId="0" borderId="0" xfId="150" applyFont="1">
      <alignment vertical="center"/>
    </xf>
    <xf numFmtId="0" fontId="6" fillId="0" borderId="0" xfId="150" applyFont="1" applyAlignment="1">
      <alignment horizontal="left" vertical="center"/>
    </xf>
    <xf numFmtId="0" fontId="57" fillId="5" borderId="0" xfId="335" applyFont="1" applyFill="1" applyAlignment="1" applyProtection="1">
      <alignment vertical="center"/>
      <protection locked="0"/>
    </xf>
    <xf numFmtId="0" fontId="6" fillId="5" borderId="4" xfId="171" applyFont="1" applyFill="1" applyBorder="1" applyAlignment="1" applyProtection="1">
      <alignment vertical="center"/>
      <protection locked="0"/>
    </xf>
    <xf numFmtId="0" fontId="5" fillId="0" borderId="5" xfId="2" applyNumberFormat="1" applyFont="1" applyFill="1" applyBorder="1" applyAlignment="1" applyProtection="1">
      <alignment horizontal="left" vertical="center" shrinkToFit="1"/>
    </xf>
    <xf numFmtId="0" fontId="6" fillId="14" borderId="18" xfId="171" applyFont="1" applyFill="1" applyBorder="1" applyAlignment="1" applyProtection="1">
      <alignment vertical="center"/>
      <protection locked="0"/>
    </xf>
    <xf numFmtId="0" fontId="29" fillId="0" borderId="0" xfId="0" applyFont="1" applyAlignment="1" applyProtection="1">
      <alignment horizontal="center" vertical="center"/>
      <protection locked="0"/>
    </xf>
    <xf numFmtId="0" fontId="56" fillId="0" borderId="0" xfId="335" applyFont="1" applyFill="1" applyAlignment="1" applyProtection="1">
      <alignment vertical="center"/>
      <protection locked="0"/>
    </xf>
    <xf numFmtId="0" fontId="59" fillId="0" borderId="0" xfId="0" applyFont="1" applyAlignment="1"/>
    <xf numFmtId="0" fontId="6" fillId="0" borderId="13" xfId="0" applyFont="1" applyBorder="1" applyAlignment="1" applyProtection="1">
      <alignment horizontal="left" vertical="center"/>
      <protection locked="0"/>
    </xf>
    <xf numFmtId="0" fontId="6" fillId="0" borderId="0" xfId="333" applyFont="1" applyAlignment="1">
      <alignment vertical="center"/>
    </xf>
    <xf numFmtId="43" fontId="6" fillId="0" borderId="5" xfId="334" applyFont="1" applyBorder="1" applyAlignment="1" applyProtection="1">
      <alignment vertical="center" shrinkToFit="1"/>
    </xf>
    <xf numFmtId="43" fontId="6" fillId="0" borderId="5" xfId="333" applyNumberFormat="1" applyFont="1" applyBorder="1" applyAlignment="1">
      <alignment vertical="center" shrinkToFit="1"/>
    </xf>
    <xf numFmtId="0" fontId="5" fillId="0" borderId="4" xfId="2" applyNumberFormat="1" applyFont="1" applyFill="1" applyBorder="1" applyAlignment="1" applyProtection="1">
      <alignment horizontal="left" vertical="center" shrinkToFit="1"/>
    </xf>
    <xf numFmtId="0" fontId="5" fillId="0" borderId="24" xfId="2" applyNumberFormat="1" applyFont="1" applyFill="1" applyBorder="1" applyAlignment="1" applyProtection="1">
      <alignment horizontal="left" vertical="center" shrinkToFit="1"/>
    </xf>
    <xf numFmtId="0" fontId="35" fillId="8" borderId="13" xfId="150" applyFont="1" applyFill="1" applyBorder="1" applyAlignment="1">
      <alignment horizontal="center" vertical="center"/>
    </xf>
    <xf numFmtId="0" fontId="31" fillId="8" borderId="13" xfId="169" applyFont="1" applyFill="1" applyBorder="1" applyAlignment="1">
      <alignment horizontal="center" vertical="center" wrapText="1"/>
    </xf>
    <xf numFmtId="0" fontId="5" fillId="0" borderId="13" xfId="150" applyFont="1" applyBorder="1" applyAlignment="1">
      <alignment horizontal="center" vertical="center"/>
    </xf>
    <xf numFmtId="0" fontId="6" fillId="0" borderId="13" xfId="150" applyFont="1" applyBorder="1" applyAlignment="1">
      <alignment horizontal="center" vertical="center"/>
    </xf>
    <xf numFmtId="0" fontId="5" fillId="0" borderId="13" xfId="150" applyFont="1" applyBorder="1" applyAlignment="1">
      <alignment horizontal="center" vertical="center" wrapText="1"/>
    </xf>
    <xf numFmtId="0" fontId="30" fillId="0" borderId="13" xfId="150" applyFont="1" applyBorder="1" applyAlignment="1">
      <alignment horizontal="center" vertical="center" wrapText="1"/>
    </xf>
    <xf numFmtId="0" fontId="61" fillId="0" borderId="13" xfId="335" quotePrefix="1" applyFont="1" applyFill="1" applyBorder="1" applyAlignment="1">
      <alignment horizontal="center" vertical="center" wrapText="1"/>
    </xf>
    <xf numFmtId="0" fontId="65" fillId="0" borderId="0" xfId="0" applyFont="1">
      <alignment vertical="center"/>
    </xf>
    <xf numFmtId="0" fontId="67" fillId="0" borderId="0" xfId="0" applyFont="1">
      <alignment vertical="center"/>
    </xf>
    <xf numFmtId="0" fontId="69" fillId="0" borderId="0" xfId="0" applyFont="1">
      <alignment vertical="center"/>
    </xf>
    <xf numFmtId="0" fontId="32" fillId="0" borderId="0" xfId="335" applyFont="1">
      <alignment vertical="center"/>
    </xf>
    <xf numFmtId="0" fontId="66" fillId="0" borderId="0" xfId="171" applyFont="1" applyAlignment="1" applyProtection="1">
      <alignment vertical="center"/>
      <protection locked="0"/>
    </xf>
    <xf numFmtId="0" fontId="81" fillId="5" borderId="0" xfId="335" applyFont="1" applyFill="1" applyAlignment="1" applyProtection="1">
      <alignment vertical="center"/>
      <protection locked="0"/>
    </xf>
    <xf numFmtId="0" fontId="67" fillId="0" borderId="0" xfId="0" applyFont="1" applyProtection="1">
      <alignment vertical="center"/>
      <protection locked="0"/>
    </xf>
    <xf numFmtId="0" fontId="67" fillId="2" borderId="0" xfId="0" applyFont="1" applyFill="1">
      <alignment vertical="center"/>
    </xf>
    <xf numFmtId="0" fontId="82" fillId="2" borderId="0" xfId="0" applyFont="1" applyFill="1">
      <alignment vertical="center"/>
    </xf>
    <xf numFmtId="0" fontId="67" fillId="0" borderId="0" xfId="0" applyFont="1" applyAlignment="1">
      <alignment vertical="center" shrinkToFit="1"/>
    </xf>
    <xf numFmtId="0" fontId="64" fillId="0" borderId="0" xfId="0" applyFont="1" applyAlignment="1">
      <alignment horizontal="left" vertical="center"/>
    </xf>
    <xf numFmtId="0" fontId="76" fillId="10" borderId="7" xfId="171" applyFont="1" applyFill="1" applyBorder="1" applyAlignment="1" applyProtection="1">
      <alignment horizontal="centerContinuous" vertical="center"/>
      <protection locked="0"/>
    </xf>
    <xf numFmtId="0" fontId="77" fillId="10" borderId="8" xfId="171" applyFont="1" applyFill="1" applyBorder="1" applyAlignment="1" applyProtection="1">
      <alignment horizontal="centerContinuous" vertical="center"/>
      <protection locked="0"/>
    </xf>
    <xf numFmtId="0" fontId="78" fillId="11" borderId="10" xfId="171" applyFont="1" applyFill="1" applyBorder="1" applyAlignment="1" applyProtection="1">
      <alignment horizontal="centerContinuous" vertical="center"/>
      <protection locked="0"/>
    </xf>
    <xf numFmtId="0" fontId="78" fillId="11" borderId="3" xfId="171" applyFont="1" applyFill="1" applyBorder="1" applyAlignment="1" applyProtection="1">
      <alignment horizontal="centerContinuous" vertical="center"/>
      <protection locked="0"/>
    </xf>
    <xf numFmtId="0" fontId="67" fillId="14" borderId="0" xfId="171" applyFont="1" applyFill="1" applyAlignment="1" applyProtection="1">
      <alignment vertical="center"/>
      <protection locked="0"/>
    </xf>
    <xf numFmtId="0" fontId="86" fillId="13" borderId="7" xfId="171" applyFont="1" applyFill="1" applyBorder="1" applyAlignment="1" applyProtection="1">
      <alignment vertical="center"/>
      <protection locked="0"/>
    </xf>
    <xf numFmtId="0" fontId="86" fillId="13" borderId="8" xfId="171" applyFont="1" applyFill="1" applyBorder="1" applyAlignment="1" applyProtection="1">
      <alignment vertical="center"/>
      <protection locked="0"/>
    </xf>
    <xf numFmtId="0" fontId="86" fillId="13" borderId="4" xfId="171" applyFont="1" applyFill="1" applyBorder="1" applyAlignment="1" applyProtection="1">
      <alignment vertical="center"/>
      <protection locked="0"/>
    </xf>
    <xf numFmtId="0" fontId="38" fillId="10" borderId="7" xfId="171" applyFont="1" applyFill="1" applyBorder="1" applyAlignment="1" applyProtection="1">
      <alignment horizontal="centerContinuous" vertical="center"/>
      <protection locked="0"/>
    </xf>
    <xf numFmtId="0" fontId="35" fillId="5" borderId="7" xfId="171" applyFont="1" applyFill="1" applyBorder="1" applyAlignment="1">
      <alignment vertical="center"/>
    </xf>
    <xf numFmtId="0" fontId="35" fillId="0" borderId="0" xfId="171" applyFont="1" applyAlignment="1" applyProtection="1">
      <alignment horizontal="center" vertical="center"/>
      <protection locked="0"/>
    </xf>
    <xf numFmtId="0" fontId="6" fillId="0" borderId="2" xfId="301" applyFont="1" applyBorder="1" applyAlignment="1" applyProtection="1">
      <alignment horizontal="center" vertical="center"/>
      <protection locked="0"/>
    </xf>
    <xf numFmtId="0" fontId="6" fillId="0" borderId="50" xfId="301" applyFont="1" applyBorder="1" applyAlignment="1" applyProtection="1">
      <alignment horizontal="center" vertical="center"/>
      <protection locked="0"/>
    </xf>
    <xf numFmtId="0" fontId="30" fillId="0" borderId="5" xfId="333" applyFont="1" applyBorder="1" applyAlignment="1">
      <alignment vertical="center"/>
    </xf>
    <xf numFmtId="0" fontId="6" fillId="2" borderId="5" xfId="333" applyFont="1" applyFill="1" applyBorder="1" applyAlignment="1">
      <alignment vertical="center"/>
    </xf>
    <xf numFmtId="0" fontId="3" fillId="0" borderId="0" xfId="312" applyFont="1"/>
    <xf numFmtId="0" fontId="41" fillId="13" borderId="25" xfId="312" applyFont="1" applyFill="1" applyBorder="1" applyAlignment="1">
      <alignment vertical="center"/>
    </xf>
    <xf numFmtId="0" fontId="3" fillId="0" borderId="0" xfId="312" applyFont="1" applyAlignment="1">
      <alignment vertical="center"/>
    </xf>
    <xf numFmtId="0" fontId="89" fillId="0" borderId="0" xfId="171" applyFont="1" applyAlignment="1" applyProtection="1">
      <alignment vertical="center" wrapText="1"/>
      <protection locked="0"/>
    </xf>
    <xf numFmtId="0" fontId="67" fillId="0" borderId="0" xfId="100" applyFont="1" applyAlignment="1">
      <alignment vertical="center"/>
    </xf>
    <xf numFmtId="9" fontId="67" fillId="0" borderId="0" xfId="5" applyFont="1" applyAlignment="1" applyProtection="1">
      <alignment vertical="center"/>
    </xf>
    <xf numFmtId="0" fontId="82" fillId="2" borderId="0" xfId="65" applyFont="1" applyFill="1" applyAlignment="1">
      <alignment vertical="center"/>
    </xf>
    <xf numFmtId="0" fontId="74" fillId="0" borderId="0" xfId="0" applyFont="1">
      <alignment vertical="center"/>
    </xf>
    <xf numFmtId="164" fontId="67" fillId="2" borderId="0" xfId="7" applyFont="1" applyFill="1" applyAlignment="1">
      <alignment vertical="center"/>
    </xf>
    <xf numFmtId="0" fontId="67" fillId="2" borderId="0" xfId="65" applyFont="1" applyFill="1" applyAlignment="1">
      <alignment vertical="center"/>
    </xf>
    <xf numFmtId="0" fontId="67" fillId="0" borderId="0" xfId="100" applyFont="1" applyAlignment="1" applyProtection="1">
      <alignment vertical="center"/>
      <protection locked="0"/>
    </xf>
    <xf numFmtId="9" fontId="67" fillId="0" borderId="0" xfId="87" applyFont="1" applyAlignment="1" applyProtection="1">
      <alignment vertical="center"/>
      <protection locked="0"/>
    </xf>
    <xf numFmtId="0" fontId="64" fillId="0" borderId="0" xfId="100" applyFont="1" applyAlignment="1" applyProtection="1">
      <alignment vertical="center"/>
      <protection locked="0"/>
    </xf>
    <xf numFmtId="0" fontId="82" fillId="0" borderId="0" xfId="65" applyFont="1" applyAlignment="1">
      <alignment vertical="center"/>
    </xf>
    <xf numFmtId="0" fontId="67" fillId="0" borderId="0" xfId="65" applyFont="1" applyAlignment="1">
      <alignment vertical="center"/>
    </xf>
    <xf numFmtId="9" fontId="67" fillId="0" borderId="0" xfId="87" applyFont="1" applyFill="1" applyAlignment="1" applyProtection="1">
      <alignment vertical="center"/>
      <protection locked="0"/>
    </xf>
    <xf numFmtId="0" fontId="68" fillId="17" borderId="0" xfId="0" applyFont="1" applyFill="1">
      <alignment vertical="center"/>
    </xf>
    <xf numFmtId="0" fontId="63" fillId="17" borderId="0" xfId="0" applyFont="1" applyFill="1">
      <alignment vertical="center"/>
    </xf>
    <xf numFmtId="0" fontId="63" fillId="0" borderId="0" xfId="0" applyFont="1">
      <alignment vertical="center"/>
    </xf>
    <xf numFmtId="0" fontId="67" fillId="0" borderId="0" xfId="164" applyFont="1">
      <alignment vertical="center"/>
    </xf>
    <xf numFmtId="0" fontId="67" fillId="2" borderId="0" xfId="164" applyFont="1" applyFill="1">
      <alignment vertical="center"/>
    </xf>
    <xf numFmtId="0" fontId="82" fillId="2" borderId="0" xfId="164" applyFont="1" applyFill="1">
      <alignment vertical="center"/>
    </xf>
    <xf numFmtId="9" fontId="67" fillId="0" borderId="0" xfId="165" applyFont="1" applyAlignment="1">
      <alignment vertical="center"/>
    </xf>
    <xf numFmtId="164" fontId="67" fillId="0" borderId="0" xfId="7" applyFont="1" applyFill="1" applyAlignment="1">
      <alignment vertical="center"/>
    </xf>
    <xf numFmtId="0" fontId="73" fillId="17" borderId="0" xfId="0" applyFont="1" applyFill="1">
      <alignment vertical="center"/>
    </xf>
    <xf numFmtId="0" fontId="73" fillId="0" borderId="0" xfId="0" applyFont="1">
      <alignment vertical="center"/>
    </xf>
    <xf numFmtId="0" fontId="67" fillId="0" borderId="0" xfId="0" applyFont="1" applyAlignment="1" applyProtection="1">
      <alignment horizontal="center" vertical="center"/>
      <protection locked="0"/>
    </xf>
    <xf numFmtId="165" fontId="64" fillId="2" borderId="0" xfId="111" applyFont="1" applyFill="1" applyBorder="1" applyAlignment="1">
      <alignment vertical="center"/>
    </xf>
    <xf numFmtId="0" fontId="74" fillId="5" borderId="36" xfId="0" applyFont="1" applyFill="1" applyBorder="1" applyAlignment="1">
      <alignment horizontal="center" vertical="center"/>
    </xf>
    <xf numFmtId="14" fontId="88" fillId="5" borderId="35" xfId="0" applyNumberFormat="1" applyFont="1" applyFill="1" applyBorder="1">
      <alignment vertical="center"/>
    </xf>
    <xf numFmtId="0" fontId="64" fillId="0" borderId="5" xfId="0" applyFont="1" applyBorder="1" applyAlignment="1">
      <alignment horizontal="left" vertical="center" wrapText="1" shrinkToFit="1"/>
    </xf>
    <xf numFmtId="0" fontId="64" fillId="0" borderId="36" xfId="0" applyFont="1" applyBorder="1" applyAlignment="1">
      <alignment horizontal="left" vertical="center" wrapText="1" shrinkToFit="1"/>
    </xf>
    <xf numFmtId="14" fontId="88" fillId="0" borderId="0" xfId="0" applyNumberFormat="1" applyFont="1" applyAlignment="1">
      <alignment horizontal="center" vertical="center"/>
    </xf>
    <xf numFmtId="14" fontId="64" fillId="0" borderId="0" xfId="0" applyNumberFormat="1" applyFont="1">
      <alignment vertical="center"/>
    </xf>
    <xf numFmtId="9" fontId="64" fillId="0" borderId="0" xfId="0" applyNumberFormat="1" applyFont="1">
      <alignment vertical="center"/>
    </xf>
    <xf numFmtId="165" fontId="64" fillId="0" borderId="0" xfId="111" applyFont="1" applyAlignment="1">
      <alignment vertical="center"/>
    </xf>
    <xf numFmtId="0" fontId="64" fillId="0" borderId="0" xfId="100" applyFont="1" applyAlignment="1">
      <alignment vertical="center"/>
    </xf>
    <xf numFmtId="0" fontId="80" fillId="3" borderId="0" xfId="0" applyFont="1" applyFill="1" applyAlignment="1">
      <alignment vertical="center" wrapText="1"/>
    </xf>
    <xf numFmtId="0" fontId="90" fillId="3" borderId="0" xfId="0" applyFont="1" applyFill="1" applyAlignment="1">
      <alignment vertical="center" wrapText="1"/>
    </xf>
    <xf numFmtId="0" fontId="30" fillId="0" borderId="13" xfId="0" applyFont="1" applyBorder="1" applyAlignment="1">
      <alignment vertical="center" wrapText="1"/>
    </xf>
    <xf numFmtId="0" fontId="91" fillId="0" borderId="0" xfId="171" applyFont="1" applyAlignment="1" applyProtection="1">
      <alignment vertical="center"/>
      <protection locked="0"/>
    </xf>
    <xf numFmtId="0" fontId="92" fillId="0" borderId="0" xfId="171" applyFont="1" applyAlignment="1">
      <alignment vertical="center"/>
    </xf>
    <xf numFmtId="0" fontId="92" fillId="12" borderId="18" xfId="171" applyFont="1" applyFill="1" applyBorder="1" applyAlignment="1">
      <alignment vertical="center"/>
    </xf>
    <xf numFmtId="0" fontId="93" fillId="0" borderId="0" xfId="171" applyFont="1" applyAlignment="1" applyProtection="1">
      <alignment vertical="center"/>
      <protection locked="0"/>
    </xf>
    <xf numFmtId="0" fontId="94" fillId="0" borderId="0" xfId="171" applyFont="1" applyAlignment="1" applyProtection="1">
      <alignment vertical="center"/>
      <protection locked="0"/>
    </xf>
    <xf numFmtId="0" fontId="91" fillId="0" borderId="0" xfId="300" applyFont="1" applyProtection="1">
      <alignment vertical="center"/>
      <protection locked="0"/>
    </xf>
    <xf numFmtId="0" fontId="91" fillId="2" borderId="0" xfId="0" applyFont="1" applyFill="1">
      <alignment vertical="center"/>
    </xf>
    <xf numFmtId="0" fontId="91" fillId="0" borderId="0" xfId="171" applyFont="1" applyAlignment="1" applyProtection="1">
      <alignment horizontal="left" vertical="center"/>
      <protection locked="0"/>
    </xf>
    <xf numFmtId="0" fontId="91" fillId="0" borderId="0" xfId="171" applyFont="1" applyAlignment="1" applyProtection="1">
      <alignment horizontal="left" vertical="center" wrapText="1"/>
      <protection locked="0"/>
    </xf>
    <xf numFmtId="0" fontId="96" fillId="0" borderId="0" xfId="0" applyFont="1" applyAlignment="1" applyProtection="1">
      <alignment horizontal="center" vertical="center"/>
      <protection locked="0"/>
    </xf>
    <xf numFmtId="0" fontId="91" fillId="2" borderId="0" xfId="171" applyFont="1" applyFill="1" applyAlignment="1">
      <alignment vertical="center"/>
    </xf>
    <xf numFmtId="0" fontId="91" fillId="0" borderId="0" xfId="312" applyFont="1" applyAlignment="1" applyProtection="1">
      <alignment vertical="center"/>
      <protection locked="0"/>
    </xf>
    <xf numFmtId="165" fontId="95" fillId="0" borderId="0" xfId="80" applyNumberFormat="1" applyFont="1" applyAlignment="1">
      <alignment horizontal="left" shrinkToFit="1"/>
    </xf>
    <xf numFmtId="0" fontId="97" fillId="0" borderId="56" xfId="171" applyFont="1" applyBorder="1" applyAlignment="1">
      <alignment horizontal="left" vertical="center"/>
    </xf>
    <xf numFmtId="0" fontId="97" fillId="0" borderId="33" xfId="171" applyFont="1" applyBorder="1" applyAlignment="1">
      <alignment horizontal="left" vertical="center"/>
    </xf>
    <xf numFmtId="14" fontId="97" fillId="13" borderId="12" xfId="161" applyNumberFormat="1" applyFont="1" applyFill="1" applyBorder="1" applyAlignment="1" applyProtection="1">
      <alignment horizontal="right" vertical="center"/>
      <protection locked="0"/>
    </xf>
    <xf numFmtId="0" fontId="97" fillId="0" borderId="57" xfId="171" applyFont="1" applyBorder="1" applyAlignment="1">
      <alignment horizontal="left" vertical="center"/>
    </xf>
    <xf numFmtId="0" fontId="100" fillId="0" borderId="5" xfId="0" applyFont="1" applyBorder="1" applyAlignment="1">
      <alignment horizontal="center" vertical="center"/>
    </xf>
    <xf numFmtId="0" fontId="101" fillId="0" borderId="5" xfId="0" applyFont="1" applyBorder="1" applyAlignment="1">
      <alignment horizontal="center" vertical="center"/>
    </xf>
    <xf numFmtId="0" fontId="102" fillId="2" borderId="0" xfId="0" applyFont="1" applyFill="1">
      <alignment vertical="center"/>
    </xf>
    <xf numFmtId="0" fontId="103" fillId="0" borderId="0" xfId="171" applyFont="1" applyAlignment="1" applyProtection="1">
      <alignment horizontal="left" vertical="center" wrapText="1"/>
      <protection locked="0"/>
    </xf>
    <xf numFmtId="0" fontId="100" fillId="0" borderId="0" xfId="0" applyFont="1" applyAlignment="1" applyProtection="1">
      <alignment horizontal="center" vertical="center"/>
      <protection locked="0"/>
    </xf>
    <xf numFmtId="0" fontId="104" fillId="0" borderId="0" xfId="301" applyFont="1" applyAlignment="1" applyProtection="1">
      <alignment horizontal="right" vertical="center"/>
      <protection locked="0"/>
    </xf>
    <xf numFmtId="165" fontId="100" fillId="0" borderId="0" xfId="105" applyFont="1" applyBorder="1" applyAlignment="1">
      <alignment horizontal="center" shrinkToFit="1"/>
    </xf>
    <xf numFmtId="0" fontId="20" fillId="0" borderId="0" xfId="171" applyFont="1" applyAlignment="1" applyProtection="1">
      <alignment vertical="center"/>
      <protection locked="0"/>
    </xf>
    <xf numFmtId="0" fontId="31" fillId="0" borderId="0" xfId="100" applyFont="1" applyAlignment="1">
      <alignment horizontal="left" vertical="center"/>
    </xf>
    <xf numFmtId="0" fontId="68" fillId="0" borderId="0" xfId="0" applyFont="1">
      <alignment vertical="center"/>
    </xf>
    <xf numFmtId="0" fontId="74" fillId="5" borderId="16" xfId="0" applyFont="1" applyFill="1" applyBorder="1" applyProtection="1">
      <alignment vertical="center"/>
      <protection locked="0"/>
    </xf>
    <xf numFmtId="0" fontId="74" fillId="5" borderId="17" xfId="0" applyFont="1" applyFill="1" applyBorder="1" applyProtection="1">
      <alignment vertical="center"/>
      <protection locked="0"/>
    </xf>
    <xf numFmtId="0" fontId="74" fillId="5" borderId="20" xfId="0" applyFont="1" applyFill="1" applyBorder="1" applyProtection="1">
      <alignment vertical="center"/>
      <protection locked="0"/>
    </xf>
    <xf numFmtId="0" fontId="74" fillId="5" borderId="5" xfId="0" applyFont="1" applyFill="1" applyBorder="1" applyAlignment="1">
      <alignment horizontal="center" vertical="center"/>
    </xf>
    <xf numFmtId="0" fontId="6" fillId="0" borderId="17" xfId="0" applyFont="1" applyBorder="1">
      <alignment vertical="center"/>
    </xf>
    <xf numFmtId="0" fontId="6" fillId="2" borderId="0" xfId="0" applyFont="1" applyFill="1">
      <alignment vertical="center"/>
    </xf>
    <xf numFmtId="0" fontId="6" fillId="0" borderId="1" xfId="0" applyFont="1" applyBorder="1">
      <alignment vertical="center"/>
    </xf>
    <xf numFmtId="0" fontId="6" fillId="0" borderId="21" xfId="0" applyFont="1" applyBorder="1">
      <alignment vertical="center"/>
    </xf>
    <xf numFmtId="0" fontId="20" fillId="14" borderId="18" xfId="171" applyFont="1" applyFill="1" applyBorder="1" applyAlignment="1" applyProtection="1">
      <alignment vertical="center"/>
      <protection locked="0"/>
    </xf>
    <xf numFmtId="0" fontId="109" fillId="0" borderId="0" xfId="171" applyFont="1" applyAlignment="1" applyProtection="1">
      <alignment vertical="center" wrapText="1"/>
      <protection locked="0"/>
    </xf>
    <xf numFmtId="0" fontId="4" fillId="0" borderId="0" xfId="0" applyFont="1">
      <alignment vertical="center"/>
    </xf>
    <xf numFmtId="0" fontId="73" fillId="5" borderId="43" xfId="0" applyFont="1" applyFill="1" applyBorder="1">
      <alignment vertical="center"/>
    </xf>
    <xf numFmtId="14" fontId="97" fillId="13" borderId="12" xfId="173" applyNumberFormat="1" applyFont="1" applyFill="1" applyBorder="1" applyAlignment="1">
      <alignment horizontal="right" vertical="center" shrinkToFit="1"/>
    </xf>
    <xf numFmtId="0" fontId="97" fillId="13" borderId="6" xfId="173" applyNumberFormat="1" applyFont="1" applyFill="1" applyBorder="1" applyAlignment="1">
      <alignment horizontal="right" vertical="center" shrinkToFit="1"/>
    </xf>
    <xf numFmtId="43" fontId="97" fillId="13" borderId="12" xfId="173" applyFont="1" applyFill="1" applyBorder="1" applyAlignment="1">
      <alignment horizontal="right" vertical="center" shrinkToFit="1"/>
    </xf>
    <xf numFmtId="0" fontId="97" fillId="13" borderId="12" xfId="173" applyNumberFormat="1" applyFont="1" applyFill="1" applyBorder="1" applyAlignment="1">
      <alignment horizontal="right" vertical="center" shrinkToFit="1"/>
    </xf>
    <xf numFmtId="0" fontId="97" fillId="13" borderId="2" xfId="173" applyNumberFormat="1" applyFont="1" applyFill="1" applyBorder="1" applyAlignment="1">
      <alignment horizontal="right" vertical="center" shrinkToFit="1"/>
    </xf>
    <xf numFmtId="0" fontId="110" fillId="0" borderId="0" xfId="0" applyFont="1">
      <alignment vertical="center"/>
    </xf>
    <xf numFmtId="0" fontId="64" fillId="0" borderId="35" xfId="0" applyFont="1" applyBorder="1" applyAlignment="1">
      <alignment horizontal="left" vertical="center" wrapText="1" shrinkToFit="1"/>
    </xf>
    <xf numFmtId="0" fontId="68" fillId="5" borderId="34" xfId="0" applyFont="1" applyFill="1" applyBorder="1" applyAlignment="1">
      <alignment horizontal="center" vertical="center" wrapText="1"/>
    </xf>
    <xf numFmtId="12" fontId="4" fillId="5" borderId="5" xfId="333" applyNumberFormat="1" applyFont="1" applyFill="1" applyBorder="1" applyAlignment="1">
      <alignment horizontal="left" vertical="center" wrapText="1"/>
    </xf>
    <xf numFmtId="12" fontId="4" fillId="5" borderId="5" xfId="333" applyNumberFormat="1" applyFont="1" applyFill="1" applyBorder="1" applyAlignment="1">
      <alignment horizontal="center" vertical="center" wrapText="1"/>
    </xf>
    <xf numFmtId="14" fontId="31" fillId="5" borderId="63" xfId="0" applyNumberFormat="1" applyFont="1" applyFill="1" applyBorder="1" applyAlignment="1" applyProtection="1">
      <alignment horizontal="center" vertical="center"/>
      <protection locked="0"/>
    </xf>
    <xf numFmtId="0" fontId="31" fillId="5" borderId="62" xfId="0" applyFont="1" applyFill="1" applyBorder="1" applyAlignment="1">
      <alignment horizontal="center" vertical="center" wrapText="1"/>
    </xf>
    <xf numFmtId="0" fontId="31" fillId="5" borderId="63" xfId="0" applyFont="1" applyFill="1" applyBorder="1" applyAlignment="1">
      <alignment horizontal="center" vertical="center" wrapText="1"/>
    </xf>
    <xf numFmtId="0" fontId="31" fillId="5" borderId="16" xfId="0" applyFont="1" applyFill="1" applyBorder="1" applyAlignment="1" applyProtection="1">
      <alignment horizontal="centerContinuous" vertical="center"/>
      <protection locked="0"/>
    </xf>
    <xf numFmtId="0" fontId="31" fillId="5" borderId="17" xfId="0" applyFont="1" applyFill="1" applyBorder="1" applyAlignment="1" applyProtection="1">
      <alignment horizontal="centerContinuous" vertical="center"/>
      <protection locked="0"/>
    </xf>
    <xf numFmtId="0" fontId="31" fillId="5" borderId="20" xfId="0" applyFont="1" applyFill="1" applyBorder="1" applyAlignment="1" applyProtection="1">
      <alignment horizontal="centerContinuous" vertical="center"/>
      <protection locked="0"/>
    </xf>
    <xf numFmtId="0" fontId="29" fillId="0" borderId="5" xfId="302" applyNumberFormat="1" applyFont="1" applyFill="1" applyBorder="1" applyAlignment="1" applyProtection="1">
      <alignment horizontal="left" vertical="center"/>
      <protection locked="0"/>
    </xf>
    <xf numFmtId="0" fontId="29" fillId="0" borderId="5" xfId="302" applyNumberFormat="1" applyFont="1" applyFill="1" applyBorder="1" applyAlignment="1" applyProtection="1">
      <alignment horizontal="center" vertical="center"/>
      <protection locked="0"/>
    </xf>
    <xf numFmtId="0" fontId="74" fillId="5" borderId="35" xfId="0" applyFont="1" applyFill="1" applyBorder="1" applyAlignment="1">
      <alignment horizontal="center" vertical="center"/>
    </xf>
    <xf numFmtId="0" fontId="74" fillId="5" borderId="5" xfId="0" applyFont="1" applyFill="1" applyBorder="1" applyAlignment="1">
      <alignment horizontal="center" vertical="center" wrapText="1"/>
    </xf>
    <xf numFmtId="0" fontId="73" fillId="5" borderId="5" xfId="0" applyFont="1" applyFill="1" applyBorder="1" applyAlignment="1">
      <alignment horizontal="center" vertical="center" wrapText="1"/>
    </xf>
    <xf numFmtId="14" fontId="69" fillId="5" borderId="5" xfId="0" applyNumberFormat="1" applyFont="1" applyFill="1" applyBorder="1" applyAlignment="1">
      <alignment horizontal="center" vertical="center" wrapText="1"/>
    </xf>
    <xf numFmtId="0" fontId="111" fillId="0" borderId="0" xfId="171" applyFont="1" applyAlignment="1" applyProtection="1">
      <alignment vertical="center"/>
      <protection locked="0"/>
    </xf>
    <xf numFmtId="0" fontId="112" fillId="0" borderId="0" xfId="0" applyFont="1">
      <alignment vertical="center"/>
    </xf>
    <xf numFmtId="0" fontId="111" fillId="0" borderId="0" xfId="0" applyFont="1">
      <alignment vertical="center"/>
    </xf>
    <xf numFmtId="0" fontId="111" fillId="0" borderId="0" xfId="100" applyFont="1" applyAlignment="1">
      <alignment vertical="center"/>
    </xf>
    <xf numFmtId="9" fontId="111" fillId="0" borderId="0" xfId="85" applyFont="1" applyAlignment="1" applyProtection="1">
      <alignment vertical="center"/>
    </xf>
    <xf numFmtId="0" fontId="113" fillId="0" borderId="0" xfId="100" applyFont="1" applyAlignment="1">
      <alignment vertical="center"/>
    </xf>
    <xf numFmtId="0" fontId="111" fillId="0" borderId="0" xfId="0" applyFont="1" applyAlignment="1">
      <alignment horizontal="right" vertical="center"/>
    </xf>
    <xf numFmtId="0" fontId="111" fillId="0" borderId="0" xfId="100" applyFont="1" applyAlignment="1">
      <alignment horizontal="center" vertical="center"/>
    </xf>
    <xf numFmtId="0" fontId="115" fillId="5" borderId="0" xfId="335" applyFont="1" applyFill="1" applyAlignment="1" applyProtection="1">
      <alignment vertical="center"/>
      <protection locked="0"/>
    </xf>
    <xf numFmtId="43" fontId="64" fillId="0" borderId="5" xfId="0" applyNumberFormat="1" applyFont="1" applyBorder="1" applyAlignment="1">
      <alignment horizontal="right" vertical="center" wrapText="1" shrinkToFit="1"/>
    </xf>
    <xf numFmtId="0" fontId="76" fillId="10" borderId="60" xfId="171" applyFont="1" applyFill="1" applyBorder="1" applyAlignment="1" applyProtection="1">
      <alignment horizontal="centerContinuous" vertical="center"/>
      <protection locked="0"/>
    </xf>
    <xf numFmtId="0" fontId="76" fillId="10" borderId="26" xfId="171" applyFont="1" applyFill="1" applyBorder="1" applyAlignment="1" applyProtection="1">
      <alignment horizontal="centerContinuous" vertical="center"/>
      <protection locked="0"/>
    </xf>
    <xf numFmtId="0" fontId="107" fillId="10" borderId="26" xfId="171" applyFont="1" applyFill="1" applyBorder="1" applyAlignment="1" applyProtection="1">
      <alignment horizontal="centerContinuous" vertical="center"/>
      <protection locked="0"/>
    </xf>
    <xf numFmtId="0" fontId="108" fillId="11" borderId="66" xfId="171" applyFont="1" applyFill="1" applyBorder="1" applyAlignment="1" applyProtection="1">
      <alignment horizontal="centerContinuous" vertical="center"/>
      <protection locked="0"/>
    </xf>
    <xf numFmtId="0" fontId="108" fillId="11" borderId="68" xfId="171" applyFont="1" applyFill="1" applyBorder="1" applyAlignment="1" applyProtection="1">
      <alignment horizontal="centerContinuous" vertical="center"/>
      <protection locked="0"/>
    </xf>
    <xf numFmtId="0" fontId="105" fillId="13" borderId="53" xfId="171" applyFont="1" applyFill="1" applyBorder="1" applyAlignment="1" applyProtection="1">
      <alignment vertical="center"/>
      <protection locked="0"/>
    </xf>
    <xf numFmtId="0" fontId="105" fillId="13" borderId="23" xfId="171" applyFont="1" applyFill="1" applyBorder="1" applyAlignment="1" applyProtection="1">
      <alignment vertical="center"/>
      <protection locked="0"/>
    </xf>
    <xf numFmtId="0" fontId="105" fillId="13" borderId="52" xfId="171" applyFont="1" applyFill="1" applyBorder="1" applyAlignment="1" applyProtection="1">
      <alignment vertical="center"/>
      <protection locked="0"/>
    </xf>
    <xf numFmtId="0" fontId="5" fillId="0" borderId="2" xfId="2" applyNumberFormat="1" applyFont="1" applyFill="1" applyBorder="1" applyAlignment="1" applyProtection="1">
      <alignment horizontal="left" vertical="center" shrinkToFit="1"/>
    </xf>
    <xf numFmtId="0" fontId="37" fillId="5" borderId="0" xfId="171" applyFont="1" applyFill="1" applyAlignment="1" applyProtection="1">
      <alignment vertical="center"/>
      <protection locked="0"/>
    </xf>
    <xf numFmtId="0" fontId="6" fillId="5" borderId="0" xfId="171" applyFont="1" applyFill="1" applyAlignment="1" applyProtection="1">
      <alignment vertical="center"/>
      <protection locked="0"/>
    </xf>
    <xf numFmtId="0" fontId="38" fillId="10" borderId="39" xfId="171" applyFont="1" applyFill="1" applyBorder="1" applyAlignment="1" applyProtection="1">
      <alignment horizontal="centerContinuous" vertical="center"/>
      <protection locked="0"/>
    </xf>
    <xf numFmtId="0" fontId="33" fillId="10" borderId="28" xfId="171" applyFont="1" applyFill="1" applyBorder="1" applyAlignment="1" applyProtection="1">
      <alignment horizontal="centerContinuous" vertical="center"/>
      <protection locked="0"/>
    </xf>
    <xf numFmtId="0" fontId="40" fillId="11" borderId="54" xfId="171" applyFont="1" applyFill="1" applyBorder="1" applyAlignment="1" applyProtection="1">
      <alignment horizontal="centerContinuous" vertical="center"/>
      <protection locked="0"/>
    </xf>
    <xf numFmtId="0" fontId="40" fillId="11" borderId="55" xfId="171" applyFont="1" applyFill="1" applyBorder="1" applyAlignment="1" applyProtection="1">
      <alignment horizontal="centerContinuous" vertical="center"/>
      <protection locked="0"/>
    </xf>
    <xf numFmtId="0" fontId="4" fillId="0" borderId="0" xfId="171" applyFont="1" applyAlignment="1">
      <alignment vertical="center"/>
    </xf>
    <xf numFmtId="0" fontId="4" fillId="12" borderId="18" xfId="171" applyFont="1" applyFill="1" applyBorder="1" applyAlignment="1">
      <alignment vertical="center"/>
    </xf>
    <xf numFmtId="0" fontId="41" fillId="13" borderId="53" xfId="171" applyFont="1" applyFill="1" applyBorder="1" applyAlignment="1" applyProtection="1">
      <alignment vertical="center"/>
      <protection locked="0"/>
    </xf>
    <xf numFmtId="0" fontId="41" fillId="13" borderId="23" xfId="171" applyFont="1" applyFill="1" applyBorder="1" applyAlignment="1" applyProtection="1">
      <alignment vertical="center" wrapText="1"/>
      <protection locked="0"/>
    </xf>
    <xf numFmtId="0" fontId="41" fillId="13" borderId="52" xfId="171" applyFont="1" applyFill="1" applyBorder="1" applyAlignment="1" applyProtection="1">
      <alignment vertical="center" wrapText="1"/>
      <protection locked="0"/>
    </xf>
    <xf numFmtId="0" fontId="6" fillId="0" borderId="0" xfId="0" applyFont="1" applyProtection="1">
      <alignment vertical="center"/>
      <protection locked="0"/>
    </xf>
    <xf numFmtId="0" fontId="31" fillId="5" borderId="7" xfId="0" applyFont="1" applyFill="1" applyBorder="1" applyAlignment="1">
      <alignment horizontal="centerContinuous" vertical="center"/>
    </xf>
    <xf numFmtId="0" fontId="31" fillId="5" borderId="4" xfId="0" applyFont="1" applyFill="1" applyBorder="1" applyAlignment="1">
      <alignment horizontal="centerContinuous" vertical="center"/>
    </xf>
    <xf numFmtId="0" fontId="29" fillId="0" borderId="5" xfId="0" applyFont="1" applyBorder="1" applyAlignment="1">
      <alignment horizontal="center" vertical="center"/>
    </xf>
    <xf numFmtId="0" fontId="6" fillId="0" borderId="7" xfId="0" applyFont="1" applyBorder="1">
      <alignment vertical="center"/>
    </xf>
    <xf numFmtId="0" fontId="5" fillId="0" borderId="5" xfId="173" applyNumberFormat="1" applyFont="1" applyFill="1" applyBorder="1" applyAlignment="1">
      <alignment horizontal="left" vertical="center" shrinkToFit="1"/>
    </xf>
    <xf numFmtId="169" fontId="4" fillId="2" borderId="7" xfId="173" applyNumberFormat="1" applyFont="1" applyFill="1" applyBorder="1" applyAlignment="1" applyProtection="1">
      <alignment horizontal="right" vertical="center"/>
      <protection locked="0"/>
    </xf>
    <xf numFmtId="169" fontId="6" fillId="2" borderId="15" xfId="173" applyNumberFormat="1" applyFont="1" applyFill="1" applyBorder="1" applyAlignment="1" applyProtection="1">
      <alignment vertical="center"/>
      <protection locked="0"/>
    </xf>
    <xf numFmtId="0" fontId="6" fillId="0" borderId="8" xfId="0" applyFont="1" applyBorder="1">
      <alignment vertical="center"/>
    </xf>
    <xf numFmtId="0" fontId="6" fillId="0" borderId="4" xfId="0" applyFont="1" applyBorder="1">
      <alignment vertical="center"/>
    </xf>
    <xf numFmtId="169" fontId="6" fillId="2" borderId="31" xfId="173" applyNumberFormat="1" applyFont="1" applyFill="1" applyBorder="1" applyAlignment="1" applyProtection="1">
      <alignment vertical="center"/>
      <protection locked="0"/>
    </xf>
    <xf numFmtId="0" fontId="5" fillId="0" borderId="7" xfId="167" applyFont="1" applyBorder="1" applyAlignment="1">
      <alignment vertical="center"/>
    </xf>
    <xf numFmtId="0" fontId="6" fillId="0" borderId="28" xfId="0" applyFont="1" applyBorder="1">
      <alignment vertical="center"/>
    </xf>
    <xf numFmtId="0" fontId="6" fillId="0" borderId="29" xfId="0" applyFont="1" applyBorder="1">
      <alignment vertical="center"/>
    </xf>
    <xf numFmtId="0" fontId="29" fillId="0" borderId="5" xfId="0" applyFont="1" applyBorder="1" applyAlignment="1" applyProtection="1">
      <alignment horizontal="center" vertical="center"/>
      <protection locked="0"/>
    </xf>
    <xf numFmtId="0" fontId="6" fillId="0" borderId="1" xfId="0" applyFont="1" applyBorder="1" applyProtection="1">
      <alignment vertical="center"/>
      <protection locked="0"/>
    </xf>
    <xf numFmtId="0" fontId="6" fillId="0" borderId="8" xfId="0" applyFont="1" applyBorder="1" applyProtection="1">
      <alignment vertical="center"/>
      <protection locked="0"/>
    </xf>
    <xf numFmtId="0" fontId="6" fillId="0" borderId="4" xfId="0" applyFont="1" applyBorder="1" applyProtection="1">
      <alignment vertical="center"/>
      <protection locked="0"/>
    </xf>
    <xf numFmtId="0" fontId="5" fillId="0" borderId="30" xfId="173" applyNumberFormat="1" applyFont="1" applyFill="1" applyBorder="1" applyAlignment="1">
      <alignment horizontal="left" vertical="center" shrinkToFit="1"/>
    </xf>
    <xf numFmtId="169" fontId="6" fillId="2" borderId="32" xfId="173" applyNumberFormat="1" applyFont="1" applyFill="1" applyBorder="1" applyAlignment="1" applyProtection="1">
      <alignment vertical="center"/>
      <protection locked="0"/>
    </xf>
    <xf numFmtId="0" fontId="6" fillId="0" borderId="0" xfId="300" applyFont="1" applyProtection="1">
      <alignment vertical="center"/>
      <protection locked="0"/>
    </xf>
    <xf numFmtId="0" fontId="29" fillId="0" borderId="34" xfId="0" applyFont="1" applyBorder="1" applyAlignment="1">
      <alignment horizontal="center" vertical="center"/>
    </xf>
    <xf numFmtId="0" fontId="4" fillId="0" borderId="61" xfId="0" applyFont="1" applyBorder="1">
      <alignment vertical="center"/>
    </xf>
    <xf numFmtId="0" fontId="6" fillId="0" borderId="21" xfId="0" applyFont="1" applyBorder="1" applyProtection="1">
      <alignment vertical="center"/>
      <protection locked="0"/>
    </xf>
    <xf numFmtId="0" fontId="29" fillId="0" borderId="0" xfId="0" applyFont="1" applyAlignment="1">
      <alignment horizontal="center" vertical="center"/>
    </xf>
    <xf numFmtId="0" fontId="31" fillId="0" borderId="0" xfId="171" applyFont="1" applyAlignment="1">
      <alignment vertical="center"/>
    </xf>
    <xf numFmtId="0" fontId="43" fillId="0" borderId="0" xfId="171" applyFont="1" applyAlignment="1" applyProtection="1">
      <alignment vertical="center" wrapText="1"/>
      <protection locked="0"/>
    </xf>
    <xf numFmtId="0" fontId="31" fillId="5" borderId="7" xfId="171" applyFont="1" applyFill="1" applyBorder="1" applyAlignment="1">
      <alignment horizontal="centerContinuous" vertical="center"/>
    </xf>
    <xf numFmtId="0" fontId="31" fillId="5" borderId="4" xfId="171" applyFont="1" applyFill="1" applyBorder="1" applyAlignment="1">
      <alignment horizontal="centerContinuous" vertical="center"/>
    </xf>
    <xf numFmtId="169" fontId="5" fillId="0" borderId="0" xfId="173" applyNumberFormat="1" applyFont="1" applyFill="1" applyBorder="1" applyAlignment="1" applyProtection="1">
      <alignment vertical="center" wrapText="1"/>
      <protection locked="0"/>
    </xf>
    <xf numFmtId="0" fontId="5" fillId="0" borderId="0" xfId="162" applyFont="1" applyAlignment="1" applyProtection="1">
      <alignment horizontal="center" vertical="center" wrapText="1"/>
      <protection locked="0"/>
    </xf>
    <xf numFmtId="0" fontId="30" fillId="0" borderId="0" xfId="171" applyFont="1" applyAlignment="1" applyProtection="1">
      <alignment vertical="center"/>
      <protection locked="0"/>
    </xf>
    <xf numFmtId="0" fontId="31" fillId="5" borderId="5" xfId="161" applyFont="1" applyFill="1" applyBorder="1" applyAlignment="1">
      <alignment horizontal="left" vertical="center"/>
    </xf>
    <xf numFmtId="169" fontId="5" fillId="2" borderId="5" xfId="173" applyNumberFormat="1" applyFont="1" applyFill="1" applyBorder="1" applyAlignment="1" applyProtection="1">
      <alignment horizontal="right" vertical="center" wrapText="1"/>
      <protection locked="0"/>
    </xf>
    <xf numFmtId="9" fontId="5" fillId="0" borderId="0" xfId="162" applyNumberFormat="1" applyFont="1" applyAlignment="1" applyProtection="1">
      <alignment vertical="center" wrapText="1"/>
      <protection locked="0"/>
    </xf>
    <xf numFmtId="9" fontId="5" fillId="0" borderId="5" xfId="173" applyNumberFormat="1" applyFont="1" applyFill="1" applyBorder="1" applyAlignment="1">
      <alignment horizontal="right" vertical="center" shrinkToFit="1"/>
    </xf>
    <xf numFmtId="9" fontId="5" fillId="0" borderId="0" xfId="162" applyNumberFormat="1" applyFont="1" applyAlignment="1" applyProtection="1">
      <alignment horizontal="left" vertical="center" wrapText="1"/>
      <protection locked="0"/>
    </xf>
    <xf numFmtId="0" fontId="6" fillId="0" borderId="0" xfId="171" applyFont="1" applyAlignment="1" applyProtection="1">
      <alignment horizontal="left" vertical="center"/>
      <protection locked="0"/>
    </xf>
    <xf numFmtId="0" fontId="30" fillId="0" borderId="0" xfId="171" applyFont="1" applyAlignment="1" applyProtection="1">
      <alignment horizontal="left" vertical="center"/>
      <protection locked="0"/>
    </xf>
    <xf numFmtId="0" fontId="31" fillId="0" borderId="0" xfId="161" applyFont="1" applyAlignment="1">
      <alignment horizontal="left" vertical="center"/>
    </xf>
    <xf numFmtId="9" fontId="5" fillId="0" borderId="0" xfId="161" applyNumberFormat="1" applyAlignment="1" applyProtection="1">
      <alignment horizontal="right" vertical="center" wrapText="1"/>
      <protection locked="0"/>
    </xf>
    <xf numFmtId="0" fontId="29" fillId="0" borderId="0" xfId="171" applyFont="1" applyAlignment="1" applyProtection="1">
      <alignment horizontal="left" vertical="center"/>
      <protection locked="0"/>
    </xf>
    <xf numFmtId="0" fontId="30" fillId="0" borderId="0" xfId="171" applyFont="1" applyAlignment="1" applyProtection="1">
      <alignment horizontal="left" vertical="center" wrapText="1"/>
      <protection locked="0"/>
    </xf>
    <xf numFmtId="0" fontId="6" fillId="0" borderId="0" xfId="171" applyFont="1" applyAlignment="1" applyProtection="1">
      <alignment horizontal="left" vertical="center" wrapText="1"/>
      <protection locked="0"/>
    </xf>
    <xf numFmtId="0" fontId="4" fillId="0" borderId="0" xfId="171" applyFont="1" applyAlignment="1">
      <alignment vertical="center" wrapText="1"/>
    </xf>
    <xf numFmtId="0" fontId="5" fillId="0" borderId="0" xfId="173" applyNumberFormat="1" applyFont="1" applyFill="1" applyBorder="1" applyAlignment="1">
      <alignment horizontal="left" vertical="center" shrinkToFit="1"/>
    </xf>
    <xf numFmtId="0" fontId="29" fillId="0" borderId="0" xfId="0" applyFont="1" applyAlignment="1" applyProtection="1">
      <alignment horizontal="left" vertical="center"/>
      <protection locked="0"/>
    </xf>
    <xf numFmtId="10" fontId="5" fillId="0" borderId="0" xfId="5" applyNumberFormat="1" applyFont="1" applyBorder="1" applyAlignment="1" applyProtection="1">
      <alignment horizontal="center"/>
      <protection locked="0"/>
    </xf>
    <xf numFmtId="0" fontId="29" fillId="0" borderId="0" xfId="301" applyFont="1" applyAlignment="1" applyProtection="1">
      <alignment horizontal="left" vertical="center"/>
      <protection locked="0"/>
    </xf>
    <xf numFmtId="0" fontId="4" fillId="0" borderId="0" xfId="0" applyFont="1" applyAlignment="1">
      <alignment horizontal="center" vertical="center"/>
    </xf>
    <xf numFmtId="0" fontId="6" fillId="0" borderId="0" xfId="301" applyFont="1" applyAlignment="1" applyProtection="1">
      <alignment horizontal="left" vertical="center"/>
      <protection locked="0"/>
    </xf>
    <xf numFmtId="0" fontId="5" fillId="0" borderId="0" xfId="301" applyFont="1" applyAlignment="1" applyProtection="1">
      <alignment horizontal="right" vertical="center"/>
      <protection locked="0"/>
    </xf>
    <xf numFmtId="169" fontId="6" fillId="0" borderId="0" xfId="302" applyNumberFormat="1" applyFont="1" applyFill="1" applyAlignment="1" applyProtection="1">
      <alignment horizontal="right" vertical="center"/>
      <protection locked="0"/>
    </xf>
    <xf numFmtId="169" fontId="6" fillId="0" borderId="0" xfId="302" applyNumberFormat="1" applyFont="1" applyFill="1" applyAlignment="1" applyProtection="1">
      <alignment vertical="center"/>
      <protection locked="0"/>
    </xf>
    <xf numFmtId="10" fontId="6" fillId="0" borderId="0" xfId="5" applyNumberFormat="1" applyFont="1" applyAlignment="1" applyProtection="1">
      <alignment horizontal="center"/>
      <protection locked="0"/>
    </xf>
    <xf numFmtId="0" fontId="30" fillId="0" borderId="0" xfId="301" applyFont="1" applyAlignment="1" applyProtection="1">
      <alignment vertical="center"/>
      <protection locked="0"/>
    </xf>
    <xf numFmtId="9" fontId="6" fillId="0" borderId="0" xfId="301" applyNumberFormat="1" applyFont="1" applyAlignment="1" applyProtection="1">
      <alignment horizontal="center" vertical="center"/>
      <protection locked="0"/>
    </xf>
    <xf numFmtId="0" fontId="35" fillId="0" borderId="0" xfId="0" applyFont="1" applyAlignment="1">
      <alignment horizontal="right" vertical="center"/>
    </xf>
    <xf numFmtId="0" fontId="35" fillId="0" borderId="0" xfId="0" applyFont="1" applyAlignment="1">
      <alignment horizontal="left" vertical="center"/>
    </xf>
    <xf numFmtId="10" fontId="6" fillId="0" borderId="9" xfId="5" applyNumberFormat="1" applyFont="1" applyFill="1" applyBorder="1" applyAlignment="1" applyProtection="1">
      <alignment horizontal="center"/>
      <protection locked="0"/>
    </xf>
    <xf numFmtId="165" fontId="34" fillId="0" borderId="0" xfId="100" applyNumberFormat="1" applyFont="1" applyAlignment="1">
      <alignment horizontal="center" vertical="center" shrinkToFit="1"/>
    </xf>
    <xf numFmtId="165" fontId="5" fillId="0" borderId="0" xfId="56" applyNumberFormat="1" applyFont="1" applyAlignment="1">
      <alignment horizontal="right" vertical="center" shrinkToFit="1"/>
    </xf>
    <xf numFmtId="165" fontId="6" fillId="0" borderId="0" xfId="33" applyFont="1" applyFill="1" applyBorder="1" applyAlignment="1" applyProtection="1">
      <alignment horizontal="right" vertical="center" shrinkToFit="1"/>
    </xf>
    <xf numFmtId="0" fontId="29" fillId="0" borderId="0" xfId="171" applyFont="1" applyAlignment="1" applyProtection="1">
      <alignment horizontal="right" vertical="center"/>
      <protection locked="0"/>
    </xf>
    <xf numFmtId="0" fontId="6" fillId="2" borderId="0" xfId="171" applyFont="1" applyFill="1" applyAlignment="1">
      <alignment vertical="center"/>
    </xf>
    <xf numFmtId="0" fontId="29" fillId="2" borderId="0" xfId="171" applyFont="1" applyFill="1" applyAlignment="1">
      <alignment horizontal="center" vertical="center"/>
    </xf>
    <xf numFmtId="0" fontId="6" fillId="2" borderId="0" xfId="171" applyFont="1" applyFill="1" applyAlignment="1">
      <alignment horizontal="center" vertical="center"/>
    </xf>
    <xf numFmtId="168" fontId="31" fillId="0" borderId="0" xfId="81" applyNumberFormat="1" applyFont="1" applyAlignment="1">
      <alignment vertical="center" wrapText="1"/>
    </xf>
    <xf numFmtId="0" fontId="29" fillId="0" borderId="0" xfId="8" applyNumberFormat="1" applyFont="1" applyAlignment="1" applyProtection="1">
      <alignment horizontal="left" vertical="center"/>
      <protection locked="0"/>
    </xf>
    <xf numFmtId="0" fontId="29" fillId="2" borderId="0" xfId="0" applyFont="1" applyFill="1" applyAlignment="1">
      <alignment horizontal="right" vertical="center"/>
    </xf>
    <xf numFmtId="0" fontId="30" fillId="2" borderId="0" xfId="0" applyFont="1" applyFill="1">
      <alignment vertical="center"/>
    </xf>
    <xf numFmtId="164" fontId="30" fillId="2" borderId="0" xfId="0" applyNumberFormat="1" applyFont="1" applyFill="1">
      <alignment vertical="center"/>
    </xf>
    <xf numFmtId="0" fontId="34" fillId="2" borderId="0" xfId="0" applyFont="1" applyFill="1">
      <alignment vertical="center"/>
    </xf>
    <xf numFmtId="0" fontId="30" fillId="0" borderId="0" xfId="0" applyFont="1" applyAlignment="1">
      <alignment vertical="top"/>
    </xf>
    <xf numFmtId="0" fontId="31" fillId="5" borderId="0" xfId="0" applyFont="1" applyFill="1">
      <alignment vertical="center"/>
    </xf>
    <xf numFmtId="0" fontId="6" fillId="0" borderId="0" xfId="0" applyFont="1" applyAlignment="1">
      <alignment vertical="center" shrinkToFit="1"/>
    </xf>
    <xf numFmtId="0" fontId="31" fillId="5" borderId="39" xfId="0" applyFont="1" applyFill="1" applyBorder="1">
      <alignment vertical="center"/>
    </xf>
    <xf numFmtId="0" fontId="31" fillId="5" borderId="28" xfId="0" applyFont="1" applyFill="1" applyBorder="1">
      <alignment vertical="center"/>
    </xf>
    <xf numFmtId="14" fontId="31" fillId="5" borderId="28" xfId="0" applyNumberFormat="1" applyFont="1" applyFill="1" applyBorder="1" applyAlignment="1">
      <alignment horizontal="center" vertical="center"/>
    </xf>
    <xf numFmtId="0" fontId="31" fillId="5" borderId="40" xfId="0" applyFont="1" applyFill="1" applyBorder="1" applyAlignment="1">
      <alignment horizontal="center" vertical="center"/>
    </xf>
    <xf numFmtId="0" fontId="5" fillId="0" borderId="33" xfId="80" applyBorder="1" applyAlignment="1">
      <alignment shrinkToFit="1"/>
    </xf>
    <xf numFmtId="0" fontId="5" fillId="0" borderId="0" xfId="80" applyAlignment="1">
      <alignment shrinkToFit="1"/>
    </xf>
    <xf numFmtId="9" fontId="6" fillId="0" borderId="41" xfId="80" applyNumberFormat="1" applyFont="1" applyBorder="1" applyAlignment="1">
      <alignment horizontal="center" shrinkToFit="1"/>
    </xf>
    <xf numFmtId="165" fontId="31" fillId="0" borderId="33" xfId="105" applyFont="1" applyFill="1" applyBorder="1" applyAlignment="1" applyProtection="1">
      <alignment vertical="top" shrinkToFit="1"/>
    </xf>
    <xf numFmtId="165" fontId="31" fillId="0" borderId="0" xfId="105" applyFont="1" applyFill="1" applyBorder="1" applyAlignment="1" applyProtection="1">
      <alignment vertical="top" shrinkToFit="1"/>
    </xf>
    <xf numFmtId="165" fontId="29" fillId="0" borderId="0" xfId="140" applyFont="1" applyFill="1" applyBorder="1" applyAlignment="1" applyProtection="1">
      <alignment vertical="top" shrinkToFit="1"/>
    </xf>
    <xf numFmtId="165" fontId="5" fillId="0" borderId="0" xfId="0" applyNumberFormat="1" applyFont="1" applyAlignment="1">
      <alignment horizontal="center" shrinkToFit="1"/>
    </xf>
    <xf numFmtId="10" fontId="6" fillId="2" borderId="41" xfId="5" applyNumberFormat="1" applyFont="1" applyFill="1" applyBorder="1" applyAlignment="1" applyProtection="1">
      <alignment horizontal="center" shrinkToFit="1"/>
    </xf>
    <xf numFmtId="169" fontId="5" fillId="0" borderId="0" xfId="2" applyNumberFormat="1" applyFont="1" applyFill="1" applyBorder="1" applyProtection="1"/>
    <xf numFmtId="10" fontId="5" fillId="2" borderId="41" xfId="5" applyNumberFormat="1" applyFont="1" applyFill="1" applyBorder="1" applyAlignment="1" applyProtection="1">
      <alignment horizontal="center" shrinkToFit="1"/>
    </xf>
    <xf numFmtId="0" fontId="5" fillId="0" borderId="33" xfId="0" applyFont="1" applyBorder="1">
      <alignment vertical="center"/>
    </xf>
    <xf numFmtId="164" fontId="5" fillId="4" borderId="0" xfId="0" applyNumberFormat="1" applyFont="1" applyFill="1">
      <alignment vertical="center"/>
    </xf>
    <xf numFmtId="164" fontId="5" fillId="0" borderId="41" xfId="0" applyNumberFormat="1" applyFont="1" applyBorder="1">
      <alignment vertical="center"/>
    </xf>
    <xf numFmtId="0" fontId="31" fillId="0" borderId="33" xfId="0" applyFont="1" applyBorder="1" applyAlignment="1">
      <alignment horizontal="left" vertical="center"/>
    </xf>
    <xf numFmtId="0" fontId="31" fillId="0" borderId="0" xfId="0" applyFont="1" applyAlignment="1">
      <alignment horizontal="left" vertical="center"/>
    </xf>
    <xf numFmtId="0" fontId="5" fillId="0" borderId="41" xfId="0" applyFont="1" applyBorder="1" applyAlignment="1">
      <alignment horizontal="left" vertical="center"/>
    </xf>
    <xf numFmtId="0" fontId="31" fillId="0" borderId="0" xfId="100" applyFont="1" applyAlignment="1" applyProtection="1">
      <alignment horizontal="left" vertical="center"/>
      <protection locked="0"/>
    </xf>
    <xf numFmtId="0" fontId="29" fillId="0" borderId="0" xfId="100" applyFont="1" applyAlignment="1" applyProtection="1">
      <alignment horizontal="left" vertical="center"/>
      <protection locked="0"/>
    </xf>
    <xf numFmtId="0" fontId="5" fillId="0" borderId="0" xfId="100" applyFont="1" applyAlignment="1" applyProtection="1">
      <alignment horizontal="center" vertical="center"/>
      <protection locked="0"/>
    </xf>
    <xf numFmtId="0" fontId="5" fillId="0" borderId="0" xfId="0" applyFont="1" applyAlignment="1" applyProtection="1">
      <alignment horizontal="left" vertical="center"/>
      <protection locked="0"/>
    </xf>
    <xf numFmtId="165" fontId="5" fillId="0" borderId="0" xfId="2" applyFont="1" applyAlignment="1" applyProtection="1">
      <alignment horizontal="left" vertical="center" shrinkToFit="1"/>
      <protection locked="0"/>
    </xf>
    <xf numFmtId="0" fontId="29" fillId="0" borderId="0" xfId="100" applyFont="1" applyAlignment="1" applyProtection="1">
      <alignment horizontal="center" vertical="center"/>
      <protection locked="0"/>
    </xf>
    <xf numFmtId="0" fontId="31" fillId="0" borderId="0" xfId="100" applyFont="1" applyAlignment="1" applyProtection="1">
      <alignment horizontal="center" vertical="center"/>
      <protection locked="0"/>
    </xf>
    <xf numFmtId="0" fontId="4" fillId="0" borderId="39" xfId="100" applyFont="1" applyBorder="1" applyAlignment="1" applyProtection="1">
      <alignment horizontal="left" vertical="center"/>
      <protection locked="0"/>
    </xf>
    <xf numFmtId="0" fontId="5" fillId="0" borderId="28" xfId="100" applyFont="1" applyBorder="1" applyAlignment="1" applyProtection="1">
      <alignment horizontal="left" vertical="center"/>
      <protection locked="0"/>
    </xf>
    <xf numFmtId="0" fontId="4" fillId="0" borderId="33" xfId="100" applyFont="1" applyBorder="1" applyAlignment="1" applyProtection="1">
      <alignment horizontal="left" vertical="center"/>
      <protection locked="0"/>
    </xf>
    <xf numFmtId="0" fontId="4" fillId="0" borderId="42" xfId="100" applyFont="1" applyBorder="1" applyAlignment="1" applyProtection="1">
      <alignment horizontal="left" vertical="center"/>
      <protection locked="0"/>
    </xf>
    <xf numFmtId="0" fontId="4" fillId="12" borderId="0" xfId="171" applyFont="1" applyFill="1" applyAlignment="1">
      <alignment vertical="center"/>
    </xf>
    <xf numFmtId="0" fontId="38" fillId="10" borderId="60" xfId="171" applyFont="1" applyFill="1" applyBorder="1" applyAlignment="1" applyProtection="1">
      <alignment horizontal="centerContinuous" vertical="center"/>
      <protection locked="0"/>
    </xf>
    <xf numFmtId="0" fontId="33" fillId="10" borderId="26" xfId="171" applyFont="1" applyFill="1" applyBorder="1" applyAlignment="1" applyProtection="1">
      <alignment horizontal="centerContinuous" vertical="center"/>
      <protection locked="0"/>
    </xf>
    <xf numFmtId="0" fontId="40" fillId="11" borderId="66" xfId="171" applyFont="1" applyFill="1" applyBorder="1" applyAlignment="1" applyProtection="1">
      <alignment horizontal="centerContinuous" vertical="center"/>
      <protection locked="0"/>
    </xf>
    <xf numFmtId="0" fontId="40" fillId="11" borderId="67" xfId="171" applyFont="1" applyFill="1" applyBorder="1" applyAlignment="1" applyProtection="1">
      <alignment horizontal="centerContinuous" vertical="center"/>
      <protection locked="0"/>
    </xf>
    <xf numFmtId="0" fontId="40" fillId="11" borderId="68" xfId="171" applyFont="1" applyFill="1" applyBorder="1" applyAlignment="1" applyProtection="1">
      <alignment horizontal="centerContinuous" vertical="center"/>
      <protection locked="0"/>
    </xf>
    <xf numFmtId="0" fontId="49" fillId="13" borderId="53" xfId="171" applyFont="1" applyFill="1" applyBorder="1" applyAlignment="1" applyProtection="1">
      <alignment vertical="center"/>
      <protection locked="0"/>
    </xf>
    <xf numFmtId="0" fontId="49" fillId="13" borderId="23" xfId="171" applyFont="1" applyFill="1" applyBorder="1" applyAlignment="1" applyProtection="1">
      <alignment vertical="center"/>
      <protection locked="0"/>
    </xf>
    <xf numFmtId="0" fontId="49" fillId="13" borderId="52" xfId="171" applyFont="1" applyFill="1" applyBorder="1" applyAlignment="1" applyProtection="1">
      <alignment vertical="center"/>
      <protection locked="0"/>
    </xf>
    <xf numFmtId="0" fontId="32" fillId="0" borderId="0" xfId="309" applyFont="1" applyFill="1" applyAlignment="1" applyProtection="1">
      <alignment horizontal="right" vertical="center"/>
      <protection locked="0"/>
    </xf>
    <xf numFmtId="0" fontId="55" fillId="0" borderId="0" xfId="309" applyFont="1" applyFill="1" applyAlignment="1" applyProtection="1">
      <alignment horizontal="right" vertical="center"/>
      <protection locked="0"/>
    </xf>
    <xf numFmtId="0" fontId="34" fillId="0" borderId="0" xfId="0" applyFont="1">
      <alignment vertical="center"/>
    </xf>
    <xf numFmtId="0" fontId="35" fillId="0" borderId="0" xfId="0" applyFont="1">
      <alignment vertical="center"/>
    </xf>
    <xf numFmtId="0" fontId="6" fillId="0" borderId="0" xfId="78" applyFont="1">
      <alignment vertical="center"/>
    </xf>
    <xf numFmtId="0" fontId="6" fillId="0" borderId="0" xfId="56" applyFont="1" applyAlignment="1">
      <alignment horizontal="left" vertical="top" wrapText="1"/>
    </xf>
    <xf numFmtId="0" fontId="6" fillId="0" borderId="0" xfId="100" applyFont="1" applyAlignment="1">
      <alignment vertical="center"/>
    </xf>
    <xf numFmtId="9" fontId="6" fillId="0" borderId="0" xfId="85" applyFont="1" applyFill="1" applyAlignment="1" applyProtection="1">
      <alignment vertical="center"/>
    </xf>
    <xf numFmtId="0" fontId="34" fillId="0" borderId="0" xfId="100" applyFont="1" applyAlignment="1">
      <alignment vertical="center"/>
    </xf>
    <xf numFmtId="165" fontId="6" fillId="0" borderId="0" xfId="2" applyFont="1" applyFill="1" applyBorder="1" applyAlignment="1" applyProtection="1">
      <alignment horizontal="left" vertical="top" wrapText="1"/>
    </xf>
    <xf numFmtId="9" fontId="6" fillId="0" borderId="0" xfId="85" applyFont="1" applyAlignment="1" applyProtection="1">
      <alignment vertical="center"/>
    </xf>
    <xf numFmtId="0" fontId="5" fillId="0" borderId="0" xfId="100" applyFont="1" applyAlignment="1">
      <alignment vertical="center"/>
    </xf>
    <xf numFmtId="165" fontId="6" fillId="0" borderId="0" xfId="2" applyFont="1" applyAlignment="1">
      <alignment horizontal="left" vertical="top" wrapText="1"/>
    </xf>
    <xf numFmtId="0" fontId="35" fillId="5" borderId="43" xfId="0" applyFont="1" applyFill="1" applyBorder="1">
      <alignment vertical="center"/>
    </xf>
    <xf numFmtId="0" fontId="6" fillId="5" borderId="43" xfId="0" applyFont="1" applyFill="1" applyBorder="1" applyProtection="1">
      <alignment vertical="center"/>
      <protection locked="0"/>
    </xf>
    <xf numFmtId="165" fontId="6" fillId="5" borderId="43" xfId="2" applyFont="1" applyFill="1" applyBorder="1" applyAlignment="1">
      <alignment horizontal="left" vertical="top" wrapText="1"/>
    </xf>
    <xf numFmtId="0" fontId="6" fillId="0" borderId="16" xfId="0" applyFont="1" applyBorder="1">
      <alignment vertical="center"/>
    </xf>
    <xf numFmtId="0" fontId="30" fillId="0" borderId="17" xfId="0" applyFont="1" applyBorder="1">
      <alignment vertical="center"/>
    </xf>
    <xf numFmtId="0" fontId="35" fillId="0" borderId="20" xfId="0" applyFont="1" applyBorder="1">
      <alignment vertical="center"/>
    </xf>
    <xf numFmtId="0" fontId="6" fillId="0" borderId="19" xfId="0" applyFont="1" applyBorder="1">
      <alignment vertical="center"/>
    </xf>
    <xf numFmtId="0" fontId="6" fillId="0" borderId="0" xfId="0" applyFont="1" applyAlignment="1">
      <alignment horizontal="right" vertical="center"/>
    </xf>
    <xf numFmtId="0" fontId="6" fillId="0" borderId="18" xfId="0" applyFont="1" applyBorder="1">
      <alignment vertical="center"/>
    </xf>
    <xf numFmtId="0" fontId="6" fillId="2" borderId="14" xfId="0" applyFont="1" applyFill="1" applyBorder="1">
      <alignment vertical="center"/>
    </xf>
    <xf numFmtId="0" fontId="6" fillId="2" borderId="1" xfId="0" applyFont="1" applyFill="1" applyBorder="1" applyAlignment="1">
      <alignment horizontal="right" vertical="center"/>
    </xf>
    <xf numFmtId="0" fontId="6" fillId="2" borderId="1" xfId="0" applyFont="1" applyFill="1" applyBorder="1">
      <alignment vertical="center"/>
    </xf>
    <xf numFmtId="0" fontId="6" fillId="5" borderId="43" xfId="0" applyFont="1" applyFill="1" applyBorder="1">
      <alignment vertical="center"/>
    </xf>
    <xf numFmtId="0" fontId="6" fillId="5" borderId="43" xfId="100" applyFont="1" applyFill="1" applyBorder="1" applyAlignment="1">
      <alignment vertical="center"/>
    </xf>
    <xf numFmtId="0" fontId="34" fillId="0" borderId="0" xfId="100" applyFont="1" applyAlignment="1">
      <alignment horizontal="center" vertical="center"/>
    </xf>
    <xf numFmtId="165" fontId="6" fillId="0" borderId="0" xfId="2" applyFont="1" applyFill="1" applyBorder="1" applyAlignment="1" applyProtection="1">
      <alignment horizontal="center" vertical="center" wrapText="1"/>
    </xf>
    <xf numFmtId="0" fontId="6" fillId="0" borderId="0" xfId="0" applyFont="1" applyAlignment="1">
      <alignment horizontal="center" vertical="center"/>
    </xf>
    <xf numFmtId="0" fontId="6" fillId="0" borderId="0" xfId="100" applyFont="1" applyAlignment="1">
      <alignment horizontal="center" vertical="center"/>
    </xf>
    <xf numFmtId="9" fontId="6" fillId="0" borderId="0" xfId="85" applyFont="1" applyAlignment="1" applyProtection="1">
      <alignment horizontal="center" vertical="center"/>
    </xf>
    <xf numFmtId="0" fontId="5" fillId="0" borderId="0" xfId="100" applyFont="1" applyAlignment="1">
      <alignment horizontal="center" vertical="center"/>
    </xf>
    <xf numFmtId="0" fontId="7" fillId="5" borderId="5" xfId="0" applyFont="1" applyFill="1" applyBorder="1" applyAlignment="1">
      <alignment horizontal="center" vertical="center"/>
    </xf>
    <xf numFmtId="0" fontId="7" fillId="5" borderId="14" xfId="0" applyFont="1" applyFill="1" applyBorder="1" applyAlignment="1">
      <alignment horizontal="center" vertical="center" wrapText="1"/>
    </xf>
    <xf numFmtId="0" fontId="6" fillId="0" borderId="35" xfId="0" applyFont="1" applyBorder="1" applyAlignment="1">
      <alignment horizontal="left" vertical="center"/>
    </xf>
    <xf numFmtId="0" fontId="6" fillId="0" borderId="7" xfId="0" applyFont="1" applyBorder="1" applyAlignment="1">
      <alignment horizontal="left" vertical="center"/>
    </xf>
    <xf numFmtId="14" fontId="6" fillId="0" borderId="7" xfId="0" applyNumberFormat="1" applyFont="1" applyBorder="1" applyAlignment="1">
      <alignment horizontal="left" vertical="center"/>
    </xf>
    <xf numFmtId="43" fontId="6" fillId="0" borderId="7" xfId="0" applyNumberFormat="1" applyFont="1" applyBorder="1" applyAlignment="1">
      <alignment horizontal="right" vertical="center"/>
    </xf>
    <xf numFmtId="0" fontId="6" fillId="0" borderId="8" xfId="0" applyFont="1" applyBorder="1" applyAlignment="1">
      <alignment horizontal="left" vertical="center"/>
    </xf>
    <xf numFmtId="0" fontId="6" fillId="0" borderId="36" xfId="0" applyFont="1" applyBorder="1" applyAlignment="1">
      <alignment horizontal="left" vertical="center"/>
    </xf>
    <xf numFmtId="165" fontId="6" fillId="0" borderId="0" xfId="2" applyFont="1" applyFill="1" applyBorder="1" applyAlignment="1" applyProtection="1">
      <alignment horizontal="left" vertical="center" wrapText="1"/>
    </xf>
    <xf numFmtId="0" fontId="6" fillId="0" borderId="37"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6" fillId="0" borderId="38" xfId="0" applyFont="1" applyBorder="1" applyAlignment="1">
      <alignment horizontal="left" vertical="center"/>
    </xf>
    <xf numFmtId="0" fontId="6" fillId="0" borderId="0" xfId="0" applyFont="1" applyAlignment="1"/>
    <xf numFmtId="0" fontId="35" fillId="0" borderId="0" xfId="100" applyFont="1" applyAlignment="1">
      <alignment horizontal="left" vertical="center"/>
    </xf>
    <xf numFmtId="164" fontId="5" fillId="0" borderId="0" xfId="0" applyNumberFormat="1" applyFont="1">
      <alignment vertical="center"/>
    </xf>
    <xf numFmtId="0" fontId="31" fillId="0" borderId="0" xfId="0" applyFont="1">
      <alignment vertical="center"/>
    </xf>
    <xf numFmtId="164" fontId="31" fillId="0" borderId="0" xfId="0" applyNumberFormat="1" applyFont="1">
      <alignment vertical="center"/>
    </xf>
    <xf numFmtId="9" fontId="6" fillId="0" borderId="0" xfId="85" applyFont="1" applyFill="1" applyBorder="1" applyAlignment="1" applyProtection="1">
      <alignment vertical="center"/>
    </xf>
    <xf numFmtId="0" fontId="31" fillId="16" borderId="5" xfId="0" applyFont="1" applyFill="1" applyBorder="1" applyAlignment="1">
      <alignment horizontal="center" vertical="center" wrapText="1"/>
    </xf>
    <xf numFmtId="0" fontId="7" fillId="16" borderId="5" xfId="0" applyFont="1" applyFill="1" applyBorder="1" applyAlignment="1">
      <alignment horizontal="center" vertical="center" wrapText="1"/>
    </xf>
    <xf numFmtId="0" fontId="6" fillId="0" borderId="5" xfId="0" applyFont="1" applyBorder="1" applyAlignment="1">
      <alignment horizontal="left" vertical="center"/>
    </xf>
    <xf numFmtId="14" fontId="6" fillId="0" borderId="5" xfId="0" applyNumberFormat="1" applyFont="1" applyBorder="1" applyAlignment="1">
      <alignment horizontal="left" vertical="center"/>
    </xf>
    <xf numFmtId="43" fontId="6" fillId="0" borderId="5" xfId="0" applyNumberFormat="1" applyFont="1" applyBorder="1" applyAlignment="1">
      <alignment horizontal="left" vertical="center"/>
    </xf>
    <xf numFmtId="0" fontId="6" fillId="0" borderId="13" xfId="0" applyFont="1" applyBorder="1" applyAlignment="1">
      <alignment horizontal="left" vertical="center"/>
    </xf>
    <xf numFmtId="0" fontId="6" fillId="0" borderId="30" xfId="0" applyFont="1" applyBorder="1" applyAlignment="1">
      <alignment horizontal="left" vertical="center"/>
    </xf>
    <xf numFmtId="14" fontId="6" fillId="0" borderId="30" xfId="0" applyNumberFormat="1" applyFont="1" applyBorder="1" applyAlignment="1">
      <alignment horizontal="left" vertical="center"/>
    </xf>
    <xf numFmtId="43" fontId="6" fillId="0" borderId="30" xfId="0" applyNumberFormat="1" applyFont="1" applyBorder="1" applyAlignment="1">
      <alignment horizontal="left" vertical="center"/>
    </xf>
    <xf numFmtId="0" fontId="34" fillId="0" borderId="0" xfId="0" applyFont="1" applyAlignment="1">
      <alignment horizontal="right" vertical="center"/>
    </xf>
    <xf numFmtId="0" fontId="29" fillId="0" borderId="0" xfId="0" applyFont="1" applyAlignment="1">
      <alignment horizontal="left" vertical="center"/>
    </xf>
    <xf numFmtId="0" fontId="30" fillId="0" borderId="0" xfId="0" applyFont="1">
      <alignment vertical="center"/>
    </xf>
    <xf numFmtId="0" fontId="5" fillId="0" borderId="0" xfId="0" applyFont="1" applyAlignment="1"/>
    <xf numFmtId="0" fontId="21" fillId="0" borderId="0" xfId="0" applyFont="1">
      <alignment vertical="center"/>
    </xf>
    <xf numFmtId="0" fontId="31" fillId="5" borderId="5" xfId="0" applyFont="1" applyFill="1" applyBorder="1" applyAlignment="1">
      <alignment horizontal="center" vertical="center"/>
    </xf>
    <xf numFmtId="0" fontId="31" fillId="5" borderId="6" xfId="0" applyFont="1" applyFill="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84" fillId="0" borderId="0" xfId="0" applyFont="1" applyAlignment="1">
      <alignment horizontal="center" vertical="center" wrapText="1" shrinkToFit="1"/>
    </xf>
    <xf numFmtId="165" fontId="5" fillId="0" borderId="0" xfId="173" applyNumberFormat="1" applyFont="1" applyFill="1" applyBorder="1" applyAlignment="1">
      <alignment horizontal="right" vertical="center" shrinkToFit="1"/>
    </xf>
    <xf numFmtId="165" fontId="5" fillId="0" borderId="0" xfId="0" applyNumberFormat="1" applyFont="1" applyAlignment="1">
      <alignment horizontal="right" vertical="center"/>
    </xf>
    <xf numFmtId="165" fontId="5" fillId="0" borderId="0" xfId="302" applyFont="1" applyFill="1" applyBorder="1" applyAlignment="1" applyProtection="1">
      <alignment vertical="center"/>
      <protection locked="0"/>
    </xf>
    <xf numFmtId="165" fontId="6" fillId="0" borderId="0" xfId="302" applyFont="1" applyFill="1" applyBorder="1" applyAlignment="1" applyProtection="1">
      <alignment vertical="center"/>
      <protection locked="0"/>
    </xf>
    <xf numFmtId="165" fontId="35" fillId="0" borderId="9" xfId="302" applyFont="1" applyFill="1" applyBorder="1" applyAlignment="1" applyProtection="1">
      <alignment horizontal="right" vertical="center"/>
      <protection locked="0"/>
    </xf>
    <xf numFmtId="165" fontId="5" fillId="0" borderId="0" xfId="2" applyFont="1" applyFill="1" applyBorder="1" applyAlignment="1" applyProtection="1">
      <alignment vertical="center"/>
    </xf>
    <xf numFmtId="165" fontId="5" fillId="0" borderId="1" xfId="0" applyNumberFormat="1" applyFont="1" applyBorder="1" applyAlignment="1">
      <alignment horizontal="right" vertical="center"/>
    </xf>
    <xf numFmtId="165" fontId="5" fillId="0" borderId="0" xfId="80" applyNumberFormat="1" applyAlignment="1">
      <alignment horizontal="right" shrinkToFit="1"/>
    </xf>
    <xf numFmtId="0" fontId="6" fillId="0" borderId="28" xfId="0" applyFont="1" applyBorder="1" applyAlignment="1">
      <alignment horizontal="left" vertical="center"/>
    </xf>
    <xf numFmtId="0" fontId="6" fillId="0" borderId="40" xfId="0" applyFont="1" applyBorder="1" applyAlignment="1">
      <alignment horizontal="left" vertical="center"/>
    </xf>
    <xf numFmtId="0" fontId="5" fillId="0" borderId="0" xfId="100" applyFont="1" applyAlignment="1" applyProtection="1">
      <alignment horizontal="left" vertical="center"/>
      <protection locked="0"/>
    </xf>
    <xf numFmtId="0" fontId="6" fillId="0" borderId="0" xfId="0" applyFont="1" applyAlignment="1">
      <alignment horizontal="left" vertical="center"/>
    </xf>
    <xf numFmtId="0" fontId="6" fillId="0" borderId="41" xfId="0" applyFont="1" applyBorder="1" applyAlignment="1">
      <alignment horizontal="left" vertical="center"/>
    </xf>
    <xf numFmtId="0" fontId="5" fillId="0" borderId="43" xfId="100" applyFont="1" applyBorder="1" applyAlignment="1" applyProtection="1">
      <alignment horizontal="left" vertical="center"/>
      <protection locked="0"/>
    </xf>
    <xf numFmtId="0" fontId="5" fillId="0" borderId="44" xfId="100" applyFont="1" applyBorder="1" applyAlignment="1" applyProtection="1">
      <alignment horizontal="left" vertical="center"/>
      <protection locked="0"/>
    </xf>
    <xf numFmtId="0" fontId="5" fillId="0" borderId="30" xfId="2" applyNumberFormat="1" applyFont="1" applyFill="1" applyBorder="1" applyAlignment="1" applyProtection="1">
      <alignment horizontal="left" vertical="center" shrinkToFit="1"/>
    </xf>
    <xf numFmtId="165" fontId="6" fillId="0" borderId="5" xfId="333" applyNumberFormat="1" applyFont="1" applyBorder="1" applyAlignment="1">
      <alignment horizontal="right" vertical="center" shrinkToFit="1"/>
    </xf>
    <xf numFmtId="165" fontId="5" fillId="0" borderId="5" xfId="302" applyFont="1" applyFill="1" applyBorder="1" applyAlignment="1" applyProtection="1">
      <alignment horizontal="right" vertical="center" shrinkToFit="1"/>
      <protection locked="0"/>
    </xf>
    <xf numFmtId="165" fontId="5" fillId="0" borderId="5" xfId="302" applyFont="1" applyBorder="1" applyAlignment="1" applyProtection="1">
      <alignment horizontal="right" vertical="center" shrinkToFit="1"/>
      <protection locked="0"/>
    </xf>
    <xf numFmtId="165" fontId="31" fillId="0" borderId="4" xfId="0" applyNumberFormat="1" applyFont="1" applyBorder="1" applyAlignment="1">
      <alignment horizontal="right" vertical="center" shrinkToFit="1"/>
    </xf>
    <xf numFmtId="165" fontId="5" fillId="0" borderId="4" xfId="0" applyNumberFormat="1" applyFont="1" applyBorder="1" applyAlignment="1">
      <alignment horizontal="right" vertical="center" shrinkToFit="1"/>
    </xf>
    <xf numFmtId="165" fontId="5" fillId="0" borderId="24" xfId="0" applyNumberFormat="1" applyFont="1" applyBorder="1" applyAlignment="1">
      <alignment horizontal="right" vertical="center" shrinkToFit="1"/>
    </xf>
    <xf numFmtId="165" fontId="35" fillId="0" borderId="9" xfId="171" applyNumberFormat="1" applyFont="1" applyBorder="1" applyAlignment="1" applyProtection="1">
      <alignment horizontal="right" vertical="center" shrinkToFit="1"/>
      <protection locked="0"/>
    </xf>
    <xf numFmtId="165" fontId="6" fillId="0" borderId="7" xfId="171" applyNumberFormat="1" applyFont="1" applyBorder="1" applyAlignment="1" applyProtection="1">
      <alignment vertical="center"/>
      <protection locked="0"/>
    </xf>
    <xf numFmtId="165" fontId="6" fillId="0" borderId="17" xfId="0" applyNumberFormat="1" applyFont="1" applyBorder="1" applyAlignment="1">
      <alignment horizontal="right"/>
    </xf>
    <xf numFmtId="165" fontId="6" fillId="0" borderId="5" xfId="0" applyNumberFormat="1" applyFont="1" applyBorder="1" applyAlignment="1">
      <alignment horizontal="right" vertical="center"/>
    </xf>
    <xf numFmtId="165" fontId="6" fillId="0" borderId="30" xfId="0" applyNumberFormat="1" applyFont="1" applyBorder="1" applyAlignment="1">
      <alignment horizontal="right" vertical="center"/>
    </xf>
    <xf numFmtId="0" fontId="6" fillId="0" borderId="58" xfId="0" applyFont="1" applyBorder="1" applyAlignment="1">
      <alignment horizontal="left" vertical="center"/>
    </xf>
    <xf numFmtId="0" fontId="6" fillId="0" borderId="51" xfId="0" applyFont="1" applyBorder="1" applyAlignment="1">
      <alignment horizontal="left" vertical="center"/>
    </xf>
    <xf numFmtId="165" fontId="6" fillId="0" borderId="30" xfId="0" applyNumberFormat="1" applyFont="1" applyBorder="1" applyAlignment="1">
      <alignment horizontal="left" vertical="center"/>
    </xf>
    <xf numFmtId="14" fontId="64" fillId="0" borderId="5" xfId="2" applyNumberFormat="1" applyFont="1" applyFill="1" applyBorder="1" applyAlignment="1">
      <alignment horizontal="left" shrinkToFit="1"/>
    </xf>
    <xf numFmtId="14" fontId="64" fillId="0" borderId="5" xfId="0" applyNumberFormat="1" applyFont="1" applyBorder="1" applyAlignment="1">
      <alignment horizontal="left" vertical="center" shrinkToFit="1"/>
    </xf>
    <xf numFmtId="0" fontId="67" fillId="0" borderId="5" xfId="164" applyFont="1" applyBorder="1" applyAlignment="1">
      <alignment horizontal="left" vertical="center"/>
    </xf>
    <xf numFmtId="0" fontId="60" fillId="0" borderId="0" xfId="0" applyFont="1">
      <alignment vertical="center"/>
    </xf>
    <xf numFmtId="0" fontId="55" fillId="0" borderId="0" xfId="336" applyFont="1">
      <alignment vertical="center"/>
    </xf>
    <xf numFmtId="0" fontId="61" fillId="0" borderId="13" xfId="335" quotePrefix="1" applyFont="1" applyBorder="1" applyAlignment="1">
      <alignment horizontal="center" vertical="center"/>
    </xf>
    <xf numFmtId="0" fontId="110" fillId="0" borderId="0" xfId="0" applyFont="1" applyAlignment="1">
      <alignment vertical="center" wrapText="1"/>
    </xf>
    <xf numFmtId="0" fontId="31" fillId="5" borderId="13" xfId="0" applyFont="1" applyFill="1" applyBorder="1" applyAlignment="1">
      <alignment horizontal="center" vertical="center" wrapText="1"/>
    </xf>
    <xf numFmtId="0" fontId="31" fillId="5" borderId="2" xfId="171" applyFont="1" applyFill="1" applyBorder="1" applyAlignment="1">
      <alignment horizontal="center" vertical="center" wrapText="1"/>
    </xf>
    <xf numFmtId="0" fontId="31" fillId="5" borderId="14" xfId="0" applyFont="1" applyFill="1" applyBorder="1" applyAlignment="1">
      <alignment horizontal="center" vertical="center" wrapText="1"/>
    </xf>
    <xf numFmtId="0" fontId="35" fillId="5" borderId="5" xfId="0" applyFont="1" applyFill="1" applyBorder="1" applyAlignment="1">
      <alignment horizontal="center" vertical="center"/>
    </xf>
    <xf numFmtId="0" fontId="120" fillId="0" borderId="0" xfId="150" applyFont="1">
      <alignment vertical="center"/>
    </xf>
    <xf numFmtId="0" fontId="29" fillId="0" borderId="2" xfId="301" applyFont="1" applyBorder="1" applyAlignment="1" applyProtection="1">
      <alignment horizontal="left" vertical="center"/>
      <protection locked="0"/>
    </xf>
    <xf numFmtId="0" fontId="61" fillId="0" borderId="13" xfId="335" quotePrefix="1" applyFont="1" applyBorder="1" applyAlignment="1">
      <alignment horizontal="center" vertical="center"/>
    </xf>
    <xf numFmtId="0" fontId="61" fillId="0" borderId="13" xfId="335" applyFont="1" applyBorder="1" applyAlignment="1">
      <alignment horizontal="center" vertical="center"/>
    </xf>
    <xf numFmtId="0" fontId="7" fillId="8" borderId="13" xfId="150" applyFont="1" applyFill="1" applyBorder="1" applyAlignment="1">
      <alignment horizontal="left" vertical="center"/>
    </xf>
    <xf numFmtId="0" fontId="31" fillId="8" borderId="13" xfId="150" applyFont="1" applyFill="1" applyBorder="1" applyAlignment="1">
      <alignment horizontal="left" vertical="center"/>
    </xf>
    <xf numFmtId="0" fontId="6" fillId="0" borderId="13" xfId="150" applyFont="1" applyBorder="1" applyAlignment="1">
      <alignment vertical="center" wrapText="1"/>
    </xf>
    <xf numFmtId="0" fontId="6" fillId="0" borderId="13" xfId="150" applyFont="1" applyBorder="1" applyAlignment="1">
      <alignment horizontal="left" vertical="center" wrapText="1"/>
    </xf>
    <xf numFmtId="0" fontId="31" fillId="8" borderId="13" xfId="150" applyFont="1" applyFill="1" applyBorder="1" applyAlignment="1">
      <alignment horizontal="left" vertical="center" wrapText="1"/>
    </xf>
    <xf numFmtId="0" fontId="5" fillId="0" borderId="13" xfId="148" applyFont="1" applyBorder="1" applyAlignment="1">
      <alignment horizontal="left" vertical="center" wrapText="1"/>
    </xf>
    <xf numFmtId="0" fontId="31" fillId="9" borderId="13" xfId="150" applyFont="1" applyFill="1" applyBorder="1" applyAlignment="1">
      <alignment horizontal="left" vertical="center" wrapText="1"/>
    </xf>
    <xf numFmtId="0" fontId="4" fillId="0" borderId="13" xfId="150" applyFont="1" applyBorder="1" applyAlignment="1">
      <alignment horizontal="left" vertical="center" wrapText="1"/>
    </xf>
    <xf numFmtId="0" fontId="4" fillId="0" borderId="13" xfId="148" applyFont="1" applyBorder="1" applyAlignment="1">
      <alignment horizontal="left" vertical="center" wrapText="1"/>
    </xf>
    <xf numFmtId="0" fontId="31" fillId="0" borderId="13" xfId="148" applyFont="1" applyBorder="1" applyAlignment="1">
      <alignment horizontal="left" vertical="center" wrapText="1"/>
    </xf>
    <xf numFmtId="0" fontId="7" fillId="8" borderId="13" xfId="150" applyFont="1" applyFill="1" applyBorder="1" applyAlignment="1">
      <alignment horizontal="left" vertical="center" wrapText="1"/>
    </xf>
    <xf numFmtId="0" fontId="29" fillId="5" borderId="13" xfId="0" applyFont="1" applyFill="1" applyBorder="1" applyAlignment="1">
      <alignment horizontal="center" vertical="center" wrapText="1"/>
    </xf>
    <xf numFmtId="0" fontId="41" fillId="13" borderId="19" xfId="171" applyFont="1" applyFill="1" applyBorder="1" applyAlignment="1">
      <alignment horizontal="left" vertical="center" wrapText="1" indent="16"/>
    </xf>
    <xf numFmtId="0" fontId="41" fillId="13" borderId="0" xfId="171" applyFont="1" applyFill="1" applyAlignment="1">
      <alignment horizontal="left" vertical="center" wrapText="1" indent="16"/>
    </xf>
    <xf numFmtId="0" fontId="41" fillId="13" borderId="41" xfId="171" applyFont="1" applyFill="1" applyBorder="1" applyAlignment="1">
      <alignment horizontal="left" vertical="center" wrapText="1" indent="16"/>
    </xf>
    <xf numFmtId="0" fontId="41" fillId="13" borderId="14" xfId="171" applyFont="1" applyFill="1" applyBorder="1" applyAlignment="1">
      <alignment horizontal="left" vertical="center" wrapText="1" indent="16"/>
    </xf>
    <xf numFmtId="0" fontId="41" fillId="13" borderId="1" xfId="171" applyFont="1" applyFill="1" applyBorder="1" applyAlignment="1">
      <alignment horizontal="left" vertical="center" wrapText="1" indent="16"/>
    </xf>
    <xf numFmtId="0" fontId="41" fillId="13" borderId="58" xfId="171" applyFont="1" applyFill="1" applyBorder="1" applyAlignment="1">
      <alignment horizontal="left" vertical="center" wrapText="1" indent="16"/>
    </xf>
    <xf numFmtId="0" fontId="5" fillId="0" borderId="39" xfId="171" applyFont="1" applyBorder="1" applyAlignment="1" applyProtection="1">
      <alignment horizontal="left" vertical="center" wrapText="1"/>
      <protection locked="0"/>
    </xf>
    <xf numFmtId="0" fontId="5" fillId="0" borderId="28" xfId="171" applyFont="1" applyBorder="1" applyAlignment="1" applyProtection="1">
      <alignment horizontal="left" vertical="center" wrapText="1"/>
      <protection locked="0"/>
    </xf>
    <xf numFmtId="0" fontId="5" fillId="0" borderId="40" xfId="171" applyFont="1" applyBorder="1" applyAlignment="1" applyProtection="1">
      <alignment horizontal="left" vertical="center" wrapText="1"/>
      <protection locked="0"/>
    </xf>
    <xf numFmtId="0" fontId="5" fillId="0" borderId="33" xfId="171" applyFont="1" applyBorder="1" applyAlignment="1" applyProtection="1">
      <alignment horizontal="left" vertical="center" wrapText="1"/>
      <protection locked="0"/>
    </xf>
    <xf numFmtId="0" fontId="5" fillId="0" borderId="0" xfId="171" applyFont="1" applyAlignment="1" applyProtection="1">
      <alignment horizontal="left" vertical="center" wrapText="1"/>
      <protection locked="0"/>
    </xf>
    <xf numFmtId="0" fontId="5" fillId="0" borderId="41" xfId="171" applyFont="1" applyBorder="1" applyAlignment="1" applyProtection="1">
      <alignment horizontal="left" vertical="center" wrapText="1"/>
      <protection locked="0"/>
    </xf>
    <xf numFmtId="0" fontId="5" fillId="0" borderId="42" xfId="171" applyFont="1" applyBorder="1" applyAlignment="1" applyProtection="1">
      <alignment horizontal="left" vertical="center" wrapText="1"/>
      <protection locked="0"/>
    </xf>
    <xf numFmtId="0" fontId="5" fillId="0" borderId="43" xfId="171" applyFont="1" applyBorder="1" applyAlignment="1" applyProtection="1">
      <alignment horizontal="left" vertical="center" wrapText="1"/>
      <protection locked="0"/>
    </xf>
    <xf numFmtId="0" fontId="5" fillId="0" borderId="44" xfId="171" applyFont="1" applyBorder="1" applyAlignment="1" applyProtection="1">
      <alignment horizontal="left" vertical="center" wrapText="1"/>
      <protection locked="0"/>
    </xf>
    <xf numFmtId="0" fontId="58" fillId="0" borderId="39" xfId="0" applyFont="1" applyBorder="1" applyAlignment="1">
      <alignment horizontal="left" vertical="center" wrapText="1"/>
    </xf>
    <xf numFmtId="0" fontId="58" fillId="0" borderId="28" xfId="0" applyFont="1" applyBorder="1" applyAlignment="1">
      <alignment horizontal="left" vertical="center" wrapText="1"/>
    </xf>
    <xf numFmtId="0" fontId="58" fillId="0" borderId="40" xfId="0" applyFont="1" applyBorder="1" applyAlignment="1">
      <alignment horizontal="left" vertical="center" wrapText="1"/>
    </xf>
    <xf numFmtId="0" fontId="58" fillId="0" borderId="33" xfId="0" applyFont="1" applyBorder="1" applyAlignment="1">
      <alignment horizontal="left" vertical="center" wrapText="1"/>
    </xf>
    <xf numFmtId="0" fontId="58" fillId="0" borderId="0" xfId="0" applyFont="1" applyAlignment="1">
      <alignment horizontal="left" vertical="center" wrapText="1"/>
    </xf>
    <xf numFmtId="0" fontId="58" fillId="0" borderId="41" xfId="0" applyFont="1" applyBorder="1" applyAlignment="1">
      <alignment horizontal="left" vertical="center" wrapText="1"/>
    </xf>
    <xf numFmtId="0" fontId="58" fillId="0" borderId="42" xfId="0" applyFont="1" applyBorder="1" applyAlignment="1">
      <alignment horizontal="left" vertical="center" wrapText="1"/>
    </xf>
    <xf numFmtId="0" fontId="58" fillId="0" borderId="43" xfId="0" applyFont="1" applyBorder="1" applyAlignment="1">
      <alignment horizontal="left" vertical="center" wrapText="1"/>
    </xf>
    <xf numFmtId="0" fontId="58" fillId="0" borderId="44" xfId="0" applyFont="1" applyBorder="1" applyAlignment="1">
      <alignment horizontal="left" vertical="center" wrapText="1"/>
    </xf>
    <xf numFmtId="0" fontId="31" fillId="16" borderId="7" xfId="0" applyFont="1" applyFill="1" applyBorder="1" applyAlignment="1">
      <alignment horizontal="center" vertical="center"/>
    </xf>
    <xf numFmtId="0" fontId="31" fillId="16" borderId="8" xfId="0" applyFont="1" applyFill="1" applyBorder="1" applyAlignment="1">
      <alignment horizontal="center" vertical="center"/>
    </xf>
    <xf numFmtId="0" fontId="31" fillId="16" borderId="4" xfId="0" applyFont="1" applyFill="1" applyBorder="1" applyAlignment="1">
      <alignment horizontal="center" vertical="center"/>
    </xf>
    <xf numFmtId="0" fontId="43" fillId="0" borderId="42" xfId="0" applyFont="1" applyBorder="1" applyAlignment="1">
      <alignment horizontal="left" vertical="top" wrapText="1"/>
    </xf>
    <xf numFmtId="0" fontId="43" fillId="0" borderId="43" xfId="0" applyFont="1" applyBorder="1" applyAlignment="1">
      <alignment horizontal="left" vertical="top" wrapText="1"/>
    </xf>
    <xf numFmtId="0" fontId="43" fillId="0" borderId="44" xfId="0" applyFont="1" applyBorder="1" applyAlignment="1">
      <alignment horizontal="left" vertical="top" wrapText="1"/>
    </xf>
    <xf numFmtId="0" fontId="7" fillId="5" borderId="13" xfId="0" applyFont="1" applyFill="1" applyBorder="1" applyAlignment="1">
      <alignment horizontal="center" vertical="center" wrapText="1"/>
    </xf>
    <xf numFmtId="0" fontId="110" fillId="0" borderId="0" xfId="0" applyFont="1" applyAlignment="1">
      <alignment vertical="center" wrapText="1"/>
    </xf>
    <xf numFmtId="0" fontId="23" fillId="5" borderId="13" xfId="0" applyFont="1" applyFill="1" applyBorder="1" applyAlignment="1">
      <alignment horizontal="center" vertical="center" wrapText="1"/>
    </xf>
    <xf numFmtId="0" fontId="31" fillId="5" borderId="13" xfId="0" applyFont="1" applyFill="1" applyBorder="1" applyAlignment="1">
      <alignment horizontal="center" vertical="center" wrapText="1"/>
    </xf>
    <xf numFmtId="14" fontId="31" fillId="5" borderId="62" xfId="0" applyNumberFormat="1" applyFont="1" applyFill="1" applyBorder="1" applyAlignment="1">
      <alignment horizontal="center" vertical="center"/>
    </xf>
    <xf numFmtId="14" fontId="31" fillId="5" borderId="13" xfId="0" applyNumberFormat="1" applyFont="1" applyFill="1" applyBorder="1" applyAlignment="1">
      <alignment horizontal="center" vertical="center"/>
    </xf>
    <xf numFmtId="0" fontId="43" fillId="0" borderId="16" xfId="2" applyNumberFormat="1" applyFont="1" applyBorder="1" applyAlignment="1">
      <alignment horizontal="left" vertical="center" wrapText="1" shrinkToFit="1"/>
    </xf>
    <xf numFmtId="0" fontId="5" fillId="0" borderId="17" xfId="2" applyNumberFormat="1" applyFont="1" applyBorder="1" applyAlignment="1">
      <alignment horizontal="left" vertical="center" wrapText="1" shrinkToFit="1"/>
    </xf>
    <xf numFmtId="0" fontId="5" fillId="0" borderId="20" xfId="2" applyNumberFormat="1" applyFont="1" applyBorder="1" applyAlignment="1">
      <alignment horizontal="left" vertical="center" wrapText="1" shrinkToFit="1"/>
    </xf>
    <xf numFmtId="0" fontId="5" fillId="0" borderId="19" xfId="2" applyNumberFormat="1" applyFont="1" applyBorder="1" applyAlignment="1">
      <alignment horizontal="left" vertical="center" wrapText="1" shrinkToFit="1"/>
    </xf>
    <xf numFmtId="0" fontId="5" fillId="0" borderId="0" xfId="2" applyNumberFormat="1" applyFont="1" applyBorder="1" applyAlignment="1">
      <alignment horizontal="left" vertical="center" wrapText="1" shrinkToFit="1"/>
    </xf>
    <xf numFmtId="0" fontId="5" fillId="0" borderId="18" xfId="2" applyNumberFormat="1" applyFont="1" applyBorder="1" applyAlignment="1">
      <alignment horizontal="left" vertical="center" wrapText="1" shrinkToFit="1"/>
    </xf>
    <xf numFmtId="0" fontId="5" fillId="0" borderId="14" xfId="2" applyNumberFormat="1" applyFont="1" applyBorder="1" applyAlignment="1">
      <alignment horizontal="left" vertical="center" wrapText="1" shrinkToFit="1"/>
    </xf>
    <xf numFmtId="0" fontId="5" fillId="0" borderId="1" xfId="2" applyNumberFormat="1" applyFont="1" applyBorder="1" applyAlignment="1">
      <alignment horizontal="left" vertical="center" wrapText="1" shrinkToFit="1"/>
    </xf>
    <xf numFmtId="0" fontId="5" fillId="0" borderId="21" xfId="2" applyNumberFormat="1" applyFont="1" applyBorder="1" applyAlignment="1">
      <alignment horizontal="left" vertical="center" wrapText="1" shrinkToFit="1"/>
    </xf>
    <xf numFmtId="0" fontId="31" fillId="5" borderId="64" xfId="0" applyFont="1" applyFill="1" applyBorder="1" applyAlignment="1">
      <alignment horizontal="center" vertical="center" wrapText="1"/>
    </xf>
    <xf numFmtId="0" fontId="31" fillId="5" borderId="65" xfId="0" applyFont="1" applyFill="1" applyBorder="1" applyAlignment="1">
      <alignment horizontal="center" vertical="center" wrapText="1"/>
    </xf>
    <xf numFmtId="0" fontId="31" fillId="5" borderId="15" xfId="0" applyFont="1" applyFill="1" applyBorder="1" applyAlignment="1">
      <alignment horizontal="center" vertical="center" wrapText="1"/>
    </xf>
    <xf numFmtId="0" fontId="31" fillId="5" borderId="32" xfId="0" applyFont="1" applyFill="1" applyBorder="1" applyAlignment="1">
      <alignment horizontal="center" vertical="center" wrapText="1"/>
    </xf>
    <xf numFmtId="0" fontId="29" fillId="5" borderId="7" xfId="333" applyFont="1" applyFill="1" applyBorder="1" applyAlignment="1">
      <alignment horizontal="center" vertical="center"/>
    </xf>
    <xf numFmtId="0" fontId="29" fillId="5" borderId="4" xfId="333" applyFont="1" applyFill="1" applyBorder="1" applyAlignment="1">
      <alignment horizontal="center" vertical="center"/>
    </xf>
    <xf numFmtId="0" fontId="31" fillId="5" borderId="25" xfId="171" applyFont="1" applyFill="1" applyBorder="1" applyAlignment="1" applyProtection="1">
      <alignment horizontal="center" vertical="center"/>
      <protection locked="0"/>
    </xf>
    <xf numFmtId="0" fontId="31" fillId="5" borderId="27" xfId="171" applyFont="1" applyFill="1" applyBorder="1" applyAlignment="1" applyProtection="1">
      <alignment horizontal="center" vertical="center"/>
      <protection locked="0"/>
    </xf>
    <xf numFmtId="0" fontId="31" fillId="5" borderId="46" xfId="171" applyFont="1" applyFill="1" applyBorder="1" applyAlignment="1">
      <alignment horizontal="center" vertical="center" wrapText="1"/>
    </xf>
    <xf numFmtId="0" fontId="31" fillId="5" borderId="2" xfId="171" applyFont="1" applyFill="1" applyBorder="1" applyAlignment="1">
      <alignment horizontal="center" vertical="center" wrapText="1"/>
    </xf>
    <xf numFmtId="0" fontId="31" fillId="5" borderId="15" xfId="171" applyFont="1" applyFill="1" applyBorder="1" applyAlignment="1">
      <alignment horizontal="center" vertical="center" wrapText="1"/>
    </xf>
    <xf numFmtId="0" fontId="31" fillId="5" borderId="32" xfId="171" applyFont="1" applyFill="1" applyBorder="1" applyAlignment="1">
      <alignment horizontal="center" vertical="center" wrapText="1"/>
    </xf>
    <xf numFmtId="0" fontId="58" fillId="0" borderId="16" xfId="2" applyNumberFormat="1" applyFont="1" applyFill="1" applyBorder="1" applyAlignment="1">
      <alignment horizontal="left" vertical="center" wrapText="1" shrinkToFit="1"/>
    </xf>
    <xf numFmtId="0" fontId="58" fillId="0" borderId="17" xfId="2" applyNumberFormat="1" applyFont="1" applyFill="1" applyBorder="1" applyAlignment="1">
      <alignment horizontal="left" vertical="center" wrapText="1" shrinkToFit="1"/>
    </xf>
    <xf numFmtId="0" fontId="58" fillId="0" borderId="20" xfId="2" applyNumberFormat="1" applyFont="1" applyFill="1" applyBorder="1" applyAlignment="1">
      <alignment horizontal="left" vertical="center" wrapText="1" shrinkToFit="1"/>
    </xf>
    <xf numFmtId="0" fontId="58" fillId="0" borderId="19" xfId="2" applyNumberFormat="1" applyFont="1" applyFill="1" applyBorder="1" applyAlignment="1">
      <alignment horizontal="left" vertical="center" wrapText="1" shrinkToFit="1"/>
    </xf>
    <xf numFmtId="0" fontId="58" fillId="0" borderId="0" xfId="2" applyNumberFormat="1" applyFont="1" applyFill="1" applyBorder="1" applyAlignment="1">
      <alignment horizontal="left" vertical="center" wrapText="1" shrinkToFit="1"/>
    </xf>
    <xf numFmtId="0" fontId="58" fillId="0" borderId="18" xfId="2" applyNumberFormat="1" applyFont="1" applyFill="1" applyBorder="1" applyAlignment="1">
      <alignment horizontal="left" vertical="center" wrapText="1" shrinkToFit="1"/>
    </xf>
    <xf numFmtId="0" fontId="58" fillId="0" borderId="14" xfId="2" applyNumberFormat="1" applyFont="1" applyFill="1" applyBorder="1" applyAlignment="1">
      <alignment horizontal="left" vertical="center" wrapText="1" shrinkToFit="1"/>
    </xf>
    <xf numFmtId="0" fontId="58" fillId="0" borderId="1" xfId="2" applyNumberFormat="1" applyFont="1" applyFill="1" applyBorder="1" applyAlignment="1">
      <alignment horizontal="left" vertical="center" wrapText="1" shrinkToFit="1"/>
    </xf>
    <xf numFmtId="0" fontId="58" fillId="0" borderId="21" xfId="2" applyNumberFormat="1" applyFont="1" applyFill="1" applyBorder="1" applyAlignment="1">
      <alignment horizontal="left" vertical="center" wrapText="1" shrinkToFit="1"/>
    </xf>
    <xf numFmtId="0" fontId="31" fillId="5" borderId="47" xfId="171" applyFont="1" applyFill="1" applyBorder="1" applyAlignment="1">
      <alignment horizontal="center" vertical="center" wrapText="1"/>
    </xf>
    <xf numFmtId="0" fontId="31" fillId="5" borderId="21" xfId="171" applyFont="1" applyFill="1" applyBorder="1" applyAlignment="1">
      <alignment horizontal="center" vertical="center" wrapText="1"/>
    </xf>
    <xf numFmtId="0" fontId="31" fillId="5" borderId="49" xfId="171" applyFont="1" applyFill="1" applyBorder="1" applyAlignment="1">
      <alignment horizontal="center" vertical="center"/>
    </xf>
    <xf numFmtId="0" fontId="31" fillId="5" borderId="14" xfId="171" applyFont="1" applyFill="1" applyBorder="1" applyAlignment="1">
      <alignment horizontal="center" vertical="center"/>
    </xf>
    <xf numFmtId="0" fontId="31" fillId="5" borderId="49" xfId="171" applyFont="1" applyFill="1" applyBorder="1" applyAlignment="1">
      <alignment horizontal="center" vertical="center" wrapText="1"/>
    </xf>
    <xf numFmtId="0" fontId="31" fillId="5" borderId="14" xfId="171" applyFont="1" applyFill="1" applyBorder="1" applyAlignment="1">
      <alignment horizontal="center" vertical="center" wrapText="1"/>
    </xf>
    <xf numFmtId="0" fontId="53" fillId="11" borderId="22" xfId="312" applyFont="1" applyFill="1" applyBorder="1" applyAlignment="1">
      <alignment horizontal="center" vertical="center"/>
    </xf>
    <xf numFmtId="0" fontId="53" fillId="11" borderId="23" xfId="312" applyFont="1" applyFill="1" applyBorder="1" applyAlignment="1">
      <alignment horizontal="center" vertical="center"/>
    </xf>
    <xf numFmtId="0" fontId="53" fillId="11" borderId="24" xfId="312" applyFont="1" applyFill="1" applyBorder="1" applyAlignment="1">
      <alignment horizontal="center" vertical="center"/>
    </xf>
    <xf numFmtId="0" fontId="0" fillId="18" borderId="16" xfId="0" applyFill="1" applyBorder="1" applyAlignment="1">
      <alignment horizontal="center" vertical="center"/>
    </xf>
    <xf numFmtId="0" fontId="0" fillId="18" borderId="17" xfId="0" applyFill="1" applyBorder="1" applyAlignment="1">
      <alignment horizontal="center" vertical="center"/>
    </xf>
    <xf numFmtId="0" fontId="0" fillId="18" borderId="20" xfId="0" applyFill="1" applyBorder="1" applyAlignment="1">
      <alignment horizontal="center" vertical="center"/>
    </xf>
    <xf numFmtId="0" fontId="0" fillId="18" borderId="19" xfId="0" applyFill="1" applyBorder="1" applyAlignment="1">
      <alignment horizontal="center" vertical="center"/>
    </xf>
    <xf numFmtId="0" fontId="0" fillId="18" borderId="0" xfId="0" applyFill="1" applyAlignment="1">
      <alignment horizontal="center" vertical="center"/>
    </xf>
    <xf numFmtId="0" fontId="0" fillId="18" borderId="18" xfId="0" applyFill="1" applyBorder="1" applyAlignment="1">
      <alignment horizontal="center" vertical="center"/>
    </xf>
    <xf numFmtId="0" fontId="0" fillId="18" borderId="14" xfId="0" applyFill="1" applyBorder="1" applyAlignment="1">
      <alignment horizontal="center" vertical="center"/>
    </xf>
    <xf numFmtId="0" fontId="0" fillId="18" borderId="1" xfId="0" applyFill="1" applyBorder="1" applyAlignment="1">
      <alignment horizontal="center" vertical="center"/>
    </xf>
    <xf numFmtId="0" fontId="0" fillId="18" borderId="21" xfId="0" applyFill="1" applyBorder="1" applyAlignment="1">
      <alignment horizontal="center" vertical="center"/>
    </xf>
    <xf numFmtId="0" fontId="31" fillId="5" borderId="13" xfId="100" applyFont="1" applyFill="1" applyBorder="1" applyAlignment="1">
      <alignment horizontal="center" vertical="center"/>
    </xf>
    <xf numFmtId="0" fontId="29" fillId="5" borderId="13" xfId="0" applyFont="1" applyFill="1" applyBorder="1" applyAlignment="1">
      <alignment horizontal="center" vertical="center"/>
    </xf>
    <xf numFmtId="0" fontId="35" fillId="5" borderId="40" xfId="0" applyFont="1" applyFill="1" applyBorder="1" applyAlignment="1">
      <alignment horizontal="center" vertical="center" wrapText="1"/>
    </xf>
    <xf numFmtId="0" fontId="35" fillId="5" borderId="44" xfId="0" applyFont="1" applyFill="1" applyBorder="1" applyAlignment="1">
      <alignment horizontal="center" vertical="center" wrapText="1"/>
    </xf>
    <xf numFmtId="0" fontId="35" fillId="5" borderId="15" xfId="0" applyFont="1" applyFill="1" applyBorder="1" applyAlignment="1">
      <alignment horizontal="center" vertical="center" wrapText="1"/>
    </xf>
    <xf numFmtId="0" fontId="35" fillId="5" borderId="32" xfId="0" applyFont="1" applyFill="1" applyBorder="1" applyAlignment="1">
      <alignment horizontal="center" vertical="center" wrapText="1"/>
    </xf>
    <xf numFmtId="0" fontId="114" fillId="0" borderId="16" xfId="0" applyFont="1" applyBorder="1" applyAlignment="1">
      <alignment horizontal="left" vertical="center" wrapText="1"/>
    </xf>
    <xf numFmtId="0" fontId="114" fillId="0" borderId="17" xfId="0" applyFont="1" applyBorder="1" applyAlignment="1">
      <alignment horizontal="left" vertical="center" wrapText="1"/>
    </xf>
    <xf numFmtId="0" fontId="114" fillId="0" borderId="20" xfId="0" applyFont="1" applyBorder="1" applyAlignment="1">
      <alignment horizontal="left" vertical="center" wrapText="1"/>
    </xf>
    <xf numFmtId="0" fontId="114" fillId="0" borderId="19" xfId="0" applyFont="1" applyBorder="1" applyAlignment="1">
      <alignment horizontal="left" vertical="center" wrapText="1"/>
    </xf>
    <xf numFmtId="0" fontId="114" fillId="0" borderId="0" xfId="0" applyFont="1" applyAlignment="1">
      <alignment horizontal="left" vertical="center" wrapText="1"/>
    </xf>
    <xf numFmtId="0" fontId="114" fillId="0" borderId="18" xfId="0" applyFont="1" applyBorder="1" applyAlignment="1">
      <alignment horizontal="left" vertical="center" wrapText="1"/>
    </xf>
    <xf numFmtId="0" fontId="114" fillId="0" borderId="14" xfId="0" applyFont="1" applyBorder="1" applyAlignment="1">
      <alignment horizontal="left" vertical="center" wrapText="1"/>
    </xf>
    <xf numFmtId="0" fontId="114" fillId="0" borderId="1" xfId="0" applyFont="1" applyBorder="1" applyAlignment="1">
      <alignment horizontal="left" vertical="center" wrapText="1"/>
    </xf>
    <xf numFmtId="0" fontId="114" fillId="0" borderId="21" xfId="0" applyFont="1" applyBorder="1" applyAlignment="1">
      <alignment horizontal="left" vertical="center" wrapText="1"/>
    </xf>
    <xf numFmtId="0" fontId="35" fillId="5" borderId="5" xfId="0" applyFont="1" applyFill="1" applyBorder="1" applyAlignment="1">
      <alignment horizontal="center" vertical="center"/>
    </xf>
    <xf numFmtId="0" fontId="35" fillId="5" borderId="16" xfId="0" applyFont="1" applyFill="1" applyBorder="1" applyAlignment="1">
      <alignment horizontal="center" vertical="center"/>
    </xf>
    <xf numFmtId="0" fontId="35" fillId="5" borderId="17" xfId="0" applyFont="1" applyFill="1" applyBorder="1" applyAlignment="1">
      <alignment horizontal="center" vertical="center"/>
    </xf>
    <xf numFmtId="0" fontId="7" fillId="16" borderId="7"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6" borderId="51" xfId="0" applyFont="1" applyFill="1" applyBorder="1" applyAlignment="1">
      <alignment horizontal="center" vertical="center" wrapText="1"/>
    </xf>
    <xf numFmtId="0" fontId="35" fillId="5" borderId="6" xfId="0" applyFont="1" applyFill="1" applyBorder="1" applyAlignment="1">
      <alignment horizontal="center" vertical="center"/>
    </xf>
    <xf numFmtId="0" fontId="35" fillId="5" borderId="2" xfId="0" applyFont="1" applyFill="1" applyBorder="1" applyAlignment="1">
      <alignment horizontal="center" vertical="center"/>
    </xf>
    <xf numFmtId="0" fontId="31" fillId="5" borderId="63" xfId="0" applyFont="1" applyFill="1" applyBorder="1" applyAlignment="1" applyProtection="1">
      <alignment horizontal="left" vertical="center"/>
      <protection locked="0"/>
    </xf>
    <xf numFmtId="0" fontId="31" fillId="5" borderId="29" xfId="0" applyFont="1" applyFill="1" applyBorder="1" applyAlignment="1" applyProtection="1">
      <alignment horizontal="left" vertical="center"/>
      <protection locked="0"/>
    </xf>
    <xf numFmtId="0" fontId="31" fillId="5" borderId="62" xfId="0" applyFont="1" applyFill="1" applyBorder="1" applyAlignment="1" applyProtection="1">
      <alignment horizontal="left" vertical="center"/>
      <protection locked="0"/>
    </xf>
    <xf numFmtId="0" fontId="29" fillId="5" borderId="13" xfId="100" applyFont="1" applyFill="1" applyBorder="1" applyAlignment="1">
      <alignment horizontal="center" vertical="center"/>
    </xf>
    <xf numFmtId="0" fontId="31" fillId="5" borderId="21" xfId="0" applyFont="1" applyFill="1" applyBorder="1" applyAlignment="1">
      <alignment horizontal="center" vertical="center" wrapText="1"/>
    </xf>
    <xf numFmtId="0" fontId="31" fillId="5" borderId="5" xfId="0" applyFont="1" applyFill="1" applyBorder="1" applyAlignment="1">
      <alignment horizontal="center" vertical="center" wrapText="1"/>
    </xf>
    <xf numFmtId="0" fontId="31" fillId="5" borderId="2" xfId="100" applyFont="1" applyFill="1" applyBorder="1" applyAlignment="1">
      <alignment horizontal="center" vertical="center"/>
    </xf>
    <xf numFmtId="0" fontId="31" fillId="5" borderId="5" xfId="100" applyFont="1" applyFill="1" applyBorder="1" applyAlignment="1">
      <alignment horizontal="center" vertical="center"/>
    </xf>
    <xf numFmtId="0" fontId="31" fillId="5" borderId="14"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5" fillId="0" borderId="33" xfId="0" applyFont="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41" xfId="0" applyFont="1" applyBorder="1" applyAlignment="1" applyProtection="1">
      <alignment horizontal="left" vertical="center" wrapText="1"/>
      <protection locked="0"/>
    </xf>
    <xf numFmtId="0" fontId="6" fillId="0" borderId="42" xfId="0" applyFont="1" applyBorder="1" applyAlignment="1" applyProtection="1">
      <alignment horizontal="left" vertical="center" wrapText="1"/>
      <protection locked="0"/>
    </xf>
    <xf numFmtId="0" fontId="5" fillId="0" borderId="43" xfId="0" applyFont="1" applyBorder="1" applyAlignment="1" applyProtection="1">
      <alignment horizontal="left" vertical="center" wrapText="1"/>
      <protection locked="0"/>
    </xf>
    <xf numFmtId="0" fontId="5" fillId="0" borderId="44" xfId="0" applyFont="1" applyBorder="1" applyAlignment="1" applyProtection="1">
      <alignment horizontal="left" vertical="center" wrapText="1"/>
      <protection locked="0"/>
    </xf>
    <xf numFmtId="0" fontId="6" fillId="0" borderId="33" xfId="0" applyFont="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6" fillId="0" borderId="41" xfId="0" applyFont="1" applyBorder="1" applyAlignment="1" applyProtection="1">
      <alignment horizontal="left" vertical="center"/>
      <protection locked="0"/>
    </xf>
    <xf numFmtId="0" fontId="31" fillId="5" borderId="45" xfId="100" applyFont="1" applyFill="1" applyBorder="1" applyAlignment="1">
      <alignment horizontal="center" vertical="center"/>
    </xf>
    <xf numFmtId="0" fontId="31" fillId="5" borderId="48" xfId="100" applyFont="1" applyFill="1" applyBorder="1" applyAlignment="1">
      <alignment horizontal="center" vertical="center"/>
    </xf>
    <xf numFmtId="0" fontId="31" fillId="5" borderId="46" xfId="100" applyFont="1" applyFill="1" applyBorder="1" applyAlignment="1">
      <alignment horizontal="center" vertical="center"/>
    </xf>
    <xf numFmtId="0" fontId="6" fillId="0" borderId="0" xfId="0" applyFont="1" applyAlignment="1">
      <alignment horizontal="left" vertical="center" wrapText="1"/>
    </xf>
    <xf numFmtId="0" fontId="84" fillId="0" borderId="16" xfId="0" applyFont="1" applyBorder="1" applyAlignment="1">
      <alignment horizontal="left" vertical="center" wrapText="1" shrinkToFit="1"/>
    </xf>
    <xf numFmtId="0" fontId="84" fillId="0" borderId="17" xfId="0" applyFont="1" applyBorder="1" applyAlignment="1">
      <alignment horizontal="left" vertical="center" wrapText="1" shrinkToFit="1"/>
    </xf>
    <xf numFmtId="0" fontId="84" fillId="0" borderId="20" xfId="0" applyFont="1" applyBorder="1" applyAlignment="1">
      <alignment horizontal="left" vertical="center" wrapText="1" shrinkToFit="1"/>
    </xf>
    <xf numFmtId="0" fontId="84" fillId="0" borderId="19" xfId="0" applyFont="1" applyBorder="1" applyAlignment="1">
      <alignment horizontal="left" vertical="center" wrapText="1" shrinkToFit="1"/>
    </xf>
    <xf numFmtId="0" fontId="84" fillId="0" borderId="0" xfId="0" applyFont="1" applyAlignment="1">
      <alignment horizontal="left" vertical="center" wrapText="1" shrinkToFit="1"/>
    </xf>
    <xf numFmtId="0" fontId="84" fillId="0" borderId="18" xfId="0" applyFont="1" applyBorder="1" applyAlignment="1">
      <alignment horizontal="left" vertical="center" wrapText="1" shrinkToFit="1"/>
    </xf>
    <xf numFmtId="0" fontId="84" fillId="0" borderId="14" xfId="0" applyFont="1" applyBorder="1" applyAlignment="1">
      <alignment horizontal="left" vertical="center" wrapText="1" shrinkToFit="1"/>
    </xf>
    <xf numFmtId="0" fontId="84" fillId="0" borderId="1" xfId="0" applyFont="1" applyBorder="1" applyAlignment="1">
      <alignment horizontal="left" vertical="center" wrapText="1" shrinkToFit="1"/>
    </xf>
    <xf numFmtId="0" fontId="84" fillId="0" borderId="21" xfId="0" applyFont="1" applyBorder="1" applyAlignment="1">
      <alignment horizontal="left" vertical="center" wrapText="1" shrinkToFit="1"/>
    </xf>
    <xf numFmtId="0" fontId="118" fillId="0" borderId="16" xfId="0" applyFont="1" applyBorder="1" applyAlignment="1">
      <alignment horizontal="left" vertical="center" wrapText="1" shrinkToFit="1"/>
    </xf>
    <xf numFmtId="0" fontId="118" fillId="0" borderId="17" xfId="0" applyFont="1" applyBorder="1" applyAlignment="1">
      <alignment horizontal="left" vertical="center" wrapText="1" shrinkToFit="1"/>
    </xf>
    <xf numFmtId="0" fontId="118" fillId="0" borderId="20" xfId="0" applyFont="1" applyBorder="1" applyAlignment="1">
      <alignment horizontal="left" vertical="center" wrapText="1" shrinkToFit="1"/>
    </xf>
    <xf numFmtId="0" fontId="118" fillId="0" borderId="19" xfId="0" applyFont="1" applyBorder="1" applyAlignment="1">
      <alignment horizontal="left" vertical="center" wrapText="1" shrinkToFit="1"/>
    </xf>
    <xf numFmtId="0" fontId="118" fillId="0" borderId="0" xfId="0" applyFont="1" applyAlignment="1">
      <alignment horizontal="left" vertical="center" wrapText="1" shrinkToFit="1"/>
    </xf>
    <xf numFmtId="0" fontId="118" fillId="0" borderId="18" xfId="0" applyFont="1" applyBorder="1" applyAlignment="1">
      <alignment horizontal="left" vertical="center" wrapText="1" shrinkToFit="1"/>
    </xf>
    <xf numFmtId="0" fontId="118" fillId="0" borderId="14" xfId="0" applyFont="1" applyBorder="1" applyAlignment="1">
      <alignment horizontal="left" vertical="center" wrapText="1" shrinkToFit="1"/>
    </xf>
    <xf numFmtId="0" fontId="118" fillId="0" borderId="1" xfId="0" applyFont="1" applyBorder="1" applyAlignment="1">
      <alignment horizontal="left" vertical="center" wrapText="1" shrinkToFit="1"/>
    </xf>
    <xf numFmtId="0" fontId="118" fillId="0" borderId="21" xfId="0" applyFont="1" applyBorder="1" applyAlignment="1">
      <alignment horizontal="left" vertical="center" wrapText="1" shrinkToFit="1"/>
    </xf>
    <xf numFmtId="0" fontId="73" fillId="5" borderId="60" xfId="0" applyFont="1" applyFill="1" applyBorder="1" applyAlignment="1">
      <alignment horizontal="center" vertical="center" wrapText="1"/>
    </xf>
    <xf numFmtId="0" fontId="73" fillId="5" borderId="26" xfId="0" applyFont="1" applyFill="1" applyBorder="1" applyAlignment="1">
      <alignment horizontal="center" vertical="center" wrapText="1"/>
    </xf>
    <xf numFmtId="0" fontId="73" fillId="5" borderId="27" xfId="0" applyFont="1" applyFill="1" applyBorder="1" applyAlignment="1">
      <alignment horizontal="center" vertical="center" wrapText="1"/>
    </xf>
    <xf numFmtId="0" fontId="73" fillId="5" borderId="25" xfId="0" applyFont="1" applyFill="1" applyBorder="1" applyAlignment="1">
      <alignment horizontal="center" vertical="center" wrapText="1"/>
    </xf>
    <xf numFmtId="0" fontId="69" fillId="5" borderId="27" xfId="0" applyFont="1" applyFill="1" applyBorder="1" applyAlignment="1">
      <alignment horizontal="center" vertical="center" wrapText="1"/>
    </xf>
    <xf numFmtId="0" fontId="74" fillId="5" borderId="7" xfId="0" applyFont="1" applyFill="1" applyBorder="1" applyAlignment="1">
      <alignment horizontal="center" vertical="center"/>
    </xf>
    <xf numFmtId="0" fontId="74" fillId="5" borderId="8" xfId="0" applyFont="1" applyFill="1" applyBorder="1" applyAlignment="1">
      <alignment horizontal="center" vertical="center"/>
    </xf>
    <xf numFmtId="0" fontId="74" fillId="5" borderId="4" xfId="0" applyFont="1" applyFill="1" applyBorder="1" applyAlignment="1">
      <alignment horizontal="center" vertical="center"/>
    </xf>
    <xf numFmtId="14" fontId="88" fillId="5" borderId="7" xfId="0" applyNumberFormat="1" applyFont="1" applyFill="1" applyBorder="1" applyAlignment="1" applyProtection="1">
      <alignment horizontal="center" vertical="center"/>
      <protection locked="0"/>
    </xf>
    <xf numFmtId="14" fontId="88" fillId="5" borderId="8" xfId="0" applyNumberFormat="1" applyFont="1" applyFill="1" applyBorder="1" applyAlignment="1" applyProtection="1">
      <alignment horizontal="center" vertical="center"/>
      <protection locked="0"/>
    </xf>
    <xf numFmtId="14" fontId="88" fillId="5" borderId="51" xfId="0" applyNumberFormat="1" applyFont="1" applyFill="1" applyBorder="1" applyAlignment="1" applyProtection="1">
      <alignment horizontal="center" vertical="center"/>
      <protection locked="0"/>
    </xf>
    <xf numFmtId="0" fontId="69" fillId="5" borderId="15" xfId="0" applyFont="1" applyFill="1" applyBorder="1" applyAlignment="1">
      <alignment horizontal="center" vertical="center" wrapText="1"/>
    </xf>
    <xf numFmtId="0" fontId="69" fillId="5" borderId="59" xfId="0" applyFont="1" applyFill="1" applyBorder="1" applyAlignment="1">
      <alignment horizontal="center" vertical="center" wrapText="1"/>
    </xf>
    <xf numFmtId="0" fontId="63" fillId="0" borderId="7" xfId="0" applyFont="1" applyBorder="1" applyAlignment="1" applyProtection="1">
      <alignment horizontal="left" vertical="center" wrapText="1"/>
      <protection locked="0"/>
    </xf>
    <xf numFmtId="0" fontId="63" fillId="0" borderId="8" xfId="0" applyFont="1" applyBorder="1" applyAlignment="1" applyProtection="1">
      <alignment horizontal="left" vertical="center" wrapText="1"/>
      <protection locked="0"/>
    </xf>
    <xf numFmtId="0" fontId="63" fillId="0" borderId="4" xfId="0" applyFont="1" applyBorder="1" applyAlignment="1" applyProtection="1">
      <alignment horizontal="left" vertical="center" wrapText="1"/>
      <protection locked="0"/>
    </xf>
    <xf numFmtId="0" fontId="67" fillId="0" borderId="7" xfId="164" applyFont="1" applyBorder="1" applyAlignment="1">
      <alignment horizontal="left" vertical="center"/>
    </xf>
    <xf numFmtId="0" fontId="67" fillId="0" borderId="8" xfId="164" applyFont="1" applyBorder="1" applyAlignment="1">
      <alignment horizontal="left" vertical="center"/>
    </xf>
    <xf numFmtId="0" fontId="67" fillId="0" borderId="4" xfId="164" applyFont="1" applyBorder="1" applyAlignment="1">
      <alignment horizontal="left" vertical="center"/>
    </xf>
  </cellXfs>
  <cellStyles count="337">
    <cellStyle name="cellStyleNum 2" xfId="17" xr:uid="{00000000-0005-0000-0000-000040000000}"/>
    <cellStyle name="Check Cell 2" xfId="4" xr:uid="{00000000-0005-0000-0000-00000D000000}"/>
    <cellStyle name="Check Cell 2 2" xfId="19" xr:uid="{00000000-0005-0000-0000-000042000000}"/>
    <cellStyle name="Comma [0] 2" xfId="8" xr:uid="{00000000-0005-0000-0000-000015000000}"/>
    <cellStyle name="Comma [0] 2 2" xfId="22" xr:uid="{00000000-0005-0000-0000-000045000000}"/>
    <cellStyle name="Comma [0] 2 2 2" xfId="9" xr:uid="{00000000-0005-0000-0000-000018000000}"/>
    <cellStyle name="Comma [0] 2 2 2 2" xfId="10" xr:uid="{00000000-0005-0000-0000-00001C000000}"/>
    <cellStyle name="Comma [0] 2 2 2 2 2" xfId="124" xr:uid="{4E72E27F-DC0A-4E71-9DD7-4EED4140681D}"/>
    <cellStyle name="Comma [0] 2 2 2 2 2 2" xfId="211" xr:uid="{1D53592F-CCCE-43A4-92CF-671B272EB8A1}"/>
    <cellStyle name="Comma [0] 2 2 2 2 2 2 2" xfId="275" xr:uid="{B5867764-2389-42E2-A8EE-0B35FB07EB4E}"/>
    <cellStyle name="Comma [0] 2 2 2 2 3" xfId="179" xr:uid="{A0BA0575-A069-40C7-8076-1EB98D4F2AD5}"/>
    <cellStyle name="Comma [0] 2 2 2 2 3 2" xfId="245" xr:uid="{1E0DC773-C18A-4022-949B-70DF4C66A190}"/>
    <cellStyle name="Comma [0] 2 2 2 3" xfId="123" xr:uid="{4F2C947B-26B9-4FCF-B512-C20CE4BDD1DA}"/>
    <cellStyle name="Comma [0] 2 2 2 3 2" xfId="210" xr:uid="{E65892D8-B5DB-4024-8DAF-381E794AC73B}"/>
    <cellStyle name="Comma [0] 2 2 2 3 2 2" xfId="274" xr:uid="{0E8EDFC2-374A-45CD-AC2C-D2DF9A73B5E3}"/>
    <cellStyle name="Comma [0] 2 2 2 4" xfId="178" xr:uid="{4C90B7D5-F20E-4F5C-9999-008958249DE9}"/>
    <cellStyle name="Comma [0] 2 2 2 4 2" xfId="244" xr:uid="{97034D98-D7D6-4D84-A14B-A3C0E62A4C8A}"/>
    <cellStyle name="Comma [0] 2 2 3" xfId="11" xr:uid="{00000000-0005-0000-0000-000022000000}"/>
    <cellStyle name="Comma [0] 2 2 3 2" xfId="125" xr:uid="{F68247A2-B69D-4035-ACEA-59B4C7A70E7D}"/>
    <cellStyle name="Comma [0] 2 2 3 2 2" xfId="212" xr:uid="{8891F9BE-E954-454F-8403-A3E620BB96C4}"/>
    <cellStyle name="Comma [0] 2 2 3 2 2 2" xfId="276" xr:uid="{71F91AA7-2F82-4798-A376-0FFE7520E6CE}"/>
    <cellStyle name="Comma [0] 2 2 3 3" xfId="180" xr:uid="{C89A21C4-FC77-4035-81F0-0B3F30E48AED}"/>
    <cellStyle name="Comma [0] 2 2 3 3 2" xfId="246" xr:uid="{493F08EB-B234-40EA-8E34-F83B4961F05F}"/>
    <cellStyle name="Comma [0] 2 2 4" xfId="129" xr:uid="{110EC128-FFDB-4020-BA0F-A08988BDA7F6}"/>
    <cellStyle name="Comma [0] 2 2 4 2" xfId="216" xr:uid="{ADAC2905-A304-4B52-9F13-7537853FC8CC}"/>
    <cellStyle name="Comma [0] 2 2 4 2 2" xfId="280" xr:uid="{45844E09-30E9-4D14-9DB1-DDAD33D6CDD2}"/>
    <cellStyle name="Comma [0] 2 2 5" xfId="184" xr:uid="{4888996C-F2B2-498D-9805-7C52F30F4D9B}"/>
    <cellStyle name="Comma [0] 2 2 5 2" xfId="250" xr:uid="{BFCBD06E-5DA0-4904-AB9D-27864C8E07EC}"/>
    <cellStyle name="Comma [0] 2 3" xfId="6" xr:uid="{00000000-0005-0000-0000-000011000000}"/>
    <cellStyle name="Comma [0] 2 3 2" xfId="120" xr:uid="{213DFC4C-6875-4BA8-A17E-65B77394850D}"/>
    <cellStyle name="Comma [0] 2 3 2 2" xfId="207" xr:uid="{755ECB14-F600-4FA0-A8AA-35B2867C6A97}"/>
    <cellStyle name="Comma [0] 2 3 2 2 2" xfId="271" xr:uid="{15A37590-1147-4417-941A-25A45DDCD950}"/>
    <cellStyle name="Comma [0] 2 3 3" xfId="175" xr:uid="{DDBA65B2-01B9-4A42-A723-398B5305AF58}"/>
    <cellStyle name="Comma [0] 2 3 3 2" xfId="241" xr:uid="{C54287B0-445A-47B2-96AC-6B6AA73A392C}"/>
    <cellStyle name="Comma [0] 2 4" xfId="23" xr:uid="{00000000-0005-0000-0000-000046000000}"/>
    <cellStyle name="Comma [0] 2 4 2" xfId="130" xr:uid="{FBC3FCBE-8D51-4C34-A67B-25B5EE5C5097}"/>
    <cellStyle name="Comma [0] 2 4 2 2" xfId="217" xr:uid="{1B91C6F7-7D81-46CB-9ED8-A2562FF6FDE2}"/>
    <cellStyle name="Comma [0] 2 4 2 2 2" xfId="281" xr:uid="{62635C98-ACB5-48F3-90A2-F729F7B17315}"/>
    <cellStyle name="Comma [0] 2 4 3" xfId="185" xr:uid="{53EE19E2-D968-4118-8A76-85387F749338}"/>
    <cellStyle name="Comma [0] 2 4 3 2" xfId="251" xr:uid="{A567A625-3FD0-42EF-A126-0D0A682AE0B1}"/>
    <cellStyle name="Comma [0] 2 5" xfId="122" xr:uid="{5621916C-9136-4124-A587-5F29CE88EC48}"/>
    <cellStyle name="Comma [0] 2 5 2" xfId="209" xr:uid="{D08A5AE1-8E62-4A4B-877E-7920E7D319E2}"/>
    <cellStyle name="Comma [0] 2 5 2 2" xfId="273" xr:uid="{A848E03A-6307-43CA-932F-7C65CF725C00}"/>
    <cellStyle name="Comma [0] 2 6" xfId="177" xr:uid="{F92F3930-8654-4D2D-A9F2-C2C824D8F7C9}"/>
    <cellStyle name="Comma [0] 2 6 2" xfId="243" xr:uid="{5D5AD177-BCFA-4B7C-8A69-7DB0582F0BDA}"/>
    <cellStyle name="Comma [0] 3" xfId="3" xr:uid="{00000000-0005-0000-0000-00000C000000}"/>
    <cellStyle name="Comma [0] 3 2" xfId="119" xr:uid="{65BF7C5D-E9EA-463E-9BDF-84C476B90ACC}"/>
    <cellStyle name="Comma [0] 3 2 2" xfId="206" xr:uid="{B3FA8618-8AE5-4111-828E-21D05A59CCB9}"/>
    <cellStyle name="Comma [0] 3 2 2 2" xfId="270" xr:uid="{17C3FA46-05C3-4AD4-B3BB-630FC594C86D}"/>
    <cellStyle name="Comma [0] 3 2 3" xfId="313" xr:uid="{0521D7D5-FE40-472C-A130-9E11739E9CBB}"/>
    <cellStyle name="Comma [0] 3 3" xfId="174" xr:uid="{9D4BD04C-7222-4C1E-9D70-D19E147F42BD}"/>
    <cellStyle name="Comma [0] 3 3 2" xfId="240" xr:uid="{357D07B4-C045-400C-AF66-1F33BA69341B}"/>
    <cellStyle name="Comma 12" xfId="25" xr:uid="{00000000-0005-0000-0000-000048000000}"/>
    <cellStyle name="Comma 12 2" xfId="131" xr:uid="{750A6A42-31B1-49EF-B5EA-0F2518F283E3}"/>
    <cellStyle name="Comma 12 2 2" xfId="218" xr:uid="{C73816A9-6CAD-40C6-8EFE-DD72AD265931}"/>
    <cellStyle name="Comma 12 2 2 2" xfId="282" xr:uid="{F65DC52E-23DC-4D07-ACAD-292286623FAC}"/>
    <cellStyle name="Comma 12 3" xfId="186" xr:uid="{8DA26401-B027-46F9-9197-A1462A070503}"/>
    <cellStyle name="Comma 12 3 2" xfId="252" xr:uid="{61A06338-3049-4835-AA70-5AB0D74B9119}"/>
    <cellStyle name="Comma 15" xfId="26" xr:uid="{00000000-0005-0000-0000-000049000000}"/>
    <cellStyle name="Comma 15 2" xfId="132" xr:uid="{74084063-E3E0-42E6-A7B2-BD2C0CA8A661}"/>
    <cellStyle name="Comma 15 2 2" xfId="219" xr:uid="{0AFDA27F-FBDF-402E-8D9E-8E2F70E493F4}"/>
    <cellStyle name="Comma 15 2 2 2" xfId="283" xr:uid="{441B0302-120D-444C-AECC-8FEE24C4B561}"/>
    <cellStyle name="Comma 15 2 3" xfId="314" xr:uid="{66241553-6CE1-4477-B2A0-CA7AB3730A3E}"/>
    <cellStyle name="Comma 15 3" xfId="187" xr:uid="{61926C2B-C726-4127-AB03-0500E2CEF804}"/>
    <cellStyle name="Comma 15 3 2" xfId="253" xr:uid="{EA7FB4F2-BA5E-45AC-8D5E-503CBB78ACD8}"/>
    <cellStyle name="Comma 2" xfId="7" xr:uid="{00000000-0005-0000-0000-000014000000}"/>
    <cellStyle name="Comma 2 2" xfId="21" xr:uid="{00000000-0005-0000-0000-000044000000}"/>
    <cellStyle name="Comma 2 2 2" xfId="27" xr:uid="{00000000-0005-0000-0000-00004A000000}"/>
    <cellStyle name="Comma 2 2 2 2" xfId="133" xr:uid="{440D7CD1-B2E4-47F6-A81A-237FACA3B82E}"/>
    <cellStyle name="Comma 2 2 2 2 2" xfId="220" xr:uid="{D4467DBD-52CA-4D78-967E-39E861A16C3E}"/>
    <cellStyle name="Comma 2 2 2 2 2 2" xfId="284" xr:uid="{3A7E9C68-EC0A-403E-97A0-C2B9BC26697A}"/>
    <cellStyle name="Comma 2 2 2 3" xfId="188" xr:uid="{AA1529D1-BA58-4B6D-B040-3BD32F903485}"/>
    <cellStyle name="Comma 2 2 2 3 2" xfId="254" xr:uid="{AE654B13-2A4C-4A35-ACAB-7CA33C29E5FD}"/>
    <cellStyle name="Comma 2 2 3" xfId="128" xr:uid="{AAF2A450-55C5-4838-BA76-DAFD6544D251}"/>
    <cellStyle name="Comma 2 2 3 2" xfId="215" xr:uid="{43A0C136-379F-4071-9B57-BA2E52C3707B}"/>
    <cellStyle name="Comma 2 2 3 2 2" xfId="279" xr:uid="{8397FA7A-E168-484F-A2E7-B8AA0DB8DD3E}"/>
    <cellStyle name="Comma 2 2 4" xfId="183" xr:uid="{CB16E91B-85CA-4555-82B1-64BBA1EF780C}"/>
    <cellStyle name="Comma 2 2 4 2" xfId="249" xr:uid="{E5276EEB-0D4A-46F8-9AB0-57D297DA1B13}"/>
    <cellStyle name="Comma 2 3" xfId="29" xr:uid="{00000000-0005-0000-0000-00004C000000}"/>
    <cellStyle name="Comma 2 3 2" xfId="135" xr:uid="{7E77BA09-00F5-48B2-BF1C-647DF9DF3DFE}"/>
    <cellStyle name="Comma 2 3 2 2" xfId="222" xr:uid="{7E3B8212-7744-4E87-8B20-0935D0371F96}"/>
    <cellStyle name="Comma 2 3 2 2 2" xfId="286" xr:uid="{5E389C45-496E-46A0-839D-C7BC1F14EBDC}"/>
    <cellStyle name="Comma 2 3 3" xfId="190" xr:uid="{EA25CEF1-1B70-4ED2-9D7A-3983FEB9FD36}"/>
    <cellStyle name="Comma 2 3 3 2" xfId="256" xr:uid="{931626E3-0E3C-4322-BCDE-8718C6414DF0}"/>
    <cellStyle name="Comma 2 4" xfId="30" xr:uid="{00000000-0005-0000-0000-00004D000000}"/>
    <cellStyle name="Comma 2 4 2" xfId="136" xr:uid="{DC56C2DE-A7A9-4129-9440-CCAAF53E0705}"/>
    <cellStyle name="Comma 2 4 2 2" xfId="223" xr:uid="{594337BB-BAEC-4FBD-87D6-BA2E958DC7BF}"/>
    <cellStyle name="Comma 2 4 2 2 2" xfId="287" xr:uid="{7CC7B3A5-6978-492A-B6E5-6F4C1F8BF2F5}"/>
    <cellStyle name="Comma 2 4 3" xfId="191" xr:uid="{4D74CAB7-2373-4854-ABA5-DAF0ADD83B79}"/>
    <cellStyle name="Comma 2 4 3 2" xfId="257" xr:uid="{355D4E37-F1D7-49CA-9B66-053F2F30F68E}"/>
    <cellStyle name="Comma 2 5" xfId="121" xr:uid="{10585534-ABCB-4D4E-869F-069CDCCA8C39}"/>
    <cellStyle name="Comma 2 5 2" xfId="208" xr:uid="{5D5485B1-5E93-4739-B76B-BCFF144843EA}"/>
    <cellStyle name="Comma 2 5 2 2" xfId="272" xr:uid="{851169B1-31D0-4915-9444-06D35B473AB4}"/>
    <cellStyle name="Comma 2 6" xfId="176" xr:uid="{FB063588-89D2-43C8-B236-44A4E2CD1953}"/>
    <cellStyle name="Comma 2 6 2" xfId="242" xr:uid="{BD8BE1C4-AF2D-4F7E-B838-5BF047AE8D31}"/>
    <cellStyle name="Comma 2 7" xfId="315" xr:uid="{F6FCFF66-0EEB-4783-9BB2-3755E1C55EF8}"/>
    <cellStyle name="Comma 2_1" xfId="31" xr:uid="{00000000-0005-0000-0000-00004E000000}"/>
    <cellStyle name="Comma 3" xfId="32" xr:uid="{00000000-0005-0000-0000-00004F000000}"/>
    <cellStyle name="Comma 3 2" xfId="137" xr:uid="{2D7CA84B-E936-4083-A94F-0AAF08C8E4C7}"/>
    <cellStyle name="Comma 3 2 2" xfId="224" xr:uid="{CD37CD20-BA7C-47B9-B80D-09AE9DDE5DF3}"/>
    <cellStyle name="Comma 3 2 2 2" xfId="288" xr:uid="{08817351-BF46-46E3-ABBE-0A86BFA1C62C}"/>
    <cellStyle name="Comma 3 3" xfId="192" xr:uid="{2B6A364A-F015-41C0-8D22-71D264FFE01C}"/>
    <cellStyle name="Comma 3 3 2" xfId="258" xr:uid="{2A24DE10-4D46-4015-B431-7B9D0E1F9A05}"/>
    <cellStyle name="Comma 4" xfId="33" xr:uid="{00000000-0005-0000-0000-000050000000}"/>
    <cellStyle name="Comma 4 2" xfId="138" xr:uid="{856A3755-09D3-4A09-BD82-F31AA9153D2A}"/>
    <cellStyle name="Comma 4 2 2" xfId="225" xr:uid="{BE8E1FE5-BE58-42A4-9721-3263FC3F2643}"/>
    <cellStyle name="Comma 4 2 2 2" xfId="289" xr:uid="{460293A6-9ECA-467F-A906-2DF5C702348C}"/>
    <cellStyle name="Comma 4 2 3" xfId="316" xr:uid="{8BBCD851-30A9-4A3E-83BD-F947E68A3FA8}"/>
    <cellStyle name="Comma 4 3" xfId="193" xr:uid="{65EAF11A-0811-44CC-9D27-CB8451E19675}"/>
    <cellStyle name="Comma 4 3 2" xfId="259" xr:uid="{7E559311-6658-486E-8B96-63AFDE228790}"/>
    <cellStyle name="Comma 5" xfId="34" xr:uid="{00000000-0005-0000-0000-000051000000}"/>
    <cellStyle name="Comma 5 2" xfId="139" xr:uid="{C7A9EFC5-4DBA-459B-8046-2C8AD2D029A9}"/>
    <cellStyle name="Comma 5 2 2" xfId="226" xr:uid="{59B1AE32-C41B-47A1-A55D-8A939EBABECC}"/>
    <cellStyle name="Comma 5 2 2 2" xfId="290" xr:uid="{AFE159E4-877B-4320-A8BB-F12B99FA4A19}"/>
    <cellStyle name="Comma 5 3" xfId="194" xr:uid="{EBD817CC-2D21-4E18-BA88-D7CE5B2DEE20}"/>
    <cellStyle name="Comma 5 3 2" xfId="260" xr:uid="{E07A32AB-A852-44ED-AB43-105E536A9BE4}"/>
    <cellStyle name="Comma 7" xfId="112" xr:uid="{B1D07FB5-A2AD-443B-9530-1673FA155455}"/>
    <cellStyle name="Comma 7 2" xfId="147" xr:uid="{4FD34A22-F97A-4DC1-B068-926CCE7ECC5B}"/>
    <cellStyle name="Comma 7 2 2" xfId="234" xr:uid="{8EACFAC2-9269-416E-A0A4-F2D5860815A8}"/>
    <cellStyle name="Comma 7 2 2 2" xfId="298" xr:uid="{8A7E276C-B35E-4CD3-B5C4-CD061AF40838}"/>
    <cellStyle name="Comma 7 3" xfId="202" xr:uid="{B090CF2D-68E3-4428-8FF1-2D5DE928944F}"/>
    <cellStyle name="Comma 7 3 2" xfId="268" xr:uid="{A72CA39F-81F8-46D5-8D9B-3AA5F0C60614}"/>
    <cellStyle name="dataStyle 2" xfId="35" xr:uid="{00000000-0005-0000-0000-000052000000}"/>
    <cellStyle name="dataStyle 3" xfId="36" xr:uid="{00000000-0005-0000-0000-000053000000}"/>
    <cellStyle name="Good 2" xfId="37" xr:uid="{00000000-0005-0000-0000-000054000000}"/>
    <cellStyle name="Good 2 2" xfId="38" xr:uid="{00000000-0005-0000-0000-000055000000}"/>
    <cellStyle name="Hyperlink" xfId="335" xr:uid="{00000000-000B-0000-0000-000008000000}"/>
    <cellStyle name="Hyperlink 2" xfId="15" xr:uid="{00000000-0005-0000-0000-000034000000}"/>
    <cellStyle name="Hyperlink 2 2" xfId="39" xr:uid="{00000000-0005-0000-0000-000056000000}"/>
    <cellStyle name="Hyperlink 2 2 3" xfId="163" xr:uid="{C7E2CC21-5688-48CA-9BF4-0AC78934135B}"/>
    <cellStyle name="Hyperlink 2 2 4" xfId="317" xr:uid="{DA303DBF-4943-4405-B2BF-6CBA87D3F94A}"/>
    <cellStyle name="Hyperlink 4" xfId="16" xr:uid="{00000000-0005-0000-0000-000039000000}"/>
    <cellStyle name="Hyperlink 4 2" xfId="40" xr:uid="{00000000-0005-0000-0000-000057000000}"/>
    <cellStyle name="Normal 10" xfId="41" xr:uid="{00000000-0005-0000-0000-000058000000}"/>
    <cellStyle name="Normal 10 10" xfId="42" xr:uid="{00000000-0005-0000-0000-000059000000}"/>
    <cellStyle name="Normal 103" xfId="43" xr:uid="{00000000-0005-0000-0000-00005A000000}"/>
    <cellStyle name="Normal 103 2" xfId="44" xr:uid="{00000000-0005-0000-0000-00005B000000}"/>
    <cellStyle name="Normal 103 3" xfId="45" xr:uid="{00000000-0005-0000-0000-00005C000000}"/>
    <cellStyle name="Normal 11" xfId="46" xr:uid="{00000000-0005-0000-0000-00005D000000}"/>
    <cellStyle name="Normal 12" xfId="148" xr:uid="{DB4ED536-CA33-4FFD-9CFA-CD8D4FCC6525}"/>
    <cellStyle name="Normal 12 2" xfId="18" xr:uid="{00000000-0005-0000-0000-000041000000}"/>
    <cellStyle name="Normal 12 2 2 2 2" xfId="157" xr:uid="{B8A0BF45-E064-40A1-A7D5-CACE72351CC8}"/>
    <cellStyle name="Normal 12 2 3" xfId="154" xr:uid="{40E94F5D-B264-44A6-ACEF-D77168AC99EC}"/>
    <cellStyle name="Normal 12 3" xfId="318" xr:uid="{6A076F13-5366-4F4C-AACC-FD8CB6EE324E}"/>
    <cellStyle name="Normal 12 5" xfId="166" xr:uid="{820CFF23-5ABA-4F5C-9FA0-80A5A186E4D8}"/>
    <cellStyle name="Normal 121 2" xfId="47" xr:uid="{00000000-0005-0000-0000-00005E000000}"/>
    <cellStyle name="Normal 121 2 2" xfId="48" xr:uid="{00000000-0005-0000-0000-00005F000000}"/>
    <cellStyle name="Normal 121 2 2 2" xfId="49" xr:uid="{00000000-0005-0000-0000-000060000000}"/>
    <cellStyle name="Normal 121 2 2 2 4" xfId="167" xr:uid="{E73BE765-C361-4634-8172-EF27FA7E0AF9}"/>
    <cellStyle name="Normal 121 2 3" xfId="50" xr:uid="{00000000-0005-0000-0000-000061000000}"/>
    <cellStyle name="Normal 121 4" xfId="152" xr:uid="{559D00B9-8533-493E-9ED1-26DC0CF2036A}"/>
    <cellStyle name="Normal 125" xfId="13" xr:uid="{00000000-0005-0000-0000-000031000000}"/>
    <cellStyle name="Normal 125 2" xfId="51" xr:uid="{00000000-0005-0000-0000-000062000000}"/>
    <cellStyle name="Normal 126" xfId="1" xr:uid="{00000000-0005-0000-0000-000007000000}"/>
    <cellStyle name="Normal 126 2" xfId="52" xr:uid="{00000000-0005-0000-0000-000063000000}"/>
    <cellStyle name="Normal 13" xfId="53" xr:uid="{00000000-0005-0000-0000-000064000000}"/>
    <cellStyle name="Normal 13 2" xfId="54" xr:uid="{00000000-0005-0000-0000-000065000000}"/>
    <cellStyle name="Normal 14" xfId="113" xr:uid="{DF148507-09AB-4461-8F2B-0A9CE3EE4AF1}"/>
    <cellStyle name="Normal 16" xfId="155" xr:uid="{CB7589CD-8EB0-441E-BD02-59D15021A33B}"/>
    <cellStyle name="Normal 17" xfId="312" xr:uid="{421238D4-81AB-42F9-A0B9-1F5B6A81AD66}"/>
    <cellStyle name="Normal 19" xfId="299" xr:uid="{3B46BB05-77D1-4EF1-B6F6-CE8682007534}"/>
    <cellStyle name="Normal 2" xfId="56" xr:uid="{00000000-0005-0000-0000-000067000000}"/>
    <cellStyle name="Normal 2 10" xfId="319" xr:uid="{C0366258-9E82-4389-B63B-A070ECB5AF20}"/>
    <cellStyle name="Normal 2 10 2" xfId="57" xr:uid="{00000000-0005-0000-0000-000068000000}"/>
    <cellStyle name="Normal 2 2" xfId="58" xr:uid="{00000000-0005-0000-0000-000069000000}"/>
    <cellStyle name="Normal 2 2 2" xfId="59" xr:uid="{00000000-0005-0000-0000-00006A000000}"/>
    <cellStyle name="Normal 2 2 2 2" xfId="159" xr:uid="{C9AB3AE5-4AF0-4B5D-A8BC-842B11EAD99D}"/>
    <cellStyle name="Normal 2 2 2 3" xfId="320" xr:uid="{84EE7B8B-8EBC-4CAA-9163-00E4F68741B6}"/>
    <cellStyle name="Normal 2 2 3" xfId="161" xr:uid="{07565753-94B0-4BD8-B953-49E3D8F2FBDD}"/>
    <cellStyle name="Normal 2 2 3 2" xfId="60" xr:uid="{00000000-0005-0000-0000-00006B000000}"/>
    <cellStyle name="Normal 2 2 4" xfId="162" xr:uid="{29E84983-4591-4FA0-B113-EE8C1430103B}"/>
    <cellStyle name="Normal 2 2_1" xfId="61" xr:uid="{00000000-0005-0000-0000-00006C000000}"/>
    <cellStyle name="Normal 2 3" xfId="62" xr:uid="{00000000-0005-0000-0000-00006D000000}"/>
    <cellStyle name="Normal 2 3 2" xfId="63" xr:uid="{00000000-0005-0000-0000-00006E000000}"/>
    <cellStyle name="Normal 2 3 2 2" xfId="12" xr:uid="{00000000-0005-0000-0000-000028000000}"/>
    <cellStyle name="Normal 2 3 2 2 3" xfId="64" xr:uid="{00000000-0005-0000-0000-00006F000000}"/>
    <cellStyle name="Normal 2 3 2 2 4" xfId="151" xr:uid="{31B492C2-02D3-4E63-AB00-9758E02F5096}"/>
    <cellStyle name="Normal 2 3 2 4" xfId="24" xr:uid="{00000000-0005-0000-0000-000047000000}"/>
    <cellStyle name="Normal 2 3 3" xfId="65" xr:uid="{00000000-0005-0000-0000-000070000000}"/>
    <cellStyle name="Normal 2 3 3 2" xfId="66" xr:uid="{00000000-0005-0000-0000-000071000000}"/>
    <cellStyle name="Normal 2 3 4" xfId="67" xr:uid="{00000000-0005-0000-0000-000072000000}"/>
    <cellStyle name="Normal 2 3 5" xfId="55" xr:uid="{00000000-0005-0000-0000-000066000000}"/>
    <cellStyle name="Normal 2 3 6" xfId="153" xr:uid="{703BCB9B-08CE-4681-8721-3409F5BDB3AB}"/>
    <cellStyle name="Normal 2 3 6 2" xfId="169" xr:uid="{DBE659F5-3A0A-4061-8E41-98A2201397CF}"/>
    <cellStyle name="Normal 2 3 6 2 2" xfId="237" xr:uid="{20CDE02B-7FF9-439B-852E-A9A4E950EF61}"/>
    <cellStyle name="Normal 2 3 6 2 3" xfId="321" xr:uid="{4141B06E-6D3A-45F8-BD0A-1470274C74DC}"/>
    <cellStyle name="Normal 2 3 6 3" xfId="172" xr:uid="{A517E95E-FE73-4D4C-B5FE-6133AA47D160}"/>
    <cellStyle name="Normal 2 3 6 4" xfId="322" xr:uid="{1CCBAE18-FE56-43D4-9612-92D0F518C307}"/>
    <cellStyle name="Normal 2 4" xfId="68" xr:uid="{00000000-0005-0000-0000-000073000000}"/>
    <cellStyle name="Normal 2 5" xfId="300" xr:uid="{171AB1A2-57D5-4B24-93FA-0E9479ECCFC4}"/>
    <cellStyle name="Normal 2 6" xfId="301" xr:uid="{2B4015F4-9B23-4B7A-8308-644B14541A26}"/>
    <cellStyle name="Normal 2 7" xfId="305" xr:uid="{6E06C1AD-C2FA-4D47-B489-22A20DE321AC}"/>
    <cellStyle name="Normal 3" xfId="69" xr:uid="{00000000-0005-0000-0000-000074000000}"/>
    <cellStyle name="Normal 3 2" xfId="70" xr:uid="{00000000-0005-0000-0000-000075000000}"/>
    <cellStyle name="Normal 3 2 2 2 2" xfId="323" xr:uid="{10CA7C6F-E582-491C-9BA5-F01BFB283D38}"/>
    <cellStyle name="Normal 3 3" xfId="71" xr:uid="{00000000-0005-0000-0000-000076000000}"/>
    <cellStyle name="Normal 4" xfId="72" xr:uid="{00000000-0005-0000-0000-000077000000}"/>
    <cellStyle name="Normal 4 3" xfId="73" xr:uid="{00000000-0005-0000-0000-000078000000}"/>
    <cellStyle name="Normal 5" xfId="74" xr:uid="{00000000-0005-0000-0000-000079000000}"/>
    <cellStyle name="Normal 6" xfId="75" xr:uid="{00000000-0005-0000-0000-00007A000000}"/>
    <cellStyle name="Normal 7" xfId="76" xr:uid="{00000000-0005-0000-0000-00007B000000}"/>
    <cellStyle name="Normal 8" xfId="77" xr:uid="{00000000-0005-0000-0000-00007C000000}"/>
    <cellStyle name="Normal 9" xfId="78" xr:uid="{00000000-0005-0000-0000-00007D000000}"/>
    <cellStyle name="Normal 9 2 2" xfId="158" xr:uid="{2082E891-801B-4565-A4AE-27545AAB73AD}"/>
    <cellStyle name="Normal_N" xfId="80" xr:uid="{00000000-0005-0000-0000-00007F000000}"/>
    <cellStyle name="Normal_Sheet2" xfId="81" xr:uid="{00000000-0005-0000-0000-000080000000}"/>
    <cellStyle name="Percent 2" xfId="82" xr:uid="{00000000-0005-0000-0000-000081000000}"/>
    <cellStyle name="Percent 2 2" xfId="83" xr:uid="{00000000-0005-0000-0000-000082000000}"/>
    <cellStyle name="Percent 2 3" xfId="324" xr:uid="{F87081E3-5AC6-4429-B1AD-8FE7826BC143}"/>
    <cellStyle name="Percent 3" xfId="84" xr:uid="{00000000-0005-0000-0000-000083000000}"/>
    <cellStyle name="Percent 4" xfId="85" xr:uid="{00000000-0005-0000-0000-000084000000}"/>
    <cellStyle name="Percent 5" xfId="79" xr:uid="{00000000-0005-0000-0000-00007E000000}"/>
    <cellStyle name="百分比" xfId="5" builtinId="5"/>
    <cellStyle name="百分比 2" xfId="86" xr:uid="{00000000-0005-0000-0000-000085000000}"/>
    <cellStyle name="百分比 2 2" xfId="87" xr:uid="{00000000-0005-0000-0000-000086000000}"/>
    <cellStyle name="百分比 2 3" xfId="325" xr:uid="{988BB24D-14D8-483D-B0BA-12691C040EDB}"/>
    <cellStyle name="百分比 3" xfId="88" xr:uid="{00000000-0005-0000-0000-000087000000}"/>
    <cellStyle name="百分比 4" xfId="165" xr:uid="{8571A0FC-08E8-47DB-9E22-D89A529EC92F}"/>
    <cellStyle name="常规" xfId="0" builtinId="0"/>
    <cellStyle name="常规 10" xfId="150" xr:uid="{A00B73A5-08BF-4BAD-9444-B09947D79E0E}"/>
    <cellStyle name="常规 2" xfId="89" xr:uid="{00000000-0005-0000-0000-000088000000}"/>
    <cellStyle name="常规 2- " xfId="90" xr:uid="{00000000-0005-0000-0000-000089000000}"/>
    <cellStyle name="常规 2-  2" xfId="91" xr:uid="{00000000-0005-0000-0000-00008A000000}"/>
    <cellStyle name="常规 2 14" xfId="326" xr:uid="{62CE6193-7AAE-43D5-9F38-D337C2EF4C0C}"/>
    <cellStyle name="常规 2 2" xfId="92" xr:uid="{00000000-0005-0000-0000-00008B000000}"/>
    <cellStyle name="常规 2 2 2" xfId="93" xr:uid="{00000000-0005-0000-0000-00008C000000}"/>
    <cellStyle name="常规 2 2 2 2" xfId="94" xr:uid="{00000000-0005-0000-0000-00008D000000}"/>
    <cellStyle name="常规 2 2 2 3" xfId="95" xr:uid="{00000000-0005-0000-0000-00008E000000}"/>
    <cellStyle name="常规 2 2 2 3 2" xfId="96" xr:uid="{00000000-0005-0000-0000-00008F000000}"/>
    <cellStyle name="常规 2 2 3" xfId="97" xr:uid="{00000000-0005-0000-0000-000090000000}"/>
    <cellStyle name="常规 2 2 5" xfId="117" xr:uid="{81BA9D76-E918-4492-B3C8-7E842EEB597E}"/>
    <cellStyle name="常规 2 2 5 2" xfId="156" xr:uid="{063DAA16-D18B-4186-8316-5CDB63B603CB}"/>
    <cellStyle name="常规 2 2 5 2 2" xfId="160" xr:uid="{FC146E66-3552-45E5-87A3-A6578196C188}"/>
    <cellStyle name="常规 2 2 5 2 2 2" xfId="236" xr:uid="{D1866C34-6F77-4919-9F9F-7B644F2C09EA}"/>
    <cellStyle name="常规 2 2 5 2 3" xfId="235" xr:uid="{A403BD5A-6E0F-45C9-9E6E-6416710BD8FB}"/>
    <cellStyle name="常规 2 2 5 2 4" xfId="327" xr:uid="{B9796BF9-B0BA-4E97-897D-4DF51059A219}"/>
    <cellStyle name="常规 2 2 5 3" xfId="170" xr:uid="{0B35FAF1-A150-44D7-8813-3C4D40183664}"/>
    <cellStyle name="常规 2 2 5 3 2" xfId="238" xr:uid="{17840C49-DE5A-4A3B-84E1-C72D214B4C12}"/>
    <cellStyle name="常规 2 2 5 3 3" xfId="328" xr:uid="{E358FBF2-4484-4724-9F71-BD68E9FAB33E}"/>
    <cellStyle name="常规 2 2 5 4" xfId="204" xr:uid="{356E267F-95BC-4D1D-8F03-89E63B7384FC}"/>
    <cellStyle name="常规 2 2 5 5" xfId="329" xr:uid="{E02F105C-7ABA-472D-A328-765AC704F84E}"/>
    <cellStyle name="常规 2 3" xfId="98" xr:uid="{00000000-0005-0000-0000-000091000000}"/>
    <cellStyle name="常规 2 4" xfId="115" xr:uid="{D67CE6EC-7C3C-4861-8F03-CD44DCE86A7A}"/>
    <cellStyle name="常规 2 4 2" xfId="203" xr:uid="{18313679-20B2-4DE1-BCA9-DA1BBD196F2C}"/>
    <cellStyle name="常规 3" xfId="99" xr:uid="{00000000-0005-0000-0000-000092000000}"/>
    <cellStyle name="常规 3 2" xfId="100" xr:uid="{00000000-0005-0000-0000-000093000000}"/>
    <cellStyle name="常规 3 2 2" xfId="101" xr:uid="{00000000-0005-0000-0000-000094000000}"/>
    <cellStyle name="常规 3 2 3" xfId="114" xr:uid="{675A1209-6D2C-4AEE-9D87-FF7DBB458110}"/>
    <cellStyle name="常规 4" xfId="102" xr:uid="{00000000-0005-0000-0000-000095000000}"/>
    <cellStyle name="常规 5" xfId="149" xr:uid="{58A4FE20-FD09-49CA-A039-8FC6814E5DAC}"/>
    <cellStyle name="常规 6" xfId="171" xr:uid="{162C1E4D-AE13-437B-82D0-07935C6F335B}"/>
    <cellStyle name="常规 6 2" xfId="330" xr:uid="{06151D5A-2CA2-4647-AA03-4343415270E9}"/>
    <cellStyle name="常规 7" xfId="164" xr:uid="{91E723C7-29CC-43B8-A208-C5D0CB940DEC}"/>
    <cellStyle name="常规 8" xfId="303" xr:uid="{A5A7590E-92AC-48D4-941D-82D229BFC0C0}"/>
    <cellStyle name="常规 9" xfId="333" xr:uid="{1B493433-1FFB-49A0-B566-EC43AEBAF285}"/>
    <cellStyle name="超链接" xfId="336" builtinId="8"/>
    <cellStyle name="超链接 2" xfId="103" xr:uid="{00000000-0005-0000-0000-000097000000}"/>
    <cellStyle name="超链接 3" xfId="116" xr:uid="{60540B4A-9255-44DB-A344-EC6955193348}"/>
    <cellStyle name="超链接 4" xfId="168" xr:uid="{372E3602-7403-4BBC-B69D-EBCBC6697BF8}"/>
    <cellStyle name="超链接 5" xfId="304" xr:uid="{F145D2A9-C7D6-46C2-A8D6-457273958E3A}"/>
    <cellStyle name="超链接 6" xfId="309" xr:uid="{FED3A72D-A7DB-473F-9FEA-39BE45A99E5C}"/>
    <cellStyle name="货币 2" xfId="308" xr:uid="{08CF346A-74FC-451F-828D-7D5B64321960}"/>
    <cellStyle name="货币 3" xfId="311" xr:uid="{A2ABD313-88A9-4EF0-9CD3-61B28BF12A0A}"/>
    <cellStyle name="普通_附23_PBC4" xfId="104" xr:uid="{00000000-0005-0000-0000-000098000000}"/>
    <cellStyle name="千位分隔" xfId="2" builtinId="3"/>
    <cellStyle name="千位分隔 2" xfId="105" xr:uid="{00000000-0005-0000-0000-000099000000}"/>
    <cellStyle name="千位分隔 2 2" xfId="106" xr:uid="{00000000-0005-0000-0000-00009A000000}"/>
    <cellStyle name="千位分隔 2 2 2" xfId="107" xr:uid="{00000000-0005-0000-0000-00009B000000}"/>
    <cellStyle name="千位分隔 2 2 2 2" xfId="142" xr:uid="{8CEEA54F-260A-4044-B0F5-3E67BFBD0135}"/>
    <cellStyle name="千位分隔 2 2 2 2 2" xfId="229" xr:uid="{2D29AE13-0E95-4EFA-87A5-C655774415A8}"/>
    <cellStyle name="千位分隔 2 2 2 2 2 2" xfId="293" xr:uid="{8E883D7F-B3A0-46F4-A554-E40169C17381}"/>
    <cellStyle name="千位分隔 2 2 2 3" xfId="197" xr:uid="{E4C93463-89C2-4168-A40D-2E48A62F5FA3}"/>
    <cellStyle name="千位分隔 2 2 2 3 2" xfId="263" xr:uid="{27ABC3D2-B03D-4713-9B99-7A0FF24AC2D3}"/>
    <cellStyle name="千位分隔 2 2 3" xfId="108" xr:uid="{00000000-0005-0000-0000-00009C000000}"/>
    <cellStyle name="千位分隔 2 2 3 2" xfId="143" xr:uid="{AB4D8697-D268-424A-9B42-492DC66AFF62}"/>
    <cellStyle name="千位分隔 2 2 3 2 2" xfId="230" xr:uid="{66219EED-EC19-48DB-BD88-297D9A7BB29B}"/>
    <cellStyle name="千位分隔 2 2 3 2 2 2" xfId="294" xr:uid="{EC285B28-B521-4E02-8BB5-1D2559F31C45}"/>
    <cellStyle name="千位分隔 2 2 3 3" xfId="198" xr:uid="{D440D84B-41B4-4798-AD02-B453F42F76BD}"/>
    <cellStyle name="千位分隔 2 2 3 3 2" xfId="264" xr:uid="{B68F2CCB-96A2-4D4E-B4A9-18E367BB8101}"/>
    <cellStyle name="千位分隔 2 2 4" xfId="141" xr:uid="{EC873DD2-9BA2-4D2B-8182-8494E0DFE0A9}"/>
    <cellStyle name="千位分隔 2 2 4 2" xfId="228" xr:uid="{7643014C-0B62-4F9A-946F-8662FD83FCA6}"/>
    <cellStyle name="千位分隔 2 2 4 2 2" xfId="292" xr:uid="{ED0A331C-F81C-4526-B1D1-5D8A8978F59E}"/>
    <cellStyle name="千位分隔 2 2 5" xfId="196" xr:uid="{F0A378CD-17B2-4EC2-B3DF-E76827E0832A}"/>
    <cellStyle name="千位分隔 2 2 5 2" xfId="262" xr:uid="{74EE9088-4C44-459C-91E5-EA0B46E0AABF}"/>
    <cellStyle name="千位分隔 2 2 6" xfId="331" xr:uid="{57429C63-B5FD-4C2B-9508-AD23918D0B6E}"/>
    <cellStyle name="千位分隔 2 3" xfId="109" xr:uid="{00000000-0005-0000-0000-00009D000000}"/>
    <cellStyle name="千位分隔 2 3 2" xfId="144" xr:uid="{24045BBB-D59F-4681-AAC6-50FEDD07F2E2}"/>
    <cellStyle name="千位分隔 2 3 2 2" xfId="231" xr:uid="{4861C4F2-2CFF-446B-816A-ADADD395F358}"/>
    <cellStyle name="千位分隔 2 3 2 2 2" xfId="295" xr:uid="{8C75CB2C-A103-480B-8773-794330CE12C9}"/>
    <cellStyle name="千位分隔 2 3 3" xfId="199" xr:uid="{FD5D4F5A-7137-4CAE-8677-44E7070D65C5}"/>
    <cellStyle name="千位分隔 2 3 3 2" xfId="265" xr:uid="{384A40B2-2459-41C5-83CD-C3818E5F3205}"/>
    <cellStyle name="千位分隔 2 4" xfId="140" xr:uid="{FE67FD6B-4BA0-48FE-827C-D34547D126B5}"/>
    <cellStyle name="千位分隔 2 4 2" xfId="227" xr:uid="{2D4EBEF3-A80B-497E-AFB4-1549E0796B31}"/>
    <cellStyle name="千位分隔 2 4 2 2" xfId="291" xr:uid="{9E876AE4-FF52-49D6-840B-5B3E095AE640}"/>
    <cellStyle name="千位分隔 2 5" xfId="195" xr:uid="{0FD53AC3-568F-4879-8734-041A3B352141}"/>
    <cellStyle name="千位分隔 2 5 2" xfId="261" xr:uid="{C1D2CC8C-2007-4EA8-BEEB-4B411F25B9B5}"/>
    <cellStyle name="千位分隔 2 7" xfId="110" xr:uid="{00000000-0005-0000-0000-00009E000000}"/>
    <cellStyle name="千位分隔 2 7 2" xfId="145" xr:uid="{7A6B8D2F-B20F-48ED-A4BA-4594A462FA98}"/>
    <cellStyle name="千位分隔 2 7 2 2" xfId="232" xr:uid="{02F3B330-D1E0-4F98-96E6-CADA4FB9571C}"/>
    <cellStyle name="千位分隔 2 7 2 2 2" xfId="296" xr:uid="{D6EAA793-6B03-43BB-8840-6A6E1081765F}"/>
    <cellStyle name="千位分隔 2 7 3" xfId="200" xr:uid="{8B234904-17FE-46FF-BD15-D75DDCC6ED44}"/>
    <cellStyle name="千位分隔 2 7 3 2" xfId="266" xr:uid="{487745CC-9D9F-412B-8F48-AC4F5C6051F4}"/>
    <cellStyle name="千位分隔 3" xfId="20" xr:uid="{00000000-0005-0000-0000-000043000000}"/>
    <cellStyle name="千位分隔 3 2" xfId="127" xr:uid="{17758202-530E-4346-BA41-9EC2ECE1FEA4}"/>
    <cellStyle name="千位分隔 3 2 2" xfId="214" xr:uid="{FB991C71-2FB0-4CFB-8EE4-208B51C3D30A}"/>
    <cellStyle name="千位分隔 3 2 2 2" xfId="278" xr:uid="{329614F3-00BD-4B31-8F0C-2544DB71F7A3}"/>
    <cellStyle name="千位分隔 3 3" xfId="182" xr:uid="{0093AED3-FAEF-4F9F-989C-4844C2391FC7}"/>
    <cellStyle name="千位分隔 3 3 2" xfId="248" xr:uid="{00CA6674-0A01-4B99-888C-B29E94FD5476}"/>
    <cellStyle name="千位分隔 3 4" xfId="111" xr:uid="{00000000-0005-0000-0000-00009F000000}"/>
    <cellStyle name="千位分隔 3 4 2" xfId="146" xr:uid="{7F39EDBC-EE66-4DFD-8192-BC35AAE0928D}"/>
    <cellStyle name="千位分隔 3 4 2 2" xfId="233" xr:uid="{0DA979B7-029F-4874-9102-6C345A5BADC2}"/>
    <cellStyle name="千位分隔 3 4 2 2 2" xfId="297" xr:uid="{9445B5C3-C1FB-4008-AFED-08B956BDB832}"/>
    <cellStyle name="千位分隔 3 4 3" xfId="201" xr:uid="{A43C4A7E-35AA-4948-AC6E-465C6E486627}"/>
    <cellStyle name="千位分隔 3 4 3 2" xfId="267" xr:uid="{BC701CE1-BADF-4670-9592-F3A9B50D4122}"/>
    <cellStyle name="千位分隔 4" xfId="28" xr:uid="{00000000-0005-0000-0000-00004B000000}"/>
    <cellStyle name="千位分隔 4 2" xfId="134" xr:uid="{14CB809F-2054-48E4-AC33-E15177957639}"/>
    <cellStyle name="千位分隔 4 2 2" xfId="221" xr:uid="{C3DD8F20-A03E-4BCC-89AF-443971F44A89}"/>
    <cellStyle name="千位分隔 4 2 2 2" xfId="285" xr:uid="{439A25F0-5F6B-4BFA-932B-1E7DA9BC00DB}"/>
    <cellStyle name="千位分隔 4 3" xfId="189" xr:uid="{E089CFB5-62FC-4065-933E-C96E80D25B9B}"/>
    <cellStyle name="千位分隔 4 3 2" xfId="255" xr:uid="{719F1676-407F-4136-8982-612B4C2F995A}"/>
    <cellStyle name="千位分隔 5" xfId="118" xr:uid="{CEB3B5B4-D1E2-47F4-9494-B9E2246A71CF}"/>
    <cellStyle name="千位分隔 5 2" xfId="205" xr:uid="{B3C8374C-06B7-4B84-8A35-BED2BF2CC4FC}"/>
    <cellStyle name="千位分隔 5 2 2" xfId="269" xr:uid="{C424DADC-33B8-4C86-B0B8-FED78A0F1A16}"/>
    <cellStyle name="千位分隔 6" xfId="173" xr:uid="{BB8951AF-05A1-452E-A263-DAA1EB92D0D9}"/>
    <cellStyle name="千位分隔 6 2" xfId="239" xr:uid="{A290A774-B44D-4FDD-94B3-F6AE84C096D2}"/>
    <cellStyle name="千位分隔 6 3" xfId="332" xr:uid="{4F60B19F-DF6F-4A02-B092-195EB30D48C9}"/>
    <cellStyle name="千位分隔 7" xfId="302" xr:uid="{0D0B9989-B77F-4AE2-A019-9BD1CF0AEE96}"/>
    <cellStyle name="千位分隔 8" xfId="306" xr:uid="{F0BC0FAD-CE84-4AE6-8AB6-D88A4306BBC8}"/>
    <cellStyle name="千位分隔 9" xfId="334" xr:uid="{AEC77F4D-BCF1-4286-82BB-2575740E69A7}"/>
    <cellStyle name="千位分隔[0] 2" xfId="14" xr:uid="{00000000-0005-0000-0000-000033000000}"/>
    <cellStyle name="千位分隔[0] 2 2" xfId="126" xr:uid="{7E86128E-E053-4310-AB6F-C0046F70FADC}"/>
    <cellStyle name="千位分隔[0] 2 2 2" xfId="213" xr:uid="{40D4F3CD-A6C4-4A86-8B31-5EEE09A80717}"/>
    <cellStyle name="千位分隔[0] 2 2 2 2" xfId="277" xr:uid="{A0DD1A62-637D-4113-893F-99E0948D01DD}"/>
    <cellStyle name="千位分隔[0] 2 3" xfId="181" xr:uid="{92C3CA37-E835-417C-B988-E8A556614AA1}"/>
    <cellStyle name="千位分隔[0] 2 3 2" xfId="247" xr:uid="{5C10A2F7-5C0D-42A9-8E51-3758F9F0C143}"/>
    <cellStyle name="千位分隔[0] 3" xfId="307" xr:uid="{1C46B038-F66A-4D32-AB1E-6F6E84C6E45B}"/>
    <cellStyle name="千位分隔[0] 4" xfId="310" xr:uid="{42BEE4DF-EF80-429E-A849-B3DC5BE8E8C3}"/>
  </cellStyles>
  <dxfs count="44">
    <dxf>
      <font>
        <color rgb="FFFFFFCC"/>
      </font>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https://eychinamanaged.sharepoint.cn/sites/GCknowledgecenter/SitePages/Altas-PSP-%E9%93%BE%E6%8E%A5.aspx#:~:text=%E7%9B%B8%E5%85%B3PSP%E4%BB%A5%E5%8F%8AOSP%E5%8F%AF%E4%BB%8EAtlas%E4%B8%AD%E8%8E%B7%E5%BE%97%EF%BC%8CAtlas%20Link%3A%C2%A0%C2%A0%C2%A0%C2%A0%C2%A0%C2%A0%C2%A0%C2%A0%0A(CN)%20N%2DTrade%20payables%0A%E6%9B%B4%E5%A4%9A%E8%AF%A5%E7%A7%91%E7%9B%AE%E7%9B%B8%E5%85%B3%E5%AE%A1%E8%AE%A1%E4%BC%9A%E8%AE%A1%E7%9F%A5%E8%AF%86%E5%8F%AF%E5%8F%82%E8%80%83%E2%80%9C%E5%A4%A7%E4%B8%AD%E5%8D%8E%E5%8C%BA%E4%BC%9A%E8%AE%A1%E5%AE%A1%E8%AE%A1%E7%9F%A5%E8%AF%86%E5%BA%93%E2%80%9D%C2%A0%C2%A0%C2%A0%C2%A0%C2%A0%C2%A0%C2%A0%C2%A0%0AN_%E5%BA%94%E4%BB%98%E8%B4%A6%E6%AC%BE%26%E5%BA%94%E4%BB%98%E7%A5%A8%E6%8D%AE%C2%A0" TargetMode="External"/><Relationship Id="rId7"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03%20%E6%88%AA%E6%AD%A2%E6%B5%8B%E8%AF%95-,N.03%20%E6%88%AA%E6%AD%A2%E6%B5%8B%E8%AF%95%2D%E6%B3%A8%E9%87%8A6%EF%BC%9AAP%E6%88%AA%E6%AD%A2%E6%B5%8B%E8%AF%95%E6%B3%A8%E6%84%8F%E4%BA%8B%E9%A1%B9,%E7%9A%84%E4%BE%9B%E5%BA%94%E5%95%86%E9%80%80%E8%B4%A7%E5%8D%95/%E4%BE%9B%E5%BA%94%E5%95%86%E8%BF%94%E5%88%A9%E7%BB%93%E7%AE%97%E3%80%82,-N.03%20%E6%88%AA%E6%AD%A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6"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4,%E4%BC%B0%E9%87%91%E9%A2%9D%E6%98%AF%E5%90%A6%E5%90%88%E7%90%86%E3%80%82" TargetMode="External"/><Relationship Id="rId5"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3%20%E6%88%AA%E6%AD%A2%E6%B5%8B%E8%AF%95%2D%E6%B3%A8%E9%87%8A7,%E5%85%B6%E4%BB%96%E3%80%82" TargetMode="External"/><Relationship Id="rId4" Type="http://schemas.openxmlformats.org/officeDocument/2006/relationships/hyperlink" Target="https://eychinamanaged.sharepoint.cn/sites/GCknowledgecenter/SitePages/%E6%A0%87%E5%87%86%E5%BA%95%E7%A8%BF%E6%A8%A1%E6%9D%BF%E7%AD%94%E7%96%91%E9%93%BE%E6%8E%A5.aspx"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0%2D%E6%B3%A8%E9%87%8A,%E6%AC%BE%2B%E5%BA%94%E4%BB%98%E7%A5%A8%E6%8D%AE%E3%80%82" TargetMode="Externa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1%2D%E6%B3%A8%E9%87%8A,%E6%9D%A5%E6%BA%90Thomas%20Reuter%EF%BC%89" TargetMode="Externa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5%EF%BC%9A%E4%BE%9B%E5%BA%94%E5%95%86%E5%90%88%E5%90%8C%E7%9A%84%E5%85%B3%E6%B3%A8%E7%89%B9%E5%88%AB%E4%BA%8B%E9%A1%B9%0A%0A%E5%AE%A1%E9%98%85%E4%BE%9B%E5%BA%94%E5%95%86%E5%90%88%E5%90%8C%E4%B8%AD%E7%9A%84%E7%89%B9%E5%88%AB%E4%BA%8B%E9%A1%B9%EF%BC%8C%E5%8C%85%E6%8B%AC%E4%BD%86%E4%B8%8D%E9%99%90%E4%BA%8E%E4%B8%8E%E4%BE%9B%E5%BA%94%E5%95%86%E5%8D%8F%E5%95%86%E4%B8%80%E8%87%B4%E7%9A%84%E9%87%87%E8%B4%AD%E6%89%BF%E8%AF%BA%E7%AD%89%EF%BC%8C%E5%B9%B6%E8%80%83%E8%99%91%E6%98%AF%E5%90%A6%E9%9C%80%E5%9C%A8%E8%B4%A2%E5%8A%A1%E6%8A%A5%E8%A1%A8%E4%B8%AD%E4%BA%88%E4%BB%A5%E5%8F%8D%E6%98%A0%E6%88%96%E5%9C%A8%E8%B4%A2%E5%8A%A1%E6%8A%A5%E8%A1%A8%E9%99%84%E6%B3%A8%E4%B8%AD%E4%BA%88%E4%BB%A5%E6%8A%AB%E9%9C%B2%E3%80%82" TargetMode="External"/><Relationship Id="rId1" Type="http://schemas.openxmlformats.org/officeDocument/2006/relationships/image" Target="../media/image3.png"/><Relationship Id="rId5"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4,%E4%BC%B0%E9%87%91%E9%A2%9D%E6%98%AF%E5%90%A6%E5%90%88%E7%90%86%E3%80%82" TargetMode="External"/><Relationship Id="rId4"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E5%90%8E%E7%9A%84%E6%A0%B7%E6%9C%AC%E3%80%82"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03%20%E6%88%AA%E6%AD%A2%E6%B5%8B%E8%AF%95-,N.03%20%E6%88%AA%E6%AD%A2%E6%B5%8B%E8%AF%95%2D%E6%B3%A8%E9%87%8A6%EF%BC%9AAP%E6%88%AA%E6%AD%A2%E6%B5%8B%E8%AF%95%E6%B3%A8%E6%84%8F%E4%BA%8B%E9%A1%B9,%E7%9A%84%E4%BE%9B%E5%BA%94%E5%95%86%E9%80%80%E8%B4%A7%E5%8D%95/%E4%BE%9B%E5%BA%94%E5%95%86%E8%BF%94%E5%88%A9%E7%BB%93%E7%AE%97%E3%80%82,-N.03%20%E6%88%AA%E6%AD%A2" TargetMode="External"/><Relationship Id="rId1" Type="http://schemas.openxmlformats.org/officeDocument/2006/relationships/image" Target="../media/image3.png"/><Relationship Id="rId5" Type="http://schemas.openxmlformats.org/officeDocument/2006/relationships/image" Target="../media/image1.png"/><Relationship Id="rId4"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3%20%E6%88%AA%E6%AD%A2%E6%B5%8B%E8%AF%95%2D%E6%B3%A8%E9%87%8A7,%E5%85%B6%E4%BB%96%E3%80%82"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640872</xdr:colOff>
      <xdr:row>3</xdr:row>
      <xdr:rowOff>226339</xdr:rowOff>
    </xdr:from>
    <xdr:to>
      <xdr:col>6</xdr:col>
      <xdr:colOff>861785</xdr:colOff>
      <xdr:row>4</xdr:row>
      <xdr:rowOff>199572</xdr:rowOff>
    </xdr:to>
    <xdr:pic>
      <xdr:nvPicPr>
        <xdr:cNvPr id="9" name="图片 6">
          <a:hlinkClick xmlns:r="http://schemas.openxmlformats.org/officeDocument/2006/relationships" r:id="rId1" tooltip="预审&amp;年审工作注意事项"/>
          <a:extLst>
            <a:ext uri="{FF2B5EF4-FFF2-40B4-BE49-F238E27FC236}">
              <a16:creationId xmlns:a16="http://schemas.microsoft.com/office/drawing/2014/main" id="{0C3268D6-1C87-4FE5-AA79-553BDBEBB86F}"/>
            </a:ext>
            <a:ext uri="{147F2762-F138-4A5C-976F-8EAC2B608ADB}">
              <a16:predDERef xmlns:a16="http://schemas.microsoft.com/office/drawing/2014/main" pred="{77F4954F-341F-4933-BB21-D41FC347615B}"/>
            </a:ext>
          </a:extLst>
        </xdr:cNvPr>
        <xdr:cNvPicPr>
          <a:picLocks noChangeAspect="1"/>
        </xdr:cNvPicPr>
      </xdr:nvPicPr>
      <xdr:blipFill>
        <a:blip xmlns:r="http://schemas.openxmlformats.org/officeDocument/2006/relationships" r:embed="rId2"/>
        <a:stretch>
          <a:fillRect/>
        </a:stretch>
      </xdr:blipFill>
      <xdr:spPr>
        <a:xfrm>
          <a:off x="7462586" y="834125"/>
          <a:ext cx="220913" cy="200019"/>
        </a:xfrm>
        <a:prstGeom prst="rect">
          <a:avLst/>
        </a:prstGeom>
      </xdr:spPr>
    </xdr:pic>
    <xdr:clientData/>
  </xdr:twoCellAnchor>
  <xdr:twoCellAnchor>
    <xdr:from>
      <xdr:col>1</xdr:col>
      <xdr:colOff>657328</xdr:colOff>
      <xdr:row>4</xdr:row>
      <xdr:rowOff>9072</xdr:rowOff>
    </xdr:from>
    <xdr:to>
      <xdr:col>1</xdr:col>
      <xdr:colOff>886887</xdr:colOff>
      <xdr:row>5</xdr:row>
      <xdr:rowOff>1815</xdr:rowOff>
    </xdr:to>
    <xdr:pic>
      <xdr:nvPicPr>
        <xdr:cNvPr id="10" name="图片 1">
          <a:hlinkClick xmlns:r="http://schemas.openxmlformats.org/officeDocument/2006/relationships" r:id="rId3" tooltip="Altas PSP 链接"/>
          <a:extLst>
            <a:ext uri="{FF2B5EF4-FFF2-40B4-BE49-F238E27FC236}">
              <a16:creationId xmlns:a16="http://schemas.microsoft.com/office/drawing/2014/main" id="{F8D001EC-C20C-482B-A361-B0A718D28413}"/>
            </a:ext>
          </a:extLst>
        </xdr:cNvPr>
        <xdr:cNvPicPr>
          <a:picLocks noChangeAspect="1"/>
        </xdr:cNvPicPr>
      </xdr:nvPicPr>
      <xdr:blipFill>
        <a:blip xmlns:r="http://schemas.openxmlformats.org/officeDocument/2006/relationships" r:embed="rId2"/>
        <a:stretch>
          <a:fillRect/>
        </a:stretch>
      </xdr:blipFill>
      <xdr:spPr>
        <a:xfrm flipH="1">
          <a:off x="856899" y="843643"/>
          <a:ext cx="229559" cy="183243"/>
        </a:xfrm>
        <a:prstGeom prst="rect">
          <a:avLst/>
        </a:prstGeom>
      </xdr:spPr>
    </xdr:pic>
    <xdr:clientData/>
  </xdr:twoCellAnchor>
  <xdr:oneCellAnchor>
    <xdr:from>
      <xdr:col>8</xdr:col>
      <xdr:colOff>1605643</xdr:colOff>
      <xdr:row>4</xdr:row>
      <xdr:rowOff>9071</xdr:rowOff>
    </xdr:from>
    <xdr:ext cx="205343" cy="199303"/>
    <xdr:pic>
      <xdr:nvPicPr>
        <xdr:cNvPr id="4" name="图片 3">
          <a:hlinkClick xmlns:r="http://schemas.openxmlformats.org/officeDocument/2006/relationships" r:id="rId4" tooltip="如需帮助请点击"/>
          <a:extLst>
            <a:ext uri="{FF2B5EF4-FFF2-40B4-BE49-F238E27FC236}">
              <a16:creationId xmlns:a16="http://schemas.microsoft.com/office/drawing/2014/main" id="{53856B85-2D6C-4E4B-879F-0B1D93F624C2}"/>
            </a:ext>
          </a:extLst>
        </xdr:cNvPr>
        <xdr:cNvPicPr>
          <a:picLocks noChangeAspect="1"/>
        </xdr:cNvPicPr>
      </xdr:nvPicPr>
      <xdr:blipFill>
        <a:blip xmlns:r="http://schemas.openxmlformats.org/officeDocument/2006/relationships" r:embed="rId2"/>
        <a:stretch>
          <a:fillRect/>
        </a:stretch>
      </xdr:blipFill>
      <xdr:spPr>
        <a:xfrm>
          <a:off x="11030857" y="843642"/>
          <a:ext cx="205343" cy="199303"/>
        </a:xfrm>
        <a:prstGeom prst="rect">
          <a:avLst/>
        </a:prstGeom>
      </xdr:spPr>
    </xdr:pic>
    <xdr:clientData/>
  </xdr:oneCellAnchor>
  <xdr:twoCellAnchor>
    <xdr:from>
      <xdr:col>2</xdr:col>
      <xdr:colOff>680357</xdr:colOff>
      <xdr:row>14</xdr:row>
      <xdr:rowOff>1047750</xdr:rowOff>
    </xdr:from>
    <xdr:to>
      <xdr:col>2</xdr:col>
      <xdr:colOff>929820</xdr:colOff>
      <xdr:row>14</xdr:row>
      <xdr:rowOff>1283606</xdr:rowOff>
    </xdr:to>
    <xdr:pic>
      <xdr:nvPicPr>
        <xdr:cNvPr id="6" name="图片 5">
          <a:hlinkClick xmlns:r="http://schemas.openxmlformats.org/officeDocument/2006/relationships" r:id="rId5" tooltip="IPE考虑"/>
          <a:extLst>
            <a:ext uri="{FF2B5EF4-FFF2-40B4-BE49-F238E27FC236}">
              <a16:creationId xmlns:a16="http://schemas.microsoft.com/office/drawing/2014/main" id="{51F9D992-20B3-4614-9A08-6354C62A6799}"/>
            </a:ext>
          </a:extLst>
        </xdr:cNvPr>
        <xdr:cNvPicPr>
          <a:picLocks noChangeAspect="1"/>
        </xdr:cNvPicPr>
      </xdr:nvPicPr>
      <xdr:blipFill>
        <a:blip xmlns:r="http://schemas.openxmlformats.org/officeDocument/2006/relationships" r:embed="rId2"/>
        <a:stretch>
          <a:fillRect/>
        </a:stretch>
      </xdr:blipFill>
      <xdr:spPr>
        <a:xfrm>
          <a:off x="1796143" y="6844393"/>
          <a:ext cx="249463" cy="235856"/>
        </a:xfrm>
        <a:prstGeom prst="rect">
          <a:avLst/>
        </a:prstGeom>
      </xdr:spPr>
    </xdr:pic>
    <xdr:clientData/>
  </xdr:twoCellAnchor>
  <xdr:twoCellAnchor>
    <xdr:from>
      <xdr:col>8</xdr:col>
      <xdr:colOff>2003773</xdr:colOff>
      <xdr:row>12</xdr:row>
      <xdr:rowOff>557893</xdr:rowOff>
    </xdr:from>
    <xdr:to>
      <xdr:col>8</xdr:col>
      <xdr:colOff>2264524</xdr:colOff>
      <xdr:row>12</xdr:row>
      <xdr:rowOff>803994</xdr:rowOff>
    </xdr:to>
    <xdr:pic>
      <xdr:nvPicPr>
        <xdr:cNvPr id="7" name="图片 6">
          <a:hlinkClick xmlns:r="http://schemas.openxmlformats.org/officeDocument/2006/relationships" r:id="rId6" tooltip="应付账款异常项目举例"/>
          <a:extLst>
            <a:ext uri="{FF2B5EF4-FFF2-40B4-BE49-F238E27FC236}">
              <a16:creationId xmlns:a16="http://schemas.microsoft.com/office/drawing/2014/main" id="{173FB2F5-8C7F-45C5-BA72-4B2029BD516F}"/>
            </a:ext>
          </a:extLst>
        </xdr:cNvPr>
        <xdr:cNvPicPr>
          <a:picLocks noChangeAspect="1"/>
        </xdr:cNvPicPr>
      </xdr:nvPicPr>
      <xdr:blipFill>
        <a:blip xmlns:r="http://schemas.openxmlformats.org/officeDocument/2006/relationships" r:embed="rId2"/>
        <a:stretch>
          <a:fillRect/>
        </a:stretch>
      </xdr:blipFill>
      <xdr:spPr>
        <a:xfrm>
          <a:off x="11460737" y="5265964"/>
          <a:ext cx="260751" cy="246101"/>
        </a:xfrm>
        <a:prstGeom prst="rect">
          <a:avLst/>
        </a:prstGeom>
      </xdr:spPr>
    </xdr:pic>
    <xdr:clientData/>
  </xdr:twoCellAnchor>
  <xdr:twoCellAnchor editAs="oneCell">
    <xdr:from>
      <xdr:col>8</xdr:col>
      <xdr:colOff>2000250</xdr:colOff>
      <xdr:row>14</xdr:row>
      <xdr:rowOff>984888</xdr:rowOff>
    </xdr:from>
    <xdr:to>
      <xdr:col>8</xdr:col>
      <xdr:colOff>2263413</xdr:colOff>
      <xdr:row>14</xdr:row>
      <xdr:rowOff>1250643</xdr:rowOff>
    </xdr:to>
    <xdr:pic>
      <xdr:nvPicPr>
        <xdr:cNvPr id="8" name="图片 7">
          <a:hlinkClick xmlns:r="http://schemas.openxmlformats.org/officeDocument/2006/relationships" r:id="rId7" tooltip="AP截止测试注意事项"/>
          <a:extLst>
            <a:ext uri="{FF2B5EF4-FFF2-40B4-BE49-F238E27FC236}">
              <a16:creationId xmlns:a16="http://schemas.microsoft.com/office/drawing/2014/main" id="{476D9837-F985-4339-B0C1-CE46AB66B073}"/>
            </a:ext>
            <a:ext uri="{147F2762-F138-4A5C-976F-8EAC2B608ADB}">
              <a16:predDERef xmlns:a16="http://schemas.microsoft.com/office/drawing/2014/main" pred="{05CACC81-FAB5-AC49-CE14-33F308353514}"/>
            </a:ext>
          </a:extLst>
        </xdr:cNvPr>
        <xdr:cNvPicPr>
          <a:picLocks noChangeAspect="1"/>
        </xdr:cNvPicPr>
      </xdr:nvPicPr>
      <xdr:blipFill>
        <a:blip xmlns:r="http://schemas.openxmlformats.org/officeDocument/2006/relationships" r:embed="rId8"/>
        <a:stretch>
          <a:fillRect/>
        </a:stretch>
      </xdr:blipFill>
      <xdr:spPr>
        <a:xfrm>
          <a:off x="11457214" y="6781531"/>
          <a:ext cx="263163" cy="2657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61633</xdr:colOff>
      <xdr:row>0</xdr:row>
      <xdr:rowOff>15129</xdr:rowOff>
    </xdr:from>
    <xdr:to>
      <xdr:col>1</xdr:col>
      <xdr:colOff>554499</xdr:colOff>
      <xdr:row>0</xdr:row>
      <xdr:rowOff>480787</xdr:rowOff>
    </xdr:to>
    <xdr:pic>
      <xdr:nvPicPr>
        <xdr:cNvPr id="3" name="Picture 4">
          <a:extLst>
            <a:ext uri="{FF2B5EF4-FFF2-40B4-BE49-F238E27FC236}">
              <a16:creationId xmlns:a16="http://schemas.microsoft.com/office/drawing/2014/main" id="{C6E33F48-DA0C-400F-9EE6-6E30BF6FA33E}"/>
            </a:ext>
          </a:extLst>
        </xdr:cNvPr>
        <xdr:cNvPicPr>
          <a:picLocks noChangeAspect="1"/>
        </xdr:cNvPicPr>
      </xdr:nvPicPr>
      <xdr:blipFill>
        <a:blip xmlns:r="http://schemas.openxmlformats.org/officeDocument/2006/relationships" r:embed="rId1"/>
        <a:stretch>
          <a:fillRect/>
        </a:stretch>
      </xdr:blipFill>
      <xdr:spPr>
        <a:xfrm>
          <a:off x="578704" y="15129"/>
          <a:ext cx="492866" cy="465658"/>
        </a:xfrm>
        <a:prstGeom prst="rect">
          <a:avLst/>
        </a:prstGeom>
      </xdr:spPr>
    </xdr:pic>
    <xdr:clientData/>
  </xdr:twoCellAnchor>
  <xdr:twoCellAnchor>
    <xdr:from>
      <xdr:col>4</xdr:col>
      <xdr:colOff>539008</xdr:colOff>
      <xdr:row>39</xdr:row>
      <xdr:rowOff>0</xdr:rowOff>
    </xdr:from>
    <xdr:to>
      <xdr:col>4</xdr:col>
      <xdr:colOff>591077</xdr:colOff>
      <xdr:row>42</xdr:row>
      <xdr:rowOff>155575</xdr:rowOff>
    </xdr:to>
    <xdr:grpSp>
      <xdr:nvGrpSpPr>
        <xdr:cNvPr id="5" name="Group 10">
          <a:extLst>
            <a:ext uri="{FF2B5EF4-FFF2-40B4-BE49-F238E27FC236}">
              <a16:creationId xmlns:a16="http://schemas.microsoft.com/office/drawing/2014/main" id="{D44B72BE-CC1E-4A98-8FCB-1BBE4973830D}"/>
            </a:ext>
          </a:extLst>
        </xdr:cNvPr>
        <xdr:cNvGrpSpPr/>
      </xdr:nvGrpSpPr>
      <xdr:grpSpPr>
        <a:xfrm>
          <a:off x="6961579" y="8912679"/>
          <a:ext cx="52069" cy="727075"/>
          <a:chOff x="5778500" y="8636000"/>
          <a:chExt cx="114300" cy="758825"/>
        </a:xfrm>
      </xdr:grpSpPr>
      <xdr:cxnSp macro="">
        <xdr:nvCxnSpPr>
          <xdr:cNvPr id="6" name="Straight Connector 8">
            <a:extLst>
              <a:ext uri="{FF2B5EF4-FFF2-40B4-BE49-F238E27FC236}">
                <a16:creationId xmlns:a16="http://schemas.microsoft.com/office/drawing/2014/main" id="{AE897CF8-65C5-8118-C53B-0718B2B9E83C}"/>
              </a:ext>
            </a:extLst>
          </xdr:cNvPr>
          <xdr:cNvCxnSpPr/>
        </xdr:nvCxnSpPr>
        <xdr:spPr>
          <a:xfrm>
            <a:off x="5829300" y="86360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9">
            <a:extLst>
              <a:ext uri="{FF2B5EF4-FFF2-40B4-BE49-F238E27FC236}">
                <a16:creationId xmlns:a16="http://schemas.microsoft.com/office/drawing/2014/main" id="{196E0EAA-5EE3-B1C6-4040-DAAAA38A8F3F}"/>
              </a:ext>
            </a:extLst>
          </xdr:cNvPr>
          <xdr:cNvCxnSpPr/>
        </xdr:nvCxnSpPr>
        <xdr:spPr>
          <a:xfrm>
            <a:off x="5778500" y="93948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1079500</xdr:colOff>
      <xdr:row>2</xdr:row>
      <xdr:rowOff>13606</xdr:rowOff>
    </xdr:from>
    <xdr:to>
      <xdr:col>14</xdr:col>
      <xdr:colOff>1043214</xdr:colOff>
      <xdr:row>6</xdr:row>
      <xdr:rowOff>163285</xdr:rowOff>
    </xdr:to>
    <xdr:sp macro="" textlink="">
      <xdr:nvSpPr>
        <xdr:cNvPr id="2" name="TextBox 5">
          <a:extLst>
            <a:ext uri="{FF2B5EF4-FFF2-40B4-BE49-F238E27FC236}">
              <a16:creationId xmlns:a16="http://schemas.microsoft.com/office/drawing/2014/main" id="{61C1A0D8-22A1-4D9A-BE71-396C72C5BFEE}"/>
            </a:ext>
            <a:ext uri="{147F2762-F138-4A5C-976F-8EAC2B608ADB}">
              <a16:predDERef xmlns:a16="http://schemas.microsoft.com/office/drawing/2014/main" pred="{00000000-0008-0000-0300-000002000000}"/>
            </a:ext>
          </a:extLst>
        </xdr:cNvPr>
        <xdr:cNvSpPr txBox="1"/>
      </xdr:nvSpPr>
      <xdr:spPr>
        <a:xfrm>
          <a:off x="14459857" y="975177"/>
          <a:ext cx="4263571" cy="1238251"/>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xdr:from>
      <xdr:col>1</xdr:col>
      <xdr:colOff>1524000</xdr:colOff>
      <xdr:row>64</xdr:row>
      <xdr:rowOff>40822</xdr:rowOff>
    </xdr:from>
    <xdr:to>
      <xdr:col>1</xdr:col>
      <xdr:colOff>1765528</xdr:colOff>
      <xdr:row>64</xdr:row>
      <xdr:rowOff>268780</xdr:rowOff>
    </xdr:to>
    <xdr:pic>
      <xdr:nvPicPr>
        <xdr:cNvPr id="4" name="图片 3">
          <a:hlinkClick xmlns:r="http://schemas.openxmlformats.org/officeDocument/2006/relationships" r:id="rId2" tooltip="应付账款周转率计算"/>
          <a:extLst>
            <a:ext uri="{FF2B5EF4-FFF2-40B4-BE49-F238E27FC236}">
              <a16:creationId xmlns:a16="http://schemas.microsoft.com/office/drawing/2014/main" id="{A4BB9A37-9F5B-4A0A-B2BE-B13B6DD15FDB}"/>
            </a:ext>
          </a:extLst>
        </xdr:cNvPr>
        <xdr:cNvPicPr>
          <a:picLocks noChangeAspect="1"/>
        </xdr:cNvPicPr>
      </xdr:nvPicPr>
      <xdr:blipFill>
        <a:blip xmlns:r="http://schemas.openxmlformats.org/officeDocument/2006/relationships" r:embed="rId3"/>
        <a:stretch>
          <a:fillRect/>
        </a:stretch>
      </xdr:blipFill>
      <xdr:spPr>
        <a:xfrm>
          <a:off x="1728107" y="13498286"/>
          <a:ext cx="241528" cy="2279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553100</xdr:colOff>
      <xdr:row>0</xdr:row>
      <xdr:rowOff>587102</xdr:rowOff>
    </xdr:to>
    <xdr:pic>
      <xdr:nvPicPr>
        <xdr:cNvPr id="2" name="Picture 2">
          <a:extLst>
            <a:ext uri="{FF2B5EF4-FFF2-40B4-BE49-F238E27FC236}">
              <a16:creationId xmlns:a16="http://schemas.microsoft.com/office/drawing/2014/main" id="{3B5D2882-460D-4F38-A033-1B5FB55EAF46}"/>
            </a:ext>
          </a:extLst>
        </xdr:cNvPr>
        <xdr:cNvPicPr>
          <a:picLocks noChangeAspect="1"/>
        </xdr:cNvPicPr>
      </xdr:nvPicPr>
      <xdr:blipFill>
        <a:blip xmlns:r="http://schemas.openxmlformats.org/officeDocument/2006/relationships" r:embed="rId1"/>
        <a:stretch>
          <a:fillRect/>
        </a:stretch>
      </xdr:blipFill>
      <xdr:spPr>
        <a:xfrm>
          <a:off x="251279" y="66221"/>
          <a:ext cx="498671" cy="520881"/>
        </a:xfrm>
        <a:prstGeom prst="rect">
          <a:avLst/>
        </a:prstGeom>
      </xdr:spPr>
    </xdr:pic>
    <xdr:clientData/>
  </xdr:twoCellAnchor>
  <xdr:twoCellAnchor>
    <xdr:from>
      <xdr:col>5</xdr:col>
      <xdr:colOff>424542</xdr:colOff>
      <xdr:row>11</xdr:row>
      <xdr:rowOff>72572</xdr:rowOff>
    </xdr:from>
    <xdr:to>
      <xdr:col>5</xdr:col>
      <xdr:colOff>498929</xdr:colOff>
      <xdr:row>15</xdr:row>
      <xdr:rowOff>99786</xdr:rowOff>
    </xdr:to>
    <xdr:grpSp>
      <xdr:nvGrpSpPr>
        <xdr:cNvPr id="3" name="Group 8">
          <a:extLst>
            <a:ext uri="{FF2B5EF4-FFF2-40B4-BE49-F238E27FC236}">
              <a16:creationId xmlns:a16="http://schemas.microsoft.com/office/drawing/2014/main" id="{8220EF58-6BD3-445F-A4CA-BF1CCA2D6340}"/>
            </a:ext>
          </a:extLst>
        </xdr:cNvPr>
        <xdr:cNvGrpSpPr/>
      </xdr:nvGrpSpPr>
      <xdr:grpSpPr>
        <a:xfrm flipV="1">
          <a:off x="8330292" y="3052536"/>
          <a:ext cx="74387" cy="789214"/>
          <a:chOff x="7753350" y="3327400"/>
          <a:chExt cx="114300" cy="758825"/>
        </a:xfrm>
      </xdr:grpSpPr>
      <xdr:cxnSp macro="">
        <xdr:nvCxnSpPr>
          <xdr:cNvPr id="7" name="Straight Connector 6">
            <a:extLst>
              <a:ext uri="{FF2B5EF4-FFF2-40B4-BE49-F238E27FC236}">
                <a16:creationId xmlns:a16="http://schemas.microsoft.com/office/drawing/2014/main" id="{DE9173F0-2F12-4A6C-71BF-653C3D2AC763}"/>
              </a:ext>
            </a:extLst>
          </xdr:cNvPr>
          <xdr:cNvCxnSpPr/>
        </xdr:nvCxnSpPr>
        <xdr:spPr>
          <a:xfrm>
            <a:off x="7804150" y="33274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7">
            <a:extLst>
              <a:ext uri="{FF2B5EF4-FFF2-40B4-BE49-F238E27FC236}">
                <a16:creationId xmlns:a16="http://schemas.microsoft.com/office/drawing/2014/main" id="{8B0C9ADC-14DD-F5B4-7333-ECB5A3954B93}"/>
              </a:ext>
            </a:extLst>
          </xdr:cNvPr>
          <xdr:cNvCxnSpPr/>
        </xdr:nvCxnSpPr>
        <xdr:spPr>
          <a:xfrm>
            <a:off x="7753350" y="40862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5</xdr:col>
      <xdr:colOff>108857</xdr:colOff>
      <xdr:row>24</xdr:row>
      <xdr:rowOff>176893</xdr:rowOff>
    </xdr:from>
    <xdr:to>
      <xdr:col>5</xdr:col>
      <xdr:colOff>385082</xdr:colOff>
      <xdr:row>26</xdr:row>
      <xdr:rowOff>18720</xdr:rowOff>
    </xdr:to>
    <xdr:pic>
      <xdr:nvPicPr>
        <xdr:cNvPr id="4" name="Picture 2">
          <a:hlinkClick xmlns:r="http://schemas.openxmlformats.org/officeDocument/2006/relationships" r:id="rId2" tooltip="汇率"/>
          <a:extLst>
            <a:ext uri="{FF2B5EF4-FFF2-40B4-BE49-F238E27FC236}">
              <a16:creationId xmlns:a16="http://schemas.microsoft.com/office/drawing/2014/main" id="{B218E8B9-C1F7-4895-B08E-2D42D992C052}"/>
            </a:ext>
            <a:ext uri="{147F2762-F138-4A5C-976F-8EAC2B608ADB}">
              <a16:predDERef xmlns:a16="http://schemas.microsoft.com/office/drawing/2014/main" pred="{B65C0D2E-EB9A-4A4D-A4DF-512D3F3F15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14607" y="5633357"/>
          <a:ext cx="276225" cy="222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0</xdr:row>
      <xdr:rowOff>55788</xdr:rowOff>
    </xdr:from>
    <xdr:to>
      <xdr:col>1</xdr:col>
      <xdr:colOff>538676</xdr:colOff>
      <xdr:row>0</xdr:row>
      <xdr:rowOff>573494</xdr:rowOff>
    </xdr:to>
    <xdr:pic>
      <xdr:nvPicPr>
        <xdr:cNvPr id="2" name="Picture 1">
          <a:extLst>
            <a:ext uri="{FF2B5EF4-FFF2-40B4-BE49-F238E27FC236}">
              <a16:creationId xmlns:a16="http://schemas.microsoft.com/office/drawing/2014/main" id="{438F47E4-5D14-4EBD-A526-97EF50EE01A8}"/>
            </a:ext>
          </a:extLst>
        </xdr:cNvPr>
        <xdr:cNvPicPr>
          <a:picLocks noChangeAspect="1"/>
        </xdr:cNvPicPr>
      </xdr:nvPicPr>
      <xdr:blipFill>
        <a:blip xmlns:r="http://schemas.openxmlformats.org/officeDocument/2006/relationships" r:embed="rId1"/>
        <a:stretch>
          <a:fillRect/>
        </a:stretch>
      </xdr:blipFill>
      <xdr:spPr>
        <a:xfrm>
          <a:off x="257175" y="55788"/>
          <a:ext cx="491051" cy="517706"/>
        </a:xfrm>
        <a:prstGeom prst="rect">
          <a:avLst/>
        </a:prstGeom>
      </xdr:spPr>
    </xdr:pic>
    <xdr:clientData/>
  </xdr:twoCellAnchor>
  <xdr:twoCellAnchor>
    <xdr:from>
      <xdr:col>1</xdr:col>
      <xdr:colOff>163285</xdr:colOff>
      <xdr:row>3</xdr:row>
      <xdr:rowOff>27215</xdr:rowOff>
    </xdr:from>
    <xdr:to>
      <xdr:col>7</xdr:col>
      <xdr:colOff>1496784</xdr:colOff>
      <xdr:row>14</xdr:row>
      <xdr:rowOff>136071</xdr:rowOff>
    </xdr:to>
    <xdr:sp macro="" textlink="">
      <xdr:nvSpPr>
        <xdr:cNvPr id="5" name="文本框 4">
          <a:extLst>
            <a:ext uri="{FF2B5EF4-FFF2-40B4-BE49-F238E27FC236}">
              <a16:creationId xmlns:a16="http://schemas.microsoft.com/office/drawing/2014/main" id="{EAB3784D-815D-4035-A9CC-D5E9F360E14C}"/>
            </a:ext>
            <a:ext uri="{147F2762-F138-4A5C-976F-8EAC2B608ADB}">
              <a16:predDERef xmlns:a16="http://schemas.microsoft.com/office/drawing/2014/main" pred="{438F47E4-5D14-4EBD-A526-97EF50EE01A8}"/>
            </a:ext>
          </a:extLst>
        </xdr:cNvPr>
        <xdr:cNvSpPr txBox="1"/>
      </xdr:nvSpPr>
      <xdr:spPr>
        <a:xfrm>
          <a:off x="367392" y="1211036"/>
          <a:ext cx="13090071" cy="205467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91440" tIns="0" rIns="9144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l"/>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&gt;</a:t>
          </a:r>
          <a:r>
            <a:rPr kumimoji="1" lang="zh-SG" altLang="zh-SG" sz="1400" b="0" i="1">
              <a:solidFill>
                <a:srgbClr val="FF0000"/>
              </a:solidFill>
              <a:latin typeface="Arial" panose="020B0604020202020204" pitchFamily="34" charset="0"/>
              <a:ea typeface="微软雅黑" panose="020B0503020204020204" pitchFamily="34" charset="-122"/>
              <a:cs typeface="Arial" panose="020B0604020202020204" pitchFamily="34" charset="0"/>
            </a:rPr>
            <a:t>项目组将从客户处获取应付账款明细账</a:t>
          </a:r>
          <a:r>
            <a:rPr kumimoji="1" lang="en-US" altLang="zh-SG" sz="1400" b="0" i="1">
              <a:solidFill>
                <a:srgbClr val="FF0000"/>
              </a:solidFill>
              <a:latin typeface="Arial" panose="020B0604020202020204" pitchFamily="34" charset="0"/>
              <a:ea typeface="微软雅黑" panose="020B0503020204020204" pitchFamily="34" charset="-122"/>
              <a:cs typeface="Arial" panose="020B0604020202020204" pitchFamily="34" charset="0"/>
            </a:rPr>
            <a:t> PBC </a:t>
          </a:r>
          <a:r>
            <a:rPr kumimoji="1" lang="zh-SG" altLang="zh-SG" sz="1400" b="0" i="1">
              <a:solidFill>
                <a:srgbClr val="FF0000"/>
              </a:solidFill>
              <a:latin typeface="Arial" panose="020B0604020202020204" pitchFamily="34" charset="0"/>
              <a:ea typeface="微软雅黑" panose="020B0503020204020204" pitchFamily="34" charset="-122"/>
              <a:cs typeface="Arial" panose="020B0604020202020204" pitchFamily="34" charset="0"/>
            </a:rPr>
            <a:t>列示于此。应付账款明细账</a:t>
          </a:r>
          <a:r>
            <a:rPr kumimoji="1" lang="en-US" altLang="zh-SG" sz="1400" b="0" i="1">
              <a:solidFill>
                <a:srgbClr val="FF0000"/>
              </a:solidFill>
              <a:latin typeface="Arial" panose="020B0604020202020204" pitchFamily="34" charset="0"/>
              <a:ea typeface="微软雅黑" panose="020B0503020204020204" pitchFamily="34" charset="-122"/>
              <a:cs typeface="Arial" panose="020B0604020202020204" pitchFamily="34" charset="0"/>
            </a:rPr>
            <a:t> PBC </a:t>
          </a:r>
          <a:r>
            <a:rPr kumimoji="1" lang="zh-SG" altLang="zh-SG" sz="1400" b="0" i="1">
              <a:solidFill>
                <a:srgbClr val="FF0000"/>
              </a:solidFill>
              <a:latin typeface="Arial" panose="020B0604020202020204" pitchFamily="34" charset="0"/>
              <a:ea typeface="微软雅黑" panose="020B0503020204020204" pitchFamily="34" charset="-122"/>
              <a:cs typeface="Arial" panose="020B0604020202020204" pitchFamily="34" charset="0"/>
            </a:rPr>
            <a:t>应当包括</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供应商名称 、原币币种与原币金额（如涉及外币余额）、期末账面数；</a:t>
          </a:r>
          <a:r>
            <a:rPr kumimoji="1" lang="zh-CN" altLang="en-US" sz="1400" b="1" i="1">
              <a:solidFill>
                <a:srgbClr val="FF0000"/>
              </a:solidFill>
              <a:latin typeface="Arial" panose="020B0604020202020204" pitchFamily="34" charset="0"/>
              <a:ea typeface="微软雅黑" panose="020B0503020204020204" pitchFamily="34" charset="-122"/>
              <a:cs typeface="Arial" panose="020B0604020202020204" pitchFamily="34" charset="0"/>
            </a:rPr>
            <a:t>其他可参考字段：</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供应商代码、款项性质、 供应商性质（关联方</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第三方</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其他） 、账龄（如有）等信息。</a:t>
          </a:r>
        </a:p>
        <a:p>
          <a:pPr algn="l"/>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&gt;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项目组比较本期末与上期末明细项目，并识别任何重大变动或其他异常，调查并评价其合理性。</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algn="l"/>
          <a:r>
            <a:rPr kumimoji="1" lang="zh-CN" altLang="en-US" sz="1400" b="1" i="1">
              <a:solidFill>
                <a:srgbClr val="00B0F0"/>
              </a:solidFill>
              <a:latin typeface="Arial" panose="020B0604020202020204" pitchFamily="34" charset="0"/>
              <a:ea typeface="微软雅黑" panose="020B0503020204020204" pitchFamily="34" charset="-122"/>
              <a:cs typeface="Arial" panose="020B0604020202020204" pitchFamily="34" charset="0"/>
            </a:rPr>
            <a:t>期初、期末变动对比分析的列示：</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无需列示</a:t>
          </a:r>
          <a:r>
            <a:rPr kumimoji="1" lang="zh-CN" altLang="en-US" sz="1400" b="1" i="1">
              <a:solidFill>
                <a:srgbClr val="00B0F0"/>
              </a:solidFill>
              <a:latin typeface="Arial" panose="020B0604020202020204" pitchFamily="34" charset="0"/>
              <a:ea typeface="微软雅黑" panose="020B0503020204020204" pitchFamily="34" charset="-122"/>
              <a:cs typeface="Arial" panose="020B0604020202020204" pitchFamily="34" charset="0"/>
            </a:rPr>
            <a:t>所有明细</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（如供应商、客商等）的期初、期末对比变动情况，项目组可根据变动分析需求，结合实际情况判断需列示的供应商明细范围（</a:t>
          </a:r>
          <a:r>
            <a:rPr kumimoji="1" lang="zh-CN" altLang="en-US" sz="1400" b="0" i="1">
              <a:solidFill>
                <a:srgbClr val="00B0F0"/>
              </a:solidFill>
              <a:latin typeface="Arial" panose="020B0604020202020204" pitchFamily="34" charset="0"/>
              <a:ea typeface="微软雅黑" panose="020B0503020204020204" pitchFamily="34" charset="-122"/>
              <a:cs typeface="Arial" panose="020B0604020202020204" pitchFamily="34" charset="0"/>
            </a:rPr>
            <a:t>例如，任何重大变动或其他异常项目</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662215</xdr:colOff>
      <xdr:row>0</xdr:row>
      <xdr:rowOff>571500</xdr:rowOff>
    </xdr:to>
    <xdr:pic>
      <xdr:nvPicPr>
        <xdr:cNvPr id="2" name="Picture 2">
          <a:extLst>
            <a:ext uri="{FF2B5EF4-FFF2-40B4-BE49-F238E27FC236}">
              <a16:creationId xmlns:a16="http://schemas.microsoft.com/office/drawing/2014/main" id="{97379965-8078-45B8-B284-8BE1EAAFFD3D}"/>
            </a:ext>
          </a:extLst>
        </xdr:cNvPr>
        <xdr:cNvPicPr>
          <a:picLocks noChangeAspect="1"/>
        </xdr:cNvPicPr>
      </xdr:nvPicPr>
      <xdr:blipFill>
        <a:blip xmlns:r="http://schemas.openxmlformats.org/officeDocument/2006/relationships" r:embed="rId1"/>
        <a:stretch>
          <a:fillRect/>
        </a:stretch>
      </xdr:blipFill>
      <xdr:spPr>
        <a:xfrm>
          <a:off x="571500" y="66221"/>
          <a:ext cx="607786" cy="505279"/>
        </a:xfrm>
        <a:prstGeom prst="rect">
          <a:avLst/>
        </a:prstGeom>
      </xdr:spPr>
    </xdr:pic>
    <xdr:clientData/>
  </xdr:twoCellAnchor>
  <xdr:twoCellAnchor>
    <xdr:from>
      <xdr:col>3</xdr:col>
      <xdr:colOff>1415142</xdr:colOff>
      <xdr:row>8</xdr:row>
      <xdr:rowOff>195035</xdr:rowOff>
    </xdr:from>
    <xdr:to>
      <xdr:col>3</xdr:col>
      <xdr:colOff>1640681</xdr:colOff>
      <xdr:row>9</xdr:row>
      <xdr:rowOff>58964</xdr:rowOff>
    </xdr:to>
    <xdr:pic>
      <xdr:nvPicPr>
        <xdr:cNvPr id="5" name="图片 4">
          <a:hlinkClick xmlns:r="http://schemas.openxmlformats.org/officeDocument/2006/relationships" r:id="rId2" tooltip="供应商合同的关注特别事项"/>
          <a:extLst>
            <a:ext uri="{FF2B5EF4-FFF2-40B4-BE49-F238E27FC236}">
              <a16:creationId xmlns:a16="http://schemas.microsoft.com/office/drawing/2014/main" id="{0DA4A09F-8DDF-4F08-9284-AB214AB6D796}"/>
            </a:ext>
          </a:extLst>
        </xdr:cNvPr>
        <xdr:cNvPicPr>
          <a:picLocks noChangeAspect="1"/>
        </xdr:cNvPicPr>
      </xdr:nvPicPr>
      <xdr:blipFill>
        <a:blip xmlns:r="http://schemas.openxmlformats.org/officeDocument/2006/relationships" r:embed="rId3"/>
        <a:stretch>
          <a:fillRect/>
        </a:stretch>
      </xdr:blipFill>
      <xdr:spPr>
        <a:xfrm>
          <a:off x="4553856" y="2326821"/>
          <a:ext cx="225539" cy="244929"/>
        </a:xfrm>
        <a:prstGeom prst="rect">
          <a:avLst/>
        </a:prstGeom>
      </xdr:spPr>
    </xdr:pic>
    <xdr:clientData/>
  </xdr:twoCellAnchor>
  <xdr:twoCellAnchor>
    <xdr:from>
      <xdr:col>1</xdr:col>
      <xdr:colOff>857250</xdr:colOff>
      <xdr:row>12</xdr:row>
      <xdr:rowOff>13607</xdr:rowOff>
    </xdr:from>
    <xdr:to>
      <xdr:col>1</xdr:col>
      <xdr:colOff>1065893</xdr:colOff>
      <xdr:row>12</xdr:row>
      <xdr:rowOff>230168</xdr:rowOff>
    </xdr:to>
    <xdr:pic>
      <xdr:nvPicPr>
        <xdr:cNvPr id="7" name="图片 2">
          <a:hlinkClick xmlns:r="http://schemas.openxmlformats.org/officeDocument/2006/relationships" r:id="rId4" tooltip="借方余额调整对函证的影响"/>
          <a:extLst>
            <a:ext uri="{FF2B5EF4-FFF2-40B4-BE49-F238E27FC236}">
              <a16:creationId xmlns:a16="http://schemas.microsoft.com/office/drawing/2014/main" id="{780D4643-F66B-47B9-BF6C-24A417D4956A}"/>
            </a:ext>
          </a:extLst>
        </xdr:cNvPr>
        <xdr:cNvPicPr>
          <a:picLocks noChangeAspect="1"/>
        </xdr:cNvPicPr>
      </xdr:nvPicPr>
      <xdr:blipFill>
        <a:blip xmlns:r="http://schemas.openxmlformats.org/officeDocument/2006/relationships" r:embed="rId3"/>
        <a:stretch>
          <a:fillRect/>
        </a:stretch>
      </xdr:blipFill>
      <xdr:spPr>
        <a:xfrm>
          <a:off x="1061357" y="3088821"/>
          <a:ext cx="208643" cy="216561"/>
        </a:xfrm>
        <a:prstGeom prst="rect">
          <a:avLst/>
        </a:prstGeom>
      </xdr:spPr>
    </xdr:pic>
    <xdr:clientData/>
  </xdr:twoCellAnchor>
  <xdr:twoCellAnchor editAs="oneCell">
    <xdr:from>
      <xdr:col>1</xdr:col>
      <xdr:colOff>966107</xdr:colOff>
      <xdr:row>33</xdr:row>
      <xdr:rowOff>27214</xdr:rowOff>
    </xdr:from>
    <xdr:to>
      <xdr:col>1</xdr:col>
      <xdr:colOff>1207861</xdr:colOff>
      <xdr:row>33</xdr:row>
      <xdr:rowOff>248452</xdr:rowOff>
    </xdr:to>
    <xdr:pic>
      <xdr:nvPicPr>
        <xdr:cNvPr id="9" name="Picture 5">
          <a:hlinkClick xmlns:r="http://schemas.openxmlformats.org/officeDocument/2006/relationships" r:id="rId5" tooltip="应付账款异常项目举例"/>
          <a:extLst>
            <a:ext uri="{FF2B5EF4-FFF2-40B4-BE49-F238E27FC236}">
              <a16:creationId xmlns:a16="http://schemas.microsoft.com/office/drawing/2014/main" id="{45CFA061-0FDA-476B-A791-DFDE368E06A2}"/>
            </a:ext>
            <a:ext uri="{147F2762-F138-4A5C-976F-8EAC2B608ADB}">
              <a16:predDERef xmlns:a16="http://schemas.microsoft.com/office/drawing/2014/main" pred="{54F81827-59F0-4148-85B3-7B2093630FCB}"/>
            </a:ext>
          </a:extLst>
        </xdr:cNvPr>
        <xdr:cNvPicPr>
          <a:picLocks noChangeAspect="1"/>
        </xdr:cNvPicPr>
      </xdr:nvPicPr>
      <xdr:blipFill>
        <a:blip xmlns:r="http://schemas.openxmlformats.org/officeDocument/2006/relationships" r:embed="rId3"/>
        <a:stretch>
          <a:fillRect/>
        </a:stretch>
      </xdr:blipFill>
      <xdr:spPr>
        <a:xfrm>
          <a:off x="1170214" y="7660821"/>
          <a:ext cx="241754" cy="2212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662215</xdr:colOff>
      <xdr:row>1</xdr:row>
      <xdr:rowOff>0</xdr:rowOff>
    </xdr:to>
    <xdr:pic>
      <xdr:nvPicPr>
        <xdr:cNvPr id="4" name="Picture 2">
          <a:extLst>
            <a:ext uri="{FF2B5EF4-FFF2-40B4-BE49-F238E27FC236}">
              <a16:creationId xmlns:a16="http://schemas.microsoft.com/office/drawing/2014/main" id="{32AFD5B0-D713-4529-9B61-7082ACF25808}"/>
            </a:ext>
          </a:extLst>
        </xdr:cNvPr>
        <xdr:cNvPicPr>
          <a:picLocks noChangeAspect="1"/>
        </xdr:cNvPicPr>
      </xdr:nvPicPr>
      <xdr:blipFill>
        <a:blip xmlns:r="http://schemas.openxmlformats.org/officeDocument/2006/relationships" r:embed="rId1"/>
        <a:stretch>
          <a:fillRect/>
        </a:stretch>
      </xdr:blipFill>
      <xdr:spPr>
        <a:xfrm>
          <a:off x="571500" y="66221"/>
          <a:ext cx="607786" cy="568779"/>
        </a:xfrm>
        <a:prstGeom prst="rect">
          <a:avLst/>
        </a:prstGeom>
      </xdr:spPr>
    </xdr:pic>
    <xdr:clientData/>
  </xdr:twoCellAnchor>
  <xdr:twoCellAnchor editAs="oneCell">
    <xdr:from>
      <xdr:col>2</xdr:col>
      <xdr:colOff>1006928</xdr:colOff>
      <xdr:row>4</xdr:row>
      <xdr:rowOff>81642</xdr:rowOff>
    </xdr:from>
    <xdr:to>
      <xdr:col>2</xdr:col>
      <xdr:colOff>1261019</xdr:colOff>
      <xdr:row>5</xdr:row>
      <xdr:rowOff>156897</xdr:rowOff>
    </xdr:to>
    <xdr:pic>
      <xdr:nvPicPr>
        <xdr:cNvPr id="5" name="图片 5">
          <a:hlinkClick xmlns:r="http://schemas.openxmlformats.org/officeDocument/2006/relationships" r:id="rId2" tooltip="AP截止测试注意事项"/>
          <a:extLst>
            <a:ext uri="{FF2B5EF4-FFF2-40B4-BE49-F238E27FC236}">
              <a16:creationId xmlns:a16="http://schemas.microsoft.com/office/drawing/2014/main" id="{81CC16AA-0833-4A47-A5D1-C53E5C3EE4C9}"/>
            </a:ext>
            <a:ext uri="{147F2762-F138-4A5C-976F-8EAC2B608ADB}">
              <a16:predDERef xmlns:a16="http://schemas.microsoft.com/office/drawing/2014/main" pred="{05CACC81-FAB5-AC49-CE14-33F308353514}"/>
            </a:ext>
          </a:extLst>
        </xdr:cNvPr>
        <xdr:cNvPicPr>
          <a:picLocks noChangeAspect="1"/>
        </xdr:cNvPicPr>
      </xdr:nvPicPr>
      <xdr:blipFill>
        <a:blip xmlns:r="http://schemas.openxmlformats.org/officeDocument/2006/relationships" r:embed="rId3"/>
        <a:stretch>
          <a:fillRect/>
        </a:stretch>
      </xdr:blipFill>
      <xdr:spPr>
        <a:xfrm>
          <a:off x="2653392" y="1469571"/>
          <a:ext cx="254091" cy="265755"/>
        </a:xfrm>
        <a:prstGeom prst="rect">
          <a:avLst/>
        </a:prstGeom>
      </xdr:spPr>
    </xdr:pic>
    <xdr:clientData/>
  </xdr:twoCellAnchor>
  <xdr:twoCellAnchor>
    <xdr:from>
      <xdr:col>2</xdr:col>
      <xdr:colOff>272142</xdr:colOff>
      <xdr:row>9</xdr:row>
      <xdr:rowOff>149679</xdr:rowOff>
    </xdr:from>
    <xdr:to>
      <xdr:col>2</xdr:col>
      <xdr:colOff>521605</xdr:colOff>
      <xdr:row>11</xdr:row>
      <xdr:rowOff>4535</xdr:rowOff>
    </xdr:to>
    <xdr:pic>
      <xdr:nvPicPr>
        <xdr:cNvPr id="6" name="图片 5">
          <a:hlinkClick xmlns:r="http://schemas.openxmlformats.org/officeDocument/2006/relationships" r:id="rId4" tooltip="IPE考虑"/>
          <a:extLst>
            <a:ext uri="{FF2B5EF4-FFF2-40B4-BE49-F238E27FC236}">
              <a16:creationId xmlns:a16="http://schemas.microsoft.com/office/drawing/2014/main" id="{96780DAF-5CA3-45D4-AE9C-DF8A437A6A9C}"/>
            </a:ext>
          </a:extLst>
        </xdr:cNvPr>
        <xdr:cNvPicPr>
          <a:picLocks noChangeAspect="1"/>
        </xdr:cNvPicPr>
      </xdr:nvPicPr>
      <xdr:blipFill>
        <a:blip xmlns:r="http://schemas.openxmlformats.org/officeDocument/2006/relationships" r:embed="rId5"/>
        <a:stretch>
          <a:fillRect/>
        </a:stretch>
      </xdr:blipFill>
      <xdr:spPr>
        <a:xfrm>
          <a:off x="1918606" y="2490108"/>
          <a:ext cx="249463" cy="2358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642514</xdr:colOff>
      <xdr:row>0</xdr:row>
      <xdr:rowOff>607786</xdr:rowOff>
    </xdr:to>
    <xdr:pic>
      <xdr:nvPicPr>
        <xdr:cNvPr id="6" name="Picture 2">
          <a:extLst>
            <a:ext uri="{FF2B5EF4-FFF2-40B4-BE49-F238E27FC236}">
              <a16:creationId xmlns:a16="http://schemas.microsoft.com/office/drawing/2014/main" id="{E6A16F39-9334-4149-BAF6-890F15580A3E}"/>
            </a:ext>
          </a:extLst>
        </xdr:cNvPr>
        <xdr:cNvPicPr>
          <a:picLocks noChangeAspect="1"/>
        </xdr:cNvPicPr>
      </xdr:nvPicPr>
      <xdr:blipFill>
        <a:blip xmlns:r="http://schemas.openxmlformats.org/officeDocument/2006/relationships" r:embed="rId1"/>
        <a:stretch>
          <a:fillRect/>
        </a:stretch>
      </xdr:blipFill>
      <xdr:spPr>
        <a:xfrm>
          <a:off x="381000" y="66221"/>
          <a:ext cx="588085" cy="5415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AAE3-6C23-488B-BD24-58D3AB84CD77}">
  <dimension ref="A1:J20"/>
  <sheetViews>
    <sheetView showGridLines="0" tabSelected="1" zoomScale="70" zoomScaleNormal="70" workbookViewId="0">
      <selection activeCell="D2" sqref="D2"/>
    </sheetView>
  </sheetViews>
  <sheetFormatPr defaultColWidth="9" defaultRowHeight="14.25" customHeight="1"/>
  <cols>
    <col min="1" max="1" width="4.625" style="42" customWidth="1"/>
    <col min="2" max="2" width="11.875" style="41" customWidth="1"/>
    <col min="3" max="3" width="14.625" style="45" customWidth="1"/>
    <col min="4" max="4" width="16.625" style="42" customWidth="1"/>
    <col min="5" max="5" width="25.125" style="42" customWidth="1"/>
    <col min="6" max="6" width="18.75" style="43" customWidth="1"/>
    <col min="7" max="7" width="12.625" style="41" customWidth="1"/>
    <col min="8" max="8" width="21.625" style="42" customWidth="1"/>
    <col min="9" max="9" width="30.75" style="41" customWidth="1"/>
    <col min="10" max="16384" width="9" style="42"/>
  </cols>
  <sheetData>
    <row r="1" spans="1:10" ht="27.95" customHeight="1">
      <c r="A1" s="451" t="s">
        <v>0</v>
      </c>
    </row>
    <row r="2" spans="1:10" ht="21">
      <c r="A2" s="40"/>
      <c r="B2" s="443" t="s">
        <v>1</v>
      </c>
      <c r="C2" s="66"/>
      <c r="F2" s="69" t="s">
        <v>2</v>
      </c>
    </row>
    <row r="3" spans="1:10" ht="18">
      <c r="A3" s="40"/>
      <c r="B3" s="66"/>
      <c r="F3" s="69" t="s">
        <v>3</v>
      </c>
    </row>
    <row r="4" spans="1:10" ht="18">
      <c r="A4" s="40"/>
      <c r="B4" s="66"/>
    </row>
    <row r="5" spans="1:10" ht="18" customHeight="1">
      <c r="B5" s="59" t="s">
        <v>4</v>
      </c>
      <c r="C5" s="455" t="s">
        <v>5</v>
      </c>
      <c r="D5" s="456"/>
      <c r="E5" s="456"/>
      <c r="F5" s="60" t="s">
        <v>6</v>
      </c>
      <c r="G5" s="60" t="s">
        <v>7</v>
      </c>
      <c r="H5" s="60" t="s">
        <v>8</v>
      </c>
      <c r="I5" s="60" t="s">
        <v>9</v>
      </c>
    </row>
    <row r="6" spans="1:10" ht="33" customHeight="1">
      <c r="B6" s="61">
        <v>1</v>
      </c>
      <c r="C6" s="457" t="s">
        <v>10</v>
      </c>
      <c r="D6" s="457"/>
      <c r="E6" s="457"/>
      <c r="F6" s="453" t="s">
        <v>11</v>
      </c>
      <c r="G6" s="62"/>
      <c r="H6" s="53"/>
      <c r="I6" s="62"/>
    </row>
    <row r="7" spans="1:10" ht="33" customHeight="1">
      <c r="B7" s="61">
        <v>2</v>
      </c>
      <c r="C7" s="460" t="s">
        <v>12</v>
      </c>
      <c r="D7" s="460"/>
      <c r="E7" s="460"/>
      <c r="F7" s="454"/>
      <c r="G7" s="62"/>
      <c r="H7" s="53"/>
      <c r="I7" s="62"/>
    </row>
    <row r="8" spans="1:10" ht="15" customHeight="1">
      <c r="B8" s="59" t="s">
        <v>13</v>
      </c>
      <c r="C8" s="459" t="s">
        <v>14</v>
      </c>
      <c r="D8" s="459"/>
      <c r="E8" s="459"/>
      <c r="F8" s="60" t="s">
        <v>15</v>
      </c>
      <c r="G8" s="60" t="s">
        <v>7</v>
      </c>
      <c r="H8" s="60" t="s">
        <v>8</v>
      </c>
      <c r="I8" s="60" t="s">
        <v>16</v>
      </c>
    </row>
    <row r="9" spans="1:10" ht="74.099999999999994" customHeight="1">
      <c r="B9" s="61">
        <v>1</v>
      </c>
      <c r="C9" s="463" t="s">
        <v>17</v>
      </c>
      <c r="D9" s="464"/>
      <c r="E9" s="464"/>
      <c r="F9" s="453" t="s">
        <v>18</v>
      </c>
      <c r="G9" s="62"/>
      <c r="H9" s="53"/>
      <c r="I9" s="62"/>
    </row>
    <row r="10" spans="1:10" ht="47.45" customHeight="1">
      <c r="B10" s="61">
        <v>2</v>
      </c>
      <c r="C10" s="458" t="s">
        <v>19</v>
      </c>
      <c r="D10" s="458"/>
      <c r="E10" s="458"/>
      <c r="F10" s="454"/>
      <c r="G10" s="62"/>
      <c r="H10" s="53"/>
      <c r="I10" s="62"/>
    </row>
    <row r="11" spans="1:10" ht="15" customHeight="1">
      <c r="B11" s="59" t="s">
        <v>20</v>
      </c>
      <c r="C11" s="465" t="s">
        <v>21</v>
      </c>
      <c r="D11" s="459"/>
      <c r="E11" s="459"/>
      <c r="F11" s="60" t="s">
        <v>15</v>
      </c>
      <c r="G11" s="60" t="s">
        <v>7</v>
      </c>
      <c r="H11" s="60" t="s">
        <v>8</v>
      </c>
      <c r="I11" s="60" t="s">
        <v>16</v>
      </c>
    </row>
    <row r="12" spans="1:10" ht="70.5" customHeight="1">
      <c r="B12" s="63">
        <v>1</v>
      </c>
      <c r="C12" s="457" t="s">
        <v>22</v>
      </c>
      <c r="D12" s="457"/>
      <c r="E12" s="457"/>
      <c r="F12" s="453" t="s">
        <v>23</v>
      </c>
      <c r="G12" s="62"/>
      <c r="H12" s="53"/>
      <c r="I12" s="64"/>
      <c r="J12" s="44"/>
    </row>
    <row r="13" spans="1:10" ht="70.5" customHeight="1">
      <c r="A13"/>
      <c r="B13" s="63">
        <v>2</v>
      </c>
      <c r="C13" s="458" t="s">
        <v>24</v>
      </c>
      <c r="D13" s="458"/>
      <c r="E13" s="458"/>
      <c r="F13" s="454"/>
      <c r="G13" s="62"/>
      <c r="H13" s="53"/>
      <c r="I13" s="64"/>
      <c r="J13" s="44"/>
    </row>
    <row r="14" spans="1:10" ht="15" customHeight="1">
      <c r="A14"/>
      <c r="B14" s="59" t="s">
        <v>25</v>
      </c>
      <c r="C14" s="459" t="s">
        <v>26</v>
      </c>
      <c r="D14" s="459"/>
      <c r="E14" s="459"/>
      <c r="F14" s="60" t="s">
        <v>15</v>
      </c>
      <c r="G14" s="60" t="s">
        <v>7</v>
      </c>
      <c r="H14" s="60" t="s">
        <v>8</v>
      </c>
      <c r="I14" s="60" t="s">
        <v>16</v>
      </c>
      <c r="J14" s="44"/>
    </row>
    <row r="15" spans="1:10" ht="124.5" customHeight="1">
      <c r="A15"/>
      <c r="B15" s="63">
        <v>1</v>
      </c>
      <c r="C15" s="462" t="s">
        <v>27</v>
      </c>
      <c r="D15" s="458"/>
      <c r="E15" s="458"/>
      <c r="F15" s="445" t="s">
        <v>28</v>
      </c>
      <c r="G15" s="62"/>
      <c r="H15" s="53"/>
      <c r="I15" s="131" t="s">
        <v>29</v>
      </c>
      <c r="J15" s="44"/>
    </row>
    <row r="16" spans="1:10" ht="15" customHeight="1">
      <c r="A16"/>
      <c r="B16" s="59" t="s">
        <v>30</v>
      </c>
      <c r="C16" s="461" t="s">
        <v>31</v>
      </c>
      <c r="D16" s="461"/>
      <c r="E16" s="461"/>
      <c r="F16" s="60" t="s">
        <v>15</v>
      </c>
      <c r="G16" s="60" t="s">
        <v>7</v>
      </c>
      <c r="H16" s="60" t="s">
        <v>8</v>
      </c>
      <c r="I16" s="60" t="s">
        <v>16</v>
      </c>
    </row>
    <row r="17" spans="1:9" ht="40.5" customHeight="1">
      <c r="A17"/>
      <c r="B17" s="63">
        <v>1</v>
      </c>
      <c r="C17" s="462" t="s">
        <v>32</v>
      </c>
      <c r="D17" s="462"/>
      <c r="E17" s="462"/>
      <c r="F17" s="65" t="s">
        <v>33</v>
      </c>
      <c r="G17" s="62"/>
      <c r="H17" s="53"/>
      <c r="I17" s="62"/>
    </row>
    <row r="18" spans="1:9" ht="14.25" customHeight="1">
      <c r="A18"/>
    </row>
    <row r="19" spans="1:9" ht="14.25" customHeight="1">
      <c r="A19"/>
    </row>
    <row r="20" spans="1:9" ht="14.25" customHeight="1">
      <c r="A20"/>
    </row>
  </sheetData>
  <mergeCells count="16">
    <mergeCell ref="C16:E16"/>
    <mergeCell ref="C17:E17"/>
    <mergeCell ref="C9:E9"/>
    <mergeCell ref="F9:F10"/>
    <mergeCell ref="C13:E13"/>
    <mergeCell ref="C14:E14"/>
    <mergeCell ref="C11:E11"/>
    <mergeCell ref="C12:E12"/>
    <mergeCell ref="F12:F13"/>
    <mergeCell ref="C15:E15"/>
    <mergeCell ref="F6:F7"/>
    <mergeCell ref="C5:E5"/>
    <mergeCell ref="C6:E6"/>
    <mergeCell ref="C10:E10"/>
    <mergeCell ref="C8:E8"/>
    <mergeCell ref="C7:E7"/>
  </mergeCells>
  <phoneticPr fontId="25" type="noConversion"/>
  <conditionalFormatting sqref="F6 F9 G9:G10 F12 G12:G13 F15:G15">
    <cfRule type="containsBlanks" dxfId="43" priority="27">
      <formula>LEN(TRIM(F6))=0</formula>
    </cfRule>
  </conditionalFormatting>
  <conditionalFormatting sqref="F17:G17">
    <cfRule type="containsBlanks" dxfId="42" priority="1">
      <formula>LEN(TRIM(F17))=0</formula>
    </cfRule>
  </conditionalFormatting>
  <conditionalFormatting sqref="G6:G7">
    <cfRule type="containsBlanks" dxfId="41" priority="23">
      <formula>LEN(TRIM(G6))=0</formula>
    </cfRule>
  </conditionalFormatting>
  <conditionalFormatting sqref="H6:H7 H9:H10 H12:H13 H15 H17">
    <cfRule type="expression" dxfId="40" priority="10">
      <formula>SUMPRODUCT((G6="否")*(LEN(H6)=0))</formula>
    </cfRule>
  </conditionalFormatting>
  <dataValidations disablePrompts="1" count="1">
    <dataValidation type="list" allowBlank="1" showInputMessage="1" sqref="G6:G7 G15 G12:G13 G9:G10 G17" xr:uid="{F845C7FE-FC90-4110-9746-C9C03A565E94}">
      <formula1>"是,否"</formula1>
    </dataValidation>
  </dataValidations>
  <hyperlinks>
    <hyperlink ref="F9:F10" location="'N.01 明细账与总账核对'!A1" display="'N.01 明细账与总账核对'!A1" xr:uid="{9067DFE9-5B6B-4285-8296-4BC934DDC1C9}"/>
    <hyperlink ref="F12:F13" location="'N.02 异常项复核'!A1" display="'N.02 异常项复核'!A1" xr:uid="{A1601B11-2C9C-43AF-9D79-D5043F3AA0E8}"/>
    <hyperlink ref="F15" location="'N.03 截止测试'!A1" display="'N.03 截止测试'!A1" xr:uid="{96866598-A2F3-4407-BE49-49FEFC154E15}"/>
    <hyperlink ref="F17" location="'N.04 寻找未入账负债'!A1" display="N.04 寻找未入账的负债" xr:uid="{3B63B45E-1580-456C-9F72-46C1533D4913}"/>
    <hyperlink ref="F6:F7" location="'N.00 Lead sheet'!A1" display="N.00 Lead sheet" xr:uid="{DA02C48B-5904-45FA-BB8E-90651DAF331D}"/>
    <hyperlink ref="F3" r:id="rId1"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xr:uid="{13FAAD61-79F4-4580-8705-24D1987D603C}"/>
    <hyperlink ref="F2" r:id="rId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xr:uid="{5983E63B-65F3-477B-9539-42D7185F0BC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L91"/>
  <sheetViews>
    <sheetView showGridLines="0" zoomScale="70" zoomScaleNormal="70" workbookViewId="0">
      <selection activeCell="G72" sqref="G72"/>
    </sheetView>
  </sheetViews>
  <sheetFormatPr defaultColWidth="8.75" defaultRowHeight="12.75" customHeight="1"/>
  <cols>
    <col min="1" max="1" width="2.625" style="151" customWidth="1"/>
    <col min="2" max="2" width="29" style="138" customWidth="1"/>
    <col min="3" max="3" width="23.375" style="138" customWidth="1"/>
    <col min="4" max="4" width="29.25" style="138" customWidth="1"/>
    <col min="5" max="5" width="15.25" style="138" customWidth="1"/>
    <col min="6" max="6" width="16.125" style="138" customWidth="1"/>
    <col min="7" max="11" width="15" style="138" customWidth="1"/>
    <col min="12" max="12" width="14.25" style="138" customWidth="1"/>
    <col min="13" max="13" width="13.125" style="138" customWidth="1"/>
    <col min="14" max="14" width="14.125" style="138" customWidth="1"/>
    <col min="15" max="15" width="15.625" style="138" customWidth="1"/>
    <col min="16" max="16" width="17.625" style="138" customWidth="1"/>
    <col min="17" max="17" width="2.625" style="138" customWidth="1"/>
    <col min="18" max="18" width="1.625" style="138" customWidth="1"/>
    <col min="19" max="19" width="11.125" style="138" customWidth="1"/>
    <col min="20" max="20" width="12.75" style="138" customWidth="1"/>
    <col min="21" max="16384" width="8.75" style="138"/>
  </cols>
  <sheetData>
    <row r="1" spans="2:18" s="132" customFormat="1" ht="50.1" customHeight="1">
      <c r="B1" s="214" t="s">
        <v>34</v>
      </c>
      <c r="C1" s="215"/>
      <c r="D1" s="216"/>
      <c r="E1" s="216"/>
      <c r="F1" s="216"/>
      <c r="G1" s="216"/>
      <c r="H1" s="216"/>
      <c r="I1" s="216"/>
      <c r="J1" s="216"/>
      <c r="K1" s="216"/>
      <c r="L1" s="216"/>
      <c r="M1" s="216"/>
      <c r="N1" s="216"/>
      <c r="O1" s="216"/>
      <c r="P1" s="217"/>
      <c r="Q1" s="218"/>
      <c r="R1" s="219"/>
    </row>
    <row r="2" spans="2:18" s="135" customFormat="1" ht="25.9" customHeight="1">
      <c r="B2" s="145" t="s">
        <v>35</v>
      </c>
      <c r="C2" s="172"/>
      <c r="D2" s="467" t="s">
        <v>36</v>
      </c>
      <c r="E2" s="468"/>
      <c r="F2" s="468"/>
      <c r="G2" s="468"/>
      <c r="H2" s="468"/>
      <c r="I2" s="468"/>
      <c r="J2" s="468"/>
      <c r="K2" s="468"/>
      <c r="L2" s="468"/>
      <c r="M2" s="468"/>
      <c r="N2" s="468"/>
      <c r="O2" s="468"/>
      <c r="P2" s="469"/>
      <c r="Q2" s="133"/>
      <c r="R2" s="134"/>
    </row>
    <row r="3" spans="2:18" s="135" customFormat="1" ht="21.75" customHeight="1">
      <c r="B3" s="146" t="s">
        <v>37</v>
      </c>
      <c r="C3" s="147">
        <v>46022</v>
      </c>
      <c r="D3" s="467"/>
      <c r="E3" s="468"/>
      <c r="F3" s="468"/>
      <c r="G3" s="468"/>
      <c r="H3" s="468"/>
      <c r="I3" s="468"/>
      <c r="J3" s="468"/>
      <c r="K3" s="468"/>
      <c r="L3" s="468"/>
      <c r="M3" s="468"/>
      <c r="N3" s="468"/>
      <c r="O3" s="468"/>
      <c r="P3" s="469"/>
      <c r="Q3" s="133"/>
      <c r="R3" s="134"/>
    </row>
    <row r="4" spans="2:18" s="135" customFormat="1" ht="21.75" customHeight="1">
      <c r="B4" s="146" t="s">
        <v>38</v>
      </c>
      <c r="C4" s="171"/>
      <c r="D4" s="467"/>
      <c r="E4" s="468"/>
      <c r="F4" s="468"/>
      <c r="G4" s="468"/>
      <c r="H4" s="468"/>
      <c r="I4" s="468"/>
      <c r="J4" s="468"/>
      <c r="K4" s="468"/>
      <c r="L4" s="468"/>
      <c r="M4" s="468"/>
      <c r="N4" s="468"/>
      <c r="O4" s="468"/>
      <c r="P4" s="469"/>
      <c r="Q4" s="133"/>
      <c r="R4" s="134"/>
    </row>
    <row r="5" spans="2:18" s="135" customFormat="1" ht="21.75" customHeight="1">
      <c r="B5" s="146" t="s">
        <v>39</v>
      </c>
      <c r="C5" s="173"/>
      <c r="D5" s="467"/>
      <c r="E5" s="468"/>
      <c r="F5" s="468"/>
      <c r="G5" s="468"/>
      <c r="H5" s="468"/>
      <c r="I5" s="468"/>
      <c r="J5" s="468"/>
      <c r="K5" s="468"/>
      <c r="L5" s="468"/>
      <c r="M5" s="468"/>
      <c r="N5" s="468"/>
      <c r="O5" s="468"/>
      <c r="P5" s="469"/>
      <c r="Q5" s="133"/>
      <c r="R5" s="134"/>
    </row>
    <row r="6" spans="2:18" s="135" customFormat="1" ht="21.75" customHeight="1">
      <c r="B6" s="146" t="s">
        <v>40</v>
      </c>
      <c r="C6" s="173"/>
      <c r="D6" s="467"/>
      <c r="E6" s="468"/>
      <c r="F6" s="468"/>
      <c r="G6" s="468"/>
      <c r="H6" s="468"/>
      <c r="I6" s="468"/>
      <c r="J6" s="468"/>
      <c r="K6" s="468"/>
      <c r="L6" s="468"/>
      <c r="M6" s="468"/>
      <c r="N6" s="468"/>
      <c r="O6" s="468"/>
      <c r="P6" s="469"/>
      <c r="Q6" s="133"/>
      <c r="R6" s="134"/>
    </row>
    <row r="7" spans="2:18" s="135" customFormat="1" ht="21.75" customHeight="1">
      <c r="B7" s="146" t="s">
        <v>41</v>
      </c>
      <c r="C7" s="174"/>
      <c r="D7" s="467"/>
      <c r="E7" s="468"/>
      <c r="F7" s="468"/>
      <c r="G7" s="468"/>
      <c r="H7" s="468"/>
      <c r="I7" s="468"/>
      <c r="J7" s="468"/>
      <c r="K7" s="468"/>
      <c r="L7" s="468"/>
      <c r="M7" s="468"/>
      <c r="N7" s="468"/>
      <c r="O7" s="468"/>
      <c r="P7" s="469"/>
      <c r="Q7" s="133"/>
      <c r="R7" s="134"/>
    </row>
    <row r="8" spans="2:18" s="135" customFormat="1" ht="21.75" customHeight="1">
      <c r="B8" s="148" t="s">
        <v>42</v>
      </c>
      <c r="C8" s="175"/>
      <c r="D8" s="470"/>
      <c r="E8" s="471"/>
      <c r="F8" s="471"/>
      <c r="G8" s="471"/>
      <c r="H8" s="471"/>
      <c r="I8" s="471"/>
      <c r="J8" s="471"/>
      <c r="K8" s="471"/>
      <c r="L8" s="471"/>
      <c r="M8" s="471"/>
      <c r="N8" s="471"/>
      <c r="O8" s="471"/>
      <c r="P8" s="472"/>
      <c r="Q8" s="133"/>
      <c r="R8" s="134"/>
    </row>
    <row r="9" spans="2:18" s="136" customFormat="1" ht="30" customHeight="1">
      <c r="B9" s="220" t="s">
        <v>43</v>
      </c>
      <c r="C9" s="221"/>
      <c r="D9" s="221"/>
      <c r="E9" s="221"/>
      <c r="F9" s="221"/>
      <c r="G9" s="221"/>
      <c r="H9" s="221"/>
      <c r="I9" s="221"/>
      <c r="J9" s="221"/>
      <c r="K9" s="221"/>
      <c r="L9" s="221"/>
      <c r="M9" s="221"/>
      <c r="N9" s="221"/>
      <c r="O9" s="221"/>
      <c r="P9" s="222"/>
      <c r="Q9" s="218"/>
      <c r="R9" s="219"/>
    </row>
    <row r="10" spans="2:18" s="132" customFormat="1" ht="15" customHeight="1">
      <c r="B10" s="10"/>
      <c r="C10" s="10"/>
      <c r="D10" s="10"/>
      <c r="E10" s="10"/>
      <c r="F10" s="10"/>
      <c r="G10" s="10"/>
      <c r="H10" s="10"/>
      <c r="I10" s="10"/>
      <c r="J10" s="10"/>
      <c r="K10" s="10"/>
      <c r="L10" s="10"/>
      <c r="M10" s="10"/>
      <c r="N10" s="10"/>
      <c r="O10" s="10"/>
      <c r="P10" s="10"/>
      <c r="Q10" s="218"/>
      <c r="R10" s="219"/>
    </row>
    <row r="11" spans="2:18" s="132" customFormat="1" ht="15" customHeight="1">
      <c r="B11" s="46" t="s">
        <v>44</v>
      </c>
      <c r="C11" s="10"/>
      <c r="D11" s="10"/>
      <c r="E11" s="10"/>
      <c r="F11" s="10"/>
      <c r="G11" s="10"/>
      <c r="H11" s="10"/>
      <c r="I11" s="10"/>
      <c r="J11" s="10"/>
      <c r="K11" s="10"/>
      <c r="L11" s="10"/>
      <c r="M11" s="10"/>
      <c r="N11" s="10"/>
      <c r="O11" s="10"/>
      <c r="P11" s="10"/>
      <c r="Q11" s="218"/>
      <c r="R11" s="219"/>
    </row>
    <row r="12" spans="2:18" s="132" customFormat="1" ht="15" customHeight="1">
      <c r="B12" s="10"/>
      <c r="C12" s="10"/>
      <c r="D12" s="10"/>
      <c r="E12" s="10"/>
      <c r="F12" s="10"/>
      <c r="G12" s="10"/>
      <c r="H12" s="10"/>
      <c r="I12" s="10"/>
      <c r="J12" s="10"/>
      <c r="K12" s="10"/>
      <c r="L12" s="10"/>
      <c r="M12" s="10"/>
      <c r="N12" s="10"/>
      <c r="O12" s="10"/>
      <c r="P12" s="10"/>
      <c r="Q12" s="218"/>
      <c r="R12" s="219"/>
    </row>
    <row r="13" spans="2:18" s="132" customFormat="1" ht="15" customHeight="1">
      <c r="B13" s="223"/>
      <c r="C13" s="223"/>
      <c r="D13" s="224" t="s">
        <v>45</v>
      </c>
      <c r="E13" s="225"/>
      <c r="F13" s="10"/>
      <c r="G13" s="10"/>
      <c r="H13" s="491" t="s">
        <v>46</v>
      </c>
      <c r="I13" s="492"/>
      <c r="J13" s="492"/>
      <c r="K13" s="492"/>
      <c r="L13" s="493"/>
      <c r="M13" s="10"/>
      <c r="N13" s="10"/>
      <c r="O13" s="10"/>
      <c r="P13" s="10"/>
      <c r="Q13" s="218"/>
      <c r="R13" s="219"/>
    </row>
    <row r="14" spans="2:18" s="132" customFormat="1" ht="15" customHeight="1">
      <c r="B14" s="405" t="s">
        <v>47</v>
      </c>
      <c r="C14" s="405" t="s">
        <v>48</v>
      </c>
      <c r="D14" s="405" t="s">
        <v>49</v>
      </c>
      <c r="E14" s="406" t="s">
        <v>50</v>
      </c>
      <c r="F14" s="10"/>
      <c r="G14" s="10"/>
      <c r="H14" s="226" t="s">
        <v>51</v>
      </c>
      <c r="I14" s="227" t="s">
        <v>52</v>
      </c>
      <c r="J14" s="165"/>
      <c r="K14" s="165"/>
      <c r="L14" s="166"/>
      <c r="M14" s="10"/>
      <c r="N14" s="10"/>
      <c r="O14" s="10"/>
      <c r="P14" s="10"/>
      <c r="Q14" s="218"/>
      <c r="R14" s="219"/>
    </row>
    <row r="15" spans="2:18" s="132" customFormat="1" ht="15" customHeight="1">
      <c r="B15" s="407" t="s">
        <v>53</v>
      </c>
      <c r="C15" s="228"/>
      <c r="D15" s="229">
        <f>IF(C15="Minimal",$C$5*50%,IF(C15="Low",$C$5*25%,IF(C15="Moderate",$C$5*15%,IF(C15="High",$C$5*10%,IF(C15="N/A","-",)))))</f>
        <v>0</v>
      </c>
      <c r="E15" s="230">
        <f>MIN($D$15:$D$19)</f>
        <v>0</v>
      </c>
      <c r="F15" s="10"/>
      <c r="G15" s="10"/>
      <c r="H15" s="149" t="s">
        <v>54</v>
      </c>
      <c r="I15" s="227" t="s">
        <v>55</v>
      </c>
      <c r="J15" s="163"/>
      <c r="K15" s="231"/>
      <c r="L15" s="232"/>
      <c r="M15" s="10"/>
      <c r="N15" s="10"/>
      <c r="O15" s="10"/>
      <c r="P15" s="10"/>
      <c r="Q15" s="218"/>
      <c r="R15" s="219"/>
    </row>
    <row r="16" spans="2:18" s="132" customFormat="1" ht="15" customHeight="1">
      <c r="B16" s="407" t="s">
        <v>56</v>
      </c>
      <c r="C16" s="228"/>
      <c r="D16" s="229">
        <f>IF(C16="Minimal",$C$5*100%,IF(C16="Low",$C$5*75%,IF(C16="Moderate",$C$5*50%,IF(C16="High",$C$5*25%,IF(C16="N/A","-",)))))</f>
        <v>0</v>
      </c>
      <c r="E16" s="233"/>
      <c r="F16" s="10"/>
      <c r="G16" s="10"/>
      <c r="H16" s="226" t="s">
        <v>57</v>
      </c>
      <c r="I16" s="234" t="s">
        <v>58</v>
      </c>
      <c r="J16" s="235"/>
      <c r="K16" s="231"/>
      <c r="L16" s="232"/>
      <c r="M16" s="10"/>
      <c r="N16" s="10"/>
      <c r="O16" s="10"/>
      <c r="P16" s="10"/>
      <c r="Q16" s="218"/>
      <c r="R16" s="219"/>
    </row>
    <row r="17" spans="2:18" s="132" customFormat="1" ht="15" customHeight="1">
      <c r="B17" s="407" t="s">
        <v>59</v>
      </c>
      <c r="C17" s="228"/>
      <c r="D17" s="229">
        <f>IF(C17="Minimal",$C$5*100%,IF(C17="Low",$C$5*75%,IF(C17="Moderate",$C$5*50%,IF(C17="High",$C$5*25%,IF(C17="N/A","-",)))))</f>
        <v>0</v>
      </c>
      <c r="E17" s="233"/>
      <c r="F17" s="10"/>
      <c r="G17" s="10"/>
      <c r="H17" s="226" t="s">
        <v>60</v>
      </c>
      <c r="I17" s="234" t="s">
        <v>61</v>
      </c>
      <c r="J17" s="236"/>
      <c r="K17" s="231"/>
      <c r="L17" s="232"/>
      <c r="M17" s="10"/>
      <c r="N17" s="10"/>
      <c r="O17" s="10"/>
      <c r="P17" s="10"/>
      <c r="Q17" s="218"/>
      <c r="R17" s="219"/>
    </row>
    <row r="18" spans="2:18" s="132" customFormat="1" ht="15" customHeight="1">
      <c r="B18" s="407" t="s">
        <v>62</v>
      </c>
      <c r="C18" s="228"/>
      <c r="D18" s="229">
        <f>IF(C18="Minimal",$C$5*100%,IF(C18="Low",$C$5*75%,IF(C18="Moderate",$C$5*50%,IF(C18="High",$C$5*25%,IF(C18="N/A","-",)))))</f>
        <v>0</v>
      </c>
      <c r="E18" s="233"/>
      <c r="F18" s="10"/>
      <c r="G18" s="10"/>
      <c r="H18" s="237" t="s">
        <v>63</v>
      </c>
      <c r="I18" s="227" t="s">
        <v>64</v>
      </c>
      <c r="J18" s="238"/>
      <c r="K18" s="239"/>
      <c r="L18" s="240"/>
      <c r="M18" s="10"/>
      <c r="N18" s="10"/>
      <c r="O18" s="10"/>
      <c r="P18" s="10"/>
      <c r="Q18" s="218"/>
      <c r="R18" s="219"/>
    </row>
    <row r="19" spans="2:18" s="132" customFormat="1" ht="15" customHeight="1">
      <c r="B19" s="408" t="s">
        <v>65</v>
      </c>
      <c r="C19" s="241"/>
      <c r="D19" s="229">
        <f>IF(C19="Minimal",$C$5*100%,IF(C19="Low",$C$5*75%,IF(C19="Moderate",$C$5*50%,IF(C19="High",$C$5*25%,IF(C19="N/A","-",)))))</f>
        <v>0</v>
      </c>
      <c r="E19" s="242"/>
      <c r="F19" s="10"/>
      <c r="G19" s="10"/>
      <c r="H19" s="150" t="s">
        <v>66</v>
      </c>
      <c r="I19" s="227" t="s">
        <v>67</v>
      </c>
      <c r="J19" s="231"/>
      <c r="K19" s="231"/>
      <c r="L19" s="232"/>
      <c r="M19" s="10"/>
      <c r="N19" s="10"/>
      <c r="O19" s="10"/>
      <c r="P19" s="10"/>
      <c r="Q19" s="218"/>
      <c r="R19" s="219"/>
    </row>
    <row r="20" spans="2:18" s="132" customFormat="1" ht="15" customHeight="1">
      <c r="B20" s="498" t="s">
        <v>68</v>
      </c>
      <c r="C20" s="498"/>
      <c r="D20" s="498"/>
      <c r="E20" s="498"/>
      <c r="F20" s="10"/>
      <c r="G20" s="10"/>
      <c r="H20" s="226" t="s">
        <v>69</v>
      </c>
      <c r="I20" s="227" t="s">
        <v>70</v>
      </c>
      <c r="J20" s="231"/>
      <c r="K20" s="231"/>
      <c r="L20" s="232"/>
      <c r="M20" s="243"/>
      <c r="N20" s="243"/>
      <c r="O20" s="243"/>
      <c r="P20" s="243"/>
      <c r="Q20" s="218"/>
      <c r="R20" s="219"/>
    </row>
    <row r="21" spans="2:18" s="132" customFormat="1" ht="15" customHeight="1">
      <c r="B21" s="176" t="s">
        <v>71</v>
      </c>
      <c r="C21" s="446"/>
      <c r="D21" s="446"/>
      <c r="E21" s="446"/>
      <c r="F21" s="10"/>
      <c r="G21" s="10"/>
      <c r="H21" s="150" t="s">
        <v>72</v>
      </c>
      <c r="I21" s="227" t="s">
        <v>73</v>
      </c>
      <c r="J21" s="231"/>
      <c r="K21" s="231"/>
      <c r="L21" s="232"/>
      <c r="M21" s="243"/>
      <c r="N21" s="243"/>
      <c r="O21" s="243"/>
      <c r="P21" s="243"/>
      <c r="Q21" s="218"/>
      <c r="R21" s="219"/>
    </row>
    <row r="22" spans="2:18" s="132" customFormat="1" ht="15" customHeight="1">
      <c r="B22" s="176" t="s">
        <v>74</v>
      </c>
      <c r="C22" s="446"/>
      <c r="D22" s="446"/>
      <c r="E22" s="446"/>
      <c r="F22" s="10"/>
      <c r="G22" s="10"/>
      <c r="H22" s="244" t="s">
        <v>75</v>
      </c>
      <c r="I22" s="245" t="s">
        <v>76</v>
      </c>
      <c r="J22" s="238"/>
      <c r="K22" s="238"/>
      <c r="L22" s="246"/>
      <c r="M22" s="243"/>
      <c r="N22" s="243"/>
      <c r="O22" s="243"/>
      <c r="P22" s="243"/>
      <c r="Q22" s="218"/>
      <c r="R22" s="219"/>
    </row>
    <row r="23" spans="2:18" s="132" customFormat="1" ht="31.5" customHeight="1">
      <c r="B23" s="498" t="s">
        <v>77</v>
      </c>
      <c r="C23" s="498"/>
      <c r="D23" s="498"/>
      <c r="E23" s="498"/>
      <c r="F23" s="10"/>
      <c r="G23" s="10"/>
      <c r="H23" s="247"/>
      <c r="I23" s="169"/>
      <c r="J23" s="223"/>
      <c r="K23" s="223"/>
      <c r="L23" s="223"/>
      <c r="M23" s="243"/>
      <c r="N23" s="243"/>
      <c r="O23" s="243"/>
      <c r="P23" s="243"/>
      <c r="Q23" s="218"/>
      <c r="R23" s="219"/>
    </row>
    <row r="24" spans="2:18" ht="12.75" customHeight="1">
      <c r="B24" s="164"/>
      <c r="C24" s="164"/>
      <c r="D24" s="164"/>
      <c r="E24" s="164"/>
      <c r="F24" s="164"/>
      <c r="G24" s="164"/>
      <c r="H24" s="164"/>
      <c r="I24" s="164"/>
      <c r="J24" s="164"/>
      <c r="K24" s="164"/>
      <c r="L24" s="164"/>
      <c r="M24" s="164"/>
      <c r="N24" s="164"/>
      <c r="O24" s="164"/>
      <c r="P24" s="164"/>
      <c r="Q24" s="164"/>
      <c r="R24" s="219"/>
    </row>
    <row r="25" spans="2:18" s="137" customFormat="1" ht="15" customHeight="1">
      <c r="B25" s="248" t="s">
        <v>78</v>
      </c>
      <c r="C25" s="152"/>
      <c r="D25" s="152"/>
      <c r="E25" s="152"/>
      <c r="F25" s="152"/>
      <c r="G25" s="164"/>
      <c r="H25" s="164"/>
      <c r="I25" s="164"/>
      <c r="J25" s="164"/>
      <c r="K25" s="164"/>
      <c r="L25" s="164"/>
      <c r="M25" s="164"/>
      <c r="N25" s="164"/>
      <c r="O25" s="164"/>
      <c r="P25" s="164"/>
      <c r="Q25" s="218"/>
      <c r="R25" s="219"/>
    </row>
    <row r="26" spans="2:18" s="132" customFormat="1" ht="15" customHeight="1">
      <c r="B26" s="473"/>
      <c r="C26" s="474"/>
      <c r="D26" s="474"/>
      <c r="E26" s="474"/>
      <c r="F26" s="475"/>
      <c r="G26" s="164"/>
      <c r="H26" s="164"/>
      <c r="I26" s="164"/>
      <c r="J26" s="164"/>
      <c r="K26" s="164"/>
      <c r="L26" s="164"/>
      <c r="M26" s="164"/>
      <c r="N26" s="164"/>
      <c r="O26" s="164"/>
      <c r="P26" s="164"/>
      <c r="Q26" s="218"/>
      <c r="R26" s="219"/>
    </row>
    <row r="27" spans="2:18" s="132" customFormat="1" ht="12.95" customHeight="1">
      <c r="B27" s="476"/>
      <c r="C27" s="477"/>
      <c r="D27" s="477"/>
      <c r="E27" s="477"/>
      <c r="F27" s="478"/>
      <c r="G27" s="164"/>
      <c r="H27" s="164"/>
      <c r="I27" s="164"/>
      <c r="J27" s="164"/>
      <c r="K27" s="164"/>
      <c r="L27" s="164"/>
      <c r="M27" s="164"/>
      <c r="N27" s="164"/>
      <c r="O27" s="164"/>
      <c r="P27" s="164"/>
      <c r="Q27" s="218"/>
      <c r="R27" s="219"/>
    </row>
    <row r="28" spans="2:18" s="132" customFormat="1" ht="12.95" customHeight="1">
      <c r="B28" s="479"/>
      <c r="C28" s="480"/>
      <c r="D28" s="480"/>
      <c r="E28" s="480"/>
      <c r="F28" s="481"/>
      <c r="G28" s="164"/>
      <c r="H28" s="164"/>
      <c r="I28" s="164"/>
      <c r="J28" s="164"/>
      <c r="K28" s="164"/>
      <c r="L28" s="164"/>
      <c r="M28" s="164"/>
      <c r="N28" s="164"/>
      <c r="O28" s="164"/>
      <c r="P28" s="164"/>
      <c r="Q28" s="218"/>
      <c r="R28" s="219"/>
    </row>
    <row r="29" spans="2:18" s="132" customFormat="1" ht="15" customHeight="1">
      <c r="B29" s="12"/>
      <c r="C29" s="249"/>
      <c r="D29" s="249"/>
      <c r="E29" s="249"/>
      <c r="F29" s="249"/>
      <c r="G29" s="164"/>
      <c r="H29" s="164"/>
      <c r="I29" s="164"/>
      <c r="J29" s="164"/>
      <c r="K29" s="164"/>
      <c r="L29" s="164"/>
      <c r="M29" s="164"/>
      <c r="N29" s="164"/>
      <c r="O29" s="164"/>
      <c r="P29" s="164"/>
      <c r="Q29" s="218"/>
      <c r="R29" s="219"/>
    </row>
    <row r="30" spans="2:18" s="132" customFormat="1" ht="15" customHeight="1">
      <c r="B30" s="250" t="s">
        <v>79</v>
      </c>
      <c r="C30" s="251"/>
      <c r="D30" s="252"/>
      <c r="E30" s="253"/>
      <c r="F30" s="253"/>
      <c r="G30" s="253"/>
      <c r="H30" s="253"/>
      <c r="I30" s="253"/>
      <c r="J30" s="253"/>
      <c r="K30" s="253"/>
      <c r="L30" s="10"/>
      <c r="M30" s="10"/>
      <c r="N30" s="254"/>
      <c r="O30" s="10"/>
      <c r="P30" s="10"/>
      <c r="Q30" s="218"/>
      <c r="R30" s="219"/>
    </row>
    <row r="31" spans="2:18" s="132" customFormat="1" ht="15" customHeight="1">
      <c r="B31" s="255" t="str">
        <f>"波动幅度 ("&amp;C8&amp; "):"</f>
        <v>波动幅度 ():</v>
      </c>
      <c r="C31" s="256">
        <f>$E$15</f>
        <v>0</v>
      </c>
      <c r="D31" s="257"/>
      <c r="E31" s="10"/>
      <c r="F31" s="10"/>
      <c r="G31" s="10"/>
      <c r="H31" s="10"/>
      <c r="I31" s="10"/>
      <c r="J31" s="10"/>
      <c r="K31" s="10"/>
      <c r="L31" s="10"/>
      <c r="M31" s="10"/>
      <c r="N31" s="254"/>
      <c r="O31" s="10"/>
      <c r="P31" s="10"/>
      <c r="Q31" s="218"/>
      <c r="R31" s="219"/>
    </row>
    <row r="32" spans="2:18" s="139" customFormat="1" ht="15" customHeight="1">
      <c r="B32" s="255" t="s">
        <v>80</v>
      </c>
      <c r="C32" s="258">
        <v>0.1</v>
      </c>
      <c r="D32" s="259"/>
      <c r="E32" s="260"/>
      <c r="F32" s="260"/>
      <c r="G32" s="260"/>
      <c r="H32" s="260"/>
      <c r="I32" s="260"/>
      <c r="J32" s="260"/>
      <c r="K32" s="260"/>
      <c r="L32" s="260"/>
      <c r="M32" s="10"/>
      <c r="N32" s="261"/>
      <c r="O32" s="260"/>
      <c r="P32" s="260"/>
      <c r="Q32" s="218"/>
      <c r="R32" s="219"/>
    </row>
    <row r="33" spans="2:22" s="139" customFormat="1" ht="15" customHeight="1">
      <c r="B33" s="262"/>
      <c r="C33" s="263"/>
      <c r="D33" s="259"/>
      <c r="E33" s="260"/>
      <c r="F33" s="260"/>
      <c r="G33" s="260"/>
      <c r="H33" s="260"/>
      <c r="I33" s="260"/>
      <c r="J33" s="260"/>
      <c r="K33" s="260"/>
      <c r="L33" s="260"/>
      <c r="M33" s="260"/>
      <c r="N33" s="10"/>
      <c r="O33" s="261"/>
      <c r="P33" s="260"/>
      <c r="Q33" s="260"/>
      <c r="R33" s="219"/>
      <c r="S33" s="260"/>
      <c r="T33" s="260"/>
      <c r="U33" s="260"/>
      <c r="V33" s="260"/>
    </row>
    <row r="34" spans="2:22" s="139" customFormat="1" ht="15" customHeight="1">
      <c r="B34" s="260"/>
      <c r="C34" s="223"/>
      <c r="D34" s="223"/>
      <c r="E34" s="223"/>
      <c r="F34" s="260"/>
      <c r="G34" s="50"/>
      <c r="H34" s="50"/>
      <c r="I34" s="50"/>
      <c r="J34" s="50"/>
      <c r="K34" s="260"/>
      <c r="L34" s="223"/>
      <c r="M34" s="223"/>
      <c r="N34" s="223"/>
      <c r="O34" s="223"/>
      <c r="P34" s="223"/>
      <c r="Q34" s="261"/>
      <c r="R34" s="219"/>
      <c r="S34" s="260"/>
      <c r="T34" s="260"/>
      <c r="U34" s="260"/>
      <c r="V34" s="218"/>
    </row>
    <row r="35" spans="2:22" s="139" customFormat="1" ht="15" customHeight="1">
      <c r="B35" s="260"/>
      <c r="C35" s="223"/>
      <c r="D35" s="223"/>
      <c r="E35" s="223"/>
      <c r="F35" s="50" t="s">
        <v>81</v>
      </c>
      <c r="G35" s="153"/>
      <c r="H35" s="153"/>
      <c r="I35" s="153"/>
      <c r="J35" s="153"/>
      <c r="K35" s="153" t="s">
        <v>82</v>
      </c>
      <c r="L35" s="153"/>
      <c r="M35" s="153"/>
      <c r="N35" s="223"/>
      <c r="O35" s="223"/>
      <c r="P35" s="223"/>
      <c r="Q35" s="261"/>
      <c r="R35" s="219"/>
      <c r="S35" s="260"/>
      <c r="T35" s="260"/>
      <c r="U35" s="260"/>
      <c r="V35" s="218"/>
    </row>
    <row r="36" spans="2:22" s="139" customFormat="1" ht="15" customHeight="1">
      <c r="B36" s="264" t="s">
        <v>83</v>
      </c>
      <c r="C36" s="223"/>
      <c r="D36" s="223"/>
      <c r="E36" s="223"/>
      <c r="F36" s="184" t="str">
        <f>"货币/单位: "&amp;C8</f>
        <v xml:space="preserve">货币/单位: </v>
      </c>
      <c r="G36" s="185"/>
      <c r="H36" s="185"/>
      <c r="I36" s="185"/>
      <c r="J36" s="185"/>
      <c r="K36" s="186"/>
      <c r="L36" s="153"/>
      <c r="M36" s="153"/>
      <c r="N36" s="223"/>
      <c r="O36" s="223"/>
      <c r="P36" s="223"/>
      <c r="Q36" s="261"/>
      <c r="R36" s="219"/>
      <c r="S36" s="260"/>
      <c r="T36" s="260"/>
      <c r="U36" s="260"/>
      <c r="V36" s="218"/>
    </row>
    <row r="37" spans="2:22" s="139" customFormat="1" ht="15" customHeight="1">
      <c r="B37" s="512" t="s">
        <v>84</v>
      </c>
      <c r="C37" s="514" t="s">
        <v>85</v>
      </c>
      <c r="D37" s="514" t="s">
        <v>86</v>
      </c>
      <c r="E37" s="514" t="s">
        <v>87</v>
      </c>
      <c r="F37" s="501">
        <f>C3</f>
        <v>46022</v>
      </c>
      <c r="G37" s="502"/>
      <c r="H37" s="502"/>
      <c r="I37" s="502"/>
      <c r="J37" s="502"/>
      <c r="K37" s="181">
        <f>DATE(YEAR($C$3)-1,12,31)</f>
        <v>45657</v>
      </c>
      <c r="L37" s="499" t="s">
        <v>88</v>
      </c>
      <c r="M37" s="500"/>
      <c r="N37" s="466" t="s">
        <v>89</v>
      </c>
      <c r="O37" s="497" t="s">
        <v>90</v>
      </c>
      <c r="P37" s="497" t="s">
        <v>91</v>
      </c>
      <c r="Q37" s="261"/>
      <c r="R37" s="219"/>
      <c r="S37" s="260"/>
      <c r="T37" s="260"/>
      <c r="U37" s="260"/>
      <c r="V37" s="218"/>
    </row>
    <row r="38" spans="2:22" s="140" customFormat="1" ht="23.45" customHeight="1">
      <c r="B38" s="513"/>
      <c r="C38" s="515"/>
      <c r="D38" s="515"/>
      <c r="E38" s="515"/>
      <c r="F38" s="182" t="s">
        <v>92</v>
      </c>
      <c r="G38" s="447" t="s">
        <v>93</v>
      </c>
      <c r="H38" s="447" t="s">
        <v>94</v>
      </c>
      <c r="I38" s="447" t="s">
        <v>95</v>
      </c>
      <c r="J38" s="447" t="s">
        <v>96</v>
      </c>
      <c r="K38" s="183" t="s">
        <v>97</v>
      </c>
      <c r="L38" s="447" t="s">
        <v>98</v>
      </c>
      <c r="M38" s="447" t="s">
        <v>99</v>
      </c>
      <c r="N38" s="466"/>
      <c r="O38" s="497"/>
      <c r="P38" s="497"/>
      <c r="Q38" s="265"/>
      <c r="R38" s="219"/>
      <c r="S38" s="266"/>
      <c r="T38" s="266"/>
      <c r="U38" s="266"/>
      <c r="V38" s="267"/>
    </row>
    <row r="39" spans="2:22" s="139" customFormat="1" ht="15" customHeight="1">
      <c r="B39" s="268"/>
      <c r="C39" s="268"/>
      <c r="D39" s="268"/>
      <c r="E39" s="269" t="s">
        <v>100</v>
      </c>
      <c r="F39" s="410"/>
      <c r="G39" s="411"/>
      <c r="H39" s="412">
        <f>F39+G39</f>
        <v>0</v>
      </c>
      <c r="I39" s="411"/>
      <c r="J39" s="412">
        <f>H39+I39</f>
        <v>0</v>
      </c>
      <c r="K39" s="410"/>
      <c r="L39" s="413">
        <f>J39-K39</f>
        <v>0</v>
      </c>
      <c r="M39" s="270">
        <f>IFERROR(L39/K39,1)</f>
        <v>1</v>
      </c>
      <c r="N39" s="271" t="s">
        <v>101</v>
      </c>
      <c r="O39" s="272" t="str">
        <f>IF(AND(ABS(L39)&gt;=$C$31,ABS(M39)&gt;=$C$32),"是","否")</f>
        <v>是</v>
      </c>
      <c r="P39" s="268"/>
      <c r="Q39" s="261"/>
      <c r="R39" s="219"/>
      <c r="S39" s="260"/>
      <c r="T39" s="260"/>
      <c r="U39" s="260"/>
      <c r="V39" s="218"/>
    </row>
    <row r="40" spans="2:22" s="139" customFormat="1" ht="15" customHeight="1">
      <c r="B40" s="268"/>
      <c r="C40" s="268"/>
      <c r="D40" s="268"/>
      <c r="E40" s="269"/>
      <c r="F40" s="410"/>
      <c r="G40" s="411"/>
      <c r="H40" s="412">
        <f>F40+G40</f>
        <v>0</v>
      </c>
      <c r="I40" s="411"/>
      <c r="J40" s="412">
        <f>H40+I40</f>
        <v>0</v>
      </c>
      <c r="K40" s="410"/>
      <c r="L40" s="413">
        <f>J40-K40</f>
        <v>0</v>
      </c>
      <c r="M40" s="270">
        <f>IFERROR(L40/K40,1)</f>
        <v>1</v>
      </c>
      <c r="N40" s="271"/>
      <c r="O40" s="272" t="str">
        <f t="shared" ref="O40:O42" si="0">IF(AND(ABS(L40)&gt;=$C$31,ABS(M40)&gt;=$C$32),"是","否")</f>
        <v>是</v>
      </c>
      <c r="P40" s="268"/>
      <c r="Q40" s="261"/>
      <c r="R40" s="219"/>
      <c r="S40" s="260"/>
      <c r="T40" s="260"/>
      <c r="U40" s="260"/>
      <c r="V40" s="218"/>
    </row>
    <row r="41" spans="2:22" s="139" customFormat="1" ht="15" customHeight="1">
      <c r="B41" s="268"/>
      <c r="C41" s="268"/>
      <c r="D41" s="268"/>
      <c r="E41" s="269"/>
      <c r="F41" s="410"/>
      <c r="G41" s="411"/>
      <c r="H41" s="412">
        <f>F41+G41</f>
        <v>0</v>
      </c>
      <c r="I41" s="411"/>
      <c r="J41" s="412">
        <f>H41+I41</f>
        <v>0</v>
      </c>
      <c r="K41" s="410"/>
      <c r="L41" s="413">
        <f>J41-K41</f>
        <v>0</v>
      </c>
      <c r="M41" s="270">
        <f>IFERROR(L41/K41,1)</f>
        <v>1</v>
      </c>
      <c r="N41" s="271"/>
      <c r="O41" s="272" t="str">
        <f t="shared" si="0"/>
        <v>是</v>
      </c>
      <c r="P41" s="268"/>
      <c r="Q41" s="261"/>
      <c r="R41" s="219"/>
      <c r="S41" s="260"/>
      <c r="T41" s="260"/>
      <c r="U41" s="260"/>
      <c r="V41" s="218"/>
    </row>
    <row r="42" spans="2:22" s="139" customFormat="1" ht="15" customHeight="1">
      <c r="B42" s="268"/>
      <c r="C42" s="268"/>
      <c r="D42" s="268"/>
      <c r="E42" s="269"/>
      <c r="F42" s="410"/>
      <c r="G42" s="411"/>
      <c r="H42" s="412">
        <f>F42+G42</f>
        <v>0</v>
      </c>
      <c r="I42" s="411"/>
      <c r="J42" s="412">
        <f>H42+I42</f>
        <v>0</v>
      </c>
      <c r="K42" s="410"/>
      <c r="L42" s="413">
        <f>J42-K42</f>
        <v>0</v>
      </c>
      <c r="M42" s="270">
        <f>IFERROR(L42/K42,1)</f>
        <v>1</v>
      </c>
      <c r="N42" s="271"/>
      <c r="O42" s="272" t="str">
        <f t="shared" si="0"/>
        <v>是</v>
      </c>
      <c r="P42" s="268"/>
      <c r="Q42" s="261"/>
      <c r="R42" s="219"/>
      <c r="S42" s="260"/>
      <c r="T42" s="260"/>
      <c r="U42" s="260"/>
      <c r="V42" s="218"/>
    </row>
    <row r="43" spans="2:22" s="139" customFormat="1" ht="15" customHeight="1">
      <c r="B43" s="268"/>
      <c r="C43" s="268"/>
      <c r="D43" s="268"/>
      <c r="E43" s="269"/>
      <c r="F43" s="410"/>
      <c r="G43" s="411"/>
      <c r="H43" s="412">
        <f>F43+G43</f>
        <v>0</v>
      </c>
      <c r="I43" s="411"/>
      <c r="J43" s="412">
        <f>H43+I43</f>
        <v>0</v>
      </c>
      <c r="K43" s="410"/>
      <c r="L43" s="413">
        <f>J43-K43</f>
        <v>0</v>
      </c>
      <c r="M43" s="270">
        <f>IFERROR(L43/K43,1)</f>
        <v>1</v>
      </c>
      <c r="N43" s="271"/>
      <c r="O43" s="272" t="str">
        <f>IF(AND(ABS(L43)&gt;=$C$31,ABS(M43)&gt;=$C$32),"是","否")</f>
        <v>是</v>
      </c>
      <c r="P43" s="268"/>
      <c r="Q43" s="261"/>
      <c r="R43" s="219"/>
      <c r="S43" s="260"/>
      <c r="T43" s="260"/>
      <c r="U43" s="260"/>
      <c r="V43" s="218"/>
    </row>
    <row r="44" spans="2:22" s="139" customFormat="1" ht="15" customHeight="1">
      <c r="B44" s="260"/>
      <c r="C44" s="273"/>
      <c r="D44" s="274"/>
      <c r="E44" s="274"/>
      <c r="F44" s="275"/>
      <c r="G44" s="275"/>
      <c r="H44" s="275"/>
      <c r="I44" s="275"/>
      <c r="J44" s="275"/>
      <c r="K44" s="275"/>
      <c r="L44" s="276"/>
      <c r="M44" s="277"/>
      <c r="N44" s="278"/>
      <c r="O44" s="279"/>
      <c r="P44" s="141"/>
      <c r="Q44" s="261"/>
      <c r="R44" s="219"/>
      <c r="S44" s="260"/>
      <c r="T44" s="260"/>
      <c r="U44" s="260"/>
      <c r="V44" s="218"/>
    </row>
    <row r="45" spans="2:22" s="139" customFormat="1" ht="15" customHeight="1">
      <c r="B45" s="260"/>
      <c r="C45" s="154"/>
      <c r="D45" s="280" t="s">
        <v>102</v>
      </c>
      <c r="E45" s="281"/>
      <c r="F45" s="414">
        <f t="shared" ref="F45:K45" si="1">SUM(F39:F43)</f>
        <v>0</v>
      </c>
      <c r="G45" s="414">
        <f t="shared" si="1"/>
        <v>0</v>
      </c>
      <c r="H45" s="414">
        <f t="shared" si="1"/>
        <v>0</v>
      </c>
      <c r="I45" s="414">
        <f t="shared" si="1"/>
        <v>0</v>
      </c>
      <c r="J45" s="414">
        <f t="shared" si="1"/>
        <v>0</v>
      </c>
      <c r="K45" s="414">
        <f t="shared" si="1"/>
        <v>0</v>
      </c>
      <c r="L45" s="414">
        <f>J45-K45</f>
        <v>0</v>
      </c>
      <c r="M45" s="282">
        <f>IFERROR(L45/K45,1)</f>
        <v>1</v>
      </c>
      <c r="N45" s="278"/>
      <c r="O45" s="272" t="str">
        <f>IF(AND(ABS(L45)&gt;=$C$31,ABS(M45)&gt;=$C$32),"是","否")</f>
        <v>是</v>
      </c>
      <c r="P45" s="268"/>
      <c r="Q45" s="261"/>
      <c r="R45" s="219"/>
      <c r="S45" s="260"/>
      <c r="T45" s="260"/>
      <c r="U45" s="260"/>
      <c r="V45" s="218"/>
    </row>
    <row r="46" spans="2:22" s="139" customFormat="1" ht="15" customHeight="1">
      <c r="B46" s="260"/>
      <c r="C46" s="262"/>
      <c r="D46" s="263"/>
      <c r="E46" s="259"/>
      <c r="F46" s="13" t="s">
        <v>103</v>
      </c>
      <c r="G46" s="13" t="s">
        <v>103</v>
      </c>
      <c r="H46" s="13" t="s">
        <v>103</v>
      </c>
      <c r="I46" s="13" t="s">
        <v>103</v>
      </c>
      <c r="J46" s="13" t="s">
        <v>103</v>
      </c>
      <c r="K46" s="13" t="s">
        <v>103</v>
      </c>
      <c r="L46" s="10"/>
      <c r="M46" s="260"/>
      <c r="N46" s="278"/>
      <c r="O46" s="279"/>
      <c r="P46" s="247"/>
      <c r="Q46" s="261"/>
      <c r="R46" s="219"/>
      <c r="S46" s="260"/>
      <c r="T46" s="260"/>
      <c r="U46" s="260"/>
      <c r="V46" s="218"/>
    </row>
    <row r="47" spans="2:22" s="139" customFormat="1" ht="15" customHeight="1">
      <c r="B47" s="262"/>
      <c r="C47" s="263"/>
      <c r="D47" s="259"/>
      <c r="E47" s="260"/>
      <c r="F47" s="260"/>
      <c r="G47" s="283" t="s">
        <v>57</v>
      </c>
      <c r="H47" s="284"/>
      <c r="I47" s="260"/>
      <c r="J47" s="284"/>
      <c r="K47" s="284"/>
      <c r="L47" s="10"/>
      <c r="M47" s="261"/>
      <c r="N47" s="278"/>
      <c r="O47" s="279"/>
      <c r="P47" s="247"/>
      <c r="Q47" s="261"/>
      <c r="R47" s="219"/>
      <c r="S47" s="260"/>
      <c r="T47" s="260"/>
      <c r="U47" s="260"/>
      <c r="V47" s="260"/>
    </row>
    <row r="48" spans="2:22" s="139" customFormat="1" ht="15" customHeight="1">
      <c r="B48" s="262"/>
      <c r="C48" s="263"/>
      <c r="D48" s="259"/>
      <c r="E48" s="260"/>
      <c r="F48" s="260"/>
      <c r="G48" s="283" t="s">
        <v>104</v>
      </c>
      <c r="H48" s="285">
        <f>H45-H47</f>
        <v>0</v>
      </c>
      <c r="I48" s="260"/>
      <c r="J48" s="285">
        <f>J45-J47</f>
        <v>0</v>
      </c>
      <c r="K48" s="285">
        <f>K45-K47</f>
        <v>0</v>
      </c>
      <c r="L48" s="10"/>
      <c r="M48" s="261"/>
      <c r="N48" s="260"/>
      <c r="O48" s="260"/>
      <c r="P48" s="247"/>
      <c r="Q48" s="261"/>
      <c r="R48" s="219"/>
      <c r="S48" s="260"/>
      <c r="T48" s="260"/>
      <c r="U48" s="260"/>
      <c r="V48" s="260"/>
    </row>
    <row r="49" spans="1:38" s="142" customFormat="1">
      <c r="A49" s="164"/>
      <c r="B49" s="10"/>
      <c r="C49" s="264"/>
      <c r="D49" s="286"/>
      <c r="E49" s="286" t="s">
        <v>105</v>
      </c>
      <c r="F49" s="13" t="str">
        <f>IF(ABS(F45-'N.01 明细账与总账核对'!E18)&gt;'N.00 Lead sheet'!$C$5,"是","否")</f>
        <v>否</v>
      </c>
      <c r="G49" s="247" t="s">
        <v>106</v>
      </c>
      <c r="H49" s="247"/>
      <c r="I49" s="247"/>
      <c r="J49" s="287"/>
      <c r="K49" s="288"/>
      <c r="L49" s="247"/>
      <c r="M49" s="261"/>
      <c r="N49" s="260"/>
      <c r="O49" s="260"/>
      <c r="P49" s="247"/>
      <c r="Q49" s="261"/>
      <c r="R49" s="219"/>
      <c r="S49" s="260"/>
      <c r="T49" s="287"/>
      <c r="U49" s="287"/>
      <c r="V49" s="287"/>
      <c r="W49" s="287"/>
      <c r="X49" s="287"/>
      <c r="Y49" s="287"/>
      <c r="Z49" s="287"/>
      <c r="AA49" s="287"/>
      <c r="AB49" s="287"/>
      <c r="AC49" s="287"/>
      <c r="AD49" s="287"/>
      <c r="AE49" s="287"/>
      <c r="AF49" s="287"/>
      <c r="AG49" s="288"/>
      <c r="AH49" s="289"/>
      <c r="AI49" s="287"/>
      <c r="AJ49" s="287"/>
      <c r="AK49" s="287"/>
      <c r="AL49" s="287"/>
    </row>
    <row r="50" spans="1:38" s="142" customFormat="1">
      <c r="A50" s="164"/>
      <c r="B50" s="247"/>
      <c r="C50" s="247"/>
      <c r="D50" s="247"/>
      <c r="E50" s="290"/>
      <c r="F50" s="10"/>
      <c r="G50" s="264"/>
      <c r="H50" s="286"/>
      <c r="I50" s="286"/>
      <c r="J50" s="13"/>
      <c r="K50" s="247"/>
      <c r="L50" s="247"/>
      <c r="M50" s="247"/>
      <c r="N50" s="260"/>
      <c r="O50" s="260"/>
      <c r="P50" s="247"/>
      <c r="Q50" s="261"/>
      <c r="R50" s="219"/>
      <c r="S50" s="260"/>
      <c r="T50" s="289"/>
      <c r="U50" s="287"/>
      <c r="V50" s="287"/>
      <c r="W50" s="287"/>
      <c r="X50" s="287"/>
      <c r="Y50" s="287"/>
      <c r="Z50" s="287"/>
      <c r="AA50" s="287"/>
      <c r="AB50" s="287"/>
      <c r="AC50" s="287"/>
      <c r="AD50" s="287"/>
      <c r="AE50" s="287"/>
      <c r="AF50" s="287"/>
      <c r="AG50" s="287"/>
      <c r="AH50" s="287"/>
      <c r="AI50" s="287"/>
      <c r="AJ50" s="287"/>
      <c r="AK50" s="288"/>
      <c r="AL50" s="289"/>
    </row>
    <row r="51" spans="1:38" s="143" customFormat="1" ht="15" customHeight="1">
      <c r="A51" s="29"/>
      <c r="B51" s="291" t="s">
        <v>107</v>
      </c>
      <c r="C51" s="29"/>
      <c r="D51" s="29"/>
      <c r="E51" s="29"/>
      <c r="F51" s="29"/>
      <c r="G51" s="290"/>
      <c r="H51" s="29"/>
      <c r="I51" s="26"/>
      <c r="J51" s="29"/>
      <c r="K51" s="29"/>
      <c r="L51" s="29"/>
      <c r="M51" s="29"/>
      <c r="N51" s="260"/>
      <c r="O51" s="260"/>
      <c r="P51" s="247"/>
      <c r="Q51" s="261"/>
      <c r="R51" s="219"/>
      <c r="S51" s="260"/>
      <c r="T51" s="29"/>
      <c r="U51" s="29"/>
      <c r="V51" s="29"/>
      <c r="W51" s="29"/>
      <c r="X51" s="29"/>
      <c r="Y51" s="29"/>
      <c r="Z51" s="29"/>
      <c r="AA51" s="29"/>
      <c r="AB51" s="29"/>
      <c r="AC51" s="29"/>
      <c r="AD51" s="29"/>
      <c r="AE51" s="29"/>
      <c r="AF51" s="29"/>
      <c r="AG51" s="29"/>
      <c r="AH51" s="29"/>
      <c r="AI51" s="29"/>
      <c r="AJ51" s="29"/>
      <c r="AK51" s="29"/>
      <c r="AL51" s="29"/>
    </row>
    <row r="52" spans="1:38" s="143" customFormat="1" ht="15" customHeight="1">
      <c r="A52" s="29"/>
      <c r="B52" s="503" t="s">
        <v>101</v>
      </c>
      <c r="C52" s="504"/>
      <c r="D52" s="504"/>
      <c r="E52" s="504"/>
      <c r="F52" s="505"/>
      <c r="G52" s="290"/>
      <c r="H52" s="29"/>
      <c r="I52" s="26"/>
      <c r="J52" s="29"/>
      <c r="K52" s="29"/>
      <c r="L52" s="29"/>
      <c r="M52" s="29"/>
      <c r="N52" s="260"/>
      <c r="O52" s="260"/>
      <c r="P52" s="247"/>
      <c r="Q52" s="261"/>
      <c r="R52" s="219"/>
      <c r="S52" s="260"/>
      <c r="T52" s="29"/>
      <c r="U52" s="29"/>
      <c r="V52" s="29"/>
      <c r="W52" s="29"/>
      <c r="X52" s="29"/>
      <c r="Y52" s="29"/>
      <c r="Z52" s="29"/>
      <c r="AA52" s="29"/>
      <c r="AB52" s="29"/>
      <c r="AC52" s="29"/>
      <c r="AD52" s="29"/>
      <c r="AE52" s="29"/>
      <c r="AF52" s="29"/>
      <c r="AG52" s="29"/>
      <c r="AH52" s="29"/>
      <c r="AI52" s="29"/>
      <c r="AJ52" s="29"/>
      <c r="AK52" s="29"/>
      <c r="AL52" s="29"/>
    </row>
    <row r="53" spans="1:38" s="143" customFormat="1" ht="15" customHeight="1">
      <c r="A53" s="29"/>
      <c r="B53" s="506"/>
      <c r="C53" s="507"/>
      <c r="D53" s="507"/>
      <c r="E53" s="507"/>
      <c r="F53" s="508"/>
      <c r="G53" s="290"/>
      <c r="H53" s="29"/>
      <c r="I53" s="26"/>
      <c r="J53" s="29"/>
      <c r="K53" s="29"/>
      <c r="L53" s="29"/>
      <c r="M53" s="29"/>
      <c r="N53" s="260"/>
      <c r="O53" s="260"/>
      <c r="P53" s="247"/>
      <c r="Q53" s="261"/>
      <c r="R53" s="219"/>
      <c r="S53" s="260"/>
      <c r="T53" s="29"/>
      <c r="U53" s="29"/>
      <c r="V53" s="29"/>
      <c r="W53" s="29"/>
      <c r="X53" s="29"/>
      <c r="Y53" s="29"/>
      <c r="Z53" s="29"/>
      <c r="AA53" s="29"/>
      <c r="AB53" s="29"/>
      <c r="AC53" s="29"/>
      <c r="AD53" s="29"/>
      <c r="AE53" s="29"/>
      <c r="AF53" s="29"/>
      <c r="AG53" s="29"/>
      <c r="AH53" s="29"/>
      <c r="AI53" s="29"/>
      <c r="AJ53" s="29"/>
      <c r="AK53" s="29"/>
      <c r="AL53" s="29"/>
    </row>
    <row r="54" spans="1:38" s="143" customFormat="1" ht="15" customHeight="1">
      <c r="A54" s="29"/>
      <c r="B54" s="506"/>
      <c r="C54" s="507"/>
      <c r="D54" s="507"/>
      <c r="E54" s="507"/>
      <c r="F54" s="508"/>
      <c r="G54" s="290"/>
      <c r="H54" s="29"/>
      <c r="I54" s="26"/>
      <c r="J54" s="29"/>
      <c r="K54" s="29"/>
      <c r="L54" s="29"/>
      <c r="M54" s="29"/>
      <c r="N54" s="260"/>
      <c r="O54" s="260"/>
      <c r="P54" s="247"/>
      <c r="Q54" s="261"/>
      <c r="R54" s="219"/>
      <c r="S54" s="260"/>
      <c r="T54" s="29"/>
      <c r="U54" s="29"/>
      <c r="V54" s="29"/>
      <c r="W54" s="29"/>
      <c r="X54" s="29"/>
      <c r="Y54" s="29"/>
      <c r="Z54" s="29"/>
      <c r="AA54" s="29"/>
      <c r="AB54" s="29"/>
      <c r="AC54" s="29"/>
      <c r="AD54" s="29"/>
      <c r="AE54" s="29"/>
      <c r="AF54" s="29"/>
      <c r="AG54" s="29"/>
      <c r="AH54" s="29"/>
      <c r="AI54" s="29"/>
      <c r="AJ54" s="29"/>
      <c r="AK54" s="29"/>
      <c r="AL54" s="29"/>
    </row>
    <row r="55" spans="1:38" s="143" customFormat="1" ht="15" customHeight="1">
      <c r="A55" s="29"/>
      <c r="B55" s="509"/>
      <c r="C55" s="510"/>
      <c r="D55" s="510"/>
      <c r="E55" s="510"/>
      <c r="F55" s="511"/>
      <c r="G55" s="290"/>
      <c r="H55" s="29"/>
      <c r="I55" s="26"/>
      <c r="J55" s="29"/>
      <c r="K55" s="29"/>
      <c r="L55" s="29"/>
      <c r="M55" s="29"/>
      <c r="N55" s="29"/>
      <c r="O55" s="29"/>
      <c r="P55" s="247"/>
      <c r="Q55" s="261"/>
      <c r="R55" s="219"/>
      <c r="S55" s="260"/>
      <c r="T55" s="29"/>
      <c r="U55" s="29"/>
      <c r="V55" s="29"/>
      <c r="W55" s="29"/>
      <c r="X55" s="29"/>
      <c r="Y55" s="29"/>
      <c r="Z55" s="29"/>
      <c r="AA55" s="29"/>
      <c r="AB55" s="29"/>
      <c r="AC55" s="29"/>
      <c r="AD55" s="29"/>
      <c r="AE55" s="29"/>
      <c r="AF55" s="29"/>
      <c r="AG55" s="29"/>
      <c r="AH55" s="29"/>
      <c r="AI55" s="29"/>
      <c r="AJ55" s="29"/>
      <c r="AK55" s="29"/>
      <c r="AL55" s="29"/>
    </row>
    <row r="56" spans="1:38" s="143" customFormat="1" ht="15" customHeight="1">
      <c r="A56" s="29"/>
      <c r="B56" s="39"/>
      <c r="C56" s="39"/>
      <c r="D56" s="39"/>
      <c r="E56" s="39"/>
      <c r="F56" s="39"/>
      <c r="G56" s="290"/>
      <c r="H56" s="29"/>
      <c r="I56" s="26"/>
      <c r="J56" s="29"/>
      <c r="K56" s="29"/>
      <c r="L56" s="29"/>
      <c r="M56" s="29"/>
      <c r="N56" s="29"/>
      <c r="O56" s="29"/>
      <c r="P56" s="247"/>
      <c r="Q56" s="261"/>
      <c r="R56" s="219"/>
      <c r="S56" s="260"/>
      <c r="T56" s="29"/>
      <c r="U56" s="29"/>
      <c r="V56" s="29"/>
      <c r="W56" s="29"/>
      <c r="X56" s="29"/>
      <c r="Y56" s="29"/>
      <c r="Z56" s="29"/>
      <c r="AA56" s="29"/>
      <c r="AB56" s="29"/>
      <c r="AC56" s="29"/>
      <c r="AD56" s="29"/>
      <c r="AE56" s="29"/>
      <c r="AF56" s="29"/>
      <c r="AG56" s="29"/>
      <c r="AH56" s="29"/>
      <c r="AI56" s="29"/>
      <c r="AJ56" s="29"/>
      <c r="AK56" s="29"/>
      <c r="AL56" s="29"/>
    </row>
    <row r="57" spans="1:38" s="142" customFormat="1">
      <c r="A57" s="164"/>
      <c r="B57" s="247"/>
      <c r="C57" s="247"/>
      <c r="D57" s="247"/>
      <c r="E57" s="290"/>
      <c r="F57" s="247"/>
      <c r="G57" s="290"/>
      <c r="H57" s="290"/>
      <c r="I57" s="290"/>
      <c r="J57" s="247"/>
      <c r="K57" s="247"/>
      <c r="L57" s="247"/>
      <c r="M57" s="247"/>
      <c r="N57" s="287"/>
      <c r="O57" s="288"/>
      <c r="P57" s="247"/>
      <c r="Q57" s="261"/>
      <c r="R57" s="219"/>
      <c r="S57" s="260"/>
      <c r="T57" s="289"/>
      <c r="U57" s="287"/>
      <c r="V57" s="287"/>
      <c r="W57" s="287"/>
      <c r="X57" s="287"/>
      <c r="Y57" s="287"/>
      <c r="Z57" s="287"/>
      <c r="AA57" s="287"/>
      <c r="AB57" s="287"/>
      <c r="AC57" s="287"/>
      <c r="AD57" s="287"/>
      <c r="AE57" s="287"/>
      <c r="AF57" s="287"/>
      <c r="AG57" s="287"/>
      <c r="AH57" s="287"/>
      <c r="AI57" s="287"/>
      <c r="AJ57" s="287"/>
      <c r="AK57" s="288"/>
      <c r="AL57" s="289"/>
    </row>
    <row r="58" spans="1:38" s="142" customFormat="1">
      <c r="A58" s="292"/>
      <c r="B58" s="29" t="s">
        <v>108</v>
      </c>
      <c r="C58" s="247"/>
      <c r="D58" s="247"/>
      <c r="E58" s="290"/>
      <c r="F58" s="247"/>
      <c r="G58" s="290"/>
      <c r="H58" s="290"/>
      <c r="I58" s="290"/>
      <c r="J58" s="247"/>
      <c r="K58" s="247"/>
      <c r="L58" s="247"/>
      <c r="M58" s="247"/>
      <c r="N58" s="287"/>
      <c r="O58" s="288"/>
      <c r="P58" s="247"/>
      <c r="Q58" s="261"/>
      <c r="R58" s="219"/>
      <c r="S58" s="260"/>
      <c r="T58" s="289"/>
      <c r="U58" s="287"/>
      <c r="V58" s="287"/>
      <c r="W58" s="287"/>
      <c r="X58" s="287"/>
      <c r="Y58" s="287"/>
      <c r="Z58" s="287"/>
      <c r="AA58" s="287"/>
      <c r="AB58" s="287"/>
      <c r="AC58" s="287"/>
      <c r="AD58" s="287"/>
      <c r="AE58" s="287"/>
      <c r="AF58" s="287"/>
      <c r="AG58" s="287"/>
      <c r="AH58" s="287"/>
      <c r="AI58" s="287"/>
      <c r="AJ58" s="287"/>
      <c r="AK58" s="288"/>
      <c r="AL58" s="289"/>
    </row>
    <row r="59" spans="1:38" s="142" customFormat="1" ht="14.1" customHeight="1">
      <c r="A59" s="164"/>
      <c r="B59" s="482"/>
      <c r="C59" s="483"/>
      <c r="D59" s="483"/>
      <c r="E59" s="483"/>
      <c r="F59" s="484"/>
      <c r="G59" s="290"/>
      <c r="H59" s="290"/>
      <c r="I59" s="290"/>
      <c r="J59" s="247"/>
      <c r="K59" s="247"/>
      <c r="L59" s="247"/>
      <c r="M59" s="247"/>
      <c r="N59" s="287"/>
      <c r="O59" s="288"/>
      <c r="P59" s="247"/>
      <c r="Q59" s="261"/>
      <c r="R59" s="219"/>
      <c r="S59" s="260"/>
      <c r="T59" s="289"/>
      <c r="U59" s="287"/>
      <c r="V59" s="287"/>
      <c r="W59" s="287"/>
      <c r="X59" s="287"/>
      <c r="Y59" s="287"/>
      <c r="Z59" s="287"/>
      <c r="AA59" s="287"/>
      <c r="AB59" s="287"/>
      <c r="AC59" s="287"/>
      <c r="AD59" s="287"/>
      <c r="AE59" s="287"/>
      <c r="AF59" s="287"/>
      <c r="AG59" s="287"/>
      <c r="AH59" s="287"/>
      <c r="AI59" s="287"/>
      <c r="AJ59" s="287"/>
      <c r="AK59" s="288"/>
      <c r="AL59" s="289"/>
    </row>
    <row r="60" spans="1:38" s="142" customFormat="1" ht="14.1" customHeight="1">
      <c r="A60" s="164"/>
      <c r="B60" s="485"/>
      <c r="C60" s="486"/>
      <c r="D60" s="486"/>
      <c r="E60" s="486"/>
      <c r="F60" s="487"/>
      <c r="G60" s="290"/>
      <c r="H60" s="290"/>
      <c r="I60" s="290"/>
      <c r="J60" s="247"/>
      <c r="K60" s="247"/>
      <c r="L60" s="247"/>
      <c r="M60" s="247"/>
      <c r="N60" s="287"/>
      <c r="O60" s="288"/>
      <c r="P60" s="247"/>
      <c r="Q60" s="261"/>
      <c r="R60" s="219"/>
      <c r="S60" s="260"/>
      <c r="T60" s="289"/>
      <c r="U60" s="287"/>
      <c r="V60" s="287"/>
      <c r="W60" s="287"/>
      <c r="X60" s="287"/>
      <c r="Y60" s="287"/>
      <c r="Z60" s="287"/>
      <c r="AA60" s="287"/>
      <c r="AB60" s="287"/>
      <c r="AC60" s="287"/>
      <c r="AD60" s="287"/>
      <c r="AE60" s="287"/>
      <c r="AF60" s="287"/>
      <c r="AG60" s="287"/>
      <c r="AH60" s="287"/>
      <c r="AI60" s="287"/>
      <c r="AJ60" s="287"/>
      <c r="AK60" s="288"/>
      <c r="AL60" s="289"/>
    </row>
    <row r="61" spans="1:38" s="142" customFormat="1" ht="14.1" customHeight="1">
      <c r="A61" s="164"/>
      <c r="B61" s="485"/>
      <c r="C61" s="486"/>
      <c r="D61" s="486"/>
      <c r="E61" s="486"/>
      <c r="F61" s="487"/>
      <c r="G61" s="290"/>
      <c r="H61" s="290"/>
      <c r="I61" s="290"/>
      <c r="J61" s="247"/>
      <c r="K61" s="247"/>
      <c r="L61" s="247"/>
      <c r="M61" s="247"/>
      <c r="N61" s="287"/>
      <c r="O61" s="288"/>
      <c r="P61" s="247"/>
      <c r="Q61" s="261"/>
      <c r="R61" s="219"/>
      <c r="S61" s="260"/>
      <c r="T61" s="289"/>
      <c r="U61" s="287"/>
      <c r="V61" s="287"/>
      <c r="W61" s="287"/>
      <c r="X61" s="287"/>
      <c r="Y61" s="287"/>
      <c r="Z61" s="287"/>
      <c r="AA61" s="287"/>
      <c r="AB61" s="287"/>
      <c r="AC61" s="287"/>
      <c r="AD61" s="287"/>
      <c r="AE61" s="287"/>
      <c r="AF61" s="287"/>
      <c r="AG61" s="287"/>
      <c r="AH61" s="287"/>
      <c r="AI61" s="287"/>
      <c r="AJ61" s="287"/>
      <c r="AK61" s="288"/>
      <c r="AL61" s="289"/>
    </row>
    <row r="62" spans="1:38" s="142" customFormat="1" ht="14.1" customHeight="1">
      <c r="A62" s="164"/>
      <c r="B62" s="488"/>
      <c r="C62" s="489"/>
      <c r="D62" s="489"/>
      <c r="E62" s="489"/>
      <c r="F62" s="490"/>
      <c r="G62" s="290"/>
      <c r="H62" s="290"/>
      <c r="I62" s="290"/>
      <c r="J62" s="247"/>
      <c r="K62" s="247"/>
      <c r="L62" s="287"/>
      <c r="M62" s="247"/>
      <c r="N62" s="287"/>
      <c r="O62" s="288"/>
      <c r="P62" s="247"/>
      <c r="Q62" s="261"/>
      <c r="R62" s="219"/>
      <c r="S62" s="260"/>
      <c r="T62" s="289"/>
      <c r="U62" s="287"/>
      <c r="V62" s="287"/>
      <c r="W62" s="287"/>
      <c r="X62" s="287"/>
      <c r="Y62" s="287"/>
      <c r="Z62" s="287"/>
      <c r="AA62" s="287"/>
      <c r="AB62" s="287"/>
      <c r="AC62" s="287"/>
      <c r="AD62" s="287"/>
      <c r="AE62" s="287"/>
      <c r="AF62" s="287"/>
      <c r="AG62" s="287"/>
      <c r="AH62" s="287"/>
      <c r="AI62" s="287"/>
      <c r="AJ62" s="287"/>
      <c r="AK62" s="288"/>
      <c r="AL62" s="289"/>
    </row>
    <row r="63" spans="1:38" s="142" customFormat="1">
      <c r="A63" s="164"/>
      <c r="B63" s="293"/>
      <c r="C63" s="294"/>
      <c r="D63" s="294"/>
      <c r="E63" s="294"/>
      <c r="F63" s="294"/>
      <c r="G63" s="290"/>
      <c r="H63" s="290"/>
      <c r="I63" s="290"/>
      <c r="J63" s="247"/>
      <c r="K63" s="247"/>
      <c r="L63" s="247"/>
      <c r="M63" s="247"/>
      <c r="N63" s="287"/>
      <c r="O63" s="288"/>
      <c r="P63" s="247"/>
      <c r="Q63" s="261"/>
      <c r="R63" s="219"/>
      <c r="S63" s="260"/>
      <c r="T63" s="289"/>
      <c r="U63" s="287"/>
      <c r="V63" s="287"/>
      <c r="W63" s="287"/>
      <c r="X63" s="287"/>
      <c r="Y63" s="287"/>
      <c r="Z63" s="287"/>
      <c r="AA63" s="287"/>
      <c r="AB63" s="287"/>
      <c r="AC63" s="287"/>
      <c r="AD63" s="287"/>
      <c r="AE63" s="287"/>
      <c r="AF63" s="287"/>
      <c r="AG63" s="287"/>
      <c r="AH63" s="287"/>
      <c r="AI63" s="287"/>
      <c r="AJ63" s="287"/>
      <c r="AK63" s="288"/>
      <c r="AL63" s="289"/>
    </row>
    <row r="64" spans="1:38" ht="12.75" customHeight="1">
      <c r="A64" s="295"/>
      <c r="B64" s="164"/>
      <c r="C64" s="293"/>
      <c r="D64" s="294"/>
      <c r="E64" s="294"/>
      <c r="F64" s="294"/>
      <c r="G64" s="290"/>
      <c r="H64" s="290"/>
      <c r="I64" s="290"/>
      <c r="J64" s="247"/>
      <c r="K64" s="247"/>
      <c r="L64" s="247"/>
      <c r="M64" s="247"/>
      <c r="N64" s="287"/>
      <c r="O64" s="288"/>
      <c r="P64" s="247"/>
      <c r="Q64" s="261"/>
      <c r="R64" s="219"/>
      <c r="S64" s="260"/>
      <c r="T64" s="2"/>
      <c r="U64" s="296"/>
      <c r="V64" s="164"/>
      <c r="W64" s="164"/>
      <c r="X64" s="164"/>
      <c r="Y64" s="164"/>
      <c r="Z64" s="164"/>
      <c r="AA64" s="164"/>
      <c r="AB64" s="164"/>
      <c r="AC64" s="164"/>
      <c r="AD64" s="164"/>
      <c r="AE64" s="164"/>
      <c r="AF64" s="164"/>
      <c r="AG64" s="164"/>
      <c r="AH64" s="164"/>
      <c r="AI64" s="164"/>
      <c r="AJ64" s="164"/>
      <c r="AK64" s="164"/>
      <c r="AL64" s="164"/>
    </row>
    <row r="65" spans="2:21" ht="22.5" customHeight="1">
      <c r="B65" s="297" t="s">
        <v>109</v>
      </c>
      <c r="C65" s="298"/>
      <c r="D65" s="298"/>
      <c r="E65" s="298"/>
      <c r="F65" s="294"/>
      <c r="G65" s="290"/>
      <c r="H65" s="290"/>
      <c r="I65" s="290"/>
      <c r="J65" s="247"/>
      <c r="K65" s="247"/>
      <c r="L65" s="247"/>
      <c r="M65" s="247"/>
      <c r="N65" s="287"/>
      <c r="O65" s="288"/>
      <c r="P65" s="247"/>
      <c r="Q65" s="261"/>
      <c r="R65" s="219"/>
      <c r="S65" s="260"/>
      <c r="T65" s="296"/>
      <c r="U65" s="164"/>
    </row>
    <row r="66" spans="2:21" ht="12.75" customHeight="1">
      <c r="B66" s="299"/>
      <c r="C66" s="300"/>
      <c r="D66" s="301">
        <f>C3</f>
        <v>46022</v>
      </c>
      <c r="E66" s="301">
        <f>K37</f>
        <v>45657</v>
      </c>
      <c r="F66" s="302" t="s">
        <v>99</v>
      </c>
      <c r="G66" s="294"/>
      <c r="H66" s="290"/>
      <c r="I66" s="290"/>
      <c r="J66" s="247"/>
      <c r="K66" s="247"/>
      <c r="L66" s="247"/>
      <c r="M66" s="247"/>
      <c r="N66" s="247"/>
      <c r="O66" s="247"/>
      <c r="P66" s="247"/>
      <c r="Q66" s="261"/>
      <c r="R66" s="219"/>
      <c r="S66" s="260"/>
      <c r="T66" s="2"/>
      <c r="U66" s="296"/>
    </row>
    <row r="67" spans="2:21" ht="12.75" customHeight="1">
      <c r="B67" s="303"/>
      <c r="C67" s="304"/>
      <c r="D67" s="144"/>
      <c r="E67" s="155" t="s">
        <v>54</v>
      </c>
      <c r="F67" s="305"/>
      <c r="G67" s="294"/>
      <c r="H67" s="290"/>
      <c r="I67" s="290"/>
      <c r="J67" s="247"/>
      <c r="K67" s="247"/>
      <c r="L67" s="247"/>
      <c r="M67" s="247"/>
      <c r="N67" s="247"/>
      <c r="O67" s="247"/>
      <c r="P67" s="247"/>
      <c r="Q67" s="261"/>
      <c r="R67" s="219"/>
      <c r="S67" s="260"/>
      <c r="T67" s="2"/>
      <c r="U67" s="296"/>
    </row>
    <row r="68" spans="2:21" ht="12.75" customHeight="1">
      <c r="B68" s="306" t="s">
        <v>110</v>
      </c>
      <c r="C68" s="307"/>
      <c r="D68" s="415">
        <f>(J45+K45)/2</f>
        <v>0</v>
      </c>
      <c r="E68" s="411"/>
      <c r="F68" s="312" t="str">
        <f>IFERROR((D68-E68)/E68,"")</f>
        <v/>
      </c>
      <c r="G68" s="294"/>
      <c r="H68" s="290"/>
      <c r="I68" s="290"/>
      <c r="J68" s="247"/>
      <c r="K68" s="247"/>
      <c r="L68" s="247"/>
      <c r="M68" s="247"/>
      <c r="N68" s="247"/>
      <c r="O68" s="247"/>
      <c r="P68" s="247"/>
      <c r="Q68" s="261"/>
      <c r="R68" s="219"/>
      <c r="S68" s="260"/>
      <c r="T68" s="2"/>
      <c r="U68" s="296"/>
    </row>
    <row r="69" spans="2:21" ht="12.75" customHeight="1">
      <c r="B69" s="306" t="s">
        <v>111</v>
      </c>
      <c r="C69" s="308" t="s">
        <v>112</v>
      </c>
      <c r="D69" s="416"/>
      <c r="E69" s="416"/>
      <c r="F69" s="312" t="str">
        <f>IFERROR((D69-E69)/E69,"")</f>
        <v/>
      </c>
      <c r="G69" s="294"/>
      <c r="H69" s="290"/>
      <c r="I69" s="290"/>
      <c r="J69" s="247"/>
      <c r="K69" s="247"/>
      <c r="L69" s="247"/>
      <c r="M69" s="247"/>
      <c r="N69" s="247"/>
      <c r="O69" s="247"/>
      <c r="P69" s="247"/>
      <c r="Q69" s="261"/>
      <c r="R69" s="219"/>
      <c r="S69" s="260"/>
      <c r="T69" s="2"/>
      <c r="U69" s="296"/>
    </row>
    <row r="70" spans="2:21" ht="12.75" customHeight="1">
      <c r="B70" s="306"/>
      <c r="C70" s="307"/>
      <c r="D70" s="309"/>
      <c r="E70" s="309"/>
      <c r="F70" s="310"/>
      <c r="G70" s="294"/>
      <c r="H70" s="290"/>
      <c r="I70" s="290"/>
      <c r="J70" s="247"/>
      <c r="K70" s="247"/>
      <c r="L70" s="247"/>
      <c r="M70" s="247"/>
      <c r="N70" s="247"/>
      <c r="O70" s="247"/>
      <c r="P70" s="247"/>
      <c r="Q70" s="261"/>
      <c r="R70" s="219"/>
      <c r="S70" s="260"/>
      <c r="T70" s="2"/>
      <c r="U70" s="296"/>
    </row>
    <row r="71" spans="2:21" ht="12.75" customHeight="1">
      <c r="B71" s="306" t="s">
        <v>113</v>
      </c>
      <c r="C71" s="307"/>
      <c r="D71" s="311">
        <f>IFERROR(ABS(D68)/ABS(D69)*365,0)</f>
        <v>0</v>
      </c>
      <c r="E71" s="311">
        <f>IFERROR(ABS(E68)/ABS(E69)*365,0)</f>
        <v>0</v>
      </c>
      <c r="F71" s="310" t="str">
        <f>IFERROR((D71-E71)/E71,"")</f>
        <v/>
      </c>
      <c r="G71" s="294"/>
      <c r="H71" s="290"/>
      <c r="I71" s="290"/>
      <c r="J71" s="247"/>
      <c r="K71" s="247"/>
      <c r="L71" s="247"/>
      <c r="M71" s="247"/>
      <c r="N71" s="247"/>
      <c r="O71" s="247"/>
      <c r="P71" s="247"/>
      <c r="Q71" s="261"/>
      <c r="R71" s="219"/>
      <c r="S71" s="260"/>
      <c r="T71" s="2"/>
      <c r="U71" s="296"/>
    </row>
    <row r="72" spans="2:21" ht="12.75" customHeight="1">
      <c r="B72" s="306" t="s">
        <v>114</v>
      </c>
      <c r="C72" s="307"/>
      <c r="D72" s="417">
        <f>IFERROR(ABS(D69)/ABS(D68),0)</f>
        <v>0</v>
      </c>
      <c r="E72" s="417">
        <f>IFERROR(ABS(E69)/ABS(E68),0)</f>
        <v>0</v>
      </c>
      <c r="F72" s="312" t="str">
        <f>IFERROR((D72-E72)/E72,"")</f>
        <v/>
      </c>
      <c r="G72" s="294"/>
      <c r="H72" s="290"/>
      <c r="I72" s="290"/>
      <c r="J72" s="247"/>
      <c r="K72" s="247"/>
      <c r="L72" s="247"/>
      <c r="M72" s="247"/>
      <c r="N72" s="247"/>
      <c r="O72" s="247"/>
      <c r="P72" s="247"/>
      <c r="Q72" s="261"/>
      <c r="R72" s="219"/>
      <c r="S72" s="260"/>
      <c r="T72" s="2"/>
      <c r="U72" s="296"/>
    </row>
    <row r="73" spans="2:21" ht="12.75" customHeight="1">
      <c r="B73" s="313"/>
      <c r="C73" s="3"/>
      <c r="D73" s="314"/>
      <c r="E73" s="314"/>
      <c r="F73" s="315"/>
      <c r="G73" s="294"/>
      <c r="H73" s="290"/>
      <c r="I73" s="290"/>
      <c r="J73" s="247"/>
      <c r="K73" s="247"/>
      <c r="L73" s="247"/>
      <c r="M73" s="247"/>
      <c r="N73" s="247"/>
      <c r="O73" s="247"/>
      <c r="P73" s="247"/>
      <c r="Q73" s="261"/>
      <c r="R73" s="219"/>
      <c r="S73" s="260"/>
      <c r="T73" s="2"/>
      <c r="U73" s="296"/>
    </row>
    <row r="74" spans="2:21" ht="12.75" customHeight="1">
      <c r="B74" s="316" t="s">
        <v>115</v>
      </c>
      <c r="C74" s="317"/>
      <c r="D74" s="4"/>
      <c r="E74" s="4"/>
      <c r="F74" s="318"/>
      <c r="G74" s="294"/>
      <c r="H74" s="290"/>
      <c r="I74" s="290"/>
      <c r="J74" s="247"/>
      <c r="K74" s="247"/>
      <c r="L74" s="247"/>
      <c r="M74" s="247"/>
      <c r="N74" s="247"/>
      <c r="O74" s="247"/>
      <c r="P74" s="247"/>
      <c r="Q74" s="261"/>
      <c r="R74" s="219"/>
      <c r="S74" s="260"/>
      <c r="T74" s="2"/>
      <c r="U74" s="296"/>
    </row>
    <row r="75" spans="2:21" ht="47.85" customHeight="1">
      <c r="B75" s="494" t="s">
        <v>116</v>
      </c>
      <c r="C75" s="495"/>
      <c r="D75" s="495"/>
      <c r="E75" s="495"/>
      <c r="F75" s="496"/>
      <c r="G75" s="294"/>
      <c r="H75" s="290"/>
      <c r="I75" s="290"/>
      <c r="J75" s="247"/>
      <c r="K75" s="247"/>
      <c r="L75" s="247"/>
      <c r="M75" s="247"/>
      <c r="N75" s="247"/>
      <c r="O75" s="247"/>
      <c r="P75" s="247"/>
      <c r="Q75" s="261"/>
      <c r="R75" s="219"/>
      <c r="S75" s="260"/>
      <c r="T75" s="2"/>
      <c r="U75" s="296"/>
    </row>
    <row r="76" spans="2:21" ht="12.75" customHeight="1">
      <c r="B76" s="293"/>
      <c r="C76" s="294"/>
      <c r="D76" s="294"/>
      <c r="E76" s="294"/>
      <c r="F76" s="294"/>
      <c r="G76" s="290"/>
      <c r="H76" s="290"/>
      <c r="I76" s="247"/>
      <c r="J76" s="247"/>
      <c r="K76" s="247"/>
      <c r="L76" s="247"/>
      <c r="M76" s="247"/>
      <c r="N76" s="247"/>
      <c r="O76" s="247"/>
      <c r="P76" s="247"/>
      <c r="Q76" s="261"/>
      <c r="R76" s="219"/>
      <c r="S76" s="260"/>
      <c r="T76" s="296"/>
      <c r="U76" s="164"/>
    </row>
    <row r="77" spans="2:21" s="143" customFormat="1" ht="15" customHeight="1">
      <c r="B77" s="39"/>
      <c r="C77" s="39"/>
      <c r="D77" s="39"/>
      <c r="E77" s="39"/>
      <c r="F77" s="39"/>
      <c r="G77" s="290"/>
      <c r="H77" s="29"/>
      <c r="I77" s="26"/>
      <c r="J77" s="29"/>
      <c r="K77" s="29"/>
      <c r="L77" s="29"/>
      <c r="M77" s="29"/>
      <c r="N77" s="29"/>
      <c r="O77" s="29"/>
      <c r="P77" s="247"/>
      <c r="Q77" s="261"/>
      <c r="R77" s="219"/>
      <c r="S77" s="260"/>
      <c r="T77" s="29"/>
      <c r="U77" s="29"/>
    </row>
    <row r="78" spans="2:21" ht="12.75" customHeight="1">
      <c r="B78" s="319" t="s">
        <v>117</v>
      </c>
      <c r="C78" s="320"/>
      <c r="D78" s="320"/>
      <c r="E78" s="321"/>
      <c r="F78" s="322"/>
      <c r="G78" s="294"/>
      <c r="H78" s="290"/>
      <c r="I78" s="290"/>
      <c r="J78" s="247"/>
      <c r="K78" s="247"/>
      <c r="L78" s="247"/>
      <c r="M78" s="247"/>
      <c r="N78" s="247"/>
      <c r="O78" s="247"/>
      <c r="P78" s="247"/>
      <c r="Q78" s="261"/>
      <c r="R78" s="219"/>
      <c r="S78" s="260"/>
      <c r="T78" s="296"/>
      <c r="U78" s="164"/>
    </row>
    <row r="79" spans="2:21" ht="12.75" customHeight="1">
      <c r="B79" s="323" t="s">
        <v>118</v>
      </c>
      <c r="C79" s="324"/>
      <c r="D79" s="324"/>
      <c r="E79" s="325"/>
      <c r="F79" s="325"/>
      <c r="G79" s="294"/>
      <c r="H79" s="290"/>
      <c r="I79" s="290"/>
      <c r="J79" s="247"/>
      <c r="K79" s="247"/>
      <c r="L79" s="247"/>
      <c r="M79" s="247"/>
      <c r="N79" s="247"/>
      <c r="O79" s="247"/>
      <c r="P79" s="247"/>
      <c r="Q79" s="261"/>
      <c r="R79" s="219"/>
      <c r="S79" s="260"/>
      <c r="T79" s="296"/>
      <c r="U79" s="164"/>
    </row>
    <row r="80" spans="2:21" ht="12.75" customHeight="1">
      <c r="B80" s="326"/>
      <c r="C80" s="327"/>
      <c r="D80" s="327"/>
      <c r="E80" s="418"/>
      <c r="F80" s="419"/>
      <c r="G80" s="294"/>
      <c r="H80" s="290"/>
      <c r="I80" s="290"/>
      <c r="J80" s="247"/>
      <c r="K80" s="247"/>
      <c r="L80" s="247"/>
      <c r="M80" s="247"/>
      <c r="N80" s="247"/>
      <c r="O80" s="247"/>
      <c r="P80" s="247"/>
      <c r="Q80" s="261"/>
      <c r="R80" s="219"/>
      <c r="S80" s="260"/>
      <c r="T80" s="296"/>
      <c r="U80" s="164"/>
    </row>
    <row r="81" spans="1:20" ht="12.75" customHeight="1">
      <c r="A81" s="295"/>
      <c r="B81" s="328"/>
      <c r="C81" s="420"/>
      <c r="D81" s="420"/>
      <c r="E81" s="421"/>
      <c r="F81" s="422"/>
      <c r="G81" s="294"/>
      <c r="H81" s="290"/>
      <c r="I81" s="290"/>
      <c r="J81" s="247"/>
      <c r="K81" s="247"/>
      <c r="L81" s="247"/>
      <c r="M81" s="247"/>
      <c r="N81" s="247"/>
      <c r="O81" s="247"/>
      <c r="P81" s="247"/>
      <c r="Q81" s="247"/>
      <c r="R81" s="219"/>
      <c r="S81" s="2"/>
      <c r="T81" s="296"/>
    </row>
    <row r="82" spans="1:20" ht="12.75" customHeight="1">
      <c r="A82" s="295"/>
      <c r="B82" s="328"/>
      <c r="C82" s="420"/>
      <c r="D82" s="420"/>
      <c r="E82" s="421"/>
      <c r="F82" s="422"/>
      <c r="G82" s="294"/>
      <c r="H82" s="290"/>
      <c r="I82" s="290"/>
      <c r="J82" s="247"/>
      <c r="K82" s="247"/>
      <c r="L82" s="247"/>
      <c r="M82" s="247"/>
      <c r="N82" s="247"/>
      <c r="O82" s="247"/>
      <c r="P82" s="247"/>
      <c r="Q82" s="247"/>
      <c r="R82" s="219"/>
      <c r="S82" s="2"/>
      <c r="T82" s="296"/>
    </row>
    <row r="83" spans="1:20" ht="12.6" customHeight="1">
      <c r="A83" s="295"/>
      <c r="B83" s="329"/>
      <c r="C83" s="423"/>
      <c r="D83" s="423"/>
      <c r="E83" s="423"/>
      <c r="F83" s="424"/>
      <c r="G83" s="293"/>
      <c r="H83" s="290"/>
      <c r="I83" s="290"/>
      <c r="J83" s="247"/>
      <c r="K83" s="247"/>
      <c r="L83" s="247"/>
      <c r="M83" s="247"/>
      <c r="N83" s="247"/>
      <c r="O83" s="247"/>
      <c r="P83" s="247"/>
      <c r="Q83" s="247"/>
      <c r="R83" s="219"/>
      <c r="S83" s="2"/>
      <c r="T83" s="296"/>
    </row>
    <row r="84" spans="1:20" ht="15" customHeight="1">
      <c r="A84" s="295"/>
      <c r="B84" s="164"/>
      <c r="C84" s="293"/>
      <c r="D84" s="294"/>
      <c r="E84" s="293"/>
      <c r="F84" s="164"/>
      <c r="G84" s="164"/>
      <c r="H84" s="164"/>
      <c r="I84" s="164"/>
      <c r="J84" s="164"/>
      <c r="K84" s="164"/>
      <c r="L84" s="164"/>
      <c r="M84" s="164"/>
      <c r="N84" s="164"/>
      <c r="O84" s="164"/>
      <c r="P84" s="164"/>
      <c r="Q84" s="164"/>
      <c r="R84" s="219"/>
      <c r="S84" s="164"/>
      <c r="T84" s="164"/>
    </row>
    <row r="85" spans="1:20" ht="7.5" customHeight="1">
      <c r="A85" s="330"/>
      <c r="B85" s="330"/>
      <c r="C85" s="330"/>
      <c r="D85" s="330"/>
      <c r="E85" s="330"/>
      <c r="F85" s="330"/>
      <c r="G85" s="330"/>
      <c r="H85" s="330"/>
      <c r="I85" s="330"/>
      <c r="J85" s="330"/>
      <c r="K85" s="330"/>
      <c r="L85" s="330"/>
      <c r="M85" s="330"/>
      <c r="N85" s="330"/>
      <c r="O85" s="330"/>
      <c r="P85" s="330"/>
      <c r="Q85" s="330"/>
      <c r="R85" s="219"/>
      <c r="S85" s="164"/>
      <c r="T85" s="164"/>
    </row>
    <row r="86" spans="1:20">
      <c r="A86" s="295"/>
      <c r="B86" s="164"/>
      <c r="C86" s="293"/>
      <c r="D86" s="294"/>
      <c r="E86" s="293"/>
      <c r="F86" s="164"/>
      <c r="G86" s="164"/>
      <c r="H86" s="164"/>
      <c r="I86" s="164"/>
      <c r="J86" s="164"/>
      <c r="K86" s="164"/>
      <c r="L86" s="164"/>
      <c r="M86" s="164"/>
      <c r="N86" s="164"/>
      <c r="O86" s="164"/>
      <c r="P86" s="164"/>
      <c r="Q86" s="164"/>
      <c r="R86" s="164"/>
      <c r="S86" s="164"/>
      <c r="T86" s="164"/>
    </row>
    <row r="87" spans="1:20" ht="12.75" customHeight="1">
      <c r="A87" s="295"/>
      <c r="B87" s="164"/>
      <c r="C87" s="293"/>
      <c r="D87" s="294"/>
      <c r="E87" s="293"/>
      <c r="F87" s="164"/>
      <c r="G87" s="164"/>
      <c r="H87" s="164"/>
      <c r="I87" s="164"/>
      <c r="J87" s="164"/>
      <c r="K87" s="164"/>
      <c r="L87" s="164"/>
      <c r="M87" s="164"/>
      <c r="N87" s="164"/>
      <c r="O87" s="164"/>
      <c r="P87" s="164"/>
      <c r="Q87" s="164"/>
      <c r="R87" s="164"/>
      <c r="S87" s="164"/>
      <c r="T87" s="164"/>
    </row>
    <row r="88" spans="1:20" ht="12.75" customHeight="1">
      <c r="A88" s="295"/>
      <c r="B88" s="164"/>
      <c r="C88" s="293"/>
      <c r="D88" s="294"/>
      <c r="E88" s="293"/>
      <c r="F88" s="164"/>
      <c r="G88" s="164"/>
      <c r="H88" s="164"/>
      <c r="I88" s="164"/>
      <c r="J88" s="164"/>
      <c r="K88" s="164"/>
      <c r="L88" s="164"/>
      <c r="M88" s="164"/>
      <c r="N88" s="164"/>
      <c r="O88" s="164"/>
      <c r="P88" s="164"/>
      <c r="Q88" s="164"/>
      <c r="R88" s="164"/>
      <c r="S88" s="164"/>
      <c r="T88" s="164"/>
    </row>
    <row r="89" spans="1:20" ht="12.75" customHeight="1">
      <c r="A89" s="295"/>
      <c r="B89" s="164"/>
      <c r="C89" s="293"/>
      <c r="D89" s="294"/>
      <c r="E89" s="164"/>
      <c r="F89" s="164"/>
      <c r="G89" s="164"/>
      <c r="H89" s="164"/>
      <c r="I89" s="164"/>
      <c r="J89" s="164"/>
      <c r="K89" s="164"/>
      <c r="L89" s="164"/>
      <c r="M89" s="164"/>
      <c r="N89" s="164"/>
      <c r="O89" s="164"/>
      <c r="P89" s="164"/>
      <c r="Q89" s="164"/>
      <c r="R89" s="164"/>
      <c r="S89" s="164"/>
      <c r="T89" s="164"/>
    </row>
    <row r="90" spans="1:20" ht="12.75" customHeight="1">
      <c r="A90" s="295"/>
      <c r="B90" s="164"/>
      <c r="C90" s="293"/>
      <c r="D90" s="294"/>
      <c r="E90" s="164"/>
      <c r="F90" s="164"/>
      <c r="G90" s="164"/>
      <c r="H90" s="164"/>
      <c r="I90" s="164"/>
      <c r="J90" s="164"/>
      <c r="K90" s="164"/>
      <c r="L90" s="164"/>
      <c r="M90" s="164"/>
      <c r="N90" s="164"/>
      <c r="O90" s="164"/>
      <c r="P90" s="164"/>
      <c r="Q90" s="164"/>
      <c r="R90" s="164"/>
      <c r="S90" s="164"/>
      <c r="T90" s="164"/>
    </row>
    <row r="91" spans="1:20" ht="12.75" customHeight="1">
      <c r="A91" s="295"/>
      <c r="B91" s="164"/>
      <c r="C91" s="293"/>
      <c r="D91" s="294"/>
      <c r="E91" s="164"/>
      <c r="F91" s="164"/>
      <c r="G91" s="164"/>
      <c r="H91" s="164"/>
      <c r="I91" s="164"/>
      <c r="J91" s="164"/>
      <c r="K91" s="164"/>
      <c r="L91" s="164"/>
      <c r="M91" s="164"/>
      <c r="N91" s="164"/>
      <c r="O91" s="164"/>
      <c r="P91" s="164"/>
      <c r="Q91" s="164"/>
      <c r="R91" s="164"/>
      <c r="S91" s="164"/>
      <c r="T91" s="164"/>
    </row>
  </sheetData>
  <dataConsolidate/>
  <mergeCells count="17">
    <mergeCell ref="B75:F75"/>
    <mergeCell ref="P37:P38"/>
    <mergeCell ref="B20:E20"/>
    <mergeCell ref="B23:E23"/>
    <mergeCell ref="L37:M37"/>
    <mergeCell ref="O37:O38"/>
    <mergeCell ref="F37:J37"/>
    <mergeCell ref="B52:F55"/>
    <mergeCell ref="B37:B38"/>
    <mergeCell ref="C37:C38"/>
    <mergeCell ref="D37:D38"/>
    <mergeCell ref="E37:E38"/>
    <mergeCell ref="N37:N38"/>
    <mergeCell ref="D2:P8"/>
    <mergeCell ref="B26:F28"/>
    <mergeCell ref="B59:F62"/>
    <mergeCell ref="H13:L13"/>
  </mergeCells>
  <phoneticPr fontId="25" type="noConversion"/>
  <conditionalFormatting sqref="B26">
    <cfRule type="cellIs" dxfId="39" priority="17" operator="equal">
      <formula>0</formula>
    </cfRule>
    <cfRule type="containsBlanks" dxfId="38" priority="27">
      <formula>LEN(TRIM(B26))=0</formula>
    </cfRule>
    <cfRule type="containsBlanks" dxfId="37" priority="36">
      <formula>LEN(TRIM(B26))=0</formula>
    </cfRule>
  </conditionalFormatting>
  <conditionalFormatting sqref="B52:B54">
    <cfRule type="containsBlanks" dxfId="36" priority="6">
      <formula>LEN(TRIM(B52))=0</formula>
    </cfRule>
  </conditionalFormatting>
  <conditionalFormatting sqref="B59">
    <cfRule type="containsBlanks" dxfId="35" priority="16">
      <formula>LEN(TRIM(B59))=0</formula>
    </cfRule>
  </conditionalFormatting>
  <conditionalFormatting sqref="B39:D43">
    <cfRule type="containsBlanks" dxfId="34" priority="13">
      <formula>LEN(TRIM(B39))=0</formula>
    </cfRule>
  </conditionalFormatting>
  <conditionalFormatting sqref="B80:F80 C81:F81 B81:B83">
    <cfRule type="containsBlanks" dxfId="33" priority="5">
      <formula>LEN(TRIM(B80))=0</formula>
    </cfRule>
  </conditionalFormatting>
  <conditionalFormatting sqref="C2">
    <cfRule type="containsBlanks" dxfId="32" priority="29">
      <formula>LEN(TRIM(C2))=0</formula>
    </cfRule>
  </conditionalFormatting>
  <conditionalFormatting sqref="C3">
    <cfRule type="containsBlanks" dxfId="31" priority="32">
      <formula>LEN(TRIM(C3))=0</formula>
    </cfRule>
  </conditionalFormatting>
  <conditionalFormatting sqref="C4:C8">
    <cfRule type="containsBlanks" dxfId="30" priority="30">
      <formula>LEN(TRIM(C4))=0</formula>
    </cfRule>
  </conditionalFormatting>
  <conditionalFormatting sqref="C15:C19">
    <cfRule type="containsBlanks" dxfId="29" priority="31">
      <formula>LEN(TRIM(C15))=0</formula>
    </cfRule>
  </conditionalFormatting>
  <conditionalFormatting sqref="C32">
    <cfRule type="containsBlanks" dxfId="28" priority="14">
      <formula>LEN(TRIM(C32))=0</formula>
    </cfRule>
  </conditionalFormatting>
  <conditionalFormatting sqref="C82:F83">
    <cfRule type="containsBlanks" dxfId="27" priority="4">
      <formula>LEN(TRIM(C82))=0</formula>
    </cfRule>
  </conditionalFormatting>
  <conditionalFormatting sqref="D69:E69 B75:F75">
    <cfRule type="containsBlanks" dxfId="26" priority="35">
      <formula>LEN(TRIM(B69))=0</formula>
    </cfRule>
  </conditionalFormatting>
  <conditionalFormatting sqref="E39">
    <cfRule type="containsBlanks" dxfId="25" priority="25">
      <formula>LEN(TRIM(E39))=0</formula>
    </cfRule>
  </conditionalFormatting>
  <conditionalFormatting sqref="E68">
    <cfRule type="containsBlanks" dxfId="24" priority="1">
      <formula>LEN(TRIM(E68))=0</formula>
    </cfRule>
  </conditionalFormatting>
  <conditionalFormatting sqref="F39:F43">
    <cfRule type="containsBlanks" dxfId="23" priority="12">
      <formula>LEN(TRIM(F39))=0</formula>
    </cfRule>
  </conditionalFormatting>
  <conditionalFormatting sqref="H30">
    <cfRule type="containsBlanks" dxfId="22" priority="20">
      <formula>LEN(TRIM(H30))=0</formula>
    </cfRule>
  </conditionalFormatting>
  <conditionalFormatting sqref="H39:H43 J39:J43">
    <cfRule type="containsBlanks" dxfId="21" priority="28">
      <formula>LEN(TRIM(H39))=0</formula>
    </cfRule>
  </conditionalFormatting>
  <conditionalFormatting sqref="H47">
    <cfRule type="containsBlanks" dxfId="20" priority="24">
      <formula>LEN(TRIM(H47))=0</formula>
    </cfRule>
  </conditionalFormatting>
  <conditionalFormatting sqref="J47:K47">
    <cfRule type="containsBlanks" dxfId="19" priority="2">
      <formula>LEN(TRIM(J47))=0</formula>
    </cfRule>
  </conditionalFormatting>
  <conditionalFormatting sqref="K39:K43">
    <cfRule type="containsBlanks" dxfId="18" priority="11">
      <formula>LEN(TRIM(K39))=0</formula>
    </cfRule>
  </conditionalFormatting>
  <conditionalFormatting sqref="P39:P43">
    <cfRule type="containsBlanks" dxfId="17" priority="7">
      <formula>LEN(TRIM(P39))=0</formula>
    </cfRule>
  </conditionalFormatting>
  <conditionalFormatting sqref="P45">
    <cfRule type="containsBlanks" dxfId="16" priority="3">
      <formula>LEN(TRIM(P45))=0</formula>
    </cfRule>
  </conditionalFormatting>
  <dataValidations count="4">
    <dataValidation type="list" allowBlank="1" showInputMessage="1" showErrorMessage="1" sqref="P39:P43 P45" xr:uid="{7B66B01F-C11C-490A-8D6A-37144323E97F}">
      <formula1>"是,否"</formula1>
    </dataValidation>
    <dataValidation type="list" allowBlank="1" showInputMessage="1" sqref="C15:C19" xr:uid="{D6385E63-EA45-4BE3-B73C-AAE3D68CB6CB}">
      <formula1>"Minimal,Low,Moderate,High,N/A"</formula1>
    </dataValidation>
    <dataValidation type="list" allowBlank="1" showInputMessage="1" showErrorMessage="1" sqref="P44" xr:uid="{96BF66B8-6F5A-4B9D-8530-C0D682484974}">
      <formula1>"Yes,No"</formula1>
    </dataValidation>
    <dataValidation type="list" allowBlank="1" showInputMessage="1" sqref="B80:B83" xr:uid="{02C5CDCB-4C15-4F17-9CD4-8845E6340F84}">
      <formula1>"管理层账表调整(CLA),已更正审计调整(AA/RA/OA),未更正审计调整(SAD)"</formula1>
    </dataValidation>
  </dataValidations>
  <hyperlinks>
    <hyperlink ref="B11" location="汇总!A1" display="返回汇总页" xr:uid="{434E8823-ED08-4438-BF00-D3B473335E54}"/>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7197-B091-4C3E-BC89-0AC2E2F08B9D}">
  <dimension ref="A1:P33"/>
  <sheetViews>
    <sheetView showGridLines="0" zoomScale="70" zoomScaleNormal="70" workbookViewId="0">
      <selection activeCell="K24" sqref="K24"/>
    </sheetView>
  </sheetViews>
  <sheetFormatPr defaultColWidth="8.875" defaultRowHeight="15" customHeight="1"/>
  <cols>
    <col min="1" max="1" width="2.625" style="10" customWidth="1"/>
    <col min="2" max="2" width="24" style="10" customWidth="1"/>
    <col min="3" max="6" width="25.625" style="10" customWidth="1"/>
    <col min="7" max="7" width="15.875" style="10" customWidth="1"/>
    <col min="8" max="8" width="15.625" style="10" customWidth="1"/>
    <col min="9" max="9" width="19.625" style="10" customWidth="1"/>
    <col min="10" max="11" width="20.5" style="10" customWidth="1"/>
    <col min="12" max="12" width="2.625" style="10" customWidth="1"/>
    <col min="13" max="13" width="1.625" style="10" customWidth="1"/>
    <col min="14" max="16" width="2.875" style="10" customWidth="1"/>
    <col min="17" max="17" width="11.375" style="10" customWidth="1"/>
    <col min="18" max="18" width="8.875" style="10" customWidth="1"/>
    <col min="19" max="21" width="9.875" style="10" customWidth="1"/>
    <col min="22" max="699" width="8.875" style="10"/>
    <col min="700" max="700" width="9.125" style="10" customWidth="1"/>
    <col min="701" max="16384" width="8.875" style="10"/>
  </cols>
  <sheetData>
    <row r="1" spans="2:13" ht="50.1" customHeight="1">
      <c r="B1" s="85" t="s">
        <v>119</v>
      </c>
      <c r="C1" s="14"/>
      <c r="D1" s="15"/>
      <c r="E1" s="15"/>
      <c r="F1" s="15"/>
      <c r="G1" s="15"/>
      <c r="H1" s="15"/>
      <c r="I1" s="15"/>
      <c r="J1" s="15"/>
      <c r="K1" s="16"/>
      <c r="M1" s="17"/>
    </row>
    <row r="2" spans="2:13" ht="30" customHeight="1">
      <c r="B2" s="18" t="s">
        <v>120</v>
      </c>
      <c r="C2" s="19"/>
      <c r="D2" s="19"/>
      <c r="E2" s="19"/>
      <c r="F2" s="19"/>
      <c r="G2" s="19"/>
      <c r="H2" s="19"/>
      <c r="I2" s="19"/>
      <c r="J2" s="19"/>
      <c r="K2" s="20"/>
      <c r="M2" s="17"/>
    </row>
    <row r="3" spans="2:13" ht="15" customHeight="1">
      <c r="M3" s="17"/>
    </row>
    <row r="4" spans="2:13" ht="15" customHeight="1">
      <c r="B4" s="46" t="s">
        <v>121</v>
      </c>
      <c r="M4" s="17"/>
    </row>
    <row r="5" spans="2:13" ht="15" customHeight="1">
      <c r="M5" s="17"/>
    </row>
    <row r="6" spans="2:13" ht="15" customHeight="1">
      <c r="B6" s="433">
        <f>MIN('N.00 Lead sheet'!$D$15,'N.00 Lead sheet'!$D$16)</f>
        <v>0</v>
      </c>
      <c r="C6" s="86" t="s">
        <v>122</v>
      </c>
      <c r="D6" s="47"/>
      <c r="M6" s="17"/>
    </row>
    <row r="7" spans="2:13" ht="15" customHeight="1">
      <c r="M7" s="17"/>
    </row>
    <row r="8" spans="2:13" ht="15" customHeight="1">
      <c r="B8" s="22"/>
      <c r="F8" s="23"/>
      <c r="G8" s="13"/>
      <c r="J8" s="13"/>
      <c r="M8" s="17"/>
    </row>
    <row r="9" spans="2:13" ht="19.5" customHeight="1">
      <c r="B9" s="212" t="s">
        <v>123</v>
      </c>
      <c r="C9" s="213"/>
      <c r="D9" s="213"/>
      <c r="E9" s="13"/>
      <c r="F9" s="13"/>
      <c r="H9" s="13"/>
      <c r="I9" s="13" t="s">
        <v>124</v>
      </c>
      <c r="J9" s="13"/>
      <c r="M9" s="17"/>
    </row>
    <row r="10" spans="2:13" ht="15" customHeight="1">
      <c r="B10" s="522" t="s">
        <v>125</v>
      </c>
      <c r="C10" s="533" t="s">
        <v>126</v>
      </c>
      <c r="D10" s="535" t="s">
        <v>127</v>
      </c>
      <c r="E10" s="537" t="s">
        <v>128</v>
      </c>
      <c r="F10" s="520" t="s">
        <v>129</v>
      </c>
      <c r="G10" s="520" t="s">
        <v>130</v>
      </c>
      <c r="H10" s="520" t="s">
        <v>131</v>
      </c>
      <c r="I10" s="520" t="s">
        <v>132</v>
      </c>
      <c r="J10" s="518" t="s">
        <v>133</v>
      </c>
      <c r="K10" s="519"/>
      <c r="M10" s="17"/>
    </row>
    <row r="11" spans="2:13" ht="31.5" customHeight="1">
      <c r="B11" s="523"/>
      <c r="C11" s="534"/>
      <c r="D11" s="536"/>
      <c r="E11" s="538"/>
      <c r="F11" s="521"/>
      <c r="G11" s="521"/>
      <c r="H11" s="521"/>
      <c r="I11" s="521"/>
      <c r="J11" s="448" t="s">
        <v>134</v>
      </c>
      <c r="K11" s="448" t="s">
        <v>135</v>
      </c>
      <c r="M11" s="17"/>
    </row>
    <row r="12" spans="2:13" ht="15" customHeight="1">
      <c r="B12" s="211"/>
      <c r="C12" s="57"/>
      <c r="D12" s="48"/>
      <c r="E12" s="427">
        <f>-IFERROR(_xlfn.XLOOKUP(C12,'N.00 Lead sheet'!$C$39:$C$43,'N.00 Lead sheet'!$F$39:$F$43),0)</f>
        <v>0</v>
      </c>
      <c r="F12" s="187" t="s">
        <v>136</v>
      </c>
      <c r="G12" s="429"/>
      <c r="H12" s="188" t="s">
        <v>137</v>
      </c>
      <c r="I12" s="427">
        <f>E12-G12</f>
        <v>0</v>
      </c>
      <c r="J12" s="88"/>
      <c r="K12" s="452" t="str">
        <f>IF(J12="","",IF(J12="是","Note2",IF(J12="否","Note2","不适用")))</f>
        <v/>
      </c>
      <c r="M12" s="17"/>
    </row>
    <row r="13" spans="2:13" ht="15" customHeight="1">
      <c r="B13" s="48"/>
      <c r="C13" s="57"/>
      <c r="D13" s="48"/>
      <c r="E13" s="427">
        <f>-IFERROR(_xlfn.XLOOKUP(C13,'N.00 Lead sheet'!$C$39:$C$43,'N.00 Lead sheet'!$F$39:$F$43),0)</f>
        <v>0</v>
      </c>
      <c r="F13" s="24"/>
      <c r="G13" s="430"/>
      <c r="H13" s="24"/>
      <c r="I13" s="427">
        <f>E13-G13</f>
        <v>0</v>
      </c>
      <c r="J13" s="88"/>
      <c r="K13" s="452" t="str">
        <f t="shared" ref="K13:K16" si="0">IF(J13="","",IF(J13="是","Note2",IF(J13="否","Note2","不适用")))</f>
        <v/>
      </c>
      <c r="M13" s="17"/>
    </row>
    <row r="14" spans="2:13" ht="15" customHeight="1">
      <c r="B14" s="48"/>
      <c r="C14" s="57"/>
      <c r="D14" s="48"/>
      <c r="E14" s="427">
        <f>-IFERROR(_xlfn.XLOOKUP(C14,'N.00 Lead sheet'!$C$39:$C$43,'N.00 Lead sheet'!$F$39:$F$43),0)</f>
        <v>0</v>
      </c>
      <c r="F14" s="24"/>
      <c r="G14" s="430"/>
      <c r="H14" s="24"/>
      <c r="I14" s="427">
        <f>E14-G14</f>
        <v>0</v>
      </c>
      <c r="J14" s="88"/>
      <c r="K14" s="452" t="str">
        <f t="shared" si="0"/>
        <v/>
      </c>
      <c r="M14" s="17"/>
    </row>
    <row r="15" spans="2:13" ht="15" customHeight="1">
      <c r="B15" s="48"/>
      <c r="C15" s="57"/>
      <c r="D15" s="48"/>
      <c r="E15" s="427">
        <f>-IFERROR(_xlfn.XLOOKUP(C15,'N.00 Lead sheet'!$C$39:$C$43,'N.00 Lead sheet'!$F$39:$F$43),0)</f>
        <v>0</v>
      </c>
      <c r="F15" s="24"/>
      <c r="G15" s="430"/>
      <c r="H15" s="24"/>
      <c r="I15" s="427">
        <f>E15-G15</f>
        <v>0</v>
      </c>
      <c r="J15" s="88"/>
      <c r="K15" s="452" t="str">
        <f t="shared" si="0"/>
        <v/>
      </c>
      <c r="M15" s="17"/>
    </row>
    <row r="16" spans="2:13" ht="15" customHeight="1">
      <c r="B16" s="48"/>
      <c r="C16" s="58"/>
      <c r="D16" s="425"/>
      <c r="E16" s="428">
        <f>-IFERROR(_xlfn.XLOOKUP(C16,'N.00 Lead sheet'!$C$39:$C$43,'N.00 Lead sheet'!$F$39:$F$43),0)</f>
        <v>0</v>
      </c>
      <c r="F16" s="24"/>
      <c r="G16" s="431"/>
      <c r="H16" s="24"/>
      <c r="I16" s="427">
        <f>E16-G16</f>
        <v>0</v>
      </c>
      <c r="J16" s="89"/>
      <c r="K16" s="452" t="str">
        <f t="shared" si="0"/>
        <v/>
      </c>
      <c r="M16" s="17"/>
    </row>
    <row r="17" spans="2:16" ht="15" customHeight="1">
      <c r="M17" s="17"/>
    </row>
    <row r="18" spans="2:16" ht="15" customHeight="1">
      <c r="D18" s="87" t="s">
        <v>138</v>
      </c>
      <c r="E18" s="432">
        <f>SUM(E12:E16)</f>
        <v>0</v>
      </c>
      <c r="G18" s="432">
        <f>SUM(G12:G16)</f>
        <v>0</v>
      </c>
      <c r="I18" s="432">
        <f>SUM(I12:I16)</f>
        <v>0</v>
      </c>
      <c r="J18" s="28"/>
      <c r="M18" s="17"/>
    </row>
    <row r="19" spans="2:16" ht="15" customHeight="1">
      <c r="D19" s="87"/>
      <c r="E19" s="13" t="s">
        <v>103</v>
      </c>
      <c r="F19" s="27"/>
      <c r="G19" s="13" t="s">
        <v>103</v>
      </c>
      <c r="H19" s="13"/>
      <c r="I19" s="13" t="s">
        <v>103</v>
      </c>
      <c r="M19" s="17"/>
    </row>
    <row r="20" spans="2:16" ht="15" customHeight="1">
      <c r="B20" s="12"/>
      <c r="C20" s="11"/>
      <c r="D20" s="25"/>
      <c r="E20" s="25"/>
      <c r="F20" s="25"/>
      <c r="G20" s="25"/>
      <c r="H20" s="26"/>
      <c r="I20" s="26"/>
      <c r="J20" s="26"/>
      <c r="M20" s="17"/>
    </row>
    <row r="21" spans="2:16" s="29" customFormat="1" ht="15" customHeight="1">
      <c r="B21" s="29" t="s">
        <v>139</v>
      </c>
      <c r="I21" s="26"/>
      <c r="M21" s="17"/>
      <c r="N21" s="10"/>
      <c r="O21" s="10"/>
      <c r="P21" s="10"/>
    </row>
    <row r="22" spans="2:16" s="29" customFormat="1" ht="15" customHeight="1">
      <c r="B22" s="524"/>
      <c r="C22" s="525"/>
      <c r="D22" s="525"/>
      <c r="E22" s="525"/>
      <c r="F22" s="525"/>
      <c r="G22" s="526"/>
      <c r="I22" s="26"/>
      <c r="M22" s="17"/>
      <c r="N22" s="10"/>
      <c r="O22" s="10"/>
      <c r="P22" s="10"/>
    </row>
    <row r="23" spans="2:16" s="29" customFormat="1" ht="15" customHeight="1">
      <c r="B23" s="527"/>
      <c r="C23" s="528"/>
      <c r="D23" s="528"/>
      <c r="E23" s="528"/>
      <c r="F23" s="528"/>
      <c r="G23" s="529"/>
      <c r="I23" s="26"/>
      <c r="M23" s="17"/>
      <c r="N23" s="10"/>
      <c r="O23" s="10"/>
      <c r="P23" s="10"/>
    </row>
    <row r="24" spans="2:16" s="29" customFormat="1" ht="15" customHeight="1">
      <c r="B24" s="530"/>
      <c r="C24" s="531"/>
      <c r="D24" s="531"/>
      <c r="E24" s="531"/>
      <c r="F24" s="531"/>
      <c r="G24" s="532"/>
      <c r="I24" s="26"/>
      <c r="M24" s="17"/>
      <c r="N24" s="10"/>
      <c r="O24" s="10"/>
      <c r="P24" s="10"/>
    </row>
    <row r="25" spans="2:16" s="29" customFormat="1" ht="15" customHeight="1">
      <c r="B25" s="39"/>
      <c r="C25" s="39"/>
      <c r="D25" s="39"/>
      <c r="E25" s="39"/>
      <c r="F25" s="39"/>
      <c r="I25" s="26"/>
      <c r="M25" s="17"/>
      <c r="N25" s="10"/>
      <c r="O25" s="10"/>
      <c r="P25" s="10"/>
    </row>
    <row r="26" spans="2:16" s="29" customFormat="1" ht="15" customHeight="1">
      <c r="B26" s="29" t="s">
        <v>140</v>
      </c>
      <c r="I26" s="26"/>
      <c r="M26" s="17"/>
      <c r="N26" s="10"/>
      <c r="O26" s="10"/>
      <c r="P26" s="10"/>
    </row>
    <row r="27" spans="2:16" s="29" customFormat="1" ht="15" customHeight="1">
      <c r="B27" s="157"/>
      <c r="C27" s="50" t="s">
        <v>141</v>
      </c>
      <c r="D27" s="516" t="s">
        <v>142</v>
      </c>
      <c r="E27" s="517"/>
      <c r="F27" s="50" t="s">
        <v>141</v>
      </c>
      <c r="G27" s="54"/>
      <c r="I27" s="26"/>
      <c r="M27" s="17"/>
      <c r="N27" s="10"/>
      <c r="O27" s="10"/>
      <c r="P27" s="10"/>
    </row>
    <row r="28" spans="2:16" s="29" customFormat="1" ht="15" customHeight="1">
      <c r="B28" s="179" t="s">
        <v>143</v>
      </c>
      <c r="C28" s="180" t="s">
        <v>144</v>
      </c>
      <c r="D28" s="180" t="s">
        <v>145</v>
      </c>
      <c r="E28" s="180" t="s">
        <v>146</v>
      </c>
      <c r="F28" s="180" t="s">
        <v>147</v>
      </c>
      <c r="G28" s="180" t="s">
        <v>148</v>
      </c>
      <c r="I28" s="26"/>
      <c r="M28" s="17"/>
      <c r="N28" s="10"/>
      <c r="O28" s="10"/>
      <c r="P28" s="10"/>
    </row>
    <row r="29" spans="2:16" s="29" customFormat="1" ht="15" customHeight="1">
      <c r="B29" s="90" t="s">
        <v>149</v>
      </c>
      <c r="C29" s="55"/>
      <c r="D29" s="426"/>
      <c r="E29" s="56">
        <f>C29*D29</f>
        <v>0</v>
      </c>
      <c r="F29" s="55"/>
      <c r="G29" s="55">
        <f>E29-F29</f>
        <v>0</v>
      </c>
      <c r="I29" s="26"/>
      <c r="M29" s="17"/>
      <c r="N29" s="10"/>
      <c r="O29" s="10"/>
      <c r="P29" s="10"/>
    </row>
    <row r="30" spans="2:16" s="29" customFormat="1" ht="15" customHeight="1">
      <c r="B30" s="90" t="s">
        <v>150</v>
      </c>
      <c r="C30" s="55"/>
      <c r="D30" s="426"/>
      <c r="E30" s="56">
        <f>C30*D30</f>
        <v>0</v>
      </c>
      <c r="F30" s="55"/>
      <c r="G30" s="55">
        <f>E30-F30</f>
        <v>0</v>
      </c>
      <c r="I30" s="26"/>
      <c r="M30" s="17"/>
      <c r="N30" s="10"/>
      <c r="O30" s="10"/>
      <c r="P30" s="10"/>
    </row>
    <row r="31" spans="2:16" s="29" customFormat="1" ht="15" customHeight="1">
      <c r="B31" s="91"/>
      <c r="C31" s="55"/>
      <c r="D31" s="426"/>
      <c r="E31" s="56">
        <f>C31*D31</f>
        <v>0</v>
      </c>
      <c r="F31" s="55"/>
      <c r="G31" s="55">
        <f>E31-F31</f>
        <v>0</v>
      </c>
      <c r="I31" s="26"/>
      <c r="M31" s="17"/>
      <c r="N31" s="10"/>
      <c r="O31" s="10"/>
      <c r="P31" s="10"/>
    </row>
    <row r="32" spans="2:16" ht="15" customHeight="1">
      <c r="G32" s="29"/>
      <c r="H32" s="29"/>
      <c r="I32" s="26"/>
      <c r="J32" s="29"/>
      <c r="K32" s="29"/>
      <c r="L32" s="29"/>
      <c r="M32" s="17"/>
    </row>
    <row r="33" spans="1:13" ht="7.5" customHeight="1">
      <c r="A33" s="17"/>
      <c r="B33" s="17"/>
      <c r="C33" s="17"/>
      <c r="D33" s="17"/>
      <c r="E33" s="17"/>
      <c r="F33" s="17"/>
      <c r="G33" s="17"/>
      <c r="H33" s="17"/>
      <c r="I33" s="17"/>
      <c r="J33" s="17"/>
      <c r="K33" s="17"/>
      <c r="L33" s="17"/>
      <c r="M33" s="17"/>
    </row>
  </sheetData>
  <sheetProtection formatCells="0" formatColumns="0" formatRows="0" insertColumns="0" insertRows="0" insertHyperlinks="0" deleteColumns="0" deleteRows="0" sort="0" autoFilter="0" pivotTables="0"/>
  <mergeCells count="11">
    <mergeCell ref="D27:E27"/>
    <mergeCell ref="J10:K10"/>
    <mergeCell ref="I10:I11"/>
    <mergeCell ref="B10:B11"/>
    <mergeCell ref="B22:G24"/>
    <mergeCell ref="F10:F11"/>
    <mergeCell ref="H10:H11"/>
    <mergeCell ref="C10:C11"/>
    <mergeCell ref="D10:D11"/>
    <mergeCell ref="E10:E11"/>
    <mergeCell ref="G10:G11"/>
  </mergeCells>
  <phoneticPr fontId="25" type="noConversion"/>
  <conditionalFormatting sqref="B22:B23">
    <cfRule type="containsBlanks" dxfId="15" priority="8">
      <formula>LEN(TRIM(B22))=0</formula>
    </cfRule>
  </conditionalFormatting>
  <conditionalFormatting sqref="B12:D16">
    <cfRule type="containsBlanks" dxfId="14" priority="3">
      <formula>LEN(TRIM(B12))=0</formula>
    </cfRule>
  </conditionalFormatting>
  <conditionalFormatting sqref="B29:D31 F29:F31">
    <cfRule type="containsBlanks" dxfId="13" priority="1">
      <formula>LEN(TRIM(B29))=0</formula>
    </cfRule>
  </conditionalFormatting>
  <conditionalFormatting sqref="G12:G16 J12:J16">
    <cfRule type="containsBlanks" dxfId="12" priority="2">
      <formula>LEN(TRIM(G12))=0</formula>
    </cfRule>
  </conditionalFormatting>
  <conditionalFormatting sqref="H12 E12:E16 I12:I16">
    <cfRule type="containsBlanks" dxfId="11" priority="4">
      <formula>LEN(TRIM(E12))=0</formula>
    </cfRule>
  </conditionalFormatting>
  <dataValidations count="1">
    <dataValidation type="list" allowBlank="1" showInputMessage="1" sqref="J12:J16" xr:uid="{F285CA13-F617-4961-9421-BC0CEC482802}">
      <formula1>"是,否,不适用"</formula1>
    </dataValidation>
  </dataValidations>
  <hyperlinks>
    <hyperlink ref="B4" location="汇总!A1" display="返回汇总页" xr:uid="{F4F673E0-803F-4592-96F2-74D95CDCEA4E}"/>
  </hyperlinks>
  <pageMargins left="0.7" right="0.7" top="0.75" bottom="0.75" header="0.3" footer="0.3"/>
  <pageSetup paperSize="9" scale="57" fitToHeight="0" orientation="landscape" horizontalDpi="300" r:id="rId1"/>
  <headerFooter>
    <oddFooter>&amp;LN SWP Trade Payables
(24 June 2025)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DAEB2-292D-40A6-8581-0963865D829F}">
  <dimension ref="A1:L24"/>
  <sheetViews>
    <sheetView showGridLines="0" zoomScale="70" zoomScaleNormal="70" workbookViewId="0"/>
  </sheetViews>
  <sheetFormatPr defaultColWidth="8.875" defaultRowHeight="14.25"/>
  <cols>
    <col min="1" max="1" width="2.625" style="92" customWidth="1"/>
    <col min="2" max="2" width="50.625" style="92" customWidth="1"/>
    <col min="3" max="8" width="20.75" style="92" customWidth="1"/>
    <col min="9" max="9" width="2.625" style="92" customWidth="1"/>
    <col min="10" max="10" width="1.625" style="92" customWidth="1"/>
    <col min="11" max="16384" width="8.875" style="92"/>
  </cols>
  <sheetData>
    <row r="1" spans="1:12" ht="50.1" customHeight="1">
      <c r="A1" s="30"/>
      <c r="B1" s="539" t="s">
        <v>151</v>
      </c>
      <c r="C1" s="540"/>
      <c r="D1" s="540"/>
      <c r="E1" s="540"/>
      <c r="F1" s="540"/>
      <c r="G1" s="540"/>
      <c r="H1" s="541"/>
      <c r="I1" s="30"/>
      <c r="J1" s="31" t="s">
        <v>152</v>
      </c>
      <c r="K1" s="30"/>
      <c r="L1" s="30"/>
    </row>
    <row r="2" spans="1:12" s="94" customFormat="1" ht="30" customHeight="1">
      <c r="A2" s="32"/>
      <c r="B2" s="93" t="s">
        <v>153</v>
      </c>
      <c r="C2" s="33"/>
      <c r="D2" s="33"/>
      <c r="E2" s="33"/>
      <c r="F2" s="33"/>
      <c r="G2" s="33"/>
      <c r="H2" s="34"/>
      <c r="I2" s="32"/>
      <c r="J2" s="35" t="s">
        <v>152</v>
      </c>
      <c r="K2" s="32"/>
      <c r="L2" s="32"/>
    </row>
    <row r="3" spans="1:12">
      <c r="A3" s="30"/>
      <c r="B3" s="36"/>
      <c r="C3" s="36"/>
      <c r="D3" s="30"/>
      <c r="E3" s="36"/>
      <c r="F3" s="37"/>
      <c r="G3" s="37"/>
      <c r="H3" s="30"/>
      <c r="I3" s="30"/>
      <c r="J3" s="31" t="s">
        <v>152</v>
      </c>
      <c r="K3" s="30"/>
      <c r="L3" s="30"/>
    </row>
    <row r="4" spans="1:12" ht="14.1" customHeight="1">
      <c r="A4" s="30"/>
      <c r="B4" s="542"/>
      <c r="C4" s="543"/>
      <c r="D4" s="543"/>
      <c r="E4" s="543"/>
      <c r="F4" s="543"/>
      <c r="G4" s="543"/>
      <c r="H4" s="544"/>
      <c r="I4" s="30"/>
      <c r="J4" s="31"/>
      <c r="K4" s="30"/>
      <c r="L4" s="30"/>
    </row>
    <row r="5" spans="1:12" ht="14.1" customHeight="1">
      <c r="A5" s="30"/>
      <c r="B5" s="545"/>
      <c r="C5" s="546"/>
      <c r="D5" s="546"/>
      <c r="E5" s="546"/>
      <c r="F5" s="546"/>
      <c r="G5" s="546"/>
      <c r="H5" s="547"/>
      <c r="I5" s="30"/>
      <c r="J5" s="31"/>
      <c r="K5" s="30"/>
      <c r="L5" s="30"/>
    </row>
    <row r="6" spans="1:12" ht="14.1" customHeight="1">
      <c r="A6" s="30"/>
      <c r="B6" s="545"/>
      <c r="C6" s="546"/>
      <c r="D6" s="546"/>
      <c r="E6" s="546"/>
      <c r="F6" s="546"/>
      <c r="G6" s="546"/>
      <c r="H6" s="547"/>
      <c r="I6" s="30"/>
      <c r="J6" s="31"/>
      <c r="K6" s="30"/>
      <c r="L6" s="30"/>
    </row>
    <row r="7" spans="1:12" ht="14.1" customHeight="1">
      <c r="A7" s="30"/>
      <c r="B7" s="545"/>
      <c r="C7" s="546"/>
      <c r="D7" s="546"/>
      <c r="E7" s="546"/>
      <c r="F7" s="546"/>
      <c r="G7" s="546"/>
      <c r="H7" s="547"/>
      <c r="I7" s="30"/>
      <c r="J7" s="31"/>
      <c r="K7" s="30"/>
      <c r="L7" s="30"/>
    </row>
    <row r="8" spans="1:12" ht="14.1" customHeight="1">
      <c r="A8" s="30"/>
      <c r="B8" s="545"/>
      <c r="C8" s="546"/>
      <c r="D8" s="546"/>
      <c r="E8" s="546"/>
      <c r="F8" s="546"/>
      <c r="G8" s="546"/>
      <c r="H8" s="547"/>
      <c r="I8" s="30"/>
      <c r="J8" s="31"/>
      <c r="K8" s="30"/>
      <c r="L8" s="30"/>
    </row>
    <row r="9" spans="1:12" ht="14.1" customHeight="1">
      <c r="A9" s="30"/>
      <c r="B9" s="545"/>
      <c r="C9" s="546"/>
      <c r="D9" s="546"/>
      <c r="E9" s="546"/>
      <c r="F9" s="546"/>
      <c r="G9" s="546"/>
      <c r="H9" s="547"/>
      <c r="I9" s="30"/>
      <c r="J9" s="31"/>
      <c r="K9" s="30"/>
      <c r="L9" s="30"/>
    </row>
    <row r="10" spans="1:12" ht="14.1" customHeight="1">
      <c r="A10" s="30"/>
      <c r="B10" s="545"/>
      <c r="C10" s="546"/>
      <c r="D10" s="546"/>
      <c r="E10" s="546"/>
      <c r="F10" s="546"/>
      <c r="G10" s="546"/>
      <c r="H10" s="547"/>
      <c r="I10" s="30"/>
      <c r="J10" s="31"/>
      <c r="K10" s="30"/>
      <c r="L10" s="30"/>
    </row>
    <row r="11" spans="1:12" ht="14.1" customHeight="1">
      <c r="A11" s="30"/>
      <c r="B11" s="545"/>
      <c r="C11" s="546"/>
      <c r="D11" s="546"/>
      <c r="E11" s="546"/>
      <c r="F11" s="546"/>
      <c r="G11" s="546"/>
      <c r="H11" s="547"/>
      <c r="I11" s="30"/>
      <c r="J11" s="31"/>
      <c r="K11" s="30"/>
      <c r="L11" s="30"/>
    </row>
    <row r="12" spans="1:12" ht="14.1" customHeight="1">
      <c r="A12" s="30"/>
      <c r="B12" s="545"/>
      <c r="C12" s="546"/>
      <c r="D12" s="546"/>
      <c r="E12" s="546"/>
      <c r="F12" s="546"/>
      <c r="G12" s="546"/>
      <c r="H12" s="547"/>
      <c r="I12" s="30"/>
      <c r="J12" s="31"/>
      <c r="K12" s="30"/>
      <c r="L12" s="30"/>
    </row>
    <row r="13" spans="1:12" ht="14.1" customHeight="1">
      <c r="A13" s="30"/>
      <c r="B13" s="545"/>
      <c r="C13" s="546"/>
      <c r="D13" s="546"/>
      <c r="E13" s="546"/>
      <c r="F13" s="546"/>
      <c r="G13" s="546"/>
      <c r="H13" s="547"/>
      <c r="I13" s="30"/>
      <c r="J13" s="31" t="s">
        <v>152</v>
      </c>
      <c r="K13" s="30"/>
      <c r="L13" s="30"/>
    </row>
    <row r="14" spans="1:12" ht="14.1" customHeight="1">
      <c r="A14" s="30"/>
      <c r="B14" s="545"/>
      <c r="C14" s="546"/>
      <c r="D14" s="546"/>
      <c r="E14" s="546"/>
      <c r="F14" s="546"/>
      <c r="G14" s="546"/>
      <c r="H14" s="547"/>
      <c r="I14" s="30"/>
      <c r="J14" s="31"/>
      <c r="K14" s="30"/>
      <c r="L14" s="30"/>
    </row>
    <row r="15" spans="1:12" ht="14.1" customHeight="1">
      <c r="A15" s="30"/>
      <c r="B15" s="548"/>
      <c r="C15" s="549"/>
      <c r="D15" s="549"/>
      <c r="E15" s="549"/>
      <c r="F15" s="549"/>
      <c r="G15" s="549"/>
      <c r="H15" s="550"/>
      <c r="I15" s="30"/>
      <c r="J15" s="31"/>
      <c r="K15" s="30"/>
      <c r="L15" s="30"/>
    </row>
    <row r="16" spans="1:12" ht="15" customHeight="1">
      <c r="A16" s="30"/>
      <c r="B16" s="30"/>
      <c r="C16" s="30"/>
      <c r="D16" s="30"/>
      <c r="E16" s="30"/>
      <c r="F16" s="30"/>
      <c r="G16" s="30"/>
      <c r="H16" s="30"/>
      <c r="I16" s="30"/>
      <c r="J16" s="31"/>
      <c r="K16" s="30"/>
      <c r="L16" s="30"/>
    </row>
    <row r="17" spans="1:12" ht="7.5" customHeight="1">
      <c r="A17" s="31" t="s">
        <v>152</v>
      </c>
      <c r="B17" s="31" t="s">
        <v>152</v>
      </c>
      <c r="C17" s="31" t="s">
        <v>152</v>
      </c>
      <c r="D17" s="31" t="s">
        <v>152</v>
      </c>
      <c r="E17" s="31" t="s">
        <v>152</v>
      </c>
      <c r="F17" s="31" t="s">
        <v>152</v>
      </c>
      <c r="G17" s="31" t="s">
        <v>152</v>
      </c>
      <c r="H17" s="31" t="s">
        <v>152</v>
      </c>
      <c r="I17" s="31" t="s">
        <v>152</v>
      </c>
      <c r="J17" s="31" t="s">
        <v>152</v>
      </c>
      <c r="K17" s="30"/>
      <c r="L17" s="30"/>
    </row>
    <row r="18" spans="1:12">
      <c r="A18" s="30"/>
      <c r="B18" s="30"/>
      <c r="C18" s="30"/>
      <c r="D18" s="30"/>
      <c r="E18" s="30"/>
      <c r="F18" s="30"/>
      <c r="G18" s="30"/>
      <c r="H18" s="30"/>
      <c r="I18" s="30"/>
      <c r="J18" s="30"/>
      <c r="K18" s="30"/>
      <c r="L18" s="30"/>
    </row>
    <row r="19" spans="1:12">
      <c r="A19" s="30"/>
      <c r="B19" s="30"/>
      <c r="C19" s="30"/>
      <c r="D19" s="30"/>
      <c r="E19" s="30"/>
      <c r="F19" s="30"/>
      <c r="G19" s="30"/>
      <c r="H19" s="30"/>
      <c r="I19" s="30"/>
      <c r="J19" s="30"/>
      <c r="K19" s="30"/>
      <c r="L19" s="30"/>
    </row>
    <row r="20" spans="1:12">
      <c r="A20" s="30"/>
      <c r="B20" s="30"/>
      <c r="C20" s="30"/>
      <c r="D20" s="30"/>
      <c r="E20" s="30"/>
      <c r="F20" s="30"/>
      <c r="G20" s="30"/>
      <c r="H20" s="30"/>
      <c r="I20" s="30"/>
      <c r="J20" s="30"/>
      <c r="K20" s="30"/>
      <c r="L20" s="30"/>
    </row>
    <row r="21" spans="1:12">
      <c r="A21" s="30"/>
      <c r="B21" s="30"/>
      <c r="C21" s="30"/>
      <c r="D21" s="30"/>
      <c r="E21" s="30"/>
      <c r="F21" s="30"/>
      <c r="G21" s="30"/>
      <c r="H21" s="30"/>
      <c r="I21" s="30"/>
      <c r="J21" s="30"/>
      <c r="K21" s="30"/>
      <c r="L21" s="30"/>
    </row>
    <row r="22" spans="1:12">
      <c r="A22" s="30"/>
      <c r="B22" s="30"/>
      <c r="C22" s="30"/>
      <c r="D22" s="30"/>
      <c r="E22" s="30"/>
      <c r="F22" s="30"/>
      <c r="G22" s="30"/>
      <c r="H22" s="30"/>
      <c r="I22" s="30"/>
      <c r="J22" s="30"/>
      <c r="K22" s="30"/>
      <c r="L22" s="30"/>
    </row>
    <row r="23" spans="1:12">
      <c r="A23" s="30"/>
      <c r="B23" s="30"/>
      <c r="C23" s="30"/>
      <c r="D23" s="30"/>
      <c r="E23" s="30"/>
      <c r="F23" s="30"/>
      <c r="G23" s="30"/>
      <c r="H23" s="30"/>
      <c r="I23" s="30"/>
      <c r="J23" s="30"/>
      <c r="K23" s="30"/>
      <c r="L23" s="30"/>
    </row>
    <row r="24" spans="1:12">
      <c r="A24" s="30"/>
      <c r="B24" s="30"/>
      <c r="C24" s="30"/>
      <c r="D24" s="30"/>
      <c r="E24" s="30"/>
      <c r="F24" s="30"/>
      <c r="G24" s="30"/>
      <c r="H24" s="30"/>
      <c r="I24" s="30"/>
      <c r="J24" s="30"/>
      <c r="K24" s="30"/>
      <c r="L24" s="30"/>
    </row>
  </sheetData>
  <mergeCells count="2">
    <mergeCell ref="B1:H1"/>
    <mergeCell ref="B4:H15"/>
  </mergeCells>
  <phoneticPr fontId="25" type="noConversion"/>
  <conditionalFormatting sqref="B4">
    <cfRule type="containsBlanks" dxfId="10" priority="1">
      <formula>LEN(TRIM(B4))=0</formula>
    </cfRule>
  </conditionalFormatting>
  <pageMargins left="0.7" right="0.7" top="0.75" bottom="0.75" header="0.3" footer="0.3"/>
  <pageSetup paperSize="9" orientation="portrait" horizontalDpi="300" r:id="rId1"/>
  <headerFooter>
    <oddFooter>&amp;LPAL SWP Accrued Liabilities
(24 June 2025)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X93"/>
  <sheetViews>
    <sheetView showGridLines="0" zoomScale="70" zoomScaleNormal="70" workbookViewId="0"/>
  </sheetViews>
  <sheetFormatPr defaultColWidth="8.75" defaultRowHeight="13.35" customHeight="1"/>
  <cols>
    <col min="1" max="1" width="2.625" style="194" customWidth="1"/>
    <col min="2" max="2" width="20.875" style="199" customWidth="1"/>
    <col min="3" max="3" width="17.75" style="195" customWidth="1"/>
    <col min="4" max="4" width="26" style="195" customWidth="1"/>
    <col min="5" max="5" width="20.125" style="195" customWidth="1"/>
    <col min="6" max="6" width="17.375" style="195" customWidth="1"/>
    <col min="7" max="9" width="18.125" style="195" customWidth="1"/>
    <col min="10" max="10" width="15.5" style="195" customWidth="1"/>
    <col min="11" max="11" width="17.125" style="195" customWidth="1"/>
    <col min="12" max="12" width="9.5" style="195" customWidth="1"/>
    <col min="13" max="13" width="9.375" style="195" customWidth="1"/>
    <col min="14" max="14" width="9.25" style="195" customWidth="1"/>
    <col min="15" max="15" width="25.5" style="195" customWidth="1"/>
    <col min="16" max="16" width="2.625" style="195" customWidth="1"/>
    <col min="17" max="17" width="1.625" style="195" customWidth="1"/>
    <col min="18" max="18" width="12.75" style="195" customWidth="1"/>
    <col min="19" max="19" width="8.375" style="195" customWidth="1"/>
    <col min="20" max="20" width="9.375" style="195" customWidth="1"/>
    <col min="21" max="21" width="9.75" style="195" customWidth="1"/>
    <col min="22" max="22" width="12.375" style="195" customWidth="1"/>
    <col min="23" max="23" width="10.375" style="195" customWidth="1"/>
    <col min="24" max="24" width="12.375" style="195" customWidth="1"/>
    <col min="25" max="25" width="8.375" style="195" customWidth="1"/>
    <col min="26" max="26" width="9.375" style="195" customWidth="1"/>
    <col min="27" max="28" width="8.375" style="195" customWidth="1"/>
    <col min="29" max="29" width="10.75" style="195" customWidth="1"/>
    <col min="30" max="30" width="10.375" style="195" customWidth="1"/>
    <col min="31" max="31" width="12" style="195" customWidth="1"/>
    <col min="32" max="32" width="8.375" style="195" customWidth="1"/>
    <col min="33" max="33" width="10.125" style="195" customWidth="1"/>
    <col min="34" max="34" width="11.125" style="195" customWidth="1"/>
    <col min="35" max="37" width="8.375" style="195" customWidth="1"/>
    <col min="38" max="38" width="21.375" style="195" customWidth="1"/>
    <col min="39" max="39" width="19.75" style="195" customWidth="1"/>
    <col min="40" max="40" width="20.75" style="195" customWidth="1"/>
    <col min="41" max="41" width="17.375" style="195" customWidth="1"/>
    <col min="42" max="42" width="14.375" style="195" customWidth="1"/>
    <col min="43" max="43" width="13.75" style="195" customWidth="1"/>
    <col min="44" max="44" width="9.375" style="195" customWidth="1"/>
    <col min="45" max="98" width="8.75" style="195"/>
    <col min="99" max="99" width="13.125" style="196" customWidth="1"/>
    <col min="100" max="100" width="7.375" style="196" customWidth="1"/>
    <col min="101" max="110" width="8.75" style="196"/>
    <col min="111" max="111" width="14.375" style="196" customWidth="1"/>
    <col min="112" max="117" width="8.75" style="196"/>
    <col min="118" max="118" width="10.375" style="196" customWidth="1"/>
    <col min="119" max="122" width="8.75" style="196"/>
    <col min="123" max="123" width="10.125" style="196" customWidth="1"/>
    <col min="124" max="124" width="12.375" style="196" customWidth="1"/>
    <col min="125" max="125" width="8.75" style="197"/>
    <col min="126" max="126" width="8.75" style="196"/>
    <col min="127" max="127" width="8.75" style="198"/>
    <col min="128" max="16384" width="8.75" style="195"/>
  </cols>
  <sheetData>
    <row r="1" spans="1:127" s="193" customFormat="1" ht="50.1" customHeight="1">
      <c r="A1" s="10"/>
      <c r="B1" s="331" t="s">
        <v>154</v>
      </c>
      <c r="C1" s="332"/>
      <c r="D1" s="333"/>
      <c r="E1" s="333"/>
      <c r="F1" s="333"/>
      <c r="G1" s="333"/>
      <c r="H1" s="333"/>
      <c r="I1" s="333"/>
      <c r="J1" s="333"/>
      <c r="K1" s="333"/>
      <c r="L1" s="333"/>
      <c r="M1" s="333"/>
      <c r="N1" s="334"/>
      <c r="O1" s="335"/>
      <c r="P1" s="10"/>
      <c r="Q1" s="17"/>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row>
    <row r="2" spans="1:127" s="193" customFormat="1" ht="30" customHeight="1">
      <c r="A2" s="10"/>
      <c r="B2" s="336" t="s">
        <v>155</v>
      </c>
      <c r="C2" s="337"/>
      <c r="D2" s="337"/>
      <c r="E2" s="337"/>
      <c r="F2" s="337"/>
      <c r="G2" s="337"/>
      <c r="H2" s="337"/>
      <c r="I2" s="337"/>
      <c r="J2" s="337"/>
      <c r="K2" s="337"/>
      <c r="L2" s="337"/>
      <c r="M2" s="337"/>
      <c r="N2" s="337"/>
      <c r="O2" s="338"/>
      <c r="P2" s="10"/>
      <c r="Q2" s="17"/>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row>
    <row r="3" spans="1:127" s="193" customFormat="1" ht="15" customHeight="1">
      <c r="A3" s="10"/>
      <c r="B3" s="10"/>
      <c r="C3" s="10"/>
      <c r="D3" s="10"/>
      <c r="E3" s="10"/>
      <c r="F3" s="10"/>
      <c r="G3" s="10"/>
      <c r="H3" s="10"/>
      <c r="I3" s="10"/>
      <c r="J3" s="10"/>
      <c r="K3" s="10"/>
      <c r="L3" s="10"/>
      <c r="M3" s="339"/>
      <c r="N3" s="339"/>
      <c r="O3" s="339"/>
      <c r="P3" s="10"/>
      <c r="Q3" s="17"/>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row>
    <row r="4" spans="1:127" s="193" customFormat="1" ht="15" customHeight="1">
      <c r="A4" s="10"/>
      <c r="B4" s="201" t="s">
        <v>44</v>
      </c>
      <c r="C4" s="10"/>
      <c r="D4" s="10"/>
      <c r="E4" s="10"/>
      <c r="F4" s="10"/>
      <c r="G4" s="10"/>
      <c r="H4" s="10"/>
      <c r="I4" s="10"/>
      <c r="J4" s="10"/>
      <c r="K4" s="10"/>
      <c r="L4" s="10"/>
      <c r="M4" s="340"/>
      <c r="N4" s="340"/>
      <c r="O4" s="340"/>
      <c r="P4" s="10"/>
      <c r="Q4" s="17"/>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row>
    <row r="5" spans="1:127" s="193" customFormat="1" ht="15" customHeight="1">
      <c r="A5" s="10"/>
      <c r="B5" s="10"/>
      <c r="C5" s="10"/>
      <c r="D5" s="10"/>
      <c r="E5" s="10"/>
      <c r="F5" s="10"/>
      <c r="G5" s="10"/>
      <c r="H5" s="10"/>
      <c r="I5" s="10"/>
      <c r="J5" s="10"/>
      <c r="K5" s="10"/>
      <c r="L5" s="10"/>
      <c r="M5" s="340"/>
      <c r="N5" s="340"/>
      <c r="O5" s="340"/>
      <c r="P5" s="10"/>
      <c r="Q5" s="17"/>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row>
    <row r="6" spans="1:127" s="193" customFormat="1" ht="15" customHeight="1">
      <c r="A6" s="10"/>
      <c r="B6" s="433">
        <f>'N.00 Lead sheet'!E15</f>
        <v>0</v>
      </c>
      <c r="C6" s="86" t="s">
        <v>156</v>
      </c>
      <c r="D6" s="47"/>
      <c r="E6" s="10"/>
      <c r="F6" s="10"/>
      <c r="G6" s="10"/>
      <c r="H6" s="10"/>
      <c r="I6" s="10"/>
      <c r="J6" s="10"/>
      <c r="K6" s="10"/>
      <c r="L6" s="10"/>
      <c r="M6" s="10"/>
      <c r="N6" s="10"/>
      <c r="O6" s="10"/>
      <c r="P6" s="10"/>
      <c r="Q6" s="17"/>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row>
    <row r="7" spans="1:127" ht="15" customHeight="1">
      <c r="A7" s="341"/>
      <c r="B7" s="342"/>
      <c r="C7" s="343"/>
      <c r="D7" s="344"/>
      <c r="E7" s="344"/>
      <c r="F7" s="344"/>
      <c r="G7" s="344"/>
      <c r="H7" s="344"/>
      <c r="I7" s="344"/>
      <c r="J7" s="344"/>
      <c r="K7" s="2"/>
      <c r="L7" s="2"/>
      <c r="M7" s="2"/>
      <c r="N7" s="2"/>
      <c r="O7" s="2"/>
      <c r="P7" s="10"/>
      <c r="Q7" s="17"/>
      <c r="R7" s="2"/>
      <c r="S7" s="2"/>
      <c r="T7" s="344"/>
      <c r="U7" s="2"/>
      <c r="V7" s="2"/>
      <c r="W7" s="2"/>
      <c r="X7" s="2"/>
      <c r="Y7" s="2"/>
      <c r="Z7" s="2"/>
      <c r="AA7" s="2"/>
      <c r="AB7" s="2"/>
      <c r="AC7" s="344"/>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345"/>
      <c r="CX7" s="345"/>
      <c r="CY7" s="345"/>
      <c r="CZ7" s="345"/>
      <c r="DA7" s="345"/>
      <c r="DB7" s="345"/>
      <c r="DC7" s="345"/>
      <c r="DD7" s="345"/>
      <c r="DE7" s="2"/>
      <c r="DF7" s="345"/>
      <c r="DG7" s="345"/>
      <c r="DH7" s="345"/>
      <c r="DI7" s="345"/>
      <c r="DJ7" s="345"/>
      <c r="DK7" s="2"/>
      <c r="DL7" s="2"/>
      <c r="DM7" s="2"/>
      <c r="DN7" s="2"/>
      <c r="DO7" s="2"/>
      <c r="DP7" s="2"/>
      <c r="DQ7" s="2"/>
      <c r="DR7" s="2"/>
      <c r="DS7" s="2"/>
      <c r="DT7" s="346"/>
      <c r="DU7" s="2"/>
      <c r="DV7" s="2"/>
      <c r="DW7" s="2"/>
    </row>
    <row r="8" spans="1:127" s="196" customFormat="1" ht="13.35" customHeight="1">
      <c r="A8" s="347"/>
      <c r="B8" s="574" t="s">
        <v>157</v>
      </c>
      <c r="C8" s="575"/>
      <c r="D8" s="575"/>
      <c r="E8" s="575"/>
      <c r="F8" s="576"/>
      <c r="G8" s="348"/>
      <c r="H8" s="348"/>
      <c r="I8" s="348"/>
      <c r="J8" s="348"/>
      <c r="K8" s="348"/>
      <c r="L8" s="348"/>
      <c r="M8" s="348"/>
      <c r="N8" s="348"/>
      <c r="O8" s="348"/>
      <c r="P8" s="10"/>
      <c r="Q8" s="17"/>
      <c r="R8" s="348"/>
      <c r="S8" s="348"/>
      <c r="T8" s="348"/>
      <c r="U8" s="348"/>
      <c r="V8" s="348"/>
      <c r="W8" s="348"/>
      <c r="X8" s="348"/>
      <c r="Y8" s="348"/>
      <c r="Z8" s="348"/>
      <c r="AA8" s="2"/>
      <c r="AB8" s="2"/>
      <c r="AC8" s="2"/>
      <c r="AD8" s="2"/>
      <c r="AE8" s="2"/>
      <c r="AF8" s="2"/>
      <c r="AG8" s="2"/>
      <c r="AH8" s="2"/>
      <c r="AI8" s="345"/>
      <c r="AJ8" s="345"/>
      <c r="AK8" s="345"/>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345"/>
      <c r="CH8" s="345"/>
      <c r="CI8" s="345"/>
      <c r="CJ8" s="345"/>
      <c r="CK8" s="345"/>
      <c r="CL8" s="345"/>
      <c r="CM8" s="345"/>
      <c r="CN8" s="345"/>
      <c r="CO8" s="345"/>
      <c r="CP8" s="345"/>
      <c r="CQ8" s="345"/>
      <c r="CR8" s="345"/>
      <c r="CS8" s="345"/>
      <c r="CT8" s="345"/>
      <c r="CU8" s="345"/>
      <c r="CV8" s="345"/>
      <c r="CW8" s="345"/>
      <c r="CX8" s="345"/>
      <c r="CY8" s="345"/>
      <c r="CZ8" s="345"/>
      <c r="DA8" s="345"/>
      <c r="DB8" s="345"/>
      <c r="DC8" s="345"/>
      <c r="DD8" s="345"/>
      <c r="DE8" s="345"/>
      <c r="DF8" s="345"/>
      <c r="DG8" s="349"/>
      <c r="DH8" s="345"/>
      <c r="DI8" s="350"/>
      <c r="DJ8" s="345"/>
      <c r="DK8" s="345"/>
      <c r="DL8" s="345"/>
      <c r="DM8" s="345"/>
      <c r="DN8" s="345"/>
      <c r="DO8" s="345"/>
      <c r="DP8" s="345"/>
      <c r="DQ8" s="345"/>
      <c r="DR8" s="345"/>
      <c r="DS8" s="345"/>
      <c r="DT8" s="345"/>
      <c r="DU8" s="345"/>
      <c r="DV8" s="345"/>
      <c r="DW8" s="345"/>
    </row>
    <row r="9" spans="1:127" s="196" customFormat="1" ht="30" customHeight="1">
      <c r="A9" s="347"/>
      <c r="B9" s="584" t="s">
        <v>158</v>
      </c>
      <c r="C9" s="585"/>
      <c r="D9" s="585"/>
      <c r="E9" s="585"/>
      <c r="F9" s="586"/>
      <c r="G9" s="348"/>
      <c r="H9" s="348"/>
      <c r="I9" s="348"/>
      <c r="J9" s="348"/>
      <c r="K9" s="348"/>
      <c r="L9" s="348"/>
      <c r="M9" s="348"/>
      <c r="N9" s="348"/>
      <c r="O9" s="348"/>
      <c r="P9" s="10"/>
      <c r="Q9" s="17"/>
      <c r="R9" s="348"/>
      <c r="S9" s="348"/>
      <c r="T9" s="348"/>
      <c r="U9" s="348"/>
      <c r="V9" s="348"/>
      <c r="W9" s="348"/>
      <c r="X9" s="348"/>
      <c r="Y9" s="348"/>
      <c r="Z9" s="348"/>
      <c r="AA9" s="2"/>
      <c r="AB9" s="2"/>
      <c r="AC9" s="2"/>
      <c r="AD9" s="2"/>
      <c r="AE9" s="2"/>
      <c r="AF9" s="2"/>
      <c r="AG9" s="2"/>
      <c r="AH9" s="2"/>
      <c r="AI9" s="345"/>
      <c r="AJ9" s="345"/>
      <c r="AK9" s="345"/>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345"/>
      <c r="CH9" s="345"/>
      <c r="CI9" s="345"/>
      <c r="CJ9" s="345"/>
      <c r="CK9" s="345"/>
      <c r="CL9" s="345"/>
      <c r="CM9" s="345"/>
      <c r="CN9" s="345"/>
      <c r="CO9" s="345"/>
      <c r="CP9" s="345"/>
      <c r="CQ9" s="345"/>
      <c r="CR9" s="345"/>
      <c r="CS9" s="345"/>
      <c r="CT9" s="345"/>
      <c r="CU9" s="345"/>
      <c r="CV9" s="345"/>
      <c r="CW9" s="345"/>
      <c r="CX9" s="345"/>
      <c r="CY9" s="345"/>
      <c r="CZ9" s="345"/>
      <c r="DA9" s="345"/>
      <c r="DB9" s="345"/>
      <c r="DC9" s="345"/>
      <c r="DD9" s="345"/>
      <c r="DE9" s="345"/>
      <c r="DF9" s="345"/>
      <c r="DG9" s="349"/>
      <c r="DH9" s="345"/>
      <c r="DI9" s="350"/>
      <c r="DJ9" s="345"/>
      <c r="DK9" s="345"/>
      <c r="DL9" s="345"/>
      <c r="DM9" s="345"/>
      <c r="DN9" s="345"/>
      <c r="DO9" s="345"/>
      <c r="DP9" s="345"/>
      <c r="DQ9" s="345"/>
      <c r="DR9" s="345"/>
      <c r="DS9" s="345"/>
      <c r="DT9" s="345"/>
      <c r="DU9" s="345"/>
      <c r="DV9" s="345"/>
      <c r="DW9" s="345"/>
    </row>
    <row r="10" spans="1:127" s="196" customFormat="1" ht="15" customHeight="1">
      <c r="A10" s="347"/>
      <c r="B10" s="590" t="s">
        <v>159</v>
      </c>
      <c r="C10" s="591"/>
      <c r="D10" s="591"/>
      <c r="E10" s="591"/>
      <c r="F10" s="592"/>
      <c r="G10" s="348"/>
      <c r="H10" s="348"/>
      <c r="I10" s="348"/>
      <c r="J10" s="348"/>
      <c r="K10" s="348"/>
      <c r="L10" s="348"/>
      <c r="M10" s="348"/>
      <c r="N10" s="348"/>
      <c r="O10" s="348"/>
      <c r="P10" s="10"/>
      <c r="Q10" s="17"/>
      <c r="R10" s="348"/>
      <c r="S10" s="348"/>
      <c r="T10" s="348"/>
      <c r="U10" s="348"/>
      <c r="V10" s="348"/>
      <c r="W10" s="348"/>
      <c r="X10" s="348"/>
      <c r="Y10" s="348"/>
      <c r="Z10" s="348"/>
      <c r="AA10" s="2"/>
      <c r="AB10" s="2"/>
      <c r="AC10" s="2"/>
      <c r="AD10" s="2"/>
      <c r="AE10" s="2"/>
      <c r="AF10" s="2"/>
      <c r="AG10" s="2"/>
      <c r="AH10" s="2"/>
      <c r="AI10" s="345"/>
      <c r="AJ10" s="345"/>
      <c r="AK10" s="345"/>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345"/>
      <c r="CH10" s="345"/>
      <c r="CI10" s="345"/>
      <c r="CJ10" s="345"/>
      <c r="CK10" s="345"/>
      <c r="CL10" s="345"/>
      <c r="CM10" s="345"/>
      <c r="CN10" s="345"/>
      <c r="CO10" s="345"/>
      <c r="CP10" s="345"/>
      <c r="CQ10" s="345"/>
      <c r="CR10" s="345"/>
      <c r="CS10" s="345"/>
      <c r="CT10" s="345"/>
      <c r="CU10" s="345"/>
      <c r="CV10" s="345"/>
      <c r="CW10" s="345"/>
      <c r="CX10" s="345"/>
      <c r="CY10" s="345"/>
      <c r="CZ10" s="345"/>
      <c r="DA10" s="345"/>
      <c r="DB10" s="345"/>
      <c r="DC10" s="345"/>
      <c r="DD10" s="345"/>
      <c r="DE10" s="345"/>
      <c r="DF10" s="345"/>
      <c r="DG10" s="349"/>
      <c r="DH10" s="345"/>
      <c r="DI10" s="350"/>
      <c r="DJ10" s="345"/>
      <c r="DK10" s="345"/>
      <c r="DL10" s="345"/>
      <c r="DM10" s="345"/>
      <c r="DN10" s="345"/>
      <c r="DO10" s="345"/>
      <c r="DP10" s="345"/>
      <c r="DQ10" s="345"/>
      <c r="DR10" s="345"/>
      <c r="DS10" s="345"/>
      <c r="DT10" s="345"/>
      <c r="DU10" s="345"/>
      <c r="DV10" s="345"/>
      <c r="DW10" s="345"/>
    </row>
    <row r="11" spans="1:127" s="196" customFormat="1" ht="15" customHeight="1">
      <c r="A11" s="347"/>
      <c r="B11" s="587" t="s">
        <v>160</v>
      </c>
      <c r="C11" s="588"/>
      <c r="D11" s="588"/>
      <c r="E11" s="588"/>
      <c r="F11" s="589"/>
      <c r="G11" s="348"/>
      <c r="H11" s="348"/>
      <c r="I11" s="348"/>
      <c r="J11" s="348"/>
      <c r="K11" s="348"/>
      <c r="L11" s="348"/>
      <c r="M11" s="348"/>
      <c r="N11" s="348"/>
      <c r="O11" s="348"/>
      <c r="P11" s="10"/>
      <c r="Q11" s="17"/>
      <c r="R11" s="348"/>
      <c r="S11" s="348"/>
      <c r="T11" s="348"/>
      <c r="U11" s="348"/>
      <c r="V11" s="348"/>
      <c r="W11" s="348"/>
      <c r="X11" s="348"/>
      <c r="Y11" s="348"/>
      <c r="Z11" s="348"/>
      <c r="AA11" s="2"/>
      <c r="AB11" s="2"/>
      <c r="AC11" s="2"/>
      <c r="AD11" s="2"/>
      <c r="AE11" s="2"/>
      <c r="AF11" s="2"/>
      <c r="AG11" s="2"/>
      <c r="AH11" s="2"/>
      <c r="AI11" s="345"/>
      <c r="AJ11" s="345"/>
      <c r="AK11" s="345"/>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345"/>
      <c r="CH11" s="345"/>
      <c r="CI11" s="345"/>
      <c r="CJ11" s="345"/>
      <c r="CK11" s="345"/>
      <c r="CL11" s="345"/>
      <c r="CM11" s="345"/>
      <c r="CN11" s="345"/>
      <c r="CO11" s="345"/>
      <c r="CP11" s="345"/>
      <c r="CQ11" s="345"/>
      <c r="CR11" s="345"/>
      <c r="CS11" s="345"/>
      <c r="CT11" s="345"/>
      <c r="CU11" s="345"/>
      <c r="CV11" s="345"/>
      <c r="CW11" s="345"/>
      <c r="CX11" s="345"/>
      <c r="CY11" s="345"/>
      <c r="CZ11" s="345"/>
      <c r="DA11" s="345"/>
      <c r="DB11" s="345"/>
      <c r="DC11" s="345"/>
      <c r="DD11" s="345"/>
      <c r="DE11" s="345"/>
      <c r="DF11" s="345"/>
      <c r="DG11" s="349"/>
      <c r="DH11" s="345"/>
      <c r="DI11" s="350"/>
      <c r="DJ11" s="345"/>
      <c r="DK11" s="345"/>
      <c r="DL11" s="345"/>
      <c r="DM11" s="345"/>
      <c r="DN11" s="345"/>
      <c r="DO11" s="345"/>
      <c r="DP11" s="345"/>
      <c r="DQ11" s="345"/>
      <c r="DR11" s="345"/>
      <c r="DS11" s="345"/>
      <c r="DT11" s="345"/>
      <c r="DU11" s="345"/>
      <c r="DV11" s="345"/>
      <c r="DW11" s="345"/>
    </row>
    <row r="12" spans="1:127" s="196" customFormat="1" ht="15" customHeight="1">
      <c r="A12" s="347"/>
      <c r="B12" s="2"/>
      <c r="C12" s="2"/>
      <c r="D12" s="2"/>
      <c r="E12" s="2"/>
      <c r="F12" s="2"/>
      <c r="G12" s="351"/>
      <c r="H12" s="351"/>
      <c r="I12" s="351"/>
      <c r="J12" s="351"/>
      <c r="K12" s="348"/>
      <c r="L12" s="348"/>
      <c r="M12" s="348"/>
      <c r="N12" s="348"/>
      <c r="O12" s="348"/>
      <c r="P12" s="10"/>
      <c r="Q12" s="17"/>
      <c r="R12" s="348"/>
      <c r="S12" s="348"/>
      <c r="T12" s="348"/>
      <c r="U12" s="348"/>
      <c r="V12" s="348"/>
      <c r="W12" s="348"/>
      <c r="X12" s="348"/>
      <c r="Y12" s="348"/>
      <c r="Z12" s="348"/>
      <c r="AA12" s="348"/>
      <c r="AB12" s="348"/>
      <c r="AC12" s="348"/>
      <c r="AD12" s="348"/>
      <c r="AE12" s="348"/>
      <c r="AF12" s="348"/>
      <c r="AG12" s="2"/>
      <c r="AH12" s="2"/>
      <c r="AI12" s="2"/>
      <c r="AJ12" s="2"/>
      <c r="AK12" s="2"/>
      <c r="AL12" s="2"/>
      <c r="AM12" s="2"/>
      <c r="AN12" s="2"/>
      <c r="AO12" s="345"/>
      <c r="AP12" s="345"/>
      <c r="AQ12" s="345"/>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345"/>
      <c r="CN12" s="345"/>
      <c r="CO12" s="345"/>
      <c r="CP12" s="345"/>
      <c r="CQ12" s="345"/>
      <c r="CR12" s="345"/>
      <c r="CS12" s="345"/>
      <c r="CT12" s="345"/>
      <c r="CU12" s="345"/>
      <c r="CV12" s="345"/>
      <c r="CW12" s="345"/>
      <c r="CX12" s="345"/>
      <c r="CY12" s="345"/>
      <c r="CZ12" s="345"/>
      <c r="DA12" s="345"/>
      <c r="DB12" s="345"/>
      <c r="DC12" s="345"/>
      <c r="DD12" s="345"/>
      <c r="DE12" s="345"/>
      <c r="DF12" s="345"/>
      <c r="DG12" s="345"/>
      <c r="DH12" s="345"/>
      <c r="DI12" s="345"/>
      <c r="DJ12" s="345"/>
      <c r="DK12" s="345"/>
      <c r="DL12" s="345"/>
      <c r="DM12" s="349"/>
      <c r="DN12" s="345"/>
      <c r="DO12" s="350"/>
      <c r="DP12" s="345"/>
      <c r="DQ12" s="345"/>
      <c r="DR12" s="345"/>
      <c r="DS12" s="345"/>
      <c r="DT12" s="345"/>
      <c r="DU12" s="345"/>
      <c r="DV12" s="345"/>
      <c r="DW12" s="345"/>
    </row>
    <row r="13" spans="1:127" s="196" customFormat="1" ht="20.45" customHeight="1">
      <c r="A13" s="347"/>
      <c r="B13" s="352" t="s">
        <v>161</v>
      </c>
      <c r="C13" s="353"/>
      <c r="D13" s="353"/>
      <c r="E13" s="353"/>
      <c r="F13" s="353"/>
      <c r="G13" s="354"/>
      <c r="H13" s="354"/>
      <c r="I13" s="354"/>
      <c r="J13" s="354"/>
      <c r="K13" s="354"/>
      <c r="L13" s="354"/>
      <c r="M13" s="354"/>
      <c r="N13" s="354"/>
      <c r="O13" s="354"/>
      <c r="P13" s="10"/>
      <c r="Q13" s="17"/>
      <c r="R13" s="348"/>
      <c r="S13" s="348"/>
      <c r="T13" s="348"/>
      <c r="U13" s="348"/>
      <c r="V13" s="348"/>
      <c r="W13" s="348"/>
      <c r="X13" s="348"/>
      <c r="Y13" s="348"/>
      <c r="Z13" s="348"/>
      <c r="AA13" s="348"/>
      <c r="AB13" s="348"/>
      <c r="AC13" s="348"/>
      <c r="AD13" s="348"/>
      <c r="AE13" s="348"/>
      <c r="AF13" s="348"/>
      <c r="AG13" s="348"/>
      <c r="AH13" s="348"/>
      <c r="AI13" s="348"/>
      <c r="AJ13" s="348"/>
      <c r="AK13" s="348"/>
      <c r="AL13" s="2"/>
      <c r="AM13" s="2"/>
      <c r="AN13" s="2"/>
      <c r="AO13" s="2"/>
      <c r="AP13" s="2"/>
      <c r="AQ13" s="2"/>
      <c r="AR13" s="2"/>
      <c r="AS13" s="2"/>
      <c r="AT13" s="345"/>
      <c r="AU13" s="345"/>
      <c r="AV13" s="345"/>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345"/>
      <c r="CS13" s="345"/>
      <c r="CT13" s="345"/>
      <c r="CU13" s="345"/>
      <c r="CV13" s="345"/>
      <c r="CW13" s="345"/>
      <c r="CX13" s="345"/>
      <c r="CY13" s="345"/>
      <c r="CZ13" s="345"/>
      <c r="DA13" s="345"/>
      <c r="DB13" s="345"/>
      <c r="DC13" s="345"/>
      <c r="DD13" s="345"/>
      <c r="DE13" s="345"/>
      <c r="DF13" s="345"/>
      <c r="DG13" s="345"/>
      <c r="DH13" s="345"/>
      <c r="DI13" s="345"/>
      <c r="DJ13" s="345"/>
      <c r="DK13" s="345"/>
      <c r="DL13" s="345"/>
      <c r="DM13" s="345"/>
      <c r="DN13" s="345"/>
      <c r="DO13" s="345"/>
      <c r="DP13" s="345"/>
      <c r="DQ13" s="345"/>
      <c r="DR13" s="349"/>
      <c r="DS13" s="345"/>
      <c r="DT13" s="350"/>
      <c r="DU13" s="345"/>
      <c r="DV13" s="345"/>
      <c r="DW13" s="345"/>
    </row>
    <row r="14" spans="1:127" s="196" customFormat="1" ht="15" customHeight="1">
      <c r="A14" s="347"/>
      <c r="B14" s="596" t="s">
        <v>162</v>
      </c>
      <c r="C14" s="596"/>
      <c r="D14" s="596"/>
      <c r="E14" s="596"/>
      <c r="F14" s="596"/>
      <c r="G14" s="351"/>
      <c r="H14" s="351"/>
      <c r="I14" s="351"/>
      <c r="J14" s="351"/>
      <c r="K14" s="351"/>
      <c r="L14" s="351"/>
      <c r="M14" s="351"/>
      <c r="N14" s="351"/>
      <c r="O14" s="351"/>
      <c r="P14" s="10"/>
      <c r="Q14" s="17"/>
      <c r="R14" s="348"/>
      <c r="S14" s="348"/>
      <c r="T14" s="348"/>
      <c r="U14" s="348"/>
      <c r="V14" s="348"/>
      <c r="W14" s="348"/>
      <c r="X14" s="348"/>
      <c r="Y14" s="348"/>
      <c r="Z14" s="348"/>
      <c r="AA14" s="348"/>
      <c r="AB14" s="348"/>
      <c r="AC14" s="348"/>
      <c r="AD14" s="348"/>
      <c r="AE14" s="348"/>
      <c r="AF14" s="348"/>
      <c r="AG14" s="348"/>
      <c r="AH14" s="348"/>
      <c r="AI14" s="348"/>
      <c r="AJ14" s="348"/>
      <c r="AK14" s="348"/>
      <c r="AL14" s="2"/>
      <c r="AM14" s="2"/>
      <c r="AN14" s="2"/>
      <c r="AO14" s="2"/>
      <c r="AP14" s="2"/>
      <c r="AQ14" s="2"/>
      <c r="AR14" s="2"/>
      <c r="AS14" s="2"/>
      <c r="AT14" s="345"/>
      <c r="AU14" s="345"/>
      <c r="AV14" s="345"/>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345"/>
      <c r="CS14" s="345"/>
      <c r="CT14" s="345"/>
      <c r="CU14" s="345"/>
      <c r="CV14" s="345"/>
      <c r="CW14" s="345"/>
      <c r="CX14" s="345"/>
      <c r="CY14" s="345"/>
      <c r="CZ14" s="345"/>
      <c r="DA14" s="345"/>
      <c r="DB14" s="345"/>
      <c r="DC14" s="345"/>
      <c r="DD14" s="345"/>
      <c r="DE14" s="345"/>
      <c r="DF14" s="345"/>
      <c r="DG14" s="345"/>
      <c r="DH14" s="345"/>
      <c r="DI14" s="345"/>
      <c r="DJ14" s="345"/>
      <c r="DK14" s="345"/>
      <c r="DL14" s="345"/>
      <c r="DM14" s="345"/>
      <c r="DN14" s="345"/>
      <c r="DO14" s="345"/>
      <c r="DP14" s="345"/>
      <c r="DQ14" s="345"/>
      <c r="DR14" s="346"/>
      <c r="DS14" s="345"/>
      <c r="DT14" s="350"/>
      <c r="DU14" s="345"/>
      <c r="DV14" s="345"/>
      <c r="DW14" s="345"/>
    </row>
    <row r="15" spans="1:127" s="196" customFormat="1" ht="31.5" customHeight="1">
      <c r="A15" s="347"/>
      <c r="B15" s="596"/>
      <c r="C15" s="596"/>
      <c r="D15" s="596"/>
      <c r="E15" s="596"/>
      <c r="F15" s="596"/>
      <c r="G15" s="351"/>
      <c r="H15" s="351"/>
      <c r="I15" s="351"/>
      <c r="J15" s="351"/>
      <c r="K15" s="351"/>
      <c r="L15" s="351"/>
      <c r="M15" s="351"/>
      <c r="N15" s="351"/>
      <c r="O15" s="351"/>
      <c r="P15" s="10"/>
      <c r="Q15" s="17"/>
      <c r="R15" s="348"/>
      <c r="S15" s="348"/>
      <c r="T15" s="348"/>
      <c r="U15" s="348"/>
      <c r="V15" s="348"/>
      <c r="W15" s="348"/>
      <c r="X15" s="348"/>
      <c r="Y15" s="348"/>
      <c r="Z15" s="348"/>
      <c r="AA15" s="348"/>
      <c r="AB15" s="348"/>
      <c r="AC15" s="348"/>
      <c r="AD15" s="348"/>
      <c r="AE15" s="348"/>
      <c r="AF15" s="348"/>
      <c r="AG15" s="348"/>
      <c r="AH15" s="348"/>
      <c r="AI15" s="348"/>
      <c r="AJ15" s="348"/>
      <c r="AK15" s="348"/>
      <c r="AL15" s="2"/>
      <c r="AM15" s="2"/>
      <c r="AN15" s="2"/>
      <c r="AO15" s="2"/>
      <c r="AP15" s="2"/>
      <c r="AQ15" s="2"/>
      <c r="AR15" s="2"/>
      <c r="AS15" s="2"/>
      <c r="AT15" s="345"/>
      <c r="AU15" s="345"/>
      <c r="AV15" s="345"/>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345"/>
      <c r="CS15" s="345"/>
      <c r="CT15" s="345"/>
      <c r="CU15" s="345"/>
      <c r="CV15" s="345"/>
      <c r="CW15" s="345"/>
      <c r="CX15" s="345"/>
      <c r="CY15" s="345"/>
      <c r="CZ15" s="345"/>
      <c r="DA15" s="345"/>
      <c r="DB15" s="345"/>
      <c r="DC15" s="345"/>
      <c r="DD15" s="345"/>
      <c r="DE15" s="345"/>
      <c r="DF15" s="345"/>
      <c r="DG15" s="345"/>
      <c r="DH15" s="345"/>
      <c r="DI15" s="345"/>
      <c r="DJ15" s="345"/>
      <c r="DK15" s="345"/>
      <c r="DL15" s="345"/>
      <c r="DM15" s="345"/>
      <c r="DN15" s="345"/>
      <c r="DO15" s="345"/>
      <c r="DP15" s="345"/>
      <c r="DQ15" s="345"/>
      <c r="DR15" s="349"/>
      <c r="DS15" s="345"/>
      <c r="DT15" s="350"/>
      <c r="DU15" s="345"/>
      <c r="DV15" s="345"/>
      <c r="DW15" s="345"/>
    </row>
    <row r="16" spans="1:127" s="196" customFormat="1" ht="15" customHeight="1">
      <c r="A16" s="347"/>
      <c r="B16" s="355" t="s">
        <v>163</v>
      </c>
      <c r="C16" s="434"/>
      <c r="D16" s="356"/>
      <c r="E16" s="163"/>
      <c r="F16" s="357"/>
      <c r="G16" s="345"/>
      <c r="H16" s="345"/>
      <c r="I16" s="345"/>
      <c r="J16" s="345"/>
      <c r="K16" s="345"/>
      <c r="L16" s="345"/>
      <c r="M16" s="345"/>
      <c r="N16" s="345"/>
      <c r="O16" s="345"/>
      <c r="P16" s="10"/>
      <c r="Q16" s="17"/>
      <c r="R16" s="348"/>
      <c r="S16" s="348"/>
      <c r="T16" s="348"/>
      <c r="U16" s="348"/>
      <c r="V16" s="348"/>
      <c r="W16" s="348"/>
      <c r="X16" s="348"/>
      <c r="Y16" s="348"/>
      <c r="Z16" s="348"/>
      <c r="AA16" s="348"/>
      <c r="AB16" s="348"/>
      <c r="AC16" s="348"/>
      <c r="AD16" s="348"/>
      <c r="AE16" s="348"/>
      <c r="AF16" s="348"/>
      <c r="AG16" s="348"/>
      <c r="AH16" s="348"/>
      <c r="AI16" s="348"/>
      <c r="AJ16" s="348"/>
      <c r="AK16" s="348"/>
      <c r="AL16" s="2"/>
      <c r="AM16" s="2"/>
      <c r="AN16" s="2"/>
      <c r="AO16" s="2"/>
      <c r="AP16" s="2"/>
      <c r="AQ16" s="2"/>
      <c r="AR16" s="2"/>
      <c r="AS16" s="2"/>
      <c r="AT16" s="345"/>
      <c r="AU16" s="345"/>
      <c r="AV16" s="345"/>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345"/>
      <c r="CS16" s="345"/>
      <c r="CT16" s="345"/>
      <c r="CU16" s="345"/>
      <c r="CV16" s="345"/>
      <c r="CW16" s="345"/>
      <c r="CX16" s="345"/>
      <c r="CY16" s="345"/>
      <c r="CZ16" s="345"/>
      <c r="DA16" s="345"/>
      <c r="DB16" s="345"/>
      <c r="DC16" s="345"/>
      <c r="DD16" s="345"/>
      <c r="DE16" s="345"/>
      <c r="DF16" s="345"/>
      <c r="DG16" s="345"/>
      <c r="DH16" s="345"/>
      <c r="DI16" s="345"/>
      <c r="DJ16" s="345"/>
      <c r="DK16" s="345"/>
      <c r="DL16" s="345"/>
      <c r="DM16" s="345"/>
      <c r="DN16" s="345"/>
      <c r="DO16" s="345"/>
      <c r="DP16" s="345"/>
      <c r="DQ16" s="345"/>
      <c r="DR16" s="349"/>
      <c r="DS16" s="345"/>
      <c r="DT16" s="350"/>
      <c r="DU16" s="345"/>
      <c r="DV16" s="345"/>
      <c r="DW16" s="345"/>
    </row>
    <row r="17" spans="1:124" s="196" customFormat="1" ht="15" customHeight="1">
      <c r="A17" s="347"/>
      <c r="B17" s="358" t="s">
        <v>164</v>
      </c>
      <c r="C17" s="359" t="str">
        <f>IF(C16&gt;'N.00 Lead sheet'!$E$15,"是","否")</f>
        <v>否</v>
      </c>
      <c r="D17" s="164"/>
      <c r="E17" s="2"/>
      <c r="F17" s="360"/>
      <c r="G17" s="345"/>
      <c r="H17" s="345"/>
      <c r="I17" s="345"/>
      <c r="J17" s="345"/>
      <c r="K17" s="345"/>
      <c r="L17" s="345"/>
      <c r="M17" s="345"/>
      <c r="N17" s="345"/>
      <c r="O17" s="345"/>
      <c r="P17" s="10"/>
      <c r="Q17" s="17"/>
      <c r="R17" s="348"/>
      <c r="S17" s="348"/>
      <c r="T17" s="348"/>
      <c r="U17" s="348"/>
      <c r="V17" s="348"/>
      <c r="W17" s="348"/>
      <c r="X17" s="348"/>
      <c r="Y17" s="348"/>
      <c r="Z17" s="348"/>
      <c r="AA17" s="348"/>
      <c r="AB17" s="348"/>
      <c r="AC17" s="348"/>
      <c r="AD17" s="348"/>
      <c r="AE17" s="348"/>
      <c r="AF17" s="348"/>
      <c r="AG17" s="348"/>
      <c r="AH17" s="348"/>
      <c r="AI17" s="348"/>
      <c r="AJ17" s="348"/>
      <c r="AK17" s="348"/>
      <c r="AL17" s="2"/>
      <c r="AM17" s="2"/>
      <c r="AN17" s="2"/>
      <c r="AO17" s="2"/>
      <c r="AP17" s="2"/>
      <c r="AQ17" s="2"/>
      <c r="AR17" s="2"/>
      <c r="AS17" s="2"/>
      <c r="AT17" s="345"/>
      <c r="AU17" s="345"/>
      <c r="AV17" s="345"/>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345"/>
      <c r="CS17" s="345"/>
      <c r="CT17" s="345"/>
      <c r="CU17" s="345"/>
      <c r="CV17" s="345"/>
      <c r="CW17" s="345"/>
      <c r="CX17" s="345"/>
      <c r="CY17" s="345"/>
      <c r="CZ17" s="345"/>
      <c r="DA17" s="345"/>
      <c r="DB17" s="345"/>
      <c r="DC17" s="345"/>
      <c r="DD17" s="345"/>
      <c r="DE17" s="345"/>
      <c r="DF17" s="345"/>
      <c r="DG17" s="345"/>
      <c r="DH17" s="345"/>
      <c r="DI17" s="345"/>
      <c r="DJ17" s="345"/>
      <c r="DK17" s="345"/>
      <c r="DL17" s="345"/>
      <c r="DM17" s="345"/>
      <c r="DN17" s="345"/>
      <c r="DO17" s="345"/>
      <c r="DP17" s="345"/>
      <c r="DQ17" s="345"/>
      <c r="DR17" s="349"/>
      <c r="DS17" s="345"/>
      <c r="DT17" s="350"/>
    </row>
    <row r="18" spans="1:124" s="196" customFormat="1" ht="15" customHeight="1">
      <c r="A18" s="347"/>
      <c r="B18" s="361" t="s">
        <v>165</v>
      </c>
      <c r="C18" s="362" t="str">
        <f>IF(C16&gt;'N.00 Lead sheet'!$C$6,"是","否")</f>
        <v>否</v>
      </c>
      <c r="D18" s="363"/>
      <c r="E18" s="165"/>
      <c r="F18" s="166"/>
      <c r="G18" s="345"/>
      <c r="H18" s="345"/>
      <c r="I18" s="345"/>
      <c r="J18" s="345"/>
      <c r="K18" s="345"/>
      <c r="L18" s="345"/>
      <c r="M18" s="345"/>
      <c r="N18" s="345"/>
      <c r="O18" s="345"/>
      <c r="P18" s="10"/>
      <c r="Q18" s="17"/>
      <c r="R18" s="348"/>
      <c r="S18" s="348"/>
      <c r="T18" s="348"/>
      <c r="U18" s="348"/>
      <c r="V18" s="348"/>
      <c r="W18" s="348"/>
      <c r="X18" s="348"/>
      <c r="Y18" s="348"/>
      <c r="Z18" s="348"/>
      <c r="AA18" s="348"/>
      <c r="AB18" s="348"/>
      <c r="AC18" s="348"/>
      <c r="AD18" s="348"/>
      <c r="AE18" s="348"/>
      <c r="AF18" s="348"/>
      <c r="AG18" s="348"/>
      <c r="AH18" s="348"/>
      <c r="AI18" s="348"/>
      <c r="AJ18" s="348"/>
      <c r="AK18" s="348"/>
      <c r="AL18" s="2"/>
      <c r="AM18" s="2"/>
      <c r="AN18" s="2"/>
      <c r="AO18" s="2"/>
      <c r="AP18" s="2"/>
      <c r="AQ18" s="2"/>
      <c r="AR18" s="2"/>
      <c r="AS18" s="2"/>
      <c r="AT18" s="345"/>
      <c r="AU18" s="345"/>
      <c r="AV18" s="345"/>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345"/>
      <c r="CS18" s="345"/>
      <c r="CT18" s="345"/>
      <c r="CU18" s="345"/>
      <c r="CV18" s="345"/>
      <c r="CW18" s="345"/>
      <c r="CX18" s="345"/>
      <c r="CY18" s="345"/>
      <c r="CZ18" s="345"/>
      <c r="DA18" s="345"/>
      <c r="DB18" s="345"/>
      <c r="DC18" s="345"/>
      <c r="DD18" s="345"/>
      <c r="DE18" s="345"/>
      <c r="DF18" s="345"/>
      <c r="DG18" s="345"/>
      <c r="DH18" s="345"/>
      <c r="DI18" s="345"/>
      <c r="DJ18" s="345"/>
      <c r="DK18" s="345"/>
      <c r="DL18" s="345"/>
      <c r="DM18" s="345"/>
      <c r="DN18" s="345"/>
      <c r="DO18" s="345"/>
      <c r="DP18" s="345"/>
      <c r="DQ18" s="345"/>
      <c r="DR18" s="349"/>
      <c r="DS18" s="345"/>
      <c r="DT18" s="350"/>
    </row>
    <row r="19" spans="1:124" s="196" customFormat="1" ht="15" customHeight="1">
      <c r="A19" s="347"/>
      <c r="B19" s="2"/>
      <c r="C19" s="2"/>
      <c r="D19" s="2"/>
      <c r="E19" s="2"/>
      <c r="F19" s="2"/>
      <c r="G19" s="345"/>
      <c r="H19" s="345"/>
      <c r="I19" s="345"/>
      <c r="J19" s="345"/>
      <c r="K19" s="345"/>
      <c r="L19" s="345"/>
      <c r="M19" s="345"/>
      <c r="N19" s="345"/>
      <c r="O19" s="345"/>
      <c r="P19" s="10"/>
      <c r="Q19" s="17"/>
      <c r="R19" s="348"/>
      <c r="S19" s="348"/>
      <c r="T19" s="348"/>
      <c r="U19" s="348"/>
      <c r="V19" s="348"/>
      <c r="W19" s="348"/>
      <c r="X19" s="348"/>
      <c r="Y19" s="348"/>
      <c r="Z19" s="348"/>
      <c r="AA19" s="348"/>
      <c r="AB19" s="348"/>
      <c r="AC19" s="348"/>
      <c r="AD19" s="348"/>
      <c r="AE19" s="348"/>
      <c r="AF19" s="348"/>
      <c r="AG19" s="2"/>
      <c r="AH19" s="2"/>
      <c r="AI19" s="2"/>
      <c r="AJ19" s="2"/>
      <c r="AK19" s="2"/>
      <c r="AL19" s="2"/>
      <c r="AM19" s="2"/>
      <c r="AN19" s="2"/>
      <c r="AO19" s="345"/>
      <c r="AP19" s="345"/>
      <c r="AQ19" s="345"/>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345"/>
      <c r="CN19" s="345"/>
      <c r="CO19" s="345"/>
      <c r="CP19" s="345"/>
      <c r="CQ19" s="345"/>
      <c r="CR19" s="345"/>
      <c r="CS19" s="345"/>
      <c r="CT19" s="345"/>
      <c r="CU19" s="345"/>
      <c r="CV19" s="345"/>
      <c r="CW19" s="345"/>
      <c r="CX19" s="345"/>
      <c r="CY19" s="345"/>
      <c r="CZ19" s="345"/>
      <c r="DA19" s="345"/>
      <c r="DB19" s="345"/>
      <c r="DC19" s="345"/>
      <c r="DD19" s="345"/>
      <c r="DE19" s="345"/>
      <c r="DF19" s="345"/>
      <c r="DG19" s="345"/>
      <c r="DH19" s="345"/>
      <c r="DI19" s="345"/>
      <c r="DJ19" s="345"/>
      <c r="DK19" s="345"/>
      <c r="DL19" s="345"/>
      <c r="DM19" s="349"/>
      <c r="DN19" s="345"/>
      <c r="DO19" s="350"/>
      <c r="DP19" s="345"/>
      <c r="DQ19" s="345"/>
      <c r="DR19" s="345"/>
      <c r="DS19" s="345"/>
      <c r="DT19" s="345"/>
    </row>
    <row r="20" spans="1:124" s="196" customFormat="1" ht="15" customHeight="1">
      <c r="A20" s="347"/>
      <c r="B20" s="352" t="s">
        <v>166</v>
      </c>
      <c r="C20" s="364"/>
      <c r="D20" s="364"/>
      <c r="E20" s="364"/>
      <c r="F20" s="364"/>
      <c r="G20" s="365"/>
      <c r="H20" s="365"/>
      <c r="I20" s="365"/>
      <c r="J20" s="365"/>
      <c r="K20" s="365"/>
      <c r="L20" s="365"/>
      <c r="M20" s="365"/>
      <c r="N20" s="365"/>
      <c r="O20" s="365"/>
      <c r="P20" s="10"/>
      <c r="Q20" s="17"/>
      <c r="R20" s="348"/>
      <c r="S20" s="348"/>
      <c r="T20" s="348"/>
      <c r="U20" s="348"/>
      <c r="V20" s="348"/>
      <c r="W20" s="348"/>
      <c r="X20" s="348"/>
      <c r="Y20" s="348"/>
      <c r="Z20" s="348"/>
      <c r="AA20" s="348"/>
      <c r="AB20" s="348"/>
      <c r="AC20" s="348"/>
      <c r="AD20" s="348"/>
      <c r="AE20" s="348"/>
      <c r="AF20" s="348"/>
      <c r="AG20" s="348"/>
      <c r="AH20" s="2"/>
      <c r="AI20" s="2"/>
      <c r="AJ20" s="2"/>
      <c r="AK20" s="2"/>
      <c r="AL20" s="2"/>
      <c r="AM20" s="2"/>
      <c r="AN20" s="2"/>
      <c r="AO20" s="2"/>
      <c r="AP20" s="345"/>
      <c r="AQ20" s="345"/>
      <c r="AR20" s="345"/>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345"/>
      <c r="CO20" s="345"/>
      <c r="CP20" s="345"/>
      <c r="CQ20" s="345"/>
      <c r="CR20" s="345"/>
      <c r="CS20" s="345"/>
      <c r="CT20" s="345"/>
      <c r="CU20" s="345"/>
      <c r="CV20" s="345"/>
      <c r="CW20" s="345"/>
      <c r="CX20" s="345"/>
      <c r="CY20" s="345"/>
      <c r="CZ20" s="345"/>
      <c r="DA20" s="345"/>
      <c r="DB20" s="345"/>
      <c r="DC20" s="345"/>
      <c r="DD20" s="345"/>
      <c r="DE20" s="345"/>
      <c r="DF20" s="345"/>
      <c r="DG20" s="345"/>
      <c r="DH20" s="345"/>
      <c r="DI20" s="345"/>
      <c r="DJ20" s="345"/>
      <c r="DK20" s="345"/>
      <c r="DL20" s="345"/>
      <c r="DM20" s="345"/>
      <c r="DN20" s="349"/>
      <c r="DO20" s="345"/>
      <c r="DP20" s="350"/>
      <c r="DQ20" s="345"/>
      <c r="DR20" s="345"/>
      <c r="DS20" s="345"/>
      <c r="DT20" s="345"/>
    </row>
    <row r="21" spans="1:124" s="196" customFormat="1" ht="15" customHeight="1">
      <c r="A21" s="347"/>
      <c r="B21" s="342"/>
      <c r="C21" s="2"/>
      <c r="D21" s="2"/>
      <c r="E21" s="2"/>
      <c r="F21" s="2"/>
      <c r="G21" s="345"/>
      <c r="H21" s="345"/>
      <c r="I21" s="345"/>
      <c r="J21" s="345"/>
      <c r="K21" s="345"/>
      <c r="L21" s="345"/>
      <c r="M21" s="345"/>
      <c r="N21" s="345"/>
      <c r="O21" s="345"/>
      <c r="P21" s="10"/>
      <c r="Q21" s="17"/>
      <c r="R21" s="348"/>
      <c r="S21" s="348"/>
      <c r="T21" s="348"/>
      <c r="U21" s="348"/>
      <c r="V21" s="348"/>
      <c r="W21" s="348"/>
      <c r="X21" s="348"/>
      <c r="Y21" s="348"/>
      <c r="Z21" s="348"/>
      <c r="AA21" s="348"/>
      <c r="AB21" s="348"/>
      <c r="AC21" s="348"/>
      <c r="AD21" s="348"/>
      <c r="AE21" s="348"/>
      <c r="AF21" s="348"/>
      <c r="AG21" s="348"/>
      <c r="AH21" s="2"/>
      <c r="AI21" s="2"/>
      <c r="AJ21" s="2"/>
      <c r="AK21" s="2"/>
      <c r="AL21" s="2"/>
      <c r="AM21" s="2"/>
      <c r="AN21" s="2"/>
      <c r="AO21" s="2"/>
      <c r="AP21" s="345"/>
      <c r="AQ21" s="345"/>
      <c r="AR21" s="345"/>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345"/>
      <c r="CO21" s="345"/>
      <c r="CP21" s="345"/>
      <c r="CQ21" s="345"/>
      <c r="CR21" s="345"/>
      <c r="CS21" s="345"/>
      <c r="CT21" s="345"/>
      <c r="CU21" s="345"/>
      <c r="CV21" s="345"/>
      <c r="CW21" s="345"/>
      <c r="CX21" s="345"/>
      <c r="CY21" s="345"/>
      <c r="CZ21" s="345"/>
      <c r="DA21" s="345"/>
      <c r="DB21" s="345"/>
      <c r="DC21" s="345"/>
      <c r="DD21" s="345"/>
      <c r="DE21" s="345"/>
      <c r="DF21" s="345"/>
      <c r="DG21" s="345"/>
      <c r="DH21" s="345"/>
      <c r="DI21" s="345"/>
      <c r="DJ21" s="345"/>
      <c r="DK21" s="345"/>
      <c r="DL21" s="345"/>
      <c r="DM21" s="345"/>
      <c r="DN21" s="346"/>
      <c r="DO21" s="345"/>
      <c r="DP21" s="350"/>
      <c r="DQ21" s="345"/>
      <c r="DR21" s="345"/>
      <c r="DS21" s="345"/>
      <c r="DT21" s="345"/>
    </row>
    <row r="22" spans="1:124" s="196" customFormat="1" ht="18" customHeight="1">
      <c r="A22" s="347"/>
      <c r="B22" s="2"/>
      <c r="C22" s="2"/>
      <c r="D22" s="2"/>
      <c r="E22" s="2"/>
      <c r="F22" s="2"/>
      <c r="G22" s="345"/>
      <c r="H22" s="345"/>
      <c r="I22" s="345"/>
      <c r="J22" s="345"/>
      <c r="K22" s="348"/>
      <c r="L22" s="577" t="s">
        <v>142</v>
      </c>
      <c r="M22" s="577"/>
      <c r="N22" s="577"/>
      <c r="O22" s="348"/>
      <c r="P22" s="10"/>
      <c r="Q22" s="17"/>
      <c r="R22" s="348"/>
      <c r="S22" s="348"/>
      <c r="T22" s="348"/>
      <c r="U22" s="348"/>
      <c r="V22" s="348"/>
      <c r="W22" s="348"/>
      <c r="X22" s="348"/>
      <c r="Y22" s="348"/>
      <c r="Z22" s="348"/>
      <c r="AA22" s="348"/>
      <c r="AB22" s="348"/>
      <c r="AC22" s="348"/>
      <c r="AD22" s="348"/>
      <c r="AE22" s="348"/>
      <c r="AF22" s="348"/>
      <c r="AG22" s="348"/>
      <c r="AH22" s="2"/>
      <c r="AI22" s="2"/>
      <c r="AJ22" s="2"/>
      <c r="AK22" s="2"/>
      <c r="AL22" s="2"/>
      <c r="AM22" s="2"/>
      <c r="AN22" s="2"/>
      <c r="AO22" s="2"/>
      <c r="AP22" s="345"/>
      <c r="AQ22" s="345"/>
      <c r="AR22" s="345"/>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345"/>
      <c r="CO22" s="345"/>
      <c r="CP22" s="345"/>
      <c r="CQ22" s="345"/>
      <c r="CR22" s="345"/>
      <c r="CS22" s="345"/>
      <c r="CT22" s="345"/>
      <c r="CU22" s="345"/>
      <c r="CV22" s="345"/>
      <c r="CW22" s="345"/>
      <c r="CX22" s="345"/>
      <c r="CY22" s="345"/>
      <c r="CZ22" s="345"/>
      <c r="DA22" s="345"/>
      <c r="DB22" s="345"/>
      <c r="DC22" s="345"/>
      <c r="DD22" s="345"/>
      <c r="DE22" s="345"/>
      <c r="DF22" s="345"/>
      <c r="DG22" s="345"/>
      <c r="DH22" s="345"/>
      <c r="DI22" s="345"/>
      <c r="DJ22" s="345"/>
      <c r="DK22" s="345"/>
      <c r="DL22" s="345"/>
      <c r="DM22" s="345"/>
      <c r="DN22" s="349"/>
      <c r="DO22" s="345"/>
      <c r="DP22" s="350"/>
      <c r="DQ22" s="345"/>
      <c r="DR22" s="345"/>
      <c r="DS22" s="345"/>
      <c r="DT22" s="345"/>
    </row>
    <row r="23" spans="1:124" s="200" customFormat="1" ht="25.5" customHeight="1">
      <c r="A23" s="366"/>
      <c r="B23" s="593" t="s">
        <v>167</v>
      </c>
      <c r="C23" s="595" t="s">
        <v>168</v>
      </c>
      <c r="D23" s="567" t="s">
        <v>169</v>
      </c>
      <c r="E23" s="568"/>
      <c r="F23" s="568"/>
      <c r="G23" s="497" t="s">
        <v>170</v>
      </c>
      <c r="H23" s="497"/>
      <c r="I23" s="497"/>
      <c r="J23" s="497"/>
      <c r="K23" s="497"/>
      <c r="L23" s="578">
        <v>1</v>
      </c>
      <c r="M23" s="580">
        <v>2</v>
      </c>
      <c r="N23" s="582">
        <v>3</v>
      </c>
      <c r="O23" s="551" t="s">
        <v>171</v>
      </c>
      <c r="P23" s="10"/>
      <c r="Q23" s="17"/>
      <c r="R23" s="367"/>
      <c r="S23" s="367"/>
      <c r="T23" s="367"/>
      <c r="U23" s="367"/>
      <c r="V23" s="367"/>
      <c r="W23" s="367"/>
      <c r="X23" s="367"/>
      <c r="Y23" s="367"/>
      <c r="Z23" s="367"/>
      <c r="AA23" s="367"/>
      <c r="AB23" s="367"/>
      <c r="AC23" s="368"/>
      <c r="AD23" s="368"/>
      <c r="AE23" s="368"/>
      <c r="AF23" s="368"/>
      <c r="AG23" s="368"/>
      <c r="AH23" s="368"/>
      <c r="AI23" s="368"/>
      <c r="AJ23" s="368"/>
      <c r="AK23" s="369"/>
      <c r="AL23" s="369"/>
      <c r="AM23" s="369"/>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8"/>
      <c r="BK23" s="368"/>
      <c r="BL23" s="368"/>
      <c r="BM23" s="368"/>
      <c r="BN23" s="368"/>
      <c r="BO23" s="368"/>
      <c r="BP23" s="368"/>
      <c r="BQ23" s="368"/>
      <c r="BR23" s="368"/>
      <c r="BS23" s="368"/>
      <c r="BT23" s="368"/>
      <c r="BU23" s="368"/>
      <c r="BV23" s="368"/>
      <c r="BW23" s="368"/>
      <c r="BX23" s="368"/>
      <c r="BY23" s="368"/>
      <c r="BZ23" s="368"/>
      <c r="CA23" s="368"/>
      <c r="CB23" s="368"/>
      <c r="CC23" s="368"/>
      <c r="CD23" s="368"/>
      <c r="CE23" s="368"/>
      <c r="CF23" s="368"/>
      <c r="CG23" s="368"/>
      <c r="CH23" s="368"/>
      <c r="CI23" s="369"/>
      <c r="CJ23" s="369"/>
      <c r="CK23" s="369"/>
      <c r="CL23" s="369"/>
      <c r="CM23" s="369"/>
      <c r="CN23" s="369"/>
      <c r="CO23" s="369"/>
      <c r="CP23" s="369"/>
      <c r="CQ23" s="369"/>
      <c r="CR23" s="369"/>
      <c r="CS23" s="369"/>
      <c r="CT23" s="369"/>
      <c r="CU23" s="369"/>
      <c r="CV23" s="369"/>
      <c r="CW23" s="369"/>
      <c r="CX23" s="369"/>
      <c r="CY23" s="369"/>
      <c r="CZ23" s="369"/>
      <c r="DA23" s="369"/>
      <c r="DB23" s="369"/>
      <c r="DC23" s="369"/>
      <c r="DD23" s="369"/>
      <c r="DE23" s="369"/>
      <c r="DF23" s="369"/>
      <c r="DG23" s="369"/>
      <c r="DH23" s="369"/>
      <c r="DI23" s="370"/>
      <c r="DJ23" s="369"/>
      <c r="DK23" s="371"/>
      <c r="DL23" s="369"/>
      <c r="DM23" s="369"/>
      <c r="DN23" s="369"/>
      <c r="DO23" s="369"/>
      <c r="DP23" s="369"/>
      <c r="DQ23" s="369"/>
      <c r="DR23" s="369"/>
      <c r="DS23" s="369"/>
      <c r="DT23" s="369"/>
    </row>
    <row r="24" spans="1:124" s="200" customFormat="1" ht="23.25" customHeight="1">
      <c r="A24" s="366"/>
      <c r="B24" s="594"/>
      <c r="C24" s="580"/>
      <c r="D24" s="450" t="s">
        <v>172</v>
      </c>
      <c r="E24" s="372" t="s">
        <v>173</v>
      </c>
      <c r="F24" s="450" t="s">
        <v>174</v>
      </c>
      <c r="G24" s="449" t="s">
        <v>175</v>
      </c>
      <c r="H24" s="449" t="s">
        <v>176</v>
      </c>
      <c r="I24" s="449" t="s">
        <v>177</v>
      </c>
      <c r="J24" s="449" t="s">
        <v>178</v>
      </c>
      <c r="K24" s="373" t="s">
        <v>179</v>
      </c>
      <c r="L24" s="579"/>
      <c r="M24" s="581"/>
      <c r="N24" s="583"/>
      <c r="O24" s="551"/>
      <c r="P24" s="10"/>
      <c r="Q24" s="17"/>
      <c r="R24" s="367"/>
      <c r="S24" s="367"/>
      <c r="T24" s="367"/>
      <c r="U24" s="367"/>
      <c r="V24" s="367"/>
      <c r="W24" s="367"/>
      <c r="X24" s="367"/>
      <c r="Y24" s="367"/>
      <c r="Z24" s="367"/>
      <c r="AA24" s="367"/>
      <c r="AB24" s="367"/>
      <c r="AC24" s="368"/>
      <c r="AD24" s="368"/>
      <c r="AE24" s="368"/>
      <c r="AF24" s="368"/>
      <c r="AG24" s="368"/>
      <c r="AH24" s="368"/>
      <c r="AI24" s="368"/>
      <c r="AJ24" s="368"/>
      <c r="AK24" s="369"/>
      <c r="AL24" s="369"/>
      <c r="AM24" s="369"/>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8"/>
      <c r="BK24" s="368"/>
      <c r="BL24" s="368"/>
      <c r="BM24" s="368"/>
      <c r="BN24" s="368"/>
      <c r="BO24" s="368"/>
      <c r="BP24" s="368"/>
      <c r="BQ24" s="368"/>
      <c r="BR24" s="368"/>
      <c r="BS24" s="368"/>
      <c r="BT24" s="368"/>
      <c r="BU24" s="368"/>
      <c r="BV24" s="368"/>
      <c r="BW24" s="368"/>
      <c r="BX24" s="368"/>
      <c r="BY24" s="368"/>
      <c r="BZ24" s="368"/>
      <c r="CA24" s="368"/>
      <c r="CB24" s="368"/>
      <c r="CC24" s="368"/>
      <c r="CD24" s="368"/>
      <c r="CE24" s="368"/>
      <c r="CF24" s="368"/>
      <c r="CG24" s="368"/>
      <c r="CH24" s="368"/>
      <c r="CI24" s="369"/>
      <c r="CJ24" s="369"/>
      <c r="CK24" s="369"/>
      <c r="CL24" s="369"/>
      <c r="CM24" s="369"/>
      <c r="CN24" s="369"/>
      <c r="CO24" s="369"/>
      <c r="CP24" s="369"/>
      <c r="CQ24" s="369"/>
      <c r="CR24" s="369"/>
      <c r="CS24" s="369"/>
      <c r="CT24" s="369"/>
      <c r="CU24" s="369"/>
      <c r="CV24" s="369"/>
      <c r="CW24" s="369"/>
      <c r="CX24" s="369"/>
      <c r="CY24" s="369"/>
      <c r="CZ24" s="369"/>
      <c r="DA24" s="369"/>
      <c r="DB24" s="369"/>
      <c r="DC24" s="369"/>
      <c r="DD24" s="369"/>
      <c r="DE24" s="369"/>
      <c r="DF24" s="369"/>
      <c r="DG24" s="369"/>
      <c r="DH24" s="369"/>
      <c r="DI24" s="370"/>
      <c r="DJ24" s="369"/>
      <c r="DK24" s="371"/>
      <c r="DL24" s="369"/>
      <c r="DM24" s="369"/>
      <c r="DN24" s="369"/>
      <c r="DO24" s="369"/>
      <c r="DP24" s="369"/>
      <c r="DQ24" s="369"/>
      <c r="DR24" s="369"/>
      <c r="DS24" s="369"/>
      <c r="DT24" s="369"/>
    </row>
    <row r="25" spans="1:124" s="196" customFormat="1" ht="15" customHeight="1">
      <c r="A25" s="347"/>
      <c r="B25" s="374"/>
      <c r="C25" s="435"/>
      <c r="D25" s="375"/>
      <c r="E25" s="376"/>
      <c r="F25" s="377"/>
      <c r="G25" s="375"/>
      <c r="H25" s="375"/>
      <c r="I25" s="375"/>
      <c r="J25" s="376"/>
      <c r="K25" s="377"/>
      <c r="L25" s="374"/>
      <c r="M25" s="378"/>
      <c r="N25" s="379"/>
      <c r="O25" s="437"/>
      <c r="P25" s="10"/>
      <c r="Q25" s="17"/>
      <c r="R25" s="380"/>
      <c r="S25" s="380"/>
      <c r="T25" s="380"/>
      <c r="U25" s="380"/>
      <c r="V25" s="380"/>
      <c r="W25" s="380"/>
      <c r="X25" s="380"/>
      <c r="Y25" s="380"/>
      <c r="Z25" s="380"/>
      <c r="AA25" s="380"/>
      <c r="AB25" s="380"/>
      <c r="AC25" s="2"/>
      <c r="AD25" s="2"/>
      <c r="AE25" s="2"/>
      <c r="AF25" s="2"/>
      <c r="AG25" s="2"/>
      <c r="AH25" s="2"/>
      <c r="AI25" s="2"/>
      <c r="AJ25" s="2"/>
      <c r="AK25" s="345"/>
      <c r="AL25" s="345"/>
      <c r="AM25" s="345"/>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345"/>
      <c r="CJ25" s="345"/>
      <c r="CK25" s="345"/>
      <c r="CL25" s="345"/>
      <c r="CM25" s="345"/>
      <c r="CN25" s="345"/>
      <c r="CO25" s="345"/>
      <c r="CP25" s="345"/>
      <c r="CQ25" s="345"/>
      <c r="CR25" s="345"/>
      <c r="CS25" s="345"/>
      <c r="CT25" s="345"/>
      <c r="CU25" s="345"/>
      <c r="CV25" s="345"/>
      <c r="CW25" s="345"/>
      <c r="CX25" s="345"/>
      <c r="CY25" s="345"/>
      <c r="CZ25" s="345"/>
      <c r="DA25" s="345"/>
      <c r="DB25" s="345"/>
      <c r="DC25" s="345"/>
      <c r="DD25" s="345"/>
      <c r="DE25" s="345"/>
      <c r="DF25" s="345"/>
      <c r="DG25" s="345"/>
      <c r="DH25" s="345"/>
      <c r="DI25" s="349"/>
      <c r="DJ25" s="345"/>
      <c r="DK25" s="350"/>
      <c r="DL25" s="345"/>
      <c r="DM25" s="345"/>
      <c r="DN25" s="345"/>
      <c r="DO25" s="345"/>
      <c r="DP25" s="345"/>
      <c r="DQ25" s="345"/>
      <c r="DR25" s="345"/>
      <c r="DS25" s="345"/>
      <c r="DT25" s="345"/>
    </row>
    <row r="26" spans="1:124" s="196" customFormat="1" ht="15" customHeight="1">
      <c r="A26" s="347"/>
      <c r="B26" s="374"/>
      <c r="C26" s="435"/>
      <c r="D26" s="375"/>
      <c r="E26" s="376"/>
      <c r="F26" s="377"/>
      <c r="G26" s="375"/>
      <c r="H26" s="375"/>
      <c r="I26" s="375"/>
      <c r="J26" s="376"/>
      <c r="K26" s="377"/>
      <c r="L26" s="374"/>
      <c r="M26" s="378"/>
      <c r="N26" s="379"/>
      <c r="O26" s="438"/>
      <c r="P26" s="10"/>
      <c r="Q26" s="17"/>
      <c r="R26" s="380"/>
      <c r="S26" s="380"/>
      <c r="T26" s="380"/>
      <c r="U26" s="380"/>
      <c r="V26" s="380"/>
      <c r="W26" s="380"/>
      <c r="X26" s="380"/>
      <c r="Y26" s="380"/>
      <c r="Z26" s="380"/>
      <c r="AA26" s="380"/>
      <c r="AB26" s="380"/>
      <c r="AC26" s="2"/>
      <c r="AD26" s="2"/>
      <c r="AE26" s="2"/>
      <c r="AF26" s="2"/>
      <c r="AG26" s="2"/>
      <c r="AH26" s="2"/>
      <c r="AI26" s="2"/>
      <c r="AJ26" s="2"/>
      <c r="AK26" s="345"/>
      <c r="AL26" s="345"/>
      <c r="AM26" s="345"/>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345"/>
      <c r="CJ26" s="345"/>
      <c r="CK26" s="345"/>
      <c r="CL26" s="345"/>
      <c r="CM26" s="345"/>
      <c r="CN26" s="345"/>
      <c r="CO26" s="345"/>
      <c r="CP26" s="345"/>
      <c r="CQ26" s="345"/>
      <c r="CR26" s="345"/>
      <c r="CS26" s="345"/>
      <c r="CT26" s="345"/>
      <c r="CU26" s="345"/>
      <c r="CV26" s="345"/>
      <c r="CW26" s="345"/>
      <c r="CX26" s="345"/>
      <c r="CY26" s="345"/>
      <c r="CZ26" s="345"/>
      <c r="DA26" s="345"/>
      <c r="DB26" s="345"/>
      <c r="DC26" s="345"/>
      <c r="DD26" s="345"/>
      <c r="DE26" s="345"/>
      <c r="DF26" s="345"/>
      <c r="DG26" s="345"/>
      <c r="DH26" s="345"/>
      <c r="DI26" s="349"/>
      <c r="DJ26" s="345"/>
      <c r="DK26" s="350"/>
      <c r="DL26" s="345"/>
      <c r="DM26" s="345"/>
      <c r="DN26" s="345"/>
      <c r="DO26" s="345"/>
      <c r="DP26" s="345"/>
      <c r="DQ26" s="345"/>
      <c r="DR26" s="345"/>
      <c r="DS26" s="345"/>
      <c r="DT26" s="345"/>
    </row>
    <row r="27" spans="1:124" s="196" customFormat="1" ht="15" customHeight="1">
      <c r="A27" s="347"/>
      <c r="B27" s="374"/>
      <c r="C27" s="435"/>
      <c r="D27" s="375"/>
      <c r="E27" s="376"/>
      <c r="F27" s="377"/>
      <c r="G27" s="375"/>
      <c r="H27" s="375"/>
      <c r="I27" s="375"/>
      <c r="J27" s="376"/>
      <c r="K27" s="377"/>
      <c r="L27" s="374"/>
      <c r="M27" s="378"/>
      <c r="N27" s="379"/>
      <c r="O27" s="438"/>
      <c r="P27" s="10"/>
      <c r="Q27" s="17"/>
      <c r="R27" s="380"/>
      <c r="S27" s="380"/>
      <c r="T27" s="380"/>
      <c r="U27" s="380"/>
      <c r="V27" s="380"/>
      <c r="W27" s="380"/>
      <c r="X27" s="380"/>
      <c r="Y27" s="380"/>
      <c r="Z27" s="380"/>
      <c r="AA27" s="380"/>
      <c r="AB27" s="380"/>
      <c r="AC27" s="2"/>
      <c r="AD27" s="2"/>
      <c r="AE27" s="2"/>
      <c r="AF27" s="2"/>
      <c r="AG27" s="2"/>
      <c r="AH27" s="2"/>
      <c r="AI27" s="2"/>
      <c r="AJ27" s="2"/>
      <c r="AK27" s="345"/>
      <c r="AL27" s="345"/>
      <c r="AM27" s="345"/>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345"/>
      <c r="CJ27" s="345"/>
      <c r="CK27" s="345"/>
      <c r="CL27" s="345"/>
      <c r="CM27" s="345"/>
      <c r="CN27" s="345"/>
      <c r="CO27" s="345"/>
      <c r="CP27" s="345"/>
      <c r="CQ27" s="345"/>
      <c r="CR27" s="345"/>
      <c r="CS27" s="345"/>
      <c r="CT27" s="345"/>
      <c r="CU27" s="345"/>
      <c r="CV27" s="345"/>
      <c r="CW27" s="345"/>
      <c r="CX27" s="345"/>
      <c r="CY27" s="345"/>
      <c r="CZ27" s="345"/>
      <c r="DA27" s="345"/>
      <c r="DB27" s="345"/>
      <c r="DC27" s="345"/>
      <c r="DD27" s="345"/>
      <c r="DE27" s="345"/>
      <c r="DF27" s="345"/>
      <c r="DG27" s="345"/>
      <c r="DH27" s="345"/>
      <c r="DI27" s="349"/>
      <c r="DJ27" s="345"/>
      <c r="DK27" s="350"/>
      <c r="DL27" s="345"/>
      <c r="DM27" s="345"/>
      <c r="DN27" s="345"/>
      <c r="DO27" s="345"/>
      <c r="DP27" s="345"/>
      <c r="DQ27" s="345"/>
      <c r="DR27" s="345"/>
      <c r="DS27" s="345"/>
      <c r="DT27" s="345"/>
    </row>
    <row r="28" spans="1:124" s="196" customFormat="1" ht="15" customHeight="1">
      <c r="A28" s="347"/>
      <c r="B28" s="374"/>
      <c r="C28" s="435"/>
      <c r="D28" s="375"/>
      <c r="E28" s="376"/>
      <c r="F28" s="377"/>
      <c r="G28" s="375"/>
      <c r="H28" s="375"/>
      <c r="I28" s="375"/>
      <c r="J28" s="376"/>
      <c r="K28" s="377"/>
      <c r="L28" s="374"/>
      <c r="M28" s="378"/>
      <c r="N28" s="379"/>
      <c r="O28" s="438"/>
      <c r="P28" s="10"/>
      <c r="Q28" s="17"/>
      <c r="R28" s="380"/>
      <c r="S28" s="380"/>
      <c r="T28" s="380"/>
      <c r="U28" s="380"/>
      <c r="V28" s="380"/>
      <c r="W28" s="380"/>
      <c r="X28" s="380"/>
      <c r="Y28" s="380"/>
      <c r="Z28" s="380"/>
      <c r="AA28" s="380"/>
      <c r="AB28" s="380"/>
      <c r="AC28" s="380"/>
      <c r="AD28" s="380"/>
      <c r="AE28" s="380"/>
      <c r="AF28" s="380"/>
      <c r="AG28" s="380"/>
      <c r="AH28" s="2"/>
      <c r="AI28" s="2"/>
      <c r="AJ28" s="2"/>
      <c r="AK28" s="2"/>
      <c r="AL28" s="2"/>
      <c r="AM28" s="2"/>
      <c r="AN28" s="2"/>
      <c r="AO28" s="2"/>
      <c r="AP28" s="345"/>
      <c r="AQ28" s="345"/>
      <c r="AR28" s="345"/>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345"/>
      <c r="CO28" s="345"/>
      <c r="CP28" s="345"/>
      <c r="CQ28" s="345"/>
      <c r="CR28" s="345"/>
      <c r="CS28" s="345"/>
      <c r="CT28" s="345"/>
      <c r="CU28" s="345"/>
      <c r="CV28" s="345"/>
      <c r="CW28" s="345"/>
      <c r="CX28" s="345"/>
      <c r="CY28" s="345"/>
      <c r="CZ28" s="345"/>
      <c r="DA28" s="345"/>
      <c r="DB28" s="345"/>
      <c r="DC28" s="345"/>
      <c r="DD28" s="345"/>
      <c r="DE28" s="345"/>
      <c r="DF28" s="345"/>
      <c r="DG28" s="345"/>
      <c r="DH28" s="345"/>
      <c r="DI28" s="345"/>
      <c r="DJ28" s="345"/>
      <c r="DK28" s="345"/>
      <c r="DL28" s="345"/>
      <c r="DM28" s="345"/>
      <c r="DN28" s="349"/>
      <c r="DO28" s="345"/>
      <c r="DP28" s="350"/>
      <c r="DQ28" s="345"/>
      <c r="DR28" s="345"/>
      <c r="DS28" s="345"/>
      <c r="DT28" s="345"/>
    </row>
    <row r="29" spans="1:124" s="196" customFormat="1" ht="15" customHeight="1">
      <c r="A29" s="347"/>
      <c r="B29" s="374"/>
      <c r="C29" s="435"/>
      <c r="D29" s="375"/>
      <c r="E29" s="376"/>
      <c r="F29" s="377"/>
      <c r="G29" s="375"/>
      <c r="H29" s="375"/>
      <c r="I29" s="375"/>
      <c r="J29" s="376"/>
      <c r="K29" s="377"/>
      <c r="L29" s="374"/>
      <c r="M29" s="378"/>
      <c r="N29" s="379"/>
      <c r="O29" s="438"/>
      <c r="P29" s="10"/>
      <c r="Q29" s="17"/>
      <c r="R29" s="380"/>
      <c r="S29" s="380"/>
      <c r="T29" s="380"/>
      <c r="U29" s="380"/>
      <c r="V29" s="380"/>
      <c r="W29" s="380"/>
      <c r="X29" s="380"/>
      <c r="Y29" s="380"/>
      <c r="Z29" s="380"/>
      <c r="AA29" s="380"/>
      <c r="AB29" s="380"/>
      <c r="AC29" s="380"/>
      <c r="AD29" s="380"/>
      <c r="AE29" s="380"/>
      <c r="AF29" s="380"/>
      <c r="AG29" s="380"/>
      <c r="AH29" s="2"/>
      <c r="AI29" s="2"/>
      <c r="AJ29" s="2"/>
      <c r="AK29" s="2"/>
      <c r="AL29" s="2"/>
      <c r="AM29" s="2"/>
      <c r="AN29" s="2"/>
      <c r="AO29" s="2"/>
      <c r="AP29" s="345"/>
      <c r="AQ29" s="345"/>
      <c r="AR29" s="345"/>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345"/>
      <c r="CO29" s="345"/>
      <c r="CP29" s="345"/>
      <c r="CQ29" s="345"/>
      <c r="CR29" s="345"/>
      <c r="CS29" s="345"/>
      <c r="CT29" s="345"/>
      <c r="CU29" s="345"/>
      <c r="CV29" s="345"/>
      <c r="CW29" s="345"/>
      <c r="CX29" s="345"/>
      <c r="CY29" s="345"/>
      <c r="CZ29" s="345"/>
      <c r="DA29" s="345"/>
      <c r="DB29" s="345"/>
      <c r="DC29" s="345"/>
      <c r="DD29" s="345"/>
      <c r="DE29" s="345"/>
      <c r="DF29" s="345"/>
      <c r="DG29" s="345"/>
      <c r="DH29" s="345"/>
      <c r="DI29" s="345"/>
      <c r="DJ29" s="345"/>
      <c r="DK29" s="345"/>
      <c r="DL29" s="345"/>
      <c r="DM29" s="345"/>
      <c r="DN29" s="349"/>
      <c r="DO29" s="345"/>
      <c r="DP29" s="350"/>
      <c r="DQ29" s="345"/>
      <c r="DR29" s="345"/>
      <c r="DS29" s="345"/>
      <c r="DT29" s="345"/>
    </row>
    <row r="30" spans="1:124" s="196" customFormat="1" ht="15" customHeight="1">
      <c r="A30" s="347"/>
      <c r="B30" s="374"/>
      <c r="C30" s="435"/>
      <c r="D30" s="375"/>
      <c r="E30" s="376"/>
      <c r="F30" s="377"/>
      <c r="G30" s="375"/>
      <c r="H30" s="375"/>
      <c r="I30" s="375"/>
      <c r="J30" s="376"/>
      <c r="K30" s="377"/>
      <c r="L30" s="374"/>
      <c r="M30" s="378"/>
      <c r="N30" s="379"/>
      <c r="O30" s="438"/>
      <c r="P30" s="10"/>
      <c r="Q30" s="17"/>
      <c r="R30" s="380"/>
      <c r="S30" s="380"/>
      <c r="T30" s="380"/>
      <c r="U30" s="380"/>
      <c r="V30" s="380"/>
      <c r="W30" s="380"/>
      <c r="X30" s="380"/>
      <c r="Y30" s="380"/>
      <c r="Z30" s="380"/>
      <c r="AA30" s="380"/>
      <c r="AB30" s="380"/>
      <c r="AC30" s="380"/>
      <c r="AD30" s="380"/>
      <c r="AE30" s="380"/>
      <c r="AF30" s="380"/>
      <c r="AG30" s="380"/>
      <c r="AH30" s="2"/>
      <c r="AI30" s="2"/>
      <c r="AJ30" s="2"/>
      <c r="AK30" s="2"/>
      <c r="AL30" s="2"/>
      <c r="AM30" s="2"/>
      <c r="AN30" s="2"/>
      <c r="AO30" s="2"/>
      <c r="AP30" s="345"/>
      <c r="AQ30" s="345"/>
      <c r="AR30" s="345"/>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345"/>
      <c r="CO30" s="345"/>
      <c r="CP30" s="345"/>
      <c r="CQ30" s="345"/>
      <c r="CR30" s="345"/>
      <c r="CS30" s="345"/>
      <c r="CT30" s="345"/>
      <c r="CU30" s="345"/>
      <c r="CV30" s="345"/>
      <c r="CW30" s="345"/>
      <c r="CX30" s="345"/>
      <c r="CY30" s="345"/>
      <c r="CZ30" s="345"/>
      <c r="DA30" s="345"/>
      <c r="DB30" s="345"/>
      <c r="DC30" s="345"/>
      <c r="DD30" s="345"/>
      <c r="DE30" s="345"/>
      <c r="DF30" s="345"/>
      <c r="DG30" s="345"/>
      <c r="DH30" s="345"/>
      <c r="DI30" s="345"/>
      <c r="DJ30" s="345"/>
      <c r="DK30" s="345"/>
      <c r="DL30" s="345"/>
      <c r="DM30" s="345"/>
      <c r="DN30" s="349"/>
      <c r="DO30" s="345"/>
      <c r="DP30" s="350"/>
      <c r="DQ30" s="345"/>
      <c r="DR30" s="345"/>
      <c r="DS30" s="345"/>
      <c r="DT30" s="345"/>
    </row>
    <row r="31" spans="1:124" s="196" customFormat="1" ht="15" customHeight="1">
      <c r="A31" s="347"/>
      <c r="B31" s="381"/>
      <c r="C31" s="436"/>
      <c r="D31" s="382"/>
      <c r="E31" s="376"/>
      <c r="F31" s="377"/>
      <c r="G31" s="375"/>
      <c r="H31" s="375"/>
      <c r="I31" s="375"/>
      <c r="J31" s="376"/>
      <c r="K31" s="377"/>
      <c r="L31" s="381"/>
      <c r="M31" s="383"/>
      <c r="N31" s="384"/>
      <c r="O31" s="438"/>
      <c r="P31" s="10"/>
      <c r="Q31" s="17"/>
      <c r="R31" s="380"/>
      <c r="S31" s="380"/>
      <c r="T31" s="380"/>
      <c r="U31" s="380"/>
      <c r="V31" s="380"/>
      <c r="W31" s="380"/>
      <c r="X31" s="380"/>
      <c r="Y31" s="380"/>
      <c r="Z31" s="380"/>
      <c r="AA31" s="380"/>
      <c r="AB31" s="380"/>
      <c r="AC31" s="380"/>
      <c r="AD31" s="380"/>
      <c r="AE31" s="380"/>
      <c r="AF31" s="380"/>
      <c r="AG31" s="380"/>
      <c r="AH31" s="2"/>
      <c r="AI31" s="2"/>
      <c r="AJ31" s="2"/>
      <c r="AK31" s="2"/>
      <c r="AL31" s="2"/>
      <c r="AM31" s="2"/>
      <c r="AN31" s="2"/>
      <c r="AO31" s="2"/>
      <c r="AP31" s="345"/>
      <c r="AQ31" s="345"/>
      <c r="AR31" s="345"/>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345"/>
      <c r="CO31" s="345"/>
      <c r="CP31" s="345"/>
      <c r="CQ31" s="345"/>
      <c r="CR31" s="345"/>
      <c r="CS31" s="345"/>
      <c r="CT31" s="345"/>
      <c r="CU31" s="345"/>
      <c r="CV31" s="345"/>
      <c r="CW31" s="345"/>
      <c r="CX31" s="345"/>
      <c r="CY31" s="345"/>
      <c r="CZ31" s="345"/>
      <c r="DA31" s="345"/>
      <c r="DB31" s="345"/>
      <c r="DC31" s="345"/>
      <c r="DD31" s="345"/>
      <c r="DE31" s="345"/>
      <c r="DF31" s="345"/>
      <c r="DG31" s="345"/>
      <c r="DH31" s="345"/>
      <c r="DI31" s="345"/>
      <c r="DJ31" s="345"/>
      <c r="DK31" s="345"/>
      <c r="DL31" s="345"/>
      <c r="DM31" s="345"/>
      <c r="DN31" s="349"/>
      <c r="DO31" s="345"/>
      <c r="DP31" s="350"/>
      <c r="DQ31" s="345"/>
      <c r="DR31" s="345"/>
      <c r="DS31" s="345"/>
      <c r="DT31" s="345"/>
    </row>
    <row r="32" spans="1:124" s="196" customFormat="1" ht="15" customHeight="1">
      <c r="A32" s="347"/>
      <c r="B32" s="385"/>
      <c r="C32" s="385"/>
      <c r="D32" s="385"/>
      <c r="E32" s="385"/>
      <c r="F32" s="385"/>
      <c r="G32" s="385"/>
      <c r="H32" s="385"/>
      <c r="I32" s="385"/>
      <c r="J32" s="385"/>
      <c r="K32" s="345"/>
      <c r="L32" s="345"/>
      <c r="M32" s="345"/>
      <c r="N32" s="345"/>
      <c r="O32" s="345"/>
      <c r="P32" s="10"/>
      <c r="Q32" s="17"/>
      <c r="R32" s="348"/>
      <c r="S32" s="348"/>
      <c r="T32" s="348"/>
      <c r="U32" s="348"/>
      <c r="V32" s="348"/>
      <c r="W32" s="348"/>
      <c r="X32" s="348"/>
      <c r="Y32" s="348"/>
      <c r="Z32" s="348"/>
      <c r="AA32" s="348"/>
      <c r="AB32" s="348"/>
      <c r="AC32" s="348"/>
      <c r="AD32" s="348"/>
      <c r="AE32" s="348"/>
      <c r="AF32" s="348"/>
      <c r="AG32" s="348"/>
      <c r="AH32" s="348"/>
      <c r="AI32" s="348"/>
      <c r="AJ32" s="348"/>
      <c r="AK32" s="348"/>
      <c r="AL32" s="2"/>
      <c r="AM32" s="2"/>
      <c r="AN32" s="2"/>
      <c r="AO32" s="2"/>
      <c r="AP32" s="2"/>
      <c r="AQ32" s="2"/>
      <c r="AR32" s="2"/>
      <c r="AS32" s="2"/>
      <c r="AT32" s="345"/>
      <c r="AU32" s="345"/>
      <c r="AV32" s="345"/>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345"/>
      <c r="CS32" s="345"/>
      <c r="CT32" s="345"/>
      <c r="CU32" s="345"/>
      <c r="CV32" s="345"/>
      <c r="CW32" s="345"/>
      <c r="CX32" s="345"/>
      <c r="CY32" s="345"/>
      <c r="CZ32" s="345"/>
      <c r="DA32" s="345"/>
      <c r="DB32" s="345"/>
      <c r="DC32" s="345"/>
      <c r="DD32" s="345"/>
      <c r="DE32" s="345"/>
      <c r="DF32" s="345"/>
      <c r="DG32" s="345"/>
      <c r="DH32" s="345"/>
      <c r="DI32" s="345"/>
      <c r="DJ32" s="345"/>
      <c r="DK32" s="345"/>
      <c r="DL32" s="345"/>
      <c r="DM32" s="345"/>
      <c r="DN32" s="345"/>
      <c r="DO32" s="345"/>
      <c r="DP32" s="345"/>
      <c r="DQ32" s="345"/>
      <c r="DR32" s="349"/>
      <c r="DS32" s="345"/>
      <c r="DT32" s="350"/>
    </row>
    <row r="33" spans="1:128" s="196" customFormat="1" ht="15" customHeight="1">
      <c r="A33" s="347"/>
      <c r="B33" s="4"/>
      <c r="C33" s="4"/>
      <c r="D33" s="4"/>
      <c r="E33" s="4"/>
      <c r="F33" s="4"/>
      <c r="G33" s="345"/>
      <c r="H33" s="345"/>
      <c r="I33" s="345"/>
      <c r="J33" s="345"/>
      <c r="K33" s="345"/>
      <c r="L33" s="345"/>
      <c r="M33" s="345"/>
      <c r="N33" s="345"/>
      <c r="O33" s="345"/>
      <c r="P33" s="10"/>
      <c r="Q33" s="17"/>
      <c r="R33" s="348"/>
      <c r="S33" s="348"/>
      <c r="T33" s="348"/>
      <c r="U33" s="348"/>
      <c r="V33" s="348"/>
      <c r="W33" s="348"/>
      <c r="X33" s="348"/>
      <c r="Y33" s="348"/>
      <c r="Z33" s="348"/>
      <c r="AA33" s="348"/>
      <c r="AB33" s="348"/>
      <c r="AC33" s="348"/>
      <c r="AD33" s="348"/>
      <c r="AE33" s="348"/>
      <c r="AF33" s="348"/>
      <c r="AG33" s="348"/>
      <c r="AH33" s="348"/>
      <c r="AI33" s="348"/>
      <c r="AJ33" s="348"/>
      <c r="AK33" s="348"/>
      <c r="AL33" s="2"/>
      <c r="AM33" s="2"/>
      <c r="AN33" s="2"/>
      <c r="AO33" s="2"/>
      <c r="AP33" s="2"/>
      <c r="AQ33" s="2"/>
      <c r="AR33" s="2"/>
      <c r="AS33" s="2"/>
      <c r="AT33" s="345"/>
      <c r="AU33" s="345"/>
      <c r="AV33" s="345"/>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345"/>
      <c r="CS33" s="345"/>
      <c r="CT33" s="345"/>
      <c r="CU33" s="345"/>
      <c r="CV33" s="345"/>
      <c r="CW33" s="345"/>
      <c r="CX33" s="345"/>
      <c r="CY33" s="345"/>
      <c r="CZ33" s="345"/>
      <c r="DA33" s="345"/>
      <c r="DB33" s="345"/>
      <c r="DC33" s="345"/>
      <c r="DD33" s="345"/>
      <c r="DE33" s="345"/>
      <c r="DF33" s="345"/>
      <c r="DG33" s="345"/>
      <c r="DH33" s="345"/>
      <c r="DI33" s="345"/>
      <c r="DJ33" s="345"/>
      <c r="DK33" s="345"/>
      <c r="DL33" s="345"/>
      <c r="DM33" s="345"/>
      <c r="DN33" s="345"/>
      <c r="DO33" s="345"/>
      <c r="DP33" s="345"/>
      <c r="DQ33" s="345"/>
      <c r="DR33" s="349"/>
      <c r="DS33" s="345"/>
      <c r="DT33" s="350"/>
      <c r="DU33" s="345"/>
      <c r="DV33" s="345"/>
      <c r="DW33" s="345"/>
      <c r="DX33" s="345"/>
    </row>
    <row r="34" spans="1:128" s="196" customFormat="1" ht="24.95" customHeight="1">
      <c r="A34" s="347"/>
      <c r="B34" s="352" t="s">
        <v>180</v>
      </c>
      <c r="C34" s="353"/>
      <c r="D34" s="353"/>
      <c r="E34" s="353"/>
      <c r="F34" s="353"/>
      <c r="G34" s="365"/>
      <c r="H34" s="365"/>
      <c r="I34" s="365"/>
      <c r="J34" s="365"/>
      <c r="K34" s="365"/>
      <c r="L34" s="365"/>
      <c r="M34" s="365"/>
      <c r="N34" s="365"/>
      <c r="O34" s="365"/>
      <c r="P34" s="10"/>
      <c r="Q34" s="17"/>
      <c r="R34" s="348"/>
      <c r="S34" s="348"/>
      <c r="T34" s="348"/>
      <c r="U34" s="348"/>
      <c r="V34" s="348"/>
      <c r="W34" s="348"/>
      <c r="X34" s="348"/>
      <c r="Y34" s="348"/>
      <c r="Z34" s="348"/>
      <c r="AA34" s="348"/>
      <c r="AB34" s="348"/>
      <c r="AC34" s="348"/>
      <c r="AD34" s="348"/>
      <c r="AE34" s="348"/>
      <c r="AF34" s="348"/>
      <c r="AG34" s="348"/>
      <c r="AH34" s="348"/>
      <c r="AI34" s="348"/>
      <c r="AJ34" s="348"/>
      <c r="AK34" s="348"/>
      <c r="AL34" s="2"/>
      <c r="AM34" s="2"/>
      <c r="AN34" s="2"/>
      <c r="AO34" s="2"/>
      <c r="AP34" s="2"/>
      <c r="AQ34" s="2"/>
      <c r="AR34" s="2"/>
      <c r="AS34" s="2"/>
      <c r="AT34" s="345"/>
      <c r="AU34" s="345"/>
      <c r="AV34" s="345"/>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345"/>
      <c r="CS34" s="345"/>
      <c r="CT34" s="345"/>
      <c r="CU34" s="345"/>
      <c r="CV34" s="345"/>
      <c r="CW34" s="345"/>
      <c r="CX34" s="345"/>
      <c r="CY34" s="345"/>
      <c r="CZ34" s="345"/>
      <c r="DA34" s="345"/>
      <c r="DB34" s="345"/>
      <c r="DC34" s="345"/>
      <c r="DD34" s="345"/>
      <c r="DE34" s="345"/>
      <c r="DF34" s="345"/>
      <c r="DG34" s="345"/>
      <c r="DH34" s="345"/>
      <c r="DI34" s="345"/>
      <c r="DJ34" s="345"/>
      <c r="DK34" s="345"/>
      <c r="DL34" s="345"/>
      <c r="DM34" s="345"/>
      <c r="DN34" s="345"/>
      <c r="DO34" s="345"/>
      <c r="DP34" s="345"/>
      <c r="DQ34" s="345"/>
      <c r="DR34" s="349"/>
      <c r="DS34" s="345"/>
      <c r="DT34" s="350"/>
      <c r="DU34" s="345"/>
      <c r="DV34" s="345"/>
      <c r="DW34" s="345"/>
      <c r="DX34" s="345"/>
    </row>
    <row r="35" spans="1:128" s="196" customFormat="1" ht="15" customHeight="1">
      <c r="A35" s="347"/>
      <c r="B35" s="386"/>
      <c r="C35" s="2"/>
      <c r="D35" s="2"/>
      <c r="E35" s="2"/>
      <c r="F35" s="2"/>
      <c r="G35" s="345"/>
      <c r="H35" s="345"/>
      <c r="I35" s="345"/>
      <c r="J35" s="345"/>
      <c r="K35" s="345"/>
      <c r="L35" s="345"/>
      <c r="M35" s="345"/>
      <c r="N35" s="345"/>
      <c r="O35" s="345"/>
      <c r="P35" s="10"/>
      <c r="Q35" s="17"/>
      <c r="R35" s="348"/>
      <c r="S35" s="348"/>
      <c r="T35" s="348"/>
      <c r="U35" s="348"/>
      <c r="V35" s="348"/>
      <c r="W35" s="348"/>
      <c r="X35" s="348"/>
      <c r="Y35" s="348"/>
      <c r="Z35" s="348"/>
      <c r="AA35" s="348"/>
      <c r="AB35" s="348"/>
      <c r="AC35" s="348"/>
      <c r="AD35" s="348"/>
      <c r="AE35" s="348"/>
      <c r="AF35" s="348"/>
      <c r="AG35" s="348"/>
      <c r="AH35" s="348"/>
      <c r="AI35" s="348"/>
      <c r="AJ35" s="348"/>
      <c r="AK35" s="348"/>
      <c r="AL35" s="2"/>
      <c r="AM35" s="2"/>
      <c r="AN35" s="2"/>
      <c r="AO35" s="2"/>
      <c r="AP35" s="2"/>
      <c r="AQ35" s="2"/>
      <c r="AR35" s="2"/>
      <c r="AS35" s="2"/>
      <c r="AT35" s="345"/>
      <c r="AU35" s="345"/>
      <c r="AV35" s="345"/>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345"/>
      <c r="CS35" s="345"/>
      <c r="CT35" s="345"/>
      <c r="CU35" s="345"/>
      <c r="CV35" s="345"/>
      <c r="CW35" s="345"/>
      <c r="CX35" s="345"/>
      <c r="CY35" s="345"/>
      <c r="CZ35" s="345"/>
      <c r="DA35" s="345"/>
      <c r="DB35" s="345"/>
      <c r="DC35" s="345"/>
      <c r="DD35" s="345"/>
      <c r="DE35" s="345"/>
      <c r="DF35" s="345"/>
      <c r="DG35" s="345"/>
      <c r="DH35" s="345"/>
      <c r="DI35" s="345"/>
      <c r="DJ35" s="345"/>
      <c r="DK35" s="345"/>
      <c r="DL35" s="345"/>
      <c r="DM35" s="345"/>
      <c r="DN35" s="345"/>
      <c r="DO35" s="345"/>
      <c r="DP35" s="345"/>
      <c r="DQ35" s="345"/>
      <c r="DR35" s="346"/>
      <c r="DS35" s="345"/>
      <c r="DT35" s="350"/>
      <c r="DU35" s="345"/>
      <c r="DV35" s="345"/>
      <c r="DW35" s="345"/>
      <c r="DX35" s="345"/>
    </row>
    <row r="36" spans="1:128" ht="15" customHeight="1">
      <c r="A36" s="341"/>
      <c r="B36" s="169" t="s">
        <v>181</v>
      </c>
      <c r="C36" s="387"/>
      <c r="D36" s="387"/>
      <c r="E36" s="387"/>
      <c r="F36" s="387"/>
      <c r="G36" s="2"/>
      <c r="H36" s="2"/>
      <c r="I36" s="2"/>
      <c r="J36" s="2"/>
      <c r="K36" s="2"/>
      <c r="L36" s="2"/>
      <c r="M36" s="2"/>
      <c r="N36" s="2"/>
      <c r="O36" s="2"/>
      <c r="P36" s="10"/>
      <c r="Q36" s="17"/>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345"/>
      <c r="CV36" s="345"/>
      <c r="CW36" s="345"/>
      <c r="CX36" s="345"/>
      <c r="CY36" s="345"/>
      <c r="CZ36" s="345"/>
      <c r="DA36" s="345"/>
      <c r="DB36" s="345"/>
      <c r="DC36" s="345"/>
      <c r="DD36" s="345"/>
      <c r="DE36" s="345"/>
      <c r="DF36" s="345"/>
      <c r="DG36" s="345"/>
      <c r="DH36" s="345"/>
      <c r="DI36" s="345"/>
      <c r="DJ36" s="345"/>
      <c r="DK36" s="345"/>
      <c r="DL36" s="345"/>
      <c r="DM36" s="345"/>
      <c r="DN36" s="345"/>
      <c r="DO36" s="345"/>
      <c r="DP36" s="345"/>
      <c r="DQ36" s="345"/>
      <c r="DR36" s="345"/>
      <c r="DS36" s="345"/>
      <c r="DT36" s="345"/>
      <c r="DU36" s="349"/>
      <c r="DV36" s="345"/>
      <c r="DW36" s="350"/>
      <c r="DX36" s="2"/>
    </row>
    <row r="37" spans="1:128" ht="14.25" customHeight="1">
      <c r="A37" s="341"/>
      <c r="B37" s="482"/>
      <c r="C37" s="483"/>
      <c r="D37" s="483"/>
      <c r="E37" s="483"/>
      <c r="F37" s="484"/>
      <c r="G37" s="2"/>
      <c r="H37" s="2"/>
      <c r="I37" s="2"/>
      <c r="J37" s="2"/>
      <c r="K37" s="2"/>
      <c r="L37" s="2"/>
      <c r="M37" s="2"/>
      <c r="N37" s="2"/>
      <c r="O37" s="2"/>
      <c r="P37" s="10"/>
      <c r="Q37" s="17"/>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345"/>
      <c r="CV37" s="345"/>
      <c r="CW37" s="345"/>
      <c r="CX37" s="345"/>
      <c r="CY37" s="345"/>
      <c r="CZ37" s="345"/>
      <c r="DA37" s="345"/>
      <c r="DB37" s="345"/>
      <c r="DC37" s="345"/>
      <c r="DD37" s="345"/>
      <c r="DE37" s="345"/>
      <c r="DF37" s="345"/>
      <c r="DG37" s="345"/>
      <c r="DH37" s="345"/>
      <c r="DI37" s="345"/>
      <c r="DJ37" s="345"/>
      <c r="DK37" s="345"/>
      <c r="DL37" s="345"/>
      <c r="DM37" s="345"/>
      <c r="DN37" s="345"/>
      <c r="DO37" s="345"/>
      <c r="DP37" s="345"/>
      <c r="DQ37" s="345"/>
      <c r="DR37" s="345"/>
      <c r="DS37" s="345"/>
      <c r="DT37" s="345"/>
      <c r="DU37" s="349"/>
      <c r="DV37" s="345"/>
      <c r="DW37" s="350"/>
      <c r="DX37" s="2"/>
    </row>
    <row r="38" spans="1:128" ht="14.25" customHeight="1">
      <c r="A38" s="341"/>
      <c r="B38" s="485"/>
      <c r="C38" s="486"/>
      <c r="D38" s="486"/>
      <c r="E38" s="486"/>
      <c r="F38" s="487"/>
      <c r="G38" s="2"/>
      <c r="H38" s="2"/>
      <c r="I38" s="2"/>
      <c r="J38" s="2"/>
      <c r="K38" s="2"/>
      <c r="L38" s="2"/>
      <c r="M38" s="2"/>
      <c r="N38" s="2"/>
      <c r="O38" s="2"/>
      <c r="P38" s="10"/>
      <c r="Q38" s="17"/>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345"/>
      <c r="CV38" s="345"/>
      <c r="CW38" s="345"/>
      <c r="CX38" s="345"/>
      <c r="CY38" s="345"/>
      <c r="CZ38" s="345"/>
      <c r="DA38" s="345"/>
      <c r="DB38" s="345"/>
      <c r="DC38" s="345"/>
      <c r="DD38" s="345"/>
      <c r="DE38" s="345"/>
      <c r="DF38" s="345"/>
      <c r="DG38" s="345"/>
      <c r="DH38" s="345"/>
      <c r="DI38" s="345"/>
      <c r="DJ38" s="345"/>
      <c r="DK38" s="345"/>
      <c r="DL38" s="345"/>
      <c r="DM38" s="345"/>
      <c r="DN38" s="345"/>
      <c r="DO38" s="345"/>
      <c r="DP38" s="345"/>
      <c r="DQ38" s="345"/>
      <c r="DR38" s="345"/>
      <c r="DS38" s="345"/>
      <c r="DT38" s="345"/>
      <c r="DU38" s="349"/>
      <c r="DV38" s="345"/>
      <c r="DW38" s="350"/>
      <c r="DX38" s="2"/>
    </row>
    <row r="39" spans="1:128" ht="14.25" customHeight="1">
      <c r="A39" s="341"/>
      <c r="B39" s="485"/>
      <c r="C39" s="486"/>
      <c r="D39" s="486"/>
      <c r="E39" s="486"/>
      <c r="F39" s="487"/>
      <c r="G39" s="2"/>
      <c r="H39" s="2"/>
      <c r="I39" s="2"/>
      <c r="J39" s="2"/>
      <c r="K39" s="2"/>
      <c r="L39" s="2"/>
      <c r="M39" s="2"/>
      <c r="N39" s="2"/>
      <c r="O39" s="2"/>
      <c r="P39" s="10"/>
      <c r="Q39" s="17"/>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345"/>
      <c r="CV39" s="345"/>
      <c r="CW39" s="345"/>
      <c r="CX39" s="345"/>
      <c r="CY39" s="345"/>
      <c r="CZ39" s="345"/>
      <c r="DA39" s="345"/>
      <c r="DB39" s="345"/>
      <c r="DC39" s="345"/>
      <c r="DD39" s="345"/>
      <c r="DE39" s="345"/>
      <c r="DF39" s="345"/>
      <c r="DG39" s="345"/>
      <c r="DH39" s="345"/>
      <c r="DI39" s="345"/>
      <c r="DJ39" s="345"/>
      <c r="DK39" s="345"/>
      <c r="DL39" s="345"/>
      <c r="DM39" s="345"/>
      <c r="DN39" s="345"/>
      <c r="DO39" s="345"/>
      <c r="DP39" s="345"/>
      <c r="DQ39" s="345"/>
      <c r="DR39" s="345"/>
      <c r="DS39" s="345"/>
      <c r="DT39" s="345"/>
      <c r="DU39" s="349"/>
      <c r="DV39" s="345"/>
      <c r="DW39" s="350"/>
      <c r="DX39" s="2"/>
    </row>
    <row r="40" spans="1:128" ht="14.25" customHeight="1">
      <c r="A40" s="341"/>
      <c r="B40" s="488"/>
      <c r="C40" s="489"/>
      <c r="D40" s="489"/>
      <c r="E40" s="489"/>
      <c r="F40" s="490"/>
      <c r="G40" s="2"/>
      <c r="H40" s="2"/>
      <c r="I40" s="2"/>
      <c r="J40" s="2"/>
      <c r="K40" s="2"/>
      <c r="L40" s="2"/>
      <c r="M40" s="2"/>
      <c r="N40" s="2"/>
      <c r="O40" s="2"/>
      <c r="P40" s="10"/>
      <c r="Q40" s="17"/>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345"/>
      <c r="CV40" s="345"/>
      <c r="CW40" s="345"/>
      <c r="CX40" s="345"/>
      <c r="CY40" s="345"/>
      <c r="CZ40" s="345"/>
      <c r="DA40" s="345"/>
      <c r="DB40" s="345"/>
      <c r="DC40" s="345"/>
      <c r="DD40" s="345"/>
      <c r="DE40" s="345"/>
      <c r="DF40" s="345"/>
      <c r="DG40" s="345"/>
      <c r="DH40" s="345"/>
      <c r="DI40" s="345"/>
      <c r="DJ40" s="345"/>
      <c r="DK40" s="345"/>
      <c r="DL40" s="345"/>
      <c r="DM40" s="345"/>
      <c r="DN40" s="345"/>
      <c r="DO40" s="345"/>
      <c r="DP40" s="345"/>
      <c r="DQ40" s="345"/>
      <c r="DR40" s="345"/>
      <c r="DS40" s="345"/>
      <c r="DT40" s="345"/>
      <c r="DU40" s="349"/>
      <c r="DV40" s="345"/>
      <c r="DW40" s="350"/>
      <c r="DX40" s="2"/>
    </row>
    <row r="41" spans="1:128" ht="18" customHeight="1">
      <c r="A41" s="341"/>
      <c r="B41" s="388"/>
      <c r="C41" s="389"/>
      <c r="D41" s="389"/>
      <c r="E41" s="389"/>
      <c r="F41" s="389"/>
      <c r="G41" s="342"/>
      <c r="H41" s="342"/>
      <c r="I41" s="342"/>
      <c r="J41" s="342"/>
      <c r="K41" s="342"/>
      <c r="L41" s="552" t="s">
        <v>182</v>
      </c>
      <c r="M41" s="552"/>
      <c r="N41" s="552"/>
      <c r="O41" s="342"/>
      <c r="P41" s="10"/>
      <c r="Q41" s="17"/>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345"/>
      <c r="CV41" s="345"/>
      <c r="CW41" s="345"/>
      <c r="CX41" s="345"/>
      <c r="CY41" s="345"/>
      <c r="CZ41" s="345"/>
      <c r="DA41" s="345"/>
      <c r="DB41" s="345"/>
      <c r="DC41" s="345"/>
      <c r="DD41" s="345"/>
      <c r="DE41" s="345"/>
      <c r="DF41" s="345"/>
      <c r="DG41" s="345"/>
      <c r="DH41" s="345"/>
      <c r="DI41" s="345"/>
      <c r="DJ41" s="345"/>
      <c r="DK41" s="345"/>
      <c r="DL41" s="345"/>
      <c r="DM41" s="345"/>
      <c r="DN41" s="345"/>
      <c r="DO41" s="345"/>
      <c r="DP41" s="345"/>
      <c r="DQ41" s="345"/>
      <c r="DR41" s="345"/>
      <c r="DS41" s="345"/>
      <c r="DT41" s="345"/>
      <c r="DU41" s="349"/>
      <c r="DV41" s="345"/>
      <c r="DW41" s="350"/>
      <c r="DX41" s="2"/>
    </row>
    <row r="42" spans="1:128" ht="30.75" customHeight="1">
      <c r="A42" s="341"/>
      <c r="B42" s="572" t="s">
        <v>183</v>
      </c>
      <c r="C42" s="566" t="s">
        <v>167</v>
      </c>
      <c r="D42" s="567" t="s">
        <v>184</v>
      </c>
      <c r="E42" s="568"/>
      <c r="F42" s="568"/>
      <c r="G42" s="569" t="s">
        <v>185</v>
      </c>
      <c r="H42" s="570"/>
      <c r="I42" s="570"/>
      <c r="J42" s="570"/>
      <c r="K42" s="571"/>
      <c r="L42" s="553">
        <v>1</v>
      </c>
      <c r="M42" s="555">
        <v>2</v>
      </c>
      <c r="N42" s="555">
        <v>3</v>
      </c>
      <c r="O42" s="555" t="s">
        <v>171</v>
      </c>
      <c r="P42" s="10"/>
      <c r="Q42" s="17"/>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345"/>
      <c r="CW42" s="345"/>
      <c r="CX42" s="345"/>
      <c r="CY42" s="345"/>
      <c r="CZ42" s="345"/>
      <c r="DA42" s="345"/>
      <c r="DB42" s="345"/>
      <c r="DC42" s="345"/>
      <c r="DD42" s="345"/>
      <c r="DE42" s="345"/>
      <c r="DF42" s="345"/>
      <c r="DG42" s="345"/>
      <c r="DH42" s="345"/>
      <c r="DI42" s="345"/>
      <c r="DJ42" s="345"/>
      <c r="DK42" s="345"/>
      <c r="DL42" s="345"/>
      <c r="DM42" s="345"/>
      <c r="DN42" s="345"/>
      <c r="DO42" s="345"/>
      <c r="DP42" s="345"/>
      <c r="DQ42" s="345"/>
      <c r="DR42" s="345"/>
      <c r="DS42" s="345"/>
      <c r="DT42" s="345"/>
      <c r="DU42" s="345"/>
      <c r="DV42" s="390"/>
      <c r="DW42" s="345"/>
      <c r="DX42" s="350"/>
    </row>
    <row r="43" spans="1:128" ht="19.5" customHeight="1">
      <c r="A43" s="341"/>
      <c r="B43" s="573"/>
      <c r="C43" s="566"/>
      <c r="D43" s="450" t="s">
        <v>172</v>
      </c>
      <c r="E43" s="372" t="s">
        <v>173</v>
      </c>
      <c r="F43" s="450" t="s">
        <v>174</v>
      </c>
      <c r="G43" s="391" t="s">
        <v>175</v>
      </c>
      <c r="H43" s="392" t="s">
        <v>176</v>
      </c>
      <c r="I43" s="392" t="s">
        <v>177</v>
      </c>
      <c r="J43" s="392" t="s">
        <v>178</v>
      </c>
      <c r="K43" s="392" t="s">
        <v>179</v>
      </c>
      <c r="L43" s="554"/>
      <c r="M43" s="556"/>
      <c r="N43" s="556"/>
      <c r="O43" s="556"/>
      <c r="P43" s="10"/>
      <c r="Q43" s="17"/>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345"/>
      <c r="CW43" s="345"/>
      <c r="CX43" s="345"/>
      <c r="CY43" s="345"/>
      <c r="CZ43" s="345"/>
      <c r="DA43" s="345"/>
      <c r="DB43" s="345"/>
      <c r="DC43" s="345"/>
      <c r="DD43" s="345"/>
      <c r="DE43" s="345"/>
      <c r="DF43" s="345"/>
      <c r="DG43" s="345"/>
      <c r="DH43" s="345"/>
      <c r="DI43" s="345"/>
      <c r="DJ43" s="345"/>
      <c r="DK43" s="345"/>
      <c r="DL43" s="345"/>
      <c r="DM43" s="345"/>
      <c r="DN43" s="345"/>
      <c r="DO43" s="345"/>
      <c r="DP43" s="345"/>
      <c r="DQ43" s="345"/>
      <c r="DR43" s="345"/>
      <c r="DS43" s="345"/>
      <c r="DT43" s="345"/>
      <c r="DU43" s="345"/>
      <c r="DV43" s="349"/>
      <c r="DW43" s="345"/>
      <c r="DX43" s="345"/>
    </row>
    <row r="44" spans="1:128" ht="15" customHeight="1">
      <c r="A44" s="341"/>
      <c r="B44" s="393"/>
      <c r="C44" s="374"/>
      <c r="D44" s="393"/>
      <c r="E44" s="394"/>
      <c r="F44" s="395"/>
      <c r="G44" s="393"/>
      <c r="H44" s="393"/>
      <c r="I44" s="393"/>
      <c r="J44" s="394"/>
      <c r="K44" s="395"/>
      <c r="L44" s="396"/>
      <c r="M44" s="396"/>
      <c r="N44" s="396"/>
      <c r="O44" s="396"/>
      <c r="P44" s="10"/>
      <c r="Q44" s="17"/>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345"/>
      <c r="CW44" s="345"/>
      <c r="CX44" s="345"/>
      <c r="CY44" s="345"/>
      <c r="CZ44" s="345"/>
      <c r="DA44" s="345"/>
      <c r="DB44" s="345"/>
      <c r="DC44" s="345"/>
      <c r="DD44" s="345"/>
      <c r="DE44" s="345"/>
      <c r="DF44" s="345"/>
      <c r="DG44" s="345"/>
      <c r="DH44" s="345"/>
      <c r="DI44" s="345"/>
      <c r="DJ44" s="345"/>
      <c r="DK44" s="345"/>
      <c r="DL44" s="345"/>
      <c r="DM44" s="345"/>
      <c r="DN44" s="345"/>
      <c r="DO44" s="345"/>
      <c r="DP44" s="345"/>
      <c r="DQ44" s="345"/>
      <c r="DR44" s="345"/>
      <c r="DS44" s="345"/>
      <c r="DT44" s="345"/>
      <c r="DU44" s="345"/>
      <c r="DV44" s="349"/>
      <c r="DW44" s="345"/>
      <c r="DX44" s="350"/>
    </row>
    <row r="45" spans="1:128" ht="15" customHeight="1">
      <c r="A45" s="341"/>
      <c r="B45" s="393"/>
      <c r="C45" s="374"/>
      <c r="D45" s="393"/>
      <c r="E45" s="394"/>
      <c r="F45" s="395"/>
      <c r="G45" s="393"/>
      <c r="H45" s="393"/>
      <c r="I45" s="393"/>
      <c r="J45" s="394"/>
      <c r="K45" s="395"/>
      <c r="L45" s="396"/>
      <c r="M45" s="396"/>
      <c r="N45" s="396"/>
      <c r="O45" s="396"/>
      <c r="P45" s="10"/>
      <c r="Q45" s="17"/>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345"/>
      <c r="CW45" s="345"/>
      <c r="CX45" s="345"/>
      <c r="CY45" s="345"/>
      <c r="CZ45" s="345"/>
      <c r="DA45" s="345"/>
      <c r="DB45" s="345"/>
      <c r="DC45" s="345"/>
      <c r="DD45" s="345"/>
      <c r="DE45" s="345"/>
      <c r="DF45" s="345"/>
      <c r="DG45" s="345"/>
      <c r="DH45" s="345"/>
      <c r="DI45" s="345"/>
      <c r="DJ45" s="345"/>
      <c r="DK45" s="345"/>
      <c r="DL45" s="345"/>
      <c r="DM45" s="345"/>
      <c r="DN45" s="345"/>
      <c r="DO45" s="345"/>
      <c r="DP45" s="345"/>
      <c r="DQ45" s="345"/>
      <c r="DR45" s="345"/>
      <c r="DS45" s="345"/>
      <c r="DT45" s="345"/>
      <c r="DU45" s="345"/>
      <c r="DV45" s="349"/>
      <c r="DW45" s="345"/>
      <c r="DX45" s="350"/>
    </row>
    <row r="46" spans="1:128" ht="15" customHeight="1">
      <c r="A46" s="341"/>
      <c r="B46" s="393"/>
      <c r="C46" s="374"/>
      <c r="D46" s="393"/>
      <c r="E46" s="394"/>
      <c r="F46" s="395"/>
      <c r="G46" s="393"/>
      <c r="H46" s="393"/>
      <c r="I46" s="393"/>
      <c r="J46" s="394"/>
      <c r="K46" s="395"/>
      <c r="L46" s="396"/>
      <c r="M46" s="396"/>
      <c r="N46" s="396"/>
      <c r="O46" s="396"/>
      <c r="P46" s="10"/>
      <c r="Q46" s="17"/>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345"/>
      <c r="CW46" s="345"/>
      <c r="CX46" s="345"/>
      <c r="CY46" s="345"/>
      <c r="CZ46" s="345"/>
      <c r="DA46" s="345"/>
      <c r="DB46" s="345"/>
      <c r="DC46" s="345"/>
      <c r="DD46" s="345"/>
      <c r="DE46" s="345"/>
      <c r="DF46" s="345"/>
      <c r="DG46" s="345"/>
      <c r="DH46" s="345"/>
      <c r="DI46" s="345"/>
      <c r="DJ46" s="345"/>
      <c r="DK46" s="345"/>
      <c r="DL46" s="345"/>
      <c r="DM46" s="345"/>
      <c r="DN46" s="345"/>
      <c r="DO46" s="345"/>
      <c r="DP46" s="345"/>
      <c r="DQ46" s="345"/>
      <c r="DR46" s="345"/>
      <c r="DS46" s="345"/>
      <c r="DT46" s="345"/>
      <c r="DU46" s="345"/>
      <c r="DV46" s="349"/>
      <c r="DW46" s="345"/>
      <c r="DX46" s="350"/>
    </row>
    <row r="47" spans="1:128" ht="15" customHeight="1">
      <c r="A47" s="341"/>
      <c r="B47" s="393"/>
      <c r="C47" s="374"/>
      <c r="D47" s="393"/>
      <c r="E47" s="394"/>
      <c r="F47" s="395"/>
      <c r="G47" s="393"/>
      <c r="H47" s="393"/>
      <c r="I47" s="393"/>
      <c r="J47" s="394"/>
      <c r="K47" s="395"/>
      <c r="L47" s="396"/>
      <c r="M47" s="396"/>
      <c r="N47" s="396"/>
      <c r="O47" s="396"/>
      <c r="P47" s="10"/>
      <c r="Q47" s="17"/>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345"/>
      <c r="CW47" s="345"/>
      <c r="CX47" s="345"/>
      <c r="CY47" s="345"/>
      <c r="CZ47" s="345"/>
      <c r="DA47" s="345"/>
      <c r="DB47" s="345"/>
      <c r="DC47" s="345"/>
      <c r="DD47" s="345"/>
      <c r="DE47" s="345"/>
      <c r="DF47" s="345"/>
      <c r="DG47" s="345"/>
      <c r="DH47" s="345"/>
      <c r="DI47" s="345"/>
      <c r="DJ47" s="345"/>
      <c r="DK47" s="345"/>
      <c r="DL47" s="345"/>
      <c r="DM47" s="345"/>
      <c r="DN47" s="345"/>
      <c r="DO47" s="345"/>
      <c r="DP47" s="345"/>
      <c r="DQ47" s="345"/>
      <c r="DR47" s="345"/>
      <c r="DS47" s="345"/>
      <c r="DT47" s="345"/>
      <c r="DU47" s="345"/>
      <c r="DV47" s="349"/>
      <c r="DW47" s="345"/>
      <c r="DX47" s="350"/>
    </row>
    <row r="48" spans="1:128" ht="15" customHeight="1">
      <c r="A48" s="341"/>
      <c r="B48" s="397"/>
      <c r="C48" s="381"/>
      <c r="D48" s="397"/>
      <c r="E48" s="398"/>
      <c r="F48" s="399"/>
      <c r="G48" s="397"/>
      <c r="H48" s="397"/>
      <c r="I48" s="397"/>
      <c r="J48" s="398"/>
      <c r="K48" s="439"/>
      <c r="L48" s="396"/>
      <c r="M48" s="396"/>
      <c r="N48" s="396"/>
      <c r="O48" s="396"/>
      <c r="P48" s="10"/>
      <c r="Q48" s="17"/>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345"/>
      <c r="CW48" s="345"/>
      <c r="CX48" s="345"/>
      <c r="CY48" s="345"/>
      <c r="CZ48" s="345"/>
      <c r="DA48" s="345"/>
      <c r="DB48" s="345"/>
      <c r="DC48" s="345"/>
      <c r="DD48" s="345"/>
      <c r="DE48" s="345"/>
      <c r="DF48" s="345"/>
      <c r="DG48" s="345"/>
      <c r="DH48" s="345"/>
      <c r="DI48" s="345"/>
      <c r="DJ48" s="345"/>
      <c r="DK48" s="345"/>
      <c r="DL48" s="345"/>
      <c r="DM48" s="345"/>
      <c r="DN48" s="345"/>
      <c r="DO48" s="345"/>
      <c r="DP48" s="345"/>
      <c r="DQ48" s="345"/>
      <c r="DR48" s="345"/>
      <c r="DS48" s="345"/>
      <c r="DT48" s="345"/>
      <c r="DU48" s="345"/>
      <c r="DV48" s="349"/>
      <c r="DW48" s="345"/>
      <c r="DX48" s="350"/>
    </row>
    <row r="49" spans="1:128" ht="15" customHeight="1">
      <c r="A49" s="341"/>
      <c r="B49" s="400"/>
      <c r="C49" s="2"/>
      <c r="D49" s="2"/>
      <c r="E49" s="2"/>
      <c r="F49" s="2"/>
      <c r="G49" s="2"/>
      <c r="H49" s="2"/>
      <c r="I49" s="2"/>
      <c r="J49" s="2"/>
      <c r="K49" s="2"/>
      <c r="L49" s="2"/>
      <c r="M49" s="2"/>
      <c r="N49" s="2"/>
      <c r="O49" s="2"/>
      <c r="P49" s="10"/>
      <c r="Q49" s="17"/>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345"/>
      <c r="CW49" s="345"/>
      <c r="CX49" s="345"/>
      <c r="CY49" s="345"/>
      <c r="CZ49" s="345"/>
      <c r="DA49" s="345"/>
      <c r="DB49" s="345"/>
      <c r="DC49" s="345"/>
      <c r="DD49" s="345"/>
      <c r="DE49" s="345"/>
      <c r="DF49" s="345"/>
      <c r="DG49" s="345"/>
      <c r="DH49" s="345"/>
      <c r="DI49" s="345"/>
      <c r="DJ49" s="345"/>
      <c r="DK49" s="345"/>
      <c r="DL49" s="345"/>
      <c r="DM49" s="345"/>
      <c r="DN49" s="345"/>
      <c r="DO49" s="345"/>
      <c r="DP49" s="345"/>
      <c r="DQ49" s="345"/>
      <c r="DR49" s="345"/>
      <c r="DS49" s="345"/>
      <c r="DT49" s="345"/>
      <c r="DU49" s="345"/>
      <c r="DV49" s="349"/>
      <c r="DW49" s="345"/>
      <c r="DX49" s="350"/>
    </row>
    <row r="50" spans="1:128" ht="15" customHeight="1">
      <c r="A50" s="341"/>
      <c r="B50" s="401" t="s">
        <v>186</v>
      </c>
      <c r="C50" s="2"/>
      <c r="D50" s="2"/>
      <c r="E50" s="2"/>
      <c r="F50" s="2"/>
      <c r="G50" s="2"/>
      <c r="H50" s="2"/>
      <c r="I50" s="2"/>
      <c r="J50" s="2"/>
      <c r="K50" s="2"/>
      <c r="L50" s="2"/>
      <c r="M50" s="2"/>
      <c r="N50" s="2"/>
      <c r="O50" s="2"/>
      <c r="P50" s="10"/>
      <c r="Q50" s="17"/>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345"/>
      <c r="CW50" s="345"/>
      <c r="CX50" s="345"/>
      <c r="CY50" s="345"/>
      <c r="CZ50" s="345"/>
      <c r="DA50" s="345"/>
      <c r="DB50" s="345"/>
      <c r="DC50" s="345"/>
      <c r="DD50" s="345"/>
      <c r="DE50" s="345"/>
      <c r="DF50" s="345"/>
      <c r="DG50" s="345"/>
      <c r="DH50" s="345"/>
      <c r="DI50" s="345"/>
      <c r="DJ50" s="345"/>
      <c r="DK50" s="345"/>
      <c r="DL50" s="345"/>
      <c r="DM50" s="345"/>
      <c r="DN50" s="345"/>
      <c r="DO50" s="345"/>
      <c r="DP50" s="345"/>
      <c r="DQ50" s="345"/>
      <c r="DR50" s="345"/>
      <c r="DS50" s="345"/>
      <c r="DT50" s="345"/>
      <c r="DU50" s="345"/>
      <c r="DV50" s="349"/>
      <c r="DW50" s="345"/>
      <c r="DX50" s="350"/>
    </row>
    <row r="51" spans="1:128" ht="13.35" customHeight="1">
      <c r="A51" s="341"/>
      <c r="B51" s="557"/>
      <c r="C51" s="558"/>
      <c r="D51" s="558"/>
      <c r="E51" s="558"/>
      <c r="F51" s="559"/>
      <c r="G51" s="2"/>
      <c r="H51" s="2"/>
      <c r="I51" s="2"/>
      <c r="J51" s="2"/>
      <c r="K51" s="2"/>
      <c r="L51" s="2"/>
      <c r="M51" s="2"/>
      <c r="N51" s="2"/>
      <c r="O51" s="2"/>
      <c r="P51" s="10"/>
      <c r="Q51" s="17"/>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345"/>
      <c r="CW51" s="345"/>
      <c r="CX51" s="345"/>
      <c r="CY51" s="345"/>
      <c r="CZ51" s="345"/>
      <c r="DA51" s="345"/>
      <c r="DB51" s="345"/>
      <c r="DC51" s="345"/>
      <c r="DD51" s="345"/>
      <c r="DE51" s="345"/>
      <c r="DF51" s="345"/>
      <c r="DG51" s="345"/>
      <c r="DH51" s="345"/>
      <c r="DI51" s="345"/>
      <c r="DJ51" s="345"/>
      <c r="DK51" s="345"/>
      <c r="DL51" s="345"/>
      <c r="DM51" s="345"/>
      <c r="DN51" s="345"/>
      <c r="DO51" s="345"/>
      <c r="DP51" s="345"/>
      <c r="DQ51" s="345"/>
      <c r="DR51" s="345"/>
      <c r="DS51" s="345"/>
      <c r="DT51" s="345"/>
      <c r="DU51" s="345"/>
      <c r="DV51" s="349"/>
      <c r="DW51" s="345"/>
      <c r="DX51" s="350"/>
    </row>
    <row r="52" spans="1:128" ht="13.35" customHeight="1">
      <c r="A52" s="341"/>
      <c r="B52" s="560"/>
      <c r="C52" s="561"/>
      <c r="D52" s="561"/>
      <c r="E52" s="561"/>
      <c r="F52" s="562"/>
      <c r="G52" s="2"/>
      <c r="H52" s="2"/>
      <c r="I52" s="2"/>
      <c r="J52" s="2"/>
      <c r="K52" s="2"/>
      <c r="L52" s="2"/>
      <c r="M52" s="2"/>
      <c r="N52" s="2"/>
      <c r="O52" s="2"/>
      <c r="P52" s="10"/>
      <c r="Q52" s="17"/>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345"/>
      <c r="CW52" s="345"/>
      <c r="CX52" s="345"/>
      <c r="CY52" s="345"/>
      <c r="CZ52" s="345"/>
      <c r="DA52" s="345"/>
      <c r="DB52" s="345"/>
      <c r="DC52" s="345"/>
      <c r="DD52" s="345"/>
      <c r="DE52" s="345"/>
      <c r="DF52" s="345"/>
      <c r="DG52" s="345"/>
      <c r="DH52" s="345"/>
      <c r="DI52" s="345"/>
      <c r="DJ52" s="345"/>
      <c r="DK52" s="345"/>
      <c r="DL52" s="345"/>
      <c r="DM52" s="345"/>
      <c r="DN52" s="345"/>
      <c r="DO52" s="345"/>
      <c r="DP52" s="345"/>
      <c r="DQ52" s="345"/>
      <c r="DR52" s="345"/>
      <c r="DS52" s="345"/>
      <c r="DT52" s="345"/>
      <c r="DU52" s="345"/>
      <c r="DV52" s="349"/>
      <c r="DW52" s="345"/>
      <c r="DX52" s="350"/>
    </row>
    <row r="53" spans="1:128" ht="13.35" customHeight="1">
      <c r="A53" s="341"/>
      <c r="B53" s="560"/>
      <c r="C53" s="561"/>
      <c r="D53" s="561"/>
      <c r="E53" s="561"/>
      <c r="F53" s="562"/>
      <c r="G53" s="2"/>
      <c r="H53" s="2"/>
      <c r="I53" s="2"/>
      <c r="J53" s="2"/>
      <c r="K53" s="2"/>
      <c r="L53" s="2"/>
      <c r="M53" s="2"/>
      <c r="N53" s="2"/>
      <c r="O53" s="2"/>
      <c r="P53" s="10"/>
      <c r="Q53" s="17"/>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345"/>
      <c r="CW53" s="345"/>
      <c r="CX53" s="345"/>
      <c r="CY53" s="345"/>
      <c r="CZ53" s="345"/>
      <c r="DA53" s="345"/>
      <c r="DB53" s="345"/>
      <c r="DC53" s="345"/>
      <c r="DD53" s="345"/>
      <c r="DE53" s="345"/>
      <c r="DF53" s="345"/>
      <c r="DG53" s="345"/>
      <c r="DH53" s="345"/>
      <c r="DI53" s="345"/>
      <c r="DJ53" s="345"/>
      <c r="DK53" s="345"/>
      <c r="DL53" s="345"/>
      <c r="DM53" s="345"/>
      <c r="DN53" s="345"/>
      <c r="DO53" s="345"/>
      <c r="DP53" s="345"/>
      <c r="DQ53" s="345"/>
      <c r="DR53" s="345"/>
      <c r="DS53" s="345"/>
      <c r="DT53" s="345"/>
      <c r="DU53" s="345"/>
      <c r="DV53" s="349"/>
      <c r="DW53" s="345"/>
      <c r="DX53" s="350"/>
    </row>
    <row r="54" spans="1:128" ht="13.35" customHeight="1">
      <c r="A54" s="341"/>
      <c r="B54" s="563"/>
      <c r="C54" s="564"/>
      <c r="D54" s="564"/>
      <c r="E54" s="564"/>
      <c r="F54" s="565"/>
      <c r="G54" s="2"/>
      <c r="H54" s="2"/>
      <c r="I54" s="2"/>
      <c r="J54" s="2"/>
      <c r="K54" s="2"/>
      <c r="L54" s="2"/>
      <c r="M54" s="2"/>
      <c r="N54" s="2"/>
      <c r="O54" s="2"/>
      <c r="P54" s="10"/>
      <c r="Q54" s="17"/>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345"/>
      <c r="CW54" s="345"/>
      <c r="CX54" s="345"/>
      <c r="CY54" s="345"/>
      <c r="CZ54" s="345"/>
      <c r="DA54" s="345"/>
      <c r="DB54" s="345"/>
      <c r="DC54" s="345"/>
      <c r="DD54" s="345"/>
      <c r="DE54" s="345"/>
      <c r="DF54" s="345"/>
      <c r="DG54" s="345"/>
      <c r="DH54" s="345"/>
      <c r="DI54" s="345"/>
      <c r="DJ54" s="345"/>
      <c r="DK54" s="345"/>
      <c r="DL54" s="345"/>
      <c r="DM54" s="345"/>
      <c r="DN54" s="345"/>
      <c r="DO54" s="345"/>
      <c r="DP54" s="345"/>
      <c r="DQ54" s="345"/>
      <c r="DR54" s="345"/>
      <c r="DS54" s="345"/>
      <c r="DT54" s="345"/>
      <c r="DU54" s="345"/>
      <c r="DV54" s="349"/>
      <c r="DW54" s="345"/>
      <c r="DX54" s="350"/>
    </row>
    <row r="55" spans="1:128" ht="15" customHeight="1">
      <c r="A55" s="341"/>
      <c r="B55" s="400"/>
      <c r="C55" s="2"/>
      <c r="D55" s="2"/>
      <c r="E55" s="2"/>
      <c r="F55" s="402"/>
      <c r="G55" s="2"/>
      <c r="H55" s="2"/>
      <c r="I55" s="2"/>
      <c r="J55" s="2"/>
      <c r="K55" s="2"/>
      <c r="L55" s="2"/>
      <c r="M55" s="2"/>
      <c r="N55" s="2"/>
      <c r="O55" s="2"/>
      <c r="P55" s="10"/>
      <c r="Q55" s="17"/>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345"/>
      <c r="CW55" s="345"/>
      <c r="CX55" s="345"/>
      <c r="CY55" s="345"/>
      <c r="CZ55" s="345"/>
      <c r="DA55" s="345"/>
      <c r="DB55" s="345"/>
      <c r="DC55" s="345"/>
      <c r="DD55" s="345"/>
      <c r="DE55" s="345"/>
      <c r="DF55" s="345"/>
      <c r="DG55" s="345"/>
      <c r="DH55" s="345"/>
      <c r="DI55" s="345"/>
      <c r="DJ55" s="345"/>
      <c r="DK55" s="345"/>
      <c r="DL55" s="345"/>
      <c r="DM55" s="345"/>
      <c r="DN55" s="345"/>
      <c r="DO55" s="345"/>
      <c r="DP55" s="345"/>
      <c r="DQ55" s="345"/>
      <c r="DR55" s="345"/>
      <c r="DS55" s="345"/>
      <c r="DT55" s="345"/>
      <c r="DU55" s="345"/>
      <c r="DV55" s="349"/>
      <c r="DW55" s="345"/>
      <c r="DX55" s="350"/>
    </row>
    <row r="56" spans="1:128" ht="7.5" customHeight="1">
      <c r="A56" s="17"/>
      <c r="B56" s="17"/>
      <c r="C56" s="17"/>
      <c r="D56" s="17"/>
      <c r="E56" s="17"/>
      <c r="F56" s="17"/>
      <c r="G56" s="17"/>
      <c r="H56" s="17"/>
      <c r="I56" s="17"/>
      <c r="J56" s="17"/>
      <c r="K56" s="17"/>
      <c r="L56" s="17"/>
      <c r="M56" s="17"/>
      <c r="N56" s="17"/>
      <c r="O56" s="17"/>
      <c r="P56" s="17"/>
      <c r="Q56" s="17"/>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345"/>
      <c r="CU56" s="345"/>
      <c r="CV56" s="345"/>
      <c r="CW56" s="345"/>
      <c r="CX56" s="345"/>
      <c r="CY56" s="345"/>
      <c r="CZ56" s="345"/>
      <c r="DA56" s="345"/>
      <c r="DB56" s="345"/>
      <c r="DC56" s="345"/>
      <c r="DD56" s="345"/>
      <c r="DE56" s="345"/>
      <c r="DF56" s="345"/>
      <c r="DG56" s="345"/>
      <c r="DH56" s="345"/>
      <c r="DI56" s="345"/>
      <c r="DJ56" s="345"/>
      <c r="DK56" s="345"/>
      <c r="DL56" s="345"/>
      <c r="DM56" s="345"/>
      <c r="DN56" s="345"/>
      <c r="DO56" s="345"/>
      <c r="DP56" s="345"/>
      <c r="DQ56" s="345"/>
      <c r="DR56" s="345"/>
      <c r="DS56" s="345"/>
      <c r="DT56" s="349"/>
      <c r="DU56" s="345"/>
      <c r="DV56" s="350"/>
      <c r="DW56" s="2"/>
      <c r="DX56" s="2"/>
    </row>
    <row r="57" spans="1:128" ht="13.35" customHeight="1">
      <c r="A57" s="341"/>
      <c r="B57" s="359"/>
      <c r="C57" s="2"/>
      <c r="D57" s="2"/>
      <c r="E57" s="2"/>
      <c r="F57" s="40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345"/>
      <c r="CV57" s="345"/>
      <c r="CW57" s="345"/>
      <c r="CX57" s="345"/>
      <c r="CY57" s="345"/>
      <c r="CZ57" s="345"/>
      <c r="DA57" s="345"/>
      <c r="DB57" s="345"/>
      <c r="DC57" s="345"/>
      <c r="DD57" s="345"/>
      <c r="DE57" s="345"/>
      <c r="DF57" s="345"/>
      <c r="DG57" s="345"/>
      <c r="DH57" s="345"/>
      <c r="DI57" s="345"/>
      <c r="DJ57" s="345"/>
      <c r="DK57" s="345"/>
      <c r="DL57" s="345"/>
      <c r="DM57" s="345"/>
      <c r="DN57" s="345"/>
      <c r="DO57" s="345"/>
      <c r="DP57" s="345"/>
      <c r="DQ57" s="345"/>
      <c r="DR57" s="345"/>
      <c r="DS57" s="345"/>
      <c r="DT57" s="345"/>
      <c r="DU57" s="349"/>
      <c r="DV57" s="345"/>
      <c r="DW57" s="350"/>
      <c r="DX57" s="2"/>
    </row>
    <row r="58" spans="1:128" ht="13.35" customHeight="1">
      <c r="A58" s="341"/>
      <c r="B58" s="359"/>
      <c r="C58" s="2"/>
      <c r="D58" s="2"/>
      <c r="E58" s="2"/>
      <c r="F58" s="40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345"/>
      <c r="CV58" s="345"/>
      <c r="CW58" s="345"/>
      <c r="CX58" s="345"/>
      <c r="CY58" s="345"/>
      <c r="CZ58" s="345"/>
      <c r="DA58" s="345"/>
      <c r="DB58" s="345"/>
      <c r="DC58" s="345"/>
      <c r="DD58" s="345"/>
      <c r="DE58" s="345"/>
      <c r="DF58" s="345"/>
      <c r="DG58" s="345"/>
      <c r="DH58" s="345"/>
      <c r="DI58" s="345"/>
      <c r="DJ58" s="345"/>
      <c r="DK58" s="345"/>
      <c r="DL58" s="345"/>
      <c r="DM58" s="345"/>
      <c r="DN58" s="345"/>
      <c r="DO58" s="345"/>
      <c r="DP58" s="345"/>
      <c r="DQ58" s="345"/>
      <c r="DR58" s="345"/>
      <c r="DS58" s="345"/>
      <c r="DT58" s="345"/>
      <c r="DU58" s="349"/>
      <c r="DV58" s="345"/>
      <c r="DW58" s="350"/>
      <c r="DX58" s="2"/>
    </row>
    <row r="59" spans="1:128" ht="13.35" customHeight="1">
      <c r="A59" s="341"/>
      <c r="B59" s="359"/>
      <c r="C59" s="2"/>
      <c r="D59" s="2"/>
      <c r="E59" s="2"/>
      <c r="F59" s="40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345"/>
      <c r="CV59" s="345"/>
      <c r="CW59" s="345"/>
      <c r="CX59" s="345"/>
      <c r="CY59" s="345"/>
      <c r="CZ59" s="345"/>
      <c r="DA59" s="345"/>
      <c r="DB59" s="345"/>
      <c r="DC59" s="345"/>
      <c r="DD59" s="345"/>
      <c r="DE59" s="345"/>
      <c r="DF59" s="345"/>
      <c r="DG59" s="345"/>
      <c r="DH59" s="345"/>
      <c r="DI59" s="345"/>
      <c r="DJ59" s="345"/>
      <c r="DK59" s="345"/>
      <c r="DL59" s="345"/>
      <c r="DM59" s="345"/>
      <c r="DN59" s="345"/>
      <c r="DO59" s="345"/>
      <c r="DP59" s="345"/>
      <c r="DQ59" s="345"/>
      <c r="DR59" s="345"/>
      <c r="DS59" s="345"/>
      <c r="DT59" s="345"/>
      <c r="DU59" s="349"/>
      <c r="DV59" s="345"/>
      <c r="DW59" s="350"/>
      <c r="DX59" s="2"/>
    </row>
    <row r="60" spans="1:128" ht="13.35" customHeight="1">
      <c r="A60" s="341"/>
      <c r="B60" s="359"/>
      <c r="C60" s="2"/>
      <c r="D60" s="2"/>
      <c r="E60" s="2"/>
      <c r="F60" s="40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345"/>
      <c r="CV60" s="345"/>
      <c r="CW60" s="345"/>
      <c r="CX60" s="345"/>
      <c r="CY60" s="345"/>
      <c r="CZ60" s="345"/>
      <c r="DA60" s="345"/>
      <c r="DB60" s="345"/>
      <c r="DC60" s="345"/>
      <c r="DD60" s="345"/>
      <c r="DE60" s="345"/>
      <c r="DF60" s="345"/>
      <c r="DG60" s="345"/>
      <c r="DH60" s="345"/>
      <c r="DI60" s="345"/>
      <c r="DJ60" s="345"/>
      <c r="DK60" s="345"/>
      <c r="DL60" s="345"/>
      <c r="DM60" s="345"/>
      <c r="DN60" s="345"/>
      <c r="DO60" s="345"/>
      <c r="DP60" s="345"/>
      <c r="DQ60" s="345"/>
      <c r="DR60" s="345"/>
      <c r="DS60" s="345"/>
      <c r="DT60" s="345"/>
      <c r="DU60" s="349"/>
      <c r="DV60" s="345"/>
      <c r="DW60" s="350"/>
      <c r="DX60" s="2"/>
    </row>
    <row r="93" spans="3:10" ht="13.35" customHeight="1">
      <c r="C93" s="403"/>
      <c r="D93" s="403"/>
      <c r="E93" s="403"/>
      <c r="F93" s="403"/>
      <c r="G93" s="403"/>
      <c r="H93" s="403"/>
      <c r="I93" s="403"/>
      <c r="J93" s="403"/>
    </row>
  </sheetData>
  <mergeCells count="25">
    <mergeCell ref="B8:F8"/>
    <mergeCell ref="L22:N22"/>
    <mergeCell ref="L23:L24"/>
    <mergeCell ref="M23:M24"/>
    <mergeCell ref="N23:N24"/>
    <mergeCell ref="B9:F9"/>
    <mergeCell ref="B11:F11"/>
    <mergeCell ref="B10:F10"/>
    <mergeCell ref="B23:B24"/>
    <mergeCell ref="C23:C24"/>
    <mergeCell ref="D23:F23"/>
    <mergeCell ref="G23:K23"/>
    <mergeCell ref="B14:F15"/>
    <mergeCell ref="B51:F54"/>
    <mergeCell ref="B37:F40"/>
    <mergeCell ref="C42:C43"/>
    <mergeCell ref="D42:F42"/>
    <mergeCell ref="G42:K42"/>
    <mergeCell ref="B42:B43"/>
    <mergeCell ref="O23:O24"/>
    <mergeCell ref="L41:N41"/>
    <mergeCell ref="L42:L43"/>
    <mergeCell ref="M42:M43"/>
    <mergeCell ref="N42:N43"/>
    <mergeCell ref="O42:O43"/>
  </mergeCells>
  <phoneticPr fontId="25" type="noConversion"/>
  <conditionalFormatting sqref="B51:B52">
    <cfRule type="containsBlanks" dxfId="9" priority="5">
      <formula>LEN(TRIM(B51))=0</formula>
    </cfRule>
  </conditionalFormatting>
  <conditionalFormatting sqref="B25:N31 B37 B44:N48">
    <cfRule type="containsBlanks" dxfId="8" priority="8">
      <formula>LEN(TRIM(B25))=0</formula>
    </cfRule>
  </conditionalFormatting>
  <conditionalFormatting sqref="C16">
    <cfRule type="containsBlanks" dxfId="7" priority="7">
      <formula>LEN(TRIM(C16))=0</formula>
    </cfRule>
  </conditionalFormatting>
  <dataValidations count="1">
    <dataValidation type="list" allowBlank="1" showInputMessage="1" sqref="L44:N48 L25:N31" xr:uid="{F5330F3D-1940-433D-868E-EE605A506132}">
      <formula1>"Y,N"</formula1>
    </dataValidation>
  </dataValidations>
  <hyperlinks>
    <hyperlink ref="B4" location="汇总!A1" display="返回汇总页" xr:uid="{CA70BEA1-1B94-42E0-B3A9-6183D4D06693}"/>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DU88"/>
  <sheetViews>
    <sheetView showGridLines="0" zoomScale="70" zoomScaleNormal="70" workbookViewId="0"/>
  </sheetViews>
  <sheetFormatPr defaultColWidth="8.75" defaultRowHeight="12.75" customHeight="1"/>
  <cols>
    <col min="1" max="1" width="2.625" style="74" customWidth="1"/>
    <col min="2" max="3" width="19" style="73" customWidth="1"/>
    <col min="4" max="4" width="18.75" style="73" customWidth="1"/>
    <col min="5" max="6" width="25.75" style="73" customWidth="1"/>
    <col min="7" max="7" width="28" style="73" customWidth="1"/>
    <col min="8" max="8" width="25.75" style="73" customWidth="1"/>
    <col min="9" max="9" width="18.875" style="73" customWidth="1"/>
    <col min="10" max="10" width="17.375" style="73" customWidth="1"/>
    <col min="11" max="11" width="12.375" style="73" customWidth="1"/>
    <col min="12" max="12" width="21" style="73" customWidth="1"/>
    <col min="13" max="13" width="2.625" style="73" customWidth="1"/>
    <col min="14" max="14" width="1.625" style="73" customWidth="1"/>
    <col min="15" max="88" width="8.75" style="73"/>
    <col min="89" max="89" width="13.125" style="96" customWidth="1"/>
    <col min="90" max="90" width="7.375" style="96" customWidth="1"/>
    <col min="91" max="100" width="8" style="96"/>
    <col min="101" max="101" width="14.375" style="96" customWidth="1"/>
    <col min="102" max="107" width="8" style="96"/>
    <col min="108" max="108" width="10.375" style="96" customWidth="1"/>
    <col min="109" max="112" width="8" style="96"/>
    <col min="113" max="113" width="10.125" style="96" customWidth="1"/>
    <col min="114" max="114" width="12.375" style="96" customWidth="1"/>
    <col min="115" max="115" width="8.75" style="97"/>
    <col min="116" max="116" width="8.75" style="96"/>
    <col min="117" max="117" width="8.75" style="128"/>
    <col min="118" max="16384" width="8.75" style="73"/>
  </cols>
  <sheetData>
    <row r="1" spans="1:125" s="70" customFormat="1" ht="50.1" customHeight="1">
      <c r="A1" s="156"/>
      <c r="B1" s="77" t="s">
        <v>187</v>
      </c>
      <c r="C1" s="78"/>
      <c r="D1" s="79"/>
      <c r="E1" s="79"/>
      <c r="F1" s="79"/>
      <c r="G1" s="79"/>
      <c r="H1" s="79"/>
      <c r="I1" s="79"/>
      <c r="J1" s="79"/>
      <c r="K1" s="79"/>
      <c r="L1" s="80"/>
      <c r="M1" s="156"/>
      <c r="N1" s="81"/>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156"/>
      <c r="DT1" s="156"/>
      <c r="DU1" s="156"/>
    </row>
    <row r="2" spans="1:125" s="70" customFormat="1" ht="30" customHeight="1">
      <c r="A2" s="156"/>
      <c r="B2" s="82" t="s">
        <v>188</v>
      </c>
      <c r="C2" s="83"/>
      <c r="D2" s="83"/>
      <c r="E2" s="83"/>
      <c r="F2" s="83"/>
      <c r="G2" s="83"/>
      <c r="H2" s="83"/>
      <c r="I2" s="83"/>
      <c r="J2" s="83"/>
      <c r="K2" s="83"/>
      <c r="L2" s="84"/>
      <c r="M2" s="95"/>
      <c r="N2" s="81"/>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row>
    <row r="3" spans="1:125" ht="15" customHeight="1">
      <c r="C3" s="67"/>
      <c r="D3" s="67"/>
      <c r="N3" s="81"/>
      <c r="CK3" s="73"/>
      <c r="CL3" s="67"/>
      <c r="CM3" s="67"/>
      <c r="CN3" s="67"/>
      <c r="CW3" s="67"/>
      <c r="DC3" s="67"/>
      <c r="DD3" s="67"/>
      <c r="DE3" s="67"/>
      <c r="DF3" s="67"/>
      <c r="DG3" s="67"/>
      <c r="DH3" s="67"/>
      <c r="DI3" s="67"/>
      <c r="DJ3" s="67"/>
      <c r="DK3" s="67"/>
      <c r="DL3" s="97"/>
      <c r="DM3" s="67"/>
      <c r="DN3" s="67"/>
    </row>
    <row r="4" spans="1:125" ht="15" customHeight="1">
      <c r="B4" s="71" t="s">
        <v>44</v>
      </c>
      <c r="C4" s="67"/>
      <c r="D4" s="67"/>
      <c r="N4" s="81"/>
      <c r="CK4" s="73"/>
      <c r="CL4" s="67"/>
      <c r="CM4" s="67"/>
      <c r="CN4" s="67"/>
      <c r="CW4" s="67"/>
      <c r="DC4" s="67"/>
      <c r="DD4" s="67"/>
      <c r="DE4" s="67"/>
      <c r="DF4" s="67"/>
      <c r="DG4" s="67"/>
      <c r="DH4" s="67"/>
      <c r="DI4" s="67"/>
      <c r="DJ4" s="67"/>
      <c r="DK4" s="67"/>
      <c r="DL4" s="97"/>
      <c r="DM4" s="67"/>
      <c r="DN4" s="67"/>
    </row>
    <row r="5" spans="1:125" ht="15" customHeight="1">
      <c r="N5" s="81"/>
      <c r="CK5" s="73"/>
      <c r="CL5" s="67"/>
      <c r="CM5" s="67"/>
      <c r="CN5" s="67"/>
      <c r="CW5" s="67"/>
      <c r="DC5" s="67"/>
      <c r="DD5" s="67"/>
      <c r="DE5" s="67"/>
      <c r="DF5" s="67"/>
      <c r="DG5" s="67"/>
      <c r="DH5" s="67"/>
      <c r="DI5" s="67"/>
      <c r="DJ5" s="67"/>
      <c r="DK5" s="67"/>
      <c r="DL5" s="97"/>
      <c r="DM5" s="67"/>
      <c r="DN5" s="67"/>
    </row>
    <row r="6" spans="1:125" s="101" customFormat="1" ht="15" customHeight="1">
      <c r="A6" s="98"/>
      <c r="B6" s="99" t="s">
        <v>189</v>
      </c>
      <c r="C6" s="100"/>
      <c r="D6" s="100"/>
      <c r="E6" s="100"/>
      <c r="F6" s="100"/>
      <c r="G6" s="100"/>
      <c r="H6" s="100"/>
      <c r="I6" s="73"/>
      <c r="J6" s="73"/>
      <c r="K6" s="73"/>
      <c r="L6" s="73"/>
      <c r="M6" s="73"/>
      <c r="N6" s="81"/>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3"/>
      <c r="DP6" s="102"/>
      <c r="DQ6" s="104"/>
    </row>
    <row r="7" spans="1:125" s="101" customFormat="1" ht="15" customHeight="1">
      <c r="A7" s="98"/>
      <c r="B7" s="606"/>
      <c r="C7" s="607"/>
      <c r="D7" s="607"/>
      <c r="E7" s="607"/>
      <c r="F7" s="608"/>
      <c r="G7"/>
      <c r="H7"/>
      <c r="I7"/>
      <c r="J7"/>
      <c r="K7"/>
      <c r="L7"/>
      <c r="M7" s="73"/>
      <c r="N7" s="81"/>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3"/>
      <c r="DH7" s="102"/>
      <c r="DI7" s="104"/>
    </row>
    <row r="8" spans="1:125" s="101" customFormat="1" ht="15" customHeight="1">
      <c r="A8" s="98"/>
      <c r="B8" s="609"/>
      <c r="C8" s="610"/>
      <c r="D8" s="610"/>
      <c r="E8" s="610"/>
      <c r="F8" s="611"/>
      <c r="G8"/>
      <c r="H8"/>
      <c r="I8"/>
      <c r="J8"/>
      <c r="K8"/>
      <c r="L8"/>
      <c r="M8" s="73"/>
      <c r="N8" s="81"/>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3"/>
      <c r="DH8" s="102"/>
      <c r="DI8" s="104"/>
    </row>
    <row r="9" spans="1:125" s="101" customFormat="1" ht="15" customHeight="1">
      <c r="A9" s="98"/>
      <c r="B9" s="612"/>
      <c r="C9" s="613"/>
      <c r="D9" s="613"/>
      <c r="E9" s="613"/>
      <c r="F9" s="614"/>
      <c r="G9"/>
      <c r="H9"/>
      <c r="I9"/>
      <c r="J9"/>
      <c r="K9"/>
      <c r="L9"/>
      <c r="M9" s="73"/>
      <c r="N9" s="81"/>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3"/>
      <c r="DH9" s="102"/>
      <c r="DI9" s="104"/>
    </row>
    <row r="10" spans="1:125" s="106" customFormat="1" ht="15" customHeight="1">
      <c r="A10" s="105"/>
      <c r="B10" s="105"/>
      <c r="C10" s="105"/>
      <c r="D10" s="105"/>
      <c r="E10" s="105"/>
      <c r="F10" s="105"/>
      <c r="G10" s="105"/>
      <c r="H10" s="105"/>
      <c r="I10" s="73"/>
      <c r="J10" s="73"/>
      <c r="K10" s="73"/>
      <c r="L10" s="73"/>
      <c r="N10" s="81"/>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7"/>
      <c r="DH10" s="102"/>
      <c r="DI10" s="104"/>
    </row>
    <row r="11" spans="1:125" s="112" customFormat="1" ht="15" customHeight="1">
      <c r="A11" s="108" t="s">
        <v>190</v>
      </c>
      <c r="B11" s="404" t="s">
        <v>191</v>
      </c>
      <c r="C11" s="110"/>
      <c r="D11" s="110"/>
      <c r="E11" s="110"/>
      <c r="F11" s="158"/>
      <c r="G11" s="158"/>
      <c r="H11" s="158"/>
      <c r="I11" s="110"/>
      <c r="J11" s="110"/>
      <c r="K11" s="110"/>
      <c r="L11" s="110"/>
      <c r="M11" s="106"/>
      <c r="N11" s="81"/>
      <c r="O11" s="109" t="s">
        <v>190</v>
      </c>
      <c r="P11" s="109" t="s">
        <v>190</v>
      </c>
      <c r="Q11" s="109" t="s">
        <v>190</v>
      </c>
      <c r="R11" s="109" t="s">
        <v>190</v>
      </c>
      <c r="S11" s="109" t="s">
        <v>190</v>
      </c>
      <c r="T11" s="109" t="s">
        <v>190</v>
      </c>
      <c r="U11" s="109" t="s">
        <v>190</v>
      </c>
      <c r="V11" s="109" t="s">
        <v>190</v>
      </c>
      <c r="W11" s="109" t="s">
        <v>190</v>
      </c>
      <c r="X11" s="109" t="s">
        <v>190</v>
      </c>
      <c r="Y11" s="109" t="s">
        <v>190</v>
      </c>
      <c r="Z11" s="109" t="s">
        <v>190</v>
      </c>
      <c r="AA11" s="109" t="s">
        <v>190</v>
      </c>
      <c r="AB11" s="109" t="s">
        <v>190</v>
      </c>
      <c r="AC11" s="109" t="s">
        <v>190</v>
      </c>
      <c r="AD11" s="109" t="s">
        <v>190</v>
      </c>
      <c r="AE11" s="109" t="s">
        <v>190</v>
      </c>
      <c r="AF11" s="109" t="s">
        <v>190</v>
      </c>
      <c r="AG11" s="109" t="s">
        <v>190</v>
      </c>
      <c r="AH11" s="109" t="s">
        <v>190</v>
      </c>
      <c r="AI11" s="109" t="s">
        <v>190</v>
      </c>
      <c r="AJ11" s="109" t="s">
        <v>190</v>
      </c>
      <c r="AK11" s="109" t="s">
        <v>190</v>
      </c>
      <c r="AL11" s="109" t="s">
        <v>190</v>
      </c>
      <c r="AM11" s="109" t="s">
        <v>190</v>
      </c>
      <c r="AN11" s="109" t="s">
        <v>190</v>
      </c>
      <c r="AO11" s="109" t="s">
        <v>190</v>
      </c>
      <c r="AP11" s="109" t="s">
        <v>190</v>
      </c>
      <c r="AQ11" s="109" t="s">
        <v>190</v>
      </c>
      <c r="AR11" s="109" t="s">
        <v>190</v>
      </c>
      <c r="AS11" s="109" t="s">
        <v>190</v>
      </c>
      <c r="AT11" s="109" t="s">
        <v>190</v>
      </c>
      <c r="AU11" s="109" t="s">
        <v>190</v>
      </c>
      <c r="AV11" s="109" t="s">
        <v>190</v>
      </c>
      <c r="AW11" s="109" t="s">
        <v>190</v>
      </c>
      <c r="AX11" s="109" t="s">
        <v>190</v>
      </c>
      <c r="AY11" s="109" t="s">
        <v>190</v>
      </c>
      <c r="AZ11" s="109" t="s">
        <v>190</v>
      </c>
      <c r="BA11" s="109" t="s">
        <v>190</v>
      </c>
      <c r="BB11" s="109" t="s">
        <v>190</v>
      </c>
      <c r="BC11" s="109" t="s">
        <v>190</v>
      </c>
      <c r="BD11" s="109" t="s">
        <v>190</v>
      </c>
      <c r="BE11" s="109" t="s">
        <v>190</v>
      </c>
      <c r="BF11" s="109" t="s">
        <v>190</v>
      </c>
      <c r="BG11" s="109" t="s">
        <v>190</v>
      </c>
      <c r="BH11" s="109" t="s">
        <v>190</v>
      </c>
      <c r="BI11" s="109" t="s">
        <v>190</v>
      </c>
      <c r="BJ11" s="109" t="s">
        <v>190</v>
      </c>
      <c r="BK11" s="109" t="s">
        <v>190</v>
      </c>
      <c r="BL11" s="109" t="s">
        <v>190</v>
      </c>
      <c r="BM11" s="109" t="s">
        <v>190</v>
      </c>
      <c r="BN11" s="109" t="s">
        <v>190</v>
      </c>
      <c r="BO11" s="109" t="s">
        <v>190</v>
      </c>
      <c r="BP11" s="109" t="s">
        <v>190</v>
      </c>
      <c r="BQ11" s="109" t="s">
        <v>190</v>
      </c>
      <c r="BR11" s="109" t="s">
        <v>190</v>
      </c>
      <c r="BS11" s="109" t="s">
        <v>190</v>
      </c>
      <c r="BT11" s="109" t="s">
        <v>190</v>
      </c>
      <c r="BU11" s="109" t="s">
        <v>190</v>
      </c>
      <c r="BV11" s="109" t="s">
        <v>190</v>
      </c>
      <c r="BW11" s="109" t="s">
        <v>190</v>
      </c>
      <c r="BX11" s="109" t="s">
        <v>190</v>
      </c>
      <c r="BY11" s="109" t="s">
        <v>190</v>
      </c>
      <c r="BZ11" s="109" t="s">
        <v>190</v>
      </c>
      <c r="CA11" s="109" t="s">
        <v>190</v>
      </c>
      <c r="CB11" s="109" t="s">
        <v>190</v>
      </c>
      <c r="CC11" s="109" t="s">
        <v>190</v>
      </c>
      <c r="CD11" s="109" t="s">
        <v>190</v>
      </c>
      <c r="CE11" s="109" t="s">
        <v>190</v>
      </c>
      <c r="CF11" s="109" t="s">
        <v>190</v>
      </c>
      <c r="CG11" s="109" t="s">
        <v>190</v>
      </c>
      <c r="CH11" s="109" t="s">
        <v>190</v>
      </c>
      <c r="CI11" s="109" t="s">
        <v>190</v>
      </c>
      <c r="CJ11" s="109" t="s">
        <v>190</v>
      </c>
      <c r="CK11" s="109" t="s">
        <v>190</v>
      </c>
      <c r="CL11" s="109" t="s">
        <v>190</v>
      </c>
      <c r="CM11" s="109" t="s">
        <v>190</v>
      </c>
      <c r="CN11" s="109" t="s">
        <v>190</v>
      </c>
      <c r="CO11" s="109" t="s">
        <v>190</v>
      </c>
      <c r="CP11" s="109" t="s">
        <v>190</v>
      </c>
      <c r="CQ11" s="109" t="s">
        <v>190</v>
      </c>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1"/>
    </row>
    <row r="12" spans="1:125" s="112" customFormat="1" ht="15" customHeight="1">
      <c r="A12" s="113"/>
      <c r="B12" s="72"/>
      <c r="C12" s="72"/>
      <c r="D12" s="72"/>
      <c r="E12" s="72"/>
      <c r="F12" s="72"/>
      <c r="G12" s="72"/>
      <c r="H12" s="72"/>
      <c r="I12" s="72"/>
      <c r="J12" s="72"/>
      <c r="K12" s="72"/>
      <c r="M12" s="106"/>
      <c r="N12" s="81"/>
      <c r="CS12" s="111"/>
      <c r="CT12" s="111"/>
      <c r="CU12" s="111"/>
      <c r="CV12" s="102"/>
      <c r="CW12" s="102"/>
      <c r="CX12" s="102"/>
      <c r="CY12" s="102"/>
      <c r="CZ12" s="102"/>
      <c r="DA12" s="102"/>
      <c r="DB12" s="102"/>
      <c r="DC12" s="102"/>
      <c r="DD12" s="111"/>
      <c r="DE12" s="102"/>
      <c r="DF12" s="102"/>
      <c r="DG12" s="102"/>
      <c r="DH12" s="102"/>
      <c r="DI12" s="102"/>
      <c r="DJ12" s="111"/>
      <c r="DK12" s="111"/>
      <c r="DL12" s="111"/>
      <c r="DM12" s="111"/>
      <c r="DN12" s="111"/>
      <c r="DO12" s="111"/>
      <c r="DP12" s="111"/>
      <c r="DQ12" s="111"/>
      <c r="DR12" s="111"/>
      <c r="DS12" s="114"/>
      <c r="DT12" s="111"/>
      <c r="DU12" s="111"/>
    </row>
    <row r="13" spans="1:125" s="112" customFormat="1" ht="15" customHeight="1">
      <c r="A13" s="113"/>
      <c r="B13" s="162" t="s">
        <v>192</v>
      </c>
      <c r="C13" s="162" t="s">
        <v>193</v>
      </c>
      <c r="D13" s="620" t="s">
        <v>171</v>
      </c>
      <c r="E13" s="621"/>
      <c r="F13" s="622"/>
      <c r="G13"/>
      <c r="H13"/>
      <c r="I13"/>
      <c r="J13"/>
      <c r="K13"/>
      <c r="L13"/>
      <c r="N13" s="81"/>
      <c r="CM13" s="111"/>
      <c r="CN13" s="111"/>
      <c r="CO13" s="111"/>
      <c r="CP13" s="102"/>
      <c r="CQ13" s="102"/>
      <c r="CR13" s="102"/>
      <c r="CS13" s="102"/>
      <c r="CT13" s="102"/>
      <c r="CU13" s="102"/>
      <c r="CV13" s="102"/>
      <c r="CW13" s="102"/>
      <c r="CX13" s="111"/>
      <c r="CY13" s="102"/>
      <c r="CZ13" s="102"/>
      <c r="DA13" s="102"/>
      <c r="DB13" s="102"/>
      <c r="DC13" s="102"/>
      <c r="DD13" s="111"/>
      <c r="DE13" s="111"/>
      <c r="DF13" s="111"/>
      <c r="DG13" s="111"/>
      <c r="DH13" s="111"/>
      <c r="DI13" s="111"/>
      <c r="DJ13" s="111"/>
      <c r="DK13" s="111"/>
      <c r="DL13" s="111"/>
      <c r="DM13" s="114"/>
      <c r="DN13" s="111"/>
      <c r="DO13" s="111"/>
    </row>
    <row r="14" spans="1:125" s="112" customFormat="1" ht="15" customHeight="1">
      <c r="A14" s="113"/>
      <c r="B14" s="442"/>
      <c r="C14" s="442"/>
      <c r="D14" s="631"/>
      <c r="E14" s="632"/>
      <c r="F14" s="633"/>
      <c r="G14"/>
      <c r="H14"/>
      <c r="I14"/>
      <c r="J14"/>
      <c r="K14"/>
      <c r="L14"/>
      <c r="N14" s="81"/>
      <c r="CO14" s="111"/>
      <c r="CP14" s="111"/>
      <c r="CQ14" s="111"/>
      <c r="CR14" s="102"/>
      <c r="CS14" s="102"/>
      <c r="CT14" s="102"/>
      <c r="CU14" s="102"/>
      <c r="CV14" s="102"/>
      <c r="CW14" s="102"/>
      <c r="CX14" s="102"/>
      <c r="CY14" s="102"/>
      <c r="CZ14" s="111"/>
      <c r="DA14" s="102"/>
      <c r="DB14" s="102"/>
      <c r="DC14" s="102"/>
      <c r="DD14" s="102"/>
      <c r="DE14" s="102"/>
      <c r="DF14" s="111"/>
      <c r="DG14" s="111"/>
      <c r="DH14" s="111"/>
      <c r="DI14" s="111"/>
      <c r="DJ14" s="111"/>
      <c r="DK14" s="111"/>
      <c r="DL14" s="111"/>
      <c r="DM14" s="111"/>
      <c r="DN14" s="111"/>
      <c r="DO14" s="114"/>
      <c r="DP14" s="111"/>
      <c r="DQ14" s="111"/>
    </row>
    <row r="15" spans="1:125" s="112" customFormat="1" ht="15" customHeight="1">
      <c r="A15" s="113"/>
      <c r="B15" s="442"/>
      <c r="C15" s="442"/>
      <c r="D15" s="631"/>
      <c r="E15" s="632"/>
      <c r="F15" s="633"/>
      <c r="G15"/>
      <c r="H15"/>
      <c r="I15"/>
      <c r="J15"/>
      <c r="K15"/>
      <c r="L15"/>
      <c r="N15" s="81"/>
      <c r="CO15" s="111"/>
      <c r="CP15" s="111"/>
      <c r="CQ15" s="111"/>
      <c r="CR15" s="102"/>
      <c r="CS15" s="102"/>
      <c r="CT15" s="102"/>
      <c r="CU15" s="102"/>
      <c r="CV15" s="102"/>
      <c r="CW15" s="102"/>
      <c r="CX15" s="102"/>
      <c r="CY15" s="102"/>
      <c r="CZ15" s="111"/>
      <c r="DA15" s="102"/>
      <c r="DB15" s="102"/>
      <c r="DC15" s="102"/>
      <c r="DD15" s="102"/>
      <c r="DE15" s="102"/>
      <c r="DF15" s="111"/>
      <c r="DG15" s="111"/>
      <c r="DH15" s="111"/>
      <c r="DI15" s="111"/>
      <c r="DJ15" s="111"/>
      <c r="DK15" s="111"/>
      <c r="DL15" s="111"/>
      <c r="DM15" s="111"/>
      <c r="DN15" s="111"/>
      <c r="DO15" s="114"/>
      <c r="DP15" s="111"/>
      <c r="DQ15" s="111"/>
    </row>
    <row r="16" spans="1:125" s="112" customFormat="1" ht="15" customHeight="1">
      <c r="A16" s="113"/>
      <c r="B16" s="442"/>
      <c r="C16" s="442"/>
      <c r="D16" s="631"/>
      <c r="E16" s="632"/>
      <c r="F16" s="633"/>
      <c r="G16"/>
      <c r="H16"/>
      <c r="I16"/>
      <c r="J16"/>
      <c r="K16"/>
      <c r="L16"/>
      <c r="N16" s="81"/>
      <c r="CO16" s="111"/>
      <c r="CP16" s="111"/>
      <c r="CQ16" s="111"/>
      <c r="CR16" s="102"/>
      <c r="CS16" s="102"/>
      <c r="CT16" s="102"/>
      <c r="CU16" s="102"/>
      <c r="CV16" s="102"/>
      <c r="CW16" s="102"/>
      <c r="CX16" s="102"/>
      <c r="CY16" s="102"/>
      <c r="CZ16" s="111"/>
      <c r="DA16" s="102"/>
      <c r="DB16" s="102"/>
      <c r="DC16" s="102"/>
      <c r="DD16" s="102"/>
      <c r="DE16" s="102"/>
      <c r="DF16" s="111"/>
      <c r="DG16" s="111"/>
      <c r="DH16" s="111"/>
      <c r="DI16" s="111"/>
      <c r="DJ16" s="111"/>
      <c r="DK16" s="111"/>
      <c r="DL16" s="111"/>
      <c r="DM16" s="111"/>
      <c r="DN16" s="111"/>
      <c r="DO16" s="114"/>
      <c r="DP16" s="111"/>
      <c r="DQ16" s="111"/>
    </row>
    <row r="17" spans="1:124" s="101" customFormat="1" ht="15" customHeight="1">
      <c r="A17" s="98"/>
      <c r="B17" s="115"/>
      <c r="C17" s="115"/>
      <c r="D17" s="100"/>
      <c r="E17" s="100"/>
      <c r="F17" s="100"/>
      <c r="G17"/>
      <c r="H17"/>
      <c r="I17"/>
      <c r="J17"/>
      <c r="K17"/>
      <c r="L17"/>
      <c r="N17" s="81"/>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3"/>
      <c r="DP17" s="102"/>
      <c r="DQ17" s="104"/>
    </row>
    <row r="18" spans="1:124" s="101" customFormat="1" ht="15" customHeight="1">
      <c r="A18" s="108" t="s">
        <v>190</v>
      </c>
      <c r="B18" s="170" t="s">
        <v>194</v>
      </c>
      <c r="C18" s="170"/>
      <c r="D18" s="170"/>
      <c r="E18" s="170" t="s">
        <v>190</v>
      </c>
      <c r="F18" s="170" t="s">
        <v>190</v>
      </c>
      <c r="G18" s="170" t="s">
        <v>190</v>
      </c>
      <c r="H18" s="170" t="s">
        <v>190</v>
      </c>
      <c r="I18" s="170" t="s">
        <v>190</v>
      </c>
      <c r="J18" s="170" t="s">
        <v>190</v>
      </c>
      <c r="K18" s="170" t="s">
        <v>190</v>
      </c>
      <c r="L18" s="170" t="s">
        <v>190</v>
      </c>
      <c r="N18" s="81"/>
      <c r="O18" s="116" t="s">
        <v>190</v>
      </c>
      <c r="P18" s="116" t="s">
        <v>190</v>
      </c>
      <c r="Q18" s="116" t="s">
        <v>190</v>
      </c>
      <c r="R18" s="116" t="s">
        <v>190</v>
      </c>
      <c r="S18" s="116" t="s">
        <v>190</v>
      </c>
      <c r="T18" s="116" t="s">
        <v>190</v>
      </c>
      <c r="U18" s="116" t="s">
        <v>190</v>
      </c>
      <c r="V18" s="116" t="s">
        <v>190</v>
      </c>
      <c r="W18" s="116" t="s">
        <v>190</v>
      </c>
      <c r="X18" s="116" t="s">
        <v>190</v>
      </c>
      <c r="Y18" s="116" t="s">
        <v>190</v>
      </c>
      <c r="Z18" s="116" t="s">
        <v>190</v>
      </c>
      <c r="AA18" s="116" t="s">
        <v>190</v>
      </c>
      <c r="AB18" s="116" t="s">
        <v>190</v>
      </c>
      <c r="AC18" s="116" t="s">
        <v>190</v>
      </c>
      <c r="AD18" s="116" t="s">
        <v>190</v>
      </c>
      <c r="AE18" s="116" t="s">
        <v>190</v>
      </c>
      <c r="AF18" s="116" t="s">
        <v>190</v>
      </c>
      <c r="AG18" s="116" t="s">
        <v>190</v>
      </c>
      <c r="AH18" s="116" t="s">
        <v>190</v>
      </c>
      <c r="AI18" s="116" t="s">
        <v>190</v>
      </c>
      <c r="AJ18" s="116" t="s">
        <v>190</v>
      </c>
      <c r="AK18" s="116" t="s">
        <v>190</v>
      </c>
      <c r="AL18" s="116" t="s">
        <v>190</v>
      </c>
      <c r="AM18" s="116" t="s">
        <v>190</v>
      </c>
      <c r="AN18" s="116" t="s">
        <v>190</v>
      </c>
      <c r="AO18" s="116" t="s">
        <v>190</v>
      </c>
      <c r="AP18" s="116" t="s">
        <v>190</v>
      </c>
      <c r="AQ18" s="116" t="s">
        <v>190</v>
      </c>
      <c r="AR18" s="116" t="s">
        <v>190</v>
      </c>
      <c r="AS18" s="116" t="s">
        <v>190</v>
      </c>
      <c r="AT18" s="116" t="s">
        <v>190</v>
      </c>
      <c r="AU18" s="116" t="s">
        <v>190</v>
      </c>
      <c r="AV18" s="116" t="s">
        <v>190</v>
      </c>
      <c r="AW18" s="116" t="s">
        <v>190</v>
      </c>
      <c r="AX18" s="116" t="s">
        <v>190</v>
      </c>
      <c r="AY18" s="116" t="s">
        <v>190</v>
      </c>
      <c r="AZ18" s="116" t="s">
        <v>190</v>
      </c>
      <c r="BA18" s="116" t="s">
        <v>190</v>
      </c>
      <c r="BB18" s="116" t="s">
        <v>190</v>
      </c>
      <c r="BC18" s="116" t="s">
        <v>190</v>
      </c>
      <c r="BD18" s="116" t="s">
        <v>190</v>
      </c>
      <c r="BE18" s="116" t="s">
        <v>190</v>
      </c>
      <c r="BF18" s="116" t="s">
        <v>190</v>
      </c>
      <c r="BG18" s="116" t="s">
        <v>190</v>
      </c>
      <c r="BH18" s="116" t="s">
        <v>190</v>
      </c>
      <c r="BI18" s="116" t="s">
        <v>190</v>
      </c>
      <c r="BJ18" s="116" t="s">
        <v>190</v>
      </c>
      <c r="BK18" s="116" t="s">
        <v>190</v>
      </c>
      <c r="BL18" s="116" t="s">
        <v>190</v>
      </c>
      <c r="BM18" s="116" t="s">
        <v>190</v>
      </c>
      <c r="BN18" s="116" t="s">
        <v>190</v>
      </c>
      <c r="BO18" s="116" t="s">
        <v>190</v>
      </c>
      <c r="BP18" s="116" t="s">
        <v>190</v>
      </c>
      <c r="BQ18" s="116" t="s">
        <v>190</v>
      </c>
      <c r="BR18" s="116" t="s">
        <v>190</v>
      </c>
      <c r="BS18" s="116" t="s">
        <v>190</v>
      </c>
      <c r="BT18" s="116" t="s">
        <v>190</v>
      </c>
      <c r="BU18" s="116" t="s">
        <v>190</v>
      </c>
      <c r="BV18" s="116" t="s">
        <v>190</v>
      </c>
      <c r="BW18" s="116" t="s">
        <v>190</v>
      </c>
      <c r="BX18" s="116" t="s">
        <v>190</v>
      </c>
      <c r="BY18" s="116" t="s">
        <v>190</v>
      </c>
      <c r="BZ18" s="116" t="s">
        <v>190</v>
      </c>
      <c r="CA18" s="116" t="s">
        <v>190</v>
      </c>
      <c r="CB18" s="116" t="s">
        <v>190</v>
      </c>
      <c r="CC18" s="116" t="s">
        <v>190</v>
      </c>
      <c r="CD18" s="116" t="s">
        <v>190</v>
      </c>
      <c r="CE18" s="116" t="s">
        <v>190</v>
      </c>
      <c r="CF18" s="116" t="s">
        <v>190</v>
      </c>
      <c r="CG18" s="116" t="s">
        <v>190</v>
      </c>
      <c r="CH18" s="116" t="s">
        <v>190</v>
      </c>
      <c r="CI18" s="116" t="s">
        <v>190</v>
      </c>
      <c r="CJ18" s="116" t="s">
        <v>190</v>
      </c>
      <c r="CK18" s="116" t="s">
        <v>190</v>
      </c>
      <c r="CL18" s="116" t="s">
        <v>190</v>
      </c>
      <c r="CM18" s="116" t="s">
        <v>190</v>
      </c>
      <c r="CN18" s="117"/>
      <c r="CO18" s="117"/>
      <c r="CP18" s="117"/>
      <c r="CQ18" s="117"/>
      <c r="CR18" s="117"/>
      <c r="CS18" s="117"/>
      <c r="CT18" s="117"/>
      <c r="CU18" s="117"/>
      <c r="CV18" s="117"/>
      <c r="CW18" s="117"/>
      <c r="CX18" s="117"/>
      <c r="CY18" s="117"/>
      <c r="CZ18" s="117"/>
      <c r="DA18" s="117"/>
      <c r="DB18" s="117"/>
      <c r="DC18" s="117"/>
      <c r="DD18" s="117"/>
      <c r="DE18" s="117"/>
      <c r="DF18" s="117"/>
      <c r="DG18" s="117"/>
      <c r="DH18" s="117"/>
      <c r="DI18" s="117"/>
      <c r="DJ18" s="117"/>
      <c r="DK18" s="117"/>
      <c r="DL18" s="117"/>
      <c r="DM18" s="117"/>
      <c r="DN18" s="117"/>
      <c r="DO18" s="117"/>
      <c r="DP18" s="99"/>
      <c r="DQ18" s="116" t="s">
        <v>190</v>
      </c>
      <c r="DR18" s="116" t="s">
        <v>190</v>
      </c>
      <c r="DS18" s="116" t="s">
        <v>190</v>
      </c>
      <c r="DT18" s="116" t="s">
        <v>190</v>
      </c>
    </row>
    <row r="19" spans="1:124" s="101" customFormat="1" ht="15" customHeight="1">
      <c r="A19" s="98"/>
      <c r="B19" s="75"/>
      <c r="C19" s="75"/>
      <c r="D19" s="75"/>
      <c r="E19" s="75"/>
      <c r="F19" s="75"/>
      <c r="G19" s="75"/>
      <c r="H19" s="75"/>
      <c r="I19" s="75"/>
      <c r="J19" s="75"/>
      <c r="K19" s="75"/>
      <c r="L19" s="75"/>
      <c r="N19" s="81"/>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3"/>
      <c r="DP19" s="102"/>
      <c r="DQ19" s="104"/>
    </row>
    <row r="20" spans="1:124" s="101" customFormat="1" ht="16.5">
      <c r="A20" s="98"/>
      <c r="B20" s="159" t="s">
        <v>195</v>
      </c>
      <c r="C20" s="160"/>
      <c r="D20" s="160"/>
      <c r="E20" s="160"/>
      <c r="F20" s="161"/>
      <c r="G20"/>
      <c r="H20"/>
      <c r="I20"/>
      <c r="J20"/>
      <c r="K20"/>
      <c r="L20"/>
      <c r="N20" s="81"/>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3"/>
      <c r="DH20" s="102"/>
      <c r="DI20" s="104"/>
    </row>
    <row r="21" spans="1:124" s="101" customFormat="1" ht="33.75" customHeight="1">
      <c r="A21" s="98"/>
      <c r="B21" s="628" t="s">
        <v>196</v>
      </c>
      <c r="C21" s="629"/>
      <c r="D21" s="629"/>
      <c r="E21" s="629"/>
      <c r="F21" s="630"/>
      <c r="G21"/>
      <c r="H21"/>
      <c r="I21"/>
      <c r="J21"/>
      <c r="K21"/>
      <c r="L21"/>
      <c r="N21" s="81"/>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3"/>
      <c r="DH21" s="102"/>
      <c r="DI21" s="104"/>
    </row>
    <row r="22" spans="1:124" s="101" customFormat="1" ht="14.85" customHeight="1">
      <c r="A22" s="98"/>
      <c r="B22" s="68"/>
      <c r="C22" s="72"/>
      <c r="D22" s="72"/>
      <c r="E22" s="118"/>
      <c r="F22" s="118"/>
      <c r="G22" s="118"/>
      <c r="H22" s="118"/>
      <c r="I22" s="118"/>
      <c r="J22" s="72"/>
      <c r="K22" s="72"/>
      <c r="L22" s="119"/>
      <c r="N22" s="81"/>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3"/>
      <c r="DP22" s="102"/>
      <c r="DQ22" s="104"/>
    </row>
    <row r="23" spans="1:124" s="101" customFormat="1" ht="35.25" customHeight="1">
      <c r="A23" s="98"/>
      <c r="B23" s="615" t="s">
        <v>184</v>
      </c>
      <c r="C23" s="616"/>
      <c r="D23" s="616"/>
      <c r="E23" s="616"/>
      <c r="F23" s="615" t="s">
        <v>185</v>
      </c>
      <c r="G23" s="616"/>
      <c r="H23" s="617"/>
      <c r="I23" s="618" t="s">
        <v>197</v>
      </c>
      <c r="J23" s="619"/>
      <c r="K23" s="178" t="s">
        <v>182</v>
      </c>
      <c r="L23" s="626" t="s">
        <v>171</v>
      </c>
      <c r="N23" s="81"/>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c r="DN23" s="103"/>
      <c r="DO23" s="102"/>
      <c r="DP23" s="102"/>
    </row>
    <row r="24" spans="1:124" s="106" customFormat="1" ht="16.5">
      <c r="A24" s="105"/>
      <c r="B24" s="189" t="s">
        <v>172</v>
      </c>
      <c r="C24" s="162" t="s">
        <v>198</v>
      </c>
      <c r="D24" s="190" t="s">
        <v>174</v>
      </c>
      <c r="E24" s="190" t="s">
        <v>199</v>
      </c>
      <c r="F24" s="190" t="s">
        <v>200</v>
      </c>
      <c r="G24" s="191" t="s">
        <v>201</v>
      </c>
      <c r="H24" s="191" t="s">
        <v>202</v>
      </c>
      <c r="I24" s="192" t="s">
        <v>203</v>
      </c>
      <c r="J24" s="192" t="s">
        <v>204</v>
      </c>
      <c r="K24" s="120">
        <v>1</v>
      </c>
      <c r="L24" s="627"/>
      <c r="M24" s="101"/>
      <c r="N24" s="81"/>
      <c r="O24" s="101"/>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7"/>
      <c r="DQ24" s="102"/>
      <c r="DR24" s="104"/>
    </row>
    <row r="25" spans="1:124" s="106" customFormat="1" ht="14.45" customHeight="1">
      <c r="A25" s="105"/>
      <c r="B25" s="121" t="s">
        <v>205</v>
      </c>
      <c r="C25" s="623"/>
      <c r="D25" s="624"/>
      <c r="E25" s="624"/>
      <c r="F25" s="624"/>
      <c r="G25" s="624"/>
      <c r="H25" s="624"/>
      <c r="I25" s="624"/>
      <c r="J25" s="624"/>
      <c r="K25" s="624"/>
      <c r="L25" s="625"/>
      <c r="M25" s="101"/>
      <c r="N25" s="81"/>
      <c r="O25" s="101"/>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7"/>
      <c r="DQ25" s="102"/>
      <c r="DR25" s="104"/>
    </row>
    <row r="26" spans="1:124" s="106" customFormat="1" ht="15" customHeight="1">
      <c r="A26" s="105"/>
      <c r="B26" s="177"/>
      <c r="C26" s="441"/>
      <c r="D26" s="202"/>
      <c r="E26" s="122"/>
      <c r="F26" s="122"/>
      <c r="G26" s="122"/>
      <c r="H26" s="440"/>
      <c r="I26" s="122"/>
      <c r="J26" s="122"/>
      <c r="K26" s="123"/>
      <c r="L26" s="123"/>
      <c r="M26" s="101"/>
      <c r="N26" s="81"/>
      <c r="O26" s="101"/>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7"/>
      <c r="DQ26" s="102"/>
      <c r="DR26" s="104"/>
    </row>
    <row r="27" spans="1:124" s="106" customFormat="1" ht="15" customHeight="1">
      <c r="A27" s="105"/>
      <c r="B27" s="177"/>
      <c r="C27" s="441"/>
      <c r="D27" s="202"/>
      <c r="E27" s="122"/>
      <c r="F27" s="122"/>
      <c r="G27" s="122"/>
      <c r="H27" s="440"/>
      <c r="I27" s="122"/>
      <c r="J27" s="122"/>
      <c r="K27" s="123"/>
      <c r="L27" s="123"/>
      <c r="M27" s="101"/>
      <c r="N27" s="81"/>
      <c r="O27" s="101"/>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7"/>
      <c r="DQ27" s="102"/>
      <c r="DR27" s="104"/>
    </row>
    <row r="28" spans="1:124" s="106" customFormat="1" ht="15" customHeight="1">
      <c r="A28" s="105"/>
      <c r="B28" s="177"/>
      <c r="C28" s="441"/>
      <c r="D28" s="202"/>
      <c r="E28" s="122"/>
      <c r="F28" s="122"/>
      <c r="G28" s="122"/>
      <c r="H28" s="440"/>
      <c r="I28" s="122"/>
      <c r="J28" s="122"/>
      <c r="K28" s="123"/>
      <c r="L28" s="123"/>
      <c r="M28" s="101"/>
      <c r="N28" s="81"/>
      <c r="O28" s="101"/>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c r="DN28" s="102"/>
      <c r="DO28" s="102"/>
      <c r="DP28" s="107"/>
      <c r="DQ28" s="102"/>
      <c r="DR28" s="104"/>
    </row>
    <row r="29" spans="1:124" s="106" customFormat="1" ht="15" customHeight="1">
      <c r="A29" s="105"/>
      <c r="B29" s="177"/>
      <c r="C29" s="441"/>
      <c r="D29" s="202"/>
      <c r="E29" s="122"/>
      <c r="F29" s="122"/>
      <c r="G29" s="122"/>
      <c r="H29" s="440"/>
      <c r="I29" s="122"/>
      <c r="J29" s="122"/>
      <c r="K29" s="123"/>
      <c r="L29" s="123"/>
      <c r="M29" s="101"/>
      <c r="N29" s="81"/>
      <c r="O29" s="101"/>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7"/>
      <c r="DQ29" s="102"/>
      <c r="DR29" s="104"/>
    </row>
    <row r="30" spans="1:124" s="106" customFormat="1" ht="15" customHeight="1">
      <c r="A30" s="105"/>
      <c r="B30" s="177"/>
      <c r="C30" s="441"/>
      <c r="D30" s="202"/>
      <c r="E30" s="122"/>
      <c r="F30" s="122"/>
      <c r="G30" s="122"/>
      <c r="H30" s="440"/>
      <c r="I30" s="122"/>
      <c r="J30" s="122"/>
      <c r="K30" s="123"/>
      <c r="L30" s="123"/>
      <c r="M30" s="101"/>
      <c r="N30" s="81"/>
      <c r="O30" s="101"/>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7"/>
      <c r="DQ30" s="102"/>
      <c r="DR30" s="104"/>
    </row>
    <row r="31" spans="1:124" s="106" customFormat="1" ht="15" customHeight="1">
      <c r="A31" s="105"/>
      <c r="B31" s="177"/>
      <c r="C31" s="441"/>
      <c r="D31" s="202"/>
      <c r="E31" s="122"/>
      <c r="F31" s="122"/>
      <c r="G31" s="122"/>
      <c r="H31" s="440"/>
      <c r="I31" s="122"/>
      <c r="J31" s="122"/>
      <c r="K31" s="123"/>
      <c r="L31" s="123"/>
      <c r="M31" s="101"/>
      <c r="N31" s="81"/>
      <c r="O31" s="101"/>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7"/>
      <c r="DQ31" s="102"/>
      <c r="DR31" s="104"/>
    </row>
    <row r="32" spans="1:124" s="106" customFormat="1" ht="15" customHeight="1">
      <c r="A32" s="105"/>
      <c r="B32" s="177"/>
      <c r="C32" s="441"/>
      <c r="D32" s="202"/>
      <c r="E32" s="122"/>
      <c r="F32" s="122"/>
      <c r="G32" s="122"/>
      <c r="H32" s="440"/>
      <c r="I32" s="122"/>
      <c r="J32" s="122"/>
      <c r="K32" s="123"/>
      <c r="L32" s="123"/>
      <c r="M32" s="101"/>
      <c r="N32" s="81"/>
      <c r="O32" s="101"/>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7"/>
      <c r="DQ32" s="102"/>
      <c r="DR32" s="104"/>
    </row>
    <row r="33" spans="1:123" s="106" customFormat="1" ht="15" customHeight="1">
      <c r="A33" s="105"/>
      <c r="B33" s="177"/>
      <c r="C33" s="441"/>
      <c r="D33" s="202"/>
      <c r="E33" s="122"/>
      <c r="F33" s="122"/>
      <c r="G33" s="122"/>
      <c r="H33" s="440"/>
      <c r="I33" s="122"/>
      <c r="J33" s="122"/>
      <c r="K33" s="123"/>
      <c r="L33" s="123"/>
      <c r="M33" s="101"/>
      <c r="N33" s="81"/>
      <c r="O33" s="101"/>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7"/>
      <c r="DQ33" s="102"/>
      <c r="DR33" s="104"/>
    </row>
    <row r="34" spans="1:123" s="106" customFormat="1" ht="15" customHeight="1">
      <c r="A34" s="105"/>
      <c r="B34" s="177"/>
      <c r="C34" s="441"/>
      <c r="D34" s="202"/>
      <c r="E34" s="122"/>
      <c r="F34" s="122"/>
      <c r="G34" s="122"/>
      <c r="H34" s="440"/>
      <c r="I34" s="122"/>
      <c r="J34" s="122"/>
      <c r="K34" s="123"/>
      <c r="L34" s="123"/>
      <c r="M34" s="101"/>
      <c r="N34" s="81"/>
      <c r="O34" s="101"/>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7"/>
      <c r="DQ34" s="102"/>
      <c r="DR34" s="104"/>
    </row>
    <row r="35" spans="1:123" s="106" customFormat="1" ht="15" customHeight="1">
      <c r="A35" s="105"/>
      <c r="B35" s="177"/>
      <c r="C35" s="441"/>
      <c r="D35" s="202"/>
      <c r="E35" s="122"/>
      <c r="F35" s="122"/>
      <c r="G35" s="122"/>
      <c r="H35" s="440"/>
      <c r="I35" s="122"/>
      <c r="J35" s="122"/>
      <c r="K35" s="123"/>
      <c r="L35" s="123"/>
      <c r="M35" s="101"/>
      <c r="N35" s="81"/>
      <c r="O35" s="101"/>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7"/>
      <c r="DQ35" s="102"/>
      <c r="DR35" s="104"/>
    </row>
    <row r="36" spans="1:123" s="106" customFormat="1" ht="14.45" customHeight="1">
      <c r="A36" s="105"/>
      <c r="B36" s="121" t="s">
        <v>206</v>
      </c>
      <c r="C36" s="623"/>
      <c r="D36" s="624"/>
      <c r="E36" s="624"/>
      <c r="F36" s="624"/>
      <c r="G36" s="624"/>
      <c r="H36" s="624"/>
      <c r="I36" s="624"/>
      <c r="J36" s="624"/>
      <c r="K36" s="624"/>
      <c r="L36" s="625"/>
      <c r="M36" s="101"/>
      <c r="N36" s="81"/>
      <c r="O36" s="101"/>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7"/>
      <c r="DQ36" s="102"/>
      <c r="DR36" s="104"/>
    </row>
    <row r="37" spans="1:123" s="106" customFormat="1" ht="15" customHeight="1">
      <c r="A37" s="105"/>
      <c r="B37" s="177"/>
      <c r="C37" s="441"/>
      <c r="D37" s="202"/>
      <c r="E37" s="122"/>
      <c r="F37" s="122"/>
      <c r="G37" s="122"/>
      <c r="H37" s="440"/>
      <c r="I37" s="122"/>
      <c r="J37" s="122"/>
      <c r="K37" s="123"/>
      <c r="L37" s="123"/>
      <c r="M37" s="101"/>
      <c r="N37" s="81"/>
      <c r="O37" s="101"/>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7"/>
      <c r="DQ37" s="102"/>
      <c r="DR37" s="104"/>
    </row>
    <row r="38" spans="1:123" s="106" customFormat="1" ht="15" customHeight="1">
      <c r="A38" s="105"/>
      <c r="B38" s="177"/>
      <c r="C38" s="441"/>
      <c r="D38" s="202"/>
      <c r="E38" s="122"/>
      <c r="F38" s="122"/>
      <c r="G38" s="122"/>
      <c r="H38" s="440"/>
      <c r="I38" s="122"/>
      <c r="J38" s="122"/>
      <c r="K38" s="123"/>
      <c r="L38" s="123"/>
      <c r="M38" s="101"/>
      <c r="N38" s="81"/>
      <c r="O38" s="101"/>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7"/>
      <c r="DQ38" s="102"/>
      <c r="DR38" s="104"/>
    </row>
    <row r="39" spans="1:123" s="106" customFormat="1" ht="15" customHeight="1">
      <c r="A39" s="105"/>
      <c r="B39" s="177"/>
      <c r="C39" s="441"/>
      <c r="D39" s="202"/>
      <c r="E39" s="122"/>
      <c r="F39" s="122"/>
      <c r="G39" s="122"/>
      <c r="H39" s="440"/>
      <c r="I39" s="122"/>
      <c r="J39" s="122"/>
      <c r="K39" s="123"/>
      <c r="L39" s="123"/>
      <c r="M39" s="101"/>
      <c r="N39" s="81"/>
      <c r="O39" s="101"/>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7"/>
      <c r="DQ39" s="102"/>
      <c r="DR39" s="104"/>
    </row>
    <row r="40" spans="1:123" s="106" customFormat="1" ht="15" customHeight="1">
      <c r="A40" s="105"/>
      <c r="B40" s="177"/>
      <c r="C40" s="441"/>
      <c r="D40" s="202"/>
      <c r="E40" s="122"/>
      <c r="F40" s="122"/>
      <c r="G40" s="122"/>
      <c r="H40" s="440"/>
      <c r="I40" s="122"/>
      <c r="J40" s="122"/>
      <c r="K40" s="123"/>
      <c r="L40" s="123"/>
      <c r="M40" s="101"/>
      <c r="N40" s="81"/>
      <c r="O40" s="101"/>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7"/>
      <c r="DQ40" s="102"/>
      <c r="DR40" s="104"/>
    </row>
    <row r="41" spans="1:123" s="106" customFormat="1" ht="15" customHeight="1">
      <c r="A41" s="105"/>
      <c r="B41" s="177"/>
      <c r="C41" s="441"/>
      <c r="D41" s="202"/>
      <c r="E41" s="122"/>
      <c r="F41" s="122"/>
      <c r="G41" s="122"/>
      <c r="H41" s="440"/>
      <c r="I41" s="122"/>
      <c r="J41" s="122"/>
      <c r="K41" s="123"/>
      <c r="L41" s="123"/>
      <c r="M41" s="101"/>
      <c r="N41" s="81"/>
      <c r="O41" s="101"/>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7"/>
      <c r="DQ41" s="102"/>
      <c r="DR41" s="104"/>
    </row>
    <row r="42" spans="1:123" s="106" customFormat="1" ht="15" customHeight="1">
      <c r="A42" s="105"/>
      <c r="B42" s="177"/>
      <c r="C42" s="441"/>
      <c r="D42" s="202"/>
      <c r="E42" s="122"/>
      <c r="F42" s="122"/>
      <c r="G42" s="122"/>
      <c r="H42" s="440"/>
      <c r="I42" s="122"/>
      <c r="J42" s="122"/>
      <c r="K42" s="123"/>
      <c r="L42" s="123"/>
      <c r="M42" s="101"/>
      <c r="N42" s="81"/>
      <c r="O42" s="101"/>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7"/>
      <c r="DQ42" s="102"/>
      <c r="DR42" s="104"/>
    </row>
    <row r="43" spans="1:123" s="106" customFormat="1" ht="15" customHeight="1">
      <c r="A43" s="105"/>
      <c r="B43" s="177"/>
      <c r="C43" s="441"/>
      <c r="D43" s="202"/>
      <c r="E43" s="122"/>
      <c r="F43" s="122"/>
      <c r="G43" s="122"/>
      <c r="H43" s="440"/>
      <c r="I43" s="122"/>
      <c r="J43" s="122"/>
      <c r="K43" s="123"/>
      <c r="L43" s="123"/>
      <c r="M43" s="101"/>
      <c r="N43" s="81"/>
      <c r="O43" s="101"/>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7"/>
      <c r="DQ43" s="102"/>
      <c r="DR43" s="104"/>
    </row>
    <row r="44" spans="1:123" s="106" customFormat="1" ht="15" customHeight="1">
      <c r="A44" s="105"/>
      <c r="B44" s="177"/>
      <c r="C44" s="441"/>
      <c r="D44" s="202"/>
      <c r="E44" s="122"/>
      <c r="F44" s="122"/>
      <c r="G44" s="122"/>
      <c r="H44" s="440"/>
      <c r="I44" s="122"/>
      <c r="J44" s="122"/>
      <c r="K44" s="123"/>
      <c r="L44" s="123"/>
      <c r="M44" s="101"/>
      <c r="N44" s="81"/>
      <c r="O44" s="101"/>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7"/>
      <c r="DQ44" s="102"/>
      <c r="DR44" s="104"/>
    </row>
    <row r="45" spans="1:123" s="106" customFormat="1" ht="15" customHeight="1">
      <c r="A45" s="105"/>
      <c r="B45" s="177"/>
      <c r="C45" s="441"/>
      <c r="D45" s="202"/>
      <c r="E45" s="122"/>
      <c r="F45" s="122"/>
      <c r="G45" s="122"/>
      <c r="H45" s="440"/>
      <c r="I45" s="122"/>
      <c r="J45" s="122"/>
      <c r="K45" s="123"/>
      <c r="L45" s="123"/>
      <c r="M45" s="101"/>
      <c r="N45" s="81"/>
      <c r="O45" s="101"/>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7"/>
      <c r="DQ45" s="102"/>
      <c r="DR45" s="104"/>
    </row>
    <row r="46" spans="1:123" s="106" customFormat="1" ht="15" customHeight="1">
      <c r="A46" s="105"/>
      <c r="B46" s="177"/>
      <c r="C46" s="441"/>
      <c r="D46" s="202"/>
      <c r="E46" s="122"/>
      <c r="F46" s="122"/>
      <c r="G46" s="122"/>
      <c r="H46" s="440"/>
      <c r="I46" s="122"/>
      <c r="J46" s="122"/>
      <c r="K46" s="123"/>
      <c r="L46" s="123"/>
      <c r="M46" s="101"/>
      <c r="N46" s="81"/>
      <c r="O46" s="101"/>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7"/>
      <c r="DQ46" s="102"/>
      <c r="DR46" s="104"/>
    </row>
    <row r="47" spans="1:123" s="106" customFormat="1" ht="16.5">
      <c r="A47" s="105"/>
      <c r="B47" s="124"/>
      <c r="C47" s="125"/>
      <c r="D47" s="125"/>
      <c r="E47" s="126"/>
      <c r="F47" s="126"/>
      <c r="G47" s="126"/>
      <c r="H47" s="126"/>
      <c r="I47" s="76"/>
      <c r="J47" s="76"/>
      <c r="K47" s="76"/>
      <c r="L47" s="127"/>
      <c r="M47" s="101"/>
      <c r="N47" s="81"/>
      <c r="O47" s="101"/>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7"/>
      <c r="DR47" s="102"/>
      <c r="DS47" s="104"/>
    </row>
    <row r="48" spans="1:123" s="106" customFormat="1" ht="16.5">
      <c r="A48" s="105"/>
      <c r="B48" s="106" t="s">
        <v>207</v>
      </c>
      <c r="G48" s="126"/>
      <c r="H48" s="126"/>
      <c r="I48" s="76"/>
      <c r="J48" s="76"/>
      <c r="K48" s="76"/>
      <c r="L48" s="127"/>
      <c r="M48" s="101"/>
      <c r="N48" s="81"/>
      <c r="O48" s="101"/>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7"/>
      <c r="DP48" s="102"/>
      <c r="DQ48" s="104"/>
    </row>
    <row r="49" spans="1:121" s="106" customFormat="1" ht="16.5">
      <c r="A49" s="105"/>
      <c r="B49" s="597"/>
      <c r="C49" s="598"/>
      <c r="D49" s="598"/>
      <c r="E49" s="598"/>
      <c r="F49" s="599"/>
      <c r="G49" s="409"/>
      <c r="H49" s="409"/>
      <c r="I49" s="409"/>
      <c r="J49" s="409"/>
      <c r="K49" s="409"/>
      <c r="L49" s="409"/>
      <c r="M49" s="101"/>
      <c r="N49" s="81"/>
      <c r="O49" s="101"/>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7"/>
      <c r="DP49" s="102"/>
      <c r="DQ49" s="104"/>
    </row>
    <row r="50" spans="1:121" s="106" customFormat="1" ht="16.5">
      <c r="A50" s="105"/>
      <c r="B50" s="600"/>
      <c r="C50" s="601"/>
      <c r="D50" s="601"/>
      <c r="E50" s="601"/>
      <c r="F50" s="602"/>
      <c r="G50" s="409"/>
      <c r="H50" s="409"/>
      <c r="I50" s="409"/>
      <c r="J50" s="409"/>
      <c r="K50" s="409"/>
      <c r="L50" s="409"/>
      <c r="M50" s="101"/>
      <c r="N50" s="81"/>
      <c r="O50" s="101"/>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7"/>
      <c r="DP50" s="102"/>
      <c r="DQ50" s="104"/>
    </row>
    <row r="51" spans="1:121" s="106" customFormat="1" ht="16.5">
      <c r="A51" s="105"/>
      <c r="B51" s="603"/>
      <c r="C51" s="604"/>
      <c r="D51" s="604"/>
      <c r="E51" s="604"/>
      <c r="F51" s="605"/>
      <c r="G51" s="409"/>
      <c r="H51" s="409"/>
      <c r="I51" s="409"/>
      <c r="J51" s="409"/>
      <c r="K51" s="409"/>
      <c r="L51" s="409"/>
      <c r="M51" s="101"/>
      <c r="N51" s="81"/>
      <c r="O51" s="101"/>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7"/>
      <c r="DP51" s="102"/>
      <c r="DQ51" s="104"/>
    </row>
    <row r="52" spans="1:121" ht="15" customHeight="1">
      <c r="I52" s="76"/>
      <c r="J52" s="76"/>
      <c r="K52" s="76"/>
      <c r="L52" s="127"/>
      <c r="M52" s="101"/>
      <c r="N52" s="81"/>
      <c r="O52" s="101"/>
    </row>
    <row r="53" spans="1:121" ht="7.5" customHeight="1">
      <c r="A53" s="81"/>
      <c r="B53" s="81"/>
      <c r="C53" s="81"/>
      <c r="D53" s="81"/>
      <c r="E53" s="81"/>
      <c r="F53" s="81"/>
      <c r="G53" s="81"/>
      <c r="H53" s="81"/>
      <c r="I53" s="81"/>
      <c r="J53" s="81"/>
      <c r="K53" s="81"/>
      <c r="L53" s="81"/>
      <c r="M53" s="81"/>
      <c r="N53" s="81"/>
      <c r="O53" s="106"/>
    </row>
    <row r="81" spans="3:3" ht="12.75" customHeight="1">
      <c r="C81" s="129"/>
    </row>
    <row r="82" spans="3:3" ht="12.75" customHeight="1">
      <c r="C82" s="130"/>
    </row>
    <row r="83" spans="3:3" ht="12.75" customHeight="1">
      <c r="C83" s="130"/>
    </row>
    <row r="84" spans="3:3" ht="12.75" customHeight="1">
      <c r="C84" s="129"/>
    </row>
    <row r="85" spans="3:3" ht="12.75" customHeight="1">
      <c r="C85" s="130"/>
    </row>
    <row r="86" spans="3:3" ht="12.75" customHeight="1">
      <c r="C86" s="130"/>
    </row>
    <row r="87" spans="3:3" ht="12.75" customHeight="1">
      <c r="C87" s="130"/>
    </row>
    <row r="88" spans="3:3" ht="12.75" customHeight="1">
      <c r="C88" s="129"/>
    </row>
  </sheetData>
  <mergeCells count="13">
    <mergeCell ref="B49:F51"/>
    <mergeCell ref="B7:F9"/>
    <mergeCell ref="F23:H23"/>
    <mergeCell ref="B23:E23"/>
    <mergeCell ref="I23:J23"/>
    <mergeCell ref="D13:F13"/>
    <mergeCell ref="C25:L25"/>
    <mergeCell ref="C36:L36"/>
    <mergeCell ref="L23:L24"/>
    <mergeCell ref="B21:F21"/>
    <mergeCell ref="D14:F14"/>
    <mergeCell ref="D15:F15"/>
    <mergeCell ref="D16:F16"/>
  </mergeCells>
  <phoneticPr fontId="25" type="noConversion"/>
  <conditionalFormatting sqref="B7">
    <cfRule type="containsBlanks" dxfId="6" priority="13">
      <formula>LEN(TRIM(B7))=0</formula>
    </cfRule>
  </conditionalFormatting>
  <conditionalFormatting sqref="B14:C16">
    <cfRule type="containsBlanks" dxfId="5" priority="6">
      <formula>LEN(TRIM(B14))=0</formula>
    </cfRule>
  </conditionalFormatting>
  <conditionalFormatting sqref="B26:K35 B37:K46 B49">
    <cfRule type="containsBlanks" dxfId="4" priority="8">
      <formula>LEN(TRIM(B26))=0</formula>
    </cfRule>
  </conditionalFormatting>
  <conditionalFormatting sqref="I26:I35 I37:I46">
    <cfRule type="expression" dxfId="3" priority="3">
      <formula>$J26="√"</formula>
    </cfRule>
  </conditionalFormatting>
  <conditionalFormatting sqref="I26:I35">
    <cfRule type="expression" dxfId="2" priority="12">
      <formula>J26="√"</formula>
    </cfRule>
  </conditionalFormatting>
  <conditionalFormatting sqref="J26:J35 J37:J46">
    <cfRule type="expression" dxfId="1" priority="1">
      <formula>$I26="√"</formula>
    </cfRule>
  </conditionalFormatting>
  <dataValidations count="2">
    <dataValidation type="list" allowBlank="1" showInputMessage="1" showErrorMessage="1" sqref="I37:J46 I26:J35" xr:uid="{9E8C69C9-E969-419E-999F-CCE9CEC4EB06}">
      <formula1>"√"</formula1>
    </dataValidation>
    <dataValidation type="list" allowBlank="1" showInputMessage="1" sqref="K26:K35 K37:K46" xr:uid="{03C8EBA8-5CE5-4C33-8B0F-9F8C16555366}">
      <formula1>"Y,N"</formula1>
    </dataValidation>
  </dataValidations>
  <hyperlinks>
    <hyperlink ref="B4" location="汇总!A1" display="返回汇总页" xr:uid="{22B06970-92A6-4925-838E-257B637B6C05}"/>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1188-8477-4D88-92B5-2CCE3FE43C2C}">
  <dimension ref="A1:DT9"/>
  <sheetViews>
    <sheetView showGridLines="0" zoomScale="70" zoomScaleNormal="70" workbookViewId="0">
      <selection activeCell="C26" sqref="C26"/>
    </sheetView>
  </sheetViews>
  <sheetFormatPr defaultColWidth="8.75" defaultRowHeight="12.75" customHeight="1"/>
  <cols>
    <col min="1" max="1" width="2.625" style="9" customWidth="1"/>
    <col min="2" max="3" width="20.75" style="5" customWidth="1"/>
    <col min="4" max="5" width="31.375" style="5" customWidth="1"/>
    <col min="6" max="7" width="17.75" style="5" customWidth="1"/>
    <col min="8" max="8" width="14.125" style="5" customWidth="1"/>
    <col min="9" max="9" width="17.625" style="5" customWidth="1"/>
    <col min="10" max="10" width="2.625" style="5" customWidth="1"/>
    <col min="11" max="11" width="1.625" style="5" customWidth="1"/>
    <col min="12" max="16" width="11.25" style="5" customWidth="1"/>
    <col min="17" max="95" width="8.75" style="5"/>
    <col min="96" max="96" width="13.125" style="6" customWidth="1"/>
    <col min="97" max="97" width="7.25" style="6" customWidth="1"/>
    <col min="98" max="107" width="8.75" style="6"/>
    <col min="108" max="108" width="14.25" style="6" customWidth="1"/>
    <col min="109" max="114" width="8.75" style="6"/>
    <col min="115" max="115" width="10.25" style="6" customWidth="1"/>
    <col min="116" max="119" width="8.75" style="6"/>
    <col min="120" max="120" width="10.125" style="6" customWidth="1"/>
    <col min="121" max="121" width="12.25" style="6" customWidth="1"/>
    <col min="122" max="122" width="8.75" style="8"/>
    <col min="123" max="123" width="8.75" style="6"/>
    <col min="124" max="124" width="8.75" style="7"/>
    <col min="125" max="16384" width="8.75" style="5"/>
  </cols>
  <sheetData>
    <row r="1" spans="1:11" s="156" customFormat="1" ht="50.1" customHeight="1">
      <c r="B1" s="203" t="s">
        <v>154</v>
      </c>
      <c r="C1" s="204"/>
      <c r="D1" s="205"/>
      <c r="E1" s="205"/>
      <c r="F1" s="206"/>
      <c r="G1" s="206"/>
      <c r="H1" s="206"/>
      <c r="I1" s="207"/>
      <c r="K1" s="167"/>
    </row>
    <row r="2" spans="1:11" s="156" customFormat="1" ht="30" customHeight="1">
      <c r="B2" s="208" t="s">
        <v>208</v>
      </c>
      <c r="C2" s="209"/>
      <c r="D2" s="209"/>
      <c r="E2" s="209"/>
      <c r="F2" s="209"/>
      <c r="G2" s="209"/>
      <c r="H2" s="209"/>
      <c r="I2" s="210"/>
      <c r="J2" s="168"/>
      <c r="K2" s="167"/>
    </row>
    <row r="3" spans="1:11" s="10" customFormat="1" ht="12.75" customHeight="1">
      <c r="B3" s="38"/>
      <c r="C3" s="38"/>
      <c r="D3" s="38"/>
      <c r="E3" s="38"/>
      <c r="F3" s="38"/>
      <c r="G3" s="38"/>
      <c r="H3" s="38"/>
      <c r="I3" s="38"/>
      <c r="J3" s="21"/>
      <c r="K3" s="49"/>
    </row>
    <row r="4" spans="1:11" s="10" customFormat="1" ht="15.95" customHeight="1">
      <c r="B4" s="46" t="s">
        <v>209</v>
      </c>
      <c r="C4" s="46"/>
      <c r="D4" s="38"/>
      <c r="E4" s="38"/>
      <c r="F4" s="38"/>
      <c r="G4" s="38"/>
      <c r="H4" s="38"/>
      <c r="I4" s="38"/>
      <c r="J4" s="21"/>
      <c r="K4" s="49"/>
    </row>
    <row r="5" spans="1:11" s="10" customFormat="1" ht="12.75" customHeight="1">
      <c r="B5" s="51"/>
      <c r="C5" s="51"/>
      <c r="D5" s="38"/>
      <c r="E5" s="38"/>
      <c r="F5" s="38"/>
      <c r="G5" s="38"/>
      <c r="H5" s="38"/>
      <c r="I5" s="38"/>
      <c r="J5" s="21"/>
      <c r="K5" s="49"/>
    </row>
    <row r="6" spans="1:11" s="10" customFormat="1" ht="18.95" customHeight="1">
      <c r="B6" s="52" t="s">
        <v>210</v>
      </c>
      <c r="C6" s="51"/>
      <c r="D6" s="38"/>
      <c r="E6" s="38"/>
      <c r="F6" s="38"/>
      <c r="G6" s="38"/>
      <c r="H6" s="38"/>
      <c r="I6" s="38"/>
      <c r="J6" s="21"/>
      <c r="K6" s="49"/>
    </row>
    <row r="7" spans="1:11" s="10" customFormat="1" ht="18.95" customHeight="1">
      <c r="B7" s="444" t="s">
        <v>211</v>
      </c>
      <c r="C7" s="38"/>
      <c r="D7" s="38"/>
      <c r="E7" s="38"/>
      <c r="F7" s="38"/>
      <c r="G7" s="38"/>
      <c r="H7" s="38"/>
      <c r="I7" s="38"/>
      <c r="J7" s="21"/>
      <c r="K7" s="49"/>
    </row>
    <row r="8" spans="1:11" ht="15" customHeight="1">
      <c r="K8" s="49"/>
    </row>
    <row r="9" spans="1:11" ht="7.5" customHeight="1">
      <c r="A9" s="17"/>
      <c r="B9" s="17"/>
      <c r="C9" s="17"/>
      <c r="D9" s="17"/>
      <c r="E9" s="17"/>
      <c r="F9" s="17"/>
      <c r="G9" s="17"/>
      <c r="H9" s="17"/>
      <c r="I9" s="17"/>
      <c r="J9" s="17"/>
      <c r="K9" s="17"/>
    </row>
  </sheetData>
  <phoneticPr fontId="25" type="noConversion"/>
  <conditionalFormatting sqref="I14">
    <cfRule type="containsBlanks" dxfId="0" priority="6">
      <formula>LEN(TRIM(I14))=0</formula>
    </cfRule>
  </conditionalFormatting>
  <hyperlinks>
    <hyperlink ref="B4" location="汇总!A1" display="返回汇总页" xr:uid="{F4DB9A29-BCF2-42EC-818C-4A7942940933}"/>
    <hyperlink ref="B7" r:id="rId1"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xr:uid="{AEECB24A-2618-46A9-A914-B6C83CBAA2F2}"/>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dimension ref="A1:DV102"/>
  <sheetViews>
    <sheetView workbookViewId="0"/>
  </sheetViews>
  <sheetFormatPr defaultColWidth="9" defaultRowHeight="14.25"/>
  <cols>
    <col min="1" max="1" width="0.125" customWidth="1"/>
  </cols>
  <sheetData>
    <row r="1" spans="1:126">
      <c r="A1" t="s">
        <v>212</v>
      </c>
    </row>
    <row r="6" spans="1:126">
      <c r="E6" t="s">
        <v>213</v>
      </c>
      <c r="Y6" t="s">
        <v>214</v>
      </c>
      <c r="Z6" t="s">
        <v>215</v>
      </c>
      <c r="AA6" t="s">
        <v>216</v>
      </c>
      <c r="AB6" t="s">
        <v>217</v>
      </c>
      <c r="AC6" t="s">
        <v>218</v>
      </c>
      <c r="AD6" t="s">
        <v>219</v>
      </c>
      <c r="AE6" t="s">
        <v>220</v>
      </c>
      <c r="AF6" t="s">
        <v>221</v>
      </c>
      <c r="AG6" t="s">
        <v>222</v>
      </c>
      <c r="AH6" t="s">
        <v>223</v>
      </c>
      <c r="AI6" t="s">
        <v>224</v>
      </c>
      <c r="AJ6" t="s">
        <v>225</v>
      </c>
      <c r="AK6" t="s">
        <v>226</v>
      </c>
      <c r="AL6" t="s">
        <v>227</v>
      </c>
      <c r="AM6" t="s">
        <v>228</v>
      </c>
      <c r="AN6" t="s">
        <v>229</v>
      </c>
      <c r="AO6" t="s">
        <v>230</v>
      </c>
      <c r="AP6" t="s">
        <v>231</v>
      </c>
      <c r="AQ6" t="s">
        <v>232</v>
      </c>
      <c r="AR6" t="s">
        <v>233</v>
      </c>
      <c r="AS6" t="s">
        <v>234</v>
      </c>
      <c r="AT6" t="s">
        <v>235</v>
      </c>
      <c r="AU6" t="s">
        <v>236</v>
      </c>
      <c r="AV6" t="s">
        <v>237</v>
      </c>
      <c r="AW6" t="s">
        <v>238</v>
      </c>
      <c r="AX6" t="s">
        <v>239</v>
      </c>
      <c r="AY6" t="s">
        <v>240</v>
      </c>
      <c r="AZ6" t="s">
        <v>241</v>
      </c>
      <c r="BA6" t="s">
        <v>242</v>
      </c>
      <c r="BB6" t="s">
        <v>243</v>
      </c>
      <c r="BC6" t="s">
        <v>244</v>
      </c>
      <c r="BD6" t="s">
        <v>245</v>
      </c>
      <c r="BE6" t="s">
        <v>246</v>
      </c>
      <c r="BF6" t="s">
        <v>247</v>
      </c>
      <c r="BG6" t="s">
        <v>248</v>
      </c>
      <c r="BH6" t="s">
        <v>249</v>
      </c>
      <c r="BI6" t="s">
        <v>250</v>
      </c>
      <c r="BJ6" t="s">
        <v>251</v>
      </c>
      <c r="BK6" t="s">
        <v>252</v>
      </c>
      <c r="BL6" t="s">
        <v>253</v>
      </c>
      <c r="BM6" t="s">
        <v>254</v>
      </c>
      <c r="BN6" t="s">
        <v>255</v>
      </c>
      <c r="BO6" t="s">
        <v>256</v>
      </c>
      <c r="BP6" t="s">
        <v>257</v>
      </c>
      <c r="BQ6" t="s">
        <v>258</v>
      </c>
      <c r="BR6" t="s">
        <v>259</v>
      </c>
      <c r="BS6" t="s">
        <v>260</v>
      </c>
      <c r="BT6" t="s">
        <v>261</v>
      </c>
      <c r="BU6" t="s">
        <v>262</v>
      </c>
      <c r="BV6" t="s">
        <v>263</v>
      </c>
      <c r="BW6" t="s">
        <v>264</v>
      </c>
      <c r="BX6" t="s">
        <v>265</v>
      </c>
      <c r="BY6" t="s">
        <v>266</v>
      </c>
      <c r="BZ6" t="s">
        <v>267</v>
      </c>
      <c r="CA6" t="s">
        <v>268</v>
      </c>
      <c r="CB6" t="s">
        <v>269</v>
      </c>
      <c r="CC6" t="s">
        <v>270</v>
      </c>
      <c r="CD6" t="s">
        <v>271</v>
      </c>
      <c r="CE6" t="s">
        <v>272</v>
      </c>
      <c r="CF6" t="s">
        <v>273</v>
      </c>
      <c r="CG6" t="s">
        <v>274</v>
      </c>
      <c r="CH6" t="s">
        <v>275</v>
      </c>
      <c r="CI6" t="s">
        <v>276</v>
      </c>
      <c r="CJ6" t="s">
        <v>277</v>
      </c>
      <c r="CK6" t="s">
        <v>278</v>
      </c>
      <c r="CL6" t="s">
        <v>279</v>
      </c>
      <c r="CM6" t="s">
        <v>280</v>
      </c>
      <c r="CN6" t="s">
        <v>281</v>
      </c>
      <c r="CO6" t="s">
        <v>282</v>
      </c>
      <c r="CP6" t="s">
        <v>283</v>
      </c>
      <c r="CQ6" t="s">
        <v>284</v>
      </c>
      <c r="CR6" t="s">
        <v>285</v>
      </c>
      <c r="CS6" t="s">
        <v>286</v>
      </c>
      <c r="CT6" t="s">
        <v>287</v>
      </c>
      <c r="CU6" t="s">
        <v>288</v>
      </c>
      <c r="CV6" t="s">
        <v>289</v>
      </c>
      <c r="CW6" t="s">
        <v>290</v>
      </c>
      <c r="CX6" t="s">
        <v>291</v>
      </c>
      <c r="CY6" t="s">
        <v>292</v>
      </c>
      <c r="CZ6" t="s">
        <v>293</v>
      </c>
      <c r="DA6" t="s">
        <v>294</v>
      </c>
      <c r="DB6" t="s">
        <v>295</v>
      </c>
      <c r="DC6" t="s">
        <v>296</v>
      </c>
      <c r="DD6" t="s">
        <v>297</v>
      </c>
      <c r="DE6" t="s">
        <v>298</v>
      </c>
      <c r="DF6" t="s">
        <v>299</v>
      </c>
      <c r="DG6" t="s">
        <v>300</v>
      </c>
      <c r="DH6" t="s">
        <v>301</v>
      </c>
      <c r="DI6" t="s">
        <v>302</v>
      </c>
      <c r="DJ6" t="s">
        <v>303</v>
      </c>
      <c r="DK6" t="s">
        <v>304</v>
      </c>
      <c r="DL6" t="s">
        <v>305</v>
      </c>
      <c r="DM6" t="s">
        <v>306</v>
      </c>
      <c r="DN6" t="s">
        <v>307</v>
      </c>
      <c r="DO6" t="s">
        <v>308</v>
      </c>
      <c r="DP6" t="s">
        <v>309</v>
      </c>
      <c r="DQ6" t="s">
        <v>310</v>
      </c>
      <c r="DR6" t="s">
        <v>311</v>
      </c>
      <c r="DS6" t="s">
        <v>312</v>
      </c>
      <c r="DT6" t="s">
        <v>313</v>
      </c>
      <c r="DU6" t="s">
        <v>314</v>
      </c>
      <c r="DV6" t="s">
        <v>315</v>
      </c>
    </row>
    <row r="10" spans="1:126">
      <c r="F10" t="e">
        <f>#REF!</f>
        <v>#REF!</v>
      </c>
      <c r="G10" t="s">
        <v>316</v>
      </c>
    </row>
    <row r="11" spans="1:126">
      <c r="A11" s="1">
        <v>102</v>
      </c>
      <c r="F11" t="e">
        <f>#REF!</f>
        <v>#REF!</v>
      </c>
      <c r="G11" t="s">
        <v>317</v>
      </c>
    </row>
    <row r="12" spans="1:126">
      <c r="F12" t="e">
        <f>#REF!</f>
        <v>#REF!</v>
      </c>
      <c r="G12" t="s">
        <v>318</v>
      </c>
    </row>
    <row r="13" spans="1:126">
      <c r="F13" t="e">
        <f>#REF!</f>
        <v>#REF!</v>
      </c>
      <c r="G13" t="s">
        <v>319</v>
      </c>
    </row>
    <row r="14" spans="1:126">
      <c r="F14" t="e">
        <f>#REF!</f>
        <v>#REF!</v>
      </c>
      <c r="G14" t="s">
        <v>320</v>
      </c>
    </row>
    <row r="15" spans="1:126">
      <c r="A15" s="1">
        <v>34</v>
      </c>
      <c r="F15" t="e">
        <f>#REF!</f>
        <v>#REF!</v>
      </c>
      <c r="G15" t="s">
        <v>321</v>
      </c>
      <c r="R15" t="e">
        <f>#REF!</f>
        <v>#REF!</v>
      </c>
      <c r="S15" t="s">
        <v>322</v>
      </c>
    </row>
    <row r="16" spans="1:126">
      <c r="F16" t="e">
        <f>#REF!</f>
        <v>#REF!</v>
      </c>
      <c r="G16" t="s">
        <v>323</v>
      </c>
      <c r="R16" t="e">
        <f>#REF!</f>
        <v>#REF!</v>
      </c>
      <c r="S16" t="s">
        <v>324</v>
      </c>
    </row>
    <row r="17" spans="6:19">
      <c r="F17" t="e">
        <f>#REF!</f>
        <v>#REF!</v>
      </c>
      <c r="G17" t="s">
        <v>325</v>
      </c>
      <c r="R17" t="e">
        <f>#REF!</f>
        <v>#REF!</v>
      </c>
      <c r="S17" t="s">
        <v>326</v>
      </c>
    </row>
    <row r="18" spans="6:19">
      <c r="F18" t="e">
        <f>#REF!</f>
        <v>#REF!</v>
      </c>
      <c r="G18" t="s">
        <v>327</v>
      </c>
      <c r="R18" t="e">
        <f>#REF!</f>
        <v>#REF!</v>
      </c>
      <c r="S18" t="s">
        <v>328</v>
      </c>
    </row>
    <row r="19" spans="6:19">
      <c r="F19" t="e">
        <f>#REF!</f>
        <v>#REF!</v>
      </c>
      <c r="G19" t="s">
        <v>329</v>
      </c>
      <c r="R19" t="e">
        <f>#REF!</f>
        <v>#REF!</v>
      </c>
      <c r="S19" t="s">
        <v>330</v>
      </c>
    </row>
    <row r="20" spans="6:19">
      <c r="F20" t="e">
        <f>#REF!</f>
        <v>#REF!</v>
      </c>
      <c r="G20" t="s">
        <v>331</v>
      </c>
      <c r="R20" t="e">
        <f>#REF!</f>
        <v>#REF!</v>
      </c>
      <c r="S20" t="s">
        <v>332</v>
      </c>
    </row>
    <row r="21" spans="6:19">
      <c r="F21" t="e">
        <f>#REF!</f>
        <v>#REF!</v>
      </c>
      <c r="G21" t="s">
        <v>333</v>
      </c>
      <c r="R21" t="e">
        <f>#REF!</f>
        <v>#REF!</v>
      </c>
      <c r="S21" t="s">
        <v>334</v>
      </c>
    </row>
    <row r="22" spans="6:19">
      <c r="F22" t="e">
        <f>#REF!</f>
        <v>#REF!</v>
      </c>
      <c r="G22" t="s">
        <v>335</v>
      </c>
      <c r="R22" t="e">
        <f>#REF!</f>
        <v>#REF!</v>
      </c>
      <c r="S22" t="s">
        <v>336</v>
      </c>
    </row>
    <row r="23" spans="6:19">
      <c r="F23" t="e">
        <f>#REF!</f>
        <v>#REF!</v>
      </c>
      <c r="G23" t="s">
        <v>337</v>
      </c>
      <c r="R23" t="e">
        <f>#REF!</f>
        <v>#REF!</v>
      </c>
      <c r="S23" t="s">
        <v>338</v>
      </c>
    </row>
    <row r="24" spans="6:19">
      <c r="F24" t="e">
        <f>#REF!</f>
        <v>#REF!</v>
      </c>
      <c r="G24" t="s">
        <v>339</v>
      </c>
      <c r="R24" t="e">
        <f>#REF!</f>
        <v>#REF!</v>
      </c>
      <c r="S24" t="s">
        <v>340</v>
      </c>
    </row>
    <row r="25" spans="6:19">
      <c r="F25" t="e">
        <f>#REF!</f>
        <v>#REF!</v>
      </c>
      <c r="G25" t="s">
        <v>341</v>
      </c>
      <c r="R25" t="e">
        <f>#REF!</f>
        <v>#REF!</v>
      </c>
      <c r="S25" t="s">
        <v>342</v>
      </c>
    </row>
    <row r="26" spans="6:19">
      <c r="F26" t="e">
        <f>#REF!</f>
        <v>#REF!</v>
      </c>
      <c r="G26" t="s">
        <v>343</v>
      </c>
      <c r="R26" t="e">
        <f>#REF!</f>
        <v>#REF!</v>
      </c>
      <c r="S26" t="s">
        <v>344</v>
      </c>
    </row>
    <row r="27" spans="6:19">
      <c r="F27" t="e">
        <f>#REF!</f>
        <v>#REF!</v>
      </c>
      <c r="G27" t="s">
        <v>345</v>
      </c>
      <c r="R27" t="e">
        <f>#REF!</f>
        <v>#REF!</v>
      </c>
      <c r="S27" t="s">
        <v>346</v>
      </c>
    </row>
    <row r="28" spans="6:19">
      <c r="F28" t="e">
        <f>#REF!</f>
        <v>#REF!</v>
      </c>
      <c r="G28" t="s">
        <v>347</v>
      </c>
      <c r="R28" t="e">
        <f>#REF!</f>
        <v>#REF!</v>
      </c>
      <c r="S28" t="s">
        <v>348</v>
      </c>
    </row>
    <row r="29" spans="6:19">
      <c r="F29" t="e">
        <f>#REF!</f>
        <v>#REF!</v>
      </c>
      <c r="G29" t="s">
        <v>349</v>
      </c>
      <c r="R29" t="e">
        <f>#REF!</f>
        <v>#REF!</v>
      </c>
      <c r="S29" t="s">
        <v>350</v>
      </c>
    </row>
    <row r="30" spans="6:19">
      <c r="F30" t="e">
        <f>#REF!</f>
        <v>#REF!</v>
      </c>
      <c r="G30" t="s">
        <v>351</v>
      </c>
      <c r="R30" t="e">
        <f>#REF!</f>
        <v>#REF!</v>
      </c>
      <c r="S30" t="s">
        <v>352</v>
      </c>
    </row>
    <row r="31" spans="6:19">
      <c r="F31" t="e">
        <f>#REF!</f>
        <v>#REF!</v>
      </c>
      <c r="G31" t="s">
        <v>353</v>
      </c>
      <c r="R31" t="e">
        <f>'N.00 Lead sheet'!#REF!</f>
        <v>#REF!</v>
      </c>
      <c r="S31" t="s">
        <v>354</v>
      </c>
    </row>
    <row r="32" spans="6:19">
      <c r="F32" t="e">
        <f>#REF!</f>
        <v>#REF!</v>
      </c>
      <c r="G32" t="s">
        <v>355</v>
      </c>
      <c r="R32" t="e">
        <f>'N.00 Lead sheet'!#REF!</f>
        <v>#REF!</v>
      </c>
      <c r="S32" t="s">
        <v>356</v>
      </c>
    </row>
    <row r="33" spans="6:19">
      <c r="F33" t="e">
        <f>#REF!</f>
        <v>#REF!</v>
      </c>
      <c r="G33" t="s">
        <v>357</v>
      </c>
      <c r="R33" t="e">
        <f>'N.00 Lead sheet'!#REF!</f>
        <v>#REF!</v>
      </c>
      <c r="S33" t="s">
        <v>358</v>
      </c>
    </row>
    <row r="34" spans="6:19">
      <c r="F34" t="e">
        <f>#REF!</f>
        <v>#REF!</v>
      </c>
      <c r="G34" t="s">
        <v>359</v>
      </c>
      <c r="R34" t="e">
        <f>'N.00 Lead sheet'!#REF!</f>
        <v>#REF!</v>
      </c>
      <c r="S34" t="s">
        <v>360</v>
      </c>
    </row>
    <row r="35" spans="6:19">
      <c r="F35" t="e">
        <f>#REF!</f>
        <v>#REF!</v>
      </c>
      <c r="G35" t="s">
        <v>361</v>
      </c>
    </row>
    <row r="36" spans="6:19">
      <c r="F36" t="e">
        <f>#REF!</f>
        <v>#REF!</v>
      </c>
      <c r="G36" t="s">
        <v>362</v>
      </c>
    </row>
    <row r="37" spans="6:19">
      <c r="F37" t="e">
        <f>#REF!</f>
        <v>#REF!</v>
      </c>
      <c r="G37" t="s">
        <v>363</v>
      </c>
    </row>
    <row r="38" spans="6:19">
      <c r="F38" t="e">
        <f>#REF!</f>
        <v>#REF!</v>
      </c>
      <c r="G38" t="s">
        <v>364</v>
      </c>
    </row>
    <row r="39" spans="6:19">
      <c r="F39" t="e">
        <f>#REF!</f>
        <v>#REF!</v>
      </c>
      <c r="G39" t="s">
        <v>365</v>
      </c>
    </row>
    <row r="40" spans="6:19">
      <c r="F40" t="e">
        <f>#REF!</f>
        <v>#REF!</v>
      </c>
      <c r="G40" t="s">
        <v>366</v>
      </c>
    </row>
    <row r="41" spans="6:19">
      <c r="F41" t="e">
        <f>#REF!</f>
        <v>#REF!</v>
      </c>
      <c r="G41" t="s">
        <v>367</v>
      </c>
    </row>
    <row r="42" spans="6:19">
      <c r="F42" t="e">
        <f>#REF!</f>
        <v>#REF!</v>
      </c>
      <c r="G42" t="s">
        <v>368</v>
      </c>
    </row>
    <row r="43" spans="6:19">
      <c r="F43" t="e">
        <f>#REF!</f>
        <v>#REF!</v>
      </c>
      <c r="G43" t="s">
        <v>369</v>
      </c>
    </row>
    <row r="44" spans="6:19">
      <c r="F44" t="e">
        <f>#REF!</f>
        <v>#REF!</v>
      </c>
      <c r="G44" t="s">
        <v>370</v>
      </c>
    </row>
    <row r="45" spans="6:19">
      <c r="F45" t="e">
        <f>#REF!</f>
        <v>#REF!</v>
      </c>
      <c r="G45" t="s">
        <v>371</v>
      </c>
    </row>
    <row r="46" spans="6:19">
      <c r="F46" t="e">
        <f>#REF!</f>
        <v>#REF!</v>
      </c>
      <c r="G46" t="s">
        <v>372</v>
      </c>
    </row>
    <row r="47" spans="6:19">
      <c r="F47" t="e">
        <f>#REF!</f>
        <v>#REF!</v>
      </c>
      <c r="G47" t="s">
        <v>373</v>
      </c>
    </row>
    <row r="48" spans="6:19">
      <c r="F48" t="e">
        <f>#REF!</f>
        <v>#REF!</v>
      </c>
      <c r="G48" t="s">
        <v>374</v>
      </c>
    </row>
    <row r="49" spans="6:7">
      <c r="F49" t="e">
        <f>#REF!</f>
        <v>#REF!</v>
      </c>
      <c r="G49" t="s">
        <v>375</v>
      </c>
    </row>
    <row r="50" spans="6:7">
      <c r="F50" t="e">
        <f>#REF!</f>
        <v>#REF!</v>
      </c>
      <c r="G50" t="s">
        <v>376</v>
      </c>
    </row>
    <row r="51" spans="6:7">
      <c r="F51" t="e">
        <f>#REF!</f>
        <v>#REF!</v>
      </c>
      <c r="G51" t="s">
        <v>377</v>
      </c>
    </row>
    <row r="52" spans="6:7">
      <c r="F52" t="e">
        <f>#REF!</f>
        <v>#REF!</v>
      </c>
      <c r="G52" t="s">
        <v>378</v>
      </c>
    </row>
    <row r="53" spans="6:7">
      <c r="F53" t="e">
        <f>#REF!</f>
        <v>#REF!</v>
      </c>
      <c r="G53" t="s">
        <v>379</v>
      </c>
    </row>
    <row r="54" spans="6:7">
      <c r="F54" t="e">
        <f>#REF!</f>
        <v>#REF!</v>
      </c>
      <c r="G54" t="s">
        <v>380</v>
      </c>
    </row>
    <row r="55" spans="6:7">
      <c r="F55" t="e">
        <f>'N.03 截止测试'!#REF!</f>
        <v>#REF!</v>
      </c>
      <c r="G55" t="s">
        <v>381</v>
      </c>
    </row>
    <row r="56" spans="6:7">
      <c r="F56" t="e">
        <f>'N.03 截止测试'!#REF!</f>
        <v>#REF!</v>
      </c>
      <c r="G56" t="s">
        <v>382</v>
      </c>
    </row>
    <row r="57" spans="6:7">
      <c r="F57" t="e">
        <f>'N.03 截止测试'!#REF!</f>
        <v>#REF!</v>
      </c>
      <c r="G57" t="s">
        <v>383</v>
      </c>
    </row>
    <row r="58" spans="6:7">
      <c r="F58" t="e">
        <f>'N.03 截止测试'!#REF!</f>
        <v>#REF!</v>
      </c>
      <c r="G58" t="s">
        <v>384</v>
      </c>
    </row>
    <row r="59" spans="6:7">
      <c r="F59" t="e">
        <f>'N.03 截止测试'!#REF!</f>
        <v>#REF!</v>
      </c>
      <c r="G59" t="s">
        <v>385</v>
      </c>
    </row>
    <row r="60" spans="6:7">
      <c r="F60" t="e">
        <f>'N.03 截止测试'!#REF!</f>
        <v>#REF!</v>
      </c>
      <c r="G60" t="s">
        <v>386</v>
      </c>
    </row>
    <row r="61" spans="6:7">
      <c r="F61" t="e">
        <f>'N.03 截止测试'!#REF!</f>
        <v>#REF!</v>
      </c>
      <c r="G61" t="s">
        <v>387</v>
      </c>
    </row>
    <row r="62" spans="6:7">
      <c r="F62" t="e">
        <f>'N.03 截止测试'!#REF!</f>
        <v>#REF!</v>
      </c>
      <c r="G62" t="s">
        <v>388</v>
      </c>
    </row>
    <row r="63" spans="6:7">
      <c r="F63" t="e">
        <f>'N.03 截止测试'!#REF!</f>
        <v>#REF!</v>
      </c>
      <c r="G63" t="s">
        <v>389</v>
      </c>
    </row>
    <row r="64" spans="6:7">
      <c r="F64" t="e">
        <f>'N.03 截止测试'!#REF!</f>
        <v>#REF!</v>
      </c>
      <c r="G64" t="s">
        <v>390</v>
      </c>
    </row>
    <row r="65" spans="6:7">
      <c r="F65" t="e">
        <f>'N.03 截止测试'!#REF!</f>
        <v>#REF!</v>
      </c>
      <c r="G65" t="s">
        <v>391</v>
      </c>
    </row>
    <row r="66" spans="6:7">
      <c r="F66" t="e">
        <f>'N.03 截止测试'!#REF!</f>
        <v>#REF!</v>
      </c>
      <c r="G66" t="s">
        <v>392</v>
      </c>
    </row>
    <row r="67" spans="6:7">
      <c r="F67" t="e">
        <f>'N.03 截止测试'!#REF!</f>
        <v>#REF!</v>
      </c>
      <c r="G67" t="s">
        <v>393</v>
      </c>
    </row>
    <row r="68" spans="6:7">
      <c r="F68" t="e">
        <f>'N.03 截止测试'!#REF!</f>
        <v>#REF!</v>
      </c>
      <c r="G68" t="s">
        <v>394</v>
      </c>
    </row>
    <row r="69" spans="6:7">
      <c r="F69" t="e">
        <f>'N.03 截止测试'!#REF!</f>
        <v>#REF!</v>
      </c>
      <c r="G69" t="s">
        <v>395</v>
      </c>
    </row>
    <row r="70" spans="6:7">
      <c r="F70" t="e">
        <f>'N.03 截止测试'!#REF!</f>
        <v>#REF!</v>
      </c>
      <c r="G70" t="s">
        <v>396</v>
      </c>
    </row>
    <row r="71" spans="6:7">
      <c r="F71" t="e">
        <f>'N.03 截止测试'!#REF!</f>
        <v>#REF!</v>
      </c>
      <c r="G71" t="s">
        <v>397</v>
      </c>
    </row>
    <row r="72" spans="6:7">
      <c r="F72" t="e">
        <f>'N.03 截止测试'!#REF!</f>
        <v>#REF!</v>
      </c>
      <c r="G72" t="s">
        <v>398</v>
      </c>
    </row>
    <row r="73" spans="6:7">
      <c r="F73" t="e">
        <f>'N.03 截止测试'!#REF!</f>
        <v>#REF!</v>
      </c>
      <c r="G73" t="s">
        <v>399</v>
      </c>
    </row>
    <row r="74" spans="6:7">
      <c r="F74" t="e">
        <f>'N.03 截止测试'!#REF!</f>
        <v>#REF!</v>
      </c>
      <c r="G74" t="s">
        <v>400</v>
      </c>
    </row>
    <row r="75" spans="6:7">
      <c r="F75" t="e">
        <f>'N.03 截止测试'!#REF!</f>
        <v>#REF!</v>
      </c>
      <c r="G75" t="s">
        <v>401</v>
      </c>
    </row>
    <row r="76" spans="6:7">
      <c r="F76" t="e">
        <f>'N.03 截止测试'!#REF!</f>
        <v>#REF!</v>
      </c>
      <c r="G76" t="s">
        <v>402</v>
      </c>
    </row>
    <row r="77" spans="6:7">
      <c r="F77" t="e">
        <f>'N.03 截止测试'!#REF!</f>
        <v>#REF!</v>
      </c>
      <c r="G77" t="s">
        <v>403</v>
      </c>
    </row>
    <row r="78" spans="6:7">
      <c r="F78" t="e">
        <f>'N.03 截止测试'!#REF!</f>
        <v>#REF!</v>
      </c>
      <c r="G78" t="s">
        <v>404</v>
      </c>
    </row>
    <row r="79" spans="6:7">
      <c r="F79" t="e">
        <f>'N.03 截止测试'!#REF!</f>
        <v>#REF!</v>
      </c>
      <c r="G79" t="s">
        <v>405</v>
      </c>
    </row>
    <row r="80" spans="6:7">
      <c r="F80" t="e">
        <f>'N.03 截止测试'!#REF!</f>
        <v>#REF!</v>
      </c>
      <c r="G80" t="s">
        <v>406</v>
      </c>
    </row>
    <row r="81" spans="6:7">
      <c r="F81" t="e">
        <f>#REF!</f>
        <v>#REF!</v>
      </c>
      <c r="G81" t="s">
        <v>407</v>
      </c>
    </row>
    <row r="82" spans="6:7">
      <c r="F82" t="e">
        <f>'N.03 截止测试'!#REF!</f>
        <v>#REF!</v>
      </c>
      <c r="G82" t="s">
        <v>408</v>
      </c>
    </row>
    <row r="93" spans="6:7">
      <c r="F93" t="e">
        <f>'N.00 Lead sheet'!#REF!</f>
        <v>#REF!</v>
      </c>
      <c r="G93" t="s">
        <v>409</v>
      </c>
    </row>
    <row r="94" spans="6:7">
      <c r="F94" t="e">
        <f>'N.00 Lead sheet'!#REF!</f>
        <v>#REF!</v>
      </c>
      <c r="G94" t="s">
        <v>410</v>
      </c>
    </row>
    <row r="95" spans="6:7">
      <c r="F95" t="e">
        <f>'N.00 Lead sheet'!#REF!</f>
        <v>#REF!</v>
      </c>
      <c r="G95" t="s">
        <v>411</v>
      </c>
    </row>
    <row r="96" spans="6:7">
      <c r="F96" t="e">
        <f>'N.00 Lead sheet'!#REF!</f>
        <v>#REF!</v>
      </c>
      <c r="G96" t="s">
        <v>412</v>
      </c>
    </row>
    <row r="97" spans="6:7">
      <c r="F97" t="e">
        <f>'N.00 Lead sheet'!#REF!</f>
        <v>#REF!</v>
      </c>
      <c r="G97" t="s">
        <v>413</v>
      </c>
    </row>
    <row r="98" spans="6:7">
      <c r="F98" t="e">
        <f>'N.00 Lead sheet'!#REF!</f>
        <v>#REF!</v>
      </c>
      <c r="G98" t="s">
        <v>414</v>
      </c>
    </row>
    <row r="99" spans="6:7">
      <c r="F99" t="e">
        <f>'N.00 Lead sheet'!#REF!</f>
        <v>#REF!</v>
      </c>
      <c r="G99" t="s">
        <v>415</v>
      </c>
    </row>
    <row r="100" spans="6:7">
      <c r="F100" t="e">
        <f>'N.00 Lead sheet'!#REF!</f>
        <v>#REF!</v>
      </c>
      <c r="G100" t="s">
        <v>416</v>
      </c>
    </row>
    <row r="101" spans="6:7">
      <c r="F101" t="e">
        <f>'N.00 Lead sheet'!#REF!</f>
        <v>#REF!</v>
      </c>
      <c r="G101" t="s">
        <v>417</v>
      </c>
    </row>
    <row r="102" spans="6:7">
      <c r="F102" t="e">
        <f>'N.00 Lead sheet'!#REF!</f>
        <v>#REF!</v>
      </c>
      <c r="G102" t="s">
        <v>418</v>
      </c>
    </row>
  </sheetData>
  <phoneticPr fontId="25"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7BA0-AA2E-482E-9E6E-B9448B252304}">
  <dimension ref="A1:AV8"/>
  <sheetViews>
    <sheetView workbookViewId="0"/>
  </sheetViews>
  <sheetFormatPr defaultRowHeight="14.25"/>
  <cols>
    <col min="17" max="17" width="12.5" bestFit="1" customWidth="1"/>
    <col min="20" max="20" width="8.75" bestFit="1" customWidth="1"/>
    <col min="37" max="37" width="12.5" bestFit="1" customWidth="1"/>
    <col min="40" max="40" width="8.75" bestFit="1" customWidth="1"/>
    <col min="41" max="41" width="12.5" bestFit="1" customWidth="1"/>
    <col min="44" max="44" width="8.75" bestFit="1" customWidth="1"/>
  </cols>
  <sheetData>
    <row r="1" spans="1:48">
      <c r="A1" t="s">
        <v>419</v>
      </c>
      <c r="B1" t="s">
        <v>420</v>
      </c>
      <c r="C1" t="s">
        <v>421</v>
      </c>
      <c r="D1">
        <v>7</v>
      </c>
      <c r="E1">
        <v>1750122331480</v>
      </c>
      <c r="F1" t="s">
        <v>422</v>
      </c>
      <c r="G1" t="s">
        <v>423</v>
      </c>
      <c r="H1">
        <v>0</v>
      </c>
      <c r="I1">
        <v>1751610980233</v>
      </c>
      <c r="J1" t="s">
        <v>424</v>
      </c>
      <c r="K1" t="s">
        <v>425</v>
      </c>
      <c r="L1">
        <v>0</v>
      </c>
      <c r="M1">
        <v>1752894159861</v>
      </c>
      <c r="N1" t="s">
        <v>426</v>
      </c>
      <c r="O1" t="s">
        <v>427</v>
      </c>
      <c r="P1">
        <v>0</v>
      </c>
      <c r="Q1">
        <v>1753064493301</v>
      </c>
      <c r="R1" t="s">
        <v>428</v>
      </c>
      <c r="S1" t="s">
        <v>429</v>
      </c>
      <c r="T1">
        <v>0</v>
      </c>
      <c r="U1">
        <v>1753670870641</v>
      </c>
      <c r="V1" t="s">
        <v>430</v>
      </c>
      <c r="W1" t="s">
        <v>431</v>
      </c>
      <c r="X1">
        <v>0</v>
      </c>
      <c r="Y1">
        <v>1753929300694</v>
      </c>
      <c r="Z1" t="s">
        <v>432</v>
      </c>
      <c r="AA1" t="s">
        <v>433</v>
      </c>
      <c r="AB1">
        <v>0</v>
      </c>
      <c r="AC1">
        <v>1754231570087</v>
      </c>
      <c r="AD1" t="s">
        <v>434</v>
      </c>
      <c r="AE1" t="s">
        <v>435</v>
      </c>
      <c r="AF1">
        <v>0</v>
      </c>
      <c r="AG1">
        <v>1754622215229</v>
      </c>
      <c r="AH1" t="s">
        <v>436</v>
      </c>
      <c r="AI1" t="s">
        <v>437</v>
      </c>
      <c r="AJ1">
        <v>0</v>
      </c>
      <c r="AK1">
        <v>1754908369003</v>
      </c>
      <c r="AL1" t="s">
        <v>438</v>
      </c>
      <c r="AM1" t="s">
        <v>439</v>
      </c>
      <c r="AN1">
        <v>0</v>
      </c>
      <c r="AO1">
        <v>1755583113654</v>
      </c>
      <c r="AP1" t="s">
        <v>440</v>
      </c>
      <c r="AQ1" t="s">
        <v>441</v>
      </c>
      <c r="AR1">
        <v>0</v>
      </c>
      <c r="AS1">
        <v>1755843303948</v>
      </c>
      <c r="AT1" t="s">
        <v>442</v>
      </c>
      <c r="AU1" t="s">
        <v>443</v>
      </c>
      <c r="AV1">
        <v>0</v>
      </c>
    </row>
    <row r="2" spans="1:48">
      <c r="A2">
        <v>1748585561355</v>
      </c>
      <c r="B2" t="s">
        <v>444</v>
      </c>
      <c r="C2" t="s">
        <v>445</v>
      </c>
      <c r="D2" t="s">
        <v>446</v>
      </c>
    </row>
    <row r="3" spans="1:48">
      <c r="A3">
        <v>1748585561356</v>
      </c>
      <c r="B3" t="s">
        <v>444</v>
      </c>
      <c r="C3" t="s">
        <v>447</v>
      </c>
      <c r="D3" t="s">
        <v>448</v>
      </c>
    </row>
    <row r="4" spans="1:48">
      <c r="A4">
        <v>1748585561356</v>
      </c>
      <c r="B4" t="s">
        <v>444</v>
      </c>
      <c r="C4" t="s">
        <v>449</v>
      </c>
      <c r="D4" t="s">
        <v>450</v>
      </c>
    </row>
    <row r="5" spans="1:48">
      <c r="A5">
        <v>1748585561356</v>
      </c>
      <c r="B5" t="s">
        <v>444</v>
      </c>
      <c r="C5" t="s">
        <v>451</v>
      </c>
      <c r="D5" t="s">
        <v>452</v>
      </c>
    </row>
    <row r="6" spans="1:48">
      <c r="A6">
        <v>1748585561356</v>
      </c>
      <c r="B6" t="s">
        <v>444</v>
      </c>
      <c r="C6" t="s">
        <v>453</v>
      </c>
      <c r="D6" t="s">
        <v>454</v>
      </c>
    </row>
    <row r="7" spans="1:48">
      <c r="A7">
        <v>1748585561364</v>
      </c>
      <c r="B7" t="s">
        <v>444</v>
      </c>
      <c r="C7" t="s">
        <v>445</v>
      </c>
      <c r="D7" t="s">
        <v>455</v>
      </c>
    </row>
    <row r="8" spans="1:48">
      <c r="A8">
        <v>1748585561365</v>
      </c>
      <c r="B8" t="s">
        <v>444</v>
      </c>
      <c r="C8" t="s">
        <v>449</v>
      </c>
      <c r="D8" t="s">
        <v>456</v>
      </c>
    </row>
  </sheetData>
  <phoneticPr fontId="2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F7E9-3068-4CC6-88E0-F6814E877A7F}">
  <dimension ref="A1:AV1"/>
  <sheetViews>
    <sheetView workbookViewId="0"/>
  </sheetViews>
  <sheetFormatPr defaultRowHeight="14.25"/>
  <cols>
    <col min="17" max="17" width="12.5" bestFit="1" customWidth="1"/>
    <col min="20" max="20" width="8.75" bestFit="1" customWidth="1"/>
    <col min="37" max="37" width="12.5" bestFit="1" customWidth="1"/>
    <col min="40" max="40" width="8.75" bestFit="1" customWidth="1"/>
    <col min="41" max="41" width="12.5" bestFit="1" customWidth="1"/>
    <col min="44" max="44" width="8.75" bestFit="1" customWidth="1"/>
  </cols>
  <sheetData>
    <row r="1" spans="1:48">
      <c r="A1" t="s">
        <v>457</v>
      </c>
      <c r="B1" t="s">
        <v>420</v>
      </c>
      <c r="C1" t="s">
        <v>421</v>
      </c>
      <c r="D1">
        <v>0</v>
      </c>
      <c r="E1">
        <v>1750122332471</v>
      </c>
      <c r="F1" t="s">
        <v>422</v>
      </c>
      <c r="G1" t="s">
        <v>423</v>
      </c>
      <c r="H1">
        <v>0</v>
      </c>
      <c r="I1">
        <v>1751610980273</v>
      </c>
      <c r="J1" t="s">
        <v>424</v>
      </c>
      <c r="K1" t="s">
        <v>425</v>
      </c>
      <c r="L1">
        <v>0</v>
      </c>
      <c r="M1">
        <v>1752894160249</v>
      </c>
      <c r="N1" t="s">
        <v>426</v>
      </c>
      <c r="O1" t="s">
        <v>427</v>
      </c>
      <c r="P1">
        <v>0</v>
      </c>
      <c r="Q1">
        <v>1753064494156</v>
      </c>
      <c r="R1" t="s">
        <v>428</v>
      </c>
      <c r="S1" t="s">
        <v>429</v>
      </c>
      <c r="T1">
        <v>0</v>
      </c>
      <c r="U1">
        <v>1753670870723</v>
      </c>
      <c r="V1" t="s">
        <v>430</v>
      </c>
      <c r="W1" t="s">
        <v>431</v>
      </c>
      <c r="X1">
        <v>0</v>
      </c>
      <c r="Y1">
        <v>1753929300761</v>
      </c>
      <c r="Z1" t="s">
        <v>432</v>
      </c>
      <c r="AA1" t="s">
        <v>433</v>
      </c>
      <c r="AB1">
        <v>0</v>
      </c>
      <c r="AC1">
        <v>1754231570092</v>
      </c>
      <c r="AD1" t="s">
        <v>434</v>
      </c>
      <c r="AE1" t="s">
        <v>435</v>
      </c>
      <c r="AF1">
        <v>0</v>
      </c>
      <c r="AG1">
        <v>1754622215241</v>
      </c>
      <c r="AH1" t="s">
        <v>436</v>
      </c>
      <c r="AI1" t="s">
        <v>437</v>
      </c>
      <c r="AJ1">
        <v>0</v>
      </c>
      <c r="AK1">
        <v>1754908369170</v>
      </c>
      <c r="AL1" t="s">
        <v>438</v>
      </c>
      <c r="AM1" t="s">
        <v>439</v>
      </c>
      <c r="AN1">
        <v>0</v>
      </c>
      <c r="AO1">
        <v>1755583113685</v>
      </c>
      <c r="AP1" t="s">
        <v>440</v>
      </c>
      <c r="AQ1" t="s">
        <v>441</v>
      </c>
      <c r="AR1">
        <v>0</v>
      </c>
      <c r="AS1">
        <v>1755843304072</v>
      </c>
      <c r="AT1" t="s">
        <v>442</v>
      </c>
      <c r="AU1" t="s">
        <v>443</v>
      </c>
      <c r="AV1">
        <v>0</v>
      </c>
    </row>
  </sheetData>
  <phoneticPr fontId="2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8C88-416C-48E4-AEDD-0198AA6FD8E8}">
  <dimension ref="A1:AV1"/>
  <sheetViews>
    <sheetView workbookViewId="0"/>
  </sheetViews>
  <sheetFormatPr defaultRowHeight="14.25"/>
  <cols>
    <col min="17" max="17" width="12.5" bestFit="1" customWidth="1"/>
    <col min="20" max="20" width="8.75" bestFit="1" customWidth="1"/>
    <col min="37" max="37" width="12.5" bestFit="1" customWidth="1"/>
    <col min="40" max="40" width="8.75" bestFit="1" customWidth="1"/>
    <col min="41" max="41" width="12.5" bestFit="1" customWidth="1"/>
    <col min="44" max="44" width="8.75" bestFit="1" customWidth="1"/>
  </cols>
  <sheetData>
    <row r="1" spans="1:48">
      <c r="A1" t="s">
        <v>458</v>
      </c>
      <c r="B1" t="s">
        <v>420</v>
      </c>
      <c r="C1" t="s">
        <v>421</v>
      </c>
      <c r="D1">
        <v>0</v>
      </c>
      <c r="E1">
        <v>1750122332538</v>
      </c>
      <c r="F1" t="s">
        <v>422</v>
      </c>
      <c r="G1" t="s">
        <v>423</v>
      </c>
      <c r="H1">
        <v>0</v>
      </c>
      <c r="I1">
        <v>1751610980289</v>
      </c>
      <c r="J1" t="s">
        <v>424</v>
      </c>
      <c r="K1" t="s">
        <v>425</v>
      </c>
      <c r="L1">
        <v>0</v>
      </c>
      <c r="M1">
        <v>1752894160287</v>
      </c>
      <c r="N1" t="s">
        <v>426</v>
      </c>
      <c r="O1" t="s">
        <v>427</v>
      </c>
      <c r="P1">
        <v>0</v>
      </c>
      <c r="Q1">
        <v>1753064494161</v>
      </c>
      <c r="R1" t="s">
        <v>428</v>
      </c>
      <c r="S1" t="s">
        <v>429</v>
      </c>
      <c r="T1">
        <v>0</v>
      </c>
      <c r="U1">
        <v>1753670871023</v>
      </c>
      <c r="V1" t="s">
        <v>430</v>
      </c>
      <c r="W1" t="s">
        <v>431</v>
      </c>
      <c r="X1">
        <v>0</v>
      </c>
      <c r="Y1">
        <v>1753929300911</v>
      </c>
      <c r="Z1" t="s">
        <v>432</v>
      </c>
      <c r="AA1" t="s">
        <v>433</v>
      </c>
      <c r="AB1">
        <v>0</v>
      </c>
      <c r="AC1">
        <v>1754231570092</v>
      </c>
      <c r="AD1" t="s">
        <v>434</v>
      </c>
      <c r="AE1" t="s">
        <v>435</v>
      </c>
      <c r="AF1">
        <v>0</v>
      </c>
      <c r="AG1">
        <v>1754622215247</v>
      </c>
      <c r="AH1" t="s">
        <v>436</v>
      </c>
      <c r="AI1" t="s">
        <v>437</v>
      </c>
      <c r="AJ1">
        <v>0</v>
      </c>
      <c r="AK1">
        <v>1754908369250</v>
      </c>
      <c r="AL1" t="s">
        <v>438</v>
      </c>
      <c r="AM1" t="s">
        <v>439</v>
      </c>
      <c r="AN1">
        <v>0</v>
      </c>
      <c r="AO1">
        <v>1755583113715</v>
      </c>
      <c r="AP1" t="s">
        <v>440</v>
      </c>
      <c r="AQ1" t="s">
        <v>441</v>
      </c>
      <c r="AR1">
        <v>0</v>
      </c>
      <c r="AS1">
        <v>1755843304383</v>
      </c>
      <c r="AT1" t="s">
        <v>442</v>
      </c>
      <c r="AU1" t="s">
        <v>443</v>
      </c>
      <c r="AV1">
        <v>0</v>
      </c>
    </row>
  </sheetData>
  <phoneticPr fontId="2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301F-13C1-4DB3-B305-E8BC954382FE}">
  <dimension ref="A1:AV1"/>
  <sheetViews>
    <sheetView workbookViewId="0"/>
  </sheetViews>
  <sheetFormatPr defaultRowHeight="14.25"/>
  <cols>
    <col min="17" max="17" width="12.5" bestFit="1" customWidth="1"/>
    <col min="20" max="20" width="8.75" bestFit="1" customWidth="1"/>
    <col min="37" max="37" width="12.5" bestFit="1" customWidth="1"/>
    <col min="40" max="40" width="8.75" bestFit="1" customWidth="1"/>
    <col min="41" max="41" width="12.5" bestFit="1" customWidth="1"/>
    <col min="44" max="44" width="8.75" bestFit="1" customWidth="1"/>
  </cols>
  <sheetData>
    <row r="1" spans="1:48">
      <c r="A1" t="s">
        <v>459</v>
      </c>
      <c r="B1" t="s">
        <v>420</v>
      </c>
      <c r="C1" t="s">
        <v>421</v>
      </c>
      <c r="D1">
        <v>0</v>
      </c>
      <c r="E1">
        <v>1750122332595</v>
      </c>
      <c r="F1" t="s">
        <v>422</v>
      </c>
      <c r="G1" t="s">
        <v>423</v>
      </c>
      <c r="H1">
        <v>0</v>
      </c>
      <c r="I1">
        <v>1751610980319</v>
      </c>
      <c r="J1" t="s">
        <v>424</v>
      </c>
      <c r="K1" t="s">
        <v>425</v>
      </c>
      <c r="L1">
        <v>0</v>
      </c>
      <c r="M1">
        <v>1752894160338</v>
      </c>
      <c r="N1" t="s">
        <v>426</v>
      </c>
      <c r="O1" t="s">
        <v>427</v>
      </c>
      <c r="P1">
        <v>0</v>
      </c>
      <c r="Q1">
        <v>1753064494176</v>
      </c>
      <c r="R1" t="s">
        <v>428</v>
      </c>
      <c r="S1" t="s">
        <v>429</v>
      </c>
      <c r="T1">
        <v>0</v>
      </c>
      <c r="U1">
        <v>1753670871031</v>
      </c>
      <c r="V1" t="s">
        <v>430</v>
      </c>
      <c r="W1" t="s">
        <v>431</v>
      </c>
      <c r="X1">
        <v>0</v>
      </c>
      <c r="Y1">
        <v>1753929300911</v>
      </c>
      <c r="Z1" t="s">
        <v>432</v>
      </c>
      <c r="AA1" t="s">
        <v>433</v>
      </c>
      <c r="AB1">
        <v>0</v>
      </c>
      <c r="AC1">
        <v>1754231570092</v>
      </c>
      <c r="AD1" t="s">
        <v>434</v>
      </c>
      <c r="AE1" t="s">
        <v>435</v>
      </c>
      <c r="AF1">
        <v>0</v>
      </c>
      <c r="AG1">
        <v>1754622215250</v>
      </c>
      <c r="AH1" t="s">
        <v>436</v>
      </c>
      <c r="AI1" t="s">
        <v>437</v>
      </c>
      <c r="AJ1">
        <v>0</v>
      </c>
      <c r="AK1">
        <v>1754908369338</v>
      </c>
      <c r="AL1" t="s">
        <v>438</v>
      </c>
      <c r="AM1" t="s">
        <v>439</v>
      </c>
      <c r="AN1">
        <v>0</v>
      </c>
      <c r="AO1">
        <v>1755583113752</v>
      </c>
      <c r="AP1" t="s">
        <v>440</v>
      </c>
      <c r="AQ1" t="s">
        <v>441</v>
      </c>
      <c r="AR1">
        <v>0</v>
      </c>
      <c r="AS1">
        <v>1755843304394</v>
      </c>
      <c r="AT1" t="s">
        <v>442</v>
      </c>
      <c r="AU1" t="s">
        <v>443</v>
      </c>
      <c r="AV1">
        <v>0</v>
      </c>
    </row>
  </sheetData>
  <phoneticPr fontId="2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datasnipper xmlns="http://datasnipperlegacy" workbookId="2467d5f5-7552-4c0e-859f-558468e903dc" dataSnipperSheetDeleted="false" guid="e2885367-bf5f-4b15-874c-74c75ddb9e15" revision="2">
  <settings xmlns="" guid="643961f2-9105-4d04-8e34-9e3bc242871b">
    <setting type="boolean" value="True" name="embed-documents" guid="99bc8234-fc58-4b5d-8075-7ea010fd10ec"/>
  </settings>
</datasnipper>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datasnipper xmlns="http://datasnipper" xmlMigrated="true" guid="54e060ad-fa37-412b-9665-f3c43b719a70" revision="3"/>
</file>

<file path=customXml/itemProps1.xml><?xml version="1.0" encoding="utf-8"?>
<ds:datastoreItem xmlns:ds="http://schemas.openxmlformats.org/officeDocument/2006/customXml" ds:itemID="{B82A8A3A-7894-4663-9030-12CEC61881F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498EAB2-280D-44AC-8574-E9E50E1164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ADA854-7591-47B3-A4B4-800E97856C9A}">
  <ds:schemaRefs>
    <ds:schemaRef ds:uri="http://datasnipperlegacy"/>
    <ds:schemaRef ds:uri=""/>
  </ds:schemaRefs>
</ds:datastoreItem>
</file>

<file path=customXml/itemProps4.xml><?xml version="1.0" encoding="utf-8"?>
<ds:datastoreItem xmlns:ds="http://schemas.openxmlformats.org/officeDocument/2006/customXml" ds:itemID="{FCCC291B-C9D7-44A2-A7F8-AEBB36E4B26B}">
  <ds:schemaRefs>
    <ds:schemaRef ds:uri="http://schemas.microsoft.com/sharepoint/v3/contenttype/forms"/>
  </ds:schemaRefs>
</ds:datastoreItem>
</file>

<file path=customXml/itemProps5.xml><?xml version="1.0" encoding="utf-8"?>
<ds:datastoreItem xmlns:ds="http://schemas.openxmlformats.org/officeDocument/2006/customXml" ds:itemID="{774ACE4C-64B8-4C95-B278-7D8B4143178F}">
  <ds:schemaRefs>
    <ds:schemaRef ds:uri="http://datasnipp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汇总</vt:lpstr>
      <vt:lpstr>N.00 Lead sheet</vt:lpstr>
      <vt:lpstr>N.01 明细账与总账核对</vt:lpstr>
      <vt:lpstr>N.01.01明细账</vt:lpstr>
      <vt:lpstr>N.02 异常项复核</vt:lpstr>
      <vt:lpstr>N.03 截止测试</vt:lpstr>
      <vt:lpstr>N.04 寻找未入账负债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Skywind_N_应付账款_20191231_测试账套穿透模板1.xlsx</dc:title>
  <dc:subject/>
  <dc:creator>Helen HL Qiao</dc:creator>
  <cp:keywords>Final Audit.V6.N.0901</cp:keywords>
  <dc:description>10124938-818F-4C5F-A38C-5EC3345A3A16</dc:description>
  <cp:lastModifiedBy>Dan Y Yao</cp:lastModifiedBy>
  <cp:revision/>
  <dcterms:created xsi:type="dcterms:W3CDTF">2019-08-16T09:12:00Z</dcterms:created>
  <dcterms:modified xsi:type="dcterms:W3CDTF">2025-09-22T06:02:35Z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DAB51CA01B73440982348705B3F4B6B0</vt:lpwstr>
  </property>
  <property fmtid="{D5CDD505-2E9C-101B-9397-08002B2CF9AE}" pid="4" name="KSOProductBuildVer">
    <vt:lpwstr>2052-11.1.0.12358</vt:lpwstr>
  </property>
</Properties>
</file>
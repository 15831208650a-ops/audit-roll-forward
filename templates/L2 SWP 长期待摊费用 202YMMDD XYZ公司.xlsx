
<file path=[Content_Types].xml><?xml version="1.0" encoding="utf-8"?>
<Types xmlns="http://schemas.openxmlformats.org/package/2006/content-types">
  <Default Extension="bin" ContentType="application/vnd.openxmlformats-officedocument.spreadsheetml.printerSettings"/>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microsoft.com/office/2006/relationships/ui/extensibility" Target="customUI/customUI.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03"/>
  <workbookPr codeName="ThisWorkbook"/>
  <mc:AlternateContent xmlns:mc="http://schemas.openxmlformats.org/markup-compatibility/2006">
    <mc:Choice Requires="x15">
      <x15ac:absPath xmlns:x15ac="http://schemas.microsoft.com/office/spreadsheetml/2010/11/ac" url="C:\Users\EQ877NU\Desktop\GC knowledge center - 标准审计底稿模板第五版-使用版\"/>
    </mc:Choice>
  </mc:AlternateContent>
  <xr:revisionPtr revIDLastSave="2" documentId="13_ncr:1_{F2FF7420-86F2-42CE-8A2D-306E883C4FCD}" xr6:coauthVersionLast="47" xr6:coauthVersionMax="47" xr10:uidLastSave="{7288F8CD-32FC-426D-A8B6-2267356B6E1F}"/>
  <bookViews>
    <workbookView xWindow="-120" yWindow="-120" windowWidth="29040" windowHeight="15840" tabRatio="875" firstSheet="1" activeTab="1" xr2:uid="{00000000-000D-0000-FFFF-FFFF00000000}"/>
  </bookViews>
  <sheets>
    <sheet name="SkywindSettingSheet" sheetId="177" state="veryHidden" r:id="rId1"/>
    <sheet name="汇总" sheetId="194" r:id="rId2"/>
    <sheet name="L2.00 Lead" sheetId="201" r:id="rId3"/>
    <sheet name="L2.01.1 BKD" sheetId="196" r:id="rId4"/>
    <sheet name="L2.02.1存在性测试" sheetId="197" r:id="rId5"/>
    <sheet name="L2.02.1a 选样输出" sheetId="204" r:id="rId6"/>
  </sheets>
  <definedNames>
    <definedName name="_____dod1" localSheetId="2" hidden="1">{#N/A,#N/A,TRUE,"CPRD";#N/A,#N/A,TRUE,"BCCPDR";#N/A,#N/A,TRUE,"EWRD";#N/A,#N/A,TRUE,"5100";#N/A,#N/A,TRUE,"5110"}</definedName>
    <definedName name="_____dod1" localSheetId="3" hidden="1">{#N/A,#N/A,TRUE,"CPRD";#N/A,#N/A,TRUE,"BCCPDR";#N/A,#N/A,TRUE,"EWRD";#N/A,#N/A,TRUE,"5100";#N/A,#N/A,TRUE,"5110"}</definedName>
    <definedName name="_____dod1" localSheetId="1" hidden="1">{#N/A,#N/A,TRUE,"CPRD";#N/A,#N/A,TRUE,"BCCPDR";#N/A,#N/A,TRUE,"EWRD";#N/A,#N/A,TRUE,"5100";#N/A,#N/A,TRUE,"5110"}</definedName>
    <definedName name="_____dod1" hidden="1">{#N/A,#N/A,TRUE,"CPRD";#N/A,#N/A,TRUE,"BCCPDR";#N/A,#N/A,TRUE,"EWRD";#N/A,#N/A,TRUE,"5100";#N/A,#N/A,TRUE,"5110"}</definedName>
    <definedName name="____dod1" localSheetId="2" hidden="1">{#N/A,#N/A,TRUE,"CPRD";#N/A,#N/A,TRUE,"BCCPDR";#N/A,#N/A,TRUE,"EWRD";#N/A,#N/A,TRUE,"5100";#N/A,#N/A,TRUE,"5110"}</definedName>
    <definedName name="____dod1" localSheetId="3" hidden="1">{#N/A,#N/A,TRUE,"CPRD";#N/A,#N/A,TRUE,"BCCPDR";#N/A,#N/A,TRUE,"EWRD";#N/A,#N/A,TRUE,"5100";#N/A,#N/A,TRUE,"5110"}</definedName>
    <definedName name="____dod1" localSheetId="1" hidden="1">{#N/A,#N/A,TRUE,"CPRD";#N/A,#N/A,TRUE,"BCCPDR";#N/A,#N/A,TRUE,"EWRD";#N/A,#N/A,TRUE,"5100";#N/A,#N/A,TRUE,"5110"}</definedName>
    <definedName name="____dod1" hidden="1">{#N/A,#N/A,TRUE,"CPRD";#N/A,#N/A,TRUE,"BCCPDR";#N/A,#N/A,TRUE,"EWRD";#N/A,#N/A,TRUE,"5100";#N/A,#N/A,TRUE,"5110"}</definedName>
    <definedName name="___dod1" localSheetId="2" hidden="1">{#N/A,#N/A,TRUE,"CPRD";#N/A,#N/A,TRUE,"BCCPDR";#N/A,#N/A,TRUE,"EWRD";#N/A,#N/A,TRUE,"5100";#N/A,#N/A,TRUE,"5110"}</definedName>
    <definedName name="___dod1" localSheetId="3" hidden="1">{#N/A,#N/A,TRUE,"CPRD";#N/A,#N/A,TRUE,"BCCPDR";#N/A,#N/A,TRUE,"EWRD";#N/A,#N/A,TRUE,"5100";#N/A,#N/A,TRUE,"5110"}</definedName>
    <definedName name="___dod1" localSheetId="1" hidden="1">{#N/A,#N/A,TRUE,"CPRD";#N/A,#N/A,TRUE,"BCCPDR";#N/A,#N/A,TRUE,"EWRD";#N/A,#N/A,TRUE,"5100";#N/A,#N/A,TRUE,"5110"}</definedName>
    <definedName name="___dod1" hidden="1">{#N/A,#N/A,TRUE,"CPRD";#N/A,#N/A,TRUE,"BCCPDR";#N/A,#N/A,TRUE,"EWRD";#N/A,#N/A,TRUE,"5100";#N/A,#N/A,TRUE,"5110"}</definedName>
    <definedName name="___dog1" localSheetId="2" hidden="1">{#N/A,#N/A,TRUE,"CPRD";#N/A,#N/A,TRUE,"BCCPDR";#N/A,#N/A,TRUE,"EWRD";#N/A,#N/A,TRUE,"5100";#N/A,#N/A,TRUE,"5110"}</definedName>
    <definedName name="___dog1" localSheetId="3" hidden="1">{#N/A,#N/A,TRUE,"CPRD";#N/A,#N/A,TRUE,"BCCPDR";#N/A,#N/A,TRUE,"EWRD";#N/A,#N/A,TRUE,"5100";#N/A,#N/A,TRUE,"5110"}</definedName>
    <definedName name="___dog1" localSheetId="1" hidden="1">{#N/A,#N/A,TRUE,"CPRD";#N/A,#N/A,TRUE,"BCCPDR";#N/A,#N/A,TRUE,"EWRD";#N/A,#N/A,TRUE,"5100";#N/A,#N/A,TRUE,"5110"}</definedName>
    <definedName name="___dog1" hidden="1">{#N/A,#N/A,TRUE,"CPRD";#N/A,#N/A,TRUE,"BCCPDR";#N/A,#N/A,TRUE,"EWRD";#N/A,#N/A,TRUE,"5100";#N/A,#N/A,TRUE,"5110"}</definedName>
    <definedName name="__123Graph_A" localSheetId="2" hidden="1">#REF!</definedName>
    <definedName name="__123Graph_A" hidden="1">#REF!</definedName>
    <definedName name="__123Graph_AGraph1" localSheetId="2" hidden="1">#REF!</definedName>
    <definedName name="__123Graph_AGraph1" hidden="1">#REF!</definedName>
    <definedName name="__123Graph_B" localSheetId="2" hidden="1">#REF!</definedName>
    <definedName name="__123Graph_B" hidden="1">#REF!</definedName>
    <definedName name="__123Graph_BGraph1" localSheetId="2" hidden="1">#REF!</definedName>
    <definedName name="__123Graph_BGraph1" hidden="1">#REF!</definedName>
    <definedName name="__123Graph_C" localSheetId="2" hidden="1">#REF!</definedName>
    <definedName name="__123Graph_C" hidden="1">#REF!</definedName>
    <definedName name="__123Graph_CGraph1" localSheetId="2" hidden="1">#REF!</definedName>
    <definedName name="__123Graph_CGraph1" hidden="1">#REF!</definedName>
    <definedName name="__123Graph_D" localSheetId="2" hidden="1">#REF!</definedName>
    <definedName name="__123Graph_D" hidden="1">#REF!</definedName>
    <definedName name="__123Graph_DGraph1" localSheetId="2" hidden="1">#REF!</definedName>
    <definedName name="__123Graph_DGraph1" hidden="1">#REF!</definedName>
    <definedName name="__123Graph_E" localSheetId="2" hidden="1">#REF!</definedName>
    <definedName name="__123Graph_E" hidden="1">#REF!</definedName>
    <definedName name="__123Graph_EGraph1" localSheetId="2" hidden="1">#REF!</definedName>
    <definedName name="__123Graph_EGraph1" hidden="1">#REF!</definedName>
    <definedName name="__123Graph_X" hidden="1">#REF!</definedName>
    <definedName name="__123Graph_XGraph1" hidden="1">#REF!</definedName>
    <definedName name="__dod1" localSheetId="2" hidden="1">{#N/A,#N/A,TRUE,"CPRD";#N/A,#N/A,TRUE,"BCCPDR";#N/A,#N/A,TRUE,"EWRD";#N/A,#N/A,TRUE,"5100";#N/A,#N/A,TRUE,"5110"}</definedName>
    <definedName name="__dod1" localSheetId="3" hidden="1">{#N/A,#N/A,TRUE,"CPRD";#N/A,#N/A,TRUE,"BCCPDR";#N/A,#N/A,TRUE,"EWRD";#N/A,#N/A,TRUE,"5100";#N/A,#N/A,TRUE,"5110"}</definedName>
    <definedName name="__dod1" localSheetId="1" hidden="1">{#N/A,#N/A,TRUE,"CPRD";#N/A,#N/A,TRUE,"BCCPDR";#N/A,#N/A,TRUE,"EWRD";#N/A,#N/A,TRUE,"5100";#N/A,#N/A,TRUE,"5110"}</definedName>
    <definedName name="__dod1" hidden="1">{#N/A,#N/A,TRUE,"CPRD";#N/A,#N/A,TRUE,"BCCPDR";#N/A,#N/A,TRUE,"EWRD";#N/A,#N/A,TRUE,"5100";#N/A,#N/A,TRUE,"5110"}</definedName>
    <definedName name="__dog1" localSheetId="2" hidden="1">{#N/A,#N/A,TRUE,"CPRD";#N/A,#N/A,TRUE,"BCCPDR";#N/A,#N/A,TRUE,"EWRD";#N/A,#N/A,TRUE,"5100";#N/A,#N/A,TRUE,"5110"}</definedName>
    <definedName name="__dog1" localSheetId="3" hidden="1">{#N/A,#N/A,TRUE,"CPRD";#N/A,#N/A,TRUE,"BCCPDR";#N/A,#N/A,TRUE,"EWRD";#N/A,#N/A,TRUE,"5100";#N/A,#N/A,TRUE,"5110"}</definedName>
    <definedName name="__dog1" localSheetId="1" hidden="1">{#N/A,#N/A,TRUE,"CPRD";#N/A,#N/A,TRUE,"BCCPDR";#N/A,#N/A,TRUE,"EWRD";#N/A,#N/A,TRUE,"5100";#N/A,#N/A,TRUE,"5110"}</definedName>
    <definedName name="__dog1" hidden="1">{#N/A,#N/A,TRUE,"CPRD";#N/A,#N/A,TRUE,"BCCPDR";#N/A,#N/A,TRUE,"EWRD";#N/A,#N/A,TRUE,"5100";#N/A,#N/A,TRUE,"5110"}</definedName>
    <definedName name="__IntlFixup" hidden="1">TRUE</definedName>
    <definedName name="_dod1" localSheetId="2" hidden="1">{#N/A,#N/A,TRUE,"CPRD";#N/A,#N/A,TRUE,"BCCPDR";#N/A,#N/A,TRUE,"EWRD";#N/A,#N/A,TRUE,"5100";#N/A,#N/A,TRUE,"5110"}</definedName>
    <definedName name="_dod1" localSheetId="3" hidden="1">{#N/A,#N/A,TRUE,"CPRD";#N/A,#N/A,TRUE,"BCCPDR";#N/A,#N/A,TRUE,"EWRD";#N/A,#N/A,TRUE,"5100";#N/A,#N/A,TRUE,"5110"}</definedName>
    <definedName name="_dod1" localSheetId="1" hidden="1">{#N/A,#N/A,TRUE,"CPRD";#N/A,#N/A,TRUE,"BCCPDR";#N/A,#N/A,TRUE,"EWRD";#N/A,#N/A,TRUE,"5100";#N/A,#N/A,TRUE,"5110"}</definedName>
    <definedName name="_dod1" hidden="1">{#N/A,#N/A,TRUE,"CPRD";#N/A,#N/A,TRUE,"BCCPDR";#N/A,#N/A,TRUE,"EWRD";#N/A,#N/A,TRUE,"5100";#N/A,#N/A,TRUE,"5110"}</definedName>
    <definedName name="_dog1" localSheetId="2" hidden="1">{#N/A,#N/A,TRUE,"CPRD";#N/A,#N/A,TRUE,"BCCPDR";#N/A,#N/A,TRUE,"EWRD";#N/A,#N/A,TRUE,"5100";#N/A,#N/A,TRUE,"5110"}</definedName>
    <definedName name="_dog1" localSheetId="3" hidden="1">{#N/A,#N/A,TRUE,"CPRD";#N/A,#N/A,TRUE,"BCCPDR";#N/A,#N/A,TRUE,"EWRD";#N/A,#N/A,TRUE,"5100";#N/A,#N/A,TRUE,"5110"}</definedName>
    <definedName name="_dog1" localSheetId="1" hidden="1">{#N/A,#N/A,TRUE,"CPRD";#N/A,#N/A,TRUE,"BCCPDR";#N/A,#N/A,TRUE,"EWRD";#N/A,#N/A,TRUE,"5100";#N/A,#N/A,TRUE,"5110"}</definedName>
    <definedName name="_dog1" hidden="1">{#N/A,#N/A,TRUE,"CPRD";#N/A,#N/A,TRUE,"BCCPDR";#N/A,#N/A,TRUE,"EWRD";#N/A,#N/A,TRUE,"5100";#N/A,#N/A,TRUE,"5110"}</definedName>
    <definedName name="_Fill" localSheetId="2" hidden="1">#REF!</definedName>
    <definedName name="_Fill" hidden="1">#REF!</definedName>
    <definedName name="_xlnm._FilterDatabase" localSheetId="2" hidden="1">#REF!</definedName>
    <definedName name="_xlnm._FilterDatabase" localSheetId="3" hidden="1">#REF!</definedName>
    <definedName name="_xlnm._FilterDatabase" localSheetId="1" hidden="1">#REF!</definedName>
    <definedName name="_xlnm._FilterDatabase" hidden="1">#REF!</definedName>
    <definedName name="_Key1" localSheetId="2" hidden="1">#REF!</definedName>
    <definedName name="_Key1" localSheetId="3" hidden="1">#REF!</definedName>
    <definedName name="_Key1" localSheetId="1" hidden="1">#REF!</definedName>
    <definedName name="_Key1" hidden="1">#REF!</definedName>
    <definedName name="_Key2" localSheetId="2" hidden="1">#REF!</definedName>
    <definedName name="_Key2" hidden="1">#REF!</definedName>
    <definedName name="_Order1" hidden="1">255</definedName>
    <definedName name="_Order2" hidden="1">255</definedName>
    <definedName name="_Sort" localSheetId="2" hidden="1">#REF!</definedName>
    <definedName name="_Sort" localSheetId="3" hidden="1">#REF!</definedName>
    <definedName name="_Sort" localSheetId="1" hidden="1">#REF!</definedName>
    <definedName name="_Sort" hidden="1">#REF!</definedName>
    <definedName name="adas" localSheetId="2" hidden="1">{"M1Print",#N/A,TRUE,"M1";"M2Print",#N/A,TRUE,"M2";"M1sPrint",#N/A,TRUE,"M1s";"M2aPrint",#N/A,TRUE,"M2a";"M4Print",#N/A,TRUE,"M4";"M5Print",#N/A,TRUE,"M5";"M6Print",#N/A,TRUE,"M6";"M6_1Print",#N/A,TRUE,"M6_1";"M6_2Print",#N/A,TRUE,"M6_2";"M7_1Print",#N/A,TRUE,"M7_1";"M7_2Print",#N/A,TRUE,"M7_2"}</definedName>
    <definedName name="adas" localSheetId="3" hidden="1">{"M1Print",#N/A,TRUE,"M1";"M2Print",#N/A,TRUE,"M2";"M1sPrint",#N/A,TRUE,"M1s";"M2aPrint",#N/A,TRUE,"M2a";"M4Print",#N/A,TRUE,"M4";"M5Print",#N/A,TRUE,"M5";"M6Print",#N/A,TRUE,"M6";"M6_1Print",#N/A,TRUE,"M6_1";"M6_2Print",#N/A,TRUE,"M6_2";"M7_1Print",#N/A,TRUE,"M7_1";"M7_2Print",#N/A,TRUE,"M7_2"}</definedName>
    <definedName name="adas" localSheetId="1"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ass" localSheetId="2" hidden="1">{#N/A,#N/A,TRUE,"CPRD";#N/A,#N/A,TRUE,"BCCPDR";#N/A,#N/A,TRUE,"EWRD";#N/A,#N/A,TRUE,"5100";#N/A,#N/A,TRUE,"5110"}</definedName>
    <definedName name="ass" localSheetId="3" hidden="1">{#N/A,#N/A,TRUE,"CPRD";#N/A,#N/A,TRUE,"BCCPDR";#N/A,#N/A,TRUE,"EWRD";#N/A,#N/A,TRUE,"5100";#N/A,#N/A,TRUE,"5110"}</definedName>
    <definedName name="ass" localSheetId="1" hidden="1">{#N/A,#N/A,TRUE,"CPRD";#N/A,#N/A,TRUE,"BCCPDR";#N/A,#N/A,TRUE,"EWRD";#N/A,#N/A,TRUE,"5100";#N/A,#N/A,TRUE,"5110"}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ashflow20030930" localSheetId="3" hidden="1">{"M1Print",#N/A,TRUE,"M1";"M2Print",#N/A,TRUE,"M2";"M1sPrint",#N/A,TRUE,"M1s";"M2aPrint",#N/A,TRUE,"M2a";"M4Print",#N/A,TRUE,"M4";"M5Print",#N/A,TRUE,"M5";"M6Print",#N/A,TRUE,"M6";"M6_1Print",#N/A,TRUE,"M6_1";"M6_2Print",#N/A,TRUE,"M6_2";"M7_1Print",#N/A,TRUE,"M7_1";"M7_2Print",#N/A,TRUE,"M7_2"}</definedName>
    <definedName name="cashflow20030930" localSheetId="1"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ddd" localSheetId="3" hidden="1">{#N/A,#N/A,TRUE,"CPRD";#N/A,#N/A,TRUE,"BCCPDR";#N/A,#N/A,TRUE,"EWRD";#N/A,#N/A,TRUE,"5100";#N/A,#N/A,TRUE,"5110"}</definedName>
    <definedName name="doddd" localSheetId="1" hidden="1">{#N/A,#N/A,TRUE,"CPRD";#N/A,#N/A,TRUE,"BCCPDR";#N/A,#N/A,TRUE,"EWRD";#N/A,#N/A,TRUE,"5100";#N/A,#N/A,TRUE,"5110"}</definedName>
    <definedName name="doddd" hidden="1">{#N/A,#N/A,TRUE,"CPRD";#N/A,#N/A,TRUE,"BCCPDR";#N/A,#N/A,TRUE,"EWRD";#N/A,#N/A,TRUE,"5100";#N/A,#N/A,TRUE,"5110"}</definedName>
    <definedName name="dog" localSheetId="2" hidden="1">{#N/A,#N/A,TRUE,"CPRD";#N/A,#N/A,TRUE,"BCCPDR";#N/A,#N/A,TRUE,"EWRD";#N/A,#N/A,TRUE,"5100";#N/A,#N/A,TRUE,"5110"}</definedName>
    <definedName name="dog" localSheetId="3" hidden="1">{#N/A,#N/A,TRUE,"CPRD";#N/A,#N/A,TRUE,"BCCPDR";#N/A,#N/A,TRUE,"EWRD";#N/A,#N/A,TRUE,"5100";#N/A,#N/A,TRUE,"5110"}</definedName>
    <definedName name="dog" localSheetId="1"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localSheetId="2" hidden="1">{#N/A,#N/A,TRUE,"CPRD";#N/A,#N/A,TRUE,"BCCPDR";#N/A,#N/A,TRUE,"EWRD";#N/A,#N/A,TRUE,"5100";#N/A,#N/A,TRUE,"5110"}</definedName>
    <definedName name="ExpenseUpload" localSheetId="3" hidden="1">{#N/A,#N/A,TRUE,"CPRD";#N/A,#N/A,TRUE,"BCCPDR";#N/A,#N/A,TRUE,"EWRD";#N/A,#N/A,TRUE,"5100";#N/A,#N/A,TRUE,"5110"}</definedName>
    <definedName name="ExpenseUpload" localSheetId="1" hidden="1">{#N/A,#N/A,TRUE,"CPRD";#N/A,#N/A,TRUE,"BCCPDR";#N/A,#N/A,TRUE,"EWRD";#N/A,#N/A,TRUE,"5100";#N/A,#N/A,TRUE,"5110"}</definedName>
    <definedName name="ExpenseUpload" hidden="1">{#N/A,#N/A,TRUE,"CPRD";#N/A,#N/A,TRUE,"BCCPDR";#N/A,#N/A,TRUE,"EWRD";#N/A,#N/A,TRUE,"5100";#N/A,#N/A,TRUE,"5110"}</definedName>
    <definedName name="feedback" hidden="1">{#N/A,#N/A,TRUE,"CPRD";#N/A,#N/A,TRUE,"BCCPDR";#N/A,#N/A,TRUE,"EWRD";#N/A,#N/A,TRUE,"5100";#N/A,#N/A,TRUE,"5110"}</definedName>
    <definedName name="HdctTrnd" localSheetId="2" hidden="1">{#N/A,#N/A,TRUE,"CPRD";#N/A,#N/A,TRUE,"BCCPDR";#N/A,#N/A,TRUE,"EWRD";#N/A,#N/A,TRUE,"5100";#N/A,#N/A,TRUE,"5110"}</definedName>
    <definedName name="HdctTrnd" localSheetId="3" hidden="1">{#N/A,#N/A,TRUE,"CPRD";#N/A,#N/A,TRUE,"BCCPDR";#N/A,#N/A,TRUE,"EWRD";#N/A,#N/A,TRUE,"5100";#N/A,#N/A,TRUE,"5110"}</definedName>
    <definedName name="HdctTrnd" localSheetId="1" hidden="1">{#N/A,#N/A,TRUE,"CPRD";#N/A,#N/A,TRUE,"BCCPDR";#N/A,#N/A,TRUE,"EWRD";#N/A,#N/A,TRUE,"5100";#N/A,#N/A,TRUE,"5110"}</definedName>
    <definedName name="HdctTrnd" hidden="1">{#N/A,#N/A,TRUE,"CPRD";#N/A,#N/A,TRUE,"BCCPDR";#N/A,#N/A,TRUE,"EWRD";#N/A,#N/A,TRUE,"5100";#N/A,#N/A,TRUE,"5110"}</definedName>
    <definedName name="HTML_CodePage" hidden="1">1252</definedName>
    <definedName name="HTML_Control" localSheetId="2" hidden="1">{"'Vxxe_times_J750 (2)'!$A$3:$E$14"}</definedName>
    <definedName name="HTML_Control" localSheetId="3" hidden="1">{"'Vxxe_times_J750 (2)'!$A$3:$E$14"}</definedName>
    <definedName name="HTML_Control" localSheetId="1"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"06/27/2022 08:50:24"</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localSheetId="2" hidden="1">{#N/A,#N/A,TRUE,"CPRD";#N/A,#N/A,TRUE,"BCCPDR";#N/A,#N/A,TRUE,"EWRD";#N/A,#N/A,TRUE,"5100";#N/A,#N/A,TRUE,"5110"}</definedName>
    <definedName name="notused" localSheetId="3" hidden="1">{#N/A,#N/A,TRUE,"CPRD";#N/A,#N/A,TRUE,"BCCPDR";#N/A,#N/A,TRUE,"EWRD";#N/A,#N/A,TRUE,"5100";#N/A,#N/A,TRUE,"5110"}</definedName>
    <definedName name="notused" localSheetId="1" hidden="1">{#N/A,#N/A,TRUE,"CPRD";#N/A,#N/A,TRUE,"BCCPDR";#N/A,#N/A,TRUE,"EWRD";#N/A,#N/A,TRUE,"5100";#N/A,#N/A,TRUE,"5110"}</definedName>
    <definedName name="notused" hidden="1">{#N/A,#N/A,TRUE,"CPRD";#N/A,#N/A,TRUE,"BCCPDR";#N/A,#N/A,TRUE,"EWRD";#N/A,#N/A,TRUE,"5100";#N/A,#N/A,TRUE,"5110"}</definedName>
    <definedName name="qwertyuiopasdfghjkl" localSheetId="2" hidden="1">{"M2aPrint",#N/A,FALSE,"M2a"}</definedName>
    <definedName name="qwertyuiopasdfghjkl" localSheetId="3" hidden="1">{"M2aPrint",#N/A,FALSE,"M2a"}</definedName>
    <definedName name="qwertyuiopasdfghjkl" localSheetId="1" hidden="1">{"M2aPrint",#N/A,FALSE,"M2a"}</definedName>
    <definedName name="qwertyuiopasdfghjkl" hidden="1">{"M2aPrint",#N/A,FALSE,"M2a"}</definedName>
    <definedName name="qwwertyuiop" localSheetId="2" hidden="1">{"M2Print",#N/A,FALSE,"M2"}</definedName>
    <definedName name="qwwertyuiop" localSheetId="3" hidden="1">{"M2Print",#N/A,FALSE,"M2"}</definedName>
    <definedName name="qwwertyuiop" localSheetId="1" hidden="1">{"M2Print",#N/A,FALSE,"M2"}</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localSheetId="2" hidden="1">#REF!</definedName>
    <definedName name="Sheet1_BNE_MESSAGES" hidden="1">#REF!</definedName>
    <definedName name="Sheet1_BNE_MESSAGES_HIDDEN" localSheetId="2" hidden="1">#REF!</definedName>
    <definedName name="Sheet1_BNE_MESSAGES_HIDDEN" hidden="1">#REF!</definedName>
    <definedName name="Sheet1_BNE_MESSAGES_LAMP" localSheetId="2" hidden="1">#REF!</definedName>
    <definedName name="Sheet1_BNE_MESSAGES_LAMP" hidden="1">#REF!</definedName>
    <definedName name="Sheet1_BNE_UPLOAD" localSheetId="2" hidden="1">#REF!</definedName>
    <definedName name="Sheet1_BNE_UPLOAD" hidden="1">#REF!</definedName>
    <definedName name="Sheet1_GL_INTERFACE_ACCOUNTING_DATE" localSheetId="2" hidden="1">#REF!</definedName>
    <definedName name="Sheet1_GL_INTERFACE_ACCOUNTING_DATE" hidden="1">#REF!</definedName>
    <definedName name="Sheet1_GL_INTERFACE_ACTUAL_FLAG" localSheetId="2" hidden="1">#REF!</definedName>
    <definedName name="Sheet1_GL_INTERFACE_ACTUAL_FLAG" hidden="1">#REF!</definedName>
    <definedName name="Sheet1_GL_INTERFACE_CURRENCY_CODE" localSheetId="2" hidden="1">#REF!</definedName>
    <definedName name="Sheet1_GL_INTERFACE_CURRENCY_CODE" hidden="1">#REF!</definedName>
    <definedName name="Sheet1_GL_INTERFACE_DATABASE" localSheetId="2" hidden="1">#REF!</definedName>
    <definedName name="Sheet1_GL_INTERFACE_DATABASE" hidden="1">#REF!</definedName>
    <definedName name="Sheet1_GL_INTERFACE_ENTERED_CR" localSheetId="2" hidden="1">#REF!</definedName>
    <definedName name="Sheet1_GL_INTERFACE_ENTERED_CR" hidden="1">#REF!</definedName>
    <definedName name="Sheet1_GL_INTERFACE_ENTERED_DR" localSheetId="2" hidden="1">#REF!</definedName>
    <definedName name="Sheet1_GL_INTERFACE_ENTERED_DR" hidden="1">#REF!</definedName>
    <definedName name="Sheet1_GL_INTERFACE_REFERENCE1" localSheetId="2" hidden="1">#REF!</definedName>
    <definedName name="Sheet1_GL_INTERFACE_REFERENCE1" hidden="1">#REF!</definedName>
    <definedName name="Sheet1_GL_INTERFACE_REFERENCE10" localSheetId="2" hidden="1">#REF!</definedName>
    <definedName name="Sheet1_GL_INTERFACE_REFERENCE10" hidden="1">#REF!</definedName>
    <definedName name="Sheet1_GL_INTERFACE_REFERENCE4" localSheetId="2" hidden="1">#REF!</definedName>
    <definedName name="Sheet1_GL_INTERFACE_REFERENCE4" hidden="1">#REF!</definedName>
    <definedName name="Sheet1_GL_INTERFACE_REFERENCE5" localSheetId="2" hidden="1">#REF!</definedName>
    <definedName name="Sheet1_GL_INTERFACE_REFERENCE5" hidden="1">#REF!</definedName>
    <definedName name="Sheet1_GL_INTERFACE_REFERENCE6" hidden="1">#REF!</definedName>
    <definedName name="Sheet1_GL_INTERFACE_REFERENCE7" localSheetId="2" hidden="1">#REF!</definedName>
    <definedName name="Sheet1_GL_INTERFACE_REFERENCE7" hidden="1">#REF!</definedName>
    <definedName name="Sheet1_GL_INTERFACE_REFERENCE8" localSheetId="2" hidden="1">#REF!</definedName>
    <definedName name="Sheet1_GL_INTERFACE_REFERENCE8" hidden="1">#REF!</definedName>
    <definedName name="Sheet1_GL_INTERFACE_SEGMENT1" localSheetId="2" hidden="1">#REF!</definedName>
    <definedName name="Sheet1_GL_INTERFACE_SEGMENT1" hidden="1">#REF!</definedName>
    <definedName name="Sheet1_GL_INTERFACE_SEGMENT2" localSheetId="2" hidden="1">#REF!</definedName>
    <definedName name="Sheet1_GL_INTERFACE_SEGMENT2" hidden="1">#REF!</definedName>
    <definedName name="Sheet1_GL_INTERFACE_SEGMENT3" localSheetId="2" hidden="1">#REF!</definedName>
    <definedName name="Sheet1_GL_INTERFACE_SEGMENT3" hidden="1">#REF!</definedName>
    <definedName name="Sheet1_GL_INTERFACE_SEGMENT4" localSheetId="2" hidden="1">#REF!</definedName>
    <definedName name="Sheet1_GL_INTERFACE_SEGMENT4" hidden="1">#REF!</definedName>
    <definedName name="Sheet1_GL_INTERFACE_SEGMENT5" localSheetId="2" hidden="1">#REF!</definedName>
    <definedName name="Sheet1_GL_INTERFACE_SEGMENT5" hidden="1">#REF!</definedName>
    <definedName name="Sheet1_GL_INTERFACE_SEGMENT6" localSheetId="2" hidden="1">#REF!</definedName>
    <definedName name="Sheet1_GL_INTERFACE_SEGMENT6" hidden="1">#REF!</definedName>
    <definedName name="Sheet1_GL_INTERFACE_SET_OF_BOOKS_ID" localSheetId="2" hidden="1">#REF!</definedName>
    <definedName name="Sheet1_GL_INTERFACE_SET_OF_BOOKS_ID" hidden="1">#REF!</definedName>
    <definedName name="Sheet1_GL_INTERFACE_USER_JE_CATEGORY_NAME" localSheetId="2" hidden="1">#REF!</definedName>
    <definedName name="Sheet1_GL_INTERFACE_USER_JE_CATEGORY_NAME" hidden="1">#REF!</definedName>
    <definedName name="Sheet1_GL_INTERFACE_USER_JE_SOURCE_NAME" localSheetId="2" hidden="1">#REF!</definedName>
    <definedName name="Sheet1_GL_INTERFACE_USER_JE_SOURCE_NAME" hidden="1">#REF!</definedName>
    <definedName name="TextRefCopyRangeCount" hidden="1">5</definedName>
    <definedName name="wrn.Aging._.and._.Trend._.Analysis." localSheetId="2"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2" hidden="1">{#N/A,#N/A,FALSE,"SUM";#N/A,#N/A,FALSE,"SK_TOT";#N/A,#N/A,FALSE,"YM";#N/A,#N/A,FALSE,"TSMC";#N/A,#N/A,FALSE,"ICW";#N/A,#N/A,FALSE,"Sheet1"}</definedName>
    <definedName name="wrn.ALL." localSheetId="3" hidden="1">{#N/A,#N/A,FALSE,"SUM";#N/A,#N/A,FALSE,"SK_TOT";#N/A,#N/A,FALSE,"YM";#N/A,#N/A,FALSE,"TSMC";#N/A,#N/A,FALSE,"ICW";#N/A,#N/A,FALSE,"Sheet1"}</definedName>
    <definedName name="wrn.ALL." localSheetId="1" hidden="1">{#N/A,#N/A,FALSE,"SUM";#N/A,#N/A,FALSE,"SK_TOT";#N/A,#N/A,FALSE,"YM";#N/A,#N/A,FALSE,"TSMC";#N/A,#N/A,FALSE,"ICW";#N/A,#N/A,FALSE,"Sheet1"}</definedName>
    <definedName name="wrn.ALL."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Board._.Reports." localSheetId="3" hidden="1">{#N/A,#N/A,FALSE,"M1s Board";#N/A,#N/A,FALSE,"M3 Board";#N/A,#N/A,FALSE,"M6 Board";#N/A,#N/A,FALSE,"M7";#N/A,#N/A,FALSE,"M7B";#N/A,#N/A,FALSE,"M8";#N/A,#N/A,FALSE,"M8A Board";#N/A,#N/A,FALSE,"AF1 Board"}</definedName>
    <definedName name="wrn.Board._.Reports." localSheetId="1"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localSheetId="2" hidden="1">{#N/A,#N/A,TRUE,"CPRD";#N/A,#N/A,TRUE,"BCCPDR";#N/A,#N/A,TRUE,"EWRD";#N/A,#N/A,TRUE,"5100";#N/A,#N/A,TRUE,"5110"}</definedName>
    <definedName name="wrn.Deptartment._.Expenses." localSheetId="3" hidden="1">{#N/A,#N/A,TRUE,"CPRD";#N/A,#N/A,TRUE,"BCCPDR";#N/A,#N/A,TRUE,"EWRD";#N/A,#N/A,TRUE,"5100";#N/A,#N/A,TRUE,"5110"}</definedName>
    <definedName name="wrn.Deptartment._.Expenses." localSheetId="1" hidden="1">{#N/A,#N/A,TRUE,"CPRD";#N/A,#N/A,TRUE,"BCCPDR";#N/A,#N/A,TRUE,"EWRD";#N/A,#N/A,TRUE,"5100";#N/A,#N/A,TRUE,"5110"}</definedName>
    <definedName name="wrn.Deptartment._.Expenses." hidden="1">{#N/A,#N/A,TRUE,"CPRD";#N/A,#N/A,TRUE,"BCCPDR";#N/A,#N/A,TRUE,"EWRD";#N/A,#N/A,TRUE,"5100";#N/A,#N/A,TRUE,"5110"}</definedName>
    <definedName name="wrn.jan." hidden="1">{#N/A,#N/A,FALSE,"Jan"}</definedName>
    <definedName name="wrn.M1._.Operating._.Statement." localSheetId="2" hidden="1">{"M1Print",#N/A,FALSE,"M1"}</definedName>
    <definedName name="wrn.M1._.Operating._.Statement." localSheetId="3" hidden="1">{"M1Print",#N/A,FALSE,"M1"}</definedName>
    <definedName name="wrn.M1._.Operating._.Statement." localSheetId="1" hidden="1">{"M1Print",#N/A,FALSE,"M1"}</definedName>
    <definedName name="wrn.M1._.Operating._.Statement." hidden="1">{"M1Print",#N/A,FALSE,"M1"}</definedName>
    <definedName name="wrn.M1s._.Statistics." localSheetId="2" hidden="1">{"M1sPrint",#N/A,FALSE,"M1s"}</definedName>
    <definedName name="wrn.M1s._.Statistics." localSheetId="3" hidden="1">{"M1sPrint",#N/A,FALSE,"M1s"}</definedName>
    <definedName name="wrn.M1s._.Statistics." localSheetId="1" hidden="1">{"M1sPrint",#N/A,FALSE,"M1s"}</definedName>
    <definedName name="wrn.M1s._.Statistics." hidden="1">{"M1sPrint",#N/A,FALSE,"M1s"}</definedName>
    <definedName name="wrn.M2._.Balance._.Sheet." localSheetId="2" hidden="1">{"M2Print",#N/A,FALSE,"M2"}</definedName>
    <definedName name="wrn.M2._.Balance._.Sheet." localSheetId="3" hidden="1">{"M2Print",#N/A,FALSE,"M2"}</definedName>
    <definedName name="wrn.M2._.Balance._.Sheet." localSheetId="1" hidden="1">{"M2Print",#N/A,FALSE,"M2"}</definedName>
    <definedName name="wrn.M2._.Balance._.Sheet." hidden="1">{"M2Print",#N/A,FALSE,"M2"}</definedName>
    <definedName name="wrn.M2a._.Cashflow." localSheetId="2" hidden="1">{"M2aPrint",#N/A,FALSE,"M2a"}</definedName>
    <definedName name="wrn.M2a._.Cashflow." localSheetId="3" hidden="1">{"M2aPrint",#N/A,FALSE,"M2a"}</definedName>
    <definedName name="wrn.M2a._.Cashflow." localSheetId="1" hidden="1">{"M2aPrint",#N/A,FALSE,"M2a"}</definedName>
    <definedName name="wrn.M2a._.Cashflow." hidden="1">{"M2aPrint",#N/A,FALSE,"M2a"}</definedName>
    <definedName name="wrn.M4._.Inventories." localSheetId="2" hidden="1">{"M4Print",#N/A,FALSE,"M4"}</definedName>
    <definedName name="wrn.M4._.Inventories." localSheetId="3" hidden="1">{"M4Print",#N/A,FALSE,"M4"}</definedName>
    <definedName name="wrn.M4._.Inventories." localSheetId="1" hidden="1">{"M4Print",#N/A,FALSE,"M4"}</definedName>
    <definedName name="wrn.M4._.Inventories." hidden="1">{"M4Print",#N/A,FALSE,"M4"}</definedName>
    <definedName name="wrn.M5._.Flash._.and._.Forecast." localSheetId="2" hidden="1">{"M5Print",#N/A,FALSE,"M5"}</definedName>
    <definedName name="wrn.M5._.Flash._.and._.Forecast." localSheetId="3" hidden="1">{"M5Print",#N/A,FALSE,"M5"}</definedName>
    <definedName name="wrn.M5._.Flash._.and._.Forecast." localSheetId="1" hidden="1">{"M5Print",#N/A,FALSE,"M5"}</definedName>
    <definedName name="wrn.M5._.Flash._.and._.Forecast." hidden="1">{"M5Print",#N/A,FALSE,"M5"}</definedName>
    <definedName name="wrn.M6._.Management._.Summary." localSheetId="2" hidden="1">{"M6Print",#N/A,FALSE,"M6";"M6_1Print",#N/A,FALSE,"M6_1";"M6_2Print",#N/A,FALSE,"M6_2"}</definedName>
    <definedName name="wrn.M6._.Management._.Summary." localSheetId="3" hidden="1">{"M6Print",#N/A,FALSE,"M6";"M6_1Print",#N/A,FALSE,"M6_1";"M6_2Print",#N/A,FALSE,"M6_2"}</definedName>
    <definedName name="wrn.M6._.Management._.Summary." localSheetId="1" hidden="1">{"M6Print",#N/A,FALSE,"M6";"M6_1Print",#N/A,FALSE,"M6_1";"M6_2Print",#N/A,FALSE,"M6_2"}</definedName>
    <definedName name="wrn.M6._.Management._.Summary." hidden="1">{"M6Print",#N/A,FALSE,"M6";"M6_1Print",#N/A,FALSE,"M6_1";"M6_2Print",#N/A,FALSE,"M6_2"}</definedName>
    <definedName name="wrn.M7._.Financial._.Controllers._.report." localSheetId="2" hidden="1">{"M7_1Print",#N/A,TRUE,"M7_1";"M7_2Print",#N/A,TRUE,"M7_2"}</definedName>
    <definedName name="wrn.M7._.Financial._.Controllers._.report." localSheetId="3" hidden="1">{"M7_1Print",#N/A,TRUE,"M7_1";"M7_2Print",#N/A,TRUE,"M7_2"}</definedName>
    <definedName name="wrn.M7._.Financial._.Controllers._.report." localSheetId="1" hidden="1">{"M7_1Print",#N/A,TRUE,"M7_1";"M7_2Print",#N/A,TRUE,"M7_2"}</definedName>
    <definedName name="wrn.M7._.Financial._.Controllers._.report." hidden="1">{"M7_1Print",#N/A,TRUE,"M7_1";"M7_2Print",#N/A,TRUE,"M7_2"}</definedName>
    <definedName name="wrn.ytd." hidden="1">{#N/A,#N/A,FALSE,"YTD"}</definedName>
    <definedName name="wrnn.all." localSheetId="2" hidden="1">{#N/A,#N/A,FALSE,"SUM";#N/A,#N/A,FALSE,"SK_TOT";#N/A,#N/A,FALSE,"YM";#N/A,#N/A,FALSE,"TSMC";#N/A,#N/A,FALSE,"ICW";#N/A,#N/A,FALSE,"Sheet1"}</definedName>
    <definedName name="wrnn.all." localSheetId="3" hidden="1">{#N/A,#N/A,FALSE,"SUM";#N/A,#N/A,FALSE,"SK_TOT";#N/A,#N/A,FALSE,"YM";#N/A,#N/A,FALSE,"TSMC";#N/A,#N/A,FALSE,"ICW";#N/A,#N/A,FALSE,"Sheet1"}</definedName>
    <definedName name="wrnn.all." localSheetId="1" hidden="1">{#N/A,#N/A,FALSE,"SUM";#N/A,#N/A,FALSE,"SK_TOT";#N/A,#N/A,FALSE,"YM";#N/A,#N/A,FALSE,"TSMC";#N/A,#N/A,FALSE,"ICW";#N/A,#N/A,FALSE,"Sheet1"}</definedName>
    <definedName name="wrnn.all." hidden="1">{#N/A,#N/A,FALSE,"SUM";#N/A,#N/A,FALSE,"SK_TOT";#N/A,#N/A,FALSE,"YM";#N/A,#N/A,FALSE,"TSMC";#N/A,#N/A,FALSE,"ICW";#N/A,#N/A,FALSE,"Sheet1"}</definedName>
    <definedName name="XREF_COLUMN_1" localSheetId="2" hidden="1">#REF!</definedName>
    <definedName name="XREF_COLUMN_1" hidden="1">#REF!</definedName>
    <definedName name="XREF_COLUMN_10" localSheetId="2" hidden="1">#REF!</definedName>
    <definedName name="XREF_COLUMN_10" hidden="1">#REF!</definedName>
    <definedName name="XREF_COLUMN_11" localSheetId="2" hidden="1">#REF!</definedName>
    <definedName name="XREF_COLUMN_11" localSheetId="3" hidden="1">#REF!</definedName>
    <definedName name="XREF_COLUMN_11" localSheetId="1" hidden="1">#REF!</definedName>
    <definedName name="XREF_COLUMN_11" hidden="1">#REF!</definedName>
    <definedName name="XREF_COLUMN_12" localSheetId="2" hidden="1">#REF!</definedName>
    <definedName name="XREF_COLUMN_12" hidden="1">#REF!</definedName>
    <definedName name="XREF_COLUMN_19" localSheetId="2" hidden="1">#REF!</definedName>
    <definedName name="XREF_COLUMN_19" hidden="1">#REF!</definedName>
    <definedName name="XREF_COLUMN_2" localSheetId="2" hidden="1">#REF!</definedName>
    <definedName name="XREF_COLUMN_2" localSheetId="3" hidden="1">#REF!</definedName>
    <definedName name="XREF_COLUMN_2" localSheetId="1" hidden="1">#REF!</definedName>
    <definedName name="XREF_COLUMN_2" hidden="1">#REF!</definedName>
    <definedName name="XREF_COLUMN_20" localSheetId="2" hidden="1">#REF!</definedName>
    <definedName name="XREF_COLUMN_20" hidden="1">#REF!</definedName>
    <definedName name="XREF_COLUMN_21" localSheetId="2" hidden="1">#REF!</definedName>
    <definedName name="XREF_COLUMN_21" hidden="1">#REF!</definedName>
    <definedName name="XREF_COLUMN_3" localSheetId="2" hidden="1">#REF!</definedName>
    <definedName name="XREF_COLUMN_3" localSheetId="3" hidden="1">#REF!</definedName>
    <definedName name="XREF_COLUMN_3" localSheetId="1" hidden="1">#REF!</definedName>
    <definedName name="XREF_COLUMN_3" hidden="1">#REF!</definedName>
    <definedName name="XREF_COLUMN_4" localSheetId="2" hidden="1">#REF!</definedName>
    <definedName name="XREF_COLUMN_4" localSheetId="3" hidden="1">#REF!</definedName>
    <definedName name="XREF_COLUMN_4" localSheetId="1" hidden="1">#REF!</definedName>
    <definedName name="XREF_COLUMN_4" hidden="1">#REF!</definedName>
    <definedName name="XREF_COLUMN_5" localSheetId="2" hidden="1">#REF!</definedName>
    <definedName name="XREF_COLUMN_5" localSheetId="3" hidden="1">#REF!</definedName>
    <definedName name="XREF_COLUMN_5" localSheetId="1" hidden="1">#REF!</definedName>
    <definedName name="XREF_COLUMN_5" hidden="1">#REF!</definedName>
    <definedName name="XREF_COLUMN_6" localSheetId="2" hidden="1">#REF!</definedName>
    <definedName name="XREF_COLUMN_6" hidden="1">#REF!</definedName>
    <definedName name="XREF_COLUMN_7" localSheetId="2" hidden="1">#REF!</definedName>
    <definedName name="XREF_COLUMN_7" hidden="1">#REF!</definedName>
    <definedName name="XRefActiveRow" localSheetId="2" hidden="1">#REF!</definedName>
    <definedName name="XRefActiveRow" hidden="1">#REF!</definedName>
    <definedName name="XRefColumnsCount" hidden="1">2</definedName>
    <definedName name="XRefCopy1" localSheetId="2" hidden="1">#REF!</definedName>
    <definedName name="XRefCopy1" localSheetId="3" hidden="1">#REF!</definedName>
    <definedName name="XRefCopy1" localSheetId="1" hidden="1">#REF!</definedName>
    <definedName name="XRefCopy1" hidden="1">#REF!</definedName>
    <definedName name="XRefCopy10" hidden="1">#REF!</definedName>
    <definedName name="XRefCopy10Row" localSheetId="2" hidden="1">#REF!</definedName>
    <definedName name="XRefCopy10Row" hidden="1">#REF!</definedName>
    <definedName name="XRefCopy11" localSheetId="2" hidden="1">#REF!</definedName>
    <definedName name="XRefCopy11" localSheetId="3" hidden="1">#REF!</definedName>
    <definedName name="XRefCopy11" localSheetId="1" hidden="1">#REF!</definedName>
    <definedName name="XRefCopy11" hidden="1">#REF!</definedName>
    <definedName name="XRefCopy11Row" localSheetId="2" hidden="1">#REF!</definedName>
    <definedName name="XRefCopy11Row" hidden="1">#REF!</definedName>
    <definedName name="XRefCopy12" hidden="1">#REF!</definedName>
    <definedName name="XRefCopy13" hidden="1">#REF!</definedName>
    <definedName name="XRefCopy13Row" localSheetId="2" hidden="1">#REF!</definedName>
    <definedName name="XRefCopy13Row" localSheetId="3" hidden="1">#REF!</definedName>
    <definedName name="XRefCopy13Row" localSheetId="1" hidden="1">#REF!</definedName>
    <definedName name="XRefCopy13Row" hidden="1">#REF!</definedName>
    <definedName name="XRefCopy14" localSheetId="2" hidden="1">#REF!</definedName>
    <definedName name="XRefCopy14" localSheetId="3" hidden="1">#REF!</definedName>
    <definedName name="XRefCopy14" localSheetId="1" hidden="1">#REF!</definedName>
    <definedName name="XRefCopy14" hidden="1">#REF!</definedName>
    <definedName name="XRefCopy15" hidden="1">#REF!</definedName>
    <definedName name="XRefCopy16Row" localSheetId="2" hidden="1">#REF!</definedName>
    <definedName name="XRefCopy16Row" localSheetId="3" hidden="1">#REF!</definedName>
    <definedName name="XRefCopy16Row" localSheetId="1" hidden="1">#REF!</definedName>
    <definedName name="XRefCopy16Row" hidden="1">#REF!</definedName>
    <definedName name="XRefCopy1Row" localSheetId="2" hidden="1">#REF!</definedName>
    <definedName name="XRefCopy1Row" hidden="1">#REF!</definedName>
    <definedName name="XRefCopy2" hidden="1">#REF!</definedName>
    <definedName name="XRefCopy2Row" hidden="1">#REF!</definedName>
    <definedName name="XRefCopy3" hidden="1">#REF!</definedName>
    <definedName name="XRefCopy3Row" localSheetId="2" hidden="1">#REF!</definedName>
    <definedName name="XRefCopy3Row" hidden="1">#REF!</definedName>
    <definedName name="XRefCopy4" hidden="1">#REF!</definedName>
    <definedName name="XRefCopy46" localSheetId="2" hidden="1">#REF!</definedName>
    <definedName name="XRefCopy46" hidden="1">#REF!</definedName>
    <definedName name="XRefCopy47" localSheetId="2" hidden="1">#REF!</definedName>
    <definedName name="XRefCopy47" hidden="1">#REF!</definedName>
    <definedName name="XRefCopy47Row" localSheetId="2" hidden="1">#REF!</definedName>
    <definedName name="XRefCopy47Row" hidden="1">#REF!</definedName>
    <definedName name="XRefCopy48" localSheetId="2" hidden="1">#REF!</definedName>
    <definedName name="XRefCopy48" hidden="1">#REF!</definedName>
    <definedName name="XRefCopy48Row" localSheetId="2" hidden="1">#REF!</definedName>
    <definedName name="XRefCopy48Row" hidden="1">#REF!</definedName>
    <definedName name="XRefCopy49" localSheetId="2" hidden="1">#REF!</definedName>
    <definedName name="XRefCopy49" hidden="1">#REF!</definedName>
    <definedName name="XRefCopy49Row" localSheetId="2" hidden="1">#REF!</definedName>
    <definedName name="XRefCopy49Row" hidden="1">#REF!</definedName>
    <definedName name="XRefCopy4Row" localSheetId="2" hidden="1">#REF!</definedName>
    <definedName name="XRefCopy4Row" hidden="1">#REF!</definedName>
    <definedName name="XRefCopy5" hidden="1">#REF!</definedName>
    <definedName name="XRefCopy50" localSheetId="2" hidden="1">#REF!</definedName>
    <definedName name="XRefCopy50" hidden="1">#REF!</definedName>
    <definedName name="XRefCopy50Row" localSheetId="2" hidden="1">#REF!</definedName>
    <definedName name="XRefCopy50Row" hidden="1">#REF!</definedName>
    <definedName name="XRefCopy51" localSheetId="2" hidden="1">#REF!</definedName>
    <definedName name="XRefCopy51" hidden="1">#REF!</definedName>
    <definedName name="XRefCopy52" localSheetId="2" hidden="1">#REF!</definedName>
    <definedName name="XRefCopy52" hidden="1">#REF!</definedName>
    <definedName name="XRefCopy52Row" localSheetId="2" hidden="1">#REF!</definedName>
    <definedName name="XRefCopy52Row" hidden="1">#REF!</definedName>
    <definedName name="XRefCopy53" localSheetId="2" hidden="1">#REF!</definedName>
    <definedName name="XRefCopy53" hidden="1">#REF!</definedName>
    <definedName name="XRefCopy53Row" localSheetId="2" hidden="1">#REF!</definedName>
    <definedName name="XRefCopy53Row" hidden="1">#REF!</definedName>
    <definedName name="XRefCopy54" localSheetId="2" hidden="1">#REF!</definedName>
    <definedName name="XRefCopy54" hidden="1">#REF!</definedName>
    <definedName name="XRefCopy54Row" localSheetId="2" hidden="1">#REF!</definedName>
    <definedName name="XRefCopy54Row" hidden="1">#REF!</definedName>
    <definedName name="XRefCopy55" localSheetId="2" hidden="1">#REF!</definedName>
    <definedName name="XRefCopy55" hidden="1">#REF!</definedName>
    <definedName name="XRefCopy55Row" localSheetId="2" hidden="1">#REF!</definedName>
    <definedName name="XRefCopy55Row" hidden="1">#REF!</definedName>
    <definedName name="XRefCopy56" localSheetId="2" hidden="1">#REF!</definedName>
    <definedName name="XRefCopy56" hidden="1">#REF!</definedName>
    <definedName name="XRefCopy56Row" localSheetId="2" hidden="1">#REF!</definedName>
    <definedName name="XRefCopy56Row" hidden="1">#REF!</definedName>
    <definedName name="XRefCopy57" localSheetId="2" hidden="1">#REF!</definedName>
    <definedName name="XRefCopy57" hidden="1">#REF!</definedName>
    <definedName name="XRefCopy57Row" localSheetId="2" hidden="1">#REF!</definedName>
    <definedName name="XRefCopy57Row" hidden="1">#REF!</definedName>
    <definedName name="XRefCopy5Row" localSheetId="2" hidden="1">#REF!</definedName>
    <definedName name="XRefCopy5Row" hidden="1">#REF!</definedName>
    <definedName name="XRefCopy6" hidden="1">#REF!</definedName>
    <definedName name="XRefCopy6Row" localSheetId="2" hidden="1">#REF!</definedName>
    <definedName name="XRefCopy6Row" hidden="1">#REF!</definedName>
    <definedName name="XRefCopy7" hidden="1">#REF!</definedName>
    <definedName name="XRefCopy7Row" localSheetId="2" hidden="1">#REF!</definedName>
    <definedName name="XRefCopy7Row" hidden="1">#REF!</definedName>
    <definedName name="XRefCopy8" hidden="1">#REF!</definedName>
    <definedName name="XRefCopy8Row" localSheetId="2" hidden="1">#REF!</definedName>
    <definedName name="XRefCopy8Row" hidden="1">#REF!</definedName>
    <definedName name="XRefCopy9" hidden="1">#REF!</definedName>
    <definedName name="XRefCopy9Row" localSheetId="2"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localSheetId="2" hidden="1">#REF!</definedName>
    <definedName name="XRefPaste2" localSheetId="3" hidden="1">#REF!</definedName>
    <definedName name="XRefPaste2" localSheetId="1" hidden="1">#REF!</definedName>
    <definedName name="XRefPaste2" hidden="1">#REF!</definedName>
    <definedName name="XRefPaste24" localSheetId="2" hidden="1">#REF!</definedName>
    <definedName name="XRefPaste24" hidden="1">#REF!</definedName>
    <definedName name="XRefPaste24Row" localSheetId="2" hidden="1">#REF!</definedName>
    <definedName name="XRefPaste24Row" hidden="1">#REF!</definedName>
    <definedName name="XRefPaste25" localSheetId="2" hidden="1">#REF!</definedName>
    <definedName name="XRefPaste25" hidden="1">#REF!</definedName>
    <definedName name="XRefPaste25Row" localSheetId="2" hidden="1">#REF!</definedName>
    <definedName name="XRefPaste25Row" hidden="1">#REF!</definedName>
    <definedName name="XRefPaste26" localSheetId="2" hidden="1">#REF!</definedName>
    <definedName name="XRefPaste26" hidden="1">#REF!</definedName>
    <definedName name="XRefPaste26Row" localSheetId="2" hidden="1">#REF!</definedName>
    <definedName name="XRefPaste26Row" hidden="1">#REF!</definedName>
    <definedName name="XRefPaste27" localSheetId="2" hidden="1">#REF!</definedName>
    <definedName name="XRefPaste27" hidden="1">#REF!</definedName>
    <definedName name="XRefPaste27Row" localSheetId="2" hidden="1">#REF!</definedName>
    <definedName name="XRefPaste27Row" hidden="1">#REF!</definedName>
    <definedName name="XRefPaste28" localSheetId="2" hidden="1">#REF!</definedName>
    <definedName name="XRefPaste28" hidden="1">#REF!</definedName>
    <definedName name="XRefPaste28Row" localSheetId="2" hidden="1">#REF!</definedName>
    <definedName name="XRefPaste28Row" hidden="1">#REF!</definedName>
    <definedName name="XRefPaste29" localSheetId="2" hidden="1">#REF!</definedName>
    <definedName name="XRefPaste29" hidden="1">#REF!</definedName>
    <definedName name="XRefPaste29Row" localSheetId="2" hidden="1">#REF!</definedName>
    <definedName name="XRefPaste29Row" hidden="1">#REF!</definedName>
    <definedName name="XRefPaste2Row" localSheetId="2" hidden="1">#REF!</definedName>
    <definedName name="XRefPaste2Row" localSheetId="3" hidden="1">#REF!</definedName>
    <definedName name="XRefPaste2Row" localSheetId="1" hidden="1">#REF!</definedName>
    <definedName name="XRefPaste2Row" hidden="1">#REF!</definedName>
    <definedName name="XRefPaste3" localSheetId="2" hidden="1">#REF!</definedName>
    <definedName name="XRefPaste3" localSheetId="3" hidden="1">#REF!</definedName>
    <definedName name="XRefPaste3" localSheetId="1"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localSheetId="2" hidden="1">#REF!</definedName>
    <definedName name="XRefPaste6Row" localSheetId="3" hidden="1">#REF!</definedName>
    <definedName name="XRefPaste6Row" localSheetId="1" hidden="1">#REF!</definedName>
    <definedName name="XRefPaste6Row" hidden="1">#REF!</definedName>
    <definedName name="XRefPaste7" localSheetId="2" hidden="1">#REF!</definedName>
    <definedName name="XRefPaste7" localSheetId="3" hidden="1">#REF!</definedName>
    <definedName name="XRefPaste7" localSheetId="1" hidden="1">#REF!</definedName>
    <definedName name="XRefPaste7" hidden="1">#REF!</definedName>
    <definedName name="XRefPaste8" hidden="1">#REF!</definedName>
    <definedName name="XRefPaste9" hidden="1">#REF!</definedName>
    <definedName name="XRefPasteRangeCount" hidden="1">1</definedName>
    <definedName name="xzxsfd" localSheetId="2" hidden="1">{"M1Print",#N/A,FALSE,"M1"}</definedName>
    <definedName name="xzxsfd" localSheetId="3" hidden="1">{"M1Print",#N/A,FALSE,"M1"}</definedName>
    <definedName name="xzxsfd" localSheetId="1" hidden="1">{"M1Print",#N/A,FALSE,"M1"}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localSheetId="2" hidden="1">#REF!,#REF!</definedName>
    <definedName name="Z_E738B51C_56AE_4F9F_8D8A_36AD6137B90D_.wvu.PrintTitles" localSheetId="3" hidden="1">#REF!,#REF!</definedName>
    <definedName name="Z_E738B51C_56AE_4F9F_8D8A_36AD6137B90D_.wvu.PrintTitles" localSheetId="1" hidden="1">#REF!,#REF!</definedName>
    <definedName name="Z_E738B51C_56AE_4F9F_8D8A_36AD6137B90D_.wvu.PrintTitles" hidden="1">#REF!,#REF!</definedName>
    <definedName name="Z_E738B51C_56AE_4F9F_8D8A_36AD6137B90D_.wvu.Rows" localSheetId="2" hidden="1">#REF!</definedName>
    <definedName name="Z_E738B51C_56AE_4F9F_8D8A_36AD6137B90D_.wvu.Rows" localSheetId="3" hidden="1">#REF!</definedName>
    <definedName name="Z_E738B51C_56AE_4F9F_8D8A_36AD6137B90D_.wvu.Rows" localSheetId="1" hidden="1">#REF!</definedName>
    <definedName name="Z_E738B51C_56AE_4F9F_8D8A_36AD6137B90D_.wvu.Rows" hidden="1">#REF!</definedName>
    <definedName name="苛" localSheetId="2" hidden="1">{"M1sPrint",#N/A,FALSE,"M1s"}</definedName>
    <definedName name="苛" localSheetId="3" hidden="1">{"M1sPrint",#N/A,FALSE,"M1s"}</definedName>
    <definedName name="苛" localSheetId="1" hidden="1">{"M1sPrint",#N/A,FALSE,"M1s"}</definedName>
    <definedName name="苛" hidden="1">{"M1sPrint",#N/A,FALSE,"M1s"}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1" i="196" l="1"/>
  <c r="AD21" i="196"/>
  <c r="AB21" i="196"/>
  <c r="E25" i="194"/>
  <c r="E24" i="194"/>
  <c r="E23" i="194"/>
  <c r="E22" i="194"/>
  <c r="E21" i="194"/>
  <c r="P31" i="201"/>
  <c r="P25" i="201"/>
  <c r="P29" i="201"/>
  <c r="P28" i="201"/>
  <c r="R38" i="177"/>
  <c r="R37" i="177"/>
  <c r="R36" i="177"/>
  <c r="R35" i="177"/>
  <c r="R34" i="177"/>
  <c r="R33" i="177"/>
  <c r="F21" i="194" l="1"/>
  <c r="R32" i="177"/>
  <c r="R31" i="177"/>
  <c r="R30" i="177"/>
  <c r="R29" i="177"/>
  <c r="R28" i="177"/>
  <c r="R27" i="177"/>
  <c r="J25" i="201"/>
  <c r="M25" i="201" s="1"/>
  <c r="O25" i="201" s="1"/>
  <c r="Z22" i="196"/>
  <c r="AA22" i="196"/>
  <c r="AF22" i="196" s="1"/>
  <c r="AB22" i="196"/>
  <c r="AD22" i="196" s="1"/>
  <c r="T22" i="196"/>
  <c r="N22" i="196"/>
  <c r="Z21" i="196"/>
  <c r="AF21" i="196"/>
  <c r="AE21" i="196"/>
  <c r="T21" i="196"/>
  <c r="N21" i="196"/>
  <c r="C18" i="201"/>
  <c r="AJ22" i="196"/>
  <c r="AH23" i="196"/>
  <c r="AJ23" i="196"/>
  <c r="AB23" i="196"/>
  <c r="AH21" i="196"/>
  <c r="AI21" i="196" s="1" a="1"/>
  <c r="AI21" i="196" s="1"/>
  <c r="AH22" i="196"/>
  <c r="AE22" i="196" l="1"/>
  <c r="AJ21" i="196"/>
  <c r="AA23" i="196" l="1"/>
  <c r="AF23" i="196" s="1"/>
  <c r="AI22" i="196" l="1" a="1"/>
  <c r="AI22" i="196" s="1"/>
  <c r="AI23" i="196" a="1"/>
  <c r="AI23" i="196" s="1"/>
  <c r="AK23" i="196" s="1"/>
  <c r="AL23" i="196" s="1"/>
  <c r="AK21" i="196"/>
  <c r="AL21" i="196" s="1"/>
  <c r="J28" i="201"/>
  <c r="M28" i="201" s="1"/>
  <c r="O28" i="201" s="1"/>
  <c r="N23" i="196"/>
  <c r="G29" i="196"/>
  <c r="I31" i="201"/>
  <c r="G31" i="201"/>
  <c r="AK22" i="196" l="1"/>
  <c r="AL22" i="196" s="1"/>
  <c r="D18" i="201"/>
  <c r="AH24" i="196"/>
  <c r="AI24" i="196" s="1" a="1"/>
  <c r="AI24" i="196" s="1"/>
  <c r="AH25" i="196"/>
  <c r="AI25" i="196" s="1" a="1"/>
  <c r="AI25" i="196" s="1"/>
  <c r="AH26" i="196"/>
  <c r="AI26" i="196" s="1" a="1"/>
  <c r="AI26" i="196" s="1"/>
  <c r="J26" i="201" l="1"/>
  <c r="N26" i="201" s="1"/>
  <c r="R26" i="177"/>
  <c r="R25" i="177"/>
  <c r="F112" i="177"/>
  <c r="F111" i="177"/>
  <c r="F110" i="177"/>
  <c r="F109" i="177"/>
  <c r="F108" i="177"/>
  <c r="F107" i="177"/>
  <c r="F106" i="177"/>
  <c r="F105" i="177"/>
  <c r="F104" i="177"/>
  <c r="F103" i="177"/>
  <c r="F102" i="177"/>
  <c r="F101" i="177"/>
  <c r="F100" i="177"/>
  <c r="F99" i="177"/>
  <c r="F98" i="177"/>
  <c r="F97" i="177"/>
  <c r="F96" i="177"/>
  <c r="F95" i="177"/>
  <c r="F94" i="177" l="1"/>
  <c r="F93" i="177"/>
  <c r="F92" i="177"/>
  <c r="F91" i="177"/>
  <c r="F90" i="177"/>
  <c r="F89" i="177"/>
  <c r="R24" i="177"/>
  <c r="R23" i="177"/>
  <c r="R22" i="177"/>
  <c r="R21" i="177"/>
  <c r="R20" i="177"/>
  <c r="R19" i="177"/>
  <c r="R18" i="177"/>
  <c r="R17" i="177"/>
  <c r="R16" i="177"/>
  <c r="R15" i="177"/>
  <c r="F58" i="177"/>
  <c r="F57" i="177"/>
  <c r="F56" i="177"/>
  <c r="F55" i="177"/>
  <c r="F54" i="177"/>
  <c r="F53" i="177"/>
  <c r="F52" i="177"/>
  <c r="F51" i="177"/>
  <c r="F50" i="177"/>
  <c r="F49" i="177"/>
  <c r="AD23" i="196" l="1"/>
  <c r="AE23" i="196" s="1"/>
  <c r="AA24" i="196"/>
  <c r="AF24" i="196" s="1"/>
  <c r="AB24" i="196"/>
  <c r="AD24" i="196" s="1"/>
  <c r="AA25" i="196"/>
  <c r="AF25" i="196" s="1"/>
  <c r="AB25" i="196"/>
  <c r="AD25" i="196" s="1"/>
  <c r="AA26" i="196"/>
  <c r="AF26" i="196" s="1"/>
  <c r="AB26" i="196"/>
  <c r="AD26" i="196" s="1"/>
  <c r="AA27" i="196"/>
  <c r="AF27" i="196" s="1"/>
  <c r="AB27" i="196"/>
  <c r="AD27" i="196" s="1"/>
  <c r="Z23" i="196"/>
  <c r="Z24" i="196"/>
  <c r="Z25" i="196"/>
  <c r="Z26" i="196"/>
  <c r="T23" i="196"/>
  <c r="T24" i="196"/>
  <c r="T25" i="196"/>
  <c r="T26" i="196"/>
  <c r="N24" i="196"/>
  <c r="N25" i="196"/>
  <c r="N26" i="196"/>
  <c r="AJ24" i="196"/>
  <c r="AK24" i="196" s="1"/>
  <c r="AJ25" i="196"/>
  <c r="AJ26" i="196"/>
  <c r="AC29" i="196"/>
  <c r="Y29" i="196"/>
  <c r="X29" i="196"/>
  <c r="W29" i="196"/>
  <c r="V29" i="196"/>
  <c r="U29" i="196"/>
  <c r="S29" i="196"/>
  <c r="Q29" i="196"/>
  <c r="P29" i="196"/>
  <c r="G50" i="196" s="1"/>
  <c r="O29" i="196"/>
  <c r="M29" i="196"/>
  <c r="I29" i="196"/>
  <c r="H29" i="196"/>
  <c r="AJ27" i="196"/>
  <c r="AH27" i="196"/>
  <c r="AI27" i="196" s="1" a="1"/>
  <c r="AI27" i="196" s="1"/>
  <c r="Z27" i="196"/>
  <c r="T27" i="196"/>
  <c r="N27" i="196"/>
  <c r="AJ29" i="196" l="1"/>
  <c r="AE27" i="196"/>
  <c r="AE25" i="196"/>
  <c r="AE26" i="196"/>
  <c r="AE24" i="196"/>
  <c r="AA29" i="196"/>
  <c r="AF29" i="196" s="1"/>
  <c r="R29" i="196"/>
  <c r="L29" i="196"/>
  <c r="T29" i="196"/>
  <c r="Z29" i="196"/>
  <c r="N29" i="196"/>
  <c r="AD29" i="196" l="1"/>
  <c r="AB29" i="196"/>
  <c r="AE29" i="196" l="1"/>
  <c r="N31" i="201" l="1"/>
  <c r="N34" i="201" s="1"/>
  <c r="L31" i="201"/>
  <c r="AB31" i="196"/>
  <c r="AB32" i="196" s="1"/>
  <c r="J29" i="201"/>
  <c r="M29" i="201" s="1"/>
  <c r="O29" i="201" s="1"/>
  <c r="F48" i="177"/>
  <c r="F47" i="177"/>
  <c r="F46" i="177"/>
  <c r="F45" i="177"/>
  <c r="F44" i="177"/>
  <c r="F43" i="177"/>
  <c r="F42" i="177"/>
  <c r="F41" i="177"/>
  <c r="F40" i="177"/>
  <c r="F39" i="177"/>
  <c r="F38" i="177"/>
  <c r="F37" i="177"/>
  <c r="F36" i="177"/>
  <c r="F35" i="177"/>
  <c r="F34" i="177"/>
  <c r="F33" i="177"/>
  <c r="F32" i="177"/>
  <c r="F31" i="177"/>
  <c r="F30" i="177"/>
  <c r="F29" i="177"/>
  <c r="F28" i="177"/>
  <c r="F27" i="177"/>
  <c r="F26" i="177"/>
  <c r="F25" i="177"/>
  <c r="F24" i="177"/>
  <c r="F23" i="177"/>
  <c r="F22" i="177"/>
  <c r="F21" i="177"/>
  <c r="F20" i="177"/>
  <c r="F19" i="177"/>
  <c r="F18" i="177"/>
  <c r="F17" i="177"/>
  <c r="F16" i="177"/>
  <c r="F15" i="177"/>
  <c r="F14" i="177"/>
  <c r="F13" i="177"/>
  <c r="F12" i="177"/>
  <c r="F11" i="177"/>
  <c r="F10" i="177"/>
  <c r="J31" i="201" l="1"/>
  <c r="J34" i="201" s="1"/>
  <c r="M31" i="201"/>
  <c r="M34" i="201" s="1"/>
  <c r="AA31" i="196"/>
  <c r="AA32" i="196" s="1"/>
  <c r="AL24" i="196"/>
  <c r="AK25" i="196"/>
  <c r="AL25" i="196" s="1"/>
  <c r="AK26" i="196"/>
  <c r="AL26" i="196" s="1"/>
  <c r="AK27" i="196"/>
  <c r="AL27" i="196" s="1"/>
  <c r="AK29" i="196" l="1"/>
  <c r="AD31" i="196"/>
  <c r="AD32" i="196" s="1"/>
  <c r="O31" i="201"/>
  <c r="AL29" i="19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<sst xmlns="http://schemas.openxmlformats.org/spreadsheetml/2006/main" count="514" uniqueCount="415">
  <si>
    <t>4daea66c-6f39-4954-921d-bcb1ba240ee6</t>
    <phoneticPr fontId="101" type="noConversion"/>
  </si>
  <si>
    <t>ABC7VtbbxvHFX4PkP9ACH3UCHPb2Zm+WbdEqGurloqiCAxhrgrr5a66XEYRCgPOQ5E2QZEGbZoCNdDoobWAtk4LuMgV8Z8JKeWpf6GzK5IiuUuK1CWWbemBIGfOmdv3zTdndo/+99XTN159pVb7Vf5Rq839INvbsXM/rM2t/Hxh497ebj02Cz9L0nvrcsemC8vWyVaUbbxpbTZfqzKZm+82tGbyVqiRVjKmAXNEACoCCgRGBiitkJKYQmtZ32WjpTaTTEYrsVSRzf2djJp2tHq1bqOi8b7j5uv+Z9yKol7BLdkoJtEd3obNsnq8XQz7ZIDNm1aWOllrLqZW3jPJbjxadSfZXUpacebLEcK90qUk6pUK2itcibN6VrdNX/jG3b6/bSRvWVNZt9FqNGS6t5lPfOz0T0w2sr3Idic5OO8bd9ZvJZmt7GI9TbZT2VitR9FSmjSbd6z7cWJsr5vc6v789FRYi3daMxABBxTxEDsQGiIBpVICDgMFGIQuFI4EBPJLJELnP+92Hnx1IdgHQQX0jFVBf1zUX9Gxq7oU1W2cLRSuewu31S+szuqurmVWT+KF1SRttCJ5XDu02EN+vckVvXR9NjKZZn7sa7Gxb/tOCRw0et2vgU0Hq9Fgdc95M+kbLted83Z40GwtbtoJndysN7PuaJZsFA1Ssqj/Scume81S8YaN/CJYU2C8Epe5XrZaGmdVDCFNGpvJaiS3y129mewuJqmf4Y3UwzlKi8LmuL7YdhUdHFNcSQsdcwYwgrXXOoiAglgBBwONMCOKEDJXtcCvtepFA1qFgjrKgeaKAioNBNJQv2U4wVjAgIZouIGV2Ay4O2OgIcwBy70TDQQEXCnu+4eSOa/DSIVD7usy9fQpBl9a2BHiYFHut493WPL0O6PViPsGI77DtWiIdJvHu6O0wnFs095mHl7EXILGAF/pUAhoToRe7Toaqr9pXbYuYxvlvKhsoZmlK5Ft+LXrjnau/Xj/6PH+4cH77S8/aP/m46P9gzEO+U6Q2RQufhmzVr4tvMo0diKb2aHqteayLQoH1Dv/uz9/5TSHTtYceiGaQ19SzTEhEyFnAQhDxwBVDgLFhAaCCS9HlFni5ETN4ZQwxX2AhqC2gDITAinDEAioFXMoDAJtJmiOttpgQxGwFEJAucWAW+ElyChHIObMUHtWzSETNIfic2kOecaSc+v8kpPHec1TVaZsdVZhOf7yggazM99rkAyIhMyCQFJ/VFvrw1nBKQiocSpUhgXSXGI4exMvQFgrYthSSJulrVlvM30NHgxpaW+TXO2QFgeDRqXjBZeDk8rjhQxv/ZHjBfNTjpeT2qGlOd/y5I3PskTdjRlJfzoVO6tHl83FrTsr6yXTY1kqDrtbPVNbtLpVN/kXVz8hfoXXUt/r6Mnf23/7+Nun+513Pi055MLXOy8kdAoFHAN/sCBACfcnjXYE+NjYSUSxpNiVGijW2zfSlb6hk7Tfw43NZLGsxyeojz8AhphxwptBg/vzLwzA29GW1Drf41txq6GmBPjw0YeHf3l8+PWf2h98NhFgQ7nSnEDAGPWXIOKQj0WkAgFUPjDgkjjHvw+A6TXAHuC8aHp427//3eGjf0+El3MqSYgUCJ0QgDokADeWe7T9mecCYrgip8I7XF2rkeGCC0A/eGnRd61Y52OQ0ZaNTT3e3lIykrG2WztlYKqo0Hn4z/YXT/LPz9/pPPxr5+E/JhIiEI5CSiWAWHJAKdL+AiIxkDYUTAsLA6JnJkR44YQIXyhCVE26ggyTzZYmmQ1CrIhAEoVezWEOsQsgEAqGAApLtHDOUCGvAMT8GuKzQ6y9qlOMgKOE+Wu8v9NIwygQjkHjz3NBILwCEItriM8MMXcmEMgFAEkGAZV+K3NliQdbBMoJbg0KrgDEQ0+DrzGeDWN/faI89OGYMMpvYyQ4kMwLt5YyYNISFMLZo7NLwBhfY3xmjKGyEGoKgXFEAWoMARxrBLBSBlqmTcjUzBgH02M8dwOVmq/C+OW9YU8IwelUIfi3n783SwgOOUfUMQWUDKkP0qj/xoUDiDCoBUROwNmVfRZGLE7HiFmv5Cc/xry8uVjGFO3OwJLVepTZ9LU0ae2URlMxojOOaqCX6cdW9FWw2DdR7NnYVNqcNocx8/i+51Kaz+3SU6uxUxpl7ojh2GlPmPq5pj/7zGeYfWG6lNZ9P3XZff+z8suWjCY6rMtUNtCsTw/KTeBCjU63I9XHXIXh1lrcfcJ+mv1PY5nu3d6xqcyStPeObG6cw/2xTV1DPuG0KjfxHEFeXXG3qrjCtkpGTpOQi1bOc4rmmEOgsBsk0M36vdJT477hCXF2d3rPmScbFxT57qOnPpJpf/PrzofvHT354vCPB5OdTuHLLFyZgSfVsvC8wmibzdvpRCkYQDNTW5F9y55iWmBZivaGbZ4RdBVbdrRoxKYU0y4vVoX808Skl5s5NDiC0vUrj77HjeqCkowC4RykwgDEJQIUBxBIlT/jD0KIqeBBoIeTSEaTjJz2TlJAwCyCgBIqgGCEAawhDymiCCI8KckIYsY45EAoKQHlJvRXXsOANQhxLYS26MxJRpiW+61Oepw9sXEo9eAZZBltTpFllCeNbB3tH3Q++XrYupxxNGB6at7R2Gb76UelhbhOPJom8ciEOvR0FyAgMAQUEQU4NRJgJQRiXBjI+5H6JSUe4QXU/tef2w8POg8edf77/tGnH11IXr3o5xsNJCEhXJmFdM2Gbsq5kMY5jYBlRgEv0RBwzjVwDjtKtLYOX+a/13TZIGvfPfht55PPjr75Q/vdLy/mH2xgBRmuuTCRC4wFToQCYJm/1jGa+wOaY0Cl0CjgAQo5umQuoAVUW/zR8kwMGExXHCQAp5VywJ93Crz6yt3/Aw==</t>
  </si>
  <si>
    <t>ABC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iOHTs2AQCAYRj2/9ddAr3BoAtKF0Nk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t>
    <phoneticPr fontId="101" type="noConversion"/>
  </si>
  <si>
    <t>ABC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Vjx45NAABgGIb9/3WXQm4w6IKSxVBt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t>
    <phoneticPr fontId="101" type="noConversion"/>
  </si>
  <si>
    <t>ABC/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xLFjxyYAADAMw/7/ukugNxh0QeliiK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t>
    <phoneticPr fontId="101" type="noConversion"/>
  </si>
  <si>
    <t>ABC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cOzYsQkAAAzDsP+/7hLoDQZdULoYIj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t>
    <phoneticPr fontId="101" type="noConversion"/>
  </si>
  <si>
    <t>ABC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sWPHJgAAMAzD/v+6S6A3GHRByWKo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t>
    <phoneticPr fontId="101" type="noConversion"/>
  </si>
  <si>
    <t>ABC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t>
    <phoneticPr fontId="101" type="noConversion"/>
  </si>
  <si>
    <t>ABC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WBVEAE2CiGgUwASbAhCqACTABJoTFD7LjvbCACVH41aIgCmACTFSjACbABJhQBTABJsCEsPhBdrwXFjAhCr9aFEQBTICJahTABJgAE6oAJsAEmBAWP8iO98ICJkThV4uCKIAJMFGNApgAE2BCFcAEmAATwuIH2fFeWMCEKPxqURAFMAEmqlEAE2ACTKgCmAATYEJY/CA73gsLmBCFXy0KogAmwEQ1CmACTIAJVQATYAJMCIsfZMd7YQETovCrRUEUwASYqEYBTIAJMKEKYAJMgAlh8YPseC8sYEIUfrUoiAKYABPVKIAJMAEmVAFMgAkwISx+kB3vhQVMiMKvFgVRABNgohoFMAEmwIQqgAkwASaExQ+y472wgAlR+NWiIApgAkxUowAmwASYUAUwASbAhLD4QXa8FxYwIQq/WhREAUyAiWoUwASYABOqACbABJgQFj/IjvfCAiZE4VeLgiiACTBRjQKYABNgQhXABJgAE8LiB9nxXljAhCj8alEQBTABJqpRABNgAkyoApgAE2BCWPwgO94LC5gQhV8tCqIAJsBENQpgAkyACVUAE2ACTAiLH2THe2EBE6Lwq0VBFMAEmKhGAUyACTChCmACTIAJYfGD7HgvLGBCFH61KIgCmAAT1SiACTABJlQBTIAJMCEsfpAd74UFTIjCrxYFUQATYKIaBTABJsCEKoAJMAEmhMUPsuO9sIAJUfjVoiAKYAJMVKMAJsAEmFAFMAEmwISw+EF2vBcWMCEKv1oURAFMgIlqFMAEmAATqgAmwASYEBY/yI73wgImROFXi4IogAkwUY0CmAATYEIVwASYABPC4gfZ8V5YwIQo/GpREAUwASaqUQATYAJMqAKYABNgQlj8IDveCwuYEIVfLQqiACbARDUKYAJMgAlVABNgAkwIix9kx3thAROi8KtFQRTABJioRgFMgAkwoQpgAkyACWHxg+x4LyxgQhR+tSiIApgAE9UogAkwASZUAUyACTAhLH6QHe+FBUyIwq8+duzYBAAAhmHY/193CfQGgy4oXQyR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t>
    <phoneticPr fontId="101" type="noConversion"/>
  </si>
  <si>
    <t>ABC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rHjh2bAADAMAz7/+sugd5g0AWliyEC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t>
    <phoneticPr fontId="101" type="noConversion"/>
  </si>
  <si>
    <t>ABC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o4dOzYBAIBhGPb/110CvcGgC0oXQwQ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t>
    <phoneticPr fontId="101" type="noConversion"/>
  </si>
  <si>
    <t>A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Hzt2bAIAAMMw7P+vuxRyg0EXlCyGqh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t>
    <phoneticPr fontId="101" type="noConversion"/>
  </si>
  <si>
    <t>ABC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t>
    <phoneticPr fontId="101" type="noConversion"/>
  </si>
  <si>
    <t>ABC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vCsWPHJgAAMAzD/v+6S6A3GHRB6WKI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t>
    <phoneticPr fontId="101" type="noConversion"/>
  </si>
  <si>
    <t>AB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Bx7NixCQAADMOw/7/uEugNBl1Quhgi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t>
    <phoneticPr fontId="101" type="noConversion"/>
  </si>
  <si>
    <t>ABC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OLYsWMTAAAYhmH/f90l0BsMuqB0MUR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t>
    <phoneticPr fontId="101" type="noConversion"/>
  </si>
  <si>
    <t>ABC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Tl27NgEAACGYdj/X3cp5AaDLihZDBW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t>
    <phoneticPr fontId="101" type="noConversion"/>
  </si>
  <si>
    <t>ABC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jh07NgEAgGEY9v/XXQK9waALShdDB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
    <phoneticPr fontId="101" type="noConversion"/>
  </si>
  <si>
    <t>ABC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t>
    <phoneticPr fontId="101" type="noConversion"/>
  </si>
  <si>
    <t>ABC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x44dmwAAwDAM+//rLoHeYNAFpYshAh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t>
    <phoneticPr fontId="101" type="noConversion"/>
  </si>
  <si>
    <t>ABC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OHTs2AQCAYRj2/9ddAr3BoAtKF0Mk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t>
    <phoneticPr fontId="101" type="noConversion"/>
  </si>
  <si>
    <t>ABC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AlR+K9FQRTABJioRgFMgAkwoQpgAkyACWGxQXa8FxYwIQr/tSiIApgAE9UogAkwASZUAUyACTAhLDbIjvfCAiZE4b8WBVEAE2CiGgUwASbAhCqACTABJoTFBtnxXljAhCj816IgCmACTFSjACbABJhQBTABJsCEsNggO94LC5gQhf9aFEQBTICJahTABJgAE6oAJsAEmBAWG2THe2EBE6LwX4uCKIAJMFGNApgAE2BCFcAEmAATwmKD7HgvLGBCFP5rURAFMAEmqlEAE2ACTKgCmAATYEJYbJAd74UFTIjCfy0KogAmwEQ1CmACTIAJVQATYAJMCIsNsuO9sIAJUfivRUEUwASYqEYBTIAJMKEKYAJMgAlhsUF2vBcWMCEK/7UoiAKYABPVKIAJMAEmVAFMgAkwISw2yI73wgImROG/FgVRABNgohoFMAEmwIQqgAkwASaExQbZ8V5YwIQo/NeiIApgAkxUowAmwASYUAUwASbAhLDYIDveCwuYEIX/WhREAUyAiWoUwASYABOqACbABJgQFhtkx3thAROi8F+LgiiACTBRjQKYABNgQhXABJgAE8Jig+x4LyxgQhT+a1EQBTABJqpRABNgAkyoApgAE2BCWGyQHe+FBUyIwn8tCqIAJsBENQpgAkyACVUAE2ACTAiLDbLjvbCACVH4r0VBFMAEmKhGAUyACTChCmACTIAJYbFBdrwXFjAhCv+1KIgCmAAT1SiACTABJlQBTIAJMCEsNsiO98ICJkThvxYFUQATYKIaBTABJsCEKoAJMAEmhMUG2fFeWMCEKPzXoiAKYAJMVKMAJsAEmFAFMAEmwISw2CA73gsLmBCF/1oURAFMgIlqFMAEmAATqgAmwASYEBYbZMd7YQETovBfi4IogAkwUY0CmAATYEIVwASYABPCYoPseC8sYEIU/mtREAUwASaqUQATYAJMqAKYABNgQlhskB3vhQVMiMJ/LQqiACbARDUKYAJMgAlVABNgAkwIiw2y472wgIljx45NAABgGIb9/3WXQm4w6IKSxVCJ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t>
    <phoneticPr fontId="101" type="noConversion"/>
  </si>
  <si>
    <t>ABC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AkxUowAmwASYUAUwASbAhLD4Qf54LyxgQhS2WhREAUyAiWoUwASYABOqACbABJgQFj/IH++FBUyIwlaLgiiACTBRjQKYABNgQhXABJgAE8LiB/njvbCACVHYalEQBTABJqpRABNgAkyoApgAE2BCWPwgf7wXFjAhClstCqIAJsBENQpgAkyACVUAE2ACTAiLH+SP98ICJkRhq0VBFMAEmKhGAUyACTChCmACTIAJYfGD/PFeWMCEKGy1KIgCmAAT1SiACTABJlQBTIAJMCEsfpA/3gsLmBCFrRYFUQATYKIaBTABJsCEKoAJMAEmhMUP8sd7YQETorDVoiAKYAJMVKMAJsAEmFAFMAEmwISw+EH+eC8sYEIUtloURAFMgIlqFMAEmAATqgAmwASYEBY/yB/vhQVMiMJWi4IogAkwUY0CmAATYEIVwASYABPC4gf5472wgAlR2GpREAUwASaqUQATYAJMqAKYABNgQlj8IH+8FxYwIQpbLQqiACbARDUKYAJMgAlVABNgAkwIix/kj/fCAiZEYatFQRTABJioRgFMgAkwoQpgAkyACWHxg/zxXljAhChstSiIApgAE9UogAkwASZUAUyACTAhLH6QP94LC5gQha0WBVEAE2CiGgUwASbAhCqACTABJoTFD/LHe2EBE6Kw1aIgCmACTFSjACbABJhQBTABJsCEsPhB/ngvLGBCFLZaFEQBTICJahTABJgAE6oAJsAEmBAWP8gf74UFTIjCVouCKIAJMFGNApgAE2BCFcAEmAATwuIH+eO9sIAJUdhqURAFMAEmqlEAE2ACTKgCmAATYEJY/CB/vBcWMCEKWy0KogAmwEQ1CmACTIAJVQATYAJMCIsf5I/3wgImRGGrRUEUwASYqEYBTIAJMKEKYAJMgAlh8YP88V5YwIQobLUoiAKYABPVKIAJMAEmVAFMgAkwISx+kD/eCwuYEIWtFgVRABNgohoFMAEmwIQqgAkwASaExQ/yx3thAROisNWiIApg4tixmx1Qz/Mqw+eSuSsnthN7CAUEUpGqUomx4x9UNamR04KYMWeMxIA5TBAjDqkVh4Gbvumq01CEKOpaTy8piqLYyed3/1x73Y/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t>
    <phoneticPr fontId="101" type="noConversion"/>
  </si>
  <si>
    <t>ABCg8VhAgp5NRSg4DDhMLGKgsOEw4TDBBUcJhwmHCbAokHex/dgcZiAQl4NBSg4TDhMrKLgMOEw4TBBBYcJhwmHCbBokPfxPVgcJqCQV0MBCg4TDhOrKDhMOEw4TFDBYcJhwmECLBrkfXwPFocJKOTVUICCw4TDxCoKDhMOEw4TVHCYcJhwmACLBnkf34PFYQIKeTUUoOAw4TCxioLDhMOEwwQVHCYcJhwmwKJB3sf3YHGYgEJeDQUoOEw4TKyi4DDhMOEwQQWHCYcJhwmwaJD38T1YHCagkFdDAQoOEw4Tqyg4TDhMOExQwWHCYcJhAiwa5H18DxaHCSjk1VCAgsOEw8QqCg4TDhMOE1RwmHCYcJgAiwZ5H9+DxWECCnk1FKDgMOEwsYqCw4TDhMMEFRwmHCYcJsCiQd7H92BxmIBCXg0FKDhMOEysouAw4TDhMEEFhwmHCYcJsGiQ9/E9WBwmoJBXQwEKDhMOE6soOEw4TDhMUMFhwmHCYQIsGuR9fA8Whwko5NVQgILDhMPEKgoOEw4TDhNUcJhwmHCYAIsGeR/fg8VhAgp5NRSg4DDhMLGKgsOEw4TDBBUcJhwmHCbAokHex/dgcZiAQl4NBSg4TDhMrKLgMOEw4TBBBYcJhwmHCbBokPfxPVgcJqCQV0MBCg4TDhOrKDhMOEw4TFDBYcJhwmHiFix/8R9+9Yv4B//iT37+88+//Xe/fNk//qM///df/zX8vb/ll7+K//oP2Q/+we/97p//I/5Skz/46nu/JX/wu99+86++/fzn/+QPfvaz3/72m1/84ve++vqff/Pl9/7J/oK7R91vZO5ffvPtH/7u5//6q29/6x999fXnf/KzP/7lT973RPvLv+VXPxC/avOPP/rxlx99/eEHP/3s0+/+xP3ikx9+8NmHX3z9wadffv35px99/OPPvvjsL3/svnvsT3//mz/+/Gf/2x+Lv/jLv0Tjr/7s/uD3/+mv/ZD86uf/d370Wx9+968f/ul/+09/+p//65/9+//yZ//jP/zP//4f8w/5i9/5jshf/9A/+8U//Parz//wy2/+7R/9+l/67rfPb39nzZ//uvjhh7/6vfXdr4Kf/eV/+6NfIfuD3/gT8ntf/fybf/PVl3/1r9X9afPx9xbFX/vT5uMf/SZx/m//tPn4e378PfrT5uNPPvrqhz/++LvfDJ9/9d2/ffnjDz799IsPP/jo0w+//OTHX3/82Yc//TvZoB9/+Nf/X3/zz5U/Kb7/9/z9mKBQ+P95wv7pT3744Ucff/LBxz/94XcL8suffPnBZx99+fkHH3723ZD88suvvpuUn0HhbxcF16q/BRQ++ptR+BgK/w/Xqu8W8qcffv3ZB5/85OvvlsInX33ywac//cmPP/joiy8+/uKrL7745Isvvvg7QeFHfwMK/6dr1a//b8tQsBQshWoU5AMU8mooQEE+yIdV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t>
    <phoneticPr fontId="101" type="noConversion"/>
  </si>
  <si>
    <t>ABC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QKEaBfkgH/LqIRTkg3yQD1CwFOTD2aUABShUoyAf5ENePYSCfJAP8gEKloJ8OLsUoACFahTkg3zIq4dQkA/yQT5AwVKQD2eXAhSgUI2CfJAPefUQCvJBPsgHKFgK8uHsUoACFKpRkA/yIa8eQkE+yAf5AAVLQT6cXQpQgEI1CvJBPuTVQyjIB/kgH6BgKciHs0sBClCoRkE+yIe8eggF+SAf5AMULAX5cHYpQAEK1SjIB/mQVw+hIB/kg3yAgqUgH84uBShAoRoF+SAf8uohFOSDfJAPULAU5MPZpQAFKFSjIB/kQ149hIJ8kA/yAQqWgnw4uxSgAIVqFOSDfMirh1CQD/JBPkDBUpAPZ5cCFKBQjYJ8kA959RAK8kE+yAcoWAry4exSgAIUqlGQD/Ihrx5CQT7IB/kABUtBPpxdClCAQjUK8kE+5NVDKMgH+SAfoGApyIezSwEKUKhGQT7Ih7x6CAX5IB/kAxQsBflwdilAAQrVKMgH+ZBXD6EgH+SDfICCpSAfzi4FKEChGgX5IB/y6iEU5IN8kA9QsBTkw9mlAAUoVKMgH+RDXj2EgnyQD/IBCpaCfDi7FKAAhWoU5IN8yKuHUJAP8kE+QMFSkA9nlwIUoFCNgnyQD3n1EAryQT7IByhYCvLh7FKAAhSqUZAP8iGvHkJBPsgH+QAFS0E+nF0KUIBCNQryQT7k1UMoyAf5IB+gYCnIh7NLAQpQqEZBPsiHvHoIBfkgH+QDFCwF+XB2KUABCtUoyAf5kFcPoSAf5IN8gIKlIB/OLgUo/C/265gIAAAGgZh/1x1rAbhIYPkj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t>
    <phoneticPr fontId="101" type="noConversion"/>
  </si>
  <si>
    <t>ABC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h2O/jokAAGAQiPl33RELhYsElj+C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t>
    <phoneticPr fontId="101" type="noConversion"/>
  </si>
  <si>
    <t>ABC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OPbrmAgAAAaBmH/XHbFQuEhg+SP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t>
    <phoneticPr fontId="101" type="noConversion"/>
  </si>
  <si>
    <t>ABC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Hfh0TAQDAIBDz77ojFgoXCSx/RB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t>
    <phoneticPr fontId="101" type="noConversion"/>
  </si>
  <si>
    <t>ABC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t>
  </si>
  <si>
    <t>ABC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2O/jokAAGAQiPl33RELhYsElj8y+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t>
  </si>
  <si>
    <t>ABC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divYyIAABgEYv5dd6wF4CKB5Y9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t>
  </si>
  <si>
    <t>ABC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fnVRFPABH/BBFDwFfJh9CqIgCtFRwAd8+NVFUcAHfMAHUfAU8GH2KYiCKERHAR/w4VcXRQEf8AEfRMFTwIfZpyAKohAdBXzAh19dFAV8wAd8EAVPAR9mn4IoiEJ0FPABH351URTwAR/wQRQ8BXyYfQqiIArRUcAHfPjVRVHAB3zAB1HwFPBh9imIgihERwEf8OFXF0UBH/ABH0TBU8CH2acgCqIQHQV8wIdfXRQFfMAHfBAFTwEfZp+CKIhCdBTwAR9+dVEU8AEf8EEUPAV8mH0KoiAK0VHAB3z41UVRwAd8wAdR8BTwYfYpiIIoREcBH/DhVxdFAR/wAR9EwVPAh9mnIAqiEB0FfMCHX10UBXzAB3wQBU8BH2afgiiIQnQU8AEfjv06JgIAgEEg5t91RywULhJY/kh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t>
  </si>
  <si>
    <t>ABC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Dh2K9jIgAAGARi/l13xELhIoHlj+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t>
  </si>
  <si>
    <t>ABC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t>
  </si>
  <si>
    <t>ABC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Bz7dUwEAACDQMy/645YKFwksPwR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t>
  </si>
  <si>
    <t>ABC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Rz7dUwEAACDQMy/6461AFwksPwR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t>
  </si>
  <si>
    <t>ABC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Aj7gw68uigI+4AM+iIKngA+zT0EURCE6CviAD7+6KAr4gA/4IAqeAj7MPgVREIXoKOADPvzqoijgAz7ggyh4Cvgw+xREQRSio4AP+PCri6KAD/iAD6LgKeDD7FMQBVGIjgI+4MOvLooCPuADPoiCp4APs09BFEQhOgr4gA+/uigK+IAP+CAKngI+zD4FURCF6CjgAz786qIo4AM+4IMoeAr4MPsUREEUoqOAD/jwq4uigA/4gA+i4Cngw+xTEAVRiI4CPuDDry6KAj7gAz6IgqeAD7NPQRREIToK+IAPv7ooCviAD/ggCp4CPsw+BVEQhego4AM+/OqiKOADPuCDKHgK+DD7FERBFKKjgA/48KuLooAP+IAPouAp4MPsUxAFUYiOwrFfx0QAADAIxPy77oiFwkUCyx/B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t>
  </si>
  <si>
    <t>ABC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+9uuYCAAABoGYf9cdsVC4SGD5I0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t>
  </si>
  <si>
    <t>ABC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t>
  </si>
  <si>
    <t>ABC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Ad8EAVPAR9mn4IoiMLrKOADPmR1URTwAR/wQRQ8BXyYfQqiIAqvo4AP+JDVRVHAB3zAB1HwFPBh9imIgii8jgI+4ENWF0UBH/ABH0TBU8CH2acgCqLwOgr4gA9ZXRQFfMAHfBAFTwEfZp+CKIjC6yjgAz5kdVEU8AEf8EEUPAV8mH0KoiAKr6OAD/iQ1UVRwAd8wAdR8BTwYfYpiIIovI4CPuBDVhdFAR/wAR9EwVPAh9mnIAqi8DoK+IAPWV0UBXzAB3wQBU8BH2afgiiIwuso4AM+ZHVRFPABH/BBFDwFfJh9CqIgCq+jgA/4kNVFUcAHfMAHUfAU8GH2KYiCKLyOAj7gQ1YXRQEf8AEfRMFTwIfZpyAKovA6CviAD1ldFAV8wIdjv46JAABgEIj5d90RC4WLBJY/gg+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t>
  </si>
  <si>
    <t>ABC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Aj7MPgVREIXXUcAHfMjqoijgAz7ggyh4Cvgw+xREQRReRwEf8CGri6KAD/iAD6LgKeDD7FMQBVF4HQV8wIesLooCPuADPoiCp4APs09BFEThdRTwAR+yuigK+IAP+CAKngI+zD4FURCF11HAB3zI6qIo4AM+4IMoeAr4MPsUREEUXkcBH/Ahq4uigA/4gA+i4Cngw+xTEAVReB0FfMCHrC6KAj7gAz6IgqeAD7NPQRRE4XUU8AEfsrooCviAD/ggCp4CPsw+BVEQhddRwAd8yOqiKOADPuCDKHgK+DD7FERBFF5HAR/wIauLooAP+IAPouAp4MPsUxAFUXgdBXzAh6wuigI+4AM+iIKngA+zT0EUROF1FPABH7K6KAr4gA/4IAqewrFzP7uVZ+d1hm+F0PwYPH9IHg4Ty0EMOILRMZAxWSQDw2p1IMkJMsssgwwyynVklFlux0EuI2y1uTYXKbHRqg5q7189kyAtL378Nuv02996u7r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6AgktBfdjspQAKoDA1FNQH9WG8eiEoqA/qg/oACi4F9WGzlwIogMLUUFAf1Ifx6oWgoD6oD+oDKLgU1IfNXgqgAApTQ0F9UB/GqxeCgvqgPqgPoOBSUB82eymAAihMDQX1QX0Yr14ICuqD+qA+gIJLQX3Y7KUACqAwNRTUB/VhvHohKKgP6oP6AAouBfVhs5cCKIDC1FBQH9SH8eqFoKA+qA/qAyi4FNSHzV4KoAAKU0NBfVAfxqsXgoL6oD6oD6DgUlAfNnspgAIoTA0F9UF9GK9eCArqg/qgPoCCS0F92OylAAqgMDUU1Af1Ybx6ISioD+qD+gAKLgX1YbOXAiiAwtRQUB/Uh/HqhaCgPqgP6gMouBTUh81eCqAAClNDQX1QH8arF4KC+qA+qA+g4FJQHzZ7KYACKEwNBfVBfRivXggK6oP6oD58SSj88P95+QD+4t/+47ff3v32P//hZX/1m+//37efv4r84RP4/kf2i3/xzd9+v+IfSPD3j/W30y/+9rff/fvf3n37r/7+17/+y99+97vfffP49G++e6jNfkDVP2PqjyLq333323/427v/8Pjbv/jl49PdP/7693/4xSsaJfLyg/jnvy+ebu/ub05XN7unm/Pl7nR5ebm7f9o/7Pb3N5e3V4fry+vj+Rfjsfd/993v7379J38WP/yf//A3/Otf3V/83b9+8yN5+fX/67/9q7HQ7/7mGWVvh/717/7lbx/v/uHhu//0m7f/p+e/Vf7ymQnffwaub17+x+e/B17+x/3ty//4R3/03zx++91/fHz4o/+3r+BX/vp0c/90/3i9O+yfbnan/cPl7u64P+2eHu6vHvdXl8ebq/3/x1/5vzn8xeXxLy73//Rf//s//Zf//X/+13/7v//zf/wsH4X98Y98FA7Hn/pRmO482J8L9+/ug/35/Q35ZxwI+3PdGV/PhbDf3z1e391/2h0ejve70/X1/e58eLreXZ4ur47XD9dXz1z8EhfC/rx/P/ZP/GqtVxzWuxHmKw7729sPyXC4vPw5yHC43H+dZDhe3+3P98fT7tPd7XF3uj3c7W6v7p52h083D09Xj3en4/3NFyHD7flPk+HNr9Z6ZKAUPp8Mh/3HTuGw/1mkwmF/9XWS4f5wuz883p1318dPD89k+HR8bk+nw27/8HR3eXX3fEM8PH0JMhz2H2iFN79a65HhiAyfT4bD9cdkONz8LGQ4nL9SMlw9fHp4vHyuD5en53Z9enzY3Z4Pj7vz8fHm4fby+nS6O3wRMhyuPiBD/2qtR4YTMnw2Ga4+BsPVz8KF68uvEwv754vrfDpd767Pj+fd6erm+H2VOO8eb26uH28ub443x+OXwMLVB1TY79/Xx59ChdsvTIVffr5j+Ob5w33x7ePF3W8eLn74G/n5r36UEj/+VduhBjvJTr4nBzvpnmAn2cn3TYOdRAZ2kp18TwZ2EhnYSXbyPRnYSWRgJ9lJdpKdZCenAgc7yU6uSQZ2kp1kJ5GBnawV2Mkay04iAzvJTn5ABnYSGXgGnoFnQAaeoVfgGWosz4AMPAPPwDMkgQw8Q6/AM9RYngEZ/C4ovwuqp/pdUH4XFGqgBmqghn+nsSY4/DsN/05jTTL4dxr+nYZ/p4EM/p1GreDfadRY/04DGfw7Df9O4wMy+HcayMAz8Aw8AzLwDL0Cz1BjeQZk4Bl4Bp4hCWTgGXoFnqHG8gzIwDPwDDxDEsjAM/QKPEON5RmQgWfgGXiGJJCBZ+gVeIYayzMgA8/AM/AMSSADz9Ar8Aw1lmdABp6BZ+AZkkAGnqFX4BlqLM+ADP5UF3+qS09NzfCnuvhTXfJdUAM1UAM1UAM1UAM1UOMCNVADNWanht8/4fdPvCeH3z/BePr9E37/xDsy+P0TyOD3T/j9ExfvyeD3TyCD3z/h90+8J4PfP4EMPAPPwDM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kA/B1cdguPpZuHB9+XViYf98cZ1Pp+vd9fnxvDtd3Ry/rxLn3ePNzfXjzeXN8eZ4/BJYuPqACvv9+/r4U6hw+4Wp8MvPdwzfPH+4L759vLj7zcPFD38jP//Vj1Lix78KNVADNS5QAzVQY3x2UeP1l6IGaqAGaqBGEqiBGqiBGqiBGvnmqIEaqPGSRg3UePMDRg3UQA3UQA3U2A41/Hch/ruQ9+Tw34X4nVz+uxD/Xcg7MvjvQpDBfxfivwu5eE8G/10IMvjvQvx3Ie/J4L8LQQaegWfgGZ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MiH4OpjMFz9LFy4vvw6sbB/vrjOp9P17vr8eN6drm6O31eJ8+7x5ub68eby5nhzPH4JLFx9QIX9/n19/ClUuP3CVPjl5zuGb54/3BffPl7c/ebh4oe/kZ//6kcp8eNfhRqogRoXqIEaqDE+u6jx+ktRAzVQAzVQIwnUQA3UQA3UQI18c9RADdR4SaMGarz5AaMGaqAGaqAGaqAGaqDGBWqgBmqMzy5qvP5S1EAN1EAN1EgCNVADNVADNVAj3xw1UAM1XtKogRpvfsCogRqogRqogRqogRqocYEaXyk1/Dme/hzP9+Tw53j6k3f8OZ7+HM93ZPDneCKDP8fTn+N58Z4M/hxPZPDnePpzPN+TwZ/jiQw8A8/AMy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iQD8HVx2C4+lm4cH35dWJh/3xxnU+n6931+fG8O13dHL+vEufd483N9ePN5c3x5nj8Eli4+oAK+/37+vhTqHD7hanwy893DN88f7gvvn28uPvNw8UPfyM//9WPUuLHvwo1UAM1LlADNVBjfHZR4/WXogZqoAZqoEYSqIEaqIEaqIEa+eaogRqo8ZJGDdR48wNGDdRADdRADdRADdRAjQvUQA3UGJ9d1Hj9paiBGqiBGqiRBGqgBmqgBmqgRr45aqAGarykUQM13vyAUQM1UAM1UAM1UAM1UOMCNVADNcZnFzVefylqoAZqoAZqJIEaqIEaqIEaqJFvjhqogRovadRAjTc/YNRADdRADdRADdRADdS4QA3UQI3x2UWN11+KGqiBGqiBGkmgBmqgBmqgBmrkm6MGaqDGSxo1UOPNDxg1UAM1UAM1UAM1UAM1LlADNVBjfHZR4/WXogZqoAZqoEYSqPHTqbE/Hz7Exv58/Dm4sT+fvlJw7O8er+/uP+0OD8f73en6+n53Pjxd7y5Pl1fH64frq/un/ZcAx/68/4Ac/av1k8lx/MLk+NXnk+NX3/3+8Xc/Sor3qQ2R4fb2QzIcLt//4+XPIMPhcv91kuF4fbc/3x9Pu093t8fd6fZw9/1J8bQ7fLp5eLp6vDsd72++CBluz3+aDG9+tdYjwwEZPpsMh/3xYzLs3//j488hw/7q6yTD/eF2f3h8bhfXx08Pz2T4dNzdP50Ou/3D093l1d3zDfHw9CXIcNgfPiBD/2qtR4YjMnw+GQ4fS4jD4WexEIfD+Sslw9XDp4fHy+f6cHm62Z1Ojw+72/PhcXc+Pt483F5en053hy9ChsMHHuLNr9Z6ZDghA88wORl4Bp5hUTLwDDwDz4AMPEOt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t>
  </si>
  <si>
    <t>ABC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4T0Zrj4Gw9XPwoXry68TC/vni+t8Ol3vrs+P593p6ub4fZU47x5vbq4fby5vjjfH45fAwtUHVNjv39fHn0KF2y9MhV9+vmP45vnDffHt48Xdbx4ufvgb+fmvfpQSP/5V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xnaosT8fPsTG/nz8ObixP5++UnDs7x6v7+4/7Q4Px/vd6fr6fnc+PF3vLk+XV8frh+ur+6f9lwDH/rz/gBz9q/WTyXH8wuT41eeT41ff/f7xdz9KivepDZHh9vZDMhwu3//j5c8gw+Fy/3WS4Xh9tz/fH0+7T3e3x93p9nD3/UnxtDt8unl4unq8Ox3vb74IGW7Pf5oMb3611iPDARk+mwyH/fFjMuzf/+PjzyHD/urrJMP94XZ/eHxuF9fHTw/PZPh03N0/nQ67/cPT3eXV3fMN8fD0Jchw2B8+IEP/aq1HhiMyfD4ZDh9LiMPhZ7EQh8P5KyXD1cOnh8fL5/pwebrZnU6PD7vb8+Fxdz4+3jzcXl6fTneHL0KGwwce4s2v1npkOCEDzzA5GXgGnmFRMvAMPAPPgAw8Q63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4T0Zrj4Gw9XPwoXry68TC/vni+t8Ol3vrs+P593p6ub4fZU47x5vbq4fby5vjjfH45fAwtUHVNjv39fHn0KF2y9MhV9+vmP45vnDffHt48Xdbx4ufvgb+fmvfpQSP/5V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iBGqgxPruo8fpLUQM1UAM1UCMJ1EAN1EAN1ECNfHPUQA3UeEmjBmq8+QGjBmqgBmqgBmqgBmqgxgVqoAZqjM8uarz+UtRADdRADdRIAjVQAzVQAzVQI98cNVADNV7SqIEab37AqIEaqIEaqIEaqIEaqHGBGqiBGuOzixqvvxQ1UAM1UAM1kkAN1EAN1EAN1Mg3Rw3UQI2XNGqgxpsfMGqgBmqgBmqgBmqgBmpcoAZqoMb47KLG6y9FDdRADdRAjSRQAzVQAzVQAzXyzVEDNVDjJY0aqPHmB4waqIEaqIEaqIEaqIEaF6jxlVJjfz58iI39+fhzcGN/Pn2l4NjfPV7f3X/aHR6O97vT9fX97nx4ut5dni6vjtcP11f3T/svAY79ef8BOfpX6yeT4/iFyfGrzyfHr777/ePvfpQU71MbIsPt7YdkOFy+/8fLn0GGw+X+6yTD8fpuf74/nnaf7m6Pu9Pt4e77k+Jpd/h08/B09Xh3Ot7ffBEy3J7/NBne/GqtR4YDMnw2GQ7748dk2L//x8efQ4b91ddJhvvD7f7w+Nwuro+fHp7J8Om4u386HXb7h6e7y6u75xvi4elLkOGwP3xAhv7VWo8MR2T4fDIcPpYQh8PPYiEOh/NXSoarh08Pj5fP9eHydLM7nR4fdrfnw+PufHy8ebi9vD6d7g5fhAyHDzzEm1+t9chwQgaeYXIy8Aw8w6Jk4Bl4Bp4BGXiGW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l4Bp4hCWTgGXoFnqHG8gzIwDPwDDxDEsjAM/QKPEON5RmQgWfgGXiGJJCBZ+gVeIYayzMgA8/AM/AMSSADz9Ar8Aw1lmdABp6BZ+AZkkAGnqFX4BlqLM+ADDwDz8AzJIEMPEOvwDPUWJ4BGXgGnoFnSAIZeIZegWeosTwDMvAMPAPPkAQy8Ay9As9QY3kGZOAZeAaeIQlk4Bl6BZ6hxvIMyMAz8Aw8QxLIwDP0CjxDjeUZkIFn4Bl4hiSQgWfoFXiGGsszIAPPwDPwDEkgA8/QK/AMNZZnQAaegWfgGZJABp6hV+AZaizPgAw8A8/AMySBDDxDr8Az1FieARl4Bp6BZ0gCGXiGXoFnqLE8AzLwDDwDz5AEMvAMvQLPUGN5BmTgGXgGniEJZOAZegWeocbyDMjAM/AMPEMSyMAz9Ao8Q43lGZCBZ+AZeIYkkIFn6BV4hhrLMyADz8Az8AxJIAPP0CvwDDWWZ0AGnoFn4BmSQAaeoVfgGWosz4AMPAPPwDMkgQw8Q6/AM9RYngEZeAaegWdIAhl4hl6BZ6ixPAMy8Aw8A8+QBDLwDL0Cz1BjeQZk4Bn+Hzt2s6u3gZ1p9FZ4AwJ0ztGf5xlnkDuQLXmW9KD7/tEuBHzJh0ZUqFQBTsVraGBzc+MT/dha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Bs7QEzhD1nIGZeAMnIEzbEIZOENP4AxZyxmUgTNwBs6wCWXgDD2BM2QtZ1AGzsAZOMMmlIEz9ATOkLWcQRk4A2fgDJtQht+X4eOPw/DxH9KFT+//nFl4+e3/uL58+PDp3acv37+8+/Dx89tf/irx5d33z58/ff/8/vPb57e3PyILH39QhZeX3//18W+pwk9/cBX+5e83hn/77eM+/v378fU/vh3/+S/yb//0Vyvx159S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ZqvHx5/WE2Xr68/SO68fLlw580HC9fv3/6+vMv716/vf387sOnTz+/+/L666d37z+8//j26dunjz//+vJHhOPly8sPytE/rb+5HG9/cDn+9e8vx7/+n//3/f/+1VL8fup/URl++umHZXh9//v/vPw3yvD6/uXPWYa3T19fvvz89uHdL19/env34afXr3/5X4pf373+8vnbrx+/f/3w9vPnP6QMP335r8vw+NP65yvDqzL83WV4fXn7cRlefv+fj/9OGV4+/jnL8PPrTy+v33/728Wnt1++/VaGX97e/fzrh9d3L99+/fr+49ff/h/i269/RBleX15/UIb+af3zleFNGf7+Mrz+GCFeX/8hCvH6+uVPWoaP33759v39b399eP/h87sPH75/e/fTl9fv7768ff/87af3nz58+Pr6h5Th9QcO8fjT+ucrwwdl4Az/w8vAGTjDP2kZOANn4AzKwBly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t>
  </si>
  <si>
    <t>ABC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gDZ+gJnCFrOYMycAbOwBk2oQycoSdwhqzlDMrAGTgDZ9iEMnCGnsAZspYzKANn4AycYRPKwBl6AmfIWs6gDJyBM3CGTSjD78vw8cdh+PgP6cKn93/OLLz89n9cXz58+PTu05fvX959+Pj57S9/lfjy7vvnz5++f37/+e3z29sfkYWPP6jCy8vv//r4t1Thpz+4Cv/y9xvDv/32cR///v34+h/fjv/8F/m3f/qrlfjrT6m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CN/8+OveTGkRhRFN0KN0CA9RFFbqL3wO/UA3v/sDzgI28JTcPdDchqnXlUZCCVuJKOaqiGaqjGHq4aqqEab9OqoRoXL1g1VEM1VEM1VEM1VEM1rlRDNVTj/dtVjY8/VQ3VUA3VUI1NqIZqqIZqqIZq7OGqoRqq8TatGqpx8YJVQzVUQzVUQzVUQzVU40o1VEM13r9d1fj4U9VQDdVQDdXYhGqohmqohmqoxh6uGqqhGm/TqqEaFy9YNVRDNVRDNVRDNVRDNa5UQzVU4/3bVY2PP1UN1VAN1VCNTaiGaqiGaqiGauzhqqEaqvE2rRqqcfGCVUM1VEM1VEM1VEM1VONKNVRDNd6/XdX4+FPVUA3VUA3V2IRqqIZqqIZqqMYerhqqoRpv06qhGhcvWDVUQzVUQzVUQzVUQzWuVEM1VOP921WNjz9VDdVQDdVQjU2ohmqohmqohmrs4aqhGqrxNq0aqnHxglVDNVRDNVRDNVRDNVTjSjVUQzXev13V+PhT1VAN1VAN1diEaqiGaqiGaqjGHq4aqqEab9OqoRoXL1g1VEM1VEM1VEM1VEM1rlRDNVTj/dtVjY8/VQ3VUA3VUI1NqIZqqIZqqIZq7OGqoRqq8TatGqpx8YJVQzVUQzVUQzVUQzVU40o1VEM13r9d1fj4U9VQDdVQDdXYhGqohmqohmqoxh6uGqqhGm/TqqEaFy9YNVRDNVRDNVRDNVRDNa5UQzVU4/3bVY2PP1UN1VAN1VCNTaiGaqiGaqiGauzhqqEaqvE2rRqqcfGCVUM1VEM1VEM1VEM1VONKNVRDNd6/XdX4+FPVUA3VUA3V2IRqqIZqqIZqqMYerhqqoRpv06qhGhcvWDVUQzVUQzVUQzVUQzWuVEM1VOP921WNjz9VDdVQDdVQjU2ohmqohmqohmrs4aqhGqrxNq0aqnHxglVDNVRDNVRDNf4+1TjcHT/NxuHu9Fd043B3/kXDcXh4uX14fLo+Pp8er8+3t4/Xd8fX2+ub882X0+3z7ZfH18OPCMfh7vBJOfqn9T+X4/SDy/Hbny/Hb//418s//2spvp/6G5Xh/v7TMhxvvv/r5Q+U4Xhz+DXLcLp9ONw9ns7XTw/3p+vz/fHhP/+keL0+Pn19fv3y8nA+PX79IWW4v/v9Mlz8af18ZTgqw58uw/Fw+rwMh+//+vgjZTh8+TXL8Hi8Pxxfvv3v4vb09PytDE+n68fX8/H68Pz6cPPl4du/IZ5ff0QZjofjJ2Xon9bPV4aTMvz5Mhw/R4jj8S9RiOPx7hctw5fnp+eXm2//fbg5f70+n1+er+/vji/Xd6eXr8/3N7fn88Pxh5Th+IlDXPxp/XxlOCsDZ/g/LwNn4Aw/aRk4A2fgDMrAGXI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t>
  </si>
  <si>
    <t>AB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cIaewBmyljMoA2fgDJxhE8rAGXoCZ8hazqAMnIEzcIZNKANn6AmcIWs5gzJwBs7AGTahDJyhJ3CGrOUMysAZOANn2IQy/Jsdu9nV28DSM3orvAEBOufod97jHvQdyJY8SzJI7h/tRoMv+dCICt1VgFPxGhawubnxibUsPT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t>
  </si>
  <si>
    <t>ABC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8EcZPv4cho//EBc+vf9rsvDy+9+4vnz48Ondpy8/vrz78PHz23/8U+LLux+fP3/68fn957fPb29/Bgsff6LCy8sf//n4X1Hh65+swr/8/Y3h337/uI//8eP49j+/H//5f+Tf/9ffVOJvP0U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pQgxrXt0uN+6PUoAY1qEGNTVCDGtSgBjWosZdTgxrUOKepQY3HD0wNalCDGtSgBjWoQY2DGtSgxvXtUuP+KDWoQQ1qUGMT1KAGNahBDWrs5dSgBjXOaWpQ4/EDU4Ma1KAGNahBDWpQ46AGNahxfbvUuD9KDWpQgxrU2AQ1qEENalCDGns5NahBjXOaGtR4/MDUoAY1qEENalCDGtQ4qEENalzfLjXuj1KDGtSgBjU2QQ1qUIMa1KDGXk4NalDjnKYGNR4/MDWoQQ1qUIMa1KAGNQ5qUIMa17dLjfuj1KAGNahBjU1QgxrUoAY1qLGXU4Ma1DinqUGNxw9MDWpQgxrUoAY1qEGNgxrUoMb17VLj/ig1qEENalBjE9SgBjWoQQ1q7OXUoAY1zmlqUOPxA1ODGtSgBjWoQQ1qUOOgBjWocX271Lg/Sg1qUIMa1NgENahBDWpQgxp7OTWoQY1zmhrUePzA1KAGNahBDWpQgxrUOKhBDWpc3y417o9SgxrUoAY1NkENalCDGtSgxl5ODWpQ45ymBjUePzA1qEENalCDGtSgBjUOalCDGte3S437o9SgBjWoQY1NUIMa1KAGNaixl1ODGtQ4p6lBjccPTA1qUIMa1KAGNahBjYMa1KDG9e1S4/4oNahBDWpQYxPUoAY1qEENauzl1KAGNc5palDj8QNTgxrUoAY1qEENalDjoAY1qHF9u9S4P0oNalCDGtTYBDWoQQ1qUIMaezk1qEGNc5oa1Hj8wNSgBjWoQQ1qUIMa1DioQQ1qXN8uNe6PUoMa1KAGNTZBDWpQgxrUoMZeTg1qUOOcpgY1Hj8wNahBDWpQgxrUoAY1Dmr8RdV4+fL6UzZevrz9I9x4+fLhLwrHy7cfn7798uu71+9vv7z78OnTL+++vP726d37D+8/vn36/unjL7+9/BlwvHx5+Ykc/dP6L8vx9ifL8a9/vxz/+r/+z4///Tel+OPU/0cyfP36Uxle3//xPy//DRle37/8NWV4+/Tt5csvbx/e/frt69u7D19fv/3HXyl+e/f66+fvv3388e3D2y+f/xQZvn75v8vw+NP655PhlQx/twyvL28/l+Hlj//5+O/I8PLxrynDL69fX15//P6vi09vv37/XYZf39798tuH13cv33/79v7jt9//DvH9tz9DhteX15/I0D+tfz4Z3sjw98vw+vMI8fr6D6kQr69f/qIyfPz+6/cf73//58P7D5/fffjw4/u7r19ef7z78vbj8/ev7z99+PDt9U+R4fUnHeLxp/XPJ8MHMugM/4/LoDPoDP+kMugMOoPOQAadI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t>
  </si>
  <si>
    <t>ABC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dAadQWfYBBl0hp6gM2StzkAGnUFn0Bk2QQadoSfoDFmrM5BBZ9AZdIZNkEFn6Ak6Q9bqDGTQGXQGnWETZNAZeoLOkLU6Axl0Bp1BZ9gEGXSGnqAzZK3OQAadQWfQGTZBBp2hJ+gMWaszkEFn0Bl0hk2QQWfoCTpD1uoMZNAZdAadYRNk0Bl6gs6QtToDGXQGnUFn2AQZdIaeoDNkrc5ABp1BZ9AZNkEGnaEn6AxZqzOQQWfQGXSGTZBBZ+gJOkPW6gxk0Bl0Bp1hE2TQGXqCzpC1OgMZ/p0dOzQBAABAILj/1jbhd7guYjIc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t>
  </si>
  <si>
    <t>AB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Njx45NAABgGIb9/3W2gH/QXkomD1I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t>
  </si>
  <si>
    <t>ABC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w9ixmxRcsqwMo1M5E0ioJH/tOwJnIJhNnX/TFIn3xBMFVYhCNVzNCzt2bD7iLu59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H8twy9/G4Zf/k9c+PUv/z9Z+PHPf3H9/vPPv/7w6+9//P7Dz7/89tN//Vfi9x/++O23X//47S+//fTbTz/9I1j45W+o8OOPf/3fx/+JCv/0D1bhn//3jeFf/vy4z7//cf71P/7t/Pdf5D//9HeV+PtPUY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t>
  </si>
  <si>
    <t>ABC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1DjUoAY17rdLjfej1KAGNahBjU1QgxrUoAY1qLGXU4Ma1HimqUGNzw9MDWpQgxrUoAY1qEGNQw1qUON+u9R4P0oNalCDGtTYBDWoQQ1qUIMaezk1qEGNZ5oa1Pj8wNSgBjWoQQ1qUIMa/8mO3eRqjWhnGJ2KJ4DEOYeiYBKZAxTQTSOZv1Jp+LUfX4Xo/kiVSq3+9vbWh/UAS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QzVUQzVUQzX2ctVQDdU4p1VDNR4/sGqohmqohmqohmqohmocqqEaqnF9u6pxf1Q1VEM1VEM1NqEaqqEaqqEaqrGXq4ZqqMY5rRqq8fiBVUM1VEM1VEM1VEM1VONQDdVQjevbVY37o6qhGqqhGqqxCdVQDdVQDdVQjb1cNVRDNc5p1VCNxw+sGqqhGqqhGqqhGqqhGodqqIZqXN+uatwfVQ3VUA3VUI1NqIZqqIZqqIZq7OWqoRqqcU6rhmo8fmDVUA3VUA3VUA3VUA3VOFRDNVTj+nZV4/6oaqiGaqiGamxCNVRDNVRDNVRjL1cN1VCNc1o1VOPxA6uGaqiGaqiGaqiGaqjGoRqqoRrXt6sa90dVQzVUQzVUYxOqoRqqoRqqoRp7uWqohmqc06qhGo8fWDVUQzVUQzVUQzVUQzUO1VAN1bi+XdW4P6oaqqEaqqEam1AN1VAN1VAN1djLVUM1VOOcVg3VePzAqqEaqqEaqqEaqqEaqnGohmqoxvXtqsb9UdVQDdVQDdXYhGqohmqohmqoxl6uGqqhGue0aqjG4wdWDdVQDdVQDdVQDdVQjUM1VEM1rm9XNe6PqoZqqIZqqMYmVEM1VEM1VEM19nLVUA3VOKdVQzUeP7BqqIZqqIZqqIZqqIZqHKqhGqpxfbuqcX9UNVRDNVRDNTahGqqhGqqhGqqxl6uGaqjGOa0aqvH4gVVDNVRDNVRDNVRDNVTjUA3VUI3r21WN+6OqoRqqoRqqsQnVUA3VUA3VUI29XDVUQzXOadVQjccPrBqqoRqqoRqqoRqqoRqHaqiGalzfrmrcH1UN1VAN1VCNTaiGaqiGaqiGauzlqqEaqnFOq4ZqPH5g1VAN1VAN1VAN1VAN1ThUQzVU4/p2VeP+qGqohmqohmpsQjVUQzVUQzVUYy9XDdVQjXNaNVTj8QOrhmqohmqohmqohmqoxqEaqqEa17erGvdHVUM1VEM1VGMTqqEaqqEaqqEae7lqqIZqnNOqoRqPH1g1VEM1VEM1VEM1VEM1DtVQDdW4vl3VuD+qGqqhGqqhGptQDdVQDdVQDdXYy1VDNVTjnFYN1Xj8wKqhGqqhGqqhGqqhGqpxqIZqqMb17arG/VHVUA3VUA3V2IRqqIZqqIZqqMZerhqqoRrntGqoxuMHVg3VUA3VUA3VUA3VUI1DNVRDNa5vVzXuj6qGaqiGaqjGJlRDNVRDNVRDNfZy1VAN1TinVUM1Hj+waqiGaqiGaqiGaqiGahyqoRqqcX27qnF/VDVUQzVUQzU2oRqqoRqqoRqqsZerhmqoxjmtGqrx+IFVQzVUQzVUQzVUQzVU41AN1VCN69tVjfujqqEaqqEaqrEJ1VAN1VAN1VCNvVw1VEM1zmnVUI3HD6waqqEaqqEaqqEaqqEah2qohmpc365q3B9VDdVQDdVQjU2ohmqohmqohmrs5aqhGqpxTquGajx+YNVQDdVQDdVQDdVQDdU4VEM1VOP6dlXj/qhqqIZqqIZqbEI1VEM1VEM1VGMvVw3VUI1zWjVU4/EDq4ZqqIZqqIZqqIZqqMahGqqhGte3qxr3R1VDNVRDNVRjE6qhGqqhGqqhGnu5aqiGapzTqqEajx9YNVRDNVRDNVRDNVRDNQ7VUA3VuL5d1bg/qhqqoRqqoRqbUA3VUA3VUA3V2MtVQzVU45xWDdV4/MCqoRqqoRqqoRqqoRqqcaiGaqjG9e2qxv1R1VAN1VAN1diEaqiGaqiGaqjGXq4aqqEa57RqqMbjB1YN1VAN1VAN1VAN1VCNQzVUQzWub1c17o+qhmqohmqoxiZU4++vxsun159m4+XT27+iGy+fPvxFw/Hy5fvHL19/e/f67e3ruw8fP3599+n1x8d37z+8/+Xt47ePv3z98fJHhOPl08tPytE/rb+7HG9/cDn+7Z8vx7/9+39+/4//tRR/O/X/qAyfP/+0DK/v//avl3+gDK/vX/6aZXj7+OXl09e3D+9++/L57d2Hz69f/vufFD/evf7267cfv3z/8uHt669/SBk+f/qfy/D40/rzleFVGf7pMry+vP28DC9/+9fHP1KGl1/+mmX4+vr55fX77/+7+Pj227ffy/Db27uvPz68vnv59uPL+1++/P5viG8//ogyvL68/qQM/dP685XhTRn++TK8/hwhXl//JQrx+vrpL1qGX7799u37+9//+/D+w6/vPnz4/u3d50+v3999evv+67fP7z9++PDl9Q8pw+tPHOLxp/XnK8MHZeAM/8fLwBk4w5+0DJyBM3AGZeAMO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t>
  </si>
  <si>
    <t>ABC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FnLGZSBM3AGzrAJZeAMPYEzZC1nUAbOwBk4wyaUgTP0BM6QtZxBGTgDZ+AMm1AGztATOEPWcgZl4AycgTNsQhk4Q0/gDP/Fjh2bAADAMAz7/+tsAf+gvYROHpR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t>
  </si>
  <si>
    <t>ABC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w9ixYxMAABiGYf9/nS3gH7SH0smD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t>
  </si>
  <si>
    <t>ABC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KMHTs0AQAAQCC4/9Y24Xe4LmIyHG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t>
  </si>
  <si>
    <t>ABC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t>
  </si>
  <si>
    <t>ABC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Y8eOTQAAYBiG/f91toB/0F5CJw/i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t>
  </si>
  <si>
    <t>ABC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IaxYzcpuGRZGUanciaQUEn+2ncEzkAwmzr/pikSb5wnCqoQhWq4mhd27Nh8xF3c++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g87QE3SGrNUZyKAz6Aw6wybIoDP0BJ0ha3UGMugMOoPOsAky6Aw9QWfIWp2BDDqDzqAzbIIMOkNP0BmyVmcgg86gM+gMmyCDztATdIas1RnIoDPoDDrDJsigM/QEnSFrdQYy6Aw6g86wCTLoDD1BZ8hanYEMOoPOoDNsggw6Q0/QGbJWZyCDzqAz6AybIIPO0BN0hqzVGcigM+gMOsMmyKAz9ASdIWt1BjLoDDqDzrAJMugMPUFnyFqdgQw6g86gM2yCDDpDT9AZslZnIIPOoDPoDJsgw1/L8MvfhuGX/xMXfv3L/08WfvzzX1y///zzrz/8+vsfv//w8y+//fRf/5X4/Yc/fvvt1z9++8tvP/3200//CBZ++Rsq/PjjX//38X+iwj/9g1X45/99Y/iXPz/u8+9/nH/9j387//0X+c8//V0l/v5T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t>
  </si>
  <si>
    <t>ABC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YGNT4/MDWoQQ1qUIMa1KAGNQ41qEGN99ulxv0oNahBDWpQYxPUoAY1qEENauzl1KAGNZ5palDj8wNTgxrUoAY1qEENalDjUIMa1Hi/XWrcj1KDGtSgBjU2QQ1qUIMa1KDGXk4NalDjmabGf7JjBzliXbkVQLfCDQhQVcmytInsQbKkaQbJ/hFnwEt+NqIg3Q04bp/55ecDizhVR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t>
  </si>
  <si>
    <t>ABC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PjXUePl0+tP2Xj59PbPcOPl04e/KBwvX75//PL1t3ev396+vvvw8ePXd59ef3x89/7D+1/ePn77+MvXHy9/BBwvn15+Isfzp/V/luPtD5bj3/5xOf7t3//z+3/8r1L8bepfSIbPn38qw+v7v/318nfI8Pr+5a8pw9vHLy+fvr59ePfbl89v7z58fv3y339S/Hj3+tuv33788v3Lh7evv/4hMnz+9D/LcH5afz4ZXsnwD8vw+vL2cxle/vbXx98jw8svf00Zvr5+fnn9/vt/Fx/ffvv2uwy/vb37+uPD67uXbz++vP/ly+9/Q3z78UfI8Pry+hMZnj+tP58Mb2T4x2V4/fkR4vX1n3KFeH399BeV4Zdvv337/v73fx/ef/j13YcP37+9+/zp9fu7T2/ff/32+f3HDx++vP4hMrz+5A5xflp/Phk+kMGd4f+5DO4M7gx/UhncGdwZ3BnI4M7we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uvOQAZ3BncGd4YkyODO8HyCO8Pjs+4MZHBncGdwZ0iCDO4Mzye4Mzw+685ABncGdwZ3hiTI4M7wfII7w+Oz7gxkcGdwZ3BnSIIM7gzPJ7gzPD7rzkAGdwZ3BneGJMjgzvB8gjvD47PuDGRwZ3BncGdIggzuDM8nuDM8Pvtf7NixCQAADMOw/7/OFvAP2kvo5EG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t>
  </si>
  <si>
    <t>ABC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jB27NgEAACGYdj/X2cL+AftoXTyIM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t>
  </si>
  <si>
    <t>ABC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Y8cOTQAAABAI7r+1TfgdrouYDNc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t>
  </si>
  <si>
    <t>ABC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w9ixYxMAABiGYf9/nS3gH7SX0MmD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t>
  </si>
  <si>
    <t>ABC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xh7NihCQAAAALB/be2Cb/DdRGT4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t>
  </si>
  <si>
    <t>ABC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t>
  </si>
  <si>
    <t>ABC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jB07NgEAgGEY9v/X2QL+QXsJnTyI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t>
  </si>
  <si>
    <t>ABC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IaxY4cmAAAACAT339om/A7XRUyG4w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t>
  </si>
  <si>
    <t>ABC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jCM3CGTuAMqeUMnoEzcAbO8IRn4AydwBlSyxk8A2fgDJzhCc/AGTqBM6SWM3gGzsAZOMMTnoEzdAJnSC1n8AycgTNwhic8A2foBM6QWs7gGTgDZ+AMT3gGztAJnCG1nMEzcAbOwBme8AycoRM4Q2o5g2fgDJyBMzzhGThDJ3CG1HIGz8AZOANneMIzcIZO4Ayp5QyegTNwBs7whGfgDJ3AGVLLGTwDZ+AMnOEJz8AZOoEzpJYzeAbOwBk4wxOegTN0AmdILWfwDJyBM3CGJzwDZ+gEzpBazuAZOANn4AxPeAbO0AmcIbWcwTNwBs7AGZ7wDJyhEzhDajmDZ+AMnIEzPOEZOEMncIbUcgbPwBk4A2d4wjNwhk7gDKnlDJ6BM3AGzvCEZ+AMncAZUssZPANn4Ayc4QnPwBk6gTOkljN4Bs7AGTjDE56BM3QCZ0gtZ/AMnIEzcIYnPANn6ATOkFrO4Bk4A2fgDE94Bs7QCZwhtZzBM3AGzsAZnvAMnKETOENqOYNn4AycgTM84Rk4QydwhtRyBs/AGTgDZ3hi7NixCQAADMOw/7/OFvAP2kvJ5EH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t>
  </si>
  <si>
    <t>ABC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8hbzqAMnIEzcIZfKANn6ATOkLecQRk4A2fgDL9QBs7QCZwhbzmDMnAGzsAZfqEMnKETOEPecgZl4AycgTP8Qhk4QydwhrzlDMrAGTgDZ/iFMnCGTuAMecsZlIEzcAbO8Atl4AydwBnyljMoA2fgDJzhF8rAGTqBM+QtZ1AGzsAZOMMvlIEzdAJnyFvOoAycgTNwhl8oA2foBM6Qt5xBGTgDZ+AMv1AGztAJnCFvOYMycAbOwBl+oQycoRM4Q95yBmXgDJyBM/xCGThDJ3CGvOUMysAZOANn+IUycIZO4Ax5yxmUgTNwBs7wC2XgDJ3AGfKWMygDZ+AMnOEXysAZOoEz5C1nUAbOwBk4wy+UgTN0AmfIW86gDJyBM3CGXygDZ+gEzpC3nEEZOANn4Ay/UAbO0AmcIW85gzJwBs7AGX6hDJyhEzhD3nIGZeAMnIEz/EIZOEMncIa85QzKwBk4A2f4hTJwhk7gDHnLGZSBM3AGzvALZeAMncAZ8pYzKANn4Ayc4RfKwBk6gTPkLWdQBs7AGTjDL5SBM3QCZxg7dmwCAADDMOz/r7MF/IP2Ejp5UG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t>
  </si>
  <si>
    <t>AB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nIEz/EIZOENf4AyZ5QzKwBk4A2f4hTJwhr7AGTLLGZSBM3AGzvALZeAMfYEzZJYzKANn4Ayc4RfKwBn6AmfILGdQBs7AGTjDL5SBM/QFzpBZzqAMnIEzcIZfKANn6AucIbOcQRk4A2fgDL9QBs7QFzhDZjmDMnAGzsAZfqEMnKEvcIbMcgZl4AycgTP8Qhk4Q1/gDJnlDMrAGTgDZ/iFMnCGvsAZMssZlIEzcAbO8Atl4Ax9gTNkljMoA2fgDJzhF8rAGfoCZ8gsZ1AGzsAZOMMvlIEz9AXOkFnOoAycgTNwhl8oA2foC5whs5xBGTgDZ+AMv1AGztAXOENmOYMycAbOwBl+oQycoS9whsxyBmXgDJyBM/xCGThDX+AMmeUMysAZOANn+IUycIa+wBkyyxmUgTNwBs7wC2XgDH2BM2SWMygDZ+AMnOEXysAZ+gJnyCxnUAbOwBk4wy+UgTP0Bc6QWc6gDJyBM3CGXygDZ+gLnCGznEEZOANn4Ay/UAbO0Bc4Q2Y5gzJwBs7AGX6hDJyhL3CGzHIGZeAMY8eOTQAAYBiG/f91toB/0B5KJw/i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t>
  </si>
  <si>
    <t>ABC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sAZ+gJnyFnOoAycgTNwhi+UgTP0Bc6Qs5xBGTgDZ+AMXygDZ+gLnCFnOYMycAbOwBm+UAbO0Bc4Q85yBmXgDJyBM3yhDJyhL3CGnOUMysAZOANn+EIZOENf4Aw5yxmUgTNwBs7whTJwhr7AGXKWMygDZ+AMnOELZeAMfYEz5CxnUAbOwBk4wxfKwBn6AmfIWc6gDJyBM3CGL5SBM/QFzpCznEEZOANn4AxfKANn6AucIWc5gzJwBs7AGb5QBs7QFzhDznIGZeAMnIEzfKEMnKEvcIac5QzKwBk4A2f4Qhk4Q1/gDDnLGZSBM3AGzvCFMnCGvsAZcpYzKANn4Ayc4Qtl4Ax9gTPkLGdQBs7AGTjDF8rAGfoCZ8hZzqAMnIEzcIYvlIEz9AXOkLOcQRk4A2fgDF8oA2foC5whZzmDMnAGzsAZvlAGztAXOEPOcgZl4AycgTN8oQycoS9whpzlDMrAGTgDZ/hCGThDX+AMOcsZlIEzcAbO8IUycIa+wBlyljMoA2fgDJzhC2XgDH2BM+QsZ1AGzsAZOMMXyjB27CbVjgIKo+hUagKBhJf3Y98ROAPB19T5N43I/ap2BRJEIQ1XM3Dq1OFS2SSL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t>
  </si>
  <si>
    <t>ABC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ThDT+AMWcsZlIEzcAbOsAll4Aw9gTNkLWdQBs7AGTjDJpSBM/QEzpC1nEEZOANn4AybUAbO0BM4Q9ZyBmXgDJyBM2xCGb4uw/O3w/D8n3Th5eP/MwufvvyL6+3z55cPL2/vbx8+P78+/fVfibcP76+vL++vH1+fXp+efkQWnr9RhU+fvv7v4z+pwk8/uAo//3tj+OXLx338/n78+sdvx99/kb/86buV+P5T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UA3V2IRqqIZqqIZqqMZerhqqoRqPadVQjdsPrBqqoRqqoRqqoRqqoRqHaqiGapzfrmpcH1UN1VAN1VCNTaiGaqiGaqiGauzlqqEaqvGYVg3VuP3AqqEaqqEaqqEa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UA3V2IRqqIZqqIZqqMZerhqqoRqPadVQjdsPrBqqoRqqoRqqoRqqoRqHaqiGapzfrmpcH1UN1VAN1VCNTaiGaqiGaqiGauzlqqEaqvGYVg3VuP3AqqEaqqEaqqEaqqEaqnGohmqoxvntqsb1UdVQDdVQDdXYhGqohmqohmqoxl6uGqqhGo9p1VCN2w+sGqqhGqqhGqqhGqqhGodqqIZqnN+ualwfVQ3VUA3VUI1NqIZqqIZqqIZq7OWqoRqq8ZhWDdW4/cCqoRqqoRqqoRqqoRqqcaiGaqjG+e2qxvVR1VAN1VAN1diEaqiGaqiGaqjGXq4aqqEaj2nVUI3bD6waqqEaqqEaqqEaqqEah2qohmqc365qXB9VDdVQDdVQjU2ohmqohmqohmrs5aqhGqrxmFYN1bj9wKqhGqqhGqqhGqqhGqpxqIZqqMb57arG9VHVUA3V+JOdOjYBAACBILaK+09p5SvOkP5EEAk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t>
  </si>
  <si>
    <t>ABC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BTWoQQ1qUIMaWU4NalBjampQ4x2YGtSgBjWoQQ1qUIMaRQ1qUGN/lxp3lBrUoAY1qJGCGtSgBjWoQY0spwY1qDE1NajxDkwNalCDGtSgBjWoQY2iBjWosb9LjTtKDWpQgxrUSEENalCDGtSgRpZTgxrUmJoa1HgHpgY1qEENalCDGtSgRlGDGtTY36XGHaUGNahBDWqkoAY1qEENalAjy6lBDWpMTQ1qvANTgxrUoAY1qEENalCjqEENauzvUuOOUoMa1KAGNVJQgxrUoAY1qJHl1KAGNaamBjXegalBDWpQgxrUoAY1qFHUoAY19nepcUepQQ1qUIMaKahBDWpQgxrUyHJqUIMaU1ODGu/A1KAGNahBDWpQgxrUKGpQgxr7u9S4o9SgBjWoQY0U1KAGNahBDWpkOTWoQY2pqUGNd2BqUIMa1KAGNahBDWoUNahBjf1datxRalCDGtSgRgpqUIMa1KAGNbKcGtSgxtTUoMY7MDWoQQ1qUIMa1KAGNYoa1KDG/i417ig1qEENalAjRbNTxyYAACAMwF7x/yudrOIN2VsKIqE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t>
  </si>
  <si>
    <t>ABC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gxrUoEbGqUENakyaGtR4B6YGNahBDWpQgxrUoEZRgxrU2N+lxq1SgxrUoAY1kqAGNahBDWpQI+PUoAY1Jk0NarwDU4Ma1KAGNahBDWpQo6hBDWrs71LjVqlBDWpQgxpJUIMa1KAGNaiRcWpQgxqTpgY13oGpQQ1qUIMa1KAGNahR1KAGNfZ3qXGr1KAGNahBjSSoQQ1qUIMa1Mg4NahBjUlTgxrvwNSgBjWoQQ1qUIMa1ChqUIMa+7vUuFVqUIMa1KBGEtSgBjWoQQ1qZJwa1KDGpKlBjXdgalCDGtSgBjWoQQ1qFDWoQY39XWrcKjWoQQ1qUCMJalCDGtSgBjUyTg1qUGPS1KDGOzA1qEENalCDGtSgBjWKGtSgxv4uNW6VGtSgBjWokQQ1qEENalCDGhmnBjWoMWlqUOMdmBrUoAY1qEENalCDGkUNalBjf5cat0oNalCDGtRIghrUoAY1qEGNjFODGtSYNDWo8Q5MDWpQgxrUoAY1qEGNogY1qLG/S41bpQY1qEENaiRBDWpQo9u5ex490KsMwD0S/+GR+0Ge8dgel3wKJEBRQKKimPHMIESSRbsJiI4OJAoaEHW6VBGUgBB/hoT8DCYbzn2OT4ID7EL242qs1fo+Pt57zlzvs81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t>
  </si>
  <si>
    <t>ABC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EGNajRt0uNOUoNalCDGtRIghrUoAY1qEGNLKcGNahRaWpQYxVMDWpQgxrUoAY1qEGNQw1qUKNvlxpzlBrUoAY1qJEENahBDWpQgxpZTg1qUKPS1KDGKpga1KAGNahBDWpQgxqHGtSgRt8uNeYoNahBDWpQIwlqUIMa1KAGNbKcGtSgRqWpQY1VMDWoQQ1qUIMa1KAGNQ41qEGNvl1qzFFqUIMa1KBGEtSgBjWoQQ1qZDk1qEGNSlODGqtgalCDGtSgBjWoQQ1qHGpQgxp9u9SYo9SgBjWoQY0kqEENalCDGtTIcmpQgxqVpgY1VsHUoAY1qEENalCDGtQ41KAGNfp2qTFHqUENalCDGklQgxrUoAY1qJHl1KAGNSpNDWqsgqlBDWpQgxrUoAY1qHGoQQ1q9O1SY45SgxrUoAY1kqAGNahBDWpQI8upQQ1qVJoa1FgFU4Ma1KAGNahBDWpQ41CDGtTo26XGHKUGNahBDWokQQ1qUIMa1KBGllODGtSoNDWosQqmBjWoQQ1qUIMa1KDGoQY1qNG3S405Sg1qUIMa1EiCGtSgBjWoQY0spwY1qFFpalBjFUwNalCDGtSgBjWoQY1DDWpQo2+XGnOUGtSgBjWokQQ1qEENalCDGllODWpQo9LUoMYqmBrUoAY1qEENalCDGoca1KBG3y415ig1qEENalAjCWpQgxrUoAY1spwa1KBGpalBjVUwNahBDWpQgxrUoAY1DjWoQY2+XWrMUWpQgxrUoEYS1KAGNahBDWpkOTWoQY1KU4Maq2BqUIMa1KAGNahBDWocalCDGn271Jij1KAGNahBjSSoQQ1qUIMa1MhyalCDGpWmBjVWwdSgBjWoQQ1qUIMa1DjUoAY1+napMUepQQ1qUIMaSVCDGtSgBjWokeXUoAY1Kk0NaqyCqUENalCDGtSgBjWocahBDWr07VJjjlKDGtSgBjWSoAY1qEENalAjy6lBDWpUmhrUWAVTgxrUoAY1qEENalDjUIMa1OjbpcYcpQY1qEENaiRBDWpQgxrUoEaWU4Ma1Kg0NaixCqYGNahBDWpQgxrUoMahBjWo0bdLjTlKDWpQgxrUSIIa1KAGNahBjSynBjWoUWlqUGMVTA1qUIMa1KAGNahBjUMNalCjb5cac5Qa1KAGNaiRBDWoQQ1qUIMaWU4NalCj0tSgxiqYGtSgBjWoQQ1qUIMahxrUoEbfLjXmKDWoQQ1qUCMJalCDGtSgBjWynBrUoEalqUGNVTA1qEENalCDGtSgBjUONahBjb5dasxRalCDGtSgRhLUoAY1qEENamQ5NahBjUpTgxqrYGpQgxrUoAY1qEENahxqUIMafbvUmKPUoAY1qEGNJKhBDWpQgxrUyHJqUIMalaYGNVbB1KAGNahBDWpQgxrUONSgBjX6dqkxR6lBDWpQgxpJUIMa1KAGNaiR5dSgBjUqTQ1qrIKpQQ1qUIMa1KAGNahxqEENavTtUmOOUoMa1KAGNZKgBjWoQQ1qUCPLqUENalSaGtRYBVODGtSgBjWoQQ1qUONQgxrU6NulxhylBjWoQQ1qJEENalCDGtSgRpZTgxrUqDQ1qLEKpgY1qEENalCDGtSgxqHG/4saP/qHutBnv/Otr3/99sM/+/i//Fe/8cNf94G+E/n4RH+80me/+NWv/PYH33z4mIo/fHjn++3ZVz784A8+vP36r/3h1772yx9+8NFHX314/K0P7t/5m/3Isv907Cca9nsffPhHX7n944cPf+E3vvHH3/rmx1/ad7BKoGr4z2+bN2/vnr5Vrt8+fce8enj65f7Nxe3lw9uLx/vnd9cvn76BHq9ePev/1Lvf/eCbt1/7L5v40W9/7MH82j/73V9fhdR1fP8f/uL7f/7P/Xf66DefvrL7z/2Nj37pw4fbP7r/4E+/sX/r6Zvpl5/U+OFRvLipf/n0TVL/8lWR+2x2/5n7ZLh65/v8xz4Zrq4/jU+Gd5d8eT4ZXt3dPV3zqxcXj7ePjxfXtzfXF3eXd1cXd29urh+vX968un5+/75PhmeX99dXl5dXby5evbh7+h65un1zcXP98uri9u3l29cPD6+vH98+f+cPeOez49mLy1c3j/ePDxf3b69fX1y/ub68ePPw4vXTL89v3zy/vHlz//LxnfH/wafL1dWP781nx+Un+nB553d/Bh8uv/3JP1x+aO5HP/XD5MdTX5wn5+X1e2G5fPlpwPLuki8PLC9e3j7eXb64v7i7e351cf14//AEy9On6N2L+8fbFy8fb67fvvxZPDkv9zf2BOOTvTgvL3/GKnzlk6vwve9++wff/fa/f+evvvdPf/29v/y7H3z7Oz+ViJ8y8ik9Nr/68PUP/uTh/jP9Url8/X5Qbj4VUF5/OUF59fj85e2by7uLy5ePdxfX99fXFzcPd88vLh9vbh+engmXN5dX732p3Fzdvnx4dfPy4ul9c31x/fQnXNw8v3p9cffy7sXD1d2Lm8tX1+95qTw9ch6ubt68vrh9eHx5cf326f+h766e31+8vrt5eX95e/X48Prqf/tSuXz1HpReQOkzg9Jn8BHz5r3m/ISPtP+NOW++nObcPTwpcf/6+cXbl2+eHjEPr24vbu+eP7+4+eH//r+4vn31+Oa95vyfPWJu3uPFq0/mxRUvvtBeeKN4o2TcG4U53iifa3O8UXhRNX5RvPBG8UbJuDcKc7xRPtfmeKPwomr8onjhjeKNknFvFOZ4o3yuzfFG4UXV+EXxwhvFGyXj3ijM8Ub5XJvjjcKLqvGL4oU3ijdKxr1RmOON8rk2xxuFF1XjF8ULbxRvlIx7ozDHG+VzbY43Ci+qxi+KF94o3igZ90ZhjjfK59ocbxReVI1fzp/W9ysPj7ff+tp//+f1zb/mp//T+P7tX7/7/b/5xx989++/9y9/O75En+jH8hVt86fy5UPz2U/s+Cf8HJzP2pf453/u9/8D</t>
  </si>
  <si>
    <t>fc0cb66c-8dd8-499f-90c3-4c1016bbc5fe</t>
  </si>
  <si>
    <t>03dfc22d-86fb-4fbd-837a-26e12df1a115</t>
  </si>
  <si>
    <t>70d50b30-70c6-4741-b830-a4c9e3195fa2</t>
  </si>
  <si>
    <t>57dcc1cd-e9ec-452d-bd43-be32f26f233c</t>
  </si>
  <si>
    <t>fd4b460e-0f90-47f3-a18d-21ed96ba16aa</t>
  </si>
  <si>
    <t>565bd57d-b139-464a-a52c-68c15c71c34a</t>
  </si>
  <si>
    <t>5ac1f843-7490-431d-a560-1d864fb3a2bb</t>
  </si>
  <si>
    <t>67886755-72ad-4aca-8db4-64c269e06e7d</t>
  </si>
  <si>
    <t>2b268d73-6979-4c1f-8fc8-7b717a277146</t>
  </si>
  <si>
    <t>21381394-4e5f-4f3b-89c9-f0ffec1a7594</t>
  </si>
  <si>
    <t>61f7d88f-c906-449b-b00c-fd77c94ef3be</t>
  </si>
  <si>
    <t>90cb4895-ec47-4306-90ee-5be80f43688d</t>
  </si>
  <si>
    <t>826bb702-5199-4e44-9522-71d80ae2f774</t>
  </si>
  <si>
    <t>69506453-8c52-4776-86f1-25b881c2a5a6</t>
  </si>
  <si>
    <t>1d421129-63be-42a9-8452-ac1c7ee74fc0</t>
  </si>
  <si>
    <t>373e0236-376f-4187-a403-a2280d0be97d</t>
  </si>
  <si>
    <t>3168fdfe-dc47-4941-9e37-9e0a90189d5f</t>
  </si>
  <si>
    <t>ea35ed34-5e93-4a70-96e0-743af0d8cd6c</t>
  </si>
  <si>
    <t>c543a324-2e6d-493e-9c25-13bfd4550917</t>
  </si>
  <si>
    <t>6c1710bc-da04-4a81-9c99-b92dae034e54</t>
  </si>
  <si>
    <t>b207e90d-1eec-4985-8213-9722ddf3cfe2</t>
  </si>
  <si>
    <t>e88ef2ba-e6a0-4c2a-871e-764e32761b38</t>
  </si>
  <si>
    <t>82a5e685-1b24-44d4-8027-b5b3e2b38164</t>
  </si>
  <si>
    <t>abc33124-9cfa-44a7-b899-db74c7d885e2</t>
  </si>
  <si>
    <t>112e2897-aef5-4c73-b20d-7b85d1a2fe72</t>
  </si>
  <si>
    <t>e9a0d21f-f3cb-4288-8e70-db6ae3010d78</t>
  </si>
  <si>
    <t>3512ab39-3ea8-44d8-a5a0-61eecb0c04b8</t>
  </si>
  <si>
    <t>40cd486c-4d6a-43c8-9de8-452534fed0e0</t>
  </si>
  <si>
    <t>85df1e06-0c66-437d-84c0-b6f68a95ec4e</t>
  </si>
  <si>
    <t>fc127228-67ea-4dc6-a6da-521f4a2f7b71</t>
  </si>
  <si>
    <t>ac0dd467-74a9-4ddf-aaa1-07d0726bef0c</t>
  </si>
  <si>
    <t>f4a6a6ab-92df-47ec-98be-36e68d1fa19e</t>
  </si>
  <si>
    <t>9d58d4eb-4f5c-4400-9ca3-ea6b8f1fd772</t>
  </si>
  <si>
    <t>8132646a-169b-47ae-8b16-a64ff5250fec</t>
  </si>
  <si>
    <t>c2719faa-f0c8-4512-9217-399b7d213dd0</t>
  </si>
  <si>
    <t>0ababa23-075e-496f-b68b-76871ea2e1ff</t>
  </si>
  <si>
    <t>4843dca5-23af-450c-b60e-84ab2242916d</t>
  </si>
  <si>
    <t>94a48cef-5ade-4018-9bfd-4e4bf5916230</t>
  </si>
  <si>
    <t>fe32c3a5-0ac1-4bc6-8ff4-3cfe34de734c</t>
  </si>
  <si>
    <t>32ff2b73-82e8-458b-9b61-a980779c8398</t>
  </si>
  <si>
    <t>f9f923d4-36a3-4832-b261-6f79d68d2334</t>
  </si>
  <si>
    <t>a3f95ae7-baa7-495e-b3f9-14c90f052a07</t>
  </si>
  <si>
    <t>cb794f48-c8b4-4ad0-ad4f-783229054713</t>
  </si>
  <si>
    <t>f374e7a2-9234-4c82-be41-d1646f2c99b1</t>
  </si>
  <si>
    <t>fdd0d36f-e84f-4590-8bb8-f00a6faea1b7</t>
  </si>
  <si>
    <t>eb29e758-5866-4897-8ee8-f04318f87b25</t>
  </si>
  <si>
    <t>8436b86c-10ce-46d7-aa77-90cb6f1755cd</t>
  </si>
  <si>
    <t>2aa5eb29-a486-4190-8621-45245ae855a7</t>
  </si>
  <si>
    <t>cecd2d41-e400-48e2-8e9f-edbf30286d4e</t>
  </si>
  <si>
    <t>a7e247f8-7fc1-4519-8d56-88e7beac5c77</t>
  </si>
  <si>
    <t>fc425a90-6e10-4349-9636-2c0874141012</t>
  </si>
  <si>
    <t>c965a88a-1123-47c7-89e9-ac3143522cd3</t>
  </si>
  <si>
    <t>c0266808-9baa-48d7-82d6-ed118c99ce1e</t>
  </si>
  <si>
    <t>3c4a7f9e-c5dd-4899-97fb-98bf19877838</t>
  </si>
  <si>
    <t>bc2953a2-43fc-4511-a798-844defb4990e</t>
  </si>
  <si>
    <t>f2cfa147-189b-494c-803f-27e99e7ae345</t>
  </si>
  <si>
    <t>1ef81fdf-6850-4a74-b980-ef64f3257731</t>
  </si>
  <si>
    <t>7f10aca5-fdde-47b0-9c59-1b424ddf8d07</t>
  </si>
  <si>
    <t>493c7851-96b0-4462-bda7-2895219236c7</t>
  </si>
  <si>
    <t>a6b7fa79-289a-4ac5-9f42-19f0dc9a240d</t>
  </si>
  <si>
    <t>8b5c44fd-6062-42b1-bf5a-9cfe0808abf5</t>
  </si>
  <si>
    <t>8939d8b4-8819-4c97-8ad0-b71699cb0e3d</t>
  </si>
  <si>
    <t>c07c46e3-9828-4259-987f-7f563fdf43e3</t>
  </si>
  <si>
    <t>a0fb1582-7551-4387-9cf3-b33fa142a42f</t>
  </si>
  <si>
    <t>d48bc830-664c-43f1-96ab-50b8e98a3ff8</t>
  </si>
  <si>
    <t>884a371b-7f99-4f19-8de8-66bd6f53d8b3</t>
  </si>
  <si>
    <t>08814f6b-ba74-404b-b89f-1360c901f905</t>
  </si>
  <si>
    <t>59f4044a-02a8-441c-b6a2-ae796c9e053c</t>
  </si>
  <si>
    <t>b391a17c-40a8-4f50-9b07-09e3c9ffd49a</t>
  </si>
  <si>
    <t>bca37421-f436-4844-ad64-9f60dbc89300</t>
  </si>
  <si>
    <t>8fd591f5-1a60-4aa8-8be3-4895bf98ed15</t>
  </si>
  <si>
    <t>2a4487e8-9db6-4198-a67c-caa56ae31703</t>
  </si>
  <si>
    <t>0be00c40-df3b-4dd3-82c1-2bbd0e6cd76b</t>
  </si>
  <si>
    <t>8a291d74-818b-4928-a2ba-b398061852ed</t>
  </si>
  <si>
    <t>f17a66b6-176e-498f-810f-78607f83c52b</t>
  </si>
  <si>
    <t>43dde9c6-a132-4aa6-bf0b-0bb17275e465</t>
  </si>
  <si>
    <t>5f74d1a9-6ab6-4f0d-9814-6558f616f2ff</t>
  </si>
  <si>
    <t>d5b7ff17-348c-406d-b559-1ad359121425</t>
  </si>
  <si>
    <t>6fa0d763-33d6-4391-b6ae-9034757c9265</t>
  </si>
  <si>
    <t>96381815-5f83-489f-a749-f863db693ab1</t>
  </si>
  <si>
    <t>e77890a1-397c-459a-b92f-e44eb10df571</t>
  </si>
  <si>
    <t>5bcce0a2-842c-4389-9897-ec41c14c836f</t>
  </si>
  <si>
    <t>7fb323b1-33e7-47eb-8034-ffb0fa34f39b</t>
  </si>
  <si>
    <t>0cc578b9-fd9f-4def-aa31-5ac5f072b020</t>
  </si>
  <si>
    <t>9a7209c4-e7ca-469b-ad40-0edd46f82ccd</t>
  </si>
  <si>
    <t>2893473d-5a33-496d-9d9c-2f2aebf51fc3</t>
  </si>
  <si>
    <t>92ddf12a-92f7-46ff-a544-f37c951207bc</t>
  </si>
  <si>
    <t>931a5e29-6c09-4169-8c22-0097031beb72</t>
  </si>
  <si>
    <t>223f4d77-d061-4467-a016-3e8fa0ed0262</t>
  </si>
  <si>
    <t>2842d283-4e62-4a84-9103-8e637d8e15d8</t>
  </si>
  <si>
    <t>60efacd5-4e36-4fbb-9e9a-7a579c8e92b2</t>
  </si>
  <si>
    <t>2cc69888-872a-45b8-960a-45af828991d3</t>
  </si>
  <si>
    <t>c3462b77-c918-4090-b278-6a7c16544d76</t>
  </si>
  <si>
    <t>1bf4ae84-f698-48fa-ba0c-e54140e59cfe</t>
  </si>
  <si>
    <t>04aadc6f-b389-4fcb-93db-971ddae7626e</t>
  </si>
  <si>
    <t>3a2ee7e6-2133-43e5-aae2-35313608c359</t>
  </si>
  <si>
    <t>09a6de1e-9526-4d81-9aef-a2ff87824417</t>
  </si>
  <si>
    <t>2541872f-7d3a-44aa-805b-600f79f35308</t>
    <phoneticPr fontId="101" type="noConversion"/>
  </si>
  <si>
    <r>
      <rPr>
        <sz val="10"/>
        <color theme="1"/>
        <rFont val="微软雅黑"/>
        <family val="2"/>
        <charset val="134"/>
      </rPr>
      <t>客户名称</t>
    </r>
  </si>
  <si>
    <r>
      <rPr>
        <sz val="10"/>
        <color theme="1"/>
        <rFont val="微软雅黑"/>
        <family val="2"/>
        <charset val="134"/>
      </rPr>
      <t>重要性水平</t>
    </r>
    <r>
      <rPr>
        <sz val="10"/>
        <color theme="1"/>
        <rFont val="Arial"/>
        <family val="2"/>
      </rPr>
      <t>(PM)</t>
    </r>
  </si>
  <si>
    <r>
      <rPr>
        <sz val="10"/>
        <color theme="1"/>
        <rFont val="微软雅黑"/>
        <family val="2"/>
        <charset val="134"/>
      </rPr>
      <t>期末</t>
    </r>
  </si>
  <si>
    <r>
      <rPr>
        <sz val="10"/>
        <color theme="1"/>
        <rFont val="微软雅黑"/>
        <family val="2"/>
        <charset val="134"/>
      </rPr>
      <t>可容忍误差</t>
    </r>
    <r>
      <rPr>
        <sz val="10"/>
        <color theme="1"/>
        <rFont val="Arial"/>
        <family val="2"/>
      </rPr>
      <t>(TE)</t>
    </r>
  </si>
  <si>
    <r>
      <rPr>
        <sz val="10"/>
        <color theme="1"/>
        <rFont val="微软雅黑"/>
        <family val="2"/>
        <charset val="134"/>
      </rPr>
      <t>记账本位币</t>
    </r>
    <phoneticPr fontId="141" type="noConversion"/>
  </si>
  <si>
    <r>
      <rPr>
        <sz val="10"/>
        <color theme="1"/>
        <rFont val="微软雅黑"/>
        <family val="2"/>
        <charset val="134"/>
      </rPr>
      <t>名义金额</t>
    </r>
    <r>
      <rPr>
        <sz val="10"/>
        <color theme="1"/>
        <rFont val="Arial"/>
        <family val="2"/>
      </rPr>
      <t>(SAD)</t>
    </r>
  </si>
  <si>
    <t xml:space="preserve">  </t>
    <phoneticPr fontId="101" type="noConversion"/>
  </si>
  <si>
    <r>
      <rPr>
        <sz val="10"/>
        <color theme="1"/>
        <rFont val="微软雅黑"/>
        <family val="2"/>
        <charset val="134"/>
      </rPr>
      <t>适用会计准则</t>
    </r>
    <phoneticPr fontId="141" type="noConversion"/>
  </si>
  <si>
    <t>CRA</t>
    <phoneticPr fontId="141" type="noConversion"/>
  </si>
  <si>
    <r>
      <t>%</t>
    </r>
    <r>
      <rPr>
        <b/>
        <sz val="10"/>
        <color rgb="FFFF0000"/>
        <rFont val="Arial"/>
        <family val="2"/>
      </rPr>
      <t>*</t>
    </r>
  </si>
  <si>
    <t>High</t>
    <phoneticPr fontId="141" type="noConversion"/>
  </si>
  <si>
    <t>Moderate</t>
    <phoneticPr fontId="141" type="noConversion"/>
  </si>
  <si>
    <t>Low</t>
    <phoneticPr fontId="141" type="noConversion"/>
  </si>
  <si>
    <t>Minimal</t>
    <phoneticPr fontId="141" type="noConversion"/>
  </si>
  <si>
    <t>N/A</t>
    <phoneticPr fontId="141" type="noConversion"/>
  </si>
  <si>
    <r>
      <t>*</t>
    </r>
    <r>
      <rPr>
        <i/>
        <sz val="10"/>
        <color rgb="FFFF0000"/>
        <rFont val="微软雅黑"/>
        <family val="2"/>
        <charset val="134"/>
      </rPr>
      <t>我们期望执行的基准实质性审计程序性质、时间和范围对应的</t>
    </r>
    <r>
      <rPr>
        <i/>
        <sz val="10"/>
        <color rgb="FFFF0000"/>
        <rFont val="Arial"/>
        <family val="2"/>
      </rPr>
      <t>CRA</t>
    </r>
    <r>
      <rPr>
        <i/>
        <sz val="10"/>
        <color rgb="FFFF0000"/>
        <rFont val="微软雅黑"/>
        <family val="2"/>
        <charset val="134"/>
      </rPr>
      <t>风险比例，此比例为上限，项目组</t>
    </r>
    <r>
      <rPr>
        <b/>
        <i/>
        <sz val="10"/>
        <color rgb="FFFF0000"/>
        <rFont val="微软雅黑"/>
        <family val="2"/>
        <charset val="134"/>
      </rPr>
      <t>应按照实际情况</t>
    </r>
    <r>
      <rPr>
        <i/>
        <sz val="10"/>
        <color rgb="FFFF0000"/>
        <rFont val="微软雅黑"/>
        <family val="2"/>
        <charset val="134"/>
      </rPr>
      <t>进行调整。</t>
    </r>
  </si>
  <si>
    <r>
      <rPr>
        <b/>
        <sz val="10"/>
        <rFont val="微软雅黑"/>
        <family val="2"/>
        <charset val="134"/>
      </rPr>
      <t>认定</t>
    </r>
    <phoneticPr fontId="141" type="noConversion"/>
  </si>
  <si>
    <t>Threshold</t>
    <phoneticPr fontId="142"/>
  </si>
  <si>
    <r>
      <rPr>
        <b/>
        <sz val="10"/>
        <color rgb="FF000000"/>
        <rFont val="微软雅黑"/>
        <family val="2"/>
        <charset val="134"/>
      </rPr>
      <t>所有相关认定</t>
    </r>
    <r>
      <rPr>
        <b/>
        <sz val="10"/>
        <color rgb="FFFF0000"/>
        <rFont val="Arial"/>
        <family val="2"/>
      </rPr>
      <t>*</t>
    </r>
  </si>
  <si>
    <r>
      <rPr>
        <sz val="10"/>
        <color rgb="FF000000"/>
        <rFont val="微软雅黑"/>
        <family val="2"/>
        <charset val="134"/>
      </rPr>
      <t>完整性</t>
    </r>
    <r>
      <rPr>
        <sz val="10"/>
        <color rgb="FF000000"/>
        <rFont val="Arial"/>
        <family val="2"/>
      </rPr>
      <t xml:space="preserve"> (C)</t>
    </r>
    <phoneticPr fontId="141" type="noConversion"/>
  </si>
  <si>
    <r>
      <rPr>
        <sz val="10"/>
        <color rgb="FF000000"/>
        <rFont val="微软雅黑"/>
        <family val="2"/>
        <charset val="134"/>
      </rPr>
      <t>存在</t>
    </r>
    <r>
      <rPr>
        <sz val="10"/>
        <color rgb="FF000000"/>
        <rFont val="Arial"/>
        <family val="2"/>
      </rPr>
      <t xml:space="preserve"> (E)</t>
    </r>
    <phoneticPr fontId="141" type="noConversion"/>
  </si>
  <si>
    <r>
      <rPr>
        <sz val="10"/>
        <color rgb="FF000000"/>
        <rFont val="微软雅黑"/>
        <family val="2"/>
        <charset val="134"/>
      </rPr>
      <t>计价</t>
    </r>
    <r>
      <rPr>
        <sz val="10"/>
        <color rgb="FF000000"/>
        <rFont val="Arial"/>
        <family val="2"/>
      </rPr>
      <t>(V)</t>
    </r>
  </si>
  <si>
    <r>
      <rPr>
        <sz val="10"/>
        <color rgb="FF000000"/>
        <rFont val="微软雅黑"/>
        <family val="2"/>
        <charset val="134"/>
      </rPr>
      <t>权利和义务</t>
    </r>
    <r>
      <rPr>
        <sz val="10"/>
        <color rgb="FF000000"/>
        <rFont val="Arial"/>
        <family val="2"/>
      </rPr>
      <t xml:space="preserve"> (R&amp;O)</t>
    </r>
    <phoneticPr fontId="141" type="noConversion"/>
  </si>
  <si>
    <t xml:space="preserve"> </t>
    <phoneticPr fontId="101" type="noConversion"/>
  </si>
  <si>
    <r>
      <rPr>
        <sz val="10"/>
        <color rgb="FF000000"/>
        <rFont val="微软雅黑"/>
        <family val="2"/>
        <charset val="134"/>
      </rPr>
      <t>列报和披露</t>
    </r>
    <r>
      <rPr>
        <sz val="10"/>
        <color rgb="FF000000"/>
        <rFont val="Arial"/>
        <family val="2"/>
      </rPr>
      <t xml:space="preserve"> (P&amp;D)</t>
    </r>
    <phoneticPr fontId="141" type="noConversion"/>
  </si>
  <si>
    <r>
      <t>*</t>
    </r>
    <r>
      <rPr>
        <i/>
        <sz val="10"/>
        <color rgb="FFFF0000"/>
        <rFont val="微软雅黑"/>
        <family val="2"/>
        <charset val="134"/>
      </rPr>
      <t>该阈值是使用所有相关认定中的最低阈值来计算的</t>
    </r>
  </si>
  <si>
    <t>P1</t>
    <phoneticPr fontId="101" type="noConversion"/>
  </si>
  <si>
    <r>
      <rPr>
        <b/>
        <sz val="10"/>
        <rFont val="微软雅黑"/>
        <family val="2"/>
        <charset val="134"/>
      </rPr>
      <t>序号</t>
    </r>
  </si>
  <si>
    <r>
      <rPr>
        <b/>
        <sz val="10"/>
        <rFont val="微软雅黑"/>
        <family val="2"/>
        <charset val="134"/>
      </rPr>
      <t>报表科目</t>
    </r>
  </si>
  <si>
    <r>
      <rPr>
        <b/>
        <sz val="10"/>
        <rFont val="微软雅黑"/>
        <family val="2"/>
        <charset val="134"/>
      </rPr>
      <t>执行实质性程序</t>
    </r>
    <phoneticPr fontId="101" type="noConversion"/>
  </si>
  <si>
    <r>
      <rPr>
        <b/>
        <sz val="10"/>
        <rFont val="微软雅黑"/>
        <family val="2"/>
        <charset val="134"/>
      </rPr>
      <t>实质性程序类型</t>
    </r>
  </si>
  <si>
    <r>
      <rPr>
        <b/>
        <sz val="10"/>
        <rFont val="微软雅黑"/>
        <family val="2"/>
        <charset val="134"/>
      </rPr>
      <t>认定</t>
    </r>
  </si>
  <si>
    <r>
      <rPr>
        <b/>
        <sz val="10"/>
        <rFont val="微软雅黑"/>
        <family val="2"/>
        <charset val="134"/>
      </rPr>
      <t>程序描述</t>
    </r>
  </si>
  <si>
    <r>
      <rPr>
        <b/>
        <sz val="10"/>
        <rFont val="微软雅黑"/>
        <family val="2"/>
        <charset val="134"/>
      </rPr>
      <t>执行</t>
    </r>
  </si>
  <si>
    <r>
      <rPr>
        <b/>
        <sz val="10"/>
        <rFont val="微软雅黑"/>
        <family val="2"/>
        <charset val="134"/>
      </rPr>
      <t>索引</t>
    </r>
  </si>
  <si>
    <r>
      <rPr>
        <b/>
        <sz val="10"/>
        <rFont val="微软雅黑"/>
        <family val="2"/>
        <charset val="134"/>
      </rPr>
      <t>如不执行</t>
    </r>
    <r>
      <rPr>
        <b/>
        <sz val="10"/>
        <rFont val="Arial"/>
        <family val="2"/>
      </rPr>
      <t>PSP</t>
    </r>
    <r>
      <rPr>
        <b/>
        <sz val="10"/>
        <rFont val="微软雅黑"/>
        <family val="2"/>
        <charset val="134"/>
      </rPr>
      <t>，</t>
    </r>
    <r>
      <rPr>
        <b/>
        <sz val="10"/>
        <rFont val="Arial"/>
        <family val="2"/>
      </rPr>
      <t xml:space="preserve"> </t>
    </r>
    <r>
      <rPr>
        <b/>
        <sz val="10"/>
        <rFont val="微软雅黑"/>
        <family val="2"/>
        <charset val="134"/>
      </rPr>
      <t>原因需记录文字多于</t>
    </r>
    <r>
      <rPr>
        <b/>
        <sz val="10"/>
        <rFont val="Arial"/>
        <family val="2"/>
      </rPr>
      <t>5</t>
    </r>
    <r>
      <rPr>
        <b/>
        <sz val="10"/>
        <rFont val="微软雅黑"/>
        <family val="2"/>
        <charset val="134"/>
      </rPr>
      <t>个文字</t>
    </r>
  </si>
  <si>
    <r>
      <rPr>
        <sz val="10"/>
        <rFont val="微软雅黑"/>
        <family val="2"/>
        <charset val="134"/>
      </rPr>
      <t>长期待摊费用</t>
    </r>
  </si>
  <si>
    <r>
      <t xml:space="preserve">L2-01-GL: </t>
    </r>
    <r>
      <rPr>
        <sz val="10"/>
        <rFont val="微软雅黑"/>
        <family val="2"/>
        <charset val="134"/>
      </rPr>
      <t>验证存在性和计价</t>
    </r>
  </si>
  <si>
    <t>PSP</t>
  </si>
  <si>
    <t>BS: E, V, C, R&amp;O, P&amp;D</t>
  </si>
  <si>
    <r>
      <rPr>
        <sz val="10"/>
        <color theme="1"/>
        <rFont val="微软雅黑"/>
        <family val="2"/>
        <charset val="134"/>
      </rPr>
      <t>通过执行分析和调查两期的长期待摊费用科目重大变动来确定长期待摊费用科目是否合理。</t>
    </r>
  </si>
  <si>
    <t>L2.00 Lead</t>
  </si>
  <si>
    <r>
      <rPr>
        <sz val="10"/>
        <color theme="1"/>
        <rFont val="微软雅黑"/>
        <family val="2"/>
        <charset val="134"/>
      </rPr>
      <t>获取长期待摊费用的明细清单，将明细清单与总账核对，并将查找重大差异原因。</t>
    </r>
    <phoneticPr fontId="101" type="noConversion"/>
  </si>
  <si>
    <t>L2.01.1 BKD</t>
    <phoneticPr fontId="101" type="noConversion"/>
  </si>
  <si>
    <r>
      <rPr>
        <sz val="10"/>
        <rFont val="微软雅黑"/>
        <family val="2"/>
        <charset val="134"/>
      </rPr>
      <t>验证存在性和计价</t>
    </r>
    <r>
      <rPr>
        <sz val="10"/>
        <rFont val="Arial"/>
        <family val="2"/>
      </rPr>
      <t>-{</t>
    </r>
    <r>
      <rPr>
        <sz val="10"/>
        <rFont val="微软雅黑"/>
        <family val="2"/>
        <charset val="134"/>
      </rPr>
      <t>测试存在性</t>
    </r>
    <r>
      <rPr>
        <sz val="10"/>
        <rFont val="Arial"/>
        <family val="2"/>
      </rPr>
      <t>}</t>
    </r>
    <r>
      <rPr>
        <sz val="10"/>
        <rFont val="微软雅黑"/>
        <family val="2"/>
        <charset val="134"/>
      </rPr>
      <t>，例如经营租赁方式租入的固定资产发生的改良支出或装修等进行实地查看，以验证其存在性认定；同时检查本期新增长期待摊费用的原始凭证（例如采购发票、合同等）。复核摊销政策的合理性。</t>
    </r>
    <phoneticPr fontId="101" type="noConversion"/>
  </si>
  <si>
    <r>
      <t xml:space="preserve">L2.02.1 </t>
    </r>
    <r>
      <rPr>
        <u/>
        <sz val="10"/>
        <color rgb="FF0563C1"/>
        <rFont val="微软雅黑"/>
        <family val="2"/>
        <charset val="134"/>
      </rPr>
      <t>存在性测试</t>
    </r>
  </si>
  <si>
    <r>
      <t xml:space="preserve">L2.02.1a </t>
    </r>
    <r>
      <rPr>
        <u/>
        <sz val="10"/>
        <color rgb="FF0563C1"/>
        <rFont val="微软雅黑"/>
        <family val="2"/>
        <charset val="134"/>
      </rPr>
      <t>选样输出</t>
    </r>
  </si>
  <si>
    <r>
      <rPr>
        <sz val="11"/>
        <color theme="1"/>
        <rFont val="微软雅黑"/>
        <family val="2"/>
        <charset val="134"/>
      </rPr>
      <t>验证存在性和计价</t>
    </r>
    <r>
      <rPr>
        <sz val="11"/>
        <color theme="1"/>
        <rFont val="Arial"/>
        <family val="2"/>
      </rPr>
      <t>{</t>
    </r>
    <r>
      <rPr>
        <sz val="11"/>
        <color theme="1"/>
        <rFont val="微软雅黑"/>
        <family val="2"/>
        <charset val="134"/>
      </rPr>
      <t>测试减值</t>
    </r>
    <r>
      <rPr>
        <sz val="11"/>
        <color theme="1"/>
        <rFont val="Arial"/>
        <family val="2"/>
      </rPr>
      <t>}</t>
    </r>
    <r>
      <rPr>
        <sz val="11"/>
        <color theme="1"/>
        <rFont val="微软雅黑"/>
        <family val="2"/>
        <charset val="134"/>
      </rPr>
      <t>：使用在审计过程中所获得的信息来确定管理层是否已识别适当的减值迹象。如有减值迹象的，评价管理层减值评估的合理性。</t>
    </r>
    <phoneticPr fontId="101" type="noConversion"/>
  </si>
  <si>
    <r>
      <t xml:space="preserve">IPE </t>
    </r>
    <r>
      <rPr>
        <b/>
        <sz val="10"/>
        <rFont val="微软雅黑"/>
        <family val="2"/>
        <charset val="134"/>
      </rPr>
      <t>考虑</t>
    </r>
  </si>
  <si>
    <t>/P1</t>
    <phoneticPr fontId="101" type="noConversion"/>
  </si>
  <si>
    <t xml:space="preserve"> IPE</t>
  </si>
  <si>
    <r>
      <rPr>
        <sz val="10"/>
        <color rgb="FF000000"/>
        <rFont val="微软雅黑"/>
        <family val="2"/>
        <charset val="134"/>
      </rPr>
      <t>执行</t>
    </r>
    <r>
      <rPr>
        <sz val="10"/>
        <color rgb="FF000000"/>
        <rFont val="Arial"/>
        <family val="2"/>
      </rPr>
      <t>IPE</t>
    </r>
    <r>
      <rPr>
        <sz val="10"/>
        <color rgb="FF000000"/>
        <rFont val="微软雅黑"/>
        <family val="2"/>
        <charset val="134"/>
      </rPr>
      <t>程序以评估客户提供的数据的准确性和完整性。可</t>
    </r>
    <r>
      <rPr>
        <b/>
        <u/>
        <sz val="10"/>
        <color rgb="FFFF0000"/>
        <rFont val="微软雅黑"/>
        <family val="2"/>
        <charset val="134"/>
      </rPr>
      <t>点击此处</t>
    </r>
    <r>
      <rPr>
        <sz val="10"/>
        <color rgb="FF000000"/>
        <rFont val="微软雅黑"/>
        <family val="2"/>
        <charset val="134"/>
      </rPr>
      <t>获取</t>
    </r>
    <r>
      <rPr>
        <sz val="10"/>
        <color rgb="FF000000"/>
        <rFont val="Arial"/>
        <family val="2"/>
      </rPr>
      <t>265 Form</t>
    </r>
    <r>
      <rPr>
        <sz val="10"/>
        <color rgb="FF000000"/>
        <rFont val="微软雅黑"/>
        <family val="2"/>
        <charset val="134"/>
      </rPr>
      <t>，获取后需更新链接至执行程序</t>
    </r>
    <r>
      <rPr>
        <sz val="10"/>
        <color rgb="FF000000"/>
        <rFont val="Arial"/>
        <family val="2"/>
      </rPr>
      <t xml:space="preserve">265GL </t>
    </r>
    <r>
      <rPr>
        <sz val="10"/>
        <color rgb="FF000000"/>
        <rFont val="微软雅黑"/>
        <family val="2"/>
        <charset val="134"/>
      </rPr>
      <t>。</t>
    </r>
  </si>
  <si>
    <t>N1</t>
    <phoneticPr fontId="101" type="noConversion"/>
  </si>
  <si>
    <r>
      <rPr>
        <b/>
        <sz val="10"/>
        <color rgb="FF000000"/>
        <rFont val="微软雅黑"/>
        <family val="2"/>
        <charset val="134"/>
      </rPr>
      <t>长期待摊费用账户总结陈述</t>
    </r>
    <phoneticPr fontId="101" type="noConversion"/>
  </si>
  <si>
    <r>
      <rPr>
        <b/>
        <sz val="10"/>
        <color rgb="FF000000"/>
        <rFont val="微软雅黑"/>
        <family val="2"/>
        <charset val="134"/>
      </rPr>
      <t>通过执行审计程序：</t>
    </r>
    <phoneticPr fontId="101" type="noConversion"/>
  </si>
  <si>
    <r>
      <rPr>
        <sz val="10"/>
        <color theme="1"/>
        <rFont val="微软雅黑"/>
        <family val="2"/>
        <charset val="134"/>
      </rPr>
      <t>我们没有发现任何超过</t>
    </r>
    <r>
      <rPr>
        <sz val="10"/>
        <color theme="1"/>
        <rFont val="Arial"/>
        <family val="2"/>
      </rPr>
      <t>SAD</t>
    </r>
    <r>
      <rPr>
        <sz val="10"/>
        <color theme="1"/>
        <rFont val="微软雅黑"/>
        <family val="2"/>
        <charset val="134"/>
      </rPr>
      <t>的错报</t>
    </r>
    <phoneticPr fontId="101" type="noConversion"/>
  </si>
  <si>
    <t>/N1</t>
    <phoneticPr fontId="101" type="noConversion"/>
  </si>
  <si>
    <r>
      <rPr>
        <sz val="10"/>
        <rFont val="微软雅黑"/>
        <family val="2"/>
        <charset val="134"/>
      </rPr>
      <t>我们已经完成了于该些科目相关的细节测试，并发现了一个或多个超过</t>
    </r>
    <r>
      <rPr>
        <sz val="10"/>
        <rFont val="Arial"/>
        <family val="2"/>
      </rPr>
      <t>SAD</t>
    </r>
    <r>
      <rPr>
        <sz val="10"/>
        <rFont val="微软雅黑"/>
        <family val="2"/>
        <charset val="134"/>
      </rPr>
      <t>的错报，我们已经将这些错报记录于审计差异汇总（</t>
    </r>
    <r>
      <rPr>
        <sz val="10"/>
        <rFont val="Arial"/>
        <family val="2"/>
      </rPr>
      <t>SAD template)</t>
    </r>
    <r>
      <rPr>
        <sz val="10"/>
        <rFont val="微软雅黑"/>
        <family val="2"/>
        <charset val="134"/>
      </rPr>
      <t>中</t>
    </r>
    <r>
      <rPr>
        <sz val="10"/>
        <rFont val="Arial"/>
        <family val="2"/>
      </rPr>
      <t xml:space="preserve">, </t>
    </r>
    <r>
      <rPr>
        <sz val="10"/>
        <rFont val="微软雅黑"/>
        <family val="2"/>
        <charset val="134"/>
      </rPr>
      <t>并将该审计差异汇总表放入</t>
    </r>
    <r>
      <rPr>
        <sz val="10"/>
        <rFont val="Arial"/>
        <family val="2"/>
      </rPr>
      <t>Canvas</t>
    </r>
    <r>
      <rPr>
        <sz val="10"/>
        <rFont val="微软雅黑"/>
        <family val="2"/>
        <charset val="134"/>
      </rPr>
      <t>。</t>
    </r>
    <phoneticPr fontId="101" type="noConversion"/>
  </si>
  <si>
    <r>
      <rPr>
        <b/>
        <sz val="10"/>
        <rFont val="微软雅黑"/>
        <family val="2"/>
        <charset val="134"/>
      </rPr>
      <t>安永标记</t>
    </r>
  </si>
  <si>
    <t>PY</t>
  </si>
  <si>
    <r>
      <rPr>
        <sz val="10"/>
        <rFont val="微软雅黑"/>
        <family val="2"/>
        <charset val="134"/>
      </rPr>
      <t>与上年审计底稿核对一致（需项目组自行核对或者由</t>
    </r>
    <r>
      <rPr>
        <sz val="10"/>
        <rFont val="Arial"/>
        <family val="2"/>
      </rPr>
      <t xml:space="preserve">GDS </t>
    </r>
    <r>
      <rPr>
        <sz val="10"/>
        <rFont val="微软雅黑"/>
        <family val="2"/>
        <charset val="134"/>
      </rPr>
      <t>提供服务核对）</t>
    </r>
  </si>
  <si>
    <t>A3</t>
  </si>
  <si>
    <r>
      <rPr>
        <sz val="10"/>
        <rFont val="微软雅黑"/>
        <family val="2"/>
        <charset val="134"/>
      </rPr>
      <t>与未审数、审定数核对一致</t>
    </r>
  </si>
  <si>
    <t>A5</t>
  </si>
  <si>
    <r>
      <rPr>
        <sz val="10"/>
        <rFont val="微软雅黑"/>
        <family val="2"/>
        <charset val="134"/>
      </rPr>
      <t>与审计调整核对一致</t>
    </r>
  </si>
  <si>
    <t>TB</t>
  </si>
  <si>
    <r>
      <rPr>
        <sz val="10"/>
        <rFont val="微软雅黑"/>
        <family val="2"/>
        <charset val="134"/>
      </rPr>
      <t>已与科目余额表核对无误</t>
    </r>
  </si>
  <si>
    <t>SL</t>
  </si>
  <si>
    <r>
      <rPr>
        <sz val="10"/>
        <rFont val="微软雅黑"/>
        <family val="2"/>
        <charset val="134"/>
      </rPr>
      <t>已与明细账核对无误</t>
    </r>
  </si>
  <si>
    <t>m</t>
  </si>
  <si>
    <r>
      <rPr>
        <sz val="10"/>
        <color rgb="FF000000"/>
        <rFont val="微软雅黑"/>
        <family val="2"/>
        <charset val="134"/>
      </rPr>
      <t>余额</t>
    </r>
    <r>
      <rPr>
        <sz val="10"/>
        <color rgb="FF000000"/>
        <rFont val="Arial"/>
        <family val="2"/>
      </rPr>
      <t>/</t>
    </r>
    <r>
      <rPr>
        <sz val="10"/>
        <color rgb="FF000000"/>
        <rFont val="微软雅黑"/>
        <family val="2"/>
        <charset val="134"/>
      </rPr>
      <t>活动不符合测试范围</t>
    </r>
    <r>
      <rPr>
        <sz val="10"/>
        <color rgb="FF000000"/>
        <rFont val="Arial"/>
        <family val="2"/>
      </rPr>
      <t>–</t>
    </r>
    <r>
      <rPr>
        <sz val="10"/>
        <color rgb="FF000000"/>
        <rFont val="微软雅黑"/>
        <family val="2"/>
        <charset val="134"/>
      </rPr>
      <t>无需进一步调查</t>
    </r>
  </si>
  <si>
    <t>FS</t>
  </si>
  <si>
    <r>
      <rPr>
        <sz val="10"/>
        <rFont val="微软雅黑"/>
        <family val="2"/>
        <charset val="134"/>
      </rPr>
      <t>与</t>
    </r>
    <r>
      <rPr>
        <sz val="10"/>
        <rFont val="Arial"/>
        <family val="2"/>
      </rPr>
      <t>FS.0x</t>
    </r>
    <r>
      <rPr>
        <sz val="10"/>
        <rFont val="微软雅黑"/>
        <family val="2"/>
        <charset val="134"/>
      </rPr>
      <t>与财务报表核对无误</t>
    </r>
    <phoneticPr fontId="101" type="noConversion"/>
  </si>
  <si>
    <t>w</t>
  </si>
  <si>
    <r>
      <rPr>
        <sz val="10"/>
        <color rgb="FF000000"/>
        <rFont val="微软雅黑"/>
        <family val="2"/>
        <charset val="134"/>
      </rPr>
      <t>低于</t>
    </r>
    <r>
      <rPr>
        <sz val="10"/>
        <color rgb="FF000000"/>
        <rFont val="Arial"/>
        <family val="2"/>
      </rPr>
      <t>SAD</t>
    </r>
    <r>
      <rPr>
        <sz val="10"/>
        <color rgb="FF000000"/>
        <rFont val="微软雅黑"/>
        <family val="2"/>
        <charset val="134"/>
      </rPr>
      <t>的金额</t>
    </r>
    <r>
      <rPr>
        <sz val="10"/>
        <color rgb="FF000000"/>
        <rFont val="Arial"/>
        <family val="2"/>
      </rPr>
      <t>——</t>
    </r>
    <r>
      <rPr>
        <sz val="10"/>
        <color rgb="FF000000"/>
        <rFont val="微软雅黑"/>
        <family val="2"/>
        <charset val="134"/>
      </rPr>
      <t>放弃进一步调查</t>
    </r>
  </si>
  <si>
    <t>Rx</t>
  </si>
  <si>
    <r>
      <rPr>
        <sz val="10"/>
        <rFont val="微软雅黑"/>
        <family val="2"/>
        <charset val="134"/>
      </rPr>
      <t>重新计算，无异常</t>
    </r>
    <phoneticPr fontId="101" type="noConversion"/>
  </si>
  <si>
    <t xml:space="preserve">  </t>
  </si>
  <si>
    <t>1a53a06e-5a44-4eea-8984-54dfb7bd65ad</t>
    <phoneticPr fontId="101" type="noConversion"/>
  </si>
  <si>
    <r>
      <rPr>
        <u/>
        <sz val="10"/>
        <color rgb="FFFF0000"/>
        <rFont val="微软雅黑"/>
        <family val="2"/>
        <charset val="134"/>
      </rPr>
      <t>返回汇总页</t>
    </r>
  </si>
  <si>
    <r>
      <rPr>
        <b/>
        <u/>
        <sz val="14"/>
        <rFont val="微软雅黑"/>
        <family val="2"/>
        <charset val="134"/>
      </rPr>
      <t>目标</t>
    </r>
  </si>
  <si>
    <r>
      <rPr>
        <sz val="14"/>
        <color theme="1"/>
        <rFont val="微软雅黑"/>
        <family val="2"/>
        <charset val="134"/>
      </rPr>
      <t>通过执行分析和调查两期金额重大变动来确定这些科目是否合理。</t>
    </r>
  </si>
  <si>
    <r>
      <rPr>
        <b/>
        <sz val="14"/>
        <color theme="1"/>
        <rFont val="微软雅黑"/>
        <family val="2"/>
        <charset val="134"/>
      </rPr>
      <t>序号</t>
    </r>
  </si>
  <si>
    <r>
      <rPr>
        <b/>
        <sz val="14"/>
        <rFont val="微软雅黑"/>
        <family val="2"/>
        <charset val="134"/>
      </rPr>
      <t>执行的程序</t>
    </r>
  </si>
  <si>
    <r>
      <rPr>
        <b/>
        <sz val="14"/>
        <rFont val="微软雅黑"/>
        <family val="2"/>
        <charset val="134"/>
      </rPr>
      <t>程序表</t>
    </r>
  </si>
  <si>
    <r>
      <rPr>
        <b/>
        <sz val="14"/>
        <rFont val="微软雅黑"/>
        <family val="2"/>
        <charset val="134"/>
      </rPr>
      <t>预审完成</t>
    </r>
    <phoneticPr fontId="101" type="noConversion"/>
  </si>
  <si>
    <r>
      <rPr>
        <b/>
        <sz val="14"/>
        <rFont val="微软雅黑"/>
        <family val="2"/>
        <charset val="134"/>
      </rPr>
      <t>年审完成</t>
    </r>
    <phoneticPr fontId="101" type="noConversion"/>
  </si>
  <si>
    <r>
      <rPr>
        <b/>
        <sz val="14"/>
        <rFont val="微软雅黑"/>
        <family val="2"/>
        <charset val="134"/>
      </rPr>
      <t>执行注意事项</t>
    </r>
  </si>
  <si>
    <r>
      <rPr>
        <sz val="14"/>
        <rFont val="微软雅黑"/>
        <family val="2"/>
        <charset val="134"/>
      </rPr>
      <t>我们获取长期待摊费用科目余额表本期金额以及上年审定数。</t>
    </r>
  </si>
  <si>
    <r>
      <rPr>
        <b/>
        <sz val="14"/>
        <color rgb="FFFF0000"/>
        <rFont val="微软雅黑"/>
        <family val="2"/>
        <charset val="134"/>
      </rPr>
      <t>表</t>
    </r>
    <r>
      <rPr>
        <b/>
        <sz val="14"/>
        <color rgb="FFFF0000"/>
        <rFont val="Arial"/>
        <family val="2"/>
      </rPr>
      <t>1</t>
    </r>
  </si>
  <si>
    <r>
      <rPr>
        <sz val="14"/>
        <rFont val="微软雅黑"/>
        <family val="2"/>
        <charset val="134"/>
      </rPr>
      <t>是</t>
    </r>
  </si>
  <si>
    <r>
      <rPr>
        <sz val="14"/>
        <color indexed="8"/>
        <rFont val="微软雅黑"/>
        <family val="2"/>
        <charset val="134"/>
      </rPr>
      <t>我们将两期审定金额进行比对，对那些变动大于范围的事项，获得管理层解释并对解释是否合理进行调查。</t>
    </r>
  </si>
  <si>
    <t>以下描述我们对长期待摊费用的预期，在此期间的相关账户余额和相关波动，以及我们这些预期的依据和理由。（请对长期待摊费用L2.01.1 BKD中表1的变动项分别进行预期，如新增、减少、摊销方法、摊销年限、摊销费用、使用寿命变化等。）</t>
    <phoneticPr fontId="102" type="noConversion"/>
  </si>
  <si>
    <r>
      <rPr>
        <b/>
        <sz val="10"/>
        <rFont val="微软雅黑"/>
        <family val="2"/>
        <charset val="134"/>
      </rPr>
      <t>波动范围</t>
    </r>
    <r>
      <rPr>
        <b/>
        <sz val="10"/>
        <rFont val="Arial"/>
        <family val="2"/>
      </rPr>
      <t xml:space="preserve"> (%):</t>
    </r>
  </si>
  <si>
    <r>
      <rPr>
        <b/>
        <sz val="14"/>
        <color rgb="FFFF0000"/>
        <rFont val="微软雅黑"/>
        <family val="2"/>
        <charset val="134"/>
      </rPr>
      <t>注：以下表格数据源来自科目余额表，项目组可按照项目实际情况对表格的表头进行修改及行列进行删减</t>
    </r>
  </si>
  <si>
    <t>AA</t>
    <phoneticPr fontId="101" type="noConversion"/>
  </si>
  <si>
    <t>BB</t>
    <phoneticPr fontId="101" type="noConversion"/>
  </si>
  <si>
    <t>CC=AA+BB</t>
    <phoneticPr fontId="101" type="noConversion"/>
  </si>
  <si>
    <t>DD</t>
    <phoneticPr fontId="101" type="noConversion"/>
  </si>
  <si>
    <t>EE=CC+DD</t>
    <phoneticPr fontId="101" type="noConversion"/>
  </si>
  <si>
    <t>FF</t>
    <phoneticPr fontId="101" type="noConversion"/>
  </si>
  <si>
    <t>GG=EE-FF</t>
    <phoneticPr fontId="101" type="noConversion"/>
  </si>
  <si>
    <t>HH=GG/FF</t>
    <phoneticPr fontId="101" type="noConversion"/>
  </si>
  <si>
    <t>T1</t>
  </si>
  <si>
    <t>TB</t>
    <phoneticPr fontId="101" type="noConversion"/>
  </si>
  <si>
    <r>
      <rPr>
        <b/>
        <sz val="10"/>
        <color rgb="FFFF0000"/>
        <rFont val="微软雅黑"/>
        <family val="2"/>
        <charset val="134"/>
      </rPr>
      <t>表</t>
    </r>
    <r>
      <rPr>
        <b/>
        <sz val="10"/>
        <color rgb="FFFF0000"/>
        <rFont val="Arial"/>
        <family val="2"/>
      </rPr>
      <t>1</t>
    </r>
  </si>
  <si>
    <r>
      <rPr>
        <sz val="10"/>
        <rFont val="微软雅黑"/>
        <family val="2"/>
        <charset val="134"/>
      </rPr>
      <t>变</t>
    </r>
  </si>
  <si>
    <r>
      <rPr>
        <sz val="10"/>
        <rFont val="微软雅黑"/>
        <family val="2"/>
        <charset val="134"/>
      </rPr>
      <t>动</t>
    </r>
  </si>
  <si>
    <r>
      <rPr>
        <sz val="10"/>
        <color theme="1"/>
        <rFont val="微软雅黑"/>
        <family val="2"/>
        <charset val="134"/>
      </rPr>
      <t>账套名称</t>
    </r>
    <r>
      <rPr>
        <sz val="10"/>
        <color theme="1"/>
        <rFont val="Arial"/>
        <family val="2"/>
      </rPr>
      <t>/</t>
    </r>
    <r>
      <rPr>
        <sz val="10"/>
        <color theme="1"/>
        <rFont val="微软雅黑"/>
        <family val="2"/>
        <charset val="134"/>
      </rPr>
      <t>账套编码</t>
    </r>
    <r>
      <rPr>
        <sz val="10"/>
        <color theme="1"/>
        <rFont val="Arial"/>
        <family val="2"/>
      </rPr>
      <t xml:space="preserve"> </t>
    </r>
  </si>
  <si>
    <r>
      <rPr>
        <sz val="10"/>
        <rFont val="微软雅黑"/>
        <family val="2"/>
        <charset val="134"/>
      </rPr>
      <t>科目编码</t>
    </r>
  </si>
  <si>
    <r>
      <rPr>
        <sz val="10"/>
        <rFont val="微软雅黑"/>
        <family val="2"/>
        <charset val="134"/>
      </rPr>
      <t>科目名称</t>
    </r>
  </si>
  <si>
    <r>
      <rPr>
        <sz val="10"/>
        <rFont val="微软雅黑"/>
        <family val="2"/>
        <charset val="134"/>
      </rPr>
      <t>索引号</t>
    </r>
  </si>
  <si>
    <r>
      <rPr>
        <sz val="10"/>
        <rFont val="微软雅黑"/>
        <family val="2"/>
        <charset val="134"/>
      </rPr>
      <t>期末账面数</t>
    </r>
  </si>
  <si>
    <r>
      <rPr>
        <sz val="10"/>
        <rFont val="微软雅黑"/>
        <family val="2"/>
        <charset val="134"/>
      </rPr>
      <t>本期账表调整编号</t>
    </r>
  </si>
  <si>
    <r>
      <rPr>
        <sz val="10"/>
        <rFont val="微软雅黑"/>
        <family val="2"/>
        <charset val="134"/>
      </rPr>
      <t>本期账表调整数</t>
    </r>
  </si>
  <si>
    <r>
      <rPr>
        <sz val="10"/>
        <rFont val="微软雅黑"/>
        <family val="2"/>
        <charset val="134"/>
      </rPr>
      <t>期末未审数</t>
    </r>
  </si>
  <si>
    <r>
      <rPr>
        <sz val="10"/>
        <rFont val="微软雅黑"/>
        <family val="2"/>
        <charset val="134"/>
      </rPr>
      <t>本期审计调整编号</t>
    </r>
  </si>
  <si>
    <r>
      <rPr>
        <sz val="10"/>
        <rFont val="微软雅黑"/>
        <family val="2"/>
        <charset val="134"/>
      </rPr>
      <t>本期审计调整金额</t>
    </r>
  </si>
  <si>
    <r>
      <rPr>
        <sz val="10"/>
        <rFont val="微软雅黑"/>
        <family val="2"/>
        <charset val="134"/>
      </rPr>
      <t>期末审定数</t>
    </r>
  </si>
  <si>
    <r>
      <rPr>
        <sz val="10"/>
        <rFont val="微软雅黑"/>
        <family val="2"/>
        <charset val="134"/>
      </rPr>
      <t xml:space="preserve">上期末审定数
</t>
    </r>
    <r>
      <rPr>
        <b/>
        <sz val="10"/>
        <rFont val="Arial"/>
        <family val="2"/>
      </rPr>
      <t>(</t>
    </r>
    <r>
      <rPr>
        <b/>
        <sz val="10"/>
        <color rgb="FF0000FF"/>
        <rFont val="Arial"/>
        <family val="2"/>
      </rPr>
      <t>PY</t>
    </r>
    <r>
      <rPr>
        <b/>
        <sz val="10"/>
        <rFont val="Arial"/>
        <family val="2"/>
      </rPr>
      <t>)</t>
    </r>
    <phoneticPr fontId="101" type="noConversion"/>
  </si>
  <si>
    <r>
      <rPr>
        <sz val="10"/>
        <rFont val="微软雅黑"/>
        <family val="2"/>
        <charset val="134"/>
      </rPr>
      <t>金额</t>
    </r>
  </si>
  <si>
    <t>%</t>
  </si>
  <si>
    <t>Notes</t>
  </si>
  <si>
    <t>/T1</t>
  </si>
  <si>
    <r>
      <rPr>
        <b/>
        <sz val="10"/>
        <color indexed="8"/>
        <rFont val="微软雅黑"/>
        <family val="2"/>
        <charset val="134"/>
      </rPr>
      <t>合计</t>
    </r>
  </si>
  <si>
    <t>Rx</t>
    <phoneticPr fontId="101" type="noConversion"/>
  </si>
  <si>
    <t>Diff</t>
  </si>
  <si>
    <t>（针对本年新增/减少等重大变动，分析变化原因）</t>
  </si>
  <si>
    <r>
      <rPr>
        <b/>
        <sz val="10"/>
        <rFont val="微软雅黑"/>
        <family val="2"/>
        <charset val="134"/>
      </rPr>
      <t>调整汇总表</t>
    </r>
  </si>
  <si>
    <r>
      <rPr>
        <b/>
        <sz val="10"/>
        <color rgb="FFFF0000"/>
        <rFont val="微软雅黑"/>
        <family val="2"/>
        <charset val="134"/>
      </rPr>
      <t>如不适用请删除</t>
    </r>
  </si>
  <si>
    <t>b665f979-2ae3-4dc8-a582-4a9c15851781</t>
    <phoneticPr fontId="101" type="noConversion"/>
  </si>
  <si>
    <t>返回汇总页</t>
  </si>
  <si>
    <t>目标</t>
  </si>
  <si>
    <t>验证存在性和计价，摊销测试。</t>
  </si>
  <si>
    <t>序号</t>
  </si>
  <si>
    <t>执行的程序</t>
  </si>
  <si>
    <t>程序表</t>
  </si>
  <si>
    <t>预审完成</t>
  </si>
  <si>
    <t>年审完成</t>
  </si>
  <si>
    <t>执行注意事项</t>
  </si>
  <si>
    <r>
      <t>获取本期长期待摊费用明细表，将金额与</t>
    </r>
    <r>
      <rPr>
        <b/>
        <sz val="14"/>
        <color rgb="FFFF0000"/>
        <rFont val="Arial"/>
        <family val="2"/>
      </rPr>
      <t>TB</t>
    </r>
    <r>
      <rPr>
        <sz val="14"/>
        <rFont val="Arial"/>
        <family val="2"/>
      </rPr>
      <t>的金额进行核对。</t>
    </r>
  </si>
  <si>
    <t>表1</t>
  </si>
  <si>
    <t>是</t>
  </si>
  <si>
    <t>获取本期长期待摊费用摊销计算表，根据公司的摊销政策重新测算本年应计提的摊销费用。重新计算摊销出现差异的，我们与管理层进行讨论。</t>
  </si>
  <si>
    <t>将本期摊销金额与利润表中相关科目进行核对。</t>
  </si>
  <si>
    <t>表2</t>
  </si>
  <si>
    <t>长期待摊费用明细表</t>
  </si>
  <si>
    <t>注：以下表格数据源为明细账，项目组可按照项目实际情况对表格的表头进行修改及行列进行删减</t>
  </si>
  <si>
    <t>CC</t>
    <phoneticPr fontId="101" type="noConversion"/>
  </si>
  <si>
    <t>EE</t>
    <phoneticPr fontId="101" type="noConversion"/>
  </si>
  <si>
    <t>FF=DD+EE</t>
    <phoneticPr fontId="101" type="noConversion"/>
  </si>
  <si>
    <t>GG</t>
    <phoneticPr fontId="101" type="noConversion"/>
  </si>
  <si>
    <t>HH</t>
    <phoneticPr fontId="101" type="noConversion"/>
  </si>
  <si>
    <t>II</t>
    <phoneticPr fontId="101" type="noConversion"/>
  </si>
  <si>
    <t>JJ</t>
    <phoneticPr fontId="101" type="noConversion"/>
  </si>
  <si>
    <t>KK=II+JJ</t>
    <phoneticPr fontId="101" type="noConversion"/>
  </si>
  <si>
    <t>LL</t>
    <phoneticPr fontId="101" type="noConversion"/>
  </si>
  <si>
    <t>MM</t>
    <phoneticPr fontId="101" type="noConversion"/>
  </si>
  <si>
    <t>NN=LL+MM</t>
    <phoneticPr fontId="101" type="noConversion"/>
  </si>
  <si>
    <t>OO=CC-GG</t>
    <phoneticPr fontId="101" type="noConversion"/>
  </si>
  <si>
    <t>PP=DD-II</t>
    <phoneticPr fontId="101" type="noConversion"/>
  </si>
  <si>
    <t>QQ</t>
    <phoneticPr fontId="101" type="noConversion"/>
  </si>
  <si>
    <t>RR=PP+QQ</t>
    <phoneticPr fontId="101" type="noConversion"/>
  </si>
  <si>
    <t>SS=RR-OO</t>
    <phoneticPr fontId="101" type="noConversion"/>
  </si>
  <si>
    <t>TT=EOMONTH(AA,(BB-MONTH(1))</t>
    <phoneticPr fontId="101" type="noConversion"/>
  </si>
  <si>
    <t>UU</t>
    <phoneticPr fontId="101" type="noConversion"/>
  </si>
  <si>
    <t>VV=DD/BB</t>
    <phoneticPr fontId="101" type="noConversion"/>
  </si>
  <si>
    <t>WW=UU*VV</t>
    <phoneticPr fontId="101" type="noConversion"/>
  </si>
  <si>
    <t>XX=HH-WW</t>
    <phoneticPr fontId="101" type="noConversion"/>
  </si>
  <si>
    <t>原值</t>
  </si>
  <si>
    <t>累计摊销</t>
  </si>
  <si>
    <t>减值准备</t>
  </si>
  <si>
    <t>净值</t>
  </si>
  <si>
    <t>安永本年摊销金额测算</t>
  </si>
  <si>
    <t>项目编码</t>
  </si>
  <si>
    <t>项目名称</t>
  </si>
  <si>
    <t>长期待摊费用初始确认日期</t>
  </si>
  <si>
    <t>摊销期限（月）</t>
  </si>
  <si>
    <r>
      <t xml:space="preserve">上期末审定数
</t>
    </r>
    <r>
      <rPr>
        <b/>
        <sz val="10"/>
        <color theme="1"/>
        <rFont val="Arial"/>
        <family val="2"/>
      </rPr>
      <t>(</t>
    </r>
    <r>
      <rPr>
        <b/>
        <sz val="10"/>
        <color rgb="FF0000FF"/>
        <rFont val="Arial"/>
        <family val="2"/>
      </rPr>
      <t>PY</t>
    </r>
    <r>
      <rPr>
        <b/>
        <sz val="10"/>
        <color theme="1"/>
        <rFont val="Arial"/>
        <family val="2"/>
      </rPr>
      <t>)</t>
    </r>
  </si>
  <si>
    <t>本年增加</t>
  </si>
  <si>
    <t>本年减少</t>
  </si>
  <si>
    <t>减少方式</t>
  </si>
  <si>
    <t>减少日期</t>
  </si>
  <si>
    <t>账面期末数</t>
  </si>
  <si>
    <t>审计调整</t>
  </si>
  <si>
    <t>审定期末数</t>
  </si>
  <si>
    <t>本期摊销</t>
  </si>
  <si>
    <t>转销</t>
  </si>
  <si>
    <t xml:space="preserve"> 期末审定数vs上期末审定数</t>
  </si>
  <si>
    <t>样本类型</t>
  </si>
  <si>
    <t>摊销结束时间</t>
  </si>
  <si>
    <t>本期摊销月数</t>
  </si>
  <si>
    <t>月摊销额</t>
  </si>
  <si>
    <t>安永测算本年摊销金额</t>
  </si>
  <si>
    <t>差异</t>
  </si>
  <si>
    <t>差异原因</t>
  </si>
  <si>
    <t>合计</t>
  </si>
  <si>
    <t>请在此记录长期待摊费用明细账和总账的差异，并详细记录对差异进行的核查程序。</t>
    <phoneticPr fontId="102" type="noConversion"/>
  </si>
  <si>
    <t>摊销测试差异较大，请分析原因并讨论是否出具审计调整。</t>
    <phoneticPr fontId="102" type="noConversion"/>
  </si>
  <si>
    <t>与损益表核对如下：</t>
  </si>
  <si>
    <t>账套名称/账套编码</t>
  </si>
  <si>
    <t>交叉索引</t>
  </si>
  <si>
    <t>科目编码</t>
  </si>
  <si>
    <t>科目名称</t>
  </si>
  <si>
    <t>金额</t>
  </si>
  <si>
    <t>U_200</t>
    <phoneticPr fontId="113" type="noConversion"/>
  </si>
  <si>
    <t>制造费用</t>
  </si>
  <si>
    <t>U_400</t>
    <phoneticPr fontId="113" type="noConversion"/>
  </si>
  <si>
    <t>管理费用</t>
  </si>
  <si>
    <t>U_300</t>
    <phoneticPr fontId="113" type="noConversion"/>
  </si>
  <si>
    <t>销售费用</t>
  </si>
  <si>
    <t>【..】</t>
  </si>
  <si>
    <t>.</t>
    <phoneticPr fontId="101" type="noConversion"/>
  </si>
  <si>
    <t>若交叉勾稽存在重大差异，调查原因，修改上述勾稽并在此记录。</t>
    <phoneticPr fontId="102" type="noConversion"/>
  </si>
  <si>
    <t>d7c7e1e9-5307-413b-84da-2b991689d083</t>
    <phoneticPr fontId="101" type="noConversion"/>
  </si>
  <si>
    <t>对抽取的样本均需要确认资产实际状态，确保其正常使用，且预期仍然能为被审计单位带来经济利益。例如经营租赁方式租入的固定资产发生的改良支出或装修等进行实地查看，以验证其存在性认定。同时检查本期新增长期待摊费用的第三方证据（例如采购发票、合同等）。</t>
  </si>
  <si>
    <t>复核摊销政策的合理性。</t>
  </si>
  <si>
    <t>对于识别本期长期待摊费用的金额差异超过测试阈值，或金额未超过测试阈值但性质异常的项目，获取支持性证据以验证其正确性。</t>
  </si>
  <si>
    <t>我们将金额超过测试阈值的项目以及可能存在重大错报风险的项目设为关键项（key item）。
我们使用安永抽样工具选择代表性样本进行测试。</t>
  </si>
  <si>
    <t>L2.02.1a 选样输出</t>
    <phoneticPr fontId="102" type="noConversion"/>
  </si>
  <si>
    <t>对选取的样本按照测试属性进行测试</t>
  </si>
  <si>
    <t>表1.2</t>
  </si>
  <si>
    <t>表1.1</t>
  </si>
  <si>
    <t>针对L2.01.1长期待摊费用明细表中的长期待摊费用，我们抽取样本进行存在性测试。</t>
    <phoneticPr fontId="102" type="noConversion"/>
  </si>
  <si>
    <t>我们在以下填写抽样策略，包括如何确定关键项和代表性样本（如适用），如将本年金额超过测试阈值的项目以及可能存在重大错报风险的项目设为关键项（key item）</t>
    <phoneticPr fontId="102" type="noConversion"/>
  </si>
  <si>
    <t>EY 测试属性解释:</t>
  </si>
  <si>
    <t>对于选取测试的样本，我们检查相关支持性文件，确保：</t>
  </si>
  <si>
    <t xml:space="preserve">          1) 管理层采用的摊销年限和方法是适当的（符合实体的会计政策和适用的财务报告框架）</t>
  </si>
  <si>
    <t xml:space="preserve">          2) 长期待摊费用相关资产正常使用，预期仍然能为被审计单位带来经济利益。</t>
  </si>
  <si>
    <t xml:space="preserve">          3) 新增资产符合资本化条件，资本化时点与入账日一致。</t>
  </si>
  <si>
    <t xml:space="preserve">          4) 新增长期待摊费用的合同、发票金额与账面处理一致。</t>
  </si>
  <si>
    <t>详细测试抽样表</t>
    <phoneticPr fontId="102" type="noConversion"/>
  </si>
  <si>
    <t>EY Works</t>
  </si>
  <si>
    <t>L2.01.1</t>
  </si>
  <si>
    <t xml:space="preserve">账套名称/账套编码 </t>
  </si>
  <si>
    <t>项目名称/性质</t>
  </si>
  <si>
    <t>原始凭证/合同金额</t>
  </si>
  <si>
    <t>摊销期间</t>
  </si>
  <si>
    <t>获得的证据/支持的描述（例如，我们检查的具体销售发票/合同/采购单等）</t>
  </si>
  <si>
    <t>支持性文件索引号</t>
  </si>
  <si>
    <t>标记图例：记录已识别的异常情况以及如何解决这些异常情况的详细信息，包括执行的其他实质性程序（指南：包括足够的描述，以使之前与审计无关的经验丰富的审计师能够理解执行的程序），检查无误标记“Y”</t>
    <phoneticPr fontId="102" type="noConversion"/>
  </si>
  <si>
    <t>Notes</t>
    <phoneticPr fontId="101" type="noConversion"/>
  </si>
  <si>
    <t>b9adffc1-e6db-49d0-888c-ff2f43ccef26</t>
    <phoneticPr fontId="101" type="noConversion"/>
  </si>
  <si>
    <r>
      <rPr>
        <b/>
        <sz val="14"/>
        <color rgb="FFFF0000"/>
        <rFont val="微软雅黑"/>
        <family val="2"/>
        <charset val="134"/>
      </rPr>
      <t>将此选项页替换为安永智能选样工作文件中的</t>
    </r>
    <r>
      <rPr>
        <b/>
        <sz val="14"/>
        <color rgb="FFFF0000"/>
        <rFont val="Arial"/>
        <family val="2"/>
      </rPr>
      <t>“</t>
    </r>
    <r>
      <rPr>
        <b/>
        <sz val="14"/>
        <color rgb="FFFF0000"/>
        <rFont val="微软雅黑"/>
        <family val="2"/>
        <charset val="134"/>
      </rPr>
      <t>选样项目详细信息</t>
    </r>
    <r>
      <rPr>
        <b/>
        <sz val="14"/>
        <color rgb="FFFF0000"/>
        <rFont val="Arial"/>
        <family val="2"/>
      </rPr>
      <t>”</t>
    </r>
  </si>
  <si>
    <r>
      <rPr>
        <b/>
        <i/>
        <sz val="14"/>
        <color rgb="FFFF0000"/>
        <rFont val="微软雅黑"/>
        <family val="2"/>
        <charset val="134"/>
      </rPr>
      <t>注：样本存在性测试请与</t>
    </r>
    <r>
      <rPr>
        <b/>
        <i/>
        <sz val="14"/>
        <color rgb="FFFF0000"/>
        <rFont val="Arial"/>
        <family val="2"/>
      </rPr>
      <t xml:space="preserve">L2.01.1 BKD </t>
    </r>
    <r>
      <rPr>
        <b/>
        <i/>
        <sz val="14"/>
        <color rgb="FFFF0000"/>
        <rFont val="微软雅黑"/>
        <family val="2"/>
        <charset val="134"/>
      </rPr>
      <t>（期末净值</t>
    </r>
    <r>
      <rPr>
        <b/>
        <i/>
        <sz val="14"/>
        <color rgb="FFFF0000"/>
        <rFont val="Arial"/>
        <family val="2"/>
      </rPr>
      <t>AB29</t>
    </r>
    <r>
      <rPr>
        <b/>
        <i/>
        <sz val="14"/>
        <color rgb="FFFF0000"/>
        <rFont val="微软雅黑"/>
        <family val="2"/>
        <charset val="134"/>
      </rPr>
      <t>）测试金额核对一致</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</si>
</sst>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6">
    <numFmt numFmtId="176" formatCode="_(* #,##0_);_(* \(#,##0\);_(* &quot;-&quot;_);_(@_)"/>
    <numFmt numFmtId="177" formatCode="_(&quot;¥&quot;* #,##0.00_);_(&quot;¥&quot;* \(#,##0.00\);_(&quot;¥&quot;* &quot;-&quot;??_);_(@_)"/>
    <numFmt numFmtId="178" formatCode="_(* #,##0.00_);_(* \(#,##0.00\);_(* &quot;-&quot;??_);_(@_)"/>
    <numFmt numFmtId="179" formatCode="mmmm\ d\,\ yyyy"/>
    <numFmt numFmtId="180" formatCode="_-* #,##0.0000000000_-;\-* #,##0.0000000000_-;_-* &quot;-&quot;??_-;_-@_-"/>
    <numFmt numFmtId="181" formatCode="0.00000&quot;  &quot;"/>
    <numFmt numFmtId="182" formatCode="[$-804]aaaa;@"/>
    <numFmt numFmtId="183" formatCode="&quot;$&quot;#,##0;[Red]&quot;$&quot;&quot;$&quot;&quot;$&quot;&quot;$&quot;&quot;$&quot;&quot;$&quot;&quot;$&quot;\-#,##0"/>
    <numFmt numFmtId="184"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85" formatCode="#,##0.00_);#,##0.00\)"/>
    <numFmt numFmtId="186" formatCode="#,##0.00\ &quot;FB&quot;;\-#,##0.00\ &quot;FB&quot;"/>
    <numFmt numFmtId="187" formatCode="_-* #,##0.00_-;\-* #,##0.00_-;_-* &quot;-&quot;??_-;_-@_-"/>
    <numFmt numFmtId="188" formatCode="0.0%"/>
    <numFmt numFmtId="189" formatCode="_(&quot;$&quot;* #,##0.00_);_(&quot;$&quot;* \(#,##0.00\);_(&quot;$&quot;* &quot;-&quot;??_);_(@_)"/>
    <numFmt numFmtId="190" formatCode="_(\¥* #,##0.00_);_(\¥* \(#,##0.00\);_(\¥* &quot;-&quot;??_);_(@_)"/>
    <numFmt numFmtId="191" formatCode="#,##0.0_);\(#,##0.0\)"/>
    <numFmt numFmtId="192" formatCode="#,##0.000000"/>
    <numFmt numFmtId="193" formatCode="#,##0.00\ &quot;FB&quot;;[Red]\-#,##0.00\ &quot;FB&quot;"/>
    <numFmt numFmtId="194" formatCode="&quot;$&quot;#,##0_);\(&quot;$&quot;#,##0\)"/>
    <numFmt numFmtId="195" formatCode="&quot;$&quot;#,##0.00_);\(&quot;$&quot;#,##0.00\)"/>
    <numFmt numFmtId="196" formatCode="_-* #,##0.00\ _B_E_F_-;\-* #,##0.00\ _B_E_F_-;_-* &quot;-&quot;??\ _B_E_F_-;_-@_-"/>
    <numFmt numFmtId="197" formatCode="\¥#,##0;\-\¥#,##0"/>
    <numFmt numFmtId="198" formatCode="0.0%;\(0.0%\)"/>
    <numFmt numFmtId="199" formatCode="_ [$€-2]* #,##0.00_ ;_ [$€-2]* \-#,##0.00_ ;_ [$€-2]* &quot;-&quot;??_ "/>
    <numFmt numFmtId="200" formatCode="#,##0\ &quot;FB&quot;;\-#,##0\ &quot;FB&quot;"/>
    <numFmt numFmtId="201" formatCode="_([$€-2]* #,##0.00000_);_([$€-2]* \(#,##0.00000\);_([$€-2]* &quot;-&quot;??_)"/>
    <numFmt numFmtId="202" formatCode="&quot;\&quot;#,##0.00;[Red]&quot;\&quot;\-#,##0.00"/>
    <numFmt numFmtId="203" formatCode="_-* #,##0_-;\-* #,##0_-;_-* &quot;-&quot;_-;_-@_-"/>
    <numFmt numFmtId="204" formatCode="&quot;￥&quot;#,##0;\-&quot;￥&quot;#,##0"/>
    <numFmt numFmtId="205" formatCode="#,##0;\(#,##0\)"/>
    <numFmt numFmtId="206" formatCode="_-&quot;$&quot;* #,##0.00_-;\-&quot;$&quot;* #,##0.00_-;_-&quot;$&quot;* &quot;-&quot;??_-;_-@_-"/>
    <numFmt numFmtId="207" formatCode="_(* #,##0.0000_);_(* \(#,##0.0000\);_(* &quot;-&quot;??_);_(@_)"/>
    <numFmt numFmtId="208" formatCode="_-* #,##0.00\ _k_r_-;\-* #,##0.00\ _k_r_-;_-* &quot;-&quot;??\ _k_r_-;_-@_-"/>
    <numFmt numFmtId="209" formatCode="&quot;\&quot;#,##0;[Red]&quot;\&quot;\-#,##0"/>
    <numFmt numFmtId="210" formatCode="#,##0;\-#,##0;&quot;-&quot;"/>
    <numFmt numFmtId="211" formatCode="_-* #,##0\ _k_r_-;\-* #,##0\ _k_r_-;_-* &quot;-&quot;\ _k_r_-;_-@_-"/>
    <numFmt numFmtId="212" formatCode="_(&quot;$&quot;* #,##0_);_(&quot;$&quot;* \(#,##0\);_(&quot;$&quot;* &quot;-&quot;_);_(@_)"/>
    <numFmt numFmtId="213" formatCode="\$#,##0.00;\(\$#,##0.00\)"/>
    <numFmt numFmtId="214" formatCode="\$#,##0;\(\$#,##0\)"/>
    <numFmt numFmtId="215" formatCode="_([$€-2]* #,##0.00_);_([$€-2]* \(#,##0.00\);_([$€-2]* &quot;-&quot;??_)"/>
    <numFmt numFmtId="216" formatCode="_-&quot;$&quot;* #,##0_-;\-&quot;$&quot;* #,##0_-;_-&quot;$&quot;* &quot;-&quot;_-;_-@_-"/>
    <numFmt numFmtId="217" formatCode="&quot;\&quot;#,##0;[Red]&quot;\&quot;&quot;\&quot;\-#,##0"/>
    <numFmt numFmtId="218" formatCode="&quot;\&quot;#,##0.00;[Red]&quot;\&quot;&quot;\&quot;&quot;\&quot;&quot;\&quot;&quot;\&quot;&quot;\&quot;\-#,##0.00"/>
    <numFmt numFmtId="219" formatCode="#,##0.00_ ;[Red]\-#,##0.00\ "/>
    <numFmt numFmtId="220" formatCode="_(* #,##0_);_(* \(#,##0\);_(* &quot;-&quot;??_);_(@_)"/>
    <numFmt numFmtId="221" formatCode="#,##0;\(#,##0\);\-#,##0"/>
  </numFmts>
  <fonts count="156">
    <font>
      <sz val="11"/>
      <color theme="1"/>
      <name val="宋体"/>
      <charset val="134"/>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0"/>
      <color theme="1"/>
      <name val="Arial"/>
      <family val="2"/>
    </font>
    <font>
      <b/>
      <sz val="10"/>
      <color rgb="FFFF0000"/>
      <name val="Arial"/>
      <family val="2"/>
    </font>
    <font>
      <sz val="10"/>
      <color rgb="FF000000"/>
      <name val="Arial"/>
      <family val="2"/>
    </font>
    <font>
      <b/>
      <sz val="10"/>
      <color theme="1"/>
      <name val="Arial"/>
      <family val="2"/>
    </font>
    <font>
      <u/>
      <sz val="10"/>
      <color rgb="FFFF0000"/>
      <name val="Arial"/>
      <family val="2"/>
    </font>
    <font>
      <sz val="11"/>
      <color theme="1"/>
      <name val="Arial"/>
      <family val="2"/>
    </font>
    <font>
      <sz val="10"/>
      <name val="Arial"/>
      <family val="2"/>
    </font>
    <font>
      <b/>
      <u/>
      <sz val="10"/>
      <color indexed="10"/>
      <name val="Arial"/>
      <family val="2"/>
    </font>
    <font>
      <sz val="10"/>
      <color rgb="FFFF0000"/>
      <name val="Arial"/>
      <family val="2"/>
    </font>
    <font>
      <b/>
      <sz val="10"/>
      <color indexed="10"/>
      <name val="Arial"/>
      <family val="2"/>
    </font>
    <font>
      <b/>
      <sz val="10"/>
      <name val="Arial"/>
      <family val="2"/>
    </font>
    <font>
      <u/>
      <sz val="10"/>
      <color theme="10"/>
      <name val="Arial"/>
      <family val="2"/>
    </font>
    <font>
      <sz val="10"/>
      <color indexed="8"/>
      <name val="Arial"/>
      <family val="2"/>
    </font>
    <font>
      <sz val="10"/>
      <color indexed="10"/>
      <name val="Arial"/>
      <family val="2"/>
    </font>
    <font>
      <b/>
      <sz val="10"/>
      <color rgb="FF0000FF"/>
      <name val="Arial"/>
      <family val="2"/>
    </font>
    <font>
      <b/>
      <sz val="10"/>
      <color indexed="8"/>
      <name val="Arial"/>
      <family val="2"/>
    </font>
    <font>
      <sz val="10"/>
      <color theme="0"/>
      <name val="Arial"/>
      <family val="2"/>
    </font>
    <font>
      <b/>
      <sz val="10"/>
      <color rgb="FF000000"/>
      <name val="Arial"/>
      <family val="2"/>
    </font>
    <font>
      <u/>
      <sz val="10"/>
      <color rgb="FF0563C1"/>
      <name val="Arial"/>
      <family val="2"/>
    </font>
    <font>
      <sz val="11"/>
      <color theme="0"/>
      <name val="宋体"/>
      <family val="3"/>
      <charset val="134"/>
      <scheme val="minor"/>
    </font>
    <font>
      <sz val="12"/>
      <color indexed="8"/>
      <name val="宋体"/>
      <family val="3"/>
      <charset val="134"/>
    </font>
    <font>
      <sz val="10"/>
      <name val="宋体"/>
      <family val="3"/>
      <charset val="134"/>
    </font>
    <font>
      <b/>
      <sz val="10"/>
      <color indexed="39"/>
      <name val="Arial"/>
      <family val="2"/>
    </font>
    <font>
      <sz val="12"/>
      <color indexed="9"/>
      <name val="宋体"/>
      <family val="3"/>
      <charset val="134"/>
    </font>
    <font>
      <sz val="8"/>
      <name val="Arial"/>
      <family val="2"/>
    </font>
    <font>
      <sz val="10"/>
      <color theme="1"/>
      <name val="微软雅黑"/>
      <family val="2"/>
    </font>
    <font>
      <sz val="11"/>
      <color rgb="FF000000"/>
      <name val="Calibri"/>
      <family val="2"/>
    </font>
    <font>
      <sz val="12"/>
      <name val="宋体"/>
      <family val="3"/>
      <charset val="134"/>
    </font>
    <font>
      <sz val="9"/>
      <name val="Times New Roman"/>
      <family val="1"/>
    </font>
    <font>
      <sz val="10"/>
      <name val="Helv"/>
      <family val="2"/>
    </font>
    <font>
      <sz val="11"/>
      <color indexed="20"/>
      <name val="宋体"/>
      <family val="3"/>
      <charset val="134"/>
    </font>
    <font>
      <sz val="10"/>
      <color indexed="39"/>
      <name val="Arial"/>
      <family val="2"/>
    </font>
    <font>
      <sz val="11"/>
      <color indexed="9"/>
      <name val="宋体"/>
      <family val="3"/>
      <charset val="134"/>
    </font>
    <font>
      <sz val="11"/>
      <color indexed="26"/>
      <name val="宋体"/>
      <family val="3"/>
      <charset val="134"/>
    </font>
    <font>
      <sz val="10"/>
      <color theme="1"/>
      <name val="Times New Roman"/>
      <family val="1"/>
    </font>
    <font>
      <sz val="13"/>
      <name val="Tms Rmn"/>
      <family val="1"/>
    </font>
    <font>
      <u/>
      <sz val="11"/>
      <color theme="10"/>
      <name val="宋体"/>
      <family val="3"/>
      <charset val="134"/>
      <scheme val="minor"/>
    </font>
    <font>
      <sz val="11"/>
      <color indexed="8"/>
      <name val="宋体"/>
      <family val="3"/>
      <charset val="134"/>
    </font>
    <font>
      <u/>
      <sz val="10"/>
      <color theme="10"/>
      <name val="等线"/>
      <family val="3"/>
      <charset val="134"/>
    </font>
    <font>
      <sz val="12"/>
      <name val="Times New Roman"/>
      <family val="1"/>
    </font>
    <font>
      <sz val="11"/>
      <name val="ＭＳ Ｐゴシック"/>
      <family val="2"/>
    </font>
    <font>
      <sz val="10"/>
      <name val="Times New Roman"/>
      <family val="1"/>
    </font>
    <font>
      <sz val="11"/>
      <color indexed="17"/>
      <name val="宋体"/>
      <family val="3"/>
      <charset val="134"/>
    </font>
    <font>
      <b/>
      <sz val="11"/>
      <color theme="0"/>
      <name val="宋体"/>
      <family val="3"/>
      <charset val="134"/>
      <scheme val="minor"/>
    </font>
    <font>
      <sz val="11"/>
      <color rgb="FF9C0006"/>
      <name val="宋体"/>
      <family val="3"/>
      <charset val="134"/>
      <scheme val="minor"/>
    </font>
    <font>
      <b/>
      <sz val="12"/>
      <name val="Arial"/>
      <family val="2"/>
    </font>
    <font>
      <b/>
      <sz val="10"/>
      <name val="Helv"/>
      <family val="2"/>
    </font>
    <font>
      <u/>
      <sz val="10"/>
      <color indexed="12"/>
      <name val="宋体"/>
      <family val="3"/>
      <charset val="134"/>
    </font>
    <font>
      <sz val="12"/>
      <name val="Arial"/>
      <family val="2"/>
    </font>
    <font>
      <sz val="11"/>
      <color theme="1"/>
      <name val="宋体"/>
      <family val="3"/>
      <charset val="134"/>
    </font>
    <font>
      <b/>
      <sz val="18"/>
      <color indexed="62"/>
      <name val="宋体"/>
      <family val="3"/>
      <charset val="134"/>
    </font>
    <font>
      <b/>
      <sz val="11"/>
      <color theme="0"/>
      <name val="宋体"/>
      <family val="3"/>
      <charset val="134"/>
    </font>
    <font>
      <b/>
      <sz val="13"/>
      <name val="Tms Rmn"/>
      <family val="1"/>
    </font>
    <font>
      <sz val="11"/>
      <color indexed="21"/>
      <name val="宋体"/>
      <family val="3"/>
      <charset val="134"/>
    </font>
    <font>
      <sz val="11"/>
      <color indexed="38"/>
      <name val="宋体"/>
      <family val="3"/>
      <charset val="134"/>
    </font>
    <font>
      <u/>
      <sz val="12"/>
      <color indexed="12"/>
      <name val="宋体"/>
      <family val="3"/>
      <charset val="134"/>
    </font>
    <font>
      <u/>
      <sz val="11"/>
      <color theme="10"/>
      <name val="宋体"/>
      <family val="3"/>
      <charset val="134"/>
    </font>
    <font>
      <b/>
      <sz val="10"/>
      <color theme="1"/>
      <name val="宋体"/>
      <family val="3"/>
      <charset val="134"/>
    </font>
    <font>
      <sz val="10"/>
      <name val="Tahoma"/>
      <family val="2"/>
    </font>
    <font>
      <sz val="10"/>
      <name val="Geneva"/>
      <family val="2"/>
    </font>
    <font>
      <sz val="11"/>
      <color rgb="FF006100"/>
      <name val="宋体"/>
      <family val="3"/>
      <charset val="134"/>
      <scheme val="minor"/>
    </font>
    <font>
      <sz val="12"/>
      <name val="官帕眉"/>
      <family val="2"/>
    </font>
    <font>
      <sz val="11"/>
      <color theme="1"/>
      <name val="宋体"/>
      <family val="3"/>
      <charset val="134"/>
      <scheme val="minor"/>
    </font>
    <font>
      <sz val="8"/>
      <name val="EYInterstate Light"/>
    </font>
    <font>
      <sz val="11"/>
      <color indexed="8"/>
      <name val="Calibri"/>
      <family val="2"/>
    </font>
    <font>
      <b/>
      <sz val="12"/>
      <name val="Helv"/>
      <family val="2"/>
    </font>
    <font>
      <b/>
      <sz val="12"/>
      <color indexed="8"/>
      <name val="宋体"/>
      <family val="3"/>
      <charset val="134"/>
    </font>
    <font>
      <sz val="10"/>
      <name val="Invensys Andale"/>
      <family val="2"/>
    </font>
    <font>
      <b/>
      <sz val="11"/>
      <color rgb="FFFF0000"/>
      <name val="宋体"/>
      <family val="3"/>
      <charset val="134"/>
    </font>
    <font>
      <sz val="12"/>
      <color theme="1"/>
      <name val="宋体"/>
      <family val="3"/>
      <charset val="134"/>
    </font>
    <font>
      <sz val="14"/>
      <name val="柧挬"/>
      <family val="2"/>
    </font>
    <font>
      <b/>
      <sz val="9"/>
      <name val="Times New Roman"/>
      <family val="1"/>
    </font>
    <font>
      <sz val="12"/>
      <name val="新細明體"/>
      <family val="1"/>
    </font>
    <font>
      <sz val="11"/>
      <color rgb="FF006100"/>
      <name val="宋体"/>
      <family val="3"/>
      <charset val="134"/>
    </font>
    <font>
      <b/>
      <sz val="11"/>
      <name val="Helv"/>
      <family val="2"/>
    </font>
    <font>
      <sz val="11"/>
      <color rgb="FF9C5700"/>
      <name val="宋体"/>
      <family val="3"/>
      <charset val="134"/>
      <scheme val="minor"/>
    </font>
    <font>
      <sz val="10"/>
      <name val="宋体"/>
      <family val="3"/>
      <charset val="134"/>
    </font>
    <font>
      <sz val="10"/>
      <color theme="1"/>
      <name val="等线"/>
      <family val="3"/>
      <charset val="134"/>
    </font>
    <font>
      <strike/>
      <sz val="10"/>
      <name val="Arial"/>
      <family val="2"/>
    </font>
    <font>
      <sz val="10"/>
      <color indexed="8"/>
      <name val="MS Sans Serif"/>
      <family val="2"/>
    </font>
    <font>
      <sz val="8"/>
      <color indexed="16"/>
      <name val="Century Schoolbook"/>
      <family val="1"/>
    </font>
    <font>
      <b/>
      <sz val="18"/>
      <color indexed="35"/>
      <name val="宋体"/>
      <family val="3"/>
      <charset val="134"/>
    </font>
    <font>
      <b/>
      <sz val="12"/>
      <color indexed="8"/>
      <name val="Arial"/>
      <family val="2"/>
    </font>
    <font>
      <sz val="19"/>
      <color indexed="48"/>
      <name val="Arial"/>
      <family val="2"/>
    </font>
    <font>
      <b/>
      <i/>
      <sz val="10"/>
      <name val="Times New Roman"/>
      <family val="1"/>
    </font>
    <font>
      <sz val="11"/>
      <name val="明朝"/>
      <family val="1"/>
      <charset val="255"/>
    </font>
    <font>
      <sz val="10"/>
      <name val="Arial Narrow"/>
      <family val="2"/>
    </font>
    <font>
      <sz val="8"/>
      <name val="Century Schoolbook"/>
      <family val="1"/>
    </font>
    <font>
      <sz val="12"/>
      <color indexed="16"/>
      <name val="宋体"/>
      <family val="3"/>
      <charset val="134"/>
    </font>
    <font>
      <sz val="10"/>
      <name val="宋体"/>
      <family val="3"/>
      <charset val="134"/>
      <scheme val="minor"/>
    </font>
    <font>
      <sz val="12"/>
      <color rgb="FF000000"/>
      <name val="Calibri"/>
      <family val="2"/>
    </font>
    <font>
      <sz val="12"/>
      <color indexed="17"/>
      <name val="宋体"/>
      <family val="3"/>
      <charset val="134"/>
    </font>
    <font>
      <sz val="10"/>
      <name val="奔覆眉"/>
      <family val="2"/>
    </font>
    <font>
      <sz val="12"/>
      <name val="柧挬"/>
      <family val="2"/>
    </font>
    <font>
      <sz val="12"/>
      <name val="바탕체"/>
      <family val="3"/>
    </font>
    <font>
      <sz val="11"/>
      <color theme="1"/>
      <name val="宋体"/>
      <family val="3"/>
      <charset val="134"/>
      <scheme val="minor"/>
    </font>
    <font>
      <sz val="9"/>
      <name val="宋体"/>
      <family val="3"/>
      <charset val="134"/>
      <scheme val="minor"/>
    </font>
    <font>
      <sz val="10"/>
      <name val="微软雅黑"/>
      <family val="2"/>
      <charset val="134"/>
    </font>
    <font>
      <b/>
      <sz val="10"/>
      <color rgb="FFFF0000"/>
      <name val="微软雅黑"/>
      <family val="2"/>
      <charset val="134"/>
    </font>
    <font>
      <b/>
      <sz val="10"/>
      <name val="微软雅黑"/>
      <family val="2"/>
      <charset val="134"/>
    </font>
    <font>
      <sz val="11"/>
      <color theme="1"/>
      <name val="宋体"/>
      <family val="2"/>
      <charset val="134"/>
      <scheme val="minor"/>
    </font>
    <font>
      <u/>
      <sz val="10"/>
      <color rgb="FFFF0000"/>
      <name val="微软雅黑"/>
      <family val="2"/>
      <charset val="134"/>
    </font>
    <font>
      <u/>
      <sz val="11"/>
      <color theme="10"/>
      <name val="宋体"/>
      <family val="2"/>
      <scheme val="minor"/>
    </font>
    <font>
      <sz val="10"/>
      <color theme="1"/>
      <name val="微软雅黑"/>
      <family val="2"/>
      <charset val="134"/>
    </font>
    <font>
      <b/>
      <u/>
      <sz val="10"/>
      <color rgb="FFFF0000"/>
      <name val="微软雅黑"/>
      <family val="2"/>
      <charset val="134"/>
    </font>
    <font>
      <sz val="10"/>
      <color rgb="FF000000"/>
      <name val="微软雅黑"/>
      <family val="2"/>
      <charset val="134"/>
    </font>
    <font>
      <b/>
      <sz val="10"/>
      <color rgb="FF000000"/>
      <name val="微软雅黑"/>
      <family val="2"/>
      <charset val="134"/>
    </font>
    <font>
      <b/>
      <sz val="14"/>
      <color rgb="FFFF0000"/>
      <name val="微软雅黑"/>
      <family val="2"/>
      <charset val="134"/>
    </font>
    <font>
      <sz val="9"/>
      <name val="宋体"/>
      <family val="3"/>
      <charset val="134"/>
      <scheme val="minor"/>
    </font>
    <font>
      <sz val="10"/>
      <color theme="1"/>
      <name val="宋体"/>
      <family val="3"/>
      <charset val="134"/>
    </font>
    <font>
      <u/>
      <sz val="11"/>
      <color theme="10"/>
      <name val="宋体"/>
      <family val="2"/>
      <charset val="134"/>
      <scheme val="minor"/>
    </font>
    <font>
      <sz val="10"/>
      <color rgb="FF006100"/>
      <name val="Arial"/>
      <family val="2"/>
      <charset val="134"/>
    </font>
    <font>
      <sz val="10"/>
      <color theme="4" tint="-0.249977111117893"/>
      <name val="Arial"/>
      <family val="2"/>
    </font>
    <font>
      <sz val="11"/>
      <color theme="1"/>
      <name val="宋体"/>
      <family val="2"/>
      <scheme val="minor"/>
    </font>
    <font>
      <b/>
      <u/>
      <sz val="14"/>
      <name val="Arial"/>
      <family val="2"/>
    </font>
    <font>
      <b/>
      <u/>
      <sz val="14"/>
      <name val="微软雅黑"/>
      <family val="2"/>
      <charset val="134"/>
    </font>
    <font>
      <sz val="14"/>
      <color theme="1"/>
      <name val="Arial"/>
      <family val="2"/>
    </font>
    <font>
      <b/>
      <sz val="14"/>
      <name val="Arial"/>
      <family val="2"/>
    </font>
    <font>
      <sz val="14"/>
      <color theme="1"/>
      <name val="微软雅黑"/>
      <family val="2"/>
      <charset val="134"/>
    </font>
    <font>
      <sz val="14"/>
      <name val="Arial"/>
      <family val="2"/>
    </font>
    <font>
      <b/>
      <sz val="14"/>
      <color theme="1"/>
      <name val="Arial"/>
      <family val="2"/>
    </font>
    <font>
      <b/>
      <sz val="14"/>
      <color theme="1"/>
      <name val="微软雅黑"/>
      <family val="2"/>
      <charset val="134"/>
    </font>
    <font>
      <b/>
      <sz val="14"/>
      <name val="微软雅黑"/>
      <family val="2"/>
      <charset val="134"/>
    </font>
    <font>
      <sz val="14"/>
      <name val="微软雅黑"/>
      <family val="2"/>
      <charset val="134"/>
    </font>
    <font>
      <b/>
      <sz val="14"/>
      <color rgb="FFFF0000"/>
      <name val="Arial"/>
      <family val="2"/>
    </font>
    <font>
      <sz val="14"/>
      <color rgb="FFFF0000"/>
      <name val="Arial"/>
      <family val="2"/>
    </font>
    <font>
      <b/>
      <u/>
      <sz val="14"/>
      <color theme="1"/>
      <name val="Arial"/>
      <family val="2"/>
    </font>
    <font>
      <sz val="14"/>
      <color indexed="8"/>
      <name val="Arial"/>
      <family val="2"/>
    </font>
    <font>
      <u/>
      <sz val="10"/>
      <color theme="4" tint="-0.249977111117893"/>
      <name val="Arial"/>
      <family val="2"/>
    </font>
    <font>
      <b/>
      <sz val="10"/>
      <color theme="0"/>
      <name val="Arial"/>
      <family val="2"/>
    </font>
    <font>
      <i/>
      <sz val="10"/>
      <color rgb="FFFF0000"/>
      <name val="微软雅黑"/>
      <family val="2"/>
      <charset val="134"/>
    </font>
    <font>
      <b/>
      <strike/>
      <sz val="10"/>
      <color rgb="FF0000FF"/>
      <name val="Arial"/>
      <family val="2"/>
    </font>
    <font>
      <sz val="11"/>
      <color theme="1"/>
      <name val="宋体"/>
      <family val="3"/>
      <charset val="134"/>
      <scheme val="minor"/>
    </font>
    <font>
      <u/>
      <sz val="10"/>
      <color rgb="FF0563C1"/>
      <name val="微软雅黑"/>
      <family val="2"/>
      <charset val="134"/>
    </font>
    <font>
      <b/>
      <i/>
      <sz val="10"/>
      <color rgb="FFFF0000"/>
      <name val="微软雅黑"/>
      <family val="2"/>
      <charset val="134"/>
    </font>
    <font>
      <sz val="11"/>
      <color theme="1"/>
      <name val="宋体"/>
      <family val="3"/>
      <charset val="134"/>
      <scheme val="minor"/>
    </font>
    <font>
      <sz val="9"/>
      <name val="宋体"/>
      <family val="2"/>
      <charset val="134"/>
      <scheme val="minor"/>
    </font>
    <font>
      <sz val="6"/>
      <name val="宋体"/>
      <family val="3"/>
      <charset val="128"/>
      <scheme val="minor"/>
    </font>
    <font>
      <i/>
      <sz val="10"/>
      <color rgb="FFFF0000"/>
      <name val="Arial"/>
      <family val="2"/>
    </font>
    <font>
      <sz val="10"/>
      <color rgb="FFFFFFFF"/>
      <name val="Arial"/>
      <family val="2"/>
    </font>
    <font>
      <sz val="11"/>
      <color theme="1"/>
      <name val="微软雅黑"/>
      <family val="2"/>
      <charset val="134"/>
    </font>
    <font>
      <sz val="14"/>
      <color indexed="8"/>
      <name val="微软雅黑"/>
      <family val="2"/>
      <charset val="134"/>
    </font>
    <font>
      <b/>
      <sz val="10"/>
      <color indexed="8"/>
      <name val="微软雅黑"/>
      <family val="2"/>
      <charset val="134"/>
    </font>
    <font>
      <b/>
      <u/>
      <sz val="10"/>
      <color rgb="FFFF0000"/>
      <name val="Arial"/>
      <family val="2"/>
    </font>
    <font>
      <i/>
      <sz val="10"/>
      <name val="Arial"/>
      <family val="2"/>
    </font>
    <font>
      <sz val="14"/>
      <color rgb="FF000000"/>
      <name val="Arial"/>
      <family val="2"/>
    </font>
    <font>
      <b/>
      <i/>
      <sz val="14"/>
      <color rgb="FFFF0000"/>
      <name val="微软雅黑"/>
      <family val="2"/>
      <charset val="134"/>
    </font>
    <font>
      <sz val="14"/>
      <color rgb="FFFFFFFF"/>
      <name val="Arial"/>
      <family val="2"/>
    </font>
    <font>
      <b/>
      <sz val="10"/>
      <color rgb="FFFFFFFF"/>
      <name val="Arial"/>
      <family val="2"/>
    </font>
    <font>
      <b/>
      <i/>
      <sz val="14"/>
      <color rgb="FFFF0000"/>
      <name val="Arial"/>
      <family val="2"/>
    </font>
    <font>
      <u/>
      <sz val="10"/>
      <color rgb="FFFF0000"/>
      <name val="Arial"/>
      <family val="2"/>
      <charset val="134"/>
    </font>
  </fonts>
  <fills count="56">
    <fill>
      <patternFill patternType="none"/>
    </fill>
    <fill>
      <patternFill patternType="gray125"/>
    </fill>
    <fill>
      <patternFill patternType="solid">
        <fgColor theme="0"/>
        <bgColor indexed="64"/>
      </patternFill>
    </fill>
    <fill>
      <patternFill patternType="solid">
        <fgColor theme="0" tint="-0.3499252296517838"/>
        <bgColor indexed="64"/>
      </patternFill>
    </fill>
    <fill>
      <patternFill patternType="solid">
        <fgColor rgb="FFA6A6A6"/>
        <bgColor indexed="64"/>
      </patternFill>
    </fill>
    <fill>
      <patternFill patternType="solid">
        <fgColor indexed="65"/>
        <bgColor indexed="64"/>
      </patternFill>
    </fill>
    <fill>
      <patternFill patternType="solid">
        <fgColor rgb="FFFFFFFF"/>
        <bgColor indexed="64"/>
      </patternFill>
    </fill>
    <fill>
      <patternFill patternType="solid">
        <fgColor indexed="40"/>
        <bgColor indexed="64"/>
      </patternFill>
    </fill>
    <fill>
      <patternFill patternType="solid">
        <fgColor indexed="44"/>
        <bgColor indexed="64"/>
      </patternFill>
    </fill>
    <fill>
      <patternFill patternType="solid">
        <fgColor indexed="22"/>
        <bgColor indexed="64"/>
      </patternFill>
    </fill>
    <fill>
      <patternFill patternType="solid">
        <fgColor indexed="43"/>
        <bgColor indexed="64"/>
      </patternFill>
    </fill>
    <fill>
      <patternFill patternType="solid">
        <fgColor indexed="55"/>
        <bgColor indexed="64"/>
      </patternFill>
    </fill>
    <fill>
      <patternFill patternType="solid">
        <fgColor indexed="26"/>
        <bgColor indexed="64"/>
      </patternFill>
    </fill>
    <fill>
      <patternFill patternType="solid">
        <fgColor indexed="10"/>
        <bgColor indexed="64"/>
      </patternFill>
    </fill>
    <fill>
      <patternFill patternType="solid">
        <fgColor indexed="29"/>
        <bgColor indexed="64"/>
      </patternFill>
    </fill>
    <fill>
      <patternFill patternType="solid">
        <fgColor indexed="11"/>
        <bgColor indexed="64"/>
      </patternFill>
    </fill>
    <fill>
      <patternFill patternType="solid">
        <fgColor indexed="45"/>
        <bgColor indexed="64"/>
      </patternFill>
    </fill>
    <fill>
      <patternFill patternType="solid">
        <fgColor indexed="52"/>
        <bgColor indexed="64"/>
      </patternFill>
    </fill>
    <fill>
      <patternFill patternType="solid">
        <fgColor indexed="54"/>
        <bgColor indexed="64"/>
      </patternFill>
    </fill>
    <fill>
      <patternFill patternType="solid">
        <fgColor indexed="41"/>
        <bgColor indexed="64"/>
      </patternFill>
    </fill>
    <fill>
      <patternFill patternType="solid">
        <fgColor indexed="57"/>
        <bgColor indexed="64"/>
      </patternFill>
    </fill>
    <fill>
      <patternFill patternType="solid">
        <fgColor indexed="51"/>
        <bgColor indexed="64"/>
      </patternFill>
    </fill>
    <fill>
      <patternFill patternType="solid">
        <fgColor theme="9" tint="0.79931028168584251"/>
        <bgColor indexed="64"/>
      </patternFill>
    </fill>
    <fill>
      <patternFill patternType="solid">
        <fgColor theme="4" tint="0.7993102816858425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50"/>
        <bgColor indexed="64"/>
      </patternFill>
    </fill>
    <fill>
      <patternFill patternType="solid">
        <fgColor rgb="FFA5A5A5"/>
        <bgColor indexed="64"/>
      </patternFill>
    </fill>
    <fill>
      <patternFill patternType="solid">
        <fgColor indexed="27"/>
        <bgColor indexed="64"/>
      </patternFill>
    </fill>
    <fill>
      <patternFill patternType="solid">
        <fgColor indexed="13"/>
        <bgColor indexed="64"/>
      </patternFill>
    </fill>
    <fill>
      <patternFill patternType="lightUp">
        <fgColor indexed="48"/>
        <bgColor indexed="41"/>
      </patternFill>
    </fill>
    <fill>
      <patternFill patternType="solid">
        <fgColor indexed="53"/>
        <bgColor indexed="64"/>
      </patternFill>
    </fill>
    <fill>
      <patternFill patternType="solid">
        <fgColor rgb="FFFFC7CE"/>
        <bgColor indexed="64"/>
      </patternFill>
    </fill>
    <fill>
      <patternFill patternType="solid">
        <fgColor indexed="24"/>
        <bgColor indexed="64"/>
      </patternFill>
    </fill>
    <fill>
      <patternFill patternType="solid">
        <fgColor indexed="18"/>
        <bgColor indexed="64"/>
      </patternFill>
    </fill>
    <fill>
      <patternFill patternType="solid">
        <fgColor indexed="56"/>
        <bgColor indexed="64"/>
      </patternFill>
    </fill>
    <fill>
      <patternFill patternType="solid">
        <fgColor rgb="FF808080"/>
        <bgColor indexed="64"/>
      </patternFill>
    </fill>
    <fill>
      <patternFill patternType="solid">
        <fgColor rgb="FFC6EFCE"/>
        <bgColor indexed="64"/>
      </patternFill>
    </fill>
    <fill>
      <patternFill patternType="lightUp">
        <fgColor indexed="9"/>
        <bgColor indexed="55"/>
      </patternFill>
    </fill>
    <fill>
      <patternFill patternType="lightUp">
        <fgColor indexed="9"/>
        <bgColor indexed="29"/>
      </patternFill>
    </fill>
    <fill>
      <patternFill patternType="solid">
        <fgColor rgb="FFFFEB9C"/>
        <bgColor indexed="64"/>
      </patternFill>
    </fill>
    <fill>
      <patternFill patternType="solid">
        <fgColor indexed="15"/>
        <bgColor indexed="64"/>
      </patternFill>
    </fill>
    <fill>
      <patternFill patternType="lightUp">
        <fgColor indexed="9"/>
        <bgColor indexed="22"/>
      </patternFill>
    </fill>
    <fill>
      <patternFill patternType="solid">
        <fgColor rgb="FFC6EFCE"/>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tint="-0.34998626667073579"/>
        <bgColor indexed="64"/>
      </patternFill>
    </fill>
    <fill>
      <patternFill patternType="solid">
        <fgColor rgb="FFDCE6F1"/>
        <bgColor rgb="FF000000"/>
      </patternFill>
    </fill>
    <fill>
      <patternFill patternType="solid">
        <fgColor rgb="FFFFFFFF"/>
        <bgColor rgb="FF000000"/>
      </patternFill>
    </fill>
    <fill>
      <patternFill patternType="solid">
        <fgColor rgb="FFA6A6A6"/>
        <bgColor rgb="FF000000"/>
      </patternFill>
    </fill>
    <fill>
      <patternFill patternType="solid">
        <fgColor rgb="FF333399"/>
        <bgColor rgb="FF000000"/>
      </patternFill>
    </fill>
    <fill>
      <patternFill patternType="solid">
        <fgColor theme="0" tint="-0.34998626667073579"/>
        <bgColor rgb="FF000000"/>
      </patternFill>
    </fill>
  </fills>
  <borders count="84">
    <border>
      <left/>
      <right/>
      <top/>
      <bottom/>
      <diagonal/>
    </border>
    <border>
      <left/>
      <right/>
      <top/>
      <bottom style="thin">
        <color auto="1"/>
      </bottom>
      <diagonal/>
    </border>
    <border>
      <left/>
      <right/>
      <top/>
      <bottom style="double">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style="medium">
        <color auto="1"/>
      </top>
      <bottom style="medium">
        <color auto="1"/>
      </bottom>
      <diagonal/>
    </border>
    <border>
      <left/>
      <right/>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thin">
        <color auto="1"/>
      </bottom>
      <diagonal/>
    </border>
    <border>
      <left/>
      <right style="medium">
        <color auto="1"/>
      </right>
      <top/>
      <bottom/>
      <diagonal/>
    </border>
    <border>
      <left/>
      <right style="medium">
        <color auto="1"/>
      </right>
      <top/>
      <bottom style="medium">
        <color auto="1"/>
      </bottom>
      <diagonal/>
    </border>
    <border>
      <left/>
      <right/>
      <top style="medium">
        <color auto="1"/>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medium">
        <color auto="1"/>
      </right>
      <top/>
      <bottom style="thin">
        <color auto="1"/>
      </bottom>
      <diagonal/>
    </border>
    <border>
      <left/>
      <right/>
      <top style="thin">
        <color auto="1"/>
      </top>
      <bottom style="double">
        <color auto="1"/>
      </bottom>
      <diagonal/>
    </border>
    <border>
      <left style="thin">
        <color indexed="48"/>
      </left>
      <right style="thin">
        <color indexed="48"/>
      </right>
      <top style="thin">
        <color indexed="48"/>
      </top>
      <bottom style="thin">
        <color indexed="48"/>
      </bottom>
      <diagonal/>
    </border>
    <border>
      <left style="double">
        <color rgb="FF3F3F3F"/>
      </left>
      <right style="double">
        <color rgb="FF3F3F3F"/>
      </right>
      <top style="double">
        <color rgb="FF3F3F3F"/>
      </top>
      <bottom style="double">
        <color rgb="FF3F3F3F"/>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medium">
        <color indexed="64"/>
      </left>
      <right/>
      <top style="medium">
        <color indexed="64"/>
      </top>
      <bottom style="thin">
        <color auto="1"/>
      </bottom>
      <diagonal/>
    </border>
    <border>
      <left style="thin">
        <color auto="1"/>
      </left>
      <right/>
      <top style="medium">
        <color indexed="64"/>
      </top>
      <bottom style="thin">
        <color auto="1"/>
      </bottom>
      <diagonal/>
    </border>
    <border>
      <left/>
      <right/>
      <top style="medium">
        <color indexed="64"/>
      </top>
      <bottom style="thin">
        <color auto="1"/>
      </bottom>
      <diagonal/>
    </border>
    <border>
      <left style="medium">
        <color indexed="64"/>
      </left>
      <right style="thin">
        <color auto="1"/>
      </right>
      <top style="medium">
        <color indexed="64"/>
      </top>
      <bottom/>
      <diagonal/>
    </border>
    <border>
      <left style="thin">
        <color auto="1"/>
      </left>
      <right/>
      <top style="medium">
        <color indexed="64"/>
      </top>
      <bottom/>
      <diagonal/>
    </border>
    <border>
      <left/>
      <right style="medium">
        <color auto="1"/>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style="medium">
        <color auto="1"/>
      </bottom>
      <diagonal/>
    </border>
    <border>
      <left style="thin">
        <color auto="1"/>
      </left>
      <right style="thin">
        <color auto="1"/>
      </right>
      <top style="medium">
        <color auto="1"/>
      </top>
      <bottom/>
      <diagonal/>
    </border>
    <border>
      <left/>
      <right style="medium">
        <color auto="1"/>
      </right>
      <top style="medium">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medium">
        <color indexed="64"/>
      </right>
      <top/>
      <bottom/>
      <diagonal/>
    </border>
    <border>
      <left style="medium">
        <color indexed="64"/>
      </left>
      <right style="thin">
        <color auto="1"/>
      </right>
      <top/>
      <bottom style="medium">
        <color indexed="64"/>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style="thin">
        <color auto="1"/>
      </top>
      <bottom style="thin">
        <color auto="1"/>
      </bottom>
      <diagonal/>
    </border>
    <border>
      <left style="thin">
        <color auto="1"/>
      </left>
      <right style="medium">
        <color indexed="64"/>
      </right>
      <top style="medium">
        <color indexed="64"/>
      </top>
      <bottom/>
      <diagonal/>
    </border>
    <border>
      <left style="thin">
        <color auto="1"/>
      </left>
      <right style="medium">
        <color indexed="64"/>
      </right>
      <top/>
      <bottom style="medium">
        <color indexed="64"/>
      </bottom>
      <diagonal/>
    </border>
    <border>
      <left style="medium">
        <color rgb="FF000000"/>
      </left>
      <right style="thin">
        <color auto="1"/>
      </right>
      <top style="medium">
        <color rgb="FF000000"/>
      </top>
      <bottom style="thin">
        <color auto="1"/>
      </bottom>
      <diagonal/>
    </border>
    <border>
      <left/>
      <right style="thin">
        <color auto="1"/>
      </right>
      <top style="medium">
        <color rgb="FF000000"/>
      </top>
      <bottom style="thin">
        <color auto="1"/>
      </bottom>
      <diagonal/>
    </border>
    <border>
      <left style="thin">
        <color auto="1"/>
      </left>
      <right style="medium">
        <color rgb="FF000000"/>
      </right>
      <top style="medium">
        <color rgb="FF000000"/>
      </top>
      <bottom style="thin">
        <color auto="1"/>
      </bottom>
      <diagonal/>
    </border>
    <border>
      <left style="medium">
        <color auto="1"/>
      </left>
      <right/>
      <top style="medium">
        <color auto="1"/>
      </top>
      <bottom style="medium">
        <color rgb="FF000000"/>
      </bottom>
      <diagonal/>
    </border>
    <border>
      <left style="thin">
        <color auto="1"/>
      </left>
      <right style="thin">
        <color indexed="64"/>
      </right>
      <top style="medium">
        <color rgb="FF000000"/>
      </top>
      <bottom style="thin">
        <color auto="1"/>
      </bottom>
      <diagonal/>
    </border>
    <border>
      <left style="medium">
        <color indexed="64"/>
      </left>
      <right/>
      <top style="thin">
        <color indexed="64"/>
      </top>
      <bottom/>
      <diagonal/>
    </border>
    <border>
      <left style="thin">
        <color auto="1"/>
      </left>
      <right style="thin">
        <color auto="1"/>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1"/>
      </left>
      <right/>
      <top style="thin">
        <color auto="1"/>
      </top>
      <bottom style="medium">
        <color auto="1"/>
      </bottom>
      <diagonal/>
    </border>
    <border>
      <left style="thin">
        <color auto="1"/>
      </left>
      <right style="thin">
        <color auto="1"/>
      </right>
      <top style="thin">
        <color auto="1"/>
      </top>
      <bottom style="medium">
        <color indexed="64"/>
      </bottom>
      <diagonal/>
    </border>
    <border>
      <left style="thin">
        <color auto="1"/>
      </left>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right style="medium">
        <color auto="1"/>
      </right>
      <top style="thin">
        <color indexed="64"/>
      </top>
      <bottom style="medium">
        <color auto="1"/>
      </bottom>
      <diagonal/>
    </border>
    <border>
      <left/>
      <right/>
      <top style="thin">
        <color auto="1"/>
      </top>
      <bottom style="double">
        <color auto="1"/>
      </bottom>
      <diagonal/>
    </border>
    <border>
      <left/>
      <right/>
      <top style="thin">
        <color indexed="64"/>
      </top>
      <bottom style="medium">
        <color auto="1"/>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auto="1"/>
      </left>
      <right style="thin">
        <color auto="1"/>
      </right>
      <top style="thin">
        <color auto="1"/>
      </top>
      <bottom style="medium">
        <color rgb="FF000000"/>
      </bottom>
      <diagonal/>
    </border>
    <border>
      <left style="thin">
        <color auto="1"/>
      </left>
      <right style="medium">
        <color rgb="FF000000"/>
      </right>
      <top style="thin">
        <color auto="1"/>
      </top>
      <bottom style="medium">
        <color rgb="FF000000"/>
      </bottom>
      <diagonal/>
    </border>
  </borders>
  <cellStyleXfs count="2439">
    <xf numFmtId="0" fontId="0" fillId="0" borderId="0"/>
    <xf numFmtId="0" fontId="100" fillId="0" borderId="0"/>
    <xf numFmtId="176" fontId="11" fillId="0" borderId="0" applyFont="0" applyFill="0" applyBorder="0" applyAlignment="0" applyProtection="0"/>
    <xf numFmtId="10" fontId="100" fillId="0" borderId="20" applyAlignment="0"/>
    <xf numFmtId="0" fontId="100" fillId="0" borderId="0" applyAlignment="0"/>
    <xf numFmtId="0" fontId="17" fillId="7" borderId="23" applyNumberFormat="0" applyProtection="0">
      <alignment horizontal="right" vertical="center"/>
    </xf>
    <xf numFmtId="0" fontId="11" fillId="8" borderId="23"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0" fontId="25" fillId="9" borderId="0" applyNumberFormat="0" applyBorder="0" applyAlignment="0" applyProtection="0"/>
    <xf numFmtId="0" fontId="100" fillId="0" borderId="0"/>
    <xf numFmtId="179" fontId="11" fillId="0" borderId="0" applyFill="0" applyBorder="0" applyAlignment="0"/>
    <xf numFmtId="176" fontId="100" fillId="0" borderId="0" applyFont="0" applyFill="0" applyBorder="0" applyAlignment="0" applyProtection="0"/>
    <xf numFmtId="176" fontId="11" fillId="0" borderId="0" applyFont="0" applyFill="0" applyBorder="0" applyAlignment="0" applyProtection="0"/>
    <xf numFmtId="0" fontId="26" fillId="0" borderId="0"/>
    <xf numFmtId="0" fontId="20" fillId="10" borderId="23" applyNumberFormat="0" applyProtection="0">
      <alignment horizontal="left" vertical="top" indent="1"/>
    </xf>
    <xf numFmtId="178" fontId="11"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26" fillId="0" borderId="0"/>
    <xf numFmtId="176" fontId="11" fillId="0" borderId="0" applyFont="0" applyFill="0" applyBorder="0" applyAlignment="0" applyProtection="0"/>
    <xf numFmtId="178" fontId="100" fillId="0" borderId="0" applyFont="0" applyFill="0" applyBorder="0" applyProtection="0"/>
    <xf numFmtId="0" fontId="27" fillId="10" borderId="23" applyNumberFormat="0" applyProtection="0">
      <alignment vertical="center"/>
    </xf>
    <xf numFmtId="0" fontId="28" fillId="11" borderId="0" applyNumberFormat="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0" fontId="20" fillId="10" borderId="23" applyNumberFormat="0" applyProtection="0">
      <alignment horizontal="left" vertical="top" indent="1"/>
    </xf>
    <xf numFmtId="0" fontId="29" fillId="12" borderId="20" applyNumberFormat="0" applyBorder="0" applyAlignment="0" applyProtection="0"/>
    <xf numFmtId="0" fontId="16" fillId="0" borderId="0" applyNumberFormat="0" applyFill="0" applyBorder="0" applyAlignment="0" applyProtection="0"/>
    <xf numFmtId="0" fontId="100" fillId="0" borderId="0">
      <alignment vertical="center"/>
    </xf>
    <xf numFmtId="0" fontId="30" fillId="0" borderId="20">
      <alignment horizontal="right" vertical="center"/>
    </xf>
    <xf numFmtId="178" fontId="11" fillId="0" borderId="0" applyFont="0" applyFill="0" applyBorder="0" applyAlignment="0" applyProtection="0"/>
    <xf numFmtId="178" fontId="31" fillId="0" borderId="0" applyAlignment="0"/>
    <xf numFmtId="176" fontId="100" fillId="0" borderId="0" applyFont="0" applyFill="0" applyBorder="0" applyAlignment="0" applyProtection="0"/>
    <xf numFmtId="0" fontId="32" fillId="0" borderId="0"/>
    <xf numFmtId="0" fontId="11" fillId="0" borderId="0"/>
    <xf numFmtId="18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29" fillId="9" borderId="20"/>
    <xf numFmtId="189" fontId="11" fillId="0" borderId="0" applyFont="0" applyFill="0" applyBorder="0" applyAlignment="0" applyProtection="0"/>
    <xf numFmtId="0" fontId="20" fillId="10" borderId="23" applyNumberFormat="0" applyProtection="0">
      <alignment vertical="center"/>
    </xf>
    <xf numFmtId="0" fontId="33" fillId="0" borderId="0">
      <alignment horizontal="left"/>
    </xf>
    <xf numFmtId="0" fontId="27" fillId="10" borderId="23" applyNumberFormat="0" applyProtection="0">
      <alignment vertical="center"/>
    </xf>
    <xf numFmtId="0" fontId="11" fillId="0" borderId="20" applyNumberFormat="0"/>
    <xf numFmtId="0" fontId="30" fillId="0" borderId="20">
      <alignment horizontal="right" vertical="center"/>
    </xf>
    <xf numFmtId="0" fontId="17" fillId="13" borderId="23" applyNumberFormat="0" applyProtection="0">
      <alignment horizontal="right" vertical="center"/>
    </xf>
    <xf numFmtId="178" fontId="11" fillId="0" borderId="0" applyFont="0" applyFill="0" applyBorder="0" applyAlignment="0" applyProtection="0"/>
    <xf numFmtId="178" fontId="100" fillId="0" borderId="0" applyFont="0" applyFill="0" applyBorder="0" applyAlignment="0" applyProtection="0"/>
    <xf numFmtId="178" fontId="100" fillId="0" borderId="0" applyFont="0" applyAlignment="0" applyProtection="0"/>
    <xf numFmtId="189" fontId="34" fillId="0" borderId="0" applyFill="0" applyBorder="0" applyAlignment="0"/>
    <xf numFmtId="0" fontId="17" fillId="14" borderId="23" applyNumberFormat="0" applyProtection="0">
      <alignment horizontal="right" vertical="center"/>
    </xf>
    <xf numFmtId="0" fontId="17" fillId="15" borderId="23" applyNumberFormat="0" applyProtection="0">
      <alignment horizontal="right" vertical="center"/>
    </xf>
    <xf numFmtId="0" fontId="35" fillId="16" borderId="0" applyNumberFormat="0" applyBorder="0" applyProtection="0"/>
    <xf numFmtId="178" fontId="100" fillId="0" borderId="0" applyFont="0" applyFill="0" applyBorder="0" applyAlignment="0" applyProtection="0"/>
    <xf numFmtId="0" fontId="30" fillId="0" borderId="20" applyAlignment="0"/>
    <xf numFmtId="0" fontId="100" fillId="0" borderId="20" applyAlignment="0"/>
    <xf numFmtId="0" fontId="17" fillId="13" borderId="23" applyNumberFormat="0" applyProtection="0">
      <alignment horizontal="right" vertical="center"/>
    </xf>
    <xf numFmtId="0" fontId="17" fillId="13" borderId="23" applyNumberFormat="0" applyProtection="0">
      <alignment horizontal="right" vertical="center"/>
    </xf>
    <xf numFmtId="180" fontId="32" fillId="0" borderId="0" applyFont="0" applyFill="0" applyBorder="0" applyAlignment="0" applyProtection="0"/>
    <xf numFmtId="0" fontId="11" fillId="0" borderId="20" applyNumberFormat="0"/>
    <xf numFmtId="4" fontId="100" fillId="0" borderId="20">
      <alignment horizontal="right"/>
    </xf>
    <xf numFmtId="0" fontId="30" fillId="0" borderId="20">
      <alignment horizontal="right" vertical="center"/>
    </xf>
    <xf numFmtId="0" fontId="28" fillId="17" borderId="0" applyNumberFormat="0" applyBorder="0" applyAlignment="0" applyProtection="0"/>
    <xf numFmtId="0" fontId="17" fillId="13" borderId="23" applyNumberFormat="0" applyProtection="0">
      <alignment horizontal="right" vertical="center"/>
    </xf>
    <xf numFmtId="0" fontId="28" fillId="18" borderId="0" applyNumberFormat="0" applyBorder="0" applyAlignment="0" applyProtection="0"/>
    <xf numFmtId="176" fontId="100" fillId="0" borderId="0" applyFont="0" applyFill="0" applyBorder="0" applyAlignment="0" applyProtection="0"/>
    <xf numFmtId="178" fontId="31" fillId="0" borderId="0" applyFont="0" applyAlignment="0" applyProtection="0"/>
    <xf numFmtId="176" fontId="100" fillId="0" borderId="0" applyFont="0" applyFill="0" applyBorder="0" applyAlignment="0" applyProtection="0"/>
    <xf numFmtId="0" fontId="27" fillId="10" borderId="23" applyNumberFormat="0" applyProtection="0">
      <alignment vertical="center"/>
    </xf>
    <xf numFmtId="178" fontId="100" fillId="0" borderId="0" applyFont="0" applyAlignment="0" applyProtection="0"/>
    <xf numFmtId="178" fontId="100" fillId="0" borderId="0" applyFont="0" applyFill="0" applyBorder="0" applyAlignment="0" applyProtection="0"/>
    <xf numFmtId="0" fontId="11" fillId="8" borderId="23" applyNumberFormat="0" applyProtection="0">
      <alignment horizontal="left" vertical="center" indent="1"/>
    </xf>
    <xf numFmtId="0" fontId="36" fillId="19" borderId="23" applyNumberFormat="0" applyProtection="0">
      <alignment horizontal="right" vertical="center"/>
    </xf>
    <xf numFmtId="0" fontId="11" fillId="8" borderId="23" applyNumberFormat="0" applyProtection="0">
      <alignment horizontal="left" vertical="top" indent="1"/>
    </xf>
    <xf numFmtId="0" fontId="17" fillId="20" borderId="23" applyNumberFormat="0" applyProtection="0">
      <alignment horizontal="right" vertical="center"/>
    </xf>
    <xf numFmtId="0" fontId="11" fillId="7" borderId="23" applyNumberFormat="0" applyProtection="0">
      <alignment horizontal="left" vertical="top" indent="1"/>
    </xf>
    <xf numFmtId="178" fontId="100" fillId="0" borderId="0" applyFont="0" applyFill="0" applyBorder="0" applyAlignment="0" applyProtection="0"/>
    <xf numFmtId="178" fontId="11" fillId="0" borderId="0" applyFont="0" applyFill="0" applyBorder="0" applyAlignment="0" applyProtection="0"/>
    <xf numFmtId="0" fontId="17" fillId="7" borderId="23" applyNumberFormat="0" applyProtection="0">
      <alignment horizontal="right" vertical="center"/>
    </xf>
    <xf numFmtId="0" fontId="26" fillId="0" borderId="0"/>
    <xf numFmtId="0" fontId="100" fillId="0" borderId="0" applyAlignment="0"/>
    <xf numFmtId="176" fontId="11" fillId="0" borderId="0" applyFont="0" applyFill="0" applyBorder="0" applyAlignment="0" applyProtection="0"/>
    <xf numFmtId="198" fontId="34" fillId="0" borderId="0" applyFill="0" applyBorder="0" applyAlignment="0"/>
    <xf numFmtId="0" fontId="100" fillId="0" borderId="0"/>
    <xf numFmtId="178" fontId="100" fillId="0" borderId="0" applyAlignment="0"/>
    <xf numFmtId="0" fontId="11" fillId="8" borderId="23" applyNumberFormat="0" applyProtection="0">
      <alignment horizontal="left" vertical="top" indent="1"/>
    </xf>
    <xf numFmtId="176" fontId="100" fillId="0" borderId="0" applyFont="0" applyFill="0" applyBorder="0" applyAlignment="0" applyProtection="0"/>
    <xf numFmtId="0" fontId="17" fillId="21" borderId="23" applyNumberFormat="0" applyProtection="0">
      <alignment horizontal="right" vertical="center"/>
    </xf>
    <xf numFmtId="189" fontId="34" fillId="0" borderId="0" applyFill="0" applyBorder="0" applyAlignment="0"/>
    <xf numFmtId="0" fontId="17" fillId="16" borderId="23" applyNumberFormat="0" applyProtection="0">
      <alignment horizontal="right" vertical="center"/>
    </xf>
    <xf numFmtId="178" fontId="100" fillId="0" borderId="0" applyFont="0" applyFill="0" applyBorder="0" applyAlignment="0" applyProtection="0"/>
    <xf numFmtId="0" fontId="38" fillId="21" borderId="0" applyNumberFormat="0" applyBorder="0" applyProtection="0"/>
    <xf numFmtId="0" fontId="100" fillId="0" borderId="0"/>
    <xf numFmtId="0" fontId="16" fillId="0" borderId="0" applyNumberFormat="0" applyFill="0" applyBorder="0" applyAlignment="0" applyProtection="0"/>
    <xf numFmtId="0" fontId="29" fillId="12" borderId="20" applyNumberFormat="0" applyBorder="0" applyAlignment="0" applyProtection="0"/>
    <xf numFmtId="0" fontId="17" fillId="12" borderId="23" applyNumberFormat="0" applyProtection="0">
      <alignment horizontal="left" vertical="top" indent="1"/>
    </xf>
    <xf numFmtId="0" fontId="100" fillId="0" borderId="20" applyAlignment="0"/>
    <xf numFmtId="0" fontId="17" fillId="16" borderId="23" applyNumberFormat="0" applyProtection="0">
      <alignment horizontal="right" vertical="center"/>
    </xf>
    <xf numFmtId="0" fontId="100" fillId="0" borderId="0"/>
    <xf numFmtId="0" fontId="100" fillId="0" borderId="0"/>
    <xf numFmtId="176" fontId="11" fillId="0" borderId="0" applyFont="0" applyFill="0" applyBorder="0" applyAlignment="0" applyProtection="0"/>
    <xf numFmtId="182" fontId="39" fillId="0" borderId="0" applyAlignment="0">
      <protection locked="0"/>
    </xf>
    <xf numFmtId="178" fontId="100" fillId="0" borderId="0" applyAlignment="0"/>
    <xf numFmtId="0" fontId="11" fillId="8" borderId="23" applyNumberFormat="0" applyProtection="0">
      <alignment horizontal="left" vertical="top" indent="1"/>
    </xf>
    <xf numFmtId="176" fontId="100" fillId="0" borderId="0" applyFont="0" applyFill="0" applyBorder="0" applyAlignment="0" applyProtection="0"/>
    <xf numFmtId="0" fontId="100" fillId="22" borderId="0" applyNumberFormat="0" applyBorder="0" applyProtection="0"/>
    <xf numFmtId="0" fontId="30" fillId="0" borderId="20">
      <alignment horizontal="right" vertical="center"/>
    </xf>
    <xf numFmtId="178" fontId="11" fillId="0" borderId="0" applyFont="0" applyFill="0" applyBorder="0" applyAlignment="0" applyProtection="0"/>
    <xf numFmtId="178" fontId="11" fillId="0" borderId="0" applyFont="0" applyFill="0" applyBorder="0" applyAlignment="0" applyProtection="0"/>
    <xf numFmtId="178" fontId="100" fillId="0" borderId="0" applyFont="0" applyAlignment="0" applyProtection="0"/>
    <xf numFmtId="189" fontId="34" fillId="0" borderId="0" applyFill="0" applyBorder="0" applyAlignment="0"/>
    <xf numFmtId="0" fontId="17" fillId="7" borderId="23" applyNumberFormat="0" applyProtection="0">
      <alignment horizontal="right" vertical="center"/>
    </xf>
    <xf numFmtId="0" fontId="20" fillId="10" borderId="23" applyNumberFormat="0" applyProtection="0">
      <alignment horizontal="left" vertical="center" indent="1"/>
    </xf>
    <xf numFmtId="0" fontId="10" fillId="0" borderId="0"/>
    <xf numFmtId="176" fontId="11" fillId="0" borderId="0" applyFont="0" applyFill="0" applyBorder="0" applyAlignment="0" applyProtection="0"/>
    <xf numFmtId="188" fontId="40" fillId="0" borderId="0" applyFont="0" applyFill="0" applyBorder="0" applyAlignment="0" applyProtection="0"/>
    <xf numFmtId="0" fontId="11" fillId="8" borderId="23" applyNumberFormat="0" applyProtection="0">
      <alignment horizontal="left" vertical="top" indent="1"/>
    </xf>
    <xf numFmtId="0" fontId="17" fillId="7" borderId="23" applyNumberFormat="0" applyProtection="0">
      <alignment horizontal="right" vertical="center"/>
    </xf>
    <xf numFmtId="178" fontId="100" fillId="0" borderId="0" applyFont="0" applyFill="0" applyBorder="0" applyAlignment="0" applyProtection="0"/>
    <xf numFmtId="0" fontId="17" fillId="7" borderId="23" applyNumberFormat="0" applyProtection="0">
      <alignment horizontal="right" vertical="center"/>
    </xf>
    <xf numFmtId="0" fontId="100" fillId="0" borderId="0"/>
    <xf numFmtId="176" fontId="100" fillId="0" borderId="0" applyFont="0" applyFill="0" applyBorder="0" applyAlignment="0" applyProtection="0"/>
    <xf numFmtId="176" fontId="11" fillId="0" borderId="0" applyFont="0" applyFill="0" applyBorder="0" applyAlignment="0" applyProtection="0"/>
    <xf numFmtId="0" fontId="41" fillId="0" borderId="0" applyNumberFormat="0" applyFill="0" applyBorder="0" applyAlignment="0" applyProtection="0"/>
    <xf numFmtId="0" fontId="100" fillId="0" borderId="0"/>
    <xf numFmtId="178" fontId="100" fillId="0" borderId="0" applyFont="0" applyFill="0" applyBorder="0" applyProtection="0"/>
    <xf numFmtId="0" fontId="17" fillId="7" borderId="23" applyNumberFormat="0" applyProtection="0">
      <alignment horizontal="left" vertical="center" indent="1"/>
    </xf>
    <xf numFmtId="0" fontId="16" fillId="0" borderId="0" applyNumberFormat="0" applyFill="0" applyBorder="0" applyAlignment="0" applyProtection="0"/>
    <xf numFmtId="178" fontId="100" fillId="0" borderId="0" applyFont="0" applyFill="0" applyBorder="0" applyAlignment="0" applyProtection="0"/>
    <xf numFmtId="0" fontId="100" fillId="0" borderId="0"/>
    <xf numFmtId="176" fontId="42" fillId="0" borderId="0" applyFont="0" applyFill="0" applyBorder="0" applyAlignment="0" applyProtection="0"/>
    <xf numFmtId="0" fontId="100" fillId="23" borderId="0" applyNumberFormat="0" applyBorder="0" applyProtection="0"/>
    <xf numFmtId="0" fontId="17" fillId="7" borderId="23" applyNumberFormat="0" applyProtection="0">
      <alignment horizontal="left" vertical="top" indent="1"/>
    </xf>
    <xf numFmtId="4" fontId="100" fillId="0" borderId="20">
      <alignment horizontal="right"/>
    </xf>
    <xf numFmtId="178" fontId="100" fillId="0" borderId="0" applyFont="0" applyFill="0" applyBorder="0" applyAlignment="0" applyProtection="0"/>
    <xf numFmtId="0" fontId="100" fillId="0" borderId="0" applyAlignment="0"/>
    <xf numFmtId="176" fontId="11" fillId="0" borderId="0" applyFont="0" applyFill="0" applyBorder="0" applyAlignment="0" applyProtection="0"/>
    <xf numFmtId="0" fontId="100" fillId="0" borderId="0"/>
    <xf numFmtId="176" fontId="100" fillId="0" borderId="0" applyFont="0" applyFill="0" applyBorder="0" applyAlignment="0" applyProtection="0"/>
    <xf numFmtId="178" fontId="32"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41" fillId="0" borderId="0" applyNumberFormat="0" applyFill="0" applyBorder="0" applyAlignment="0" applyProtection="0"/>
    <xf numFmtId="192" fontId="11" fillId="0" borderId="0">
      <protection locked="0"/>
    </xf>
    <xf numFmtId="0" fontId="27" fillId="10" borderId="23" applyNumberFormat="0" applyProtection="0">
      <alignment vertical="center"/>
    </xf>
    <xf numFmtId="178" fontId="100" fillId="0" borderId="0" applyFont="0" applyAlignment="0" applyProtection="0"/>
    <xf numFmtId="178" fontId="100" fillId="0" borderId="0" applyFont="0" applyFill="0" applyBorder="0" applyAlignment="0" applyProtection="0"/>
    <xf numFmtId="0" fontId="11" fillId="8" borderId="23" applyNumberFormat="0" applyProtection="0">
      <alignment horizontal="left" vertical="center" indent="1"/>
    </xf>
    <xf numFmtId="0" fontId="36" fillId="19" borderId="23" applyNumberFormat="0" applyProtection="0">
      <alignment horizontal="right" vertical="center"/>
    </xf>
    <xf numFmtId="0" fontId="11" fillId="19" borderId="23" applyNumberFormat="0" applyProtection="0">
      <alignment horizontal="left" vertical="top" indent="1"/>
    </xf>
    <xf numFmtId="0" fontId="43" fillId="0" borderId="0" applyNumberFormat="0" applyFill="0" applyBorder="0" applyProtection="0"/>
    <xf numFmtId="203" fontId="44" fillId="0" borderId="0" applyFont="0" applyFill="0" applyBorder="0" applyAlignment="0" applyProtection="0"/>
    <xf numFmtId="0" fontId="100" fillId="0" borderId="0"/>
    <xf numFmtId="0" fontId="17" fillId="16" borderId="23" applyNumberFormat="0" applyProtection="0">
      <alignment horizontal="right" vertical="center"/>
    </xf>
    <xf numFmtId="0" fontId="11" fillId="19" borderId="23" applyNumberFormat="0" applyProtection="0">
      <alignment horizontal="left" vertical="top" indent="1"/>
    </xf>
    <xf numFmtId="192" fontId="11" fillId="0" borderId="0">
      <protection locked="0"/>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1" fillId="8" borderId="23" applyNumberFormat="0" applyProtection="0">
      <alignment horizontal="left" vertical="center" indent="1"/>
    </xf>
    <xf numFmtId="0" fontId="36" fillId="19" borderId="23" applyNumberFormat="0" applyProtection="0">
      <alignment horizontal="right" vertical="center"/>
    </xf>
    <xf numFmtId="0" fontId="27" fillId="10" borderId="23" applyNumberFormat="0" applyProtection="0">
      <alignment vertical="center"/>
    </xf>
    <xf numFmtId="0" fontId="25" fillId="25" borderId="0" applyNumberFormat="0" applyBorder="0" applyAlignment="0" applyProtection="0"/>
    <xf numFmtId="10" fontId="40" fillId="0" borderId="0" applyFont="0" applyFill="0" applyBorder="0" applyAlignment="0" applyProtection="0"/>
    <xf numFmtId="0" fontId="17" fillId="21" borderId="23" applyNumberFormat="0" applyProtection="0">
      <alignment horizontal="right" vertical="center"/>
    </xf>
    <xf numFmtId="178" fontId="100" fillId="0" borderId="0" applyFont="0" applyAlignment="0" applyProtection="0"/>
    <xf numFmtId="204" fontId="32" fillId="0" borderId="0" applyFont="0" applyFill="0" applyBorder="0" applyAlignment="0" applyProtection="0"/>
    <xf numFmtId="176" fontId="100" fillId="0" borderId="0" applyFont="0" applyFill="0" applyBorder="0" applyAlignment="0" applyProtection="0"/>
    <xf numFmtId="0" fontId="28" fillId="26" borderId="0" applyNumberFormat="0" applyBorder="0" applyAlignment="0" applyProtection="0"/>
    <xf numFmtId="197" fontId="32" fillId="0" borderId="0" applyFont="0" applyFill="0" applyBorder="0" applyAlignment="0" applyProtection="0"/>
    <xf numFmtId="178" fontId="100" fillId="0" borderId="0" applyFont="0" applyAlignment="0" applyProtection="0"/>
    <xf numFmtId="0" fontId="100" fillId="0" borderId="0"/>
    <xf numFmtId="176" fontId="11" fillId="0" borderId="0" applyFont="0" applyFill="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25" fillId="25" borderId="0" applyNumberFormat="0" applyBorder="0" applyAlignment="0" applyProtection="0"/>
    <xf numFmtId="178" fontId="100" fillId="0" borderId="0" applyFont="0" applyFill="0" applyBorder="0" applyAlignment="0" applyProtection="0"/>
    <xf numFmtId="0" fontId="100" fillId="0" borderId="0"/>
    <xf numFmtId="4" fontId="100" fillId="0" borderId="20">
      <alignment horizontal="right"/>
    </xf>
    <xf numFmtId="0" fontId="30" fillId="0" borderId="20" applyAlignment="0"/>
    <xf numFmtId="0" fontId="28" fillId="8" borderId="0" applyNumberFormat="0" applyBorder="0" applyAlignment="0" applyProtection="0"/>
    <xf numFmtId="0" fontId="26" fillId="0" borderId="0"/>
    <xf numFmtId="0" fontId="25" fillId="12" borderId="0" applyNumberFormat="0" applyBorder="0" applyAlignment="0" applyProtection="0"/>
    <xf numFmtId="0" fontId="17" fillId="12" borderId="23" applyNumberFormat="0" applyProtection="0">
      <alignment horizontal="left" vertical="center" indent="1"/>
    </xf>
    <xf numFmtId="0" fontId="17" fillId="7" borderId="23" applyNumberFormat="0" applyProtection="0">
      <alignment horizontal="left" vertical="center" indent="1"/>
    </xf>
    <xf numFmtId="0" fontId="24" fillId="27" borderId="0" applyNumberFormat="0" applyBorder="0" applyProtection="0"/>
    <xf numFmtId="0" fontId="45" fillId="0" borderId="0" applyFont="0" applyFill="0" applyBorder="0" applyAlignment="0" applyProtection="0"/>
    <xf numFmtId="205" fontId="46" fillId="0" borderId="0"/>
    <xf numFmtId="10" fontId="100" fillId="0" borderId="20" applyAlignment="0"/>
    <xf numFmtId="178" fontId="100" fillId="0" borderId="0" applyFont="0" applyAlignment="0" applyProtection="0"/>
    <xf numFmtId="0" fontId="47" fillId="28" borderId="0" applyNumberFormat="0" applyBorder="0" applyProtection="0"/>
    <xf numFmtId="0" fontId="100" fillId="0" borderId="20" applyAlignment="0"/>
    <xf numFmtId="178" fontId="100" fillId="0" borderId="0" applyFont="0" applyFill="0" applyBorder="0" applyAlignment="0" applyProtection="0"/>
    <xf numFmtId="176" fontId="100" fillId="0" borderId="0" applyFont="0" applyFill="0" applyBorder="0" applyAlignment="0" applyProtection="0"/>
    <xf numFmtId="183" fontId="11" fillId="0" borderId="0"/>
    <xf numFmtId="0" fontId="25" fillId="12" borderId="0" applyNumberFormat="0" applyBorder="0" applyAlignment="0" applyProtection="0"/>
    <xf numFmtId="0" fontId="28" fillId="29" borderId="0" applyNumberFormat="0" applyBorder="0" applyAlignment="0" applyProtection="0"/>
    <xf numFmtId="0" fontId="17" fillId="21" borderId="23" applyNumberFormat="0" applyProtection="0">
      <alignment horizontal="right" vertical="center"/>
    </xf>
    <xf numFmtId="0" fontId="25" fillId="28" borderId="0" applyNumberFormat="0" applyBorder="0" applyAlignment="0" applyProtection="0"/>
    <xf numFmtId="0" fontId="28" fillId="9" borderId="0" applyNumberFormat="0" applyBorder="0" applyAlignment="0" applyProtection="0"/>
    <xf numFmtId="178" fontId="100" fillId="0" borderId="0" applyFont="0" applyAlignment="0" applyProtection="0"/>
    <xf numFmtId="0" fontId="17" fillId="16" borderId="23" applyNumberFormat="0" applyProtection="0">
      <alignment horizontal="right" vertical="center"/>
    </xf>
    <xf numFmtId="0" fontId="17" fillId="7" borderId="23" applyNumberFormat="0" applyProtection="0">
      <alignment horizontal="right" vertical="center"/>
    </xf>
    <xf numFmtId="178" fontId="100" fillId="0" borderId="0" applyFont="0" applyFill="0" applyBorder="0" applyAlignment="0" applyProtection="0"/>
    <xf numFmtId="0" fontId="28" fillId="11" borderId="0" applyNumberFormat="0" applyBorder="0" applyAlignment="0" applyProtection="0"/>
    <xf numFmtId="178" fontId="11" fillId="0" borderId="0" applyFont="0" applyFill="0" applyBorder="0" applyAlignment="0" applyProtection="0"/>
    <xf numFmtId="0" fontId="47" fillId="28" borderId="0" applyNumberFormat="0" applyBorder="0" applyProtection="0"/>
    <xf numFmtId="0" fontId="100" fillId="0" borderId="20" applyAlignment="0"/>
    <xf numFmtId="176" fontId="100" fillId="0" borderId="0" applyFont="0" applyFill="0" applyBorder="0" applyAlignment="0" applyProtection="0"/>
    <xf numFmtId="178" fontId="100" fillId="0" borderId="0" applyFont="0" applyFill="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0" fontId="17" fillId="30" borderId="23" applyNumberFormat="0" applyProtection="0">
      <alignment horizontal="right" vertical="center"/>
    </xf>
    <xf numFmtId="0" fontId="25" fillId="25" borderId="0" applyNumberFormat="0" applyBorder="0" applyAlignment="0" applyProtection="0"/>
    <xf numFmtId="0" fontId="38" fillId="21" borderId="0" applyNumberFormat="0" applyBorder="0" applyProtection="0"/>
    <xf numFmtId="0" fontId="100" fillId="0" borderId="0"/>
    <xf numFmtId="178" fontId="100" fillId="0" borderId="0" applyFont="0" applyFill="0" applyBorder="0" applyAlignment="0" applyProtection="0"/>
    <xf numFmtId="0" fontId="20" fillId="10" borderId="23" applyNumberFormat="0" applyProtection="0">
      <alignment horizontal="left" vertical="center" indent="1"/>
    </xf>
    <xf numFmtId="176" fontId="42" fillId="0" borderId="0" applyFont="0" applyFill="0" applyBorder="0" applyAlignment="0" applyProtection="0"/>
    <xf numFmtId="0" fontId="25" fillId="9" borderId="0" applyNumberFormat="0" applyBorder="0" applyAlignment="0" applyProtection="0"/>
    <xf numFmtId="0" fontId="36" fillId="12" borderId="23" applyNumberFormat="0" applyProtection="0">
      <alignment vertical="center"/>
    </xf>
    <xf numFmtId="0" fontId="11" fillId="18" borderId="23" applyNumberFormat="0" applyProtection="0">
      <alignment horizontal="left" vertical="center" indent="1"/>
    </xf>
    <xf numFmtId="0" fontId="100" fillId="0" borderId="0"/>
    <xf numFmtId="0" fontId="28" fillId="9" borderId="0" applyNumberFormat="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1" fillId="18" borderId="23" applyNumberFormat="0" applyProtection="0">
      <alignment horizontal="left" vertical="top" indent="1"/>
    </xf>
    <xf numFmtId="0" fontId="17" fillId="14" borderId="23" applyNumberFormat="0" applyProtection="0">
      <alignment horizontal="right" vertical="center"/>
    </xf>
    <xf numFmtId="0" fontId="48" fillId="31" borderId="24" applyNumberFormat="0" applyAlignment="0" applyProtection="0"/>
    <xf numFmtId="0" fontId="28" fillId="18" borderId="0" applyNumberFormat="0" applyBorder="0" applyAlignment="0" applyProtection="0"/>
    <xf numFmtId="0" fontId="100" fillId="0" borderId="20" applyAlignment="0"/>
    <xf numFmtId="0" fontId="27" fillId="10" borderId="23" applyNumberFormat="0" applyProtection="0">
      <alignment vertical="center"/>
    </xf>
    <xf numFmtId="178" fontId="100" fillId="0" borderId="0" applyFont="0" applyFill="0" applyBorder="0" applyAlignment="0" applyProtection="0"/>
    <xf numFmtId="0" fontId="20" fillId="10" borderId="23" applyNumberFormat="0" applyProtection="0">
      <alignment vertical="center"/>
    </xf>
    <xf numFmtId="0" fontId="25" fillId="32" borderId="0" applyNumberFormat="0" applyBorder="0" applyAlignment="0" applyProtection="0"/>
    <xf numFmtId="0" fontId="36" fillId="19" borderId="23" applyNumberFormat="0" applyProtection="0">
      <alignment horizontal="right" vertical="center"/>
    </xf>
    <xf numFmtId="4" fontId="100" fillId="0" borderId="20">
      <alignment horizontal="right"/>
    </xf>
    <xf numFmtId="0" fontId="27" fillId="10" borderId="23" applyNumberFormat="0" applyProtection="0">
      <alignment vertical="center"/>
    </xf>
    <xf numFmtId="4" fontId="100" fillId="0" borderId="20">
      <alignment horizontal="right"/>
    </xf>
    <xf numFmtId="0" fontId="17" fillId="20" borderId="23" applyNumberFormat="0" applyProtection="0">
      <alignment horizontal="right" vertical="center"/>
    </xf>
    <xf numFmtId="0" fontId="29" fillId="33" borderId="20"/>
    <xf numFmtId="0" fontId="25" fillId="25" borderId="0" applyNumberFormat="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1" fillId="19" borderId="23" applyNumberFormat="0" applyProtection="0">
      <alignment horizontal="left" vertical="center" indent="1"/>
    </xf>
    <xf numFmtId="0" fontId="17" fillId="13" borderId="23" applyNumberFormat="0" applyProtection="0">
      <alignment horizontal="right" vertical="center"/>
    </xf>
    <xf numFmtId="0" fontId="28" fillId="8" borderId="0" applyNumberFormat="0" applyBorder="0" applyAlignment="0" applyProtection="0"/>
    <xf numFmtId="176" fontId="100" fillId="0" borderId="0" applyFont="0" applyFill="0" applyBorder="0" applyAlignment="0" applyProtection="0"/>
    <xf numFmtId="0" fontId="20" fillId="34" borderId="25" applyNumberFormat="0" applyProtection="0">
      <alignment horizontal="left" vertical="center" indent="1"/>
    </xf>
    <xf numFmtId="178" fontId="100" fillId="0" borderId="0" applyFont="0" applyFill="0" applyBorder="0" applyAlignment="0" applyProtection="0"/>
    <xf numFmtId="176" fontId="100" fillId="0" borderId="0" applyFont="0" applyFill="0" applyBorder="0" applyAlignment="0" applyProtection="0"/>
    <xf numFmtId="0" fontId="17" fillId="21" borderId="23" applyNumberFormat="0" applyProtection="0">
      <alignment horizontal="right" vertical="center"/>
    </xf>
    <xf numFmtId="0" fontId="25" fillId="12" borderId="0" applyNumberFormat="0" applyBorder="0" applyAlignment="0" applyProtection="0"/>
    <xf numFmtId="0" fontId="17" fillId="35" borderId="23" applyNumberFormat="0" applyProtection="0">
      <alignment horizontal="right" vertical="center"/>
    </xf>
    <xf numFmtId="0" fontId="25" fillId="24" borderId="0" applyNumberFormat="0" applyBorder="0" applyAlignment="0" applyProtection="0"/>
    <xf numFmtId="0" fontId="28" fillId="24" borderId="0" applyNumberFormat="0" applyBorder="0" applyAlignment="0" applyProtection="0"/>
    <xf numFmtId="0" fontId="17" fillId="14" borderId="23" applyNumberFormat="0" applyProtection="0">
      <alignment horizontal="right" vertical="center"/>
    </xf>
    <xf numFmtId="0" fontId="17" fillId="15" borderId="23" applyNumberFormat="0" applyProtection="0">
      <alignment horizontal="right" vertical="center"/>
    </xf>
    <xf numFmtId="0" fontId="20" fillId="10" borderId="23" applyNumberFormat="0" applyProtection="0">
      <alignment vertical="center"/>
    </xf>
    <xf numFmtId="0" fontId="17" fillId="12" borderId="23" applyNumberFormat="0" applyProtection="0">
      <alignment horizontal="left" vertical="top" indent="1"/>
    </xf>
    <xf numFmtId="0" fontId="17" fillId="19" borderId="23" applyNumberFormat="0" applyProtection="0">
      <alignment horizontal="right" vertical="center"/>
    </xf>
    <xf numFmtId="4" fontId="30" fillId="0" borderId="20">
      <alignment horizontal="right" vertical="center"/>
    </xf>
    <xf numFmtId="0" fontId="17" fillId="17" borderId="23" applyNumberFormat="0" applyProtection="0">
      <alignment horizontal="right" vertical="center"/>
    </xf>
    <xf numFmtId="0" fontId="49" fillId="36" borderId="0" applyNumberFormat="0" applyBorder="0" applyProtection="0"/>
    <xf numFmtId="0" fontId="17" fillId="12" borderId="23" applyNumberFormat="0" applyProtection="0">
      <alignment horizontal="left" vertical="top" indent="1"/>
    </xf>
    <xf numFmtId="4" fontId="30" fillId="0" borderId="20">
      <alignment horizontal="right" vertical="center"/>
    </xf>
    <xf numFmtId="0" fontId="17" fillId="17" borderId="23" applyNumberFormat="0" applyProtection="0">
      <alignment horizontal="right" vertical="center"/>
    </xf>
    <xf numFmtId="0" fontId="49" fillId="36" borderId="0" applyNumberFormat="0" applyBorder="0" applyProtection="0"/>
    <xf numFmtId="0" fontId="17" fillId="7" borderId="23" applyNumberFormat="0" applyProtection="0">
      <alignment horizontal="left" vertical="top" indent="1"/>
    </xf>
    <xf numFmtId="210" fontId="17" fillId="0" borderId="0" applyFill="0" applyBorder="0" applyAlignment="0"/>
    <xf numFmtId="191" fontId="34" fillId="0" borderId="0" applyFill="0" applyBorder="0" applyAlignment="0"/>
    <xf numFmtId="178" fontId="100" fillId="0" borderId="0" applyFont="0" applyAlignment="0" applyProtection="0"/>
    <xf numFmtId="0" fontId="20" fillId="10" borderId="23" applyNumberFormat="0" applyProtection="0">
      <alignment horizontal="left" vertical="center" indent="1"/>
    </xf>
    <xf numFmtId="0" fontId="100" fillId="0" borderId="0"/>
    <xf numFmtId="207" fontId="34" fillId="0" borderId="0" applyFill="0" applyBorder="0" applyAlignment="0"/>
    <xf numFmtId="192" fontId="11" fillId="0" borderId="0">
      <protection locked="0"/>
    </xf>
    <xf numFmtId="200" fontId="11" fillId="0" borderId="0" applyFill="0" applyBorder="0" applyAlignment="0"/>
    <xf numFmtId="0" fontId="100" fillId="0" borderId="0"/>
    <xf numFmtId="198" fontId="34" fillId="0" borderId="0" applyFill="0" applyBorder="0" applyAlignment="0"/>
    <xf numFmtId="0" fontId="17" fillId="12" borderId="23"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91" fontId="34" fillId="0" borderId="0" applyFill="0" applyBorder="0" applyAlignment="0"/>
    <xf numFmtId="0" fontId="17" fillId="12" borderId="23" applyNumberFormat="0" applyProtection="0">
      <alignment horizontal="left" vertical="top" indent="1"/>
    </xf>
    <xf numFmtId="0" fontId="17" fillId="16" borderId="23" applyNumberFormat="0" applyProtection="0">
      <alignment horizontal="right" vertical="center"/>
    </xf>
    <xf numFmtId="183" fontId="11" fillId="0" borderId="0"/>
    <xf numFmtId="0" fontId="27" fillId="10" borderId="23" applyNumberFormat="0" applyProtection="0">
      <alignment vertical="center"/>
    </xf>
    <xf numFmtId="0" fontId="50" fillId="0" borderId="17">
      <alignment horizontal="left" vertical="center"/>
    </xf>
    <xf numFmtId="0" fontId="51" fillId="0" borderId="0"/>
    <xf numFmtId="0" fontId="11" fillId="8" borderId="23" applyNumberFormat="0" applyProtection="0">
      <alignment horizontal="left" vertical="center" indent="1"/>
    </xf>
    <xf numFmtId="0" fontId="36" fillId="19" borderId="23" applyNumberFormat="0" applyProtection="0">
      <alignment horizontal="right" vertical="center"/>
    </xf>
    <xf numFmtId="0" fontId="17" fillId="21" borderId="23" applyNumberFormat="0" applyProtection="0">
      <alignment horizontal="right" vertical="center"/>
    </xf>
    <xf numFmtId="4" fontId="30" fillId="0" borderId="20">
      <alignment horizontal="right" vertical="center"/>
    </xf>
    <xf numFmtId="0" fontId="17" fillId="12" borderId="23" applyNumberFormat="0" applyProtection="0">
      <alignment horizontal="left" vertical="top" indent="1"/>
    </xf>
    <xf numFmtId="0" fontId="17" fillId="19" borderId="23" applyNumberFormat="0" applyProtection="0">
      <alignment horizontal="right" vertical="center"/>
    </xf>
    <xf numFmtId="4" fontId="30" fillId="0" borderId="20">
      <alignment horizontal="right" vertical="center"/>
    </xf>
    <xf numFmtId="0" fontId="11" fillId="7" borderId="23" applyNumberFormat="0" applyProtection="0">
      <alignment horizontal="left" vertical="center" indent="1"/>
    </xf>
    <xf numFmtId="0" fontId="52" fillId="0" borderId="0" applyNumberFormat="0" applyFill="0" applyBorder="0">
      <protection locked="0"/>
    </xf>
    <xf numFmtId="4" fontId="30" fillId="0" borderId="20">
      <alignment horizontal="right" vertical="center"/>
    </xf>
    <xf numFmtId="4" fontId="30" fillId="0" borderId="20">
      <alignment horizontal="right" vertical="center"/>
    </xf>
    <xf numFmtId="4" fontId="30" fillId="0" borderId="20">
      <alignment horizontal="right" vertical="center"/>
    </xf>
    <xf numFmtId="4" fontId="30" fillId="0" borderId="20">
      <alignment horizontal="right" vertical="center"/>
    </xf>
    <xf numFmtId="178" fontId="100" fillId="0" borderId="0" applyFont="0" applyFill="0" applyBorder="0" applyAlignment="0" applyProtection="0"/>
    <xf numFmtId="4" fontId="30" fillId="0" borderId="20">
      <alignment horizontal="right" vertical="center"/>
    </xf>
    <xf numFmtId="178" fontId="100" fillId="0" borderId="0" applyFont="0" applyFill="0" applyBorder="0" applyAlignment="0" applyProtection="0"/>
    <xf numFmtId="178" fontId="100" fillId="0" borderId="0" applyFont="0" applyFill="0" applyBorder="0" applyAlignment="0" applyProtection="0"/>
    <xf numFmtId="0" fontId="17" fillId="15" borderId="23" applyNumberFormat="0" applyProtection="0">
      <alignment horizontal="right" vertical="center"/>
    </xf>
    <xf numFmtId="0" fontId="11" fillId="7" borderId="23" applyNumberFormat="0" applyProtection="0">
      <alignment horizontal="left" vertical="center" indent="1"/>
    </xf>
    <xf numFmtId="4" fontId="30" fillId="0" borderId="20">
      <alignment horizontal="right" vertical="center"/>
    </xf>
    <xf numFmtId="178" fontId="100" fillId="0" borderId="0" applyFont="0" applyFill="0" applyBorder="0" applyAlignment="0" applyProtection="0"/>
    <xf numFmtId="0" fontId="17" fillId="15" borderId="23" applyNumberFormat="0" applyProtection="0">
      <alignment horizontal="right" vertical="center"/>
    </xf>
    <xf numFmtId="0" fontId="11" fillId="7" borderId="23" applyNumberFormat="0" applyProtection="0">
      <alignment horizontal="left" vertical="center" indent="1"/>
    </xf>
    <xf numFmtId="0" fontId="17" fillId="12" borderId="23" applyNumberFormat="0" applyProtection="0">
      <alignment horizontal="left" vertical="top" indent="1"/>
    </xf>
    <xf numFmtId="0" fontId="17" fillId="19" borderId="23" applyNumberFormat="0" applyProtection="0">
      <alignment horizontal="right" vertical="center"/>
    </xf>
    <xf numFmtId="4" fontId="30" fillId="0" borderId="20">
      <alignment horizontal="right" vertical="center"/>
    </xf>
    <xf numFmtId="0" fontId="100" fillId="0" borderId="0"/>
    <xf numFmtId="0" fontId="17" fillId="12" borderId="23" applyNumberFormat="0" applyProtection="0">
      <alignment vertical="center"/>
    </xf>
    <xf numFmtId="176" fontId="100" fillId="0" borderId="0" applyFont="0" applyFill="0" applyBorder="0" applyAlignment="0" applyProtection="0"/>
    <xf numFmtId="0" fontId="17" fillId="12" borderId="23" applyNumberFormat="0" applyProtection="0">
      <alignment horizontal="left" vertical="top" indent="1"/>
    </xf>
    <xf numFmtId="176" fontId="11" fillId="0" borderId="0" applyFont="0" applyFill="0" applyBorder="0" applyAlignment="0" applyProtection="0"/>
    <xf numFmtId="4" fontId="30" fillId="0" borderId="20">
      <alignment horizontal="right" vertical="center"/>
    </xf>
    <xf numFmtId="0" fontId="11" fillId="19" borderId="23" applyNumberFormat="0" applyProtection="0">
      <alignment horizontal="left" vertical="top" indent="1"/>
    </xf>
    <xf numFmtId="0" fontId="100" fillId="0" borderId="0"/>
    <xf numFmtId="0" fontId="17" fillId="12" borderId="23" applyNumberFormat="0" applyProtection="0">
      <alignment vertical="center"/>
    </xf>
    <xf numFmtId="0" fontId="100" fillId="0" borderId="0"/>
    <xf numFmtId="176" fontId="100" fillId="0" borderId="0" applyFont="0" applyFill="0" applyBorder="0" applyAlignment="0" applyProtection="0"/>
    <xf numFmtId="0" fontId="17" fillId="12" borderId="23" applyNumberFormat="0" applyProtection="0">
      <alignment horizontal="left" vertical="top" indent="1"/>
    </xf>
    <xf numFmtId="4" fontId="30" fillId="0" borderId="20">
      <alignment horizontal="right" vertical="center"/>
    </xf>
    <xf numFmtId="0" fontId="11" fillId="19" borderId="23" applyNumberFormat="0" applyProtection="0">
      <alignment horizontal="left" vertical="top" indent="1"/>
    </xf>
    <xf numFmtId="0" fontId="17" fillId="17" borderId="23" applyNumberFormat="0" applyProtection="0">
      <alignment horizontal="right" vertical="center"/>
    </xf>
    <xf numFmtId="178" fontId="11" fillId="0" borderId="0" applyFont="0" applyFill="0" applyBorder="0" applyAlignment="0" applyProtection="0"/>
    <xf numFmtId="0" fontId="50" fillId="0" borderId="17">
      <alignment horizontal="left" vertical="center"/>
    </xf>
    <xf numFmtId="0" fontId="100" fillId="0" borderId="0"/>
    <xf numFmtId="4" fontId="30" fillId="0" borderId="20">
      <alignment horizontal="right" vertical="center"/>
    </xf>
    <xf numFmtId="0" fontId="11" fillId="18" borderId="23" applyNumberFormat="0" applyProtection="0">
      <alignment horizontal="left" vertical="top" indent="1"/>
    </xf>
    <xf numFmtId="176" fontId="100" fillId="0" borderId="0" applyFont="0" applyFill="0" applyBorder="0" applyAlignment="0" applyProtection="0"/>
    <xf numFmtId="0" fontId="36" fillId="19" borderId="23" applyNumberFormat="0" applyProtection="0">
      <alignment horizontal="right" vertical="center"/>
    </xf>
    <xf numFmtId="189" fontId="34" fillId="0" borderId="0" applyFill="0" applyBorder="0" applyAlignment="0"/>
    <xf numFmtId="4" fontId="100" fillId="0" borderId="20">
      <alignment horizontal="right"/>
    </xf>
    <xf numFmtId="4" fontId="100" fillId="0" borderId="20">
      <alignment horizontal="right"/>
    </xf>
    <xf numFmtId="178" fontId="100" fillId="0" borderId="0" applyFont="0" applyFill="0" applyBorder="0" applyAlignment="0" applyProtection="0"/>
    <xf numFmtId="4" fontId="100" fillId="0" borderId="20">
      <alignment horizontal="right"/>
    </xf>
    <xf numFmtId="178" fontId="100" fillId="0" borderId="0" applyFont="0" applyFill="0" applyBorder="0" applyAlignment="0" applyProtection="0"/>
    <xf numFmtId="4" fontId="100" fillId="0" borderId="20">
      <alignment horizontal="right"/>
    </xf>
    <xf numFmtId="0" fontId="100" fillId="0" borderId="0"/>
    <xf numFmtId="0" fontId="36" fillId="19" borderId="23" applyNumberFormat="0" applyProtection="0">
      <alignment horizontal="right" vertical="center"/>
    </xf>
    <xf numFmtId="0" fontId="11" fillId="7" borderId="23" applyNumberFormat="0" applyProtection="0">
      <alignment horizontal="left" vertical="top" indent="1"/>
    </xf>
    <xf numFmtId="176" fontId="100" fillId="0" borderId="0" applyFont="0" applyFill="0" applyBorder="0" applyAlignment="0" applyProtection="0"/>
    <xf numFmtId="178" fontId="100" fillId="0" borderId="0" applyFont="0" applyFill="0" applyBorder="0" applyAlignment="0" applyProtection="0"/>
    <xf numFmtId="4" fontId="100" fillId="0" borderId="20">
      <alignment horizontal="right"/>
    </xf>
    <xf numFmtId="0" fontId="27" fillId="10" borderId="23" applyNumberFormat="0" applyProtection="0">
      <alignment vertical="center"/>
    </xf>
    <xf numFmtId="4" fontId="100" fillId="0" borderId="20">
      <alignment horizontal="right"/>
    </xf>
    <xf numFmtId="0" fontId="27" fillId="10" borderId="23" applyNumberFormat="0" applyProtection="0">
      <alignment vertical="center"/>
    </xf>
    <xf numFmtId="4" fontId="100" fillId="0" borderId="20">
      <alignment horizontal="right"/>
    </xf>
    <xf numFmtId="0" fontId="100" fillId="0" borderId="0"/>
    <xf numFmtId="0" fontId="36" fillId="19" borderId="23" applyNumberFormat="0" applyProtection="0">
      <alignment horizontal="right" vertical="center"/>
    </xf>
    <xf numFmtId="37" fontId="40" fillId="0" borderId="0" applyFont="0" applyFill="0" applyBorder="0" applyAlignment="0" applyProtection="0"/>
    <xf numFmtId="4" fontId="100" fillId="0" borderId="20">
      <alignment horizontal="right"/>
    </xf>
    <xf numFmtId="178" fontId="100" fillId="0" borderId="0" applyFont="0" applyFill="0" applyBorder="0" applyAlignment="0" applyProtection="0"/>
    <xf numFmtId="0" fontId="17" fillId="7" borderId="23" applyNumberFormat="0" applyProtection="0">
      <alignment horizontal="right" vertical="center"/>
    </xf>
    <xf numFmtId="4" fontId="100" fillId="0" borderId="20">
      <alignment horizontal="right"/>
    </xf>
    <xf numFmtId="178" fontId="100" fillId="0" borderId="0" applyFont="0" applyFill="0" applyBorder="0" applyAlignment="0" applyProtection="0"/>
    <xf numFmtId="0" fontId="17" fillId="7" borderId="23" applyNumberFormat="0" applyProtection="0">
      <alignment horizontal="right" vertical="center"/>
    </xf>
    <xf numFmtId="0" fontId="11" fillId="0" borderId="0"/>
    <xf numFmtId="4" fontId="100" fillId="0" borderId="20">
      <alignment horizontal="right"/>
    </xf>
    <xf numFmtId="178" fontId="100" fillId="0" borderId="0" applyFont="0" applyFill="0" applyBorder="0" applyAlignment="0" applyProtection="0"/>
    <xf numFmtId="0" fontId="17" fillId="7" borderId="23" applyNumberFormat="0" applyProtection="0">
      <alignment horizontal="right" vertical="center"/>
    </xf>
    <xf numFmtId="4" fontId="100" fillId="0" borderId="20">
      <alignment horizontal="right"/>
    </xf>
    <xf numFmtId="0" fontId="100" fillId="0" borderId="0"/>
    <xf numFmtId="0" fontId="53" fillId="0" borderId="0" applyFont="0" applyFill="0" applyBorder="0" applyAlignment="0" applyProtection="0"/>
    <xf numFmtId="4" fontId="100" fillId="0" borderId="20">
      <alignment horizontal="right"/>
    </xf>
    <xf numFmtId="0" fontId="100" fillId="0" borderId="20" applyAlignment="0"/>
    <xf numFmtId="176" fontId="100" fillId="0" borderId="0" applyFont="0" applyFill="0" applyBorder="0" applyAlignment="0" applyProtection="0"/>
    <xf numFmtId="4" fontId="100" fillId="0" borderId="20">
      <alignment horizontal="right"/>
    </xf>
    <xf numFmtId="4" fontId="100" fillId="0" borderId="20">
      <alignment horizontal="right"/>
    </xf>
    <xf numFmtId="176" fontId="100" fillId="0" borderId="0" applyFont="0" applyFill="0" applyBorder="0" applyAlignment="0" applyProtection="0"/>
    <xf numFmtId="0" fontId="100" fillId="0" borderId="0"/>
    <xf numFmtId="178" fontId="100" fillId="0" borderId="0" applyFont="0" applyFill="0" applyBorder="0" applyAlignment="0" applyProtection="0"/>
    <xf numFmtId="0" fontId="11" fillId="7" borderId="23" applyNumberFormat="0" applyProtection="0">
      <alignment horizontal="left" vertical="top" indent="1"/>
    </xf>
    <xf numFmtId="0" fontId="100" fillId="0" borderId="0"/>
    <xf numFmtId="0" fontId="17" fillId="7" borderId="23"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0" fontId="11" fillId="7" borderId="23" applyNumberFormat="0" applyProtection="0">
      <alignment horizontal="left" vertical="top" indent="1"/>
    </xf>
    <xf numFmtId="198" fontId="34" fillId="0" borderId="0" applyFill="0" applyBorder="0" applyAlignment="0"/>
    <xf numFmtId="0" fontId="17" fillId="7" borderId="23" applyNumberFormat="0" applyProtection="0">
      <alignment horizontal="right" vertical="center"/>
    </xf>
    <xf numFmtId="4" fontId="100" fillId="0" borderId="20">
      <alignment horizontal="right"/>
    </xf>
    <xf numFmtId="178" fontId="100" fillId="0" borderId="0" applyFont="0" applyFill="0" applyBorder="0" applyAlignment="0" applyProtection="0"/>
    <xf numFmtId="178" fontId="100" fillId="0" borderId="0" applyFont="0" applyFill="0" applyBorder="0" applyAlignment="0" applyProtection="0"/>
    <xf numFmtId="0" fontId="11" fillId="7" borderId="23" applyNumberFormat="0" applyProtection="0">
      <alignment horizontal="left" vertical="top" indent="1"/>
    </xf>
    <xf numFmtId="178" fontId="100" fillId="0" borderId="0" applyFont="0" applyFill="0" applyBorder="0" applyAlignment="0" applyProtection="0"/>
    <xf numFmtId="0" fontId="17" fillId="7" borderId="23" applyNumberFormat="0" applyProtection="0">
      <alignment horizontal="right" vertical="center"/>
    </xf>
    <xf numFmtId="0" fontId="11" fillId="7" borderId="23" applyNumberFormat="0" applyProtection="0">
      <alignment horizontal="left" vertical="top" indent="1"/>
    </xf>
    <xf numFmtId="4" fontId="100" fillId="0" borderId="20">
      <alignment horizontal="right"/>
    </xf>
    <xf numFmtId="178" fontId="100" fillId="0" borderId="0" applyFont="0" applyFill="0" applyBorder="0" applyAlignment="0" applyProtection="0"/>
    <xf numFmtId="178" fontId="100" fillId="0" borderId="0" applyFont="0" applyFill="0" applyBorder="0" applyAlignment="0" applyProtection="0"/>
    <xf numFmtId="0" fontId="11" fillId="7" borderId="23" applyNumberFormat="0" applyProtection="0">
      <alignment horizontal="left" vertical="top" indent="1"/>
    </xf>
    <xf numFmtId="178" fontId="100" fillId="0" borderId="0" applyFont="0" applyFill="0" applyBorder="0" applyAlignment="0" applyProtection="0"/>
    <xf numFmtId="0" fontId="17" fillId="7" borderId="23" applyNumberFormat="0" applyProtection="0">
      <alignment horizontal="right" vertical="center"/>
    </xf>
    <xf numFmtId="0" fontId="11" fillId="7" borderId="23" applyNumberFormat="0" applyProtection="0">
      <alignment horizontal="left" vertical="top" indent="1"/>
    </xf>
    <xf numFmtId="4" fontId="100" fillId="0" borderId="20">
      <alignment horizontal="right"/>
    </xf>
    <xf numFmtId="178" fontId="100" fillId="0" borderId="0" applyFont="0" applyFill="0" applyBorder="0" applyAlignment="0" applyProtection="0"/>
    <xf numFmtId="178" fontId="100" fillId="0" borderId="0" applyFont="0" applyFill="0" applyBorder="0" applyAlignment="0" applyProtection="0"/>
    <xf numFmtId="0" fontId="11" fillId="7" borderId="23" applyNumberFormat="0" applyProtection="0">
      <alignment horizontal="left" vertical="top" indent="1"/>
    </xf>
    <xf numFmtId="178" fontId="100" fillId="0" borderId="0" applyFont="0" applyFill="0" applyBorder="0" applyAlignment="0" applyProtection="0"/>
    <xf numFmtId="0" fontId="17" fillId="7" borderId="23" applyNumberFormat="0" applyProtection="0">
      <alignment horizontal="right" vertical="center"/>
    </xf>
    <xf numFmtId="0" fontId="11" fillId="7" borderId="23" applyNumberFormat="0" applyProtection="0">
      <alignment horizontal="left" vertical="top" indent="1"/>
    </xf>
    <xf numFmtId="4" fontId="100" fillId="0" borderId="20">
      <alignment horizontal="right"/>
    </xf>
    <xf numFmtId="178" fontId="100" fillId="0" borderId="0" applyFont="0" applyFill="0" applyBorder="0" applyAlignment="0" applyProtection="0"/>
    <xf numFmtId="178" fontId="100" fillId="0" borderId="0" applyFont="0" applyFill="0" applyBorder="0" applyAlignment="0" applyProtection="0"/>
    <xf numFmtId="0" fontId="11" fillId="7" borderId="23" applyNumberFormat="0" applyProtection="0">
      <alignment horizontal="left" vertical="top" indent="1"/>
    </xf>
    <xf numFmtId="0" fontId="11" fillId="7" borderId="23" applyNumberFormat="0" applyProtection="0">
      <alignment horizontal="left" vertical="top" indent="1"/>
    </xf>
    <xf numFmtId="4" fontId="100" fillId="0" borderId="20">
      <alignment horizontal="right"/>
    </xf>
    <xf numFmtId="0" fontId="27" fillId="10" borderId="23" applyNumberFormat="0" applyProtection="0">
      <alignment vertical="center"/>
    </xf>
    <xf numFmtId="0" fontId="35" fillId="16" borderId="0" applyNumberFormat="0" applyBorder="0" applyProtection="0"/>
    <xf numFmtId="4" fontId="100" fillId="0" borderId="20">
      <alignment horizontal="right"/>
    </xf>
    <xf numFmtId="0" fontId="30" fillId="0" borderId="20">
      <alignment horizontal="right" vertical="center"/>
    </xf>
    <xf numFmtId="0" fontId="27" fillId="10" borderId="23" applyNumberFormat="0" applyProtection="0">
      <alignment vertical="center"/>
    </xf>
    <xf numFmtId="4" fontId="100" fillId="0" borderId="20">
      <alignment horizontal="right"/>
    </xf>
    <xf numFmtId="0" fontId="30" fillId="0" borderId="20">
      <alignment horizontal="right" vertical="center"/>
    </xf>
    <xf numFmtId="4" fontId="100" fillId="0" borderId="20">
      <alignment horizontal="right"/>
    </xf>
    <xf numFmtId="0" fontId="30" fillId="0" borderId="20">
      <alignment horizontal="right" vertical="center"/>
    </xf>
    <xf numFmtId="178" fontId="100" fillId="0" borderId="0" applyFont="0" applyFill="0" applyBorder="0" applyAlignment="0" applyProtection="0"/>
    <xf numFmtId="0" fontId="11" fillId="0" borderId="20" applyNumberFormat="0"/>
    <xf numFmtId="4" fontId="100" fillId="0" borderId="20">
      <alignment horizontal="right"/>
    </xf>
    <xf numFmtId="0" fontId="30" fillId="0" borderId="20">
      <alignment horizontal="right" vertical="center"/>
    </xf>
    <xf numFmtId="0" fontId="17" fillId="7" borderId="23" applyNumberFormat="0" applyProtection="0">
      <alignment horizontal="left" vertical="top" indent="1"/>
    </xf>
    <xf numFmtId="10" fontId="100" fillId="0" borderId="20" applyAlignment="0"/>
    <xf numFmtId="0" fontId="30" fillId="0" borderId="20">
      <alignment horizontal="right" vertical="center"/>
    </xf>
    <xf numFmtId="178" fontId="100" fillId="0" borderId="0" applyFont="0" applyFill="0" applyBorder="0" applyAlignment="0" applyProtection="0"/>
    <xf numFmtId="0" fontId="30" fillId="0" borderId="20">
      <alignment horizontal="right" vertical="center"/>
    </xf>
    <xf numFmtId="176" fontId="100" fillId="0" borderId="0" applyFont="0" applyFill="0" applyBorder="0" applyAlignment="0" applyProtection="0"/>
    <xf numFmtId="176" fontId="100" fillId="0" borderId="0" applyFont="0" applyFill="0" applyBorder="0" applyAlignment="0" applyProtection="0"/>
    <xf numFmtId="178" fontId="100" fillId="0" borderId="0" applyFont="0" applyAlignment="0" applyProtection="0"/>
    <xf numFmtId="178" fontId="11" fillId="0" borderId="0" applyFont="0" applyFill="0" applyBorder="0" applyAlignment="0" applyProtection="0"/>
    <xf numFmtId="0" fontId="11" fillId="0" borderId="0"/>
    <xf numFmtId="178" fontId="100" fillId="0" borderId="0" applyFont="0" applyFill="0" applyBorder="0" applyAlignment="0" applyProtection="0"/>
    <xf numFmtId="0" fontId="30" fillId="0" borderId="20">
      <alignment horizontal="right" vertical="center"/>
    </xf>
    <xf numFmtId="0" fontId="30" fillId="0" borderId="20">
      <alignment horizontal="right" vertical="center"/>
    </xf>
    <xf numFmtId="0" fontId="30" fillId="0" borderId="20">
      <alignment horizontal="right" vertical="center"/>
    </xf>
    <xf numFmtId="178" fontId="100" fillId="0" borderId="0" applyFont="0" applyFill="0" applyBorder="0" applyAlignment="0" applyProtection="0"/>
    <xf numFmtId="178" fontId="100" fillId="0" borderId="0" applyFont="0" applyFill="0" applyBorder="0" applyAlignment="0" applyProtection="0"/>
    <xf numFmtId="0" fontId="30" fillId="0" borderId="20">
      <alignment horizontal="right" vertical="center"/>
    </xf>
    <xf numFmtId="178" fontId="100" fillId="0" borderId="0" applyFont="0" applyFill="0" applyBorder="0" applyAlignment="0" applyProtection="0"/>
    <xf numFmtId="0" fontId="54" fillId="0" borderId="0"/>
    <xf numFmtId="178" fontId="11" fillId="0" borderId="0" applyFont="0" applyFill="0" applyBorder="0" applyAlignment="0" applyProtection="0"/>
    <xf numFmtId="176" fontId="100" fillId="0" borderId="0" applyFont="0" applyFill="0" applyBorder="0" applyAlignment="0" applyProtection="0"/>
    <xf numFmtId="10" fontId="100" fillId="0" borderId="20" applyAlignment="0"/>
    <xf numFmtId="10" fontId="100" fillId="0" borderId="20" applyAlignment="0"/>
    <xf numFmtId="176" fontId="100" fillId="0" borderId="0" applyFont="0" applyFill="0" applyBorder="0" applyAlignment="0" applyProtection="0"/>
    <xf numFmtId="0" fontId="20" fillId="10" borderId="23" applyNumberFormat="0" applyProtection="0">
      <alignment horizontal="left" vertical="top" indent="1"/>
    </xf>
    <xf numFmtId="0" fontId="29" fillId="12" borderId="20" applyNumberFormat="0" applyBorder="0" applyAlignment="0" applyProtection="0"/>
    <xf numFmtId="176" fontId="100" fillId="0" borderId="0" applyFont="0" applyFill="0" applyBorder="0" applyAlignment="0" applyProtection="0"/>
    <xf numFmtId="10" fontId="100" fillId="0" borderId="20" applyAlignment="0"/>
    <xf numFmtId="178" fontId="100" fillId="0" borderId="0" applyFont="0" applyFill="0" applyBorder="0" applyAlignment="0" applyProtection="0"/>
    <xf numFmtId="194" fontId="40" fillId="0" borderId="0" applyFont="0" applyFill="0" applyBorder="0" applyAlignment="0" applyProtection="0"/>
    <xf numFmtId="10" fontId="100" fillId="0" borderId="20" applyAlignment="0"/>
    <xf numFmtId="10" fontId="100" fillId="0" borderId="20" applyAlignment="0"/>
    <xf numFmtId="0" fontId="11" fillId="19" borderId="23" applyNumberFormat="0" applyProtection="0">
      <alignment horizontal="left" vertical="top" indent="1"/>
    </xf>
    <xf numFmtId="178" fontId="100" fillId="0" borderId="0" applyFont="0" applyFill="0" applyBorder="0" applyAlignment="0" applyProtection="0"/>
    <xf numFmtId="195" fontId="40" fillId="0" borderId="0" applyFont="0" applyFill="0" applyBorder="0" applyAlignment="0" applyProtection="0"/>
    <xf numFmtId="10" fontId="100" fillId="0" borderId="20" applyAlignment="0"/>
    <xf numFmtId="0" fontId="11" fillId="19" borderId="23" applyNumberFormat="0" applyProtection="0">
      <alignment horizontal="left" vertical="top" indent="1"/>
    </xf>
    <xf numFmtId="10" fontId="100" fillId="0" borderId="20" applyAlignment="0"/>
    <xf numFmtId="0" fontId="11" fillId="19" borderId="23"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6" fontId="100" fillId="0" borderId="0" applyFont="0" applyFill="0" applyBorder="0" applyAlignment="0" applyProtection="0"/>
    <xf numFmtId="10" fontId="100" fillId="0" borderId="20" applyAlignment="0"/>
    <xf numFmtId="10" fontId="100" fillId="0" borderId="20" applyAlignment="0"/>
    <xf numFmtId="10" fontId="100" fillId="0" borderId="20" applyAlignment="0"/>
    <xf numFmtId="10" fontId="100" fillId="0" borderId="20" applyAlignment="0"/>
    <xf numFmtId="0" fontId="55" fillId="0" borderId="0" applyNumberFormat="0" applyFill="0" applyBorder="0" applyAlignment="0" applyProtection="0"/>
    <xf numFmtId="178" fontId="100" fillId="0" borderId="0" applyFont="0" applyFill="0" applyBorder="0" applyAlignment="0" applyProtection="0"/>
    <xf numFmtId="0" fontId="56" fillId="37" borderId="26" applyNumberFormat="0" applyAlignment="0" applyProtection="0"/>
    <xf numFmtId="0" fontId="48" fillId="31" borderId="24" applyNumberFormat="0" applyAlignment="0" applyProtection="0"/>
    <xf numFmtId="178" fontId="100" fillId="0" borderId="0" applyFont="0" applyFill="0" applyBorder="0" applyAlignment="0" applyProtection="0"/>
    <xf numFmtId="178" fontId="100" fillId="0" borderId="0" applyFont="0" applyFill="0" applyBorder="0" applyAlignment="0" applyProtection="0"/>
    <xf numFmtId="0" fontId="57" fillId="0" borderId="1" applyNumberFormat="0" applyFill="0" applyProtection="0">
      <alignment horizontal="center"/>
    </xf>
    <xf numFmtId="178" fontId="32" fillId="0" borderId="0" applyFont="0" applyFill="0" applyBorder="0" applyAlignment="0" applyProtection="0"/>
    <xf numFmtId="0" fontId="100" fillId="0" borderId="0"/>
    <xf numFmtId="183" fontId="11" fillId="0" borderId="0"/>
    <xf numFmtId="0" fontId="50" fillId="0" borderId="17">
      <alignment horizontal="left" vertical="center"/>
    </xf>
    <xf numFmtId="0" fontId="11" fillId="8" borderId="23" applyNumberFormat="0" applyProtection="0">
      <alignment horizontal="left" vertical="center" indent="1"/>
    </xf>
    <xf numFmtId="0" fontId="36" fillId="19" borderId="23" applyNumberFormat="0" applyProtection="0">
      <alignment horizontal="right" vertical="center"/>
    </xf>
    <xf numFmtId="178" fontId="100" fillId="0" borderId="0" applyFont="0" applyFill="0" applyBorder="0" applyAlignment="0" applyProtection="0"/>
    <xf numFmtId="0" fontId="11" fillId="19" borderId="23" applyNumberFormat="0" applyProtection="0">
      <alignment horizontal="left" vertical="center" indent="1"/>
    </xf>
    <xf numFmtId="0" fontId="17" fillId="16" borderId="23" applyNumberFormat="0" applyProtection="0">
      <alignment horizontal="right" vertical="center"/>
    </xf>
    <xf numFmtId="183" fontId="11" fillId="0" borderId="0"/>
    <xf numFmtId="0" fontId="27" fillId="10" borderId="23" applyNumberFormat="0" applyProtection="0">
      <alignment vertical="center"/>
    </xf>
    <xf numFmtId="178" fontId="100" fillId="0" borderId="0" applyFont="0" applyFill="0" applyBorder="0" applyAlignment="0" applyProtection="0"/>
    <xf numFmtId="0" fontId="11" fillId="8" borderId="23" applyNumberFormat="0" applyProtection="0">
      <alignment horizontal="left" vertical="center" indent="1"/>
    </xf>
    <xf numFmtId="0" fontId="36" fillId="19" borderId="23" applyNumberFormat="0" applyProtection="0">
      <alignment horizontal="right" vertical="center"/>
    </xf>
    <xf numFmtId="0" fontId="100" fillId="0" borderId="0"/>
    <xf numFmtId="183" fontId="11" fillId="0" borderId="0"/>
    <xf numFmtId="0" fontId="27" fillId="10" borderId="23" applyNumberFormat="0" applyProtection="0">
      <alignment vertical="center"/>
    </xf>
    <xf numFmtId="178" fontId="100" fillId="0" borderId="0" applyFont="0" applyFill="0" applyBorder="0" applyAlignment="0" applyProtection="0"/>
    <xf numFmtId="0" fontId="11" fillId="8" borderId="23" applyNumberFormat="0" applyProtection="0">
      <alignment horizontal="left" vertical="center" indent="1"/>
    </xf>
    <xf numFmtId="0" fontId="36" fillId="19" borderId="23" applyNumberFormat="0" applyProtection="0">
      <alignment horizontal="right" vertical="center"/>
    </xf>
    <xf numFmtId="0" fontId="100" fillId="0" borderId="0"/>
    <xf numFmtId="183" fontId="11" fillId="0" borderId="0"/>
    <xf numFmtId="0" fontId="27" fillId="10" borderId="23" applyNumberFormat="0" applyProtection="0">
      <alignment vertical="center"/>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1" fillId="8" borderId="23" applyNumberFormat="0" applyProtection="0">
      <alignment horizontal="left" vertical="center" indent="1"/>
    </xf>
    <xf numFmtId="0" fontId="36" fillId="19" borderId="23" applyNumberFormat="0" applyProtection="0">
      <alignment horizontal="right" vertical="center"/>
    </xf>
    <xf numFmtId="0" fontId="100" fillId="0" borderId="0"/>
    <xf numFmtId="183" fontId="11" fillId="0" borderId="0"/>
    <xf numFmtId="0" fontId="27" fillId="10" borderId="23" applyNumberFormat="0" applyProtection="0">
      <alignment vertical="center"/>
    </xf>
    <xf numFmtId="183" fontId="11" fillId="0" borderId="0"/>
    <xf numFmtId="0" fontId="27" fillId="10" borderId="23" applyNumberFormat="0" applyProtection="0">
      <alignment vertical="center"/>
    </xf>
    <xf numFmtId="0" fontId="58" fillId="38" borderId="0" applyNumberFormat="0" applyBorder="0" applyProtection="0"/>
    <xf numFmtId="176" fontId="100" fillId="0" borderId="0" applyFont="0" applyFill="0" applyBorder="0" applyAlignment="0" applyProtection="0"/>
    <xf numFmtId="178" fontId="100" fillId="0" borderId="0" applyFont="0" applyFill="0" applyBorder="0" applyAlignment="0" applyProtection="0"/>
    <xf numFmtId="0" fontId="20" fillId="10" borderId="23" applyNumberFormat="0" applyProtection="0">
      <alignment horizontal="left" vertical="top" indent="1"/>
    </xf>
    <xf numFmtId="176" fontId="100" fillId="0" borderId="0" applyFont="0" applyFill="0" applyBorder="0" applyAlignment="0" applyProtection="0"/>
    <xf numFmtId="178" fontId="100" fillId="0" borderId="0" applyFont="0" applyFill="0" applyBorder="0" applyAlignment="0" applyProtection="0"/>
    <xf numFmtId="176" fontId="100" fillId="0" borderId="0" applyFont="0" applyFill="0" applyBorder="0" applyAlignment="0" applyProtection="0"/>
    <xf numFmtId="178" fontId="100" fillId="0" borderId="0" applyAlignment="0"/>
    <xf numFmtId="0" fontId="11" fillId="7" borderId="23" applyNumberFormat="0" applyProtection="0">
      <alignment horizontal="left" vertical="top" indent="1"/>
    </xf>
    <xf numFmtId="176" fontId="100" fillId="0" borderId="0" applyFont="0" applyFill="0" applyBorder="0" applyAlignment="0" applyProtection="0"/>
    <xf numFmtId="0" fontId="20" fillId="10" borderId="23" applyNumberFormat="0" applyProtection="0">
      <alignment vertical="center"/>
    </xf>
    <xf numFmtId="176" fontId="100" fillId="0" borderId="0" applyFont="0" applyFill="0" applyBorder="0" applyAlignment="0" applyProtection="0"/>
    <xf numFmtId="178" fontId="100" fillId="0" borderId="0" applyAlignment="0"/>
    <xf numFmtId="176" fontId="100" fillId="0" borderId="0" applyFont="0" applyFill="0" applyBorder="0" applyAlignment="0" applyProtection="0"/>
    <xf numFmtId="0" fontId="17" fillId="19" borderId="23"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9" fontId="100" fillId="0" borderId="0" applyFont="0" applyFill="0" applyBorder="0" applyAlignment="0" applyProtection="0"/>
    <xf numFmtId="0" fontId="11" fillId="7" borderId="23" applyNumberFormat="0" applyProtection="0">
      <alignment horizontal="left" vertical="top" indent="1"/>
    </xf>
    <xf numFmtId="0" fontId="100" fillId="0" borderId="0"/>
    <xf numFmtId="0" fontId="100" fillId="0" borderId="0"/>
    <xf numFmtId="14" fontId="17" fillId="0" borderId="0" applyFill="0" applyBorder="0" applyAlignment="0"/>
    <xf numFmtId="176" fontId="100" fillId="0" borderId="0" applyFont="0" applyFill="0" applyBorder="0" applyAlignment="0" applyProtection="0"/>
    <xf numFmtId="0" fontId="20" fillId="10" borderId="23" applyNumberFormat="0" applyProtection="0">
      <alignment vertical="center"/>
    </xf>
    <xf numFmtId="176" fontId="100" fillId="0" borderId="0" applyFont="0" applyFill="0" applyBorder="0" applyAlignment="0" applyProtection="0"/>
    <xf numFmtId="0" fontId="20" fillId="10" borderId="23" applyNumberFormat="0" applyProtection="0">
      <alignment vertical="center"/>
    </xf>
    <xf numFmtId="176" fontId="100" fillId="0" borderId="0" applyFont="0" applyFill="0" applyBorder="0" applyAlignment="0" applyProtection="0"/>
    <xf numFmtId="0" fontId="59" fillId="39" borderId="0" applyNumberFormat="0" applyBorder="0" applyProtection="0"/>
    <xf numFmtId="0" fontId="100" fillId="0" borderId="20" applyAlignment="0"/>
    <xf numFmtId="176" fontId="100" fillId="0" borderId="0" applyFont="0" applyFill="0" applyBorder="0" applyAlignment="0" applyProtection="0"/>
    <xf numFmtId="0" fontId="20" fillId="10" borderId="23" applyNumberFormat="0" applyProtection="0">
      <alignment vertical="center"/>
    </xf>
    <xf numFmtId="0" fontId="100" fillId="0" borderId="20" applyAlignment="0"/>
    <xf numFmtId="176" fontId="100" fillId="0" borderId="0" applyFont="0" applyFill="0" applyBorder="0" applyAlignment="0" applyProtection="0"/>
    <xf numFmtId="0" fontId="20" fillId="10" borderId="23" applyNumberFormat="0" applyProtection="0">
      <alignment vertical="center"/>
    </xf>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178" fontId="11" fillId="0" borderId="0" applyFont="0" applyFill="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178" fontId="31" fillId="0" borderId="0" applyFont="0" applyAlignment="0" applyProtection="0"/>
    <xf numFmtId="0" fontId="47" fillId="28" borderId="0" applyNumberFormat="0" applyBorder="0" applyProtection="0"/>
    <xf numFmtId="0" fontId="17" fillId="7" borderId="23" applyNumberFormat="0" applyProtection="0">
      <alignment horizontal="left" vertical="center" indent="1"/>
    </xf>
    <xf numFmtId="176" fontId="100" fillId="0" borderId="0" applyFont="0" applyFill="0" applyBorder="0" applyAlignment="0" applyProtection="0"/>
    <xf numFmtId="178" fontId="11" fillId="0" borderId="0" applyFont="0" applyFill="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178" fontId="11" fillId="0" borderId="0" applyFont="0" applyFill="0" applyBorder="0" applyAlignment="0" applyProtection="0"/>
    <xf numFmtId="176" fontId="100" fillId="0" borderId="0" applyFont="0" applyFill="0" applyBorder="0" applyAlignment="0" applyProtection="0"/>
    <xf numFmtId="178" fontId="11" fillId="0" borderId="0" applyFont="0" applyFill="0" applyBorder="0" applyAlignment="0" applyProtection="0"/>
    <xf numFmtId="176" fontId="100" fillId="0" borderId="0" applyFont="0" applyFill="0" applyBorder="0" applyAlignment="0" applyProtection="0"/>
    <xf numFmtId="0" fontId="17" fillId="7" borderId="23" applyNumberFormat="0" applyProtection="0">
      <alignment horizontal="left" vertical="center" indent="1"/>
    </xf>
    <xf numFmtId="178" fontId="11"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0" fontId="100" fillId="0" borderId="0"/>
    <xf numFmtId="176" fontId="100" fillId="0" borderId="0" applyFont="0" applyFill="0" applyBorder="0" applyAlignment="0" applyProtection="0"/>
    <xf numFmtId="0" fontId="20" fillId="10" borderId="23" applyNumberFormat="0" applyProtection="0">
      <alignment vertical="center"/>
    </xf>
    <xf numFmtId="176" fontId="11"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7" fillId="30" borderId="23" applyNumberFormat="0" applyProtection="0">
      <alignment horizontal="right" vertical="center"/>
    </xf>
    <xf numFmtId="178"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178" fontId="32" fillId="0" borderId="0" applyFont="0" applyFill="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0" fontId="17" fillId="30" borderId="23" applyNumberFormat="0" applyProtection="0">
      <alignment horizontal="right" vertical="center"/>
    </xf>
    <xf numFmtId="0" fontId="100" fillId="0" borderId="0" applyAlignment="0"/>
    <xf numFmtId="0" fontId="20" fillId="10" borderId="23" applyNumberFormat="0" applyProtection="0">
      <alignment horizontal="left" vertical="top" indent="1"/>
    </xf>
    <xf numFmtId="176" fontId="100" fillId="0" borderId="0" applyFont="0" applyFill="0" applyBorder="0" applyAlignment="0" applyProtection="0"/>
    <xf numFmtId="0" fontId="11" fillId="7" borderId="23"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6" fontId="100" fillId="0" borderId="0" applyFont="0" applyFill="0" applyBorder="0" applyAlignment="0" applyProtection="0"/>
    <xf numFmtId="178" fontId="100" fillId="0" borderId="0" applyAlignment="0"/>
    <xf numFmtId="0" fontId="29" fillId="33" borderId="20"/>
    <xf numFmtId="178" fontId="100" fillId="0" borderId="0" applyFont="0" applyFill="0" applyBorder="0" applyAlignment="0" applyProtection="0"/>
    <xf numFmtId="178" fontId="100" fillId="0" borderId="0" applyFont="0" applyFill="0" applyBorder="0" applyAlignment="0" applyProtection="0"/>
    <xf numFmtId="176" fontId="32" fillId="0" borderId="0" applyFont="0" applyFill="0" applyBorder="0" applyAlignment="0" applyProtection="0"/>
    <xf numFmtId="0" fontId="17" fillId="19" borderId="23" applyNumberFormat="0" applyProtection="0">
      <alignment horizontal="right" vertical="center"/>
    </xf>
    <xf numFmtId="0" fontId="17" fillId="30" borderId="23" applyNumberFormat="0" applyProtection="0">
      <alignment horizontal="right" vertical="center"/>
    </xf>
    <xf numFmtId="0" fontId="60" fillId="0" borderId="0" applyNumberFormat="0" applyFill="0" applyBorder="0">
      <protection locked="0"/>
    </xf>
    <xf numFmtId="0" fontId="100" fillId="0" borderId="20" applyAlignment="0"/>
    <xf numFmtId="178" fontId="100" fillId="0" borderId="0" applyFont="0" applyFill="0" applyBorder="0" applyAlignment="0" applyProtection="0"/>
    <xf numFmtId="178" fontId="100" fillId="0" borderId="0" applyAlignment="0"/>
    <xf numFmtId="0" fontId="11" fillId="7" borderId="23"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189" fontId="34" fillId="0" borderId="0" applyFont="0" applyFill="0" applyBorder="0" applyAlignment="0" applyProtection="0"/>
    <xf numFmtId="178" fontId="100" fillId="0" borderId="0" applyFont="0" applyFill="0" applyBorder="0" applyAlignment="0" applyProtection="0"/>
    <xf numFmtId="0" fontId="17" fillId="16" borderId="23" applyNumberFormat="0" applyProtection="0">
      <alignment horizontal="right" vertical="center"/>
    </xf>
    <xf numFmtId="0" fontId="29" fillId="9" borderId="20"/>
    <xf numFmtId="178" fontId="100" fillId="0" borderId="0" applyFont="0" applyFill="0" applyBorder="0" applyAlignment="0" applyProtection="0"/>
    <xf numFmtId="0" fontId="20" fillId="10" borderId="23" applyNumberFormat="0" applyProtection="0">
      <alignment vertical="center"/>
    </xf>
    <xf numFmtId="178" fontId="100" fillId="0" borderId="0" applyFont="0" applyFill="0" applyBorder="0" applyAlignment="0" applyProtection="0"/>
    <xf numFmtId="178" fontId="100" fillId="0" borderId="0" applyFont="0" applyAlignment="0" applyProtection="0"/>
    <xf numFmtId="0" fontId="11" fillId="0" borderId="0"/>
    <xf numFmtId="178" fontId="100" fillId="0" borderId="0" applyFont="0" applyFill="0" applyBorder="0" applyAlignment="0" applyProtection="0"/>
    <xf numFmtId="0" fontId="20" fillId="10" borderId="23" applyNumberFormat="0" applyProtection="0">
      <alignment horizontal="left" vertical="top" indent="1"/>
    </xf>
    <xf numFmtId="178" fontId="100" fillId="0" borderId="0" applyFont="0" applyFill="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0" fontId="20" fillId="10" borderId="23" applyNumberFormat="0" applyProtection="0">
      <alignment horizontal="left" vertical="center" indent="1"/>
    </xf>
    <xf numFmtId="0" fontId="100" fillId="0" borderId="0"/>
    <xf numFmtId="0" fontId="35" fillId="16" borderId="0" applyNumberFormat="0" applyBorder="0" applyProtection="0"/>
    <xf numFmtId="178" fontId="100" fillId="0" borderId="0" applyFont="0" applyFill="0" applyBorder="0" applyAlignment="0" applyProtection="0"/>
    <xf numFmtId="176" fontId="11"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81" fontId="32" fillId="0" borderId="0" applyFont="0" applyFill="0" applyBorder="0" applyAlignment="0" applyProtection="0"/>
    <xf numFmtId="178" fontId="100" fillId="0" borderId="0" applyFont="0" applyFill="0" applyBorder="0" applyAlignment="0" applyProtection="0"/>
    <xf numFmtId="0" fontId="100" fillId="0" borderId="0"/>
    <xf numFmtId="176" fontId="100" fillId="0" borderId="0" applyFont="0" applyFill="0" applyBorder="0" applyAlignment="0" applyProtection="0"/>
    <xf numFmtId="0" fontId="61" fillId="0" borderId="0" applyNumberFormat="0" applyFill="0" applyBorder="0" applyAlignment="0" applyProtection="0"/>
    <xf numFmtId="0" fontId="17" fillId="16" borderId="23" applyNumberFormat="0" applyProtection="0">
      <alignment horizontal="right" vertical="center"/>
    </xf>
    <xf numFmtId="178" fontId="100" fillId="0" borderId="0" applyFont="0" applyFill="0" applyBorder="0" applyAlignment="0" applyProtection="0"/>
    <xf numFmtId="0" fontId="41" fillId="0" borderId="0" applyNumberFormat="0" applyFill="0" applyBorder="0" applyProtection="0"/>
    <xf numFmtId="0" fontId="11" fillId="0" borderId="0"/>
    <xf numFmtId="178" fontId="100" fillId="0" borderId="0" applyFont="0" applyFill="0" applyBorder="0" applyAlignment="0" applyProtection="0"/>
    <xf numFmtId="0" fontId="11" fillId="19" borderId="23" applyNumberFormat="0" applyProtection="0">
      <alignment horizontal="left" vertical="top" indent="1"/>
    </xf>
    <xf numFmtId="178" fontId="100" fillId="0" borderId="0" applyFont="0" applyFill="0" applyBorder="0" applyAlignment="0" applyProtection="0"/>
    <xf numFmtId="0" fontId="26" fillId="0" borderId="0"/>
    <xf numFmtId="0" fontId="20" fillId="10" borderId="23" applyNumberFormat="0" applyProtection="0">
      <alignment horizontal="left" vertical="top" indent="1"/>
    </xf>
    <xf numFmtId="178" fontId="100" fillId="0" borderId="0" applyFont="0" applyFill="0" applyBorder="0" applyAlignment="0" applyProtection="0"/>
    <xf numFmtId="0" fontId="100" fillId="0" borderId="0"/>
    <xf numFmtId="178" fontId="100" fillId="0" borderId="0" applyFont="0" applyAlignment="0" applyProtection="0"/>
    <xf numFmtId="0" fontId="17" fillId="16" borderId="23" applyNumberFormat="0" applyProtection="0">
      <alignment horizontal="right" vertical="center"/>
    </xf>
    <xf numFmtId="0" fontId="17" fillId="7" borderId="23" applyNumberFormat="0" applyProtection="0">
      <alignment horizontal="right" vertical="center"/>
    </xf>
    <xf numFmtId="178" fontId="100" fillId="0" borderId="0" applyFont="0" applyFill="0" applyBorder="0" applyAlignment="0" applyProtection="0"/>
    <xf numFmtId="187" fontId="11" fillId="0" borderId="0" applyFont="0" applyFill="0" applyBorder="0" applyAlignment="0" applyProtection="0"/>
    <xf numFmtId="0" fontId="100" fillId="0" borderId="20" applyAlignment="0"/>
    <xf numFmtId="178" fontId="100" fillId="0" borderId="0" applyFont="0" applyFill="0" applyBorder="0" applyAlignment="0" applyProtection="0"/>
    <xf numFmtId="0" fontId="11" fillId="7" borderId="23" applyNumberFormat="0" applyProtection="0">
      <alignment horizontal="left" vertical="center" indent="1"/>
    </xf>
    <xf numFmtId="178" fontId="100" fillId="0" borderId="0" applyFont="0" applyFill="0" applyBorder="0" applyAlignment="0" applyProtection="0"/>
    <xf numFmtId="0" fontId="100" fillId="0" borderId="20" applyAlignment="0"/>
    <xf numFmtId="178" fontId="100" fillId="0" borderId="0" applyFont="0" applyFill="0" applyBorder="0" applyAlignment="0" applyProtection="0"/>
    <xf numFmtId="0" fontId="11" fillId="8" borderId="23" applyNumberFormat="0" applyProtection="0">
      <alignment horizontal="left" vertical="center" indent="1"/>
    </xf>
    <xf numFmtId="178" fontId="100" fillId="0" borderId="0" applyFont="0" applyFill="0" applyBorder="0" applyAlignment="0" applyProtection="0"/>
    <xf numFmtId="0" fontId="17" fillId="7" borderId="23" applyNumberFormat="0" applyProtection="0">
      <alignment horizontal="right" vertical="center"/>
    </xf>
    <xf numFmtId="178" fontId="100" fillId="0" borderId="0" applyFont="0" applyFill="0" applyBorder="0" applyAlignment="0" applyProtection="0"/>
    <xf numFmtId="0" fontId="45" fillId="0" borderId="0" applyFont="0" applyFill="0" applyBorder="0" applyAlignment="0" applyProtection="0"/>
    <xf numFmtId="178" fontId="100" fillId="0" borderId="0" applyFont="0" applyFill="0" applyBorder="0" applyAlignment="0" applyProtection="0"/>
    <xf numFmtId="0" fontId="50" fillId="0" borderId="17">
      <alignment horizontal="left" vertical="center"/>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7" fillId="20" borderId="23" applyNumberFormat="0" applyProtection="0">
      <alignment horizontal="right" vertical="center"/>
    </xf>
    <xf numFmtId="0" fontId="11" fillId="7" borderId="23"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7" fillId="15" borderId="23" applyNumberFormat="0" applyProtection="0">
      <alignment horizontal="right" vertical="center"/>
    </xf>
    <xf numFmtId="0" fontId="17" fillId="12" borderId="23" applyNumberFormat="0" applyProtection="0">
      <alignment vertical="center"/>
    </xf>
    <xf numFmtId="178" fontId="100" fillId="0" borderId="0" applyFont="0" applyFill="0" applyBorder="0" applyAlignment="0" applyProtection="0"/>
    <xf numFmtId="178" fontId="100" fillId="0" borderId="0" applyFont="0" applyFill="0" applyBorder="0" applyAlignment="0" applyProtection="0"/>
    <xf numFmtId="0" fontId="17" fillId="20" borderId="23"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1" fillId="18" borderId="23"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62" fillId="40" borderId="20">
      <alignment horizontal="center" vertical="center"/>
    </xf>
    <xf numFmtId="178" fontId="100" fillId="0" borderId="0" applyFont="0" applyFill="0" applyBorder="0" applyAlignment="0" applyProtection="0"/>
    <xf numFmtId="178" fontId="100" fillId="0" borderId="0" applyFont="0" applyFill="0" applyBorder="0" applyAlignment="0" applyProtection="0"/>
    <xf numFmtId="0" fontId="11" fillId="7" borderId="23" applyNumberFormat="0" applyProtection="0">
      <alignment horizontal="left" vertical="top" indent="1"/>
    </xf>
    <xf numFmtId="0" fontId="63" fillId="0" borderId="0"/>
    <xf numFmtId="178" fontId="100" fillId="0" borderId="0" applyFont="0" applyFill="0" applyBorder="0" applyAlignment="0" applyProtection="0"/>
    <xf numFmtId="178" fontId="100" fillId="0" borderId="0" applyFont="0" applyFill="0" applyBorder="0" applyAlignment="0" applyProtection="0"/>
    <xf numFmtId="0" fontId="62" fillId="40" borderId="20">
      <alignment horizontal="center" vertical="center"/>
    </xf>
    <xf numFmtId="178" fontId="100" fillId="0" borderId="0" applyFont="0" applyFill="0" applyBorder="0" applyAlignment="0" applyProtection="0"/>
    <xf numFmtId="178" fontId="100" fillId="0" borderId="0" applyFont="0" applyFill="0" applyBorder="0" applyAlignment="0" applyProtection="0"/>
    <xf numFmtId="0" fontId="11" fillId="7" borderId="23" applyNumberFormat="0" applyProtection="0">
      <alignment horizontal="left" vertical="top" indent="1"/>
    </xf>
    <xf numFmtId="192" fontId="11" fillId="0" borderId="0">
      <protection locked="0"/>
    </xf>
    <xf numFmtId="0" fontId="17" fillId="17" borderId="23" applyNumberFormat="0" applyProtection="0">
      <alignment horizontal="right" vertical="center"/>
    </xf>
    <xf numFmtId="0" fontId="36" fillId="12" borderId="23" applyNumberFormat="0" applyProtection="0">
      <alignment vertical="center"/>
    </xf>
    <xf numFmtId="178" fontId="100" fillId="0" borderId="0" applyFont="0" applyFill="0" applyBorder="0" applyAlignment="0" applyProtection="0"/>
    <xf numFmtId="178" fontId="100" fillId="0" borderId="0" applyFont="0" applyFill="0" applyBorder="0" applyAlignment="0" applyProtection="0"/>
    <xf numFmtId="0" fontId="17" fillId="30" borderId="23" applyNumberFormat="0" applyProtection="0">
      <alignment horizontal="right" vertical="center"/>
    </xf>
    <xf numFmtId="0" fontId="11" fillId="18" borderId="23" applyNumberFormat="0" applyProtection="0">
      <alignment horizontal="left" vertical="center" indent="1"/>
    </xf>
    <xf numFmtId="178" fontId="100" fillId="0" borderId="0" applyFont="0" applyFill="0" applyBorder="0" applyAlignment="0" applyProtection="0"/>
    <xf numFmtId="178" fontId="100" fillId="0" borderId="0" applyFont="0" applyFill="0" applyBorder="0" applyAlignment="0" applyProtection="0"/>
    <xf numFmtId="0" fontId="62" fillId="40" borderId="20">
      <alignment horizontal="center" vertical="center"/>
    </xf>
    <xf numFmtId="178" fontId="100" fillId="0" borderId="0" applyFont="0" applyFill="0" applyBorder="0" applyAlignment="0" applyProtection="0"/>
    <xf numFmtId="178" fontId="100" fillId="0" borderId="0" applyFont="0" applyFill="0" applyBorder="0" applyAlignment="0" applyProtection="0"/>
    <xf numFmtId="0" fontId="11" fillId="7" borderId="23" applyNumberFormat="0" applyProtection="0">
      <alignment horizontal="left" vertical="top" indent="1"/>
    </xf>
    <xf numFmtId="0" fontId="38" fillId="21" borderId="0" applyNumberFormat="0" applyBorder="0" applyProtection="0"/>
    <xf numFmtId="178" fontId="100" fillId="0" borderId="0" applyFont="0" applyFill="0" applyBorder="0" applyAlignment="0" applyProtection="0"/>
    <xf numFmtId="178" fontId="100" fillId="0" borderId="0" applyFont="0" applyFill="0" applyBorder="0" applyAlignment="0" applyProtection="0"/>
    <xf numFmtId="0" fontId="11" fillId="18" borderId="23" applyNumberFormat="0" applyProtection="0">
      <alignment horizontal="left" vertical="center" indent="1"/>
    </xf>
    <xf numFmtId="178" fontId="100" fillId="0" borderId="0" applyFont="0" applyFill="0" applyBorder="0" applyAlignment="0" applyProtection="0"/>
    <xf numFmtId="0" fontId="17" fillId="15" borderId="23" applyNumberFormat="0" applyProtection="0">
      <alignment horizontal="right" vertical="center"/>
    </xf>
    <xf numFmtId="178" fontId="100" fillId="0" borderId="0" applyFont="0" applyFill="0" applyBorder="0" applyAlignment="0" applyProtection="0"/>
    <xf numFmtId="200" fontId="11" fillId="0" borderId="0" applyFont="0" applyFill="0" applyBorder="0" applyAlignment="0" applyProtection="0"/>
    <xf numFmtId="0" fontId="17" fillId="15" borderId="23" applyNumberFormat="0" applyProtection="0">
      <alignment horizontal="right" vertical="center"/>
    </xf>
    <xf numFmtId="0" fontId="17" fillId="12" borderId="23" applyNumberFormat="0" applyProtection="0">
      <alignment vertical="center"/>
    </xf>
    <xf numFmtId="178" fontId="100" fillId="0" borderId="0" applyFont="0" applyFill="0" applyBorder="0" applyAlignment="0" applyProtection="0"/>
    <xf numFmtId="178" fontId="100" fillId="0" borderId="0" applyFont="0" applyFill="0" applyBorder="0" applyAlignment="0" applyProtection="0"/>
    <xf numFmtId="0" fontId="17" fillId="15" borderId="23" applyNumberFormat="0" applyProtection="0">
      <alignment horizontal="right" vertical="center"/>
    </xf>
    <xf numFmtId="0" fontId="17" fillId="12" borderId="23" applyNumberFormat="0" applyProtection="0">
      <alignment vertical="center"/>
    </xf>
    <xf numFmtId="178" fontId="100" fillId="0" borderId="0" applyFont="0" applyFill="0" applyBorder="0" applyAlignment="0" applyProtection="0"/>
    <xf numFmtId="0" fontId="17" fillId="20" borderId="23" applyNumberFormat="0" applyProtection="0">
      <alignment horizontal="right" vertical="center"/>
    </xf>
    <xf numFmtId="0" fontId="11" fillId="7" borderId="23"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20" fillId="10" borderId="23"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0" fontId="17" fillId="15" borderId="23" applyNumberFormat="0" applyProtection="0">
      <alignment horizontal="right" vertical="center"/>
    </xf>
    <xf numFmtId="0" fontId="11" fillId="7" borderId="23" applyNumberFormat="0" applyProtection="0">
      <alignment horizontal="left" vertical="center" indent="1"/>
    </xf>
    <xf numFmtId="178" fontId="100" fillId="0" borderId="0" applyFont="0" applyAlignment="0" applyProtection="0"/>
    <xf numFmtId="0" fontId="17" fillId="12" borderId="23" applyNumberFormat="0" applyProtection="0">
      <alignment horizontal="left" vertical="center" indent="1"/>
    </xf>
    <xf numFmtId="178" fontId="100" fillId="0" borderId="0" applyFont="0" applyFill="0" applyBorder="0" applyAlignment="0" applyProtection="0"/>
    <xf numFmtId="4" fontId="64" fillId="0" borderId="0" applyFont="0" applyFill="0" applyBorder="0" applyAlignment="0" applyProtection="0"/>
    <xf numFmtId="0" fontId="17" fillId="20" borderId="23" applyNumberFormat="0" applyProtection="0">
      <alignment horizontal="right" vertical="center"/>
    </xf>
    <xf numFmtId="0" fontId="11" fillId="7" borderId="23"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1" fillId="7" borderId="23" applyNumberFormat="0" applyProtection="0">
      <alignment horizontal="left" vertical="center"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7" fillId="7" borderId="23" applyNumberFormat="0" applyProtection="0">
      <alignment horizontal="left" vertical="center" indent="1"/>
    </xf>
    <xf numFmtId="178" fontId="100" fillId="0" borderId="0" applyFont="0" applyFill="0" applyBorder="0" applyAlignment="0" applyProtection="0"/>
    <xf numFmtId="0" fontId="18" fillId="19" borderId="23" applyNumberFormat="0" applyProtection="0">
      <alignment horizontal="right" vertical="center"/>
    </xf>
    <xf numFmtId="178" fontId="100" fillId="0" borderId="0" applyFont="0" applyFill="0" applyBorder="0" applyAlignment="0" applyProtection="0"/>
    <xf numFmtId="0" fontId="11" fillId="8" borderId="23" applyNumberFormat="0" applyProtection="0">
      <alignment horizontal="left" vertical="center" indent="1"/>
    </xf>
    <xf numFmtId="0" fontId="17" fillId="20" borderId="23" applyNumberFormat="0" applyProtection="0">
      <alignment horizontal="right" vertical="center"/>
    </xf>
    <xf numFmtId="0" fontId="11" fillId="7" borderId="23" applyNumberFormat="0" applyProtection="0">
      <alignment horizontal="left" vertical="top" indent="1"/>
    </xf>
    <xf numFmtId="178" fontId="100" fillId="0" borderId="0" applyFont="0" applyFill="0" applyBorder="0" applyAlignment="0" applyProtection="0"/>
    <xf numFmtId="0" fontId="65" fillId="41" borderId="0" applyNumberFormat="0" applyBorder="0" applyProtection="0"/>
    <xf numFmtId="178" fontId="100" fillId="0" borderId="0" applyFont="0" applyFill="0" applyBorder="0" applyAlignment="0" applyProtection="0"/>
    <xf numFmtId="178" fontId="100" fillId="0" borderId="0" applyFont="0" applyFill="0" applyBorder="0" applyAlignment="0" applyProtection="0"/>
    <xf numFmtId="178" fontId="32" fillId="0" borderId="0" applyFont="0" applyFill="0" applyBorder="0" applyAlignment="0" applyProtection="0"/>
    <xf numFmtId="0" fontId="17" fillId="20" borderId="23" applyNumberFormat="0" applyProtection="0">
      <alignment horizontal="right" vertical="center"/>
    </xf>
    <xf numFmtId="209" fontId="66"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7" fillId="20" borderId="23"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30" fillId="0" borderId="20" applyAlignment="0"/>
    <xf numFmtId="178" fontId="100" fillId="0" borderId="0" applyFont="0" applyFill="0" applyBorder="0" applyAlignment="0" applyProtection="0"/>
    <xf numFmtId="178" fontId="100" fillId="0" borderId="0" applyFont="0" applyFill="0" applyBorder="0" applyAlignment="0" applyProtection="0"/>
    <xf numFmtId="0" fontId="11" fillId="19" borderId="23" applyNumberFormat="0" applyProtection="0">
      <alignment horizontal="left" vertical="center" indent="1"/>
    </xf>
    <xf numFmtId="0" fontId="11" fillId="8" borderId="23"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0" fontId="62" fillId="40" borderId="20">
      <alignment horizontal="center" vertical="center"/>
    </xf>
    <xf numFmtId="0" fontId="36" fillId="19" borderId="23"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0" fontId="11" fillId="8" borderId="23"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9" fontId="100" fillId="0" borderId="0" applyFont="0" applyFill="0" applyBorder="0" applyAlignment="0" applyProtection="0"/>
    <xf numFmtId="0" fontId="44" fillId="0" borderId="0"/>
    <xf numFmtId="0" fontId="29" fillId="9" borderId="20"/>
    <xf numFmtId="0" fontId="11" fillId="8" borderId="23"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Alignment="0" applyProtection="0"/>
    <xf numFmtId="178" fontId="11" fillId="0" borderId="0" applyFont="0" applyFill="0" applyBorder="0" applyAlignment="0" applyProtection="0"/>
    <xf numFmtId="0" fontId="20" fillId="10" borderId="23" applyNumberFormat="0" applyProtection="0">
      <alignment vertical="center"/>
    </xf>
    <xf numFmtId="178" fontId="11" fillId="0" borderId="0" applyFont="0" applyFill="0" applyBorder="0" applyAlignment="0" applyProtection="0"/>
    <xf numFmtId="176" fontId="100" fillId="0" borderId="0" applyFont="0" applyFill="0" applyBorder="0" applyAlignment="0" applyProtection="0"/>
    <xf numFmtId="0" fontId="17" fillId="15" borderId="23" applyNumberFormat="0" applyProtection="0">
      <alignment horizontal="right" vertical="center"/>
    </xf>
    <xf numFmtId="176" fontId="100" fillId="0" borderId="0" applyFont="0" applyFill="0" applyBorder="0" applyAlignment="0" applyProtection="0"/>
    <xf numFmtId="0" fontId="17" fillId="15" borderId="23" applyNumberFormat="0" applyProtection="0">
      <alignment horizontal="right" vertical="center"/>
    </xf>
    <xf numFmtId="176" fontId="100" fillId="0" borderId="0" applyFont="0" applyFill="0" applyBorder="0" applyAlignment="0" applyProtection="0"/>
    <xf numFmtId="178" fontId="100" fillId="0" borderId="0" applyFont="0" applyAlignment="0" applyProtection="0"/>
    <xf numFmtId="178" fontId="100" fillId="0" borderId="0" applyAlignment="0"/>
    <xf numFmtId="0" fontId="67" fillId="0" borderId="0"/>
    <xf numFmtId="178" fontId="100" fillId="0" borderId="0" applyFont="0" applyAlignment="0" applyProtection="0"/>
    <xf numFmtId="176" fontId="100" fillId="0" borderId="0" applyFont="0" applyFill="0" applyBorder="0" applyAlignment="0" applyProtection="0"/>
    <xf numFmtId="178" fontId="100" fillId="0" borderId="0" applyFont="0" applyAlignment="0" applyProtection="0"/>
    <xf numFmtId="178" fontId="31" fillId="0" borderId="0" applyFont="0" applyAlignment="0" applyProtection="0"/>
    <xf numFmtId="178" fontId="11" fillId="0" borderId="0" applyFont="0" applyFill="0" applyBorder="0" applyAlignment="0" applyProtection="0"/>
    <xf numFmtId="178" fontId="100" fillId="0" borderId="0" applyFont="0" applyAlignment="0" applyProtection="0"/>
    <xf numFmtId="178" fontId="100" fillId="0" borderId="0" applyFont="0" applyAlignment="0" applyProtection="0"/>
    <xf numFmtId="178" fontId="32" fillId="0" borderId="0" applyFont="0" applyFill="0" applyBorder="0" applyAlignment="0" applyProtection="0"/>
    <xf numFmtId="0" fontId="29" fillId="12" borderId="20" applyNumberFormat="0" applyBorder="0" applyAlignment="0" applyProtection="0"/>
    <xf numFmtId="178" fontId="100" fillId="0" borderId="0" applyFont="0" applyAlignment="0" applyProtection="0"/>
    <xf numFmtId="178" fontId="100" fillId="0" borderId="0" applyFont="0" applyAlignment="0" applyProtection="0"/>
    <xf numFmtId="176" fontId="32" fillId="0" borderId="0" applyFont="0" applyFill="0" applyBorder="0" applyAlignment="0" applyProtection="0"/>
    <xf numFmtId="178" fontId="31" fillId="0" borderId="0" applyFont="0" applyAlignment="0" applyProtection="0"/>
    <xf numFmtId="0" fontId="17" fillId="16" borderId="23" applyNumberFormat="0" applyProtection="0">
      <alignment horizontal="right" vertical="center"/>
    </xf>
    <xf numFmtId="176" fontId="100" fillId="0" borderId="0" applyFont="0" applyFill="0" applyBorder="0" applyAlignment="0" applyProtection="0"/>
    <xf numFmtId="178" fontId="31" fillId="0" borderId="0" applyFont="0" applyAlignment="0" applyProtection="0"/>
    <xf numFmtId="178" fontId="100" fillId="0" borderId="0" applyFont="0" applyAlignment="0" applyProtection="0"/>
    <xf numFmtId="178" fontId="100" fillId="0" borderId="0" applyFont="0" applyAlignment="0" applyProtection="0"/>
    <xf numFmtId="0" fontId="50" fillId="0" borderId="17">
      <alignment horizontal="left" vertical="center"/>
    </xf>
    <xf numFmtId="178" fontId="31" fillId="0" borderId="0" applyFont="0" applyAlignment="0" applyProtection="0"/>
    <xf numFmtId="0" fontId="100" fillId="0" borderId="0"/>
    <xf numFmtId="178" fontId="100" fillId="0" borderId="0" applyFont="0" applyAlignment="0" applyProtection="0"/>
    <xf numFmtId="178" fontId="100" fillId="0" borderId="0" applyFont="0" applyAlignment="0" applyProtection="0"/>
    <xf numFmtId="0" fontId="29" fillId="9" borderId="20"/>
    <xf numFmtId="178" fontId="100" fillId="0" borderId="0" applyFont="0" applyAlignment="0" applyProtection="0"/>
    <xf numFmtId="176" fontId="100" fillId="0" borderId="0" applyFont="0" applyFill="0" applyBorder="0" applyAlignment="0" applyProtection="0"/>
    <xf numFmtId="176" fontId="100" fillId="0" borderId="0" applyFont="0" applyFill="0" applyBorder="0" applyAlignment="0" applyProtection="0"/>
    <xf numFmtId="178" fontId="11" fillId="0" borderId="0" applyFont="0" applyFill="0" applyBorder="0" applyAlignment="0" applyProtection="0"/>
    <xf numFmtId="178" fontId="11" fillId="0" borderId="0" applyFont="0" applyFill="0" applyBorder="0" applyAlignment="0" applyProtection="0"/>
    <xf numFmtId="178" fontId="100" fillId="0" borderId="0" applyFont="0" applyAlignment="0" applyProtection="0"/>
    <xf numFmtId="178" fontId="100" fillId="0" borderId="0" applyFont="0" applyAlignment="0" applyProtection="0"/>
    <xf numFmtId="176" fontId="100" fillId="0" borderId="0" applyFont="0" applyFill="0" applyBorder="0" applyAlignment="0" applyProtection="0"/>
    <xf numFmtId="178" fontId="31" fillId="0" borderId="0" applyFont="0" applyAlignment="0" applyProtection="0"/>
    <xf numFmtId="178" fontId="11" fillId="0" borderId="0" applyFont="0" applyFill="0" applyBorder="0" applyAlignment="0" applyProtection="0"/>
    <xf numFmtId="176" fontId="100" fillId="0" borderId="0" applyFont="0" applyFill="0" applyBorder="0" applyAlignment="0" applyProtection="0"/>
    <xf numFmtId="0" fontId="11" fillId="19" borderId="23" applyNumberFormat="0" applyProtection="0">
      <alignment horizontal="left" vertical="center" indent="1"/>
    </xf>
    <xf numFmtId="178" fontId="31" fillId="0" borderId="0" applyFont="0" applyAlignment="0" applyProtection="0"/>
    <xf numFmtId="0" fontId="68" fillId="0" borderId="0">
      <alignment vertical="center"/>
    </xf>
    <xf numFmtId="178" fontId="100" fillId="0" borderId="0" applyFont="0" applyFill="0" applyBorder="0" applyAlignment="0" applyProtection="0"/>
    <xf numFmtId="192" fontId="11" fillId="0" borderId="0">
      <protection locked="0"/>
    </xf>
    <xf numFmtId="178" fontId="100" fillId="0" borderId="0" applyFont="0" applyFill="0" applyBorder="0" applyAlignment="0" applyProtection="0"/>
    <xf numFmtId="178" fontId="100" fillId="0" borderId="0" applyFont="0" applyFill="0" applyBorder="0" applyAlignment="0" applyProtection="0"/>
    <xf numFmtId="0" fontId="20" fillId="10" borderId="23" applyNumberFormat="0" applyProtection="0">
      <alignment vertical="center"/>
    </xf>
    <xf numFmtId="178" fontId="100" fillId="0" borderId="0" applyFont="0" applyFill="0" applyBorder="0" applyAlignment="0" applyProtection="0"/>
    <xf numFmtId="178" fontId="100" fillId="0" borderId="0" applyAlignment="0"/>
    <xf numFmtId="0" fontId="50" fillId="0" borderId="17">
      <alignment horizontal="left" vertical="center"/>
    </xf>
    <xf numFmtId="178" fontId="100" fillId="0" borderId="0" applyFont="0" applyFill="0" applyBorder="0" applyAlignment="0" applyProtection="0"/>
    <xf numFmtId="178" fontId="100" fillId="0" borderId="0" applyAlignment="0"/>
    <xf numFmtId="0" fontId="11" fillId="18" borderId="23" applyNumberFormat="0" applyProtection="0">
      <alignment horizontal="left" vertical="top" indent="1"/>
    </xf>
    <xf numFmtId="178" fontId="100" fillId="0" borderId="0" applyFont="0" applyFill="0" applyBorder="0" applyAlignment="0" applyProtection="0"/>
    <xf numFmtId="0" fontId="17" fillId="12" borderId="23"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0" fontId="17" fillId="12" borderId="23"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20" fillId="10" borderId="23"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0" fontId="29" fillId="9" borderId="20"/>
    <xf numFmtId="178" fontId="100" fillId="0" borderId="0" applyAlignment="0"/>
    <xf numFmtId="178" fontId="100" fillId="0" borderId="0" applyFont="0" applyFill="0" applyBorder="0" applyAlignment="0" applyProtection="0"/>
    <xf numFmtId="178" fontId="100" fillId="0" borderId="0" applyFont="0" applyFill="0" applyBorder="0" applyAlignment="0" applyProtection="0"/>
    <xf numFmtId="0" fontId="20" fillId="10" borderId="23" applyNumberFormat="0" applyProtection="0">
      <alignment vertical="center"/>
    </xf>
    <xf numFmtId="178" fontId="100" fillId="0" borderId="0" applyFont="0" applyFill="0" applyBorder="0" applyAlignment="0" applyProtection="0"/>
    <xf numFmtId="0" fontId="17" fillId="15" borderId="23"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178" fontId="31" fillId="0" borderId="0" applyAlignment="0"/>
    <xf numFmtId="0" fontId="11" fillId="18" borderId="23" applyNumberFormat="0" applyProtection="0">
      <alignment horizontal="left" vertical="top" indent="1"/>
    </xf>
    <xf numFmtId="176" fontId="100" fillId="0" borderId="0" applyFont="0" applyFill="0" applyBorder="0" applyAlignment="0" applyProtection="0"/>
    <xf numFmtId="178" fontId="100" fillId="0" borderId="0" applyAlignment="0"/>
    <xf numFmtId="178" fontId="100" fillId="0" borderId="0" applyFont="0" applyFill="0" applyBorder="0" applyAlignment="0" applyProtection="0"/>
    <xf numFmtId="178" fontId="100" fillId="0" borderId="0" applyFont="0" applyFill="0" applyBorder="0" applyAlignment="0" applyProtection="0"/>
    <xf numFmtId="0" fontId="20" fillId="10" borderId="23" applyNumberFormat="0" applyProtection="0">
      <alignment horizontal="left" vertical="top" indent="1"/>
    </xf>
    <xf numFmtId="178" fontId="100" fillId="0" borderId="0" applyFont="0" applyFill="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0" fontId="31" fillId="0" borderId="0" applyAlignment="0"/>
    <xf numFmtId="178" fontId="31" fillId="0" borderId="0" applyAlignment="0"/>
    <xf numFmtId="0" fontId="30" fillId="0" borderId="20" applyAlignment="0"/>
    <xf numFmtId="0" fontId="100" fillId="0" borderId="0"/>
    <xf numFmtId="176" fontId="100" fillId="0" borderId="0" applyFont="0" applyFill="0" applyBorder="0" applyAlignment="0" applyProtection="0"/>
    <xf numFmtId="0" fontId="100" fillId="0" borderId="0"/>
    <xf numFmtId="176" fontId="100" fillId="0" borderId="0" applyFont="0" applyFill="0" applyBorder="0" applyAlignment="0" applyProtection="0"/>
    <xf numFmtId="178" fontId="67" fillId="0" borderId="0" applyFont="0" applyFill="0" applyBorder="0" applyProtection="0"/>
    <xf numFmtId="178" fontId="100" fillId="0" borderId="0" applyAlignment="0"/>
    <xf numFmtId="0" fontId="17" fillId="15" borderId="23" applyNumberFormat="0" applyProtection="0">
      <alignment horizontal="right" vertical="center"/>
    </xf>
    <xf numFmtId="0" fontId="100" fillId="0" borderId="0"/>
    <xf numFmtId="176" fontId="100" fillId="0" borderId="0" applyFont="0" applyFill="0" applyBorder="0" applyAlignment="0" applyProtection="0"/>
    <xf numFmtId="0" fontId="44" fillId="0" borderId="0"/>
    <xf numFmtId="178" fontId="100" fillId="0" borderId="0" applyAlignment="0"/>
    <xf numFmtId="0" fontId="100" fillId="0" borderId="0"/>
    <xf numFmtId="0" fontId="68" fillId="0" borderId="0">
      <alignment vertical="center"/>
    </xf>
    <xf numFmtId="178" fontId="100" fillId="0" borderId="0" applyAlignment="0"/>
    <xf numFmtId="0" fontId="20" fillId="10" borderId="23" applyNumberFormat="0" applyProtection="0">
      <alignment horizontal="left" vertical="top" indent="1"/>
    </xf>
    <xf numFmtId="0" fontId="100" fillId="0" borderId="0"/>
    <xf numFmtId="178" fontId="11" fillId="0" borderId="0" applyFont="0" applyFill="0" applyBorder="0" applyAlignment="0" applyProtection="0"/>
    <xf numFmtId="0" fontId="20" fillId="10" borderId="23" applyNumberFormat="0" applyProtection="0">
      <alignment horizontal="left" vertical="top" indent="1"/>
    </xf>
    <xf numFmtId="178" fontId="100" fillId="0" borderId="0" applyFont="0" applyFill="0" applyBorder="0" applyAlignment="0" applyProtection="0"/>
    <xf numFmtId="176" fontId="100" fillId="0" borderId="0" applyFont="0" applyFill="0" applyBorder="0" applyAlignment="0" applyProtection="0"/>
    <xf numFmtId="0" fontId="5" fillId="0" borderId="0"/>
    <xf numFmtId="0" fontId="20" fillId="10" borderId="23" applyNumberFormat="0" applyProtection="0">
      <alignment horizontal="left" vertical="top" indent="1"/>
    </xf>
    <xf numFmtId="0" fontId="62" fillId="40" borderId="20">
      <alignment horizontal="center" vertical="center"/>
    </xf>
    <xf numFmtId="178" fontId="31" fillId="0" borderId="0" applyAlignment="0"/>
    <xf numFmtId="178" fontId="11" fillId="0" borderId="0" applyFont="0" applyFill="0" applyBorder="0" applyAlignment="0" applyProtection="0"/>
    <xf numFmtId="0" fontId="17" fillId="20" borderId="23" applyNumberFormat="0" applyProtection="0">
      <alignment horizontal="right" vertical="center"/>
    </xf>
    <xf numFmtId="0" fontId="69" fillId="0" borderId="0"/>
    <xf numFmtId="0" fontId="17" fillId="7" borderId="23" applyNumberFormat="0" applyProtection="0">
      <alignment horizontal="left" vertical="center" indent="1"/>
    </xf>
    <xf numFmtId="176" fontId="100" fillId="0" borderId="0" applyFont="0" applyFill="0" applyBorder="0" applyAlignment="0" applyProtection="0"/>
    <xf numFmtId="176"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1" fillId="7" borderId="23" applyNumberFormat="0" applyProtection="0">
      <alignment horizontal="left" vertical="top" indent="1"/>
    </xf>
    <xf numFmtId="191" fontId="34" fillId="0" borderId="0" applyFill="0" applyBorder="0" applyAlignment="0"/>
    <xf numFmtId="0" fontId="11" fillId="7" borderId="23"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91" fontId="34"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1" fillId="18" borderId="23" applyNumberFormat="0" applyProtection="0">
      <alignment horizontal="left" vertical="top" indent="1"/>
    </xf>
    <xf numFmtId="0" fontId="70" fillId="0" borderId="0">
      <alignment horizontal="left"/>
    </xf>
    <xf numFmtId="178" fontId="46"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1" fillId="7" borderId="23" applyNumberFormat="0" applyProtection="0">
      <alignment horizontal="left" vertical="top" indent="1"/>
    </xf>
    <xf numFmtId="0" fontId="11" fillId="7" borderId="23"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0" fontId="17" fillId="19" borderId="23"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7" fillId="17" borderId="23"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0" fontId="17" fillId="19" borderId="23"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0" fontId="11" fillId="8" borderId="23"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0" fontId="17" fillId="35" borderId="23" applyNumberFormat="0" applyProtection="0">
      <alignment horizontal="right" vertical="center"/>
    </xf>
    <xf numFmtId="0" fontId="100" fillId="0" borderId="0"/>
    <xf numFmtId="178" fontId="100" fillId="0" borderId="0" applyFont="0" applyFill="0" applyBorder="0" applyAlignment="0" applyProtection="0"/>
    <xf numFmtId="178" fontId="100" fillId="0" borderId="0" applyFont="0" applyFill="0" applyBorder="0" applyAlignment="0" applyProtection="0"/>
    <xf numFmtId="0" fontId="17" fillId="19" borderId="23"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29" fillId="33" borderId="20"/>
    <xf numFmtId="178" fontId="100" fillId="0" borderId="0" applyFont="0" applyFill="0" applyBorder="0" applyAlignment="0" applyProtection="0"/>
    <xf numFmtId="178" fontId="100" fillId="0" borderId="0" applyFont="0" applyFill="0" applyBorder="0" applyAlignment="0" applyProtection="0"/>
    <xf numFmtId="0" fontId="17" fillId="19" borderId="23"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29" fillId="33" borderId="20"/>
    <xf numFmtId="178" fontId="100" fillId="0" borderId="0" applyFont="0" applyFill="0" applyBorder="0" applyAlignment="0" applyProtection="0"/>
    <xf numFmtId="178" fontId="100" fillId="0" borderId="0" applyFont="0" applyFill="0" applyBorder="0" applyAlignment="0" applyProtection="0"/>
    <xf numFmtId="0" fontId="17" fillId="19" borderId="23" applyNumberFormat="0" applyProtection="0">
      <alignment horizontal="right" vertical="center"/>
    </xf>
    <xf numFmtId="0" fontId="71" fillId="42" borderId="0" applyNumberFormat="0" applyBorder="0" applyAlignment="0" applyProtection="0"/>
    <xf numFmtId="189" fontId="34" fillId="0" borderId="0" applyFill="0" applyBorder="0" applyAlignment="0"/>
    <xf numFmtId="178" fontId="100" fillId="0" borderId="0" applyFont="0" applyFill="0" applyBorder="0" applyAlignment="0" applyProtection="0"/>
    <xf numFmtId="178" fontId="100" fillId="0" borderId="0" applyFont="0" applyFill="0" applyBorder="0" applyAlignment="0" applyProtection="0"/>
    <xf numFmtId="0" fontId="30" fillId="0" borderId="20" applyAlignment="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62" fillId="40" borderId="20">
      <alignment horizontal="center" vertical="center"/>
    </xf>
    <xf numFmtId="178" fontId="100" fillId="0" borderId="0" applyFont="0" applyFill="0" applyBorder="0" applyAlignment="0" applyProtection="0"/>
    <xf numFmtId="0" fontId="17" fillId="12" borderId="23" applyNumberFormat="0" applyProtection="0">
      <alignment horizontal="left" vertical="center"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1" fillId="19" borderId="23"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0" fontId="17" fillId="12" borderId="23" applyNumberFormat="0" applyProtection="0">
      <alignment horizontal="left" vertical="center" indent="1"/>
    </xf>
    <xf numFmtId="178" fontId="100" fillId="0" borderId="0" applyFont="0" applyFill="0" applyBorder="0" applyAlignment="0" applyProtection="0"/>
    <xf numFmtId="0" fontId="11" fillId="19" borderId="23"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0" fontId="17" fillId="12" borderId="23" applyNumberFormat="0" applyProtection="0">
      <alignment horizontal="left" vertical="center" indent="1"/>
    </xf>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8" fontId="100" fillId="0" borderId="0" applyFont="0" applyFill="0" applyBorder="0" applyProtection="0"/>
    <xf numFmtId="176" fontId="11" fillId="0" borderId="0" applyFont="0" applyFill="0" applyBorder="0" applyAlignment="0" applyProtection="0"/>
    <xf numFmtId="0" fontId="100" fillId="0" borderId="0"/>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8" fontId="100" fillId="0" borderId="0" applyFont="0" applyFill="0" applyBorder="0" applyProtection="0"/>
    <xf numFmtId="0" fontId="20" fillId="10" borderId="23" applyNumberFormat="0" applyProtection="0">
      <alignment horizontal="left" vertical="center" indent="1"/>
    </xf>
    <xf numFmtId="0" fontId="17" fillId="30" borderId="23" applyNumberFormat="0" applyProtection="0">
      <alignment horizontal="right" vertical="center"/>
    </xf>
    <xf numFmtId="176" fontId="11" fillId="0" borderId="0" applyFont="0" applyFill="0" applyBorder="0" applyAlignment="0" applyProtection="0"/>
    <xf numFmtId="0" fontId="100" fillId="0" borderId="0" applyAlignment="0"/>
    <xf numFmtId="176" fontId="11"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0" fontId="35" fillId="16" borderId="0" applyNumberFormat="0" applyBorder="0" applyProtection="0"/>
    <xf numFmtId="176" fontId="11" fillId="0" borderId="0" applyFont="0" applyFill="0" applyBorder="0" applyAlignment="0" applyProtection="0"/>
    <xf numFmtId="176" fontId="11" fillId="0" borderId="0" applyFont="0" applyFill="0" applyBorder="0" applyAlignment="0" applyProtection="0"/>
    <xf numFmtId="0" fontId="100" fillId="0" borderId="0"/>
    <xf numFmtId="178" fontId="100" fillId="0" borderId="0" applyFont="0" applyFill="0" applyBorder="0" applyAlignment="0" applyProtection="0"/>
    <xf numFmtId="176" fontId="11" fillId="0" borderId="0" applyFont="0" applyFill="0" applyBorder="0" applyAlignment="0" applyProtection="0"/>
    <xf numFmtId="176" fontId="11" fillId="0" borderId="0" applyFont="0" applyFill="0" applyBorder="0" applyAlignment="0" applyProtection="0"/>
    <xf numFmtId="178" fontId="32"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7" fillId="7" borderId="23"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27" fillId="10" borderId="23" applyNumberFormat="0" applyProtection="0">
      <alignment vertical="center"/>
    </xf>
    <xf numFmtId="178" fontId="100" fillId="0" borderId="0" applyFont="0" applyFill="0" applyBorder="0" applyProtection="0"/>
    <xf numFmtId="0" fontId="16" fillId="0" borderId="0" applyNumberFormat="0" applyFill="0" applyBorder="0" applyAlignment="0" applyProtection="0"/>
    <xf numFmtId="189" fontId="34" fillId="0" borderId="0" applyFill="0" applyBorder="0" applyAlignment="0"/>
    <xf numFmtId="178" fontId="100" fillId="0" borderId="0" applyFont="0" applyFill="0" applyBorder="0" applyAlignment="0" applyProtection="0"/>
    <xf numFmtId="0" fontId="30" fillId="0" borderId="20" applyAlignment="0"/>
    <xf numFmtId="0" fontId="100" fillId="0" borderId="20" applyAlignment="0"/>
    <xf numFmtId="178" fontId="100" fillId="0" borderId="0" applyFont="0" applyFill="0" applyBorder="0" applyAlignment="0" applyProtection="0"/>
    <xf numFmtId="0" fontId="100" fillId="0" borderId="0"/>
    <xf numFmtId="0" fontId="100" fillId="0" borderId="20" applyAlignment="0"/>
    <xf numFmtId="212" fontId="11" fillId="0" borderId="0" applyFont="0" applyFill="0" applyBorder="0" applyAlignment="0" applyProtection="0"/>
    <xf numFmtId="0" fontId="30" fillId="0" borderId="20" applyAlignment="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100" fillId="0" borderId="20" applyAlignment="0"/>
    <xf numFmtId="178" fontId="100" fillId="0" borderId="0" applyFont="0" applyFill="0" applyBorder="0" applyAlignment="0" applyProtection="0"/>
    <xf numFmtId="0" fontId="17" fillId="17" borderId="23" applyNumberFormat="0" applyProtection="0">
      <alignment horizontal="right" vertical="center"/>
    </xf>
    <xf numFmtId="178" fontId="32"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32"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20" fillId="10" borderId="23" applyNumberFormat="0" applyProtection="0">
      <alignment horizontal="left" vertical="center" indent="1"/>
    </xf>
    <xf numFmtId="37" fontId="72" fillId="0" borderId="0"/>
    <xf numFmtId="0" fontId="17" fillId="35" borderId="23"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0" fontId="20" fillId="10" borderId="23" applyNumberFormat="0" applyProtection="0">
      <alignment horizontal="left" vertical="center" indent="1"/>
    </xf>
    <xf numFmtId="178" fontId="100" fillId="0" borderId="0" applyFont="0" applyFill="0" applyBorder="0" applyAlignment="0" applyProtection="0"/>
    <xf numFmtId="0" fontId="100" fillId="0" borderId="0"/>
    <xf numFmtId="178" fontId="100" fillId="0" borderId="0" applyFont="0" applyFill="0" applyBorder="0" applyAlignment="0" applyProtection="0"/>
    <xf numFmtId="0" fontId="20" fillId="10" borderId="23" applyNumberFormat="0" applyProtection="0">
      <alignment horizontal="left" vertical="center" indent="1"/>
    </xf>
    <xf numFmtId="0" fontId="100" fillId="0" borderId="0"/>
    <xf numFmtId="178" fontId="100" fillId="0" borderId="0" applyFont="0" applyFill="0" applyBorder="0" applyProtection="0"/>
    <xf numFmtId="0" fontId="100" fillId="0" borderId="20" applyAlignment="0"/>
    <xf numFmtId="0" fontId="17" fillId="7" borderId="23" applyNumberFormat="0" applyProtection="0">
      <alignment horizontal="right" vertical="center"/>
    </xf>
    <xf numFmtId="178" fontId="100" fillId="0" borderId="0" applyFont="0" applyFill="0" applyBorder="0" applyAlignment="0" applyProtection="0"/>
    <xf numFmtId="178" fontId="100" fillId="0" borderId="0" applyFont="0" applyFill="0" applyBorder="0" applyAlignment="0" applyProtection="0"/>
    <xf numFmtId="0" fontId="5" fillId="0" borderId="0"/>
    <xf numFmtId="0" fontId="20" fillId="10" borderId="23" applyNumberFormat="0" applyProtection="0">
      <alignment horizontal="left" vertical="top" indent="1"/>
    </xf>
    <xf numFmtId="178" fontId="100" fillId="0" borderId="0" applyFont="0" applyFill="0" applyBorder="0" applyAlignment="0" applyProtection="0"/>
    <xf numFmtId="0" fontId="31" fillId="0" borderId="0"/>
    <xf numFmtId="178" fontId="100" fillId="0" borderId="0" applyFont="0" applyFill="0" applyBorder="0" applyAlignment="0" applyProtection="0"/>
    <xf numFmtId="0" fontId="17" fillId="12" borderId="23" applyNumberFormat="0" applyProtection="0">
      <alignment horizontal="left" vertical="center" indent="1"/>
    </xf>
    <xf numFmtId="0" fontId="17" fillId="7" borderId="23" applyNumberFormat="0" applyProtection="0">
      <alignment horizontal="left" vertical="center" indent="1"/>
    </xf>
    <xf numFmtId="178" fontId="100" fillId="0" borderId="0" applyFont="0" applyFill="0" applyBorder="0" applyAlignment="0" applyProtection="0"/>
    <xf numFmtId="0" fontId="100" fillId="0" borderId="0"/>
    <xf numFmtId="178" fontId="100" fillId="0" borderId="0" applyFont="0" applyFill="0" applyBorder="0" applyAlignment="0" applyProtection="0"/>
    <xf numFmtId="178" fontId="100" fillId="0" borderId="0" applyFont="0" applyFill="0" applyBorder="0" applyAlignment="0" applyProtection="0"/>
    <xf numFmtId="0" fontId="100" fillId="0" borderId="0"/>
    <xf numFmtId="178" fontId="100" fillId="0" borderId="0" applyFont="0" applyFill="0" applyBorder="0" applyAlignment="0" applyProtection="0"/>
    <xf numFmtId="0" fontId="17" fillId="7" borderId="23" applyNumberFormat="0" applyProtection="0">
      <alignment horizontal="right" vertical="center"/>
    </xf>
    <xf numFmtId="0" fontId="5" fillId="0" borderId="0" applyAlignment="0"/>
    <xf numFmtId="178" fontId="100" fillId="0" borderId="0" applyFont="0" applyFill="0" applyBorder="0" applyAlignment="0" applyProtection="0"/>
    <xf numFmtId="0" fontId="100" fillId="0" borderId="20" applyAlignment="0"/>
    <xf numFmtId="178" fontId="100" fillId="0" borderId="0" applyFont="0" applyFill="0" applyBorder="0" applyAlignment="0" applyProtection="0"/>
    <xf numFmtId="0" fontId="11" fillId="7" borderId="23" applyNumberFormat="0" applyProtection="0">
      <alignment horizontal="left" vertical="center" indent="1"/>
    </xf>
    <xf numFmtId="0" fontId="29" fillId="12" borderId="20" applyNumberFormat="0" applyBorder="0" applyAlignment="0" applyProtection="0"/>
    <xf numFmtId="178" fontId="100" fillId="0" borderId="0" applyFont="0" applyFill="0" applyBorder="0" applyAlignment="0" applyProtection="0"/>
    <xf numFmtId="0" fontId="17" fillId="12" borderId="23" applyNumberFormat="0" applyProtection="0">
      <alignment horizontal="left" vertical="top" indent="1"/>
    </xf>
    <xf numFmtId="0" fontId="100" fillId="0" borderId="20" applyAlignment="0"/>
    <xf numFmtId="39" fontId="40" fillId="0" borderId="0" applyFont="0" applyFill="0" applyBorder="0" applyAlignment="0" applyProtection="0"/>
    <xf numFmtId="178" fontId="100" fillId="0" borderId="0" applyFont="0" applyFill="0" applyBorder="0" applyProtection="0"/>
    <xf numFmtId="176" fontId="100" fillId="0" borderId="0" applyFont="0" applyFill="0" applyBorder="0" applyAlignment="0" applyProtection="0"/>
    <xf numFmtId="0" fontId="100" fillId="0" borderId="20" applyAlignment="0"/>
    <xf numFmtId="176" fontId="100" fillId="0" borderId="0" applyFont="0" applyFill="0" applyBorder="0" applyAlignment="0" applyProtection="0"/>
    <xf numFmtId="0" fontId="11" fillId="7" borderId="23" applyNumberFormat="0" applyProtection="0">
      <alignment horizontal="left" vertical="center" indent="1"/>
    </xf>
    <xf numFmtId="176" fontId="100" fillId="0" borderId="0" applyFont="0" applyFill="0" applyBorder="0" applyAlignment="0" applyProtection="0"/>
    <xf numFmtId="176" fontId="100" fillId="0" borderId="0" applyFont="0" applyFill="0" applyBorder="0" applyAlignment="0" applyProtection="0"/>
    <xf numFmtId="0" fontId="17" fillId="35" borderId="23" applyNumberFormat="0" applyProtection="0">
      <alignment horizontal="right" vertical="center"/>
    </xf>
    <xf numFmtId="176" fontId="100" fillId="0" borderId="0" applyFont="0" applyFill="0" applyBorder="0" applyAlignment="0" applyProtection="0"/>
    <xf numFmtId="176" fontId="100" fillId="0" borderId="0" applyFont="0" applyFill="0" applyBorder="0" applyAlignment="0" applyProtection="0"/>
    <xf numFmtId="0" fontId="17" fillId="7" borderId="23" applyNumberFormat="0" applyProtection="0">
      <alignment horizontal="right" vertical="center"/>
    </xf>
    <xf numFmtId="176" fontId="100" fillId="0" borderId="0" applyFont="0" applyFill="0" applyBorder="0" applyAlignment="0" applyProtection="0"/>
    <xf numFmtId="0" fontId="100" fillId="0" borderId="20" applyAlignment="0"/>
    <xf numFmtId="176" fontId="100" fillId="0" borderId="0" applyFont="0" applyFill="0" applyBorder="0" applyAlignment="0" applyProtection="0"/>
    <xf numFmtId="0" fontId="11" fillId="7" borderId="23" applyNumberFormat="0" applyProtection="0">
      <alignment horizontal="left" vertical="center" indent="1"/>
    </xf>
    <xf numFmtId="176" fontId="100" fillId="0" borderId="0" applyFont="0" applyFill="0" applyBorder="0" applyAlignment="0" applyProtection="0"/>
    <xf numFmtId="176" fontId="100" fillId="0" borderId="0" applyFont="0" applyFill="0" applyBorder="0" applyAlignment="0" applyProtection="0"/>
    <xf numFmtId="176" fontId="100" fillId="0" borderId="0" applyFont="0" applyFill="0" applyBorder="0" applyAlignment="0" applyProtection="0"/>
    <xf numFmtId="0" fontId="11" fillId="7" borderId="23" applyNumberFormat="0" applyProtection="0">
      <alignment horizontal="left" vertical="center" indent="1"/>
    </xf>
    <xf numFmtId="176" fontId="100" fillId="0" borderId="0" applyFont="0" applyFill="0" applyBorder="0" applyAlignment="0" applyProtection="0"/>
    <xf numFmtId="0" fontId="29" fillId="12" borderId="20" applyNumberFormat="0" applyBorder="0" applyAlignment="0" applyProtection="0"/>
    <xf numFmtId="0" fontId="17" fillId="12" borderId="23" applyNumberFormat="0" applyProtection="0">
      <alignment horizontal="left" vertical="top" indent="1"/>
    </xf>
    <xf numFmtId="0" fontId="100" fillId="0" borderId="20" applyAlignment="0"/>
    <xf numFmtId="0" fontId="17" fillId="20" borderId="23" applyNumberFormat="0" applyProtection="0">
      <alignment horizontal="right" vertical="center"/>
    </xf>
    <xf numFmtId="0" fontId="100" fillId="0" borderId="20" applyAlignment="0"/>
    <xf numFmtId="178" fontId="100" fillId="0" borderId="0" applyFont="0" applyFill="0" applyBorder="0" applyAlignment="0" applyProtection="0"/>
    <xf numFmtId="0" fontId="11" fillId="19" borderId="23" applyNumberFormat="0" applyProtection="0">
      <alignment horizontal="left" vertical="top" indent="1"/>
    </xf>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91" fontId="40" fillId="0" borderId="0" applyFont="0" applyFill="0" applyBorder="0" applyAlignment="0" applyProtection="0"/>
    <xf numFmtId="189" fontId="34" fillId="0" borderId="0" applyFill="0" applyBorder="0" applyAlignment="0"/>
    <xf numFmtId="0" fontId="73" fillId="0" borderId="0" applyAlignment="0"/>
    <xf numFmtId="190" fontId="100" fillId="0" borderId="0" applyFont="0" applyFill="0" applyBorder="0" applyProtection="0"/>
    <xf numFmtId="213" fontId="46" fillId="0" borderId="0"/>
    <xf numFmtId="0" fontId="11" fillId="19" borderId="23" applyNumberFormat="0" applyProtection="0">
      <alignment horizontal="left" vertical="center" indent="1"/>
    </xf>
    <xf numFmtId="0" fontId="100" fillId="0" borderId="20" applyAlignment="0"/>
    <xf numFmtId="0" fontId="11" fillId="0" borderId="0"/>
    <xf numFmtId="0" fontId="74" fillId="0" borderId="0"/>
    <xf numFmtId="0" fontId="18" fillId="19" borderId="23" applyNumberFormat="0" applyProtection="0">
      <alignment horizontal="right" vertical="center"/>
    </xf>
    <xf numFmtId="0" fontId="100" fillId="0" borderId="20" applyAlignment="0"/>
    <xf numFmtId="0" fontId="100" fillId="0" borderId="20" applyAlignment="0"/>
    <xf numFmtId="0" fontId="20" fillId="10" borderId="23" applyNumberFormat="0" applyProtection="0">
      <alignment vertical="center"/>
    </xf>
    <xf numFmtId="0" fontId="100" fillId="0" borderId="20" applyAlignment="0"/>
    <xf numFmtId="0" fontId="17" fillId="21" borderId="23" applyNumberFormat="0" applyProtection="0">
      <alignment horizontal="right" vertical="center"/>
    </xf>
    <xf numFmtId="0" fontId="100" fillId="0" borderId="20" applyAlignment="0"/>
    <xf numFmtId="0" fontId="30" fillId="0" borderId="20" applyAlignment="0"/>
    <xf numFmtId="0" fontId="100" fillId="0" borderId="20" applyAlignment="0"/>
    <xf numFmtId="0" fontId="30" fillId="0" borderId="20" applyAlignment="0"/>
    <xf numFmtId="0" fontId="100" fillId="0" borderId="20" applyAlignment="0"/>
    <xf numFmtId="0" fontId="74" fillId="0" borderId="0" applyAlignment="0"/>
    <xf numFmtId="0" fontId="30" fillId="0" borderId="20" applyAlignment="0"/>
    <xf numFmtId="0" fontId="29" fillId="12" borderId="20" applyNumberFormat="0" applyBorder="0" applyAlignment="0" applyProtection="0"/>
    <xf numFmtId="0" fontId="100" fillId="0" borderId="20" applyAlignment="0"/>
    <xf numFmtId="0" fontId="29" fillId="12" borderId="20" applyNumberFormat="0" applyBorder="0" applyAlignment="0" applyProtection="0"/>
    <xf numFmtId="0" fontId="17" fillId="12" borderId="23" applyNumberFormat="0" applyProtection="0">
      <alignment horizontal="left" vertical="top" indent="1"/>
    </xf>
    <xf numFmtId="0" fontId="100" fillId="0" borderId="20" applyAlignment="0"/>
    <xf numFmtId="9" fontId="31" fillId="0" borderId="0" applyAlignment="0"/>
    <xf numFmtId="40" fontId="75" fillId="0" borderId="0" applyFont="0" applyFill="0" applyBorder="0" applyAlignment="0" applyProtection="0"/>
    <xf numFmtId="0" fontId="29" fillId="12" borderId="20" applyNumberFormat="0" applyBorder="0" applyAlignment="0" applyProtection="0"/>
    <xf numFmtId="0" fontId="17" fillId="12" borderId="23" applyNumberFormat="0" applyProtection="0">
      <alignment horizontal="left" vertical="top" indent="1"/>
    </xf>
    <xf numFmtId="0" fontId="100" fillId="0" borderId="20" applyAlignment="0"/>
    <xf numFmtId="0" fontId="100" fillId="0" borderId="20" applyAlignment="0"/>
    <xf numFmtId="0" fontId="17" fillId="17" borderId="23" applyNumberFormat="0" applyProtection="0">
      <alignment horizontal="right" vertical="center"/>
    </xf>
    <xf numFmtId="0" fontId="100" fillId="0" borderId="20" applyAlignment="0"/>
    <xf numFmtId="0" fontId="100" fillId="0" borderId="20" applyAlignment="0"/>
    <xf numFmtId="0" fontId="100" fillId="0" borderId="20" applyAlignment="0"/>
    <xf numFmtId="0" fontId="100" fillId="0" borderId="20" applyAlignment="0"/>
    <xf numFmtId="182" fontId="100" fillId="0" borderId="0">
      <protection locked="0"/>
    </xf>
    <xf numFmtId="0" fontId="100" fillId="0" borderId="20" applyAlignment="0"/>
    <xf numFmtId="0" fontId="17" fillId="20" borderId="23" applyNumberFormat="0" applyProtection="0">
      <alignment horizontal="right" vertical="center"/>
    </xf>
    <xf numFmtId="0" fontId="100" fillId="0" borderId="20" applyAlignment="0"/>
    <xf numFmtId="0" fontId="100" fillId="0" borderId="20" applyAlignment="0"/>
    <xf numFmtId="0" fontId="31" fillId="0" borderId="0"/>
    <xf numFmtId="191" fontId="34" fillId="0" borderId="0" applyFill="0" applyBorder="0" applyAlignment="0"/>
    <xf numFmtId="0" fontId="100" fillId="0" borderId="20" applyAlignment="0"/>
    <xf numFmtId="0" fontId="100" fillId="0" borderId="20" applyAlignment="0"/>
    <xf numFmtId="0" fontId="17" fillId="30" borderId="23" applyNumberFormat="0" applyProtection="0">
      <alignment horizontal="right" vertical="center"/>
    </xf>
    <xf numFmtId="0" fontId="100" fillId="0" borderId="20" applyAlignment="0"/>
    <xf numFmtId="0" fontId="47" fillId="28" borderId="0" applyNumberFormat="0" applyBorder="0" applyProtection="0"/>
    <xf numFmtId="0" fontId="17" fillId="30" borderId="23" applyNumberFormat="0" applyProtection="0">
      <alignment horizontal="right" vertical="center"/>
    </xf>
    <xf numFmtId="0" fontId="60" fillId="0" borderId="0" applyNumberFormat="0" applyFill="0" applyBorder="0">
      <protection locked="0"/>
    </xf>
    <xf numFmtId="0" fontId="100" fillId="0" borderId="20" applyAlignment="0"/>
    <xf numFmtId="0" fontId="17" fillId="30" borderId="23" applyNumberFormat="0" applyProtection="0">
      <alignment horizontal="right" vertical="center"/>
    </xf>
    <xf numFmtId="0" fontId="41" fillId="0" borderId="0" applyNumberFormat="0" applyFill="0" applyBorder="0" applyAlignment="0" applyProtection="0"/>
    <xf numFmtId="0" fontId="100" fillId="0" borderId="20" applyAlignment="0"/>
    <xf numFmtId="0" fontId="17" fillId="30" borderId="23" applyNumberFormat="0" applyProtection="0">
      <alignment horizontal="right" vertical="center"/>
    </xf>
    <xf numFmtId="0" fontId="100" fillId="0" borderId="20" applyAlignment="0"/>
    <xf numFmtId="0" fontId="17" fillId="13" borderId="23" applyNumberFormat="0" applyProtection="0">
      <alignment horizontal="right" vertical="center"/>
    </xf>
    <xf numFmtId="0" fontId="17" fillId="30" borderId="23" applyNumberFormat="0" applyProtection="0">
      <alignment horizontal="right" vertical="center"/>
    </xf>
    <xf numFmtId="0" fontId="11" fillId="19" borderId="23" applyNumberFormat="0" applyProtection="0">
      <alignment horizontal="left" vertical="center" indent="1"/>
    </xf>
    <xf numFmtId="0" fontId="100" fillId="0" borderId="20" applyAlignment="0"/>
    <xf numFmtId="0" fontId="17" fillId="13" borderId="23" applyNumberFormat="0" applyProtection="0">
      <alignment horizontal="right" vertical="center"/>
    </xf>
    <xf numFmtId="0" fontId="100" fillId="0" borderId="20" applyAlignment="0"/>
    <xf numFmtId="0" fontId="100" fillId="0" borderId="20" applyAlignment="0"/>
    <xf numFmtId="0" fontId="20" fillId="10" borderId="23" applyNumberFormat="0" applyProtection="0">
      <alignment horizontal="left" vertical="center" indent="1"/>
    </xf>
    <xf numFmtId="0" fontId="100" fillId="0" borderId="20" applyAlignment="0"/>
    <xf numFmtId="0" fontId="20" fillId="10" borderId="23" applyNumberFormat="0" applyProtection="0">
      <alignment horizontal="left" vertical="center" indent="1"/>
    </xf>
    <xf numFmtId="0" fontId="100" fillId="0" borderId="20" applyAlignment="0"/>
    <xf numFmtId="192" fontId="11" fillId="0" borderId="0">
      <protection locked="0"/>
    </xf>
    <xf numFmtId="0" fontId="100" fillId="0" borderId="20" applyAlignment="0"/>
    <xf numFmtId="191" fontId="34" fillId="0" borderId="0" applyFill="0" applyBorder="0" applyAlignment="0"/>
    <xf numFmtId="0" fontId="100" fillId="0" borderId="20" applyAlignment="0"/>
    <xf numFmtId="0" fontId="100" fillId="0" borderId="20" applyAlignment="0"/>
    <xf numFmtId="0" fontId="11" fillId="8" borderId="23" applyNumberFormat="0" applyProtection="0">
      <alignment horizontal="left" vertical="center" indent="1"/>
    </xf>
    <xf numFmtId="0" fontId="31" fillId="0" borderId="0" applyAlignment="0"/>
    <xf numFmtId="0" fontId="100" fillId="0" borderId="20" applyAlignment="0"/>
    <xf numFmtId="0" fontId="11" fillId="8" borderId="23" applyNumberFormat="0" applyProtection="0">
      <alignment horizontal="left" vertical="center" indent="1"/>
    </xf>
    <xf numFmtId="0" fontId="100" fillId="0" borderId="20" applyAlignment="0"/>
    <xf numFmtId="0" fontId="11" fillId="8" borderId="23" applyNumberFormat="0" applyProtection="0">
      <alignment horizontal="left" vertical="center" indent="1"/>
    </xf>
    <xf numFmtId="0" fontId="100" fillId="0" borderId="20" applyAlignment="0"/>
    <xf numFmtId="0" fontId="11" fillId="8" borderId="23" applyNumberFormat="0" applyProtection="0">
      <alignment horizontal="left" vertical="center" indent="1"/>
    </xf>
    <xf numFmtId="214" fontId="46" fillId="0" borderId="0"/>
    <xf numFmtId="0" fontId="29" fillId="33" borderId="20"/>
    <xf numFmtId="0" fontId="20" fillId="10" borderId="23" applyNumberFormat="0" applyProtection="0">
      <alignment horizontal="left" vertical="top" indent="1"/>
    </xf>
    <xf numFmtId="0" fontId="29" fillId="33" borderId="20"/>
    <xf numFmtId="0" fontId="20" fillId="10" borderId="23" applyNumberFormat="0" applyProtection="0">
      <alignment horizontal="left" vertical="center" indent="1"/>
    </xf>
    <xf numFmtId="0" fontId="17" fillId="19" borderId="23" applyNumberFormat="0" applyProtection="0">
      <alignment horizontal="right" vertical="center"/>
    </xf>
    <xf numFmtId="0" fontId="29" fillId="33" borderId="20"/>
    <xf numFmtId="0" fontId="17" fillId="19" borderId="23" applyNumberFormat="0" applyProtection="0">
      <alignment horizontal="right" vertical="center"/>
    </xf>
    <xf numFmtId="0" fontId="71" fillId="43" borderId="0" applyNumberFormat="0" applyBorder="0" applyAlignment="0" applyProtection="0"/>
    <xf numFmtId="9" fontId="100" fillId="0" borderId="0" applyFont="0" applyFill="0" applyBorder="0" applyProtection="0"/>
    <xf numFmtId="0" fontId="76" fillId="0" borderId="0">
      <alignment horizontal="center"/>
    </xf>
    <xf numFmtId="0" fontId="29" fillId="33" borderId="20"/>
    <xf numFmtId="0" fontId="17" fillId="20" borderId="23" applyNumberFormat="0" applyProtection="0">
      <alignment horizontal="right" vertical="center"/>
    </xf>
    <xf numFmtId="0" fontId="29" fillId="33" borderId="20"/>
    <xf numFmtId="0" fontId="77" fillId="0" borderId="0"/>
    <xf numFmtId="0" fontId="29" fillId="33" borderId="20"/>
    <xf numFmtId="0" fontId="36" fillId="12" borderId="23" applyNumberFormat="0" applyProtection="0">
      <alignment vertical="center"/>
    </xf>
    <xf numFmtId="0" fontId="29" fillId="33" borderId="20"/>
    <xf numFmtId="0" fontId="36" fillId="12" borderId="23" applyNumberFormat="0" applyProtection="0">
      <alignment vertical="center"/>
    </xf>
    <xf numFmtId="0" fontId="29" fillId="33" borderId="20"/>
    <xf numFmtId="0" fontId="36" fillId="12" borderId="23" applyNumberFormat="0" applyProtection="0">
      <alignment vertical="center"/>
    </xf>
    <xf numFmtId="0" fontId="29" fillId="33" borderId="20"/>
    <xf numFmtId="0" fontId="36" fillId="12" borderId="23" applyNumberFormat="0" applyProtection="0">
      <alignment vertical="center"/>
    </xf>
    <xf numFmtId="0" fontId="29" fillId="33" borderId="20"/>
    <xf numFmtId="0" fontId="36" fillId="12" borderId="23" applyNumberFormat="0" applyProtection="0">
      <alignment vertical="center"/>
    </xf>
    <xf numFmtId="199" fontId="26" fillId="0" borderId="0" applyFont="0" applyFill="0" applyBorder="0" applyAlignment="0" applyProtection="0"/>
    <xf numFmtId="0" fontId="30" fillId="0" borderId="20" applyAlignment="0"/>
    <xf numFmtId="0" fontId="11" fillId="19" borderId="23" applyNumberFormat="0" applyProtection="0">
      <alignment horizontal="left" vertical="center" indent="1"/>
    </xf>
    <xf numFmtId="0" fontId="30" fillId="0" borderId="20" applyAlignment="0"/>
    <xf numFmtId="0" fontId="11" fillId="19" borderId="23" applyNumberFormat="0" applyProtection="0">
      <alignment horizontal="left" vertical="center" indent="1"/>
    </xf>
    <xf numFmtId="0" fontId="30" fillId="0" borderId="20" applyAlignment="0"/>
    <xf numFmtId="0" fontId="11" fillId="19" borderId="23" applyNumberFormat="0" applyProtection="0">
      <alignment horizontal="left" vertical="center" indent="1"/>
    </xf>
    <xf numFmtId="0" fontId="30" fillId="0" borderId="20" applyAlignment="0"/>
    <xf numFmtId="0" fontId="11" fillId="19" borderId="23" applyNumberFormat="0" applyProtection="0">
      <alignment horizontal="left" vertical="center" indent="1"/>
    </xf>
    <xf numFmtId="192" fontId="11" fillId="0" borderId="0">
      <protection locked="0"/>
    </xf>
    <xf numFmtId="192" fontId="11" fillId="0" borderId="0">
      <protection locked="0"/>
    </xf>
    <xf numFmtId="192" fontId="11" fillId="0" borderId="0">
      <protection locked="0"/>
    </xf>
    <xf numFmtId="192" fontId="11" fillId="0" borderId="0">
      <protection locked="0"/>
    </xf>
    <xf numFmtId="0" fontId="78" fillId="39" borderId="0" applyNumberFormat="0" applyBorder="0" applyAlignment="0" applyProtection="0"/>
    <xf numFmtId="0" fontId="65" fillId="41" borderId="0" applyNumberFormat="0" applyBorder="0" applyAlignment="0" applyProtection="0"/>
    <xf numFmtId="0" fontId="17" fillId="12" borderId="23" applyNumberFormat="0" applyProtection="0">
      <alignment horizontal="left" vertical="center" indent="1"/>
    </xf>
    <xf numFmtId="0" fontId="65" fillId="41" borderId="0" applyNumberFormat="0" applyBorder="0" applyAlignment="0" applyProtection="0"/>
    <xf numFmtId="0" fontId="17" fillId="12" borderId="23" applyNumberFormat="0" applyProtection="0">
      <alignment horizontal="left" vertical="center" indent="1"/>
    </xf>
    <xf numFmtId="0" fontId="17" fillId="7" borderId="23" applyNumberFormat="0" applyProtection="0">
      <alignment horizontal="left" vertical="center" indent="1"/>
    </xf>
    <xf numFmtId="0" fontId="17" fillId="21" borderId="23" applyNumberFormat="0" applyProtection="0">
      <alignment horizontal="right" vertical="center"/>
    </xf>
    <xf numFmtId="0" fontId="65" fillId="41" borderId="0" applyNumberFormat="0" applyBorder="0" applyProtection="0"/>
    <xf numFmtId="0" fontId="29" fillId="9" borderId="0" applyNumberFormat="0" applyBorder="0" applyAlignment="0" applyProtection="0"/>
    <xf numFmtId="0" fontId="11" fillId="8" borderId="23" applyNumberFormat="0" applyProtection="0">
      <alignment horizontal="left" vertical="top" indent="1"/>
    </xf>
    <xf numFmtId="178" fontId="100" fillId="0" borderId="0" applyFont="0" applyProtection="0"/>
    <xf numFmtId="0" fontId="41" fillId="0" borderId="0" applyNumberFormat="0" applyFill="0" applyBorder="0" applyAlignment="0" applyProtection="0"/>
    <xf numFmtId="0" fontId="50" fillId="0" borderId="7" applyNumberFormat="0" applyProtection="0"/>
    <xf numFmtId="0" fontId="100" fillId="0" borderId="0"/>
    <xf numFmtId="0" fontId="50" fillId="0" borderId="17">
      <alignment horizontal="left" vertical="center"/>
    </xf>
    <xf numFmtId="0" fontId="50" fillId="0" borderId="17">
      <alignment horizontal="left" vertical="center"/>
    </xf>
    <xf numFmtId="0" fontId="50" fillId="0" borderId="17">
      <alignment horizontal="left" vertical="center"/>
    </xf>
    <xf numFmtId="0" fontId="50" fillId="0" borderId="17">
      <alignment horizontal="left" vertical="center"/>
    </xf>
    <xf numFmtId="191" fontId="34" fillId="0" borderId="0" applyFill="0" applyBorder="0" applyAlignment="0"/>
    <xf numFmtId="0" fontId="50" fillId="0" borderId="17">
      <alignment horizontal="left" vertical="center"/>
    </xf>
    <xf numFmtId="0" fontId="50" fillId="0" borderId="17">
      <alignment horizontal="left" vertical="center"/>
    </xf>
    <xf numFmtId="0" fontId="11" fillId="19" borderId="23" applyNumberFormat="0" applyProtection="0">
      <alignment horizontal="left" vertical="center" indent="1"/>
    </xf>
    <xf numFmtId="0" fontId="31" fillId="0" borderId="0" applyAlignment="0"/>
    <xf numFmtId="0" fontId="50" fillId="0" borderId="17">
      <alignment horizontal="left" vertical="center"/>
    </xf>
    <xf numFmtId="0" fontId="50" fillId="0" borderId="17">
      <alignment horizontal="left" vertical="center"/>
    </xf>
    <xf numFmtId="0" fontId="11" fillId="8" borderId="23" applyNumberFormat="0" applyProtection="0">
      <alignment horizontal="left" vertical="center" indent="1"/>
    </xf>
    <xf numFmtId="192" fontId="11" fillId="0" borderId="0">
      <protection locked="0"/>
    </xf>
    <xf numFmtId="0" fontId="36" fillId="19" borderId="23" applyNumberFormat="0" applyProtection="0">
      <alignment horizontal="right" vertical="center"/>
    </xf>
    <xf numFmtId="0" fontId="62" fillId="40" borderId="20">
      <alignment horizontal="center" vertical="center"/>
    </xf>
    <xf numFmtId="0" fontId="62" fillId="40" borderId="20">
      <alignment horizontal="center" vertical="center"/>
    </xf>
    <xf numFmtId="0" fontId="11" fillId="18" borderId="23" applyNumberFormat="0" applyProtection="0">
      <alignment horizontal="left" vertical="center" indent="1"/>
    </xf>
    <xf numFmtId="0" fontId="62" fillId="40" borderId="20">
      <alignment horizontal="center" vertical="center"/>
    </xf>
    <xf numFmtId="0" fontId="36" fillId="19" borderId="23" applyNumberFormat="0" applyProtection="0">
      <alignment horizontal="right" vertical="center"/>
    </xf>
    <xf numFmtId="0" fontId="17" fillId="21" borderId="23" applyNumberFormat="0" applyProtection="0">
      <alignment horizontal="right" vertical="center"/>
    </xf>
    <xf numFmtId="0" fontId="62" fillId="40" borderId="20">
      <alignment horizontal="center" vertical="center"/>
    </xf>
    <xf numFmtId="0" fontId="36" fillId="19" borderId="23" applyNumberFormat="0" applyProtection="0">
      <alignment horizontal="right" vertical="center"/>
    </xf>
    <xf numFmtId="0" fontId="17" fillId="21" borderId="23" applyNumberFormat="0" applyProtection="0">
      <alignment horizontal="right" vertical="center"/>
    </xf>
    <xf numFmtId="0" fontId="62" fillId="40" borderId="20">
      <alignment horizontal="center" vertical="center"/>
    </xf>
    <xf numFmtId="0" fontId="36" fillId="19" borderId="23" applyNumberFormat="0" applyProtection="0">
      <alignment horizontal="right" vertical="center"/>
    </xf>
    <xf numFmtId="0" fontId="62" fillId="40" borderId="20">
      <alignment horizontal="center" vertical="center"/>
    </xf>
    <xf numFmtId="0" fontId="11" fillId="18" borderId="23" applyNumberFormat="0" applyProtection="0">
      <alignment horizontal="left" vertical="center" indent="1"/>
    </xf>
    <xf numFmtId="0" fontId="62" fillId="40" borderId="20">
      <alignment horizontal="center" vertical="center"/>
    </xf>
    <xf numFmtId="0" fontId="11" fillId="18" borderId="23" applyNumberFormat="0" applyProtection="0">
      <alignment horizontal="left" vertical="center" indent="1"/>
    </xf>
    <xf numFmtId="0" fontId="62" fillId="40" borderId="20">
      <alignment horizontal="center" vertical="center"/>
    </xf>
    <xf numFmtId="0" fontId="17" fillId="12" borderId="23" applyNumberFormat="0" applyProtection="0">
      <alignment horizontal="left" vertical="center" indent="1"/>
    </xf>
    <xf numFmtId="0" fontId="16" fillId="0" borderId="0" applyNumberFormat="0" applyFill="0" applyBorder="0" applyAlignment="0" applyProtection="0"/>
    <xf numFmtId="0" fontId="100" fillId="0" borderId="0"/>
    <xf numFmtId="0" fontId="41" fillId="0" borderId="0" applyNumberFormat="0" applyFill="0" applyBorder="0" applyAlignment="0" applyProtection="0"/>
    <xf numFmtId="0" fontId="17" fillId="12" borderId="23" applyNumberFormat="0" applyProtection="0">
      <alignment horizontal="left" vertical="center" indent="1"/>
    </xf>
    <xf numFmtId="0" fontId="41" fillId="0" borderId="0" applyNumberFormat="0" applyFill="0" applyBorder="0" applyAlignment="0" applyProtection="0"/>
    <xf numFmtId="0" fontId="61" fillId="0" borderId="0" applyNumberFormat="0" applyFill="0" applyBorder="0" applyAlignment="0" applyProtection="0"/>
    <xf numFmtId="0" fontId="41" fillId="0" borderId="0" applyNumberFormat="0" applyFill="0" applyBorder="0" applyAlignment="0" applyProtection="0"/>
    <xf numFmtId="0" fontId="17" fillId="19" borderId="23" applyNumberFormat="0" applyProtection="0">
      <alignment horizontal="right" vertical="center"/>
    </xf>
    <xf numFmtId="0" fontId="11" fillId="7" borderId="23" applyNumberFormat="0" applyProtection="0">
      <alignment horizontal="left" vertical="center" indent="1"/>
    </xf>
    <xf numFmtId="0" fontId="41" fillId="0" borderId="0" applyNumberFormat="0" applyFill="0" applyBorder="0" applyProtection="0"/>
    <xf numFmtId="178" fontId="69" fillId="0" borderId="0" applyAlignment="0"/>
    <xf numFmtId="0" fontId="29" fillId="12" borderId="20" applyNumberFormat="0" applyBorder="0" applyAlignment="0" applyProtection="0"/>
    <xf numFmtId="0" fontId="29" fillId="12" borderId="20" applyNumberFormat="0" applyBorder="0" applyAlignment="0" applyProtection="0"/>
    <xf numFmtId="0" fontId="29" fillId="12" borderId="20" applyNumberFormat="0" applyBorder="0" applyAlignment="0" applyProtection="0"/>
    <xf numFmtId="0" fontId="29" fillId="12" borderId="20" applyNumberFormat="0" applyBorder="0" applyAlignment="0" applyProtection="0"/>
    <xf numFmtId="0" fontId="29" fillId="12" borderId="20" applyNumberFormat="0" applyBorder="0" applyAlignment="0" applyProtection="0"/>
    <xf numFmtId="0" fontId="17" fillId="7" borderId="23" applyNumberFormat="0" applyProtection="0">
      <alignment horizontal="left" vertical="center" indent="1"/>
    </xf>
    <xf numFmtId="0" fontId="79" fillId="0" borderId="8"/>
    <xf numFmtId="0" fontId="17" fillId="16" borderId="23" applyNumberFormat="0" applyProtection="0">
      <alignment horizontal="right" vertical="center"/>
    </xf>
    <xf numFmtId="0" fontId="80" fillId="44" borderId="0" applyNumberFormat="0" applyBorder="0" applyProtection="0"/>
    <xf numFmtId="188" fontId="32" fillId="0" borderId="0"/>
    <xf numFmtId="0" fontId="100" fillId="0" borderId="0"/>
    <xf numFmtId="0" fontId="100" fillId="0" borderId="0"/>
    <xf numFmtId="0" fontId="17" fillId="30" borderId="23" applyNumberFormat="0" applyProtection="0">
      <alignment horizontal="right" vertical="center"/>
    </xf>
    <xf numFmtId="0" fontId="100" fillId="0" borderId="0" applyAlignment="0"/>
    <xf numFmtId="0" fontId="20" fillId="10" borderId="23" applyNumberFormat="0" applyProtection="0">
      <alignment horizontal="left" vertical="top" indent="1"/>
    </xf>
    <xf numFmtId="0" fontId="17" fillId="30" borderId="23" applyNumberFormat="0" applyProtection="0">
      <alignment horizontal="right" vertical="center"/>
    </xf>
    <xf numFmtId="0" fontId="100" fillId="0" borderId="0">
      <alignment vertical="center"/>
    </xf>
    <xf numFmtId="0" fontId="100" fillId="0" borderId="0"/>
    <xf numFmtId="0" fontId="100" fillId="0" borderId="0"/>
    <xf numFmtId="0" fontId="100" fillId="0" borderId="0"/>
    <xf numFmtId="0" fontId="100" fillId="0" borderId="0"/>
    <xf numFmtId="0" fontId="11" fillId="18" borderId="23" applyNumberFormat="0" applyProtection="0">
      <alignment horizontal="left" vertical="top" indent="1"/>
    </xf>
    <xf numFmtId="0" fontId="100" fillId="0" borderId="0"/>
    <xf numFmtId="0" fontId="17" fillId="16" borderId="23" applyNumberFormat="0" applyProtection="0">
      <alignment horizontal="right" vertical="center"/>
    </xf>
    <xf numFmtId="0" fontId="17" fillId="30" borderId="23" applyNumberFormat="0" applyProtection="0">
      <alignment horizontal="right" vertical="center"/>
    </xf>
    <xf numFmtId="0" fontId="67" fillId="0" borderId="0">
      <alignment vertical="center"/>
    </xf>
    <xf numFmtId="0" fontId="100" fillId="0" borderId="0"/>
    <xf numFmtId="0" fontId="17" fillId="30" borderId="23" applyNumberFormat="0" applyProtection="0">
      <alignment horizontal="right" vertical="center"/>
    </xf>
    <xf numFmtId="0" fontId="81" fillId="0" borderId="0"/>
    <xf numFmtId="0" fontId="100" fillId="0" borderId="0"/>
    <xf numFmtId="0" fontId="100" fillId="0" borderId="0"/>
    <xf numFmtId="0" fontId="100" fillId="0" borderId="0"/>
    <xf numFmtId="0" fontId="17" fillId="30" borderId="23" applyNumberFormat="0" applyProtection="0">
      <alignment horizontal="right" vertical="center"/>
    </xf>
    <xf numFmtId="0" fontId="100" fillId="0" borderId="0"/>
    <xf numFmtId="0" fontId="11" fillId="0" borderId="0"/>
    <xf numFmtId="0" fontId="69" fillId="0" borderId="0"/>
    <xf numFmtId="0" fontId="11" fillId="0" borderId="0"/>
    <xf numFmtId="0" fontId="11" fillId="0" borderId="0"/>
    <xf numFmtId="0" fontId="20" fillId="10" borderId="23" applyNumberFormat="0" applyProtection="0">
      <alignment horizontal="left" vertical="top" indent="1"/>
    </xf>
    <xf numFmtId="0" fontId="68" fillId="0" borderId="0">
      <alignment vertical="center"/>
    </xf>
    <xf numFmtId="0" fontId="20" fillId="10" borderId="23" applyNumberFormat="0" applyProtection="0">
      <alignment horizontal="left" vertical="top" indent="1"/>
    </xf>
    <xf numFmtId="0" fontId="17" fillId="13" borderId="23" applyNumberFormat="0" applyProtection="0">
      <alignment horizontal="right" vertical="center"/>
    </xf>
    <xf numFmtId="0" fontId="100" fillId="0" borderId="0" applyAlignment="0"/>
    <xf numFmtId="0" fontId="17" fillId="16" borderId="23" applyNumberFormat="0" applyProtection="0">
      <alignment horizontal="right" vertical="center"/>
    </xf>
    <xf numFmtId="0" fontId="100" fillId="0" borderId="0"/>
    <xf numFmtId="0" fontId="20" fillId="10" borderId="23" applyNumberFormat="0" applyProtection="0">
      <alignment horizontal="left" vertical="top" indent="1"/>
    </xf>
    <xf numFmtId="0" fontId="100" fillId="0" borderId="0"/>
    <xf numFmtId="0" fontId="5" fillId="0" borderId="0"/>
    <xf numFmtId="0" fontId="20" fillId="10" borderId="23" applyNumberFormat="0" applyProtection="0">
      <alignment horizontal="left" vertical="top" indent="1"/>
    </xf>
    <xf numFmtId="0" fontId="100" fillId="0" borderId="0"/>
    <xf numFmtId="0" fontId="100" fillId="0" borderId="0"/>
    <xf numFmtId="0" fontId="26" fillId="0" borderId="0"/>
    <xf numFmtId="0" fontId="20" fillId="10" borderId="23" applyNumberFormat="0" applyProtection="0">
      <alignment horizontal="left" vertical="top" indent="1"/>
    </xf>
    <xf numFmtId="0" fontId="47" fillId="39" borderId="0" applyNumberFormat="0" applyBorder="0" applyProtection="0"/>
    <xf numFmtId="0" fontId="100" fillId="0" borderId="0" applyAlignment="0"/>
    <xf numFmtId="0" fontId="26" fillId="0" borderId="0"/>
    <xf numFmtId="0" fontId="20" fillId="10" borderId="23" applyNumberFormat="0" applyProtection="0">
      <alignment horizontal="left" vertical="top" indent="1"/>
    </xf>
    <xf numFmtId="0" fontId="26" fillId="0" borderId="0"/>
    <xf numFmtId="0" fontId="20" fillId="10" borderId="23" applyNumberFormat="0" applyProtection="0">
      <alignment horizontal="left" vertical="top" indent="1"/>
    </xf>
    <xf numFmtId="0" fontId="100" fillId="0" borderId="0"/>
    <xf numFmtId="0" fontId="20" fillId="10" borderId="23" applyNumberFormat="0" applyProtection="0">
      <alignment horizontal="left" vertical="top" indent="1"/>
    </xf>
    <xf numFmtId="0" fontId="31" fillId="0" borderId="0" applyAlignment="0"/>
    <xf numFmtId="0" fontId="29" fillId="9" borderId="20"/>
    <xf numFmtId="0" fontId="100" fillId="0" borderId="0" applyAlignment="0"/>
    <xf numFmtId="0" fontId="20" fillId="10" borderId="23" applyNumberFormat="0" applyProtection="0">
      <alignment horizontal="left" vertical="top" indent="1"/>
    </xf>
    <xf numFmtId="0" fontId="100" fillId="0" borderId="0">
      <alignment vertical="center"/>
    </xf>
    <xf numFmtId="0" fontId="20" fillId="10" borderId="23" applyNumberFormat="0" applyProtection="0">
      <alignment horizontal="left" vertical="top" indent="1"/>
    </xf>
    <xf numFmtId="0" fontId="100" fillId="0" borderId="0" applyAlignment="0"/>
    <xf numFmtId="0" fontId="20" fillId="10" borderId="23" applyNumberFormat="0" applyProtection="0">
      <alignment horizontal="left" vertical="top" indent="1"/>
    </xf>
    <xf numFmtId="0" fontId="100" fillId="0" borderId="0"/>
    <xf numFmtId="215" fontId="34" fillId="0" borderId="0">
      <protection locked="0"/>
    </xf>
    <xf numFmtId="0" fontId="26" fillId="0" borderId="0"/>
    <xf numFmtId="0" fontId="100" fillId="0" borderId="0"/>
    <xf numFmtId="0" fontId="47" fillId="28" borderId="0" applyNumberFormat="0" applyBorder="0" applyProtection="0"/>
    <xf numFmtId="0" fontId="100" fillId="0" borderId="0"/>
    <xf numFmtId="0" fontId="44" fillId="0" borderId="0"/>
    <xf numFmtId="0" fontId="11" fillId="0" borderId="0"/>
    <xf numFmtId="0" fontId="20" fillId="10" borderId="23" applyNumberFormat="0" applyProtection="0">
      <alignment horizontal="left" vertical="top" indent="1"/>
    </xf>
    <xf numFmtId="0" fontId="54" fillId="0" borderId="0"/>
    <xf numFmtId="0" fontId="17" fillId="16" borderId="23" applyNumberFormat="0" applyProtection="0">
      <alignment horizontal="right" vertical="center"/>
    </xf>
    <xf numFmtId="0" fontId="11" fillId="19" borderId="23" applyNumberFormat="0" applyProtection="0">
      <alignment horizontal="left" vertical="top" indent="1"/>
    </xf>
    <xf numFmtId="0" fontId="42" fillId="0" borderId="0" applyAlignment="0">
      <protection locked="0"/>
    </xf>
    <xf numFmtId="0" fontId="17" fillId="16" borderId="23" applyNumberFormat="0" applyProtection="0">
      <alignment horizontal="right" vertical="center"/>
    </xf>
    <xf numFmtId="0" fontId="11" fillId="19" borderId="23" applyNumberFormat="0" applyProtection="0">
      <alignment horizontal="left" vertical="top" indent="1"/>
    </xf>
    <xf numFmtId="0" fontId="32" fillId="0" borderId="0"/>
    <xf numFmtId="0" fontId="17" fillId="16" borderId="23" applyNumberFormat="0" applyProtection="0">
      <alignment horizontal="right" vertical="center"/>
    </xf>
    <xf numFmtId="0" fontId="11" fillId="19" borderId="23" applyNumberFormat="0" applyProtection="0">
      <alignment horizontal="left" vertical="top" indent="1"/>
    </xf>
    <xf numFmtId="0" fontId="17" fillId="15" borderId="23" applyNumberFormat="0" applyProtection="0">
      <alignment horizontal="right" vertical="center"/>
    </xf>
    <xf numFmtId="215" fontId="46" fillId="0" borderId="0">
      <protection locked="0"/>
    </xf>
    <xf numFmtId="0" fontId="11" fillId="0" borderId="0"/>
    <xf numFmtId="0" fontId="20" fillId="10" borderId="23" applyNumberFormat="0" applyProtection="0">
      <alignment horizontal="left" vertical="top" indent="1"/>
    </xf>
    <xf numFmtId="0" fontId="54" fillId="0" borderId="0"/>
    <xf numFmtId="0" fontId="17" fillId="16" borderId="23" applyNumberFormat="0" applyProtection="0">
      <alignment horizontal="right" vertical="center"/>
    </xf>
    <xf numFmtId="0" fontId="17" fillId="30" borderId="23" applyNumberFormat="0" applyProtection="0">
      <alignment horizontal="right" vertical="center"/>
    </xf>
    <xf numFmtId="0" fontId="17" fillId="35" borderId="23" applyNumberFormat="0" applyProtection="0">
      <alignment horizontal="right" vertical="center"/>
    </xf>
    <xf numFmtId="9" fontId="100" fillId="0" borderId="0" applyAlignment="0"/>
    <xf numFmtId="201" fontId="26" fillId="0" borderId="0"/>
    <xf numFmtId="0" fontId="17" fillId="35" borderId="23" applyNumberFormat="0" applyProtection="0">
      <alignment horizontal="right" vertical="center"/>
    </xf>
    <xf numFmtId="0" fontId="42" fillId="0" borderId="0" applyAlignment="0">
      <protection locked="0"/>
    </xf>
    <xf numFmtId="0" fontId="17" fillId="16" borderId="23" applyNumberFormat="0" applyProtection="0">
      <alignment horizontal="right" vertical="center"/>
    </xf>
    <xf numFmtId="0" fontId="100" fillId="0" borderId="0">
      <alignment vertical="center"/>
      <protection locked="0"/>
    </xf>
    <xf numFmtId="0" fontId="17" fillId="35" borderId="23" applyNumberFormat="0" applyProtection="0">
      <alignment horizontal="right" vertical="center"/>
    </xf>
    <xf numFmtId="0" fontId="100" fillId="0" borderId="0"/>
    <xf numFmtId="0" fontId="17" fillId="16" borderId="23" applyNumberFormat="0" applyProtection="0">
      <alignment horizontal="right" vertical="center"/>
    </xf>
    <xf numFmtId="9" fontId="31" fillId="0" borderId="0" applyAlignment="0"/>
    <xf numFmtId="0" fontId="36" fillId="12" borderId="23" applyNumberFormat="0" applyProtection="0">
      <alignment vertical="center"/>
    </xf>
    <xf numFmtId="0" fontId="11" fillId="18" borderId="23" applyNumberFormat="0" applyProtection="0">
      <alignment horizontal="left" vertical="top" indent="1"/>
    </xf>
    <xf numFmtId="0" fontId="100" fillId="0" borderId="0"/>
    <xf numFmtId="0" fontId="20" fillId="10" borderId="23" applyNumberFormat="0" applyProtection="0">
      <alignment horizontal="left" vertical="top" indent="1"/>
    </xf>
    <xf numFmtId="0" fontId="17" fillId="35" borderId="23" applyNumberFormat="0" applyProtection="0">
      <alignment horizontal="right" vertical="center"/>
    </xf>
    <xf numFmtId="0" fontId="100" fillId="0" borderId="0"/>
    <xf numFmtId="0" fontId="17" fillId="35" borderId="23" applyNumberFormat="0" applyProtection="0">
      <alignment horizontal="right" vertical="center"/>
    </xf>
    <xf numFmtId="0" fontId="100" fillId="0" borderId="0"/>
    <xf numFmtId="0" fontId="100" fillId="0" borderId="0"/>
    <xf numFmtId="0" fontId="31" fillId="0" borderId="0"/>
    <xf numFmtId="0" fontId="100" fillId="0" borderId="0"/>
    <xf numFmtId="0" fontId="17" fillId="7" borderId="23" applyNumberFormat="0" applyProtection="0">
      <alignment horizontal="left" vertical="center" indent="1"/>
    </xf>
    <xf numFmtId="0" fontId="31" fillId="0" borderId="0"/>
    <xf numFmtId="0" fontId="17" fillId="35" borderId="23" applyNumberFormat="0" applyProtection="0">
      <alignment horizontal="right" vertical="center"/>
    </xf>
    <xf numFmtId="0" fontId="100" fillId="0" borderId="0"/>
    <xf numFmtId="0" fontId="17" fillId="35" borderId="23" applyNumberFormat="0" applyProtection="0">
      <alignment horizontal="right" vertical="center"/>
    </xf>
    <xf numFmtId="0" fontId="17" fillId="7" borderId="23" applyNumberFormat="0" applyProtection="0">
      <alignment horizontal="left" vertical="center" indent="1"/>
    </xf>
    <xf numFmtId="178" fontId="69" fillId="0" borderId="0" applyAlignment="0"/>
    <xf numFmtId="0" fontId="17" fillId="35" borderId="23" applyNumberFormat="0" applyProtection="0">
      <alignment horizontal="right" vertical="center"/>
    </xf>
    <xf numFmtId="0" fontId="17" fillId="7" borderId="23" applyNumberFormat="0" applyProtection="0">
      <alignment horizontal="left" vertical="center" indent="1"/>
    </xf>
    <xf numFmtId="178" fontId="69" fillId="0" borderId="0" applyAlignment="0"/>
    <xf numFmtId="0" fontId="31" fillId="0" borderId="0"/>
    <xf numFmtId="0" fontId="100" fillId="0" borderId="0"/>
    <xf numFmtId="0" fontId="100" fillId="0" borderId="0">
      <alignment vertical="center"/>
    </xf>
    <xf numFmtId="0" fontId="20" fillId="10" borderId="23" applyNumberFormat="0" applyProtection="0">
      <alignment horizontal="left" vertical="top" indent="1"/>
    </xf>
    <xf numFmtId="0" fontId="54" fillId="0" borderId="0"/>
    <xf numFmtId="0" fontId="36" fillId="12" borderId="23" applyNumberFormat="0" applyProtection="0">
      <alignment vertical="center"/>
    </xf>
    <xf numFmtId="0" fontId="82" fillId="0" borderId="0">
      <alignment vertical="center"/>
    </xf>
    <xf numFmtId="0" fontId="83" fillId="0" borderId="0"/>
    <xf numFmtId="0" fontId="84" fillId="0" borderId="0"/>
    <xf numFmtId="196" fontId="11" fillId="0" borderId="0" applyFont="0" applyFill="0" applyBorder="0" applyAlignment="0" applyProtection="0"/>
    <xf numFmtId="0" fontId="17" fillId="13" borderId="23" applyNumberFormat="0" applyProtection="0">
      <alignment horizontal="right" vertical="center"/>
    </xf>
    <xf numFmtId="10" fontId="11" fillId="0" borderId="0" applyFont="0" applyFill="0" applyBorder="0" applyAlignment="0" applyProtection="0"/>
    <xf numFmtId="9" fontId="100" fillId="0" borderId="0" applyFont="0" applyFill="0" applyBorder="0" applyAlignment="0" applyProtection="0"/>
    <xf numFmtId="188" fontId="100" fillId="0" borderId="0" applyFont="0" applyFill="0" applyBorder="0" applyAlignment="0" applyProtection="0"/>
    <xf numFmtId="9" fontId="100" fillId="0" borderId="0" applyAlignment="0"/>
    <xf numFmtId="188" fontId="100" fillId="0" borderId="0" applyFont="0" applyFill="0" applyBorder="0" applyAlignment="0" applyProtection="0"/>
    <xf numFmtId="9" fontId="11" fillId="0" borderId="0" applyFont="0" applyFill="0" applyBorder="0" applyAlignment="0" applyProtection="0"/>
    <xf numFmtId="188" fontId="100" fillId="0" borderId="0" applyFont="0" applyFill="0" applyBorder="0" applyAlignment="0" applyProtection="0"/>
    <xf numFmtId="0" fontId="11" fillId="18" borderId="23" applyNumberFormat="0" applyProtection="0">
      <alignment horizontal="left" vertical="center" indent="1"/>
    </xf>
    <xf numFmtId="188" fontId="100" fillId="0" borderId="0" applyFont="0" applyFill="0" applyBorder="0" applyAlignment="0" applyProtection="0"/>
    <xf numFmtId="9" fontId="32" fillId="0" borderId="0" applyFont="0" applyFill="0" applyBorder="0" applyAlignment="0" applyProtection="0"/>
    <xf numFmtId="0" fontId="11" fillId="18" borderId="23" applyNumberFormat="0" applyProtection="0">
      <alignment horizontal="left" vertical="center" indent="1"/>
    </xf>
    <xf numFmtId="9" fontId="32" fillId="0" borderId="0" applyFont="0" applyFill="0" applyBorder="0" applyAlignment="0" applyProtection="0"/>
    <xf numFmtId="9" fontId="100" fillId="0" borderId="0" applyFont="0" applyFill="0" applyBorder="0" applyProtection="0"/>
    <xf numFmtId="188" fontId="100" fillId="0" borderId="0" applyFont="0" applyFill="0" applyBorder="0" applyAlignment="0" applyProtection="0"/>
    <xf numFmtId="9" fontId="100" fillId="0" borderId="0" applyFont="0" applyFill="0" applyBorder="0" applyProtection="0"/>
    <xf numFmtId="0" fontId="17" fillId="7" borderId="23" applyNumberFormat="0" applyProtection="0">
      <alignment horizontal="left" vertical="center" indent="1"/>
    </xf>
    <xf numFmtId="9" fontId="100" fillId="0" borderId="0" applyFont="0" applyFill="0" applyBorder="0" applyProtection="0"/>
    <xf numFmtId="0" fontId="17" fillId="7" borderId="23" applyNumberFormat="0" applyProtection="0">
      <alignment horizontal="left" vertical="center" indent="1"/>
    </xf>
    <xf numFmtId="9" fontId="100" fillId="0" borderId="0" applyFont="0" applyFill="0" applyBorder="0" applyProtection="0"/>
    <xf numFmtId="0" fontId="29" fillId="9" borderId="20"/>
    <xf numFmtId="176" fontId="32" fillId="0" borderId="0" applyFont="0" applyFill="0" applyBorder="0" applyAlignment="0" applyProtection="0"/>
    <xf numFmtId="0" fontId="29" fillId="9" borderId="20"/>
    <xf numFmtId="0" fontId="29" fillId="9" borderId="20"/>
    <xf numFmtId="0" fontId="20" fillId="10" borderId="23" applyNumberFormat="0" applyProtection="0">
      <alignment horizontal="left" vertical="center" indent="1"/>
    </xf>
    <xf numFmtId="0" fontId="29" fillId="9" borderId="20"/>
    <xf numFmtId="176" fontId="32" fillId="0" borderId="0" applyFont="0" applyFill="0" applyBorder="0" applyAlignment="0" applyProtection="0"/>
    <xf numFmtId="0" fontId="29" fillId="9" borderId="20"/>
    <xf numFmtId="0" fontId="17" fillId="12" borderId="23" applyNumberFormat="0" applyProtection="0">
      <alignment horizontal="left" vertical="top" indent="1"/>
    </xf>
    <xf numFmtId="0" fontId="29" fillId="9" borderId="20"/>
    <xf numFmtId="0" fontId="17" fillId="16" borderId="23" applyNumberFormat="0" applyProtection="0">
      <alignment horizontal="right" vertical="center"/>
    </xf>
    <xf numFmtId="0" fontId="29" fillId="9" borderId="20"/>
    <xf numFmtId="0" fontId="29" fillId="9" borderId="20"/>
    <xf numFmtId="0" fontId="17" fillId="7" borderId="23" applyNumberFormat="0" applyProtection="0">
      <alignment horizontal="left" vertical="center" indent="1"/>
    </xf>
    <xf numFmtId="191" fontId="34" fillId="0" borderId="0" applyFill="0" applyBorder="0" applyAlignment="0"/>
    <xf numFmtId="0" fontId="17" fillId="35" borderId="23" applyNumberFormat="0" applyProtection="0">
      <alignment horizontal="right" vertical="center"/>
    </xf>
    <xf numFmtId="198" fontId="34" fillId="0" borderId="0" applyFill="0" applyBorder="0" applyAlignment="0"/>
    <xf numFmtId="191" fontId="34" fillId="0" borderId="0" applyFill="0" applyBorder="0" applyAlignment="0"/>
    <xf numFmtId="4" fontId="33" fillId="0" borderId="0">
      <alignment horizontal="right"/>
    </xf>
    <xf numFmtId="0" fontId="11" fillId="19" borderId="23" applyNumberFormat="0" applyProtection="0">
      <alignment horizontal="left" vertical="center" indent="1"/>
    </xf>
    <xf numFmtId="0" fontId="17" fillId="13" borderId="23" applyNumberFormat="0" applyProtection="0">
      <alignment horizontal="right" vertical="center"/>
    </xf>
    <xf numFmtId="189" fontId="11" fillId="0" borderId="0" applyFont="0" applyFill="0" applyBorder="0" applyAlignment="0" applyProtection="0"/>
    <xf numFmtId="4" fontId="85" fillId="0" borderId="0">
      <alignment horizontal="right"/>
    </xf>
    <xf numFmtId="0" fontId="11" fillId="8" borderId="23" applyNumberFormat="0" applyProtection="0">
      <alignment horizontal="left" vertical="top" indent="1"/>
    </xf>
    <xf numFmtId="176" fontId="46" fillId="0" borderId="0" applyFont="0" applyFill="0" applyBorder="0" applyAlignment="0" applyProtection="0"/>
    <xf numFmtId="0" fontId="20" fillId="10" borderId="23" applyNumberFormat="0" applyProtection="0">
      <alignment vertical="center"/>
    </xf>
    <xf numFmtId="0" fontId="20" fillId="10" borderId="23" applyNumberFormat="0" applyProtection="0">
      <alignment vertical="center"/>
    </xf>
    <xf numFmtId="0" fontId="20" fillId="10" borderId="23" applyNumberFormat="0" applyProtection="0">
      <alignment vertical="center"/>
    </xf>
    <xf numFmtId="0" fontId="20" fillId="10" borderId="23" applyNumberFormat="0" applyProtection="0">
      <alignment vertical="center"/>
    </xf>
    <xf numFmtId="0" fontId="20" fillId="10" borderId="23" applyNumberFormat="0" applyProtection="0">
      <alignment vertical="center"/>
    </xf>
    <xf numFmtId="0" fontId="20" fillId="10" borderId="23" applyNumberFormat="0" applyProtection="0">
      <alignment vertical="center"/>
    </xf>
    <xf numFmtId="0" fontId="20" fillId="10" borderId="23" applyNumberFormat="0" applyProtection="0">
      <alignment vertical="center"/>
    </xf>
    <xf numFmtId="0" fontId="20" fillId="10" borderId="23" applyNumberFormat="0" applyProtection="0">
      <alignment vertical="center"/>
    </xf>
    <xf numFmtId="0" fontId="20" fillId="10" borderId="23" applyNumberFormat="0" applyProtection="0">
      <alignment vertical="center"/>
    </xf>
    <xf numFmtId="0" fontId="20" fillId="10" borderId="23" applyNumberFormat="0" applyProtection="0">
      <alignment vertical="center"/>
    </xf>
    <xf numFmtId="0" fontId="20" fillId="10" borderId="23" applyNumberFormat="0" applyProtection="0">
      <alignment vertical="center"/>
    </xf>
    <xf numFmtId="0" fontId="20" fillId="10" borderId="23" applyNumberFormat="0" applyProtection="0">
      <alignment vertical="center"/>
    </xf>
    <xf numFmtId="0" fontId="20" fillId="10" borderId="23" applyNumberFormat="0" applyProtection="0">
      <alignment vertical="center"/>
    </xf>
    <xf numFmtId="216" fontId="44" fillId="0" borderId="0" applyFont="0" applyFill="0" applyBorder="0" applyAlignment="0" applyProtection="0"/>
    <xf numFmtId="0" fontId="20" fillId="10" borderId="23" applyNumberFormat="0" applyProtection="0">
      <alignment vertical="center"/>
    </xf>
    <xf numFmtId="0" fontId="20" fillId="10" borderId="23" applyNumberFormat="0" applyProtection="0">
      <alignment vertical="center"/>
    </xf>
    <xf numFmtId="0" fontId="20" fillId="10" borderId="23" applyNumberFormat="0" applyProtection="0">
      <alignment vertical="center"/>
    </xf>
    <xf numFmtId="0" fontId="20" fillId="10" borderId="23" applyNumberFormat="0" applyProtection="0">
      <alignment vertical="center"/>
    </xf>
    <xf numFmtId="0" fontId="20" fillId="10" borderId="23" applyNumberFormat="0" applyProtection="0">
      <alignment vertical="center"/>
    </xf>
    <xf numFmtId="0" fontId="20" fillId="10" borderId="23" applyNumberFormat="0" applyProtection="0">
      <alignment vertical="center"/>
    </xf>
    <xf numFmtId="0" fontId="17" fillId="7" borderId="23" applyNumberFormat="0" applyProtection="0">
      <alignment horizontal="right" vertical="center"/>
    </xf>
    <xf numFmtId="0" fontId="27" fillId="10" borderId="23" applyNumberFormat="0" applyProtection="0">
      <alignment vertical="center"/>
    </xf>
    <xf numFmtId="0" fontId="27" fillId="10" borderId="23" applyNumberFormat="0" applyProtection="0">
      <alignment vertical="center"/>
    </xf>
    <xf numFmtId="0" fontId="27" fillId="10" borderId="23" applyNumberFormat="0" applyProtection="0">
      <alignment vertical="center"/>
    </xf>
    <xf numFmtId="0" fontId="27" fillId="10" borderId="23" applyNumberFormat="0" applyProtection="0">
      <alignment vertical="center"/>
    </xf>
    <xf numFmtId="0" fontId="11" fillId="8" borderId="23" applyNumberFormat="0" applyProtection="0">
      <alignment horizontal="left" vertical="top" indent="1"/>
    </xf>
    <xf numFmtId="0" fontId="27" fillId="10" borderId="23" applyNumberFormat="0" applyProtection="0">
      <alignment vertical="center"/>
    </xf>
    <xf numFmtId="0" fontId="27" fillId="10" borderId="23" applyNumberFormat="0" applyProtection="0">
      <alignment vertical="center"/>
    </xf>
    <xf numFmtId="0" fontId="27" fillId="10" borderId="23" applyNumberFormat="0" applyProtection="0">
      <alignment vertical="center"/>
    </xf>
    <xf numFmtId="0" fontId="11" fillId="18" borderId="23" applyNumberFormat="0" applyProtection="0">
      <alignment horizontal="left" vertical="top" indent="1"/>
    </xf>
    <xf numFmtId="0" fontId="27" fillId="10" borderId="23" applyNumberFormat="0" applyProtection="0">
      <alignment vertical="center"/>
    </xf>
    <xf numFmtId="0" fontId="11" fillId="18" borderId="23" applyNumberFormat="0" applyProtection="0">
      <alignment horizontal="left" vertical="top" indent="1"/>
    </xf>
    <xf numFmtId="0" fontId="27" fillId="10" borderId="23" applyNumberFormat="0" applyProtection="0">
      <alignment vertical="center"/>
    </xf>
    <xf numFmtId="0" fontId="27" fillId="10" borderId="23" applyNumberFormat="0" applyProtection="0">
      <alignment vertical="center"/>
    </xf>
    <xf numFmtId="0" fontId="17" fillId="12" borderId="23" applyNumberFormat="0" applyProtection="0">
      <alignment horizontal="left" vertical="center" indent="1"/>
    </xf>
    <xf numFmtId="0" fontId="27" fillId="10" borderId="23" applyNumberFormat="0" applyProtection="0">
      <alignment vertical="center"/>
    </xf>
    <xf numFmtId="0" fontId="27" fillId="10" borderId="23" applyNumberFormat="0" applyProtection="0">
      <alignment vertical="center"/>
    </xf>
    <xf numFmtId="0" fontId="27" fillId="10" borderId="23" applyNumberFormat="0" applyProtection="0">
      <alignment vertical="center"/>
    </xf>
    <xf numFmtId="0" fontId="27" fillId="10" borderId="23" applyNumberFormat="0" applyProtection="0">
      <alignment vertical="center"/>
    </xf>
    <xf numFmtId="0" fontId="27" fillId="10" borderId="23" applyNumberFormat="0" applyProtection="0">
      <alignment vertical="center"/>
    </xf>
    <xf numFmtId="0" fontId="20" fillId="10" borderId="23" applyNumberFormat="0" applyProtection="0">
      <alignment horizontal="left" vertical="center" indent="1"/>
    </xf>
    <xf numFmtId="0" fontId="17" fillId="19" borderId="23" applyNumberFormat="0" applyProtection="0">
      <alignment horizontal="right" vertical="center"/>
    </xf>
    <xf numFmtId="0" fontId="20" fillId="10" borderId="23" applyNumberFormat="0" applyProtection="0">
      <alignment horizontal="left" vertical="center" indent="1"/>
    </xf>
    <xf numFmtId="0" fontId="20" fillId="10" borderId="23" applyNumberFormat="0" applyProtection="0">
      <alignment horizontal="left" vertical="center" indent="1"/>
    </xf>
    <xf numFmtId="0" fontId="20" fillId="10" borderId="23" applyNumberFormat="0" applyProtection="0">
      <alignment horizontal="left" vertical="center" indent="1"/>
    </xf>
    <xf numFmtId="0" fontId="20" fillId="10" borderId="23" applyNumberFormat="0" applyProtection="0">
      <alignment horizontal="left" vertical="center" indent="1"/>
    </xf>
    <xf numFmtId="0" fontId="20" fillId="10" borderId="23" applyNumberFormat="0" applyProtection="0">
      <alignment horizontal="left" vertical="center" indent="1"/>
    </xf>
    <xf numFmtId="0" fontId="20" fillId="10" borderId="23" applyNumberFormat="0" applyProtection="0">
      <alignment horizontal="left" vertical="center" indent="1"/>
    </xf>
    <xf numFmtId="0" fontId="20" fillId="10" borderId="23" applyNumberFormat="0" applyProtection="0">
      <alignment horizontal="left" vertical="center" indent="1"/>
    </xf>
    <xf numFmtId="0" fontId="20" fillId="10" borderId="23" applyNumberFormat="0" applyProtection="0">
      <alignment horizontal="left" vertical="center" indent="1"/>
    </xf>
    <xf numFmtId="0" fontId="20" fillId="10" borderId="23" applyNumberFormat="0" applyProtection="0">
      <alignment horizontal="left" vertical="center" indent="1"/>
    </xf>
    <xf numFmtId="0" fontId="20" fillId="10" borderId="23" applyNumberFormat="0" applyProtection="0">
      <alignment horizontal="left" vertical="center" indent="1"/>
    </xf>
    <xf numFmtId="0" fontId="17" fillId="30" borderId="23" applyNumberFormat="0" applyProtection="0">
      <alignment horizontal="right" vertical="center"/>
    </xf>
    <xf numFmtId="0" fontId="20" fillId="10" borderId="23" applyNumberFormat="0" applyProtection="0">
      <alignment horizontal="left" vertical="center" indent="1"/>
    </xf>
    <xf numFmtId="0" fontId="20" fillId="10" borderId="23" applyNumberFormat="0" applyProtection="0">
      <alignment horizontal="left" vertical="center" indent="1"/>
    </xf>
    <xf numFmtId="0" fontId="20" fillId="10" borderId="23" applyNumberFormat="0" applyProtection="0">
      <alignment horizontal="left" vertical="center" indent="1"/>
    </xf>
    <xf numFmtId="0" fontId="20" fillId="10" borderId="23" applyNumberFormat="0" applyProtection="0">
      <alignment horizontal="left" vertical="center" indent="1"/>
    </xf>
    <xf numFmtId="0" fontId="20" fillId="10" borderId="23" applyNumberFormat="0" applyProtection="0">
      <alignment horizontal="left" vertical="center" indent="1"/>
    </xf>
    <xf numFmtId="0" fontId="20" fillId="10" borderId="23" applyNumberFormat="0" applyProtection="0">
      <alignment horizontal="left" vertical="center" indent="1"/>
    </xf>
    <xf numFmtId="0" fontId="20" fillId="10" borderId="23" applyNumberFormat="0" applyProtection="0">
      <alignment horizontal="left" vertical="center" indent="1"/>
    </xf>
    <xf numFmtId="0" fontId="20" fillId="10" borderId="23" applyNumberFormat="0" applyProtection="0">
      <alignment horizontal="left" vertical="center" indent="1"/>
    </xf>
    <xf numFmtId="0" fontId="20" fillId="10" borderId="23" applyNumberFormat="0" applyProtection="0">
      <alignment horizontal="left" vertical="center" indent="1"/>
    </xf>
    <xf numFmtId="0" fontId="17" fillId="12" borderId="23" applyNumberFormat="0" applyProtection="0">
      <alignment horizontal="left" vertical="center" indent="1"/>
    </xf>
    <xf numFmtId="0" fontId="20" fillId="10" borderId="23" applyNumberFormat="0" applyProtection="0">
      <alignment horizontal="left" vertical="center" indent="1"/>
    </xf>
    <xf numFmtId="0" fontId="17" fillId="12" borderId="23" applyNumberFormat="0" applyProtection="0">
      <alignment horizontal="left" vertical="center" indent="1"/>
    </xf>
    <xf numFmtId="0" fontId="20" fillId="10" borderId="23" applyNumberFormat="0" applyProtection="0">
      <alignment horizontal="left" vertical="top" indent="1"/>
    </xf>
    <xf numFmtId="0" fontId="20" fillId="10" borderId="23" applyNumberFormat="0" applyProtection="0">
      <alignment horizontal="left" vertical="top" indent="1"/>
    </xf>
    <xf numFmtId="0" fontId="20" fillId="7" borderId="0" applyNumberFormat="0" applyProtection="0">
      <alignment horizontal="left" vertical="center" indent="1"/>
    </xf>
    <xf numFmtId="0" fontId="17" fillId="16" borderId="23" applyNumberFormat="0" applyProtection="0">
      <alignment horizontal="right" vertical="center"/>
    </xf>
    <xf numFmtId="0" fontId="17" fillId="16" borderId="23" applyNumberFormat="0" applyProtection="0">
      <alignment horizontal="right" vertical="center"/>
    </xf>
    <xf numFmtId="0" fontId="11" fillId="19" borderId="23" applyNumberFormat="0" applyProtection="0">
      <alignment horizontal="left" vertical="top" indent="1"/>
    </xf>
    <xf numFmtId="0" fontId="17" fillId="16" borderId="23" applyNumberFormat="0" applyProtection="0">
      <alignment horizontal="right" vertical="center"/>
    </xf>
    <xf numFmtId="0" fontId="11" fillId="19" borderId="23" applyNumberFormat="0" applyProtection="0">
      <alignment horizontal="left" vertical="top" indent="1"/>
    </xf>
    <xf numFmtId="0" fontId="17" fillId="16" borderId="23" applyNumberFormat="0" applyProtection="0">
      <alignment horizontal="right" vertical="center"/>
    </xf>
    <xf numFmtId="0" fontId="17" fillId="16" borderId="23" applyNumberFormat="0" applyProtection="0">
      <alignment horizontal="right" vertical="center"/>
    </xf>
    <xf numFmtId="0" fontId="17" fillId="16" borderId="23" applyNumberFormat="0" applyProtection="0">
      <alignment horizontal="right" vertical="center"/>
    </xf>
    <xf numFmtId="0" fontId="17" fillId="30" borderId="23" applyNumberFormat="0" applyProtection="0">
      <alignment horizontal="right" vertical="center"/>
    </xf>
    <xf numFmtId="0" fontId="17" fillId="16" borderId="23" applyNumberFormat="0" applyProtection="0">
      <alignment horizontal="right" vertical="center"/>
    </xf>
    <xf numFmtId="0" fontId="17" fillId="30" borderId="23" applyNumberFormat="0" applyProtection="0">
      <alignment horizontal="right" vertical="center"/>
    </xf>
    <xf numFmtId="0" fontId="17" fillId="16" borderId="23" applyNumberFormat="0" applyProtection="0">
      <alignment horizontal="right" vertical="center"/>
    </xf>
    <xf numFmtId="0" fontId="17" fillId="30" borderId="23" applyNumberFormat="0" applyProtection="0">
      <alignment horizontal="right" vertical="center"/>
    </xf>
    <xf numFmtId="0" fontId="17" fillId="35" borderId="23" applyNumberFormat="0" applyProtection="0">
      <alignment horizontal="right" vertical="center"/>
    </xf>
    <xf numFmtId="0" fontId="26" fillId="0" borderId="0"/>
    <xf numFmtId="0" fontId="17" fillId="35" borderId="23" applyNumberFormat="0" applyProtection="0">
      <alignment horizontal="right" vertical="center"/>
    </xf>
    <xf numFmtId="0" fontId="17" fillId="16" borderId="23" applyNumberFormat="0" applyProtection="0">
      <alignment horizontal="right" vertical="center"/>
    </xf>
    <xf numFmtId="0" fontId="17" fillId="16" borderId="23" applyNumberFormat="0" applyProtection="0">
      <alignment horizontal="right" vertical="center"/>
    </xf>
    <xf numFmtId="0" fontId="17" fillId="16" borderId="23" applyNumberFormat="0" applyProtection="0">
      <alignment horizontal="right" vertical="center"/>
    </xf>
    <xf numFmtId="0" fontId="17" fillId="16" borderId="23" applyNumberFormat="0" applyProtection="0">
      <alignment horizontal="right" vertical="center"/>
    </xf>
    <xf numFmtId="0" fontId="17" fillId="16" borderId="23" applyNumberFormat="0" applyProtection="0">
      <alignment horizontal="right" vertical="center"/>
    </xf>
    <xf numFmtId="0" fontId="17" fillId="13" borderId="23" applyNumberFormat="0" applyProtection="0">
      <alignment horizontal="right" vertical="center"/>
    </xf>
    <xf numFmtId="0" fontId="17" fillId="14" borderId="23" applyNumberFormat="0" applyProtection="0">
      <alignment horizontal="right" vertical="center"/>
    </xf>
    <xf numFmtId="0" fontId="17" fillId="14" borderId="23" applyNumberFormat="0" applyProtection="0">
      <alignment horizontal="right" vertical="center"/>
    </xf>
    <xf numFmtId="0" fontId="17" fillId="14" borderId="23" applyNumberFormat="0" applyProtection="0">
      <alignment horizontal="right" vertical="center"/>
    </xf>
    <xf numFmtId="0" fontId="17" fillId="14" borderId="23" applyNumberFormat="0" applyProtection="0">
      <alignment horizontal="right" vertical="center"/>
    </xf>
    <xf numFmtId="0" fontId="17" fillId="14" borderId="23" applyNumberFormat="0" applyProtection="0">
      <alignment horizontal="right" vertical="center"/>
    </xf>
    <xf numFmtId="0" fontId="17" fillId="12" borderId="23" applyNumberFormat="0" applyProtection="0">
      <alignment vertical="center"/>
    </xf>
    <xf numFmtId="0" fontId="17" fillId="20" borderId="23" applyNumberFormat="0" applyProtection="0">
      <alignment horizontal="right" vertical="center"/>
    </xf>
    <xf numFmtId="0" fontId="17" fillId="20" borderId="23" applyNumberFormat="0" applyProtection="0">
      <alignment horizontal="right" vertical="center"/>
    </xf>
    <xf numFmtId="0" fontId="17" fillId="14" borderId="23" applyNumberFormat="0" applyProtection="0">
      <alignment horizontal="right" vertical="center"/>
    </xf>
    <xf numFmtId="0" fontId="17" fillId="14" borderId="23" applyNumberFormat="0" applyProtection="0">
      <alignment horizontal="right" vertical="center"/>
    </xf>
    <xf numFmtId="0" fontId="59" fillId="39" borderId="0" applyNumberFormat="0" applyBorder="0" applyProtection="0"/>
    <xf numFmtId="0" fontId="17" fillId="20" borderId="23" applyNumberFormat="0" applyProtection="0">
      <alignment horizontal="right" vertical="center"/>
    </xf>
    <xf numFmtId="0" fontId="17" fillId="14" borderId="23" applyNumberFormat="0" applyProtection="0">
      <alignment horizontal="right" vertical="center"/>
    </xf>
    <xf numFmtId="0" fontId="17" fillId="14" borderId="23" applyNumberFormat="0" applyProtection="0">
      <alignment horizontal="right" vertical="center"/>
    </xf>
    <xf numFmtId="0" fontId="17" fillId="14" borderId="23" applyNumberFormat="0" applyProtection="0">
      <alignment horizontal="right" vertical="center"/>
    </xf>
    <xf numFmtId="0" fontId="17" fillId="14" borderId="23" applyNumberFormat="0" applyProtection="0">
      <alignment horizontal="right" vertical="center"/>
    </xf>
    <xf numFmtId="0" fontId="17" fillId="14" borderId="23" applyNumberFormat="0" applyProtection="0">
      <alignment horizontal="right" vertical="center"/>
    </xf>
    <xf numFmtId="0" fontId="17" fillId="14" borderId="23" applyNumberFormat="0" applyProtection="0">
      <alignment horizontal="right" vertical="center"/>
    </xf>
    <xf numFmtId="0" fontId="36" fillId="19" borderId="23" applyNumberFormat="0" applyProtection="0">
      <alignment horizontal="right" vertical="center"/>
    </xf>
    <xf numFmtId="0" fontId="17" fillId="14" borderId="23" applyNumberFormat="0" applyProtection="0">
      <alignment horizontal="right" vertical="center"/>
    </xf>
    <xf numFmtId="0" fontId="17" fillId="14" borderId="23" applyNumberFormat="0" applyProtection="0">
      <alignment horizontal="right" vertical="center"/>
    </xf>
    <xf numFmtId="0" fontId="36" fillId="19" borderId="23" applyNumberFormat="0" applyProtection="0">
      <alignment horizontal="right" vertical="center"/>
    </xf>
    <xf numFmtId="0" fontId="17" fillId="14" borderId="23" applyNumberFormat="0" applyProtection="0">
      <alignment horizontal="right" vertical="center"/>
    </xf>
    <xf numFmtId="0" fontId="17" fillId="14" borderId="23" applyNumberFormat="0" applyProtection="0">
      <alignment horizontal="right" vertical="center"/>
    </xf>
    <xf numFmtId="217" fontId="11" fillId="0" borderId="0" applyFont="0" applyFill="0" applyBorder="0" applyAlignment="0" applyProtection="0"/>
    <xf numFmtId="0" fontId="17" fillId="20" borderId="23" applyNumberFormat="0" applyProtection="0">
      <alignment horizontal="right" vertical="center"/>
    </xf>
    <xf numFmtId="0" fontId="17" fillId="14" borderId="23" applyNumberFormat="0" applyProtection="0">
      <alignment horizontal="right" vertical="center"/>
    </xf>
    <xf numFmtId="0" fontId="17" fillId="14" borderId="23" applyNumberFormat="0" applyProtection="0">
      <alignment horizontal="right" vertical="center"/>
    </xf>
    <xf numFmtId="0" fontId="17" fillId="14" borderId="23" applyNumberFormat="0" applyProtection="0">
      <alignment horizontal="right" vertical="center"/>
    </xf>
    <xf numFmtId="0" fontId="17" fillId="15" borderId="23" applyNumberFormat="0" applyProtection="0">
      <alignment horizontal="right" vertical="center"/>
    </xf>
    <xf numFmtId="0" fontId="17" fillId="14" borderId="23" applyNumberFormat="0" applyProtection="0">
      <alignment horizontal="right" vertical="center"/>
    </xf>
    <xf numFmtId="0" fontId="17" fillId="15" borderId="23" applyNumberFormat="0" applyProtection="0">
      <alignment horizontal="right" vertical="center"/>
    </xf>
    <xf numFmtId="0" fontId="17" fillId="14" borderId="23" applyNumberFormat="0" applyProtection="0">
      <alignment horizontal="right" vertical="center"/>
    </xf>
    <xf numFmtId="0" fontId="17" fillId="14" borderId="23" applyNumberFormat="0" applyProtection="0">
      <alignment horizontal="right" vertical="center"/>
    </xf>
    <xf numFmtId="0" fontId="17" fillId="14" borderId="23" applyNumberFormat="0" applyProtection="0">
      <alignment horizontal="right" vertical="center"/>
    </xf>
    <xf numFmtId="0" fontId="17" fillId="14" borderId="23" applyNumberFormat="0" applyProtection="0">
      <alignment horizontal="right" vertical="center"/>
    </xf>
    <xf numFmtId="0" fontId="17" fillId="14" borderId="23" applyNumberFormat="0" applyProtection="0">
      <alignment horizontal="right" vertical="center"/>
    </xf>
    <xf numFmtId="0" fontId="17" fillId="14" borderId="23" applyNumberFormat="0" applyProtection="0">
      <alignment horizontal="right" vertical="center"/>
    </xf>
    <xf numFmtId="0" fontId="17" fillId="14" borderId="23" applyNumberFormat="0" applyProtection="0">
      <alignment horizontal="right" vertical="center"/>
    </xf>
    <xf numFmtId="0" fontId="59" fillId="39" borderId="0" applyNumberFormat="0" applyBorder="0" applyProtection="0"/>
    <xf numFmtId="0" fontId="17" fillId="14" borderId="23" applyNumberFormat="0" applyProtection="0">
      <alignment horizontal="right" vertical="center"/>
    </xf>
    <xf numFmtId="0" fontId="17" fillId="14" borderId="23" applyNumberFormat="0" applyProtection="0">
      <alignment horizontal="right" vertical="center"/>
    </xf>
    <xf numFmtId="0" fontId="17" fillId="13" borderId="23" applyNumberFormat="0" applyProtection="0">
      <alignment horizontal="right" vertical="center"/>
    </xf>
    <xf numFmtId="0" fontId="17" fillId="13" borderId="23" applyNumberFormat="0" applyProtection="0">
      <alignment horizontal="right" vertical="center"/>
    </xf>
    <xf numFmtId="0" fontId="17" fillId="13" borderId="23" applyNumberFormat="0" applyProtection="0">
      <alignment horizontal="right" vertical="center"/>
    </xf>
    <xf numFmtId="0" fontId="17" fillId="13" borderId="23" applyNumberFormat="0" applyProtection="0">
      <alignment horizontal="right" vertical="center"/>
    </xf>
    <xf numFmtId="0" fontId="17" fillId="13" borderId="23" applyNumberFormat="0" applyProtection="0">
      <alignment horizontal="right" vertical="center"/>
    </xf>
    <xf numFmtId="0" fontId="17" fillId="13" borderId="23" applyNumberFormat="0" applyProtection="0">
      <alignment horizontal="right" vertical="center"/>
    </xf>
    <xf numFmtId="0" fontId="11" fillId="19" borderId="23" applyNumberFormat="0" applyProtection="0">
      <alignment horizontal="left" vertical="center" indent="1"/>
    </xf>
    <xf numFmtId="0" fontId="17" fillId="13" borderId="23" applyNumberFormat="0" applyProtection="0">
      <alignment horizontal="right" vertical="center"/>
    </xf>
    <xf numFmtId="0" fontId="11" fillId="19" borderId="23" applyNumberFormat="0" applyProtection="0">
      <alignment horizontal="left" vertical="center" indent="1"/>
    </xf>
    <xf numFmtId="0" fontId="17" fillId="13" borderId="23" applyNumberFormat="0" applyProtection="0">
      <alignment horizontal="right" vertical="center"/>
    </xf>
    <xf numFmtId="0" fontId="11" fillId="19" borderId="23" applyNumberFormat="0" applyProtection="0">
      <alignment horizontal="left" vertical="center" indent="1"/>
    </xf>
    <xf numFmtId="0" fontId="17" fillId="13" borderId="23" applyNumberFormat="0" applyProtection="0">
      <alignment horizontal="right" vertical="center"/>
    </xf>
    <xf numFmtId="0" fontId="86" fillId="0" borderId="0" applyNumberFormat="0" applyFill="0" applyBorder="0" applyProtection="0"/>
    <xf numFmtId="0" fontId="17" fillId="13" borderId="23" applyNumberFormat="0" applyProtection="0">
      <alignment horizontal="right" vertical="center"/>
    </xf>
    <xf numFmtId="0" fontId="17" fillId="13" borderId="23" applyNumberFormat="0" applyProtection="0">
      <alignment horizontal="right" vertical="center"/>
    </xf>
    <xf numFmtId="0" fontId="17" fillId="13" borderId="23" applyNumberFormat="0" applyProtection="0">
      <alignment horizontal="right" vertical="center"/>
    </xf>
    <xf numFmtId="0" fontId="11" fillId="18" borderId="23" applyNumberFormat="0" applyProtection="0">
      <alignment horizontal="left" vertical="top" indent="1"/>
    </xf>
    <xf numFmtId="0" fontId="17" fillId="13" borderId="23" applyNumberFormat="0" applyProtection="0">
      <alignment horizontal="right" vertical="center"/>
    </xf>
    <xf numFmtId="0" fontId="17" fillId="13" borderId="23" applyNumberFormat="0" applyProtection="0">
      <alignment horizontal="right" vertical="center"/>
    </xf>
    <xf numFmtId="0" fontId="17" fillId="13" borderId="23" applyNumberFormat="0" applyProtection="0">
      <alignment horizontal="right" vertical="center"/>
    </xf>
    <xf numFmtId="0" fontId="17" fillId="12" borderId="23" applyNumberFormat="0" applyProtection="0">
      <alignment vertical="center"/>
    </xf>
    <xf numFmtId="0" fontId="17" fillId="13" borderId="23" applyNumberFormat="0" applyProtection="0">
      <alignment horizontal="right" vertical="center"/>
    </xf>
    <xf numFmtId="0" fontId="17" fillId="12" borderId="23" applyNumberFormat="0" applyProtection="0">
      <alignment vertical="center"/>
    </xf>
    <xf numFmtId="0" fontId="17" fillId="13" borderId="23" applyNumberFormat="0" applyProtection="0">
      <alignment horizontal="right" vertical="center"/>
    </xf>
    <xf numFmtId="0" fontId="17" fillId="13" borderId="23" applyNumberFormat="0" applyProtection="0">
      <alignment horizontal="right" vertical="center"/>
    </xf>
    <xf numFmtId="0" fontId="17" fillId="13" borderId="23" applyNumberFormat="0" applyProtection="0">
      <alignment horizontal="right" vertical="center"/>
    </xf>
    <xf numFmtId="0" fontId="17" fillId="13" borderId="23" applyNumberFormat="0" applyProtection="0">
      <alignment horizontal="right" vertical="center"/>
    </xf>
    <xf numFmtId="0" fontId="17" fillId="13" borderId="23" applyNumberFormat="0" applyProtection="0">
      <alignment horizontal="right" vertical="center"/>
    </xf>
    <xf numFmtId="0" fontId="17" fillId="13" borderId="23" applyNumberFormat="0" applyProtection="0">
      <alignment horizontal="right" vertical="center"/>
    </xf>
    <xf numFmtId="0" fontId="17" fillId="21" borderId="23" applyNumberFormat="0" applyProtection="0">
      <alignment horizontal="right" vertical="center"/>
    </xf>
    <xf numFmtId="0" fontId="11" fillId="19" borderId="23" applyNumberFormat="0" applyProtection="0">
      <alignment horizontal="left" vertical="top" indent="1"/>
    </xf>
    <xf numFmtId="0" fontId="17" fillId="21" borderId="23" applyNumberFormat="0" applyProtection="0">
      <alignment horizontal="right" vertical="center"/>
    </xf>
    <xf numFmtId="0" fontId="11" fillId="19" borderId="23" applyNumberFormat="0" applyProtection="0">
      <alignment horizontal="left" vertical="top" indent="1"/>
    </xf>
    <xf numFmtId="0" fontId="17" fillId="21" borderId="23" applyNumberFormat="0" applyProtection="0">
      <alignment horizontal="right" vertical="center"/>
    </xf>
    <xf numFmtId="0" fontId="17" fillId="21" borderId="23" applyNumberFormat="0" applyProtection="0">
      <alignment horizontal="right" vertical="center"/>
    </xf>
    <xf numFmtId="0" fontId="17" fillId="21" borderId="23" applyNumberFormat="0" applyProtection="0">
      <alignment horizontal="right" vertical="center"/>
    </xf>
    <xf numFmtId="0" fontId="17" fillId="21" borderId="23" applyNumberFormat="0" applyProtection="0">
      <alignment horizontal="right" vertical="center"/>
    </xf>
    <xf numFmtId="0" fontId="17" fillId="21" borderId="23" applyNumberFormat="0" applyProtection="0">
      <alignment horizontal="right" vertical="center"/>
    </xf>
    <xf numFmtId="0" fontId="17" fillId="21" borderId="23" applyNumberFormat="0" applyProtection="0">
      <alignment horizontal="right" vertical="center"/>
    </xf>
    <xf numFmtId="0" fontId="17" fillId="21" borderId="23" applyNumberFormat="0" applyProtection="0">
      <alignment horizontal="right" vertical="center"/>
    </xf>
    <xf numFmtId="0" fontId="17" fillId="21" borderId="23" applyNumberFormat="0" applyProtection="0">
      <alignment horizontal="right" vertical="center"/>
    </xf>
    <xf numFmtId="0" fontId="17" fillId="21" borderId="23" applyNumberFormat="0" applyProtection="0">
      <alignment horizontal="right" vertical="center"/>
    </xf>
    <xf numFmtId="0" fontId="17" fillId="21" borderId="23" applyNumberFormat="0" applyProtection="0">
      <alignment horizontal="right" vertical="center"/>
    </xf>
    <xf numFmtId="0" fontId="17" fillId="21" borderId="23" applyNumberFormat="0" applyProtection="0">
      <alignment horizontal="right" vertical="center"/>
    </xf>
    <xf numFmtId="0" fontId="17" fillId="21" borderId="23" applyNumberFormat="0" applyProtection="0">
      <alignment horizontal="right" vertical="center"/>
    </xf>
    <xf numFmtId="0" fontId="17" fillId="21" borderId="23" applyNumberFormat="0" applyProtection="0">
      <alignment horizontal="right" vertical="center"/>
    </xf>
    <xf numFmtId="0" fontId="17" fillId="21" borderId="23" applyNumberFormat="0" applyProtection="0">
      <alignment horizontal="right" vertical="center"/>
    </xf>
    <xf numFmtId="0" fontId="17" fillId="21" borderId="23" applyNumberFormat="0" applyProtection="0">
      <alignment horizontal="right" vertical="center"/>
    </xf>
    <xf numFmtId="0" fontId="38" fillId="21" borderId="0" applyNumberFormat="0" applyBorder="0" applyProtection="0"/>
    <xf numFmtId="0" fontId="17" fillId="21" borderId="23" applyNumberFormat="0" applyProtection="0">
      <alignment horizontal="right" vertical="center"/>
    </xf>
    <xf numFmtId="0" fontId="17" fillId="21" borderId="23" applyNumberFormat="0" applyProtection="0">
      <alignment horizontal="right" vertical="center"/>
    </xf>
    <xf numFmtId="0" fontId="32" fillId="0" borderId="0"/>
    <xf numFmtId="0" fontId="17" fillId="21" borderId="23" applyNumberFormat="0" applyProtection="0">
      <alignment horizontal="right" vertical="center"/>
    </xf>
    <xf numFmtId="0" fontId="32" fillId="0" borderId="0"/>
    <xf numFmtId="0" fontId="17" fillId="21" borderId="23" applyNumberFormat="0" applyProtection="0">
      <alignment horizontal="right" vertical="center"/>
    </xf>
    <xf numFmtId="0" fontId="32" fillId="0" borderId="0"/>
    <xf numFmtId="0" fontId="17" fillId="21" borderId="23" applyNumberFormat="0" applyProtection="0">
      <alignment horizontal="right" vertical="center"/>
    </xf>
    <xf numFmtId="0" fontId="32" fillId="0" borderId="0"/>
    <xf numFmtId="0" fontId="17" fillId="21" borderId="23" applyNumberFormat="0" applyProtection="0">
      <alignment horizontal="right" vertical="center"/>
    </xf>
    <xf numFmtId="0" fontId="32" fillId="0" borderId="0"/>
    <xf numFmtId="0" fontId="17" fillId="21" borderId="23" applyNumberFormat="0" applyProtection="0">
      <alignment horizontal="right" vertical="center"/>
    </xf>
    <xf numFmtId="0" fontId="17" fillId="12" borderId="23" applyNumberFormat="0" applyProtection="0">
      <alignment horizontal="left" vertical="center" indent="1"/>
    </xf>
    <xf numFmtId="0" fontId="17" fillId="7" borderId="23" applyNumberFormat="0" applyProtection="0">
      <alignment horizontal="left" vertical="center" indent="1"/>
    </xf>
    <xf numFmtId="0" fontId="17" fillId="17" borderId="23" applyNumberFormat="0" applyProtection="0">
      <alignment horizontal="right" vertical="center"/>
    </xf>
    <xf numFmtId="0" fontId="17" fillId="17" borderId="23" applyNumberFormat="0" applyProtection="0">
      <alignment horizontal="right" vertical="center"/>
    </xf>
    <xf numFmtId="0" fontId="18" fillId="19" borderId="23" applyNumberFormat="0" applyProtection="0">
      <alignment horizontal="right" vertical="center"/>
    </xf>
    <xf numFmtId="0" fontId="17" fillId="17" borderId="23" applyNumberFormat="0" applyProtection="0">
      <alignment horizontal="right" vertical="center"/>
    </xf>
    <xf numFmtId="0" fontId="11" fillId="8" borderId="23" applyNumberFormat="0" applyProtection="0">
      <alignment horizontal="left" vertical="center" indent="1"/>
    </xf>
    <xf numFmtId="0" fontId="17" fillId="20" borderId="23" applyNumberFormat="0" applyProtection="0">
      <alignment horizontal="right" vertical="center"/>
    </xf>
    <xf numFmtId="0" fontId="11" fillId="7" borderId="23" applyNumberFormat="0" applyProtection="0">
      <alignment horizontal="left" vertical="top" indent="1"/>
    </xf>
    <xf numFmtId="0" fontId="17" fillId="17" borderId="23" applyNumberFormat="0" applyProtection="0">
      <alignment horizontal="right" vertical="center"/>
    </xf>
    <xf numFmtId="0" fontId="17" fillId="17" borderId="23" applyNumberFormat="0" applyProtection="0">
      <alignment horizontal="right" vertical="center"/>
    </xf>
    <xf numFmtId="0" fontId="17" fillId="17" borderId="23" applyNumberFormat="0" applyProtection="0">
      <alignment horizontal="right" vertical="center"/>
    </xf>
    <xf numFmtId="0" fontId="17" fillId="17" borderId="23" applyNumberFormat="0" applyProtection="0">
      <alignment horizontal="right" vertical="center"/>
    </xf>
    <xf numFmtId="0" fontId="17" fillId="20" borderId="23" applyNumberFormat="0" applyProtection="0">
      <alignment horizontal="right" vertical="center"/>
    </xf>
    <xf numFmtId="0" fontId="11" fillId="7" borderId="23" applyNumberFormat="0" applyProtection="0">
      <alignment horizontal="left" vertical="top" indent="1"/>
    </xf>
    <xf numFmtId="0" fontId="18" fillId="19" borderId="23" applyNumberFormat="0" applyProtection="0">
      <alignment horizontal="right" vertical="center"/>
    </xf>
    <xf numFmtId="0" fontId="17" fillId="17" borderId="23" applyNumberFormat="0" applyProtection="0">
      <alignment horizontal="right" vertical="center"/>
    </xf>
    <xf numFmtId="0" fontId="18" fillId="19" borderId="23" applyNumberFormat="0" applyProtection="0">
      <alignment horizontal="right" vertical="center"/>
    </xf>
    <xf numFmtId="0" fontId="17" fillId="17" borderId="23" applyNumberFormat="0" applyProtection="0">
      <alignment horizontal="right" vertical="center"/>
    </xf>
    <xf numFmtId="0" fontId="18" fillId="19" borderId="23" applyNumberFormat="0" applyProtection="0">
      <alignment horizontal="right" vertical="center"/>
    </xf>
    <xf numFmtId="0" fontId="17" fillId="17" borderId="23" applyNumberFormat="0" applyProtection="0">
      <alignment horizontal="right" vertical="center"/>
    </xf>
    <xf numFmtId="0" fontId="18" fillId="19" borderId="23" applyNumberFormat="0" applyProtection="0">
      <alignment horizontal="right" vertical="center"/>
    </xf>
    <xf numFmtId="0" fontId="17" fillId="17" borderId="23" applyNumberFormat="0" applyProtection="0">
      <alignment horizontal="right" vertical="center"/>
    </xf>
    <xf numFmtId="0" fontId="18" fillId="19" borderId="23" applyNumberFormat="0" applyProtection="0">
      <alignment horizontal="right" vertical="center"/>
    </xf>
    <xf numFmtId="0" fontId="17" fillId="17" borderId="23" applyNumberFormat="0" applyProtection="0">
      <alignment horizontal="right" vertical="center"/>
    </xf>
    <xf numFmtId="0" fontId="17" fillId="17" borderId="23" applyNumberFormat="0" applyProtection="0">
      <alignment horizontal="right" vertical="center"/>
    </xf>
    <xf numFmtId="0" fontId="17" fillId="17" borderId="23" applyNumberFormat="0" applyProtection="0">
      <alignment horizontal="right" vertical="center"/>
    </xf>
    <xf numFmtId="0" fontId="17" fillId="20" borderId="23" applyNumberFormat="0" applyProtection="0">
      <alignment horizontal="right" vertical="center"/>
    </xf>
    <xf numFmtId="0" fontId="17" fillId="17" borderId="23" applyNumberFormat="0" applyProtection="0">
      <alignment horizontal="right" vertical="center"/>
    </xf>
    <xf numFmtId="0" fontId="17" fillId="17" borderId="23" applyNumberFormat="0" applyProtection="0">
      <alignment horizontal="right" vertical="center"/>
    </xf>
    <xf numFmtId="0" fontId="17" fillId="17" borderId="23" applyNumberFormat="0" applyProtection="0">
      <alignment horizontal="right" vertical="center"/>
    </xf>
    <xf numFmtId="0" fontId="17" fillId="17" borderId="23" applyNumberFormat="0" applyProtection="0">
      <alignment horizontal="right" vertical="center"/>
    </xf>
    <xf numFmtId="0" fontId="17" fillId="17" borderId="23" applyNumberFormat="0" applyProtection="0">
      <alignment horizontal="right" vertical="center"/>
    </xf>
    <xf numFmtId="0" fontId="17" fillId="17" borderId="23" applyNumberFormat="0" applyProtection="0">
      <alignment horizontal="right" vertical="center"/>
    </xf>
    <xf numFmtId="0" fontId="17" fillId="17" borderId="23" applyNumberFormat="0" applyProtection="0">
      <alignment horizontal="right" vertical="center"/>
    </xf>
    <xf numFmtId="0" fontId="17" fillId="17" borderId="23" applyNumberFormat="0" applyProtection="0">
      <alignment horizontal="right" vertical="center"/>
    </xf>
    <xf numFmtId="0" fontId="17" fillId="17" borderId="23" applyNumberFormat="0" applyProtection="0">
      <alignment horizontal="right" vertical="center"/>
    </xf>
    <xf numFmtId="0" fontId="17" fillId="17" borderId="23" applyNumberFormat="0" applyProtection="0">
      <alignment horizontal="right" vertical="center"/>
    </xf>
    <xf numFmtId="0" fontId="17" fillId="12" borderId="23" applyNumberFormat="0" applyProtection="0">
      <alignment horizontal="left" vertical="center" indent="1"/>
    </xf>
    <xf numFmtId="0" fontId="17" fillId="17" borderId="23" applyNumberFormat="0" applyProtection="0">
      <alignment horizontal="right" vertical="center"/>
    </xf>
    <xf numFmtId="0" fontId="17" fillId="12" borderId="23" applyNumberFormat="0" applyProtection="0">
      <alignment horizontal="left" vertical="center" indent="1"/>
    </xf>
    <xf numFmtId="0" fontId="17" fillId="17" borderId="23" applyNumberFormat="0" applyProtection="0">
      <alignment horizontal="right" vertical="center"/>
    </xf>
    <xf numFmtId="0" fontId="17" fillId="12" borderId="23" applyNumberFormat="0" applyProtection="0">
      <alignment horizontal="left" vertical="center" indent="1"/>
    </xf>
    <xf numFmtId="0" fontId="17" fillId="35" borderId="23" applyNumberFormat="0" applyProtection="0">
      <alignment horizontal="right" vertical="center"/>
    </xf>
    <xf numFmtId="0" fontId="17" fillId="35" borderId="23" applyNumberFormat="0" applyProtection="0">
      <alignment horizontal="right" vertical="center"/>
    </xf>
    <xf numFmtId="0" fontId="17" fillId="35" borderId="23" applyNumberFormat="0" applyProtection="0">
      <alignment horizontal="right" vertical="center"/>
    </xf>
    <xf numFmtId="0" fontId="17" fillId="35" borderId="23" applyNumberFormat="0" applyProtection="0">
      <alignment horizontal="right" vertical="center"/>
    </xf>
    <xf numFmtId="0" fontId="17" fillId="35" borderId="23" applyNumberFormat="0" applyProtection="0">
      <alignment horizontal="right" vertical="center"/>
    </xf>
    <xf numFmtId="0" fontId="17" fillId="35" borderId="23" applyNumberFormat="0" applyProtection="0">
      <alignment horizontal="right" vertical="center"/>
    </xf>
    <xf numFmtId="0" fontId="17" fillId="35" borderId="23" applyNumberFormat="0" applyProtection="0">
      <alignment horizontal="right" vertical="center"/>
    </xf>
    <xf numFmtId="0" fontId="17" fillId="35" borderId="23" applyNumberFormat="0" applyProtection="0">
      <alignment horizontal="right" vertical="center"/>
    </xf>
    <xf numFmtId="0" fontId="32" fillId="0" borderId="0"/>
    <xf numFmtId="0" fontId="17" fillId="35" borderId="23" applyNumberFormat="0" applyProtection="0">
      <alignment horizontal="right" vertical="center"/>
    </xf>
    <xf numFmtId="0" fontId="32" fillId="0" borderId="0">
      <alignment vertical="center"/>
    </xf>
    <xf numFmtId="0" fontId="17" fillId="35" borderId="23" applyNumberFormat="0" applyProtection="0">
      <alignment horizontal="right" vertical="center"/>
    </xf>
    <xf numFmtId="0" fontId="17" fillId="19" borderId="0" applyNumberFormat="0" applyProtection="0">
      <alignment horizontal="left" vertical="center" indent="1"/>
    </xf>
    <xf numFmtId="0" fontId="100" fillId="0" borderId="0">
      <alignment vertical="center"/>
    </xf>
    <xf numFmtId="0" fontId="17" fillId="35" borderId="23" applyNumberFormat="0" applyProtection="0">
      <alignment horizontal="right" vertical="center"/>
    </xf>
    <xf numFmtId="0" fontId="17" fillId="35" borderId="23" applyNumberFormat="0" applyProtection="0">
      <alignment horizontal="right" vertical="center"/>
    </xf>
    <xf numFmtId="0" fontId="17" fillId="30" borderId="23" applyNumberFormat="0" applyProtection="0">
      <alignment horizontal="right" vertical="center"/>
    </xf>
    <xf numFmtId="0" fontId="17" fillId="35" borderId="23" applyNumberFormat="0" applyProtection="0">
      <alignment horizontal="right" vertical="center"/>
    </xf>
    <xf numFmtId="0" fontId="17" fillId="35" borderId="23" applyNumberFormat="0" applyProtection="0">
      <alignment horizontal="right" vertical="center"/>
    </xf>
    <xf numFmtId="0" fontId="17" fillId="19" borderId="0" applyNumberFormat="0" applyProtection="0">
      <alignment horizontal="left" vertical="center" indent="1"/>
    </xf>
    <xf numFmtId="0" fontId="17" fillId="35" borderId="23" applyNumberFormat="0" applyProtection="0">
      <alignment horizontal="right" vertical="center"/>
    </xf>
    <xf numFmtId="0" fontId="17" fillId="35" borderId="23" applyNumberFormat="0" applyProtection="0">
      <alignment horizontal="right" vertical="center"/>
    </xf>
    <xf numFmtId="0" fontId="17" fillId="35" borderId="23" applyNumberFormat="0" applyProtection="0">
      <alignment horizontal="right" vertical="center"/>
    </xf>
    <xf numFmtId="0" fontId="17" fillId="35" borderId="23" applyNumberFormat="0" applyProtection="0">
      <alignment horizontal="right" vertical="center"/>
    </xf>
    <xf numFmtId="0" fontId="17" fillId="20" borderId="23" applyNumberFormat="0" applyProtection="0">
      <alignment horizontal="right" vertical="center"/>
    </xf>
    <xf numFmtId="0" fontId="17" fillId="20" borderId="23" applyNumberFormat="0" applyProtection="0">
      <alignment horizontal="right" vertical="center"/>
    </xf>
    <xf numFmtId="0" fontId="17" fillId="12" borderId="23" applyNumberFormat="0" applyProtection="0">
      <alignment vertical="center"/>
    </xf>
    <xf numFmtId="0" fontId="17" fillId="20" borderId="23" applyNumberFormat="0" applyProtection="0">
      <alignment horizontal="right" vertical="center"/>
    </xf>
    <xf numFmtId="0" fontId="17" fillId="12" borderId="23" applyNumberFormat="0" applyProtection="0">
      <alignment vertical="center"/>
    </xf>
    <xf numFmtId="0" fontId="17" fillId="20" borderId="23" applyNumberFormat="0" applyProtection="0">
      <alignment horizontal="right" vertical="center"/>
    </xf>
    <xf numFmtId="0" fontId="17" fillId="12" borderId="23" applyNumberFormat="0" applyProtection="0">
      <alignment vertical="center"/>
    </xf>
    <xf numFmtId="0" fontId="17" fillId="20" borderId="23" applyNumberFormat="0" applyProtection="0">
      <alignment horizontal="right" vertical="center"/>
    </xf>
    <xf numFmtId="0" fontId="17" fillId="20" borderId="23" applyNumberFormat="0" applyProtection="0">
      <alignment horizontal="right" vertical="center"/>
    </xf>
    <xf numFmtId="0" fontId="17" fillId="20" borderId="23" applyNumberFormat="0" applyProtection="0">
      <alignment horizontal="right" vertical="center"/>
    </xf>
    <xf numFmtId="0" fontId="17" fillId="20" borderId="23" applyNumberFormat="0" applyProtection="0">
      <alignment horizontal="right" vertical="center"/>
    </xf>
    <xf numFmtId="0" fontId="17" fillId="20" borderId="23" applyNumberFormat="0" applyProtection="0">
      <alignment horizontal="right" vertical="center"/>
    </xf>
    <xf numFmtId="0" fontId="17" fillId="20" borderId="23" applyNumberFormat="0" applyProtection="0">
      <alignment horizontal="right" vertical="center"/>
    </xf>
    <xf numFmtId="0" fontId="17" fillId="20" borderId="23" applyNumberFormat="0" applyProtection="0">
      <alignment horizontal="right" vertical="center"/>
    </xf>
    <xf numFmtId="0" fontId="17" fillId="20" borderId="23" applyNumberFormat="0" applyProtection="0">
      <alignment horizontal="right" vertical="center"/>
    </xf>
    <xf numFmtId="0" fontId="17" fillId="20" borderId="23" applyNumberFormat="0" applyProtection="0">
      <alignment horizontal="right" vertical="center"/>
    </xf>
    <xf numFmtId="0" fontId="17" fillId="30" borderId="23" applyNumberFormat="0" applyProtection="0">
      <alignment horizontal="right" vertical="center"/>
    </xf>
    <xf numFmtId="0" fontId="17" fillId="30" borderId="23" applyNumberFormat="0" applyProtection="0">
      <alignment horizontal="right" vertical="center"/>
    </xf>
    <xf numFmtId="0" fontId="17" fillId="30" borderId="23" applyNumberFormat="0" applyProtection="0">
      <alignment horizontal="right" vertical="center"/>
    </xf>
    <xf numFmtId="0" fontId="17" fillId="30" borderId="23" applyNumberFormat="0" applyProtection="0">
      <alignment horizontal="right" vertical="center"/>
    </xf>
    <xf numFmtId="0" fontId="17" fillId="30" borderId="23" applyNumberFormat="0" applyProtection="0">
      <alignment horizontal="right" vertical="center"/>
    </xf>
    <xf numFmtId="0" fontId="36" fillId="12" borderId="23" applyNumberFormat="0" applyProtection="0">
      <alignment vertical="center"/>
    </xf>
    <xf numFmtId="0" fontId="17" fillId="30" borderId="23" applyNumberFormat="0" applyProtection="0">
      <alignment horizontal="right" vertical="center"/>
    </xf>
    <xf numFmtId="0" fontId="11" fillId="18" borderId="23" applyNumberFormat="0" applyProtection="0">
      <alignment horizontal="left" vertical="center" indent="1"/>
    </xf>
    <xf numFmtId="0" fontId="17" fillId="30" borderId="23" applyNumberFormat="0" applyProtection="0">
      <alignment horizontal="right" vertical="center"/>
    </xf>
    <xf numFmtId="0" fontId="11" fillId="18" borderId="23" applyNumberFormat="0" applyProtection="0">
      <alignment horizontal="left" vertical="center" indent="1"/>
    </xf>
    <xf numFmtId="0" fontId="17" fillId="30" borderId="23" applyNumberFormat="0" applyProtection="0">
      <alignment horizontal="right" vertical="center"/>
    </xf>
    <xf numFmtId="0" fontId="11" fillId="18" borderId="23" applyNumberFormat="0" applyProtection="0">
      <alignment horizontal="left" vertical="center" indent="1"/>
    </xf>
    <xf numFmtId="0" fontId="17" fillId="30" borderId="23" applyNumberFormat="0" applyProtection="0">
      <alignment horizontal="right" vertical="center"/>
    </xf>
    <xf numFmtId="0" fontId="17" fillId="30" borderId="23" applyNumberFormat="0" applyProtection="0">
      <alignment horizontal="right" vertical="center"/>
    </xf>
    <xf numFmtId="0" fontId="17" fillId="30" borderId="23" applyNumberFormat="0" applyProtection="0">
      <alignment horizontal="right" vertical="center"/>
    </xf>
    <xf numFmtId="0" fontId="17" fillId="15" borderId="23" applyNumberFormat="0" applyProtection="0">
      <alignment horizontal="right" vertical="center"/>
    </xf>
    <xf numFmtId="0" fontId="17" fillId="15" borderId="23" applyNumberFormat="0" applyProtection="0">
      <alignment horizontal="right" vertical="center"/>
    </xf>
    <xf numFmtId="0" fontId="17" fillId="15" borderId="23" applyNumberFormat="0" applyProtection="0">
      <alignment horizontal="right" vertical="center"/>
    </xf>
    <xf numFmtId="0" fontId="17" fillId="15" borderId="23" applyNumberFormat="0" applyProtection="0">
      <alignment horizontal="right" vertical="center"/>
    </xf>
    <xf numFmtId="0" fontId="17" fillId="12" borderId="23" applyNumberFormat="0" applyProtection="0">
      <alignment vertical="center"/>
    </xf>
    <xf numFmtId="0" fontId="17" fillId="15" borderId="23" applyNumberFormat="0" applyProtection="0">
      <alignment horizontal="right" vertical="center"/>
    </xf>
    <xf numFmtId="0" fontId="17" fillId="15" borderId="23" applyNumberFormat="0" applyProtection="0">
      <alignment horizontal="right" vertical="center"/>
    </xf>
    <xf numFmtId="0" fontId="17" fillId="15" borderId="23" applyNumberFormat="0" applyProtection="0">
      <alignment horizontal="right" vertical="center"/>
    </xf>
    <xf numFmtId="0" fontId="17" fillId="15" borderId="23" applyNumberFormat="0" applyProtection="0">
      <alignment horizontal="right" vertical="center"/>
    </xf>
    <xf numFmtId="0" fontId="17" fillId="15" borderId="23" applyNumberFormat="0" applyProtection="0">
      <alignment horizontal="right" vertical="center"/>
    </xf>
    <xf numFmtId="0" fontId="17" fillId="15" borderId="23" applyNumberFormat="0" applyProtection="0">
      <alignment horizontal="right" vertical="center"/>
    </xf>
    <xf numFmtId="0" fontId="17" fillId="15" borderId="23" applyNumberFormat="0" applyProtection="0">
      <alignment horizontal="right" vertical="center"/>
    </xf>
    <xf numFmtId="0" fontId="17" fillId="15" borderId="23" applyNumberFormat="0" applyProtection="0">
      <alignment horizontal="right" vertical="center"/>
    </xf>
    <xf numFmtId="0" fontId="11" fillId="7" borderId="23" applyNumberFormat="0" applyProtection="0">
      <alignment horizontal="left" vertical="center" indent="1"/>
    </xf>
    <xf numFmtId="0" fontId="17" fillId="15" borderId="23" applyNumberFormat="0" applyProtection="0">
      <alignment horizontal="right" vertical="center"/>
    </xf>
    <xf numFmtId="0" fontId="17" fillId="15" borderId="23" applyNumberFormat="0" applyProtection="0">
      <alignment horizontal="right" vertical="center"/>
    </xf>
    <xf numFmtId="0" fontId="17" fillId="15" borderId="23" applyNumberFormat="0" applyProtection="0">
      <alignment horizontal="right" vertical="center"/>
    </xf>
    <xf numFmtId="0" fontId="17" fillId="15" borderId="23" applyNumberFormat="0" applyProtection="0">
      <alignment horizontal="right" vertical="center"/>
    </xf>
    <xf numFmtId="0" fontId="17" fillId="15" borderId="23" applyNumberFormat="0" applyProtection="0">
      <alignment horizontal="right" vertical="center"/>
    </xf>
    <xf numFmtId="0" fontId="87" fillId="18" borderId="0" applyNumberFormat="0" applyProtection="0">
      <alignment horizontal="left" vertical="center" indent="1"/>
    </xf>
    <xf numFmtId="0" fontId="17" fillId="7" borderId="23" applyNumberFormat="0" applyProtection="0">
      <alignment horizontal="right" vertical="center"/>
    </xf>
    <xf numFmtId="0" fontId="17" fillId="7" borderId="23" applyNumberFormat="0" applyProtection="0">
      <alignment horizontal="right" vertical="center"/>
    </xf>
    <xf numFmtId="0" fontId="17" fillId="7" borderId="23" applyNumberFormat="0" applyProtection="0">
      <alignment horizontal="right" vertical="center"/>
    </xf>
    <xf numFmtId="0" fontId="17" fillId="7" borderId="23" applyNumberFormat="0" applyProtection="0">
      <alignment horizontal="right" vertical="center"/>
    </xf>
    <xf numFmtId="0" fontId="17" fillId="7" borderId="23" applyNumberFormat="0" applyProtection="0">
      <alignment horizontal="right" vertical="center"/>
    </xf>
    <xf numFmtId="0" fontId="17" fillId="7" borderId="23" applyNumberFormat="0" applyProtection="0">
      <alignment horizontal="right" vertical="center"/>
    </xf>
    <xf numFmtId="0" fontId="17" fillId="7" borderId="23" applyNumberFormat="0" applyProtection="0">
      <alignment horizontal="right" vertical="center"/>
    </xf>
    <xf numFmtId="0" fontId="17" fillId="7" borderId="23" applyNumberFormat="0" applyProtection="0">
      <alignment horizontal="right" vertical="center"/>
    </xf>
    <xf numFmtId="0" fontId="17" fillId="7" borderId="23" applyNumberFormat="0" applyProtection="0">
      <alignment horizontal="right" vertical="center"/>
    </xf>
    <xf numFmtId="0" fontId="17" fillId="7" borderId="23" applyNumberFormat="0" applyProtection="0">
      <alignment horizontal="right" vertical="center"/>
    </xf>
    <xf numFmtId="0" fontId="17" fillId="7" borderId="23" applyNumberFormat="0" applyProtection="0">
      <alignment horizontal="right" vertical="center"/>
    </xf>
    <xf numFmtId="0" fontId="17" fillId="7" borderId="23" applyNumberFormat="0" applyProtection="0">
      <alignment horizontal="right" vertical="center"/>
    </xf>
    <xf numFmtId="0" fontId="17" fillId="7" borderId="23" applyNumberFormat="0" applyProtection="0">
      <alignment horizontal="right" vertical="center"/>
    </xf>
    <xf numFmtId="0" fontId="38" fillId="21" borderId="0" applyNumberFormat="0" applyBorder="0" applyProtection="0"/>
    <xf numFmtId="0" fontId="17" fillId="7" borderId="0" applyNumberFormat="0" applyProtection="0">
      <alignment horizontal="left" vertical="center" indent="1"/>
    </xf>
    <xf numFmtId="0" fontId="11" fillId="18" borderId="23" applyNumberFormat="0" applyProtection="0">
      <alignment horizontal="left" vertical="center" indent="1"/>
    </xf>
    <xf numFmtId="0" fontId="11" fillId="18" borderId="23" applyNumberFormat="0" applyProtection="0">
      <alignment horizontal="left" vertical="center" indent="1"/>
    </xf>
    <xf numFmtId="0" fontId="11" fillId="18" borderId="23" applyNumberFormat="0" applyProtection="0">
      <alignment horizontal="left" vertical="center" indent="1"/>
    </xf>
    <xf numFmtId="0" fontId="36" fillId="12" borderId="23" applyNumberFormat="0" applyProtection="0">
      <alignment vertical="center"/>
    </xf>
    <xf numFmtId="0" fontId="11" fillId="18" borderId="23" applyNumberFormat="0" applyProtection="0">
      <alignment horizontal="left" vertical="center" indent="1"/>
    </xf>
    <xf numFmtId="0" fontId="11" fillId="18" borderId="23" applyNumberFormat="0" applyProtection="0">
      <alignment horizontal="left" vertical="center" indent="1"/>
    </xf>
    <xf numFmtId="0" fontId="11" fillId="18" borderId="23" applyNumberFormat="0" applyProtection="0">
      <alignment horizontal="left" vertical="center" indent="1"/>
    </xf>
    <xf numFmtId="0" fontId="11" fillId="18" borderId="23" applyNumberFormat="0" applyProtection="0">
      <alignment horizontal="left" vertical="center" indent="1"/>
    </xf>
    <xf numFmtId="0" fontId="11" fillId="18" borderId="23" applyNumberFormat="0" applyProtection="0">
      <alignment horizontal="left" vertical="center" indent="1"/>
    </xf>
    <xf numFmtId="0" fontId="36" fillId="12" borderId="23" applyNumberFormat="0" applyProtection="0">
      <alignment vertical="center"/>
    </xf>
    <xf numFmtId="0" fontId="11" fillId="18" borderId="23" applyNumberFormat="0" applyProtection="0">
      <alignment horizontal="left" vertical="center" indent="1"/>
    </xf>
    <xf numFmtId="0" fontId="36" fillId="12" borderId="23" applyNumberFormat="0" applyProtection="0">
      <alignment vertical="center"/>
    </xf>
    <xf numFmtId="0" fontId="11" fillId="18" borderId="23" applyNumberFormat="0" applyProtection="0">
      <alignment horizontal="left" vertical="center" indent="1"/>
    </xf>
    <xf numFmtId="0" fontId="36" fillId="12" borderId="23" applyNumberFormat="0" applyProtection="0">
      <alignment vertical="center"/>
    </xf>
    <xf numFmtId="0" fontId="11" fillId="18" borderId="23" applyNumberFormat="0" applyProtection="0">
      <alignment horizontal="left" vertical="center" indent="1"/>
    </xf>
    <xf numFmtId="0" fontId="11" fillId="18" borderId="23" applyNumberFormat="0" applyProtection="0">
      <alignment horizontal="left" vertical="center" indent="1"/>
    </xf>
    <xf numFmtId="0" fontId="36" fillId="12" borderId="23" applyNumberFormat="0" applyProtection="0">
      <alignment vertical="center"/>
    </xf>
    <xf numFmtId="0" fontId="74" fillId="0" borderId="0"/>
    <xf numFmtId="0" fontId="11" fillId="18" borderId="23" applyNumberFormat="0" applyProtection="0">
      <alignment horizontal="left" vertical="center" indent="1"/>
    </xf>
    <xf numFmtId="0" fontId="36" fillId="12" borderId="23" applyNumberFormat="0" applyProtection="0">
      <alignment vertical="center"/>
    </xf>
    <xf numFmtId="201" fontId="26" fillId="0" borderId="0"/>
    <xf numFmtId="0" fontId="11" fillId="18" borderId="23" applyNumberFormat="0" applyProtection="0">
      <alignment horizontal="left" vertical="center" indent="1"/>
    </xf>
    <xf numFmtId="0" fontId="36" fillId="12" borderId="23" applyNumberFormat="0" applyProtection="0">
      <alignment vertical="center"/>
    </xf>
    <xf numFmtId="0" fontId="32" fillId="0" borderId="0"/>
    <xf numFmtId="0" fontId="11" fillId="18" borderId="23" applyNumberFormat="0" applyProtection="0">
      <alignment horizontal="left" vertical="center" indent="1"/>
    </xf>
    <xf numFmtId="0" fontId="36" fillId="12" borderId="23" applyNumberFormat="0" applyProtection="0">
      <alignment vertical="center"/>
    </xf>
    <xf numFmtId="0" fontId="32" fillId="0" borderId="0"/>
    <xf numFmtId="0" fontId="11" fillId="18" borderId="23" applyNumberFormat="0" applyProtection="0">
      <alignment horizontal="left" vertical="center" indent="1"/>
    </xf>
    <xf numFmtId="0" fontId="11" fillId="18" borderId="23" applyNumberFormat="0" applyProtection="0">
      <alignment horizontal="left" vertical="center" indent="1"/>
    </xf>
    <xf numFmtId="0" fontId="11" fillId="18" borderId="23" applyNumberFormat="0" applyProtection="0">
      <alignment horizontal="left" vertical="center" indent="1"/>
    </xf>
    <xf numFmtId="0" fontId="11" fillId="18" borderId="23" applyNumberFormat="0" applyProtection="0">
      <alignment horizontal="left" vertical="center" indent="1"/>
    </xf>
    <xf numFmtId="0" fontId="11" fillId="18" borderId="23" applyNumberFormat="0" applyProtection="0">
      <alignment horizontal="left" vertical="center" indent="1"/>
    </xf>
    <xf numFmtId="0" fontId="11" fillId="18" borderId="23" applyNumberFormat="0" applyProtection="0">
      <alignment horizontal="left" vertical="center" indent="1"/>
    </xf>
    <xf numFmtId="0" fontId="11" fillId="7" borderId="23" applyNumberFormat="0" applyProtection="0">
      <alignment horizontal="left" vertical="center" indent="1"/>
    </xf>
    <xf numFmtId="0" fontId="11" fillId="18" borderId="23" applyNumberFormat="0" applyProtection="0">
      <alignment horizontal="left" vertical="center" indent="1"/>
    </xf>
    <xf numFmtId="0" fontId="11" fillId="18" borderId="23" applyNumberFormat="0" applyProtection="0">
      <alignment horizontal="left" vertical="top" indent="1"/>
    </xf>
    <xf numFmtId="0" fontId="11" fillId="18" borderId="23" applyNumberFormat="0" applyProtection="0">
      <alignment horizontal="left" vertical="top" indent="1"/>
    </xf>
    <xf numFmtId="0" fontId="11" fillId="18" borderId="23" applyNumberFormat="0" applyProtection="0">
      <alignment horizontal="left" vertical="top" indent="1"/>
    </xf>
    <xf numFmtId="0" fontId="11" fillId="18" borderId="23" applyNumberFormat="0" applyProtection="0">
      <alignment horizontal="left" vertical="top" indent="1"/>
    </xf>
    <xf numFmtId="0" fontId="11" fillId="18" borderId="23" applyNumberFormat="0" applyProtection="0">
      <alignment horizontal="left" vertical="top" indent="1"/>
    </xf>
    <xf numFmtId="0" fontId="11" fillId="18" borderId="23" applyNumberFormat="0" applyProtection="0">
      <alignment horizontal="left" vertical="top" indent="1"/>
    </xf>
    <xf numFmtId="0" fontId="11" fillId="18" borderId="23" applyNumberFormat="0" applyProtection="0">
      <alignment horizontal="left" vertical="top" indent="1"/>
    </xf>
    <xf numFmtId="0" fontId="11" fillId="18" borderId="23" applyNumberFormat="0" applyProtection="0">
      <alignment horizontal="left" vertical="top" indent="1"/>
    </xf>
    <xf numFmtId="0" fontId="11" fillId="18" borderId="23" applyNumberFormat="0" applyProtection="0">
      <alignment horizontal="left" vertical="top" indent="1"/>
    </xf>
    <xf numFmtId="0" fontId="11" fillId="18" borderId="23" applyNumberFormat="0" applyProtection="0">
      <alignment horizontal="left" vertical="top" indent="1"/>
    </xf>
    <xf numFmtId="0" fontId="11" fillId="18" borderId="23" applyNumberFormat="0" applyProtection="0">
      <alignment horizontal="left" vertical="top" indent="1"/>
    </xf>
    <xf numFmtId="0" fontId="11" fillId="18" borderId="23" applyNumberFormat="0" applyProtection="0">
      <alignment horizontal="left" vertical="top" indent="1"/>
    </xf>
    <xf numFmtId="0" fontId="11" fillId="18" borderId="23" applyNumberFormat="0" applyProtection="0">
      <alignment horizontal="left" vertical="top" indent="1"/>
    </xf>
    <xf numFmtId="0" fontId="36" fillId="12" borderId="23" applyNumberFormat="0" applyProtection="0">
      <alignment vertical="center"/>
    </xf>
    <xf numFmtId="0" fontId="11" fillId="18" borderId="23" applyNumberFormat="0" applyProtection="0">
      <alignment horizontal="left" vertical="top" indent="1"/>
    </xf>
    <xf numFmtId="0" fontId="11" fillId="18" borderId="23" applyNumberFormat="0" applyProtection="0">
      <alignment horizontal="left" vertical="top" indent="1"/>
    </xf>
    <xf numFmtId="0" fontId="11" fillId="18" borderId="23" applyNumberFormat="0" applyProtection="0">
      <alignment horizontal="left" vertical="top" indent="1"/>
    </xf>
    <xf numFmtId="0" fontId="11" fillId="18" borderId="23" applyNumberFormat="0" applyProtection="0">
      <alignment horizontal="left" vertical="top" indent="1"/>
    </xf>
    <xf numFmtId="0" fontId="59" fillId="39" borderId="0" applyNumberFormat="0" applyBorder="0" applyProtection="0"/>
    <xf numFmtId="0" fontId="11" fillId="18" borderId="23" applyNumberFormat="0" applyProtection="0">
      <alignment horizontal="left" vertical="top" indent="1"/>
    </xf>
    <xf numFmtId="0" fontId="11" fillId="18" borderId="23" applyNumberFormat="0" applyProtection="0">
      <alignment horizontal="left" vertical="top" indent="1"/>
    </xf>
    <xf numFmtId="0" fontId="11" fillId="18" borderId="23" applyNumberFormat="0" applyProtection="0">
      <alignment horizontal="left" vertical="top" indent="1"/>
    </xf>
    <xf numFmtId="0" fontId="11" fillId="18" borderId="23" applyNumberFormat="0" applyProtection="0">
      <alignment horizontal="left" vertical="top" indent="1"/>
    </xf>
    <xf numFmtId="0" fontId="11" fillId="18" borderId="23" applyNumberFormat="0" applyProtection="0">
      <alignment horizontal="left" vertical="top" indent="1"/>
    </xf>
    <xf numFmtId="0" fontId="11" fillId="7" borderId="23" applyNumberFormat="0" applyProtection="0">
      <alignment horizontal="left" vertical="center" indent="1"/>
    </xf>
    <xf numFmtId="0" fontId="36" fillId="19" borderId="23" applyNumberFormat="0" applyProtection="0">
      <alignment horizontal="right" vertical="center"/>
    </xf>
    <xf numFmtId="0" fontId="11" fillId="7" borderId="23" applyNumberFormat="0" applyProtection="0">
      <alignment horizontal="left" vertical="center" indent="1"/>
    </xf>
    <xf numFmtId="0" fontId="11" fillId="7" borderId="23" applyNumberFormat="0" applyProtection="0">
      <alignment horizontal="left" vertical="center" indent="1"/>
    </xf>
    <xf numFmtId="0" fontId="11" fillId="7" borderId="23" applyNumberFormat="0" applyProtection="0">
      <alignment horizontal="left" vertical="center" indent="1"/>
    </xf>
    <xf numFmtId="0" fontId="11" fillId="7" borderId="23" applyNumberFormat="0" applyProtection="0">
      <alignment horizontal="left" vertical="center" indent="1"/>
    </xf>
    <xf numFmtId="0" fontId="11" fillId="7" borderId="23" applyNumberFormat="0" applyProtection="0">
      <alignment horizontal="left" vertical="center" indent="1"/>
    </xf>
    <xf numFmtId="0" fontId="11" fillId="7" borderId="23" applyNumberFormat="0" applyProtection="0">
      <alignment horizontal="left" vertical="center" indent="1"/>
    </xf>
    <xf numFmtId="0" fontId="11" fillId="7" borderId="23" applyNumberFormat="0" applyProtection="0">
      <alignment horizontal="left" vertical="center" indent="1"/>
    </xf>
    <xf numFmtId="0" fontId="11" fillId="7" borderId="23" applyNumberFormat="0" applyProtection="0">
      <alignment horizontal="left" vertical="center" indent="1"/>
    </xf>
    <xf numFmtId="0" fontId="100" fillId="0" borderId="0"/>
    <xf numFmtId="0" fontId="11" fillId="7" borderId="23" applyNumberFormat="0" applyProtection="0">
      <alignment horizontal="left" vertical="center" indent="1"/>
    </xf>
    <xf numFmtId="0" fontId="11" fillId="7" borderId="23" applyNumberFormat="0" applyProtection="0">
      <alignment horizontal="left" vertical="center" indent="1"/>
    </xf>
    <xf numFmtId="0" fontId="11" fillId="7" borderId="23" applyNumberFormat="0" applyProtection="0">
      <alignment horizontal="left" vertical="center" indent="1"/>
    </xf>
    <xf numFmtId="0" fontId="11" fillId="7" borderId="23" applyNumberFormat="0" applyProtection="0">
      <alignment horizontal="left" vertical="center" indent="1"/>
    </xf>
    <xf numFmtId="0" fontId="11" fillId="7" borderId="23" applyNumberFormat="0" applyProtection="0">
      <alignment horizontal="left" vertical="center" indent="1"/>
    </xf>
    <xf numFmtId="0" fontId="11" fillId="7" borderId="23" applyNumberFormat="0" applyProtection="0">
      <alignment horizontal="left" vertical="center" indent="1"/>
    </xf>
    <xf numFmtId="0" fontId="11" fillId="7" borderId="23" applyNumberFormat="0" applyProtection="0">
      <alignment horizontal="left" vertical="center" indent="1"/>
    </xf>
    <xf numFmtId="0" fontId="11" fillId="7" borderId="23" applyNumberFormat="0" applyProtection="0">
      <alignment horizontal="left" vertical="center" indent="1"/>
    </xf>
    <xf numFmtId="0" fontId="11" fillId="7" borderId="23" applyNumberFormat="0" applyProtection="0">
      <alignment horizontal="left" vertical="center" indent="1"/>
    </xf>
    <xf numFmtId="0" fontId="11" fillId="7" borderId="23" applyNumberFormat="0" applyProtection="0">
      <alignment horizontal="left" vertical="center" indent="1"/>
    </xf>
    <xf numFmtId="0" fontId="11" fillId="7" borderId="23" applyNumberFormat="0" applyProtection="0">
      <alignment horizontal="left" vertical="center" indent="1"/>
    </xf>
    <xf numFmtId="0" fontId="11" fillId="7" borderId="23" applyNumberFormat="0" applyProtection="0">
      <alignment horizontal="left" vertical="top" indent="1"/>
    </xf>
    <xf numFmtId="0" fontId="18" fillId="19" borderId="23" applyNumberFormat="0" applyProtection="0">
      <alignment horizontal="right" vertical="center"/>
    </xf>
    <xf numFmtId="0" fontId="11" fillId="7" borderId="23" applyNumberFormat="0" applyProtection="0">
      <alignment horizontal="left" vertical="top" indent="1"/>
    </xf>
    <xf numFmtId="0" fontId="18" fillId="19" borderId="23" applyNumberFormat="0" applyProtection="0">
      <alignment horizontal="right" vertical="center"/>
    </xf>
    <xf numFmtId="0" fontId="11" fillId="7" borderId="23" applyNumberFormat="0" applyProtection="0">
      <alignment horizontal="left" vertical="top" indent="1"/>
    </xf>
    <xf numFmtId="0" fontId="18" fillId="19" borderId="23" applyNumberFormat="0" applyProtection="0">
      <alignment horizontal="right" vertical="center"/>
    </xf>
    <xf numFmtId="0" fontId="11" fillId="7" borderId="23" applyNumberFormat="0" applyProtection="0">
      <alignment horizontal="left" vertical="top" indent="1"/>
    </xf>
    <xf numFmtId="0" fontId="11" fillId="8" borderId="23" applyNumberFormat="0" applyProtection="0">
      <alignment horizontal="left" vertical="center" indent="1"/>
    </xf>
    <xf numFmtId="0" fontId="11" fillId="8" borderId="23" applyNumberFormat="0" applyProtection="0">
      <alignment horizontal="left" vertical="center" indent="1"/>
    </xf>
    <xf numFmtId="0" fontId="11" fillId="8" borderId="23" applyNumberFormat="0" applyProtection="0">
      <alignment horizontal="left" vertical="center" indent="1"/>
    </xf>
    <xf numFmtId="0" fontId="11" fillId="8" borderId="23" applyNumberFormat="0" applyProtection="0">
      <alignment horizontal="left" vertical="center" indent="1"/>
    </xf>
    <xf numFmtId="0" fontId="11" fillId="8" borderId="23" applyNumberFormat="0" applyProtection="0">
      <alignment horizontal="left" vertical="center" indent="1"/>
    </xf>
    <xf numFmtId="0" fontId="11" fillId="8" borderId="23" applyNumberFormat="0" applyProtection="0">
      <alignment horizontal="left" vertical="center" indent="1"/>
    </xf>
    <xf numFmtId="0" fontId="11" fillId="8" borderId="23" applyNumberFormat="0" applyProtection="0">
      <alignment horizontal="left" vertical="center" indent="1"/>
    </xf>
    <xf numFmtId="0" fontId="100" fillId="0" borderId="0"/>
    <xf numFmtId="0" fontId="11" fillId="8" borderId="23" applyNumberFormat="0" applyProtection="0">
      <alignment horizontal="left" vertical="center" indent="1"/>
    </xf>
    <xf numFmtId="0" fontId="11" fillId="8" borderId="23" applyNumberFormat="0" applyProtection="0">
      <alignment horizontal="left" vertical="center" indent="1"/>
    </xf>
    <xf numFmtId="0" fontId="36" fillId="19" borderId="23" applyNumberFormat="0" applyProtection="0">
      <alignment horizontal="right" vertical="center"/>
    </xf>
    <xf numFmtId="0" fontId="11" fillId="8" borderId="23" applyNumberFormat="0" applyProtection="0">
      <alignment horizontal="left" vertical="center" indent="1"/>
    </xf>
    <xf numFmtId="0" fontId="36" fillId="19" borderId="23" applyNumberFormat="0" applyProtection="0">
      <alignment horizontal="right" vertical="center"/>
    </xf>
    <xf numFmtId="0" fontId="11" fillId="8" borderId="23" applyNumberFormat="0" applyProtection="0">
      <alignment horizontal="left" vertical="center" indent="1"/>
    </xf>
    <xf numFmtId="0" fontId="11" fillId="8" borderId="23" applyNumberFormat="0" applyProtection="0">
      <alignment horizontal="left" vertical="center" indent="1"/>
    </xf>
    <xf numFmtId="0" fontId="36" fillId="19" borderId="23" applyNumberFormat="0" applyProtection="0">
      <alignment horizontal="right" vertical="center"/>
    </xf>
    <xf numFmtId="0" fontId="11" fillId="8" borderId="23" applyNumberFormat="0" applyProtection="0">
      <alignment horizontal="left" vertical="center" indent="1"/>
    </xf>
    <xf numFmtId="0" fontId="36" fillId="19" borderId="23" applyNumberFormat="0" applyProtection="0">
      <alignment horizontal="right" vertical="center"/>
    </xf>
    <xf numFmtId="0" fontId="11" fillId="8" borderId="23" applyNumberFormat="0" applyProtection="0">
      <alignment horizontal="left" vertical="center" indent="1"/>
    </xf>
    <xf numFmtId="0" fontId="36" fillId="19" borderId="23" applyNumberFormat="0" applyProtection="0">
      <alignment horizontal="right" vertical="center"/>
    </xf>
    <xf numFmtId="0" fontId="11" fillId="8" borderId="23" applyNumberFormat="0" applyProtection="0">
      <alignment horizontal="left" vertical="center" indent="1"/>
    </xf>
    <xf numFmtId="0" fontId="11" fillId="8" borderId="23" applyNumberFormat="0" applyProtection="0">
      <alignment horizontal="left" vertical="center" indent="1"/>
    </xf>
    <xf numFmtId="0" fontId="11" fillId="8" borderId="23" applyNumberFormat="0" applyProtection="0">
      <alignment horizontal="left" vertical="center" indent="1"/>
    </xf>
    <xf numFmtId="0" fontId="11" fillId="8" borderId="23" applyNumberFormat="0" applyProtection="0">
      <alignment horizontal="left" vertical="top" indent="1"/>
    </xf>
    <xf numFmtId="0" fontId="11" fillId="8" borderId="23" applyNumberFormat="0" applyProtection="0">
      <alignment horizontal="left" vertical="top" indent="1"/>
    </xf>
    <xf numFmtId="0" fontId="11" fillId="8" borderId="23" applyNumberFormat="0" applyProtection="0">
      <alignment horizontal="left" vertical="top" indent="1"/>
    </xf>
    <xf numFmtId="0" fontId="11" fillId="8" borderId="23" applyNumberFormat="0" applyProtection="0">
      <alignment horizontal="left" vertical="top" indent="1"/>
    </xf>
    <xf numFmtId="0" fontId="11" fillId="8" borderId="23" applyNumberFormat="0" applyProtection="0">
      <alignment horizontal="left" vertical="top" indent="1"/>
    </xf>
    <xf numFmtId="0" fontId="11" fillId="8" borderId="23" applyNumberFormat="0" applyProtection="0">
      <alignment horizontal="left" vertical="top" indent="1"/>
    </xf>
    <xf numFmtId="0" fontId="11" fillId="8" borderId="23" applyNumberFormat="0" applyProtection="0">
      <alignment horizontal="left" vertical="top" indent="1"/>
    </xf>
    <xf numFmtId="0" fontId="11" fillId="8" borderId="23" applyNumberFormat="0" applyProtection="0">
      <alignment horizontal="left" vertical="top" indent="1"/>
    </xf>
    <xf numFmtId="0" fontId="11" fillId="8" borderId="23" applyNumberFormat="0" applyProtection="0">
      <alignment horizontal="left" vertical="top" indent="1"/>
    </xf>
    <xf numFmtId="0" fontId="11" fillId="8" borderId="23" applyNumberFormat="0" applyProtection="0">
      <alignment horizontal="left" vertical="top" indent="1"/>
    </xf>
    <xf numFmtId="0" fontId="11" fillId="8" borderId="23" applyNumberFormat="0" applyProtection="0">
      <alignment horizontal="left" vertical="top" indent="1"/>
    </xf>
    <xf numFmtId="0" fontId="11" fillId="8" borderId="23" applyNumberFormat="0" applyProtection="0">
      <alignment horizontal="left" vertical="top" indent="1"/>
    </xf>
    <xf numFmtId="0" fontId="11" fillId="8" borderId="23" applyNumberFormat="0" applyProtection="0">
      <alignment horizontal="left" vertical="top" indent="1"/>
    </xf>
    <xf numFmtId="0" fontId="11" fillId="8" borderId="23" applyNumberFormat="0" applyProtection="0">
      <alignment horizontal="left" vertical="top" indent="1"/>
    </xf>
    <xf numFmtId="0" fontId="11" fillId="8" borderId="23" applyNumberFormat="0" applyProtection="0">
      <alignment horizontal="left" vertical="top" indent="1"/>
    </xf>
    <xf numFmtId="0" fontId="17" fillId="12" borderId="23" applyNumberFormat="0" applyProtection="0">
      <alignment vertical="center"/>
    </xf>
    <xf numFmtId="0" fontId="11" fillId="8" borderId="23" applyNumberFormat="0" applyProtection="0">
      <alignment horizontal="left" vertical="top" indent="1"/>
    </xf>
    <xf numFmtId="0" fontId="17" fillId="12" borderId="23" applyNumberFormat="0" applyProtection="0">
      <alignment vertical="center"/>
    </xf>
    <xf numFmtId="0" fontId="11" fillId="8" borderId="23" applyNumberFormat="0" applyProtection="0">
      <alignment horizontal="left" vertical="top" indent="1"/>
    </xf>
    <xf numFmtId="0" fontId="17" fillId="12" borderId="23" applyNumberFormat="0" applyProtection="0">
      <alignment vertical="center"/>
    </xf>
    <xf numFmtId="9" fontId="44" fillId="0" borderId="0" applyFont="0" applyFill="0" applyBorder="0" applyAlignment="0" applyProtection="0"/>
    <xf numFmtId="0" fontId="11" fillId="8" borderId="23" applyNumberFormat="0" applyProtection="0">
      <alignment horizontal="left" vertical="top" indent="1"/>
    </xf>
    <xf numFmtId="0" fontId="17" fillId="12" borderId="23" applyNumberFormat="0" applyProtection="0">
      <alignment vertical="center"/>
    </xf>
    <xf numFmtId="0" fontId="11" fillId="8" borderId="23" applyNumberFormat="0" applyProtection="0">
      <alignment horizontal="left" vertical="top" indent="1"/>
    </xf>
    <xf numFmtId="0" fontId="11" fillId="8" borderId="23" applyNumberFormat="0" applyProtection="0">
      <alignment horizontal="left" vertical="top" indent="1"/>
    </xf>
    <xf numFmtId="0" fontId="11" fillId="8" borderId="23" applyNumberFormat="0" applyProtection="0">
      <alignment horizontal="left" vertical="top" indent="1"/>
    </xf>
    <xf numFmtId="0" fontId="11" fillId="19" borderId="23" applyNumberFormat="0" applyProtection="0">
      <alignment horizontal="left" vertical="center" indent="1"/>
    </xf>
    <xf numFmtId="0" fontId="11" fillId="19" borderId="23" applyNumberFormat="0" applyProtection="0">
      <alignment horizontal="left" vertical="center" indent="1"/>
    </xf>
    <xf numFmtId="0" fontId="17" fillId="19" borderId="23" applyNumberFormat="0" applyProtection="0">
      <alignment horizontal="right" vertical="center"/>
    </xf>
    <xf numFmtId="0" fontId="11" fillId="19" borderId="23" applyNumberFormat="0" applyProtection="0">
      <alignment horizontal="left" vertical="center" indent="1"/>
    </xf>
    <xf numFmtId="0" fontId="17" fillId="12" borderId="23" applyNumberFormat="0" applyProtection="0">
      <alignment horizontal="left" vertical="center" indent="1"/>
    </xf>
    <xf numFmtId="0" fontId="11" fillId="19" borderId="23" applyNumberFormat="0" applyProtection="0">
      <alignment horizontal="left" vertical="center" indent="1"/>
    </xf>
    <xf numFmtId="0" fontId="11" fillId="19" borderId="23" applyNumberFormat="0" applyProtection="0">
      <alignment horizontal="left" vertical="center" indent="1"/>
    </xf>
    <xf numFmtId="0" fontId="11" fillId="19" borderId="23" applyNumberFormat="0" applyProtection="0">
      <alignment horizontal="left" vertical="center" indent="1"/>
    </xf>
    <xf numFmtId="0" fontId="11" fillId="19" borderId="23" applyNumberFormat="0" applyProtection="0">
      <alignment horizontal="left" vertical="center" indent="1"/>
    </xf>
    <xf numFmtId="0" fontId="100" fillId="0" borderId="0"/>
    <xf numFmtId="0" fontId="11" fillId="19" borderId="23" applyNumberFormat="0" applyProtection="0">
      <alignment horizontal="left" vertical="center" indent="1"/>
    </xf>
    <xf numFmtId="0" fontId="11" fillId="19" borderId="23" applyNumberFormat="0" applyProtection="0">
      <alignment horizontal="left" vertical="center" indent="1"/>
    </xf>
    <xf numFmtId="0" fontId="11" fillId="19" borderId="23" applyNumberFormat="0" applyProtection="0">
      <alignment horizontal="left" vertical="center" indent="1"/>
    </xf>
    <xf numFmtId="0" fontId="11" fillId="19" borderId="23" applyNumberFormat="0" applyProtection="0">
      <alignment horizontal="left" vertical="center" indent="1"/>
    </xf>
    <xf numFmtId="0" fontId="11" fillId="19" borderId="23" applyNumberFormat="0" applyProtection="0">
      <alignment horizontal="left" vertical="center" indent="1"/>
    </xf>
    <xf numFmtId="0" fontId="11" fillId="19" borderId="23" applyNumberFormat="0" applyProtection="0">
      <alignment horizontal="left" vertical="center" indent="1"/>
    </xf>
    <xf numFmtId="0" fontId="11" fillId="19" borderId="23" applyNumberFormat="0" applyProtection="0">
      <alignment horizontal="left" vertical="center" indent="1"/>
    </xf>
    <xf numFmtId="0" fontId="11" fillId="19" borderId="23" applyNumberFormat="0" applyProtection="0">
      <alignment horizontal="left" vertical="center" indent="1"/>
    </xf>
    <xf numFmtId="0" fontId="11" fillId="19" borderId="23" applyNumberFormat="0" applyProtection="0">
      <alignment horizontal="left" vertical="center" indent="1"/>
    </xf>
    <xf numFmtId="0" fontId="11" fillId="19" borderId="23" applyNumberFormat="0" applyProtection="0">
      <alignment horizontal="left" vertical="center" indent="1"/>
    </xf>
    <xf numFmtId="0" fontId="11" fillId="19" borderId="23" applyNumberFormat="0" applyProtection="0">
      <alignment horizontal="left" vertical="center" indent="1"/>
    </xf>
    <xf numFmtId="0" fontId="11" fillId="19" borderId="23" applyNumberFormat="0" applyProtection="0">
      <alignment horizontal="left" vertical="top" indent="1"/>
    </xf>
    <xf numFmtId="0" fontId="11" fillId="19" borderId="23" applyNumberFormat="0" applyProtection="0">
      <alignment horizontal="left" vertical="top" indent="1"/>
    </xf>
    <xf numFmtId="0" fontId="11" fillId="19" borderId="23" applyNumberFormat="0" applyProtection="0">
      <alignment horizontal="left" vertical="top" indent="1"/>
    </xf>
    <xf numFmtId="0" fontId="17" fillId="19" borderId="23" applyNumberFormat="0" applyProtection="0">
      <alignment horizontal="right" vertical="center"/>
    </xf>
    <xf numFmtId="0" fontId="11" fillId="19" borderId="23" applyNumberFormat="0" applyProtection="0">
      <alignment horizontal="left" vertical="top" indent="1"/>
    </xf>
    <xf numFmtId="0" fontId="17" fillId="19" borderId="23" applyNumberFormat="0" applyProtection="0">
      <alignment horizontal="right" vertical="center"/>
    </xf>
    <xf numFmtId="0" fontId="11" fillId="19" borderId="23" applyNumberFormat="0" applyProtection="0">
      <alignment horizontal="left" vertical="top" indent="1"/>
    </xf>
    <xf numFmtId="0" fontId="11" fillId="19" borderId="23" applyNumberFormat="0" applyProtection="0">
      <alignment horizontal="left" vertical="top" indent="1"/>
    </xf>
    <xf numFmtId="0" fontId="11" fillId="19" borderId="23" applyNumberFormat="0" applyProtection="0">
      <alignment horizontal="left" vertical="top" indent="1"/>
    </xf>
    <xf numFmtId="0" fontId="11" fillId="19" borderId="23" applyNumberFormat="0" applyProtection="0">
      <alignment horizontal="left" vertical="top" indent="1"/>
    </xf>
    <xf numFmtId="0" fontId="11" fillId="19" borderId="23" applyNumberFormat="0" applyProtection="0">
      <alignment horizontal="left" vertical="top" indent="1"/>
    </xf>
    <xf numFmtId="0" fontId="11" fillId="19" borderId="23" applyNumberFormat="0" applyProtection="0">
      <alignment horizontal="left" vertical="top" indent="1"/>
    </xf>
    <xf numFmtId="0" fontId="11" fillId="19" borderId="23" applyNumberFormat="0" applyProtection="0">
      <alignment horizontal="left" vertical="top" indent="1"/>
    </xf>
    <xf numFmtId="0" fontId="11" fillId="19" borderId="23" applyNumberFormat="0" applyProtection="0">
      <alignment horizontal="left" vertical="top" indent="1"/>
    </xf>
    <xf numFmtId="0" fontId="11" fillId="19" borderId="23" applyNumberFormat="0" applyProtection="0">
      <alignment horizontal="left" vertical="top" indent="1"/>
    </xf>
    <xf numFmtId="0" fontId="11" fillId="19" borderId="23" applyNumberFormat="0" applyProtection="0">
      <alignment horizontal="left" vertical="top" indent="1"/>
    </xf>
    <xf numFmtId="0" fontId="17" fillId="19" borderId="23" applyNumberFormat="0" applyProtection="0">
      <alignment horizontal="right" vertical="center"/>
    </xf>
    <xf numFmtId="0" fontId="11" fillId="19" borderId="23" applyNumberFormat="0" applyProtection="0">
      <alignment horizontal="left" vertical="top" indent="1"/>
    </xf>
    <xf numFmtId="0" fontId="17" fillId="19" borderId="23" applyNumberFormat="0" applyProtection="0">
      <alignment horizontal="right" vertical="center"/>
    </xf>
    <xf numFmtId="0" fontId="17" fillId="12" borderId="23" applyNumberFormat="0" applyProtection="0">
      <alignment vertical="center"/>
    </xf>
    <xf numFmtId="0" fontId="17" fillId="12" borderId="23" applyNumberFormat="0" applyProtection="0">
      <alignment vertical="center"/>
    </xf>
    <xf numFmtId="0" fontId="17" fillId="12" borderId="23" applyNumberFormat="0" applyProtection="0">
      <alignment vertical="center"/>
    </xf>
    <xf numFmtId="0" fontId="17" fillId="12" borderId="23" applyNumberFormat="0" applyProtection="0">
      <alignment vertical="center"/>
    </xf>
    <xf numFmtId="0" fontId="17" fillId="12" borderId="23" applyNumberFormat="0" applyProtection="0">
      <alignment vertical="center"/>
    </xf>
    <xf numFmtId="0" fontId="17" fillId="12" borderId="23" applyNumberFormat="0" applyProtection="0">
      <alignment vertical="center"/>
    </xf>
    <xf numFmtId="0" fontId="17" fillId="12" borderId="23" applyNumberFormat="0" applyProtection="0">
      <alignment vertical="center"/>
    </xf>
    <xf numFmtId="0" fontId="17" fillId="12" borderId="23" applyNumberFormat="0" applyProtection="0">
      <alignment vertical="center"/>
    </xf>
    <xf numFmtId="0" fontId="17" fillId="12" borderId="23" applyNumberFormat="0" applyProtection="0">
      <alignment vertical="center"/>
    </xf>
    <xf numFmtId="0" fontId="17" fillId="12" borderId="23" applyNumberFormat="0" applyProtection="0">
      <alignment vertical="center"/>
    </xf>
    <xf numFmtId="0" fontId="17" fillId="12" borderId="23" applyNumberFormat="0" applyProtection="0">
      <alignment vertical="center"/>
    </xf>
    <xf numFmtId="0" fontId="17" fillId="12" borderId="23" applyNumberFormat="0" applyProtection="0">
      <alignment vertical="center"/>
    </xf>
    <xf numFmtId="0" fontId="17" fillId="12" borderId="23" applyNumberFormat="0" applyProtection="0">
      <alignment vertical="center"/>
    </xf>
    <xf numFmtId="0" fontId="17" fillId="12" borderId="23" applyNumberFormat="0" applyProtection="0">
      <alignment vertical="center"/>
    </xf>
    <xf numFmtId="0" fontId="17" fillId="12" borderId="23" applyNumberFormat="0" applyProtection="0">
      <alignment vertical="center"/>
    </xf>
    <xf numFmtId="0" fontId="17" fillId="12" borderId="23" applyNumberFormat="0" applyProtection="0">
      <alignment vertical="center"/>
    </xf>
    <xf numFmtId="0" fontId="17" fillId="12" borderId="23" applyNumberFormat="0" applyProtection="0">
      <alignment vertical="center"/>
    </xf>
    <xf numFmtId="0" fontId="36" fillId="12" borderId="23" applyNumberFormat="0" applyProtection="0">
      <alignment vertical="center"/>
    </xf>
    <xf numFmtId="0" fontId="36" fillId="12" borderId="23" applyNumberFormat="0" applyProtection="0">
      <alignment vertical="center"/>
    </xf>
    <xf numFmtId="0" fontId="36" fillId="12" borderId="23" applyNumberFormat="0" applyProtection="0">
      <alignment vertical="center"/>
    </xf>
    <xf numFmtId="0" fontId="36" fillId="12" borderId="23" applyNumberFormat="0" applyProtection="0">
      <alignment vertical="center"/>
    </xf>
    <xf numFmtId="0" fontId="36" fillId="12" borderId="23" applyNumberFormat="0" applyProtection="0">
      <alignment vertical="center"/>
    </xf>
    <xf numFmtId="0" fontId="36" fillId="12" borderId="23" applyNumberFormat="0" applyProtection="0">
      <alignment vertical="center"/>
    </xf>
    <xf numFmtId="0" fontId="36" fillId="12" borderId="23" applyNumberFormat="0" applyProtection="0">
      <alignment vertical="center"/>
    </xf>
    <xf numFmtId="0" fontId="36" fillId="12" borderId="23" applyNumberFormat="0" applyProtection="0">
      <alignment vertical="center"/>
    </xf>
    <xf numFmtId="0" fontId="36" fillId="12" borderId="23" applyNumberFormat="0" applyProtection="0">
      <alignment vertical="center"/>
    </xf>
    <xf numFmtId="0" fontId="36" fillId="12" borderId="23" applyNumberFormat="0" applyProtection="0">
      <alignment vertical="center"/>
    </xf>
    <xf numFmtId="0" fontId="36" fillId="12" borderId="23" applyNumberFormat="0" applyProtection="0">
      <alignment vertical="center"/>
    </xf>
    <xf numFmtId="0" fontId="36" fillId="12" borderId="23" applyNumberFormat="0" applyProtection="0">
      <alignment vertical="center"/>
    </xf>
    <xf numFmtId="0" fontId="36" fillId="12" borderId="23" applyNumberFormat="0" applyProtection="0">
      <alignment vertical="center"/>
    </xf>
    <xf numFmtId="0" fontId="36" fillId="12" borderId="23" applyNumberFormat="0" applyProtection="0">
      <alignment vertical="center"/>
    </xf>
    <xf numFmtId="0" fontId="17" fillId="12" borderId="23" applyNumberFormat="0" applyProtection="0">
      <alignment horizontal="left" vertical="center" indent="1"/>
    </xf>
    <xf numFmtId="0" fontId="17" fillId="12" borderId="23" applyNumberFormat="0" applyProtection="0">
      <alignment horizontal="left" vertical="center" indent="1"/>
    </xf>
    <xf numFmtId="0" fontId="17" fillId="12" borderId="23" applyNumberFormat="0" applyProtection="0">
      <alignment horizontal="left" vertical="center" indent="1"/>
    </xf>
    <xf numFmtId="0" fontId="17" fillId="12" borderId="23" applyNumberFormat="0" applyProtection="0">
      <alignment horizontal="left" vertical="center" indent="1"/>
    </xf>
    <xf numFmtId="0" fontId="31" fillId="0" borderId="0"/>
    <xf numFmtId="0" fontId="17" fillId="12" borderId="23" applyNumberFormat="0" applyProtection="0">
      <alignment horizontal="left" vertical="center" indent="1"/>
    </xf>
    <xf numFmtId="0" fontId="17" fillId="12" borderId="23" applyNumberFormat="0" applyProtection="0">
      <alignment horizontal="left" vertical="center" indent="1"/>
    </xf>
    <xf numFmtId="0" fontId="17" fillId="12" borderId="23" applyNumberFormat="0" applyProtection="0">
      <alignment horizontal="left" vertical="center" indent="1"/>
    </xf>
    <xf numFmtId="0" fontId="17" fillId="12" borderId="23" applyNumberFormat="0" applyProtection="0">
      <alignment horizontal="left" vertical="center" indent="1"/>
    </xf>
    <xf numFmtId="0" fontId="17" fillId="12" borderId="23" applyNumberFormat="0" applyProtection="0">
      <alignment horizontal="left" vertical="center" indent="1"/>
    </xf>
    <xf numFmtId="0" fontId="17" fillId="12" borderId="23" applyNumberFormat="0" applyProtection="0">
      <alignment horizontal="left" vertical="center" indent="1"/>
    </xf>
    <xf numFmtId="0" fontId="17" fillId="12" borderId="23" applyNumberFormat="0" applyProtection="0">
      <alignment horizontal="left" vertical="center" indent="1"/>
    </xf>
    <xf numFmtId="0" fontId="17" fillId="12" borderId="23" applyNumberFormat="0" applyProtection="0">
      <alignment horizontal="left" vertical="center" indent="1"/>
    </xf>
    <xf numFmtId="0" fontId="17" fillId="12" borderId="23" applyNumberFormat="0" applyProtection="0">
      <alignment horizontal="left" vertical="center" indent="1"/>
    </xf>
    <xf numFmtId="0" fontId="17" fillId="12" borderId="23" applyNumberFormat="0" applyProtection="0">
      <alignment horizontal="left" vertical="center" indent="1"/>
    </xf>
    <xf numFmtId="0" fontId="88" fillId="45" borderId="0" applyNumberFormat="0" applyProtection="0">
      <alignment horizontal="left" vertical="center" indent="1"/>
    </xf>
    <xf numFmtId="0" fontId="17" fillId="12" borderId="23" applyNumberFormat="0" applyProtection="0">
      <alignment horizontal="left" vertical="center" indent="1"/>
    </xf>
    <xf numFmtId="0" fontId="17" fillId="12" borderId="23" applyNumberFormat="0" applyProtection="0">
      <alignment horizontal="left" vertical="top" indent="1"/>
    </xf>
    <xf numFmtId="0" fontId="17" fillId="12" borderId="23" applyNumberFormat="0" applyProtection="0">
      <alignment horizontal="left" vertical="top" indent="1"/>
    </xf>
    <xf numFmtId="0" fontId="17" fillId="12" borderId="23" applyNumberFormat="0" applyProtection="0">
      <alignment horizontal="left" vertical="top" indent="1"/>
    </xf>
    <xf numFmtId="0" fontId="17" fillId="12" borderId="23" applyNumberFormat="0" applyProtection="0">
      <alignment horizontal="left" vertical="top" indent="1"/>
    </xf>
    <xf numFmtId="0" fontId="17" fillId="12" borderId="23" applyNumberFormat="0" applyProtection="0">
      <alignment horizontal="left" vertical="top" indent="1"/>
    </xf>
    <xf numFmtId="0" fontId="17" fillId="19" borderId="23" applyNumberFormat="0" applyProtection="0">
      <alignment horizontal="right" vertical="center"/>
    </xf>
    <xf numFmtId="0" fontId="17" fillId="12" borderId="23" applyNumberFormat="0" applyProtection="0">
      <alignment horizontal="left" vertical="top" indent="1"/>
    </xf>
    <xf numFmtId="0" fontId="17" fillId="12" borderId="23" applyNumberFormat="0" applyProtection="0">
      <alignment horizontal="left" vertical="top" indent="1"/>
    </xf>
    <xf numFmtId="0" fontId="17" fillId="12" borderId="23" applyNumberFormat="0" applyProtection="0">
      <alignment horizontal="left" vertical="top" indent="1"/>
    </xf>
    <xf numFmtId="0" fontId="17" fillId="12" borderId="23" applyNumberFormat="0" applyProtection="0">
      <alignment horizontal="left" vertical="top" indent="1"/>
    </xf>
    <xf numFmtId="0" fontId="17" fillId="12" borderId="23" applyNumberFormat="0" applyProtection="0">
      <alignment horizontal="left" vertical="top" indent="1"/>
    </xf>
    <xf numFmtId="0" fontId="17" fillId="12" borderId="23" applyNumberFormat="0" applyProtection="0">
      <alignment horizontal="left" vertical="top" indent="1"/>
    </xf>
    <xf numFmtId="0" fontId="17" fillId="12" borderId="23" applyNumberFormat="0" applyProtection="0">
      <alignment horizontal="left" vertical="top" indent="1"/>
    </xf>
    <xf numFmtId="0" fontId="17" fillId="12" borderId="23" applyNumberFormat="0" applyProtection="0">
      <alignment horizontal="left" vertical="top" indent="1"/>
    </xf>
    <xf numFmtId="0" fontId="17" fillId="12" borderId="23" applyNumberFormat="0" applyProtection="0">
      <alignment horizontal="left" vertical="top" indent="1"/>
    </xf>
    <xf numFmtId="0" fontId="17" fillId="12" borderId="23" applyNumberFormat="0" applyProtection="0">
      <alignment horizontal="left" vertical="top" indent="1"/>
    </xf>
    <xf numFmtId="0" fontId="17" fillId="12" borderId="23" applyNumberFormat="0" applyProtection="0">
      <alignment horizontal="left" vertical="top" indent="1"/>
    </xf>
    <xf numFmtId="0" fontId="17" fillId="12" borderId="23" applyNumberFormat="0" applyProtection="0">
      <alignment horizontal="left" vertical="top" indent="1"/>
    </xf>
    <xf numFmtId="0" fontId="17" fillId="19" borderId="23" applyNumberFormat="0" applyProtection="0">
      <alignment horizontal="right" vertical="center"/>
    </xf>
    <xf numFmtId="0" fontId="17" fillId="19" borderId="23" applyNumberFormat="0" applyProtection="0">
      <alignment horizontal="right" vertical="center"/>
    </xf>
    <xf numFmtId="0" fontId="17" fillId="19" borderId="23" applyNumberFormat="0" applyProtection="0">
      <alignment horizontal="right" vertical="center"/>
    </xf>
    <xf numFmtId="0" fontId="17" fillId="19" borderId="23" applyNumberFormat="0" applyProtection="0">
      <alignment horizontal="right" vertical="center"/>
    </xf>
    <xf numFmtId="0" fontId="17" fillId="19" borderId="23" applyNumberFormat="0" applyProtection="0">
      <alignment horizontal="right" vertical="center"/>
    </xf>
    <xf numFmtId="0" fontId="17" fillId="19" borderId="23" applyNumberFormat="0" applyProtection="0">
      <alignment horizontal="right" vertical="center"/>
    </xf>
    <xf numFmtId="0" fontId="17" fillId="19" borderId="23" applyNumberFormat="0" applyProtection="0">
      <alignment horizontal="right" vertical="center"/>
    </xf>
    <xf numFmtId="0" fontId="17" fillId="19" borderId="23" applyNumberFormat="0" applyProtection="0">
      <alignment horizontal="right" vertical="center"/>
    </xf>
    <xf numFmtId="0" fontId="17" fillId="19" borderId="23" applyNumberFormat="0" applyProtection="0">
      <alignment horizontal="right" vertical="center"/>
    </xf>
    <xf numFmtId="0" fontId="17" fillId="19" borderId="23" applyNumberFormat="0" applyProtection="0">
      <alignment horizontal="right" vertical="center"/>
    </xf>
    <xf numFmtId="0" fontId="17" fillId="19" borderId="23" applyNumberFormat="0" applyProtection="0">
      <alignment horizontal="right" vertical="center"/>
    </xf>
    <xf numFmtId="0" fontId="17" fillId="19" borderId="23" applyNumberFormat="0" applyProtection="0">
      <alignment horizontal="right" vertical="center"/>
    </xf>
    <xf numFmtId="0" fontId="17" fillId="19" borderId="23" applyNumberFormat="0" applyProtection="0">
      <alignment horizontal="right" vertical="center"/>
    </xf>
    <xf numFmtId="0" fontId="36" fillId="19" borderId="23" applyNumberFormat="0" applyProtection="0">
      <alignment horizontal="right" vertical="center"/>
    </xf>
    <xf numFmtId="0" fontId="36" fillId="19" borderId="23" applyNumberFormat="0" applyProtection="0">
      <alignment horizontal="right" vertical="center"/>
    </xf>
    <xf numFmtId="0" fontId="36" fillId="19" borderId="23" applyNumberFormat="0" applyProtection="0">
      <alignment horizontal="right" vertical="center"/>
    </xf>
    <xf numFmtId="0" fontId="36" fillId="19" borderId="23" applyNumberFormat="0" applyProtection="0">
      <alignment horizontal="right" vertical="center"/>
    </xf>
    <xf numFmtId="0" fontId="36" fillId="19" borderId="23" applyNumberFormat="0" applyProtection="0">
      <alignment horizontal="right" vertical="center"/>
    </xf>
    <xf numFmtId="0" fontId="36" fillId="19" borderId="23" applyNumberFormat="0" applyProtection="0">
      <alignment horizontal="right" vertical="center"/>
    </xf>
    <xf numFmtId="0" fontId="36" fillId="19" borderId="23" applyNumberFormat="0" applyProtection="0">
      <alignment horizontal="right" vertical="center"/>
    </xf>
    <xf numFmtId="0" fontId="36" fillId="19" borderId="23" applyNumberFormat="0" applyProtection="0">
      <alignment horizontal="right" vertical="center"/>
    </xf>
    <xf numFmtId="0" fontId="17" fillId="7" borderId="23" applyNumberFormat="0" applyProtection="0">
      <alignment horizontal="left" vertical="center" indent="1"/>
    </xf>
    <xf numFmtId="0" fontId="17" fillId="7" borderId="23" applyNumberFormat="0" applyProtection="0">
      <alignment horizontal="left" vertical="center" indent="1"/>
    </xf>
    <xf numFmtId="0" fontId="17" fillId="7" borderId="23" applyNumberFormat="0" applyProtection="0">
      <alignment horizontal="left" vertical="center" indent="1"/>
    </xf>
    <xf numFmtId="0" fontId="17" fillId="7" borderId="23" applyNumberFormat="0" applyProtection="0">
      <alignment horizontal="left" vertical="center" indent="1"/>
    </xf>
    <xf numFmtId="0" fontId="17" fillId="7" borderId="23" applyNumberFormat="0" applyProtection="0">
      <alignment horizontal="left" vertical="center" indent="1"/>
    </xf>
    <xf numFmtId="0" fontId="17" fillId="7" borderId="23" applyNumberFormat="0" applyProtection="0">
      <alignment horizontal="left" vertical="center" indent="1"/>
    </xf>
    <xf numFmtId="0" fontId="17" fillId="7" borderId="23" applyNumberFormat="0" applyProtection="0">
      <alignment horizontal="left" vertical="center" indent="1"/>
    </xf>
    <xf numFmtId="0" fontId="17" fillId="7" borderId="23" applyNumberFormat="0" applyProtection="0">
      <alignment horizontal="left" vertical="center" indent="1"/>
    </xf>
    <xf numFmtId="0" fontId="17" fillId="7" borderId="23" applyNumberFormat="0" applyProtection="0">
      <alignment horizontal="left" vertical="center" indent="1"/>
    </xf>
    <xf numFmtId="0" fontId="17" fillId="7" borderId="23" applyNumberFormat="0" applyProtection="0">
      <alignment horizontal="left" vertical="center" indent="1"/>
    </xf>
    <xf numFmtId="0" fontId="17" fillId="7" borderId="23" applyNumberFormat="0" applyProtection="0">
      <alignment horizontal="left" vertical="center" indent="1"/>
    </xf>
    <xf numFmtId="0" fontId="17" fillId="7" borderId="23" applyNumberFormat="0" applyProtection="0">
      <alignment horizontal="left" vertical="center" indent="1"/>
    </xf>
    <xf numFmtId="0" fontId="17" fillId="7" borderId="23" applyNumberFormat="0" applyProtection="0">
      <alignment horizontal="left" vertical="center" indent="1"/>
    </xf>
    <xf numFmtId="0" fontId="17" fillId="7" borderId="23" applyNumberFormat="0" applyProtection="0">
      <alignment horizontal="left" vertical="center" indent="1"/>
    </xf>
    <xf numFmtId="0" fontId="17" fillId="7" borderId="23" applyNumberFormat="0" applyProtection="0">
      <alignment horizontal="left" vertical="center" indent="1"/>
    </xf>
    <xf numFmtId="0" fontId="17" fillId="7" borderId="23" applyNumberFormat="0" applyProtection="0">
      <alignment horizontal="left" vertical="center" indent="1"/>
    </xf>
    <xf numFmtId="0" fontId="17" fillId="7" borderId="23" applyNumberFormat="0" applyProtection="0">
      <alignment horizontal="left" vertical="center"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47" fillId="39" borderId="0" applyNumberFormat="0" applyBorder="0" applyProtection="0"/>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7" fillId="7" borderId="23" applyNumberFormat="0" applyProtection="0">
      <alignment horizontal="left" vertical="top" indent="1"/>
    </xf>
    <xf numFmtId="0" fontId="18" fillId="19" borderId="23" applyNumberFormat="0" applyProtection="0">
      <alignment horizontal="right" vertical="center"/>
    </xf>
    <xf numFmtId="0" fontId="18" fillId="19" borderId="23" applyNumberFormat="0" applyProtection="0">
      <alignment horizontal="right" vertical="center"/>
    </xf>
    <xf numFmtId="0" fontId="18" fillId="19" borderId="23" applyNumberFormat="0" applyProtection="0">
      <alignment horizontal="right" vertical="center"/>
    </xf>
    <xf numFmtId="0" fontId="18" fillId="19" borderId="23" applyNumberFormat="0" applyProtection="0">
      <alignment horizontal="right" vertical="center"/>
    </xf>
    <xf numFmtId="0" fontId="18" fillId="19" borderId="23" applyNumberFormat="0" applyProtection="0">
      <alignment horizontal="right" vertical="center"/>
    </xf>
    <xf numFmtId="0" fontId="18" fillId="19" borderId="23" applyNumberFormat="0" applyProtection="0">
      <alignment horizontal="right" vertical="center"/>
    </xf>
    <xf numFmtId="0" fontId="18" fillId="19" borderId="23" applyNumberFormat="0" applyProtection="0">
      <alignment horizontal="right" vertical="center"/>
    </xf>
    <xf numFmtId="0" fontId="18" fillId="19" borderId="23" applyNumberFormat="0" applyProtection="0">
      <alignment horizontal="right" vertical="center"/>
    </xf>
    <xf numFmtId="0" fontId="18" fillId="19" borderId="23" applyNumberFormat="0" applyProtection="0">
      <alignment horizontal="right" vertical="center"/>
    </xf>
    <xf numFmtId="0" fontId="18" fillId="19" borderId="23" applyNumberFormat="0" applyProtection="0">
      <alignment horizontal="right" vertical="center"/>
    </xf>
    <xf numFmtId="0" fontId="18" fillId="19" borderId="23" applyNumberFormat="0" applyProtection="0">
      <alignment horizontal="right" vertical="center"/>
    </xf>
    <xf numFmtId="0" fontId="18" fillId="19" borderId="23" applyNumberFormat="0" applyProtection="0">
      <alignment horizontal="right" vertical="center"/>
    </xf>
    <xf numFmtId="0" fontId="18" fillId="19" borderId="23" applyNumberFormat="0" applyProtection="0">
      <alignment horizontal="right" vertical="center"/>
    </xf>
    <xf numFmtId="0" fontId="18" fillId="19" borderId="23" applyNumberFormat="0" applyProtection="0">
      <alignment horizontal="right" vertical="center"/>
    </xf>
    <xf numFmtId="0" fontId="18" fillId="19" borderId="23" applyNumberFormat="0" applyProtection="0">
      <alignment horizontal="right" vertical="center"/>
    </xf>
    <xf numFmtId="0" fontId="18" fillId="19" borderId="23" applyNumberFormat="0" applyProtection="0">
      <alignment horizontal="right" vertical="center"/>
    </xf>
    <xf numFmtId="0" fontId="18" fillId="19" borderId="23" applyNumberFormat="0" applyProtection="0">
      <alignment horizontal="right" vertical="center"/>
    </xf>
    <xf numFmtId="0" fontId="18" fillId="19" borderId="23" applyNumberFormat="0" applyProtection="0">
      <alignment horizontal="right" vertical="center"/>
    </xf>
    <xf numFmtId="0" fontId="18" fillId="19" borderId="23" applyNumberFormat="0" applyProtection="0">
      <alignment horizontal="right" vertical="center"/>
    </xf>
    <xf numFmtId="0" fontId="18" fillId="19" borderId="23" applyNumberFormat="0" applyProtection="0">
      <alignment horizontal="right" vertical="center"/>
    </xf>
    <xf numFmtId="0" fontId="100" fillId="0" borderId="0"/>
    <xf numFmtId="0" fontId="18" fillId="19" borderId="23" applyNumberFormat="0" applyProtection="0">
      <alignment horizontal="right" vertical="center"/>
    </xf>
    <xf numFmtId="0" fontId="18" fillId="19" borderId="23" applyNumberFormat="0" applyProtection="0">
      <alignment horizontal="right" vertical="center"/>
    </xf>
    <xf numFmtId="0" fontId="89" fillId="0" borderId="0">
      <alignment horizontal="left"/>
    </xf>
    <xf numFmtId="178" fontId="29" fillId="0" borderId="27"/>
    <xf numFmtId="178" fontId="29" fillId="0" borderId="27"/>
    <xf numFmtId="0" fontId="79" fillId="0" borderId="0"/>
    <xf numFmtId="49" fontId="17" fillId="0" borderId="0" applyFill="0" applyBorder="0" applyAlignment="0"/>
    <xf numFmtId="186" fontId="11" fillId="0" borderId="0" applyFill="0" applyBorder="0" applyAlignment="0"/>
    <xf numFmtId="193" fontId="11" fillId="0" borderId="0" applyFill="0" applyBorder="0" applyAlignment="0"/>
    <xf numFmtId="192" fontId="11" fillId="0" borderId="22">
      <protection locked="0"/>
    </xf>
    <xf numFmtId="211" fontId="11" fillId="0" borderId="0" applyFont="0" applyFill="0" applyBorder="0" applyAlignment="0" applyProtection="0"/>
    <xf numFmtId="208" fontId="11" fillId="0" borderId="0" applyFont="0" applyFill="0" applyBorder="0" applyAlignment="0" applyProtection="0"/>
    <xf numFmtId="185" fontId="32" fillId="0" borderId="0" applyFont="0" applyFill="0" applyBorder="0" applyAlignment="0" applyProtection="0"/>
    <xf numFmtId="9" fontId="90" fillId="0" borderId="0" applyFont="0" applyFill="0" applyBorder="0" applyAlignment="0" applyProtection="0"/>
    <xf numFmtId="178" fontId="32" fillId="0" borderId="0" applyFont="0" applyFill="0" applyBorder="0" applyAlignment="0" applyProtection="0"/>
    <xf numFmtId="0" fontId="44" fillId="0" borderId="0"/>
    <xf numFmtId="0" fontId="91" fillId="0" borderId="0"/>
    <xf numFmtId="187" fontId="44" fillId="0" borderId="0" applyFont="0" applyFill="0" applyBorder="0" applyAlignment="0" applyProtection="0"/>
    <xf numFmtId="9" fontId="11" fillId="0" borderId="0" applyFont="0" applyFill="0" applyBorder="0" applyAlignment="0" applyProtection="0"/>
    <xf numFmtId="9" fontId="32" fillId="0" borderId="0" applyFont="0" applyFill="0" applyBorder="0" applyAlignment="0" applyProtection="0"/>
    <xf numFmtId="9" fontId="69" fillId="0" borderId="0" applyAlignment="0"/>
    <xf numFmtId="9" fontId="11" fillId="0" borderId="0" applyFont="0" applyFill="0" applyBorder="0" applyAlignment="0" applyProtection="0"/>
    <xf numFmtId="9" fontId="32" fillId="0" borderId="0" applyFont="0" applyFill="0" applyBorder="0" applyAlignment="0" applyProtection="0"/>
    <xf numFmtId="9" fontId="100" fillId="0" borderId="0" applyFont="0" applyFill="0" applyBorder="0" applyAlignment="0" applyProtection="0"/>
    <xf numFmtId="9" fontId="26" fillId="0" borderId="0" applyFont="0" applyFill="0" applyBorder="0" applyProtection="0"/>
    <xf numFmtId="9" fontId="100" fillId="0" borderId="0" applyFont="0" applyFill="0" applyBorder="0" applyAlignment="0" applyProtection="0"/>
    <xf numFmtId="9" fontId="100" fillId="0" borderId="0" applyFont="0" applyFill="0" applyBorder="0" applyAlignment="0" applyProtection="0"/>
    <xf numFmtId="0" fontId="75" fillId="0" borderId="0" applyFont="0" applyFill="0" applyBorder="0" applyAlignment="0" applyProtection="0"/>
    <xf numFmtId="0" fontId="75" fillId="0" borderId="0" applyFont="0" applyFill="0" applyBorder="0" applyAlignment="0" applyProtection="0"/>
    <xf numFmtId="4" fontId="92" fillId="0" borderId="0">
      <alignment horizontal="right"/>
    </xf>
    <xf numFmtId="0" fontId="38" fillId="21" borderId="0" applyNumberFormat="0" applyBorder="0" applyProtection="0"/>
    <xf numFmtId="0" fontId="35" fillId="16" borderId="0" applyNumberFormat="0" applyBorder="0" applyProtection="0"/>
    <xf numFmtId="0" fontId="93" fillId="16" borderId="0" applyNumberFormat="0" applyBorder="0" applyAlignment="0" applyProtection="0"/>
    <xf numFmtId="0" fontId="35" fillId="16" borderId="0" applyNumberFormat="0" applyBorder="0" applyProtection="0"/>
    <xf numFmtId="0" fontId="35" fillId="16" borderId="0" applyNumberFormat="0" applyBorder="0" applyProtection="0"/>
    <xf numFmtId="0" fontId="35" fillId="16" borderId="0" applyNumberFormat="0" applyBorder="0" applyProtection="0"/>
    <xf numFmtId="0" fontId="35" fillId="16" borderId="0" applyNumberFormat="0" applyBorder="0" applyProtection="0"/>
    <xf numFmtId="0" fontId="35" fillId="16" borderId="0" applyNumberFormat="0" applyBorder="0" applyProtection="0"/>
    <xf numFmtId="0" fontId="38" fillId="21" borderId="0" applyNumberFormat="0" applyBorder="0" applyProtection="0"/>
    <xf numFmtId="0" fontId="37" fillId="33" borderId="0" applyNumberFormat="0" applyBorder="0" applyProtection="0"/>
    <xf numFmtId="0" fontId="35" fillId="16" borderId="0" applyNumberFormat="0" applyBorder="0" applyProtection="0"/>
    <xf numFmtId="0" fontId="38" fillId="21" borderId="0" applyNumberFormat="0" applyBorder="0" applyProtection="0"/>
    <xf numFmtId="0" fontId="37" fillId="33" borderId="0" applyNumberFormat="0" applyBorder="0" applyProtection="0"/>
    <xf numFmtId="0" fontId="38" fillId="21" borderId="0" applyNumberFormat="0" applyBorder="0" applyProtection="0"/>
    <xf numFmtId="178" fontId="26" fillId="0" borderId="0" applyFont="0" applyFill="0" applyBorder="0" applyAlignment="0" applyProtection="0"/>
    <xf numFmtId="0" fontId="38" fillId="21" borderId="0" applyNumberFormat="0" applyBorder="0" applyProtection="0"/>
    <xf numFmtId="0" fontId="38" fillId="21" borderId="0" applyNumberFormat="0" applyBorder="0" applyProtection="0"/>
    <xf numFmtId="0" fontId="38" fillId="21" borderId="0" applyNumberFormat="0" applyBorder="0" applyProtection="0"/>
    <xf numFmtId="0" fontId="35" fillId="16" borderId="0" applyNumberFormat="0" applyBorder="0" applyProtection="0"/>
    <xf numFmtId="0" fontId="38" fillId="21" borderId="0" applyNumberFormat="0" applyBorder="0" applyProtection="0"/>
    <xf numFmtId="0" fontId="38" fillId="21" borderId="0" applyNumberFormat="0" applyBorder="0" applyProtection="0"/>
    <xf numFmtId="0" fontId="38" fillId="21" borderId="0" applyNumberFormat="0" applyBorder="0" applyProtection="0"/>
    <xf numFmtId="0" fontId="38" fillId="21" borderId="0" applyNumberFormat="0" applyBorder="0" applyProtection="0"/>
    <xf numFmtId="0" fontId="100" fillId="0" borderId="0"/>
    <xf numFmtId="201" fontId="94" fillId="0" borderId="0"/>
    <xf numFmtId="0" fontId="32" fillId="0" borderId="0"/>
    <xf numFmtId="0" fontId="32" fillId="0" borderId="0"/>
    <xf numFmtId="0" fontId="26" fillId="0" borderId="0"/>
    <xf numFmtId="0" fontId="100" fillId="0" borderId="0"/>
    <xf numFmtId="0" fontId="69" fillId="0" borderId="0">
      <protection locked="0"/>
    </xf>
    <xf numFmtId="0" fontId="11" fillId="0" borderId="0">
      <protection locked="0"/>
    </xf>
    <xf numFmtId="0" fontId="100" fillId="0" borderId="0"/>
    <xf numFmtId="0" fontId="32" fillId="0" borderId="0"/>
    <xf numFmtId="0" fontId="69" fillId="0" borderId="0">
      <protection locked="0"/>
    </xf>
    <xf numFmtId="0" fontId="82" fillId="0" borderId="0">
      <alignment vertical="center"/>
    </xf>
    <xf numFmtId="0" fontId="32" fillId="0" borderId="0"/>
    <xf numFmtId="0" fontId="26" fillId="0" borderId="0"/>
    <xf numFmtId="0" fontId="100" fillId="0" borderId="0"/>
    <xf numFmtId="0" fontId="26" fillId="0" borderId="0"/>
    <xf numFmtId="0" fontId="100" fillId="0" borderId="0" applyAlignment="0"/>
    <xf numFmtId="0" fontId="11" fillId="0" borderId="0">
      <protection locked="0"/>
    </xf>
    <xf numFmtId="0" fontId="95" fillId="0" borderId="0"/>
    <xf numFmtId="0" fontId="100" fillId="0" borderId="0"/>
    <xf numFmtId="0" fontId="100" fillId="0" borderId="0"/>
    <xf numFmtId="0" fontId="100" fillId="0" borderId="0"/>
    <xf numFmtId="0" fontId="100" fillId="0" borderId="0">
      <alignment vertical="center"/>
    </xf>
    <xf numFmtId="0" fontId="100" fillId="0" borderId="0"/>
    <xf numFmtId="0" fontId="26" fillId="0" borderId="0"/>
    <xf numFmtId="0" fontId="60" fillId="0" borderId="0" applyNumberFormat="0" applyFill="0" applyBorder="0">
      <protection locked="0"/>
    </xf>
    <xf numFmtId="0" fontId="41" fillId="0" borderId="0" applyNumberFormat="0" applyFill="0" applyBorder="0" applyAlignment="0" applyProtection="0"/>
    <xf numFmtId="0" fontId="16" fillId="0" borderId="0" applyNumberFormat="0" applyFill="0" applyBorder="0" applyAlignment="0" applyProtection="0"/>
    <xf numFmtId="0" fontId="52" fillId="0" borderId="0" applyNumberFormat="0" applyFill="0" applyBorder="0">
      <protection locked="0"/>
    </xf>
    <xf numFmtId="0" fontId="59" fillId="39" borderId="0" applyNumberFormat="0" applyBorder="0" applyProtection="0"/>
    <xf numFmtId="0" fontId="47" fillId="39" borderId="0" applyNumberFormat="0" applyBorder="0" applyProtection="0"/>
    <xf numFmtId="0" fontId="47" fillId="39" borderId="0" applyNumberFormat="0" applyBorder="0" applyProtection="0"/>
    <xf numFmtId="0" fontId="47" fillId="39" borderId="0" applyNumberFormat="0" applyBorder="0" applyProtection="0"/>
    <xf numFmtId="0" fontId="47" fillId="28" borderId="0" applyNumberFormat="0" applyBorder="0" applyProtection="0"/>
    <xf numFmtId="0" fontId="59" fillId="39" borderId="0" applyNumberFormat="0" applyBorder="0" applyProtection="0"/>
    <xf numFmtId="0" fontId="96" fillId="28" borderId="0" applyNumberFormat="0" applyBorder="0" applyAlignment="0" applyProtection="0"/>
    <xf numFmtId="0" fontId="47" fillId="28" borderId="0" applyNumberFormat="0" applyBorder="0" applyProtection="0"/>
    <xf numFmtId="0" fontId="47" fillId="28" borderId="0" applyNumberFormat="0" applyBorder="0" applyProtection="0"/>
    <xf numFmtId="0" fontId="47" fillId="28" borderId="0" applyNumberFormat="0" applyBorder="0" applyProtection="0"/>
    <xf numFmtId="0" fontId="47" fillId="28" borderId="0" applyNumberFormat="0" applyBorder="0" applyProtection="0"/>
    <xf numFmtId="0" fontId="47" fillId="28" borderId="0" applyNumberFormat="0" applyBorder="0" applyProtection="0"/>
    <xf numFmtId="0" fontId="47" fillId="39" borderId="0" applyNumberFormat="0" applyBorder="0" applyProtection="0"/>
    <xf numFmtId="0" fontId="59" fillId="39" borderId="0" applyNumberFormat="0" applyBorder="0" applyProtection="0"/>
    <xf numFmtId="0" fontId="59" fillId="39" borderId="0" applyNumberFormat="0" applyBorder="0" applyProtection="0"/>
    <xf numFmtId="0" fontId="47" fillId="39" borderId="0" applyNumberFormat="0" applyBorder="0" applyProtection="0"/>
    <xf numFmtId="0" fontId="59" fillId="39" borderId="0" applyNumberFormat="0" applyBorder="0" applyProtection="0"/>
    <xf numFmtId="0" fontId="59" fillId="39" borderId="0" applyNumberFormat="0" applyBorder="0" applyProtection="0"/>
    <xf numFmtId="0" fontId="59" fillId="39" borderId="0" applyNumberFormat="0" applyBorder="0" applyProtection="0"/>
    <xf numFmtId="0" fontId="58" fillId="38" borderId="0" applyNumberFormat="0" applyBorder="0" applyProtection="0"/>
    <xf numFmtId="0" fontId="59" fillId="39" borderId="0" applyNumberFormat="0" applyBorder="0" applyProtection="0"/>
    <xf numFmtId="0" fontId="47" fillId="28" borderId="0" applyNumberFormat="0" applyBorder="0" applyProtection="0"/>
    <xf numFmtId="0" fontId="47" fillId="39" borderId="0" applyNumberFormat="0" applyBorder="0" applyProtection="0"/>
    <xf numFmtId="0" fontId="59" fillId="39" borderId="0" applyNumberFormat="0" applyBorder="0" applyProtection="0"/>
    <xf numFmtId="0" fontId="47" fillId="39" borderId="0" applyNumberFormat="0" applyBorder="0" applyProtection="0"/>
    <xf numFmtId="0" fontId="59" fillId="39" borderId="0" applyNumberFormat="0" applyBorder="0" applyProtection="0"/>
    <xf numFmtId="0" fontId="59" fillId="39" borderId="0" applyNumberFormat="0" applyBorder="0" applyProtection="0"/>
    <xf numFmtId="0" fontId="59" fillId="39" borderId="0" applyNumberFormat="0" applyBorder="0" applyProtection="0"/>
    <xf numFmtId="0" fontId="59" fillId="39" borderId="0" applyNumberFormat="0" applyBorder="0" applyProtection="0"/>
    <xf numFmtId="0" fontId="59" fillId="39" borderId="0" applyNumberFormat="0" applyBorder="0" applyProtection="0"/>
    <xf numFmtId="0" fontId="58" fillId="38" borderId="0" applyNumberFormat="0" applyBorder="0" applyProtection="0"/>
    <xf numFmtId="0" fontId="58" fillId="38" borderId="0" applyNumberFormat="0" applyBorder="0" applyProtection="0"/>
    <xf numFmtId="0" fontId="47" fillId="39" borderId="0" applyNumberFormat="0" applyBorder="0" applyProtection="0"/>
    <xf numFmtId="176" fontId="11" fillId="0" borderId="0" applyFont="0" applyFill="0" applyBorder="0" applyAlignment="0" applyProtection="0"/>
    <xf numFmtId="216" fontId="77" fillId="0" borderId="0" applyFont="0" applyFill="0" applyBorder="0" applyAlignment="0" applyProtection="0"/>
    <xf numFmtId="206" fontId="77" fillId="0" borderId="0" applyFont="0" applyFill="0" applyBorder="0" applyAlignment="0" applyProtection="0"/>
    <xf numFmtId="218" fontId="11" fillId="0" borderId="0" applyFont="0" applyFill="0" applyBorder="0" applyAlignment="0" applyProtection="0"/>
    <xf numFmtId="202" fontId="66" fillId="0" borderId="0" applyFont="0" applyFill="0" applyBorder="0" applyAlignment="0" applyProtection="0"/>
    <xf numFmtId="206" fontId="44" fillId="0" borderId="0" applyFont="0" applyFill="0" applyBorder="0" applyAlignment="0" applyProtection="0"/>
    <xf numFmtId="0" fontId="46" fillId="0" borderId="0"/>
    <xf numFmtId="176" fontId="46" fillId="0" borderId="0" applyFont="0" applyFill="0" applyBorder="0" applyAlignment="0" applyProtection="0"/>
    <xf numFmtId="178" fontId="100" fillId="0" borderId="0" applyFont="0" applyFill="0" applyBorder="0" applyAlignment="0" applyProtection="0"/>
    <xf numFmtId="178" fontId="11" fillId="0" borderId="0" applyFont="0" applyFill="0" applyBorder="0" applyAlignment="0" applyProtection="0"/>
    <xf numFmtId="0" fontId="100" fillId="0" borderId="0" applyFont="0" applyFill="0" applyBorder="0" applyProtection="0"/>
    <xf numFmtId="178" fontId="32" fillId="0" borderId="0" applyFont="0" applyFill="0" applyBorder="0" applyAlignment="0" applyProtection="0"/>
    <xf numFmtId="178" fontId="100" fillId="0" borderId="0" applyFont="0" applyProtection="0"/>
    <xf numFmtId="178" fontId="69" fillId="0" borderId="0" applyFont="0" applyAlignment="0" applyProtection="0"/>
    <xf numFmtId="178" fontId="100" fillId="0" borderId="0" applyFont="0" applyFill="0" applyBorder="0" applyProtection="0"/>
    <xf numFmtId="178" fontId="100" fillId="0" borderId="0" applyFont="0" applyProtection="0"/>
    <xf numFmtId="178" fontId="11" fillId="0" borderId="0" applyFont="0" applyFill="0" applyBorder="0" applyAlignment="0" applyProtection="0"/>
    <xf numFmtId="178" fontId="11" fillId="0" borderId="0" applyFont="0" applyFill="0" applyBorder="0" applyAlignment="0" applyProtection="0"/>
    <xf numFmtId="178" fontId="100" fillId="0" borderId="0" applyFont="0" applyProtection="0"/>
    <xf numFmtId="178" fontId="100" fillId="0" borderId="0" applyFont="0" applyFill="0" applyBorder="0" applyProtection="0"/>
    <xf numFmtId="178" fontId="69" fillId="0" borderId="0" applyAlignment="0"/>
    <xf numFmtId="178" fontId="11" fillId="0" borderId="0" applyFont="0" applyFill="0" applyBorder="0" applyAlignment="0" applyProtection="0"/>
    <xf numFmtId="178" fontId="32" fillId="0" borderId="0" applyFont="0" applyFill="0" applyBorder="0" applyAlignment="0" applyProtection="0"/>
    <xf numFmtId="178" fontId="31" fillId="0" borderId="0" applyFont="0" applyProtection="0"/>
    <xf numFmtId="178" fontId="26" fillId="0" borderId="0" applyFont="0" applyFill="0" applyBorder="0" applyAlignment="0" applyProtection="0"/>
    <xf numFmtId="178" fontId="26" fillId="0" borderId="0" applyFont="0" applyFill="0" applyBorder="0" applyAlignment="0" applyProtection="0"/>
    <xf numFmtId="178" fontId="100" fillId="0" borderId="0" applyFont="0" applyProtection="0"/>
    <xf numFmtId="178" fontId="26" fillId="0" borderId="0" applyFont="0" applyFill="0" applyBorder="0" applyAlignment="0" applyProtection="0"/>
    <xf numFmtId="178" fontId="100" fillId="0" borderId="0" applyFont="0" applyProtection="0"/>
    <xf numFmtId="178" fontId="100" fillId="0" borderId="0" applyFont="0" applyFill="0" applyBorder="0" applyProtection="0"/>
    <xf numFmtId="178" fontId="32" fillId="0" borderId="0" applyFont="0" applyFill="0" applyBorder="0" applyAlignment="0" applyProtection="0"/>
    <xf numFmtId="178" fontId="32" fillId="0" borderId="0" applyFont="0" applyFill="0" applyBorder="0" applyAlignment="0" applyProtection="0"/>
    <xf numFmtId="178" fontId="100" fillId="0" borderId="0" applyFont="0" applyProtection="0"/>
    <xf numFmtId="178" fontId="100" fillId="0" borderId="0" applyFont="0" applyProtection="0"/>
    <xf numFmtId="178" fontId="100" fillId="0" borderId="0" applyFont="0" applyProtection="0"/>
    <xf numFmtId="178" fontId="100" fillId="0" borderId="0" applyFont="0" applyProtection="0"/>
    <xf numFmtId="178" fontId="31" fillId="0" borderId="0" applyFont="0" applyProtection="0"/>
    <xf numFmtId="178" fontId="100" fillId="0" borderId="0" applyFont="0" applyProtection="0"/>
    <xf numFmtId="178" fontId="100" fillId="0" borderId="0" applyFont="0" applyProtection="0"/>
    <xf numFmtId="178" fontId="100" fillId="0" borderId="0" applyFont="0" applyProtection="0"/>
    <xf numFmtId="178" fontId="100" fillId="0" borderId="0" applyFont="0" applyProtection="0"/>
    <xf numFmtId="178" fontId="31" fillId="0" borderId="0" applyFont="0" applyProtection="0"/>
    <xf numFmtId="178" fontId="100" fillId="0" borderId="0" applyFont="0" applyFill="0" applyBorder="0" applyProtection="0"/>
    <xf numFmtId="178" fontId="100" fillId="0" borderId="0" applyFont="0" applyProtection="0"/>
    <xf numFmtId="178" fontId="100" fillId="0" borderId="0" applyFont="0" applyProtection="0"/>
    <xf numFmtId="178" fontId="32"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8" fontId="100" fillId="0" borderId="0" applyFont="0" applyFill="0" applyBorder="0" applyAlignment="0" applyProtection="0"/>
    <xf numFmtId="176" fontId="32" fillId="0" borderId="0" applyFont="0" applyFill="0" applyBorder="0" applyAlignment="0" applyProtection="0"/>
    <xf numFmtId="0" fontId="97" fillId="0" borderId="0"/>
    <xf numFmtId="0" fontId="71" fillId="46" borderId="0" applyNumberFormat="0" applyBorder="0" applyAlignment="0" applyProtection="0"/>
    <xf numFmtId="184" fontId="64" fillId="0" borderId="0" applyFont="0" applyFill="0" applyBorder="0" applyAlignment="0" applyProtection="0"/>
    <xf numFmtId="0" fontId="98" fillId="0" borderId="0"/>
    <xf numFmtId="38" fontId="75" fillId="0" borderId="0" applyFont="0" applyFill="0" applyBorder="0" applyAlignment="0" applyProtection="0"/>
    <xf numFmtId="0" fontId="11" fillId="0" borderId="20" applyNumberFormat="0"/>
    <xf numFmtId="0" fontId="11" fillId="0" borderId="20" applyNumberFormat="0"/>
    <xf numFmtId="0" fontId="11" fillId="0" borderId="20" applyNumberFormat="0"/>
    <xf numFmtId="0" fontId="11" fillId="0" borderId="20" applyNumberFormat="0"/>
    <xf numFmtId="0" fontId="11" fillId="0" borderId="20" applyNumberFormat="0"/>
    <xf numFmtId="0" fontId="11" fillId="0" borderId="20" applyNumberFormat="0"/>
    <xf numFmtId="0" fontId="11" fillId="0" borderId="20" applyNumberFormat="0"/>
    <xf numFmtId="0" fontId="11" fillId="0" borderId="20" applyNumberFormat="0"/>
    <xf numFmtId="0" fontId="11" fillId="0" borderId="20" applyNumberFormat="0"/>
    <xf numFmtId="0" fontId="11" fillId="0" borderId="20" applyNumberFormat="0"/>
    <xf numFmtId="0" fontId="11" fillId="0" borderId="20" applyNumberFormat="0"/>
    <xf numFmtId="38" fontId="45" fillId="0" borderId="0" applyFont="0" applyFill="0" applyBorder="0" applyAlignment="0" applyProtection="0"/>
    <xf numFmtId="40" fontId="45" fillId="0" borderId="0" applyFont="0" applyFill="0" applyBorder="0" applyAlignment="0" applyProtection="0"/>
    <xf numFmtId="0" fontId="99" fillId="0" borderId="0"/>
    <xf numFmtId="0" fontId="4" fillId="0" borderId="0"/>
    <xf numFmtId="0" fontId="105" fillId="0" borderId="0"/>
    <xf numFmtId="0" fontId="107" fillId="0" borderId="0" applyNumberFormat="0" applyFill="0" applyBorder="0" applyAlignment="0" applyProtection="0"/>
    <xf numFmtId="0" fontId="105" fillId="0" borderId="0"/>
    <xf numFmtId="0" fontId="105" fillId="0" borderId="0"/>
    <xf numFmtId="0" fontId="105" fillId="0" borderId="0"/>
    <xf numFmtId="178" fontId="105" fillId="0" borderId="0" applyFont="0" applyFill="0" applyBorder="0" applyAlignment="0" applyProtection="0"/>
    <xf numFmtId="9" fontId="105" fillId="0" borderId="0" applyFont="0" applyFill="0" applyBorder="0" applyAlignment="0" applyProtection="0"/>
    <xf numFmtId="0" fontId="105" fillId="0" borderId="0"/>
    <xf numFmtId="0" fontId="105" fillId="0" borderId="0"/>
    <xf numFmtId="0" fontId="105" fillId="0" borderId="0">
      <alignment vertical="center"/>
    </xf>
    <xf numFmtId="0" fontId="105" fillId="0" borderId="0">
      <alignment vertical="center"/>
    </xf>
    <xf numFmtId="0" fontId="67" fillId="0" borderId="0"/>
    <xf numFmtId="0" fontId="67" fillId="0" borderId="0"/>
    <xf numFmtId="178" fontId="67" fillId="0" borderId="0" applyFont="0" applyFill="0" applyBorder="0" applyAlignment="0" applyProtection="0"/>
    <xf numFmtId="0" fontId="67" fillId="0" borderId="0"/>
    <xf numFmtId="9" fontId="67" fillId="0" borderId="0" applyFont="0" applyFill="0" applyBorder="0" applyProtection="0"/>
    <xf numFmtId="178" fontId="67" fillId="0" borderId="0" applyFont="0" applyFill="0" applyBorder="0" applyAlignment="0" applyProtection="0"/>
    <xf numFmtId="0" fontId="67" fillId="0" borderId="0"/>
    <xf numFmtId="0" fontId="67" fillId="0" borderId="0"/>
    <xf numFmtId="190" fontId="67" fillId="0" borderId="0" applyFont="0" applyFill="0" applyBorder="0" applyProtection="0"/>
    <xf numFmtId="178" fontId="67" fillId="0" borderId="0" applyFont="0" applyFill="0" applyBorder="0" applyAlignment="0" applyProtection="0"/>
    <xf numFmtId="178" fontId="67" fillId="0" borderId="0" applyFont="0" applyFill="0" applyBorder="0" applyAlignment="0" applyProtection="0"/>
    <xf numFmtId="0" fontId="67" fillId="0" borderId="0"/>
    <xf numFmtId="9" fontId="67" fillId="0" borderId="0" applyFont="0" applyFill="0" applyBorder="0" applyAlignment="0" applyProtection="0"/>
    <xf numFmtId="0" fontId="67" fillId="0" borderId="0">
      <alignment vertical="center"/>
      <protection locked="0"/>
    </xf>
    <xf numFmtId="0" fontId="3" fillId="0" borderId="0"/>
    <xf numFmtId="0" fontId="67" fillId="0" borderId="0">
      <alignment vertical="center"/>
    </xf>
    <xf numFmtId="0" fontId="67" fillId="0" borderId="0"/>
    <xf numFmtId="0" fontId="67" fillId="0" borderId="0"/>
    <xf numFmtId="9" fontId="67" fillId="0" borderId="0" applyFont="0" applyFill="0" applyBorder="0" applyProtection="0"/>
    <xf numFmtId="178" fontId="67" fillId="0" borderId="0" applyFont="0" applyFill="0" applyBorder="0" applyProtection="0"/>
    <xf numFmtId="0" fontId="67" fillId="0" borderId="0" applyAlignment="0"/>
    <xf numFmtId="0" fontId="67" fillId="0" borderId="0" applyAlignment="0"/>
    <xf numFmtId="0" fontId="67" fillId="0" borderId="0">
      <alignment vertical="center"/>
    </xf>
    <xf numFmtId="0" fontId="65" fillId="41" borderId="0" applyNumberFormat="0" applyBorder="0" applyProtection="0"/>
    <xf numFmtId="176" fontId="67" fillId="0" borderId="0" applyFont="0" applyFill="0" applyBorder="0" applyAlignment="0" applyProtection="0"/>
    <xf numFmtId="0" fontId="67" fillId="0" borderId="0"/>
    <xf numFmtId="0" fontId="108" fillId="0" borderId="43" applyAlignment="0"/>
    <xf numFmtId="0" fontId="67" fillId="0" borderId="43" applyAlignment="0"/>
    <xf numFmtId="0" fontId="67" fillId="0" borderId="43" applyAlignment="0"/>
    <xf numFmtId="0" fontId="3" fillId="0" borderId="0"/>
    <xf numFmtId="0" fontId="67" fillId="0" borderId="0" applyAlignment="0"/>
    <xf numFmtId="0" fontId="67" fillId="0" borderId="0"/>
    <xf numFmtId="178" fontId="67" fillId="0" borderId="0" applyFont="0" applyProtection="0"/>
    <xf numFmtId="0" fontId="41" fillId="0" borderId="0" applyNumberFormat="0" applyProtection="0"/>
    <xf numFmtId="9" fontId="67" fillId="0" borderId="0" applyFont="0" applyProtection="0"/>
    <xf numFmtId="0" fontId="67" fillId="0" borderId="0">
      <alignment vertical="center"/>
    </xf>
    <xf numFmtId="0" fontId="114" fillId="0" borderId="0"/>
    <xf numFmtId="177" fontId="67" fillId="0" borderId="0" applyFont="0" applyFill="0" applyBorder="0" applyAlignment="0" applyProtection="0"/>
    <xf numFmtId="0" fontId="105" fillId="0" borderId="0"/>
    <xf numFmtId="0" fontId="52" fillId="0" borderId="0" applyNumberFormat="0" applyFill="0" applyBorder="0">
      <protection locked="0"/>
    </xf>
    <xf numFmtId="176" fontId="67" fillId="0" borderId="0" applyFont="0" applyFill="0" applyBorder="0" applyAlignment="0" applyProtection="0"/>
    <xf numFmtId="176" fontId="67" fillId="0" borderId="0" applyFont="0" applyFill="0" applyBorder="0" applyAlignment="0" applyProtection="0"/>
    <xf numFmtId="0" fontId="67" fillId="0" borderId="0" applyAlignment="0"/>
    <xf numFmtId="0" fontId="67" fillId="0" borderId="0"/>
    <xf numFmtId="0" fontId="115" fillId="0" borderId="0" applyNumberFormat="0" applyFill="0" applyBorder="0" applyAlignment="0" applyProtection="0"/>
    <xf numFmtId="0" fontId="105" fillId="0" borderId="0"/>
    <xf numFmtId="0" fontId="105" fillId="48" borderId="0" applyNumberFormat="0" applyBorder="0" applyAlignment="0" applyProtection="0">
      <alignment vertical="center"/>
    </xf>
    <xf numFmtId="176" fontId="105" fillId="0" borderId="0" applyFont="0" applyFill="0" applyBorder="0" applyAlignment="0" applyProtection="0"/>
    <xf numFmtId="0" fontId="67" fillId="0" borderId="0"/>
    <xf numFmtId="178" fontId="32" fillId="0" borderId="0" applyFont="0" applyFill="0" applyBorder="0" applyAlignment="0" applyProtection="0"/>
    <xf numFmtId="176" fontId="67" fillId="0" borderId="0" applyFont="0" applyFill="0" applyBorder="0" applyAlignment="0" applyProtection="0"/>
    <xf numFmtId="0" fontId="41" fillId="0" borderId="0" applyNumberFormat="0" applyFill="0" applyBorder="0" applyAlignment="0" applyProtection="0">
      <alignment vertical="center"/>
    </xf>
    <xf numFmtId="0" fontId="116" fillId="47" borderId="0" applyNumberFormat="0" applyBorder="0" applyAlignment="0" applyProtection="0">
      <alignment vertical="center"/>
    </xf>
    <xf numFmtId="178" fontId="67" fillId="0" borderId="0" applyFont="0" applyFill="0" applyBorder="0" applyAlignment="0" applyProtection="0">
      <alignment vertical="center"/>
    </xf>
    <xf numFmtId="0" fontId="67" fillId="0" borderId="0" applyAlignment="0"/>
    <xf numFmtId="0" fontId="67" fillId="0" borderId="0" applyAlignment="0"/>
    <xf numFmtId="0" fontId="2" fillId="0" borderId="0"/>
    <xf numFmtId="0" fontId="1" fillId="0" borderId="0"/>
    <xf numFmtId="178" fontId="67" fillId="0" borderId="0" applyFont="0" applyFill="0" applyBorder="0" applyAlignment="0" applyProtection="0"/>
    <xf numFmtId="177" fontId="118" fillId="0" borderId="0" applyFont="0" applyFill="0" applyBorder="0" applyAlignment="0" applyProtection="0"/>
    <xf numFmtId="0" fontId="67" fillId="0" borderId="0"/>
    <xf numFmtId="0" fontId="67" fillId="0" borderId="0">
      <alignment vertical="center"/>
    </xf>
    <xf numFmtId="178" fontId="137" fillId="0" borderId="0" applyFont="0" applyFill="0" applyBorder="0" applyAlignment="0" applyProtection="0">
      <alignment vertical="center"/>
    </xf>
    <xf numFmtId="9" fontId="140" fillId="0" borderId="0" applyFont="0" applyFill="0" applyBorder="0" applyAlignment="0" applyProtection="0">
      <alignment vertical="center"/>
    </xf>
  </cellStyleXfs>
  <cellXfs count="676">
    <xf numFmtId="0" fontId="0" fillId="0" borderId="0" xfId="0"/>
    <xf numFmtId="0" fontId="5" fillId="0" borderId="0" xfId="0" applyFont="1" applyAlignment="1">
      <alignment vertical="center"/>
    </xf>
    <xf numFmtId="0" fontId="5" fillId="0" borderId="0" xfId="0" applyFont="1"/>
    <xf numFmtId="0" fontId="9" fillId="3" borderId="0" xfId="28" applyFont="1" applyFill="1"/>
    <xf numFmtId="0" fontId="5" fillId="0" borderId="0" xfId="2238" applyFont="1" applyAlignment="1" applyProtection="1">
      <alignment vertical="center"/>
      <protection locked="0"/>
    </xf>
    <xf numFmtId="0" fontId="11" fillId="0" borderId="0" xfId="2238" applyFont="1" applyAlignment="1" applyProtection="1">
      <alignment vertical="center"/>
      <protection locked="0"/>
    </xf>
    <xf numFmtId="0" fontId="11" fillId="0" borderId="0" xfId="0" applyFont="1" applyAlignment="1">
      <alignment vertical="center"/>
    </xf>
    <xf numFmtId="0" fontId="17" fillId="0" borderId="0" xfId="929" applyFont="1" applyAlignment="1">
      <alignment vertical="center"/>
    </xf>
    <xf numFmtId="0" fontId="13" fillId="2" borderId="0" xfId="929" applyFont="1" applyFill="1" applyAlignment="1">
      <alignment vertical="center" wrapText="1"/>
    </xf>
    <xf numFmtId="219" fontId="17" fillId="0" borderId="0" xfId="929" applyNumberFormat="1" applyFont="1" applyAlignment="1">
      <alignment vertical="center"/>
    </xf>
    <xf numFmtId="0" fontId="5" fillId="0" borderId="0" xfId="2238" applyFont="1" applyAlignment="1">
      <alignment vertical="center"/>
    </xf>
    <xf numFmtId="0" fontId="5" fillId="0" borderId="0" xfId="2238" applyFont="1" applyAlignment="1" applyProtection="1">
      <alignment vertical="center" wrapText="1"/>
      <protection locked="0"/>
    </xf>
    <xf numFmtId="9" fontId="5" fillId="0" borderId="0" xfId="2238" applyNumberFormat="1" applyFont="1" applyAlignment="1" applyProtection="1">
      <alignment vertical="center"/>
      <protection locked="0"/>
    </xf>
    <xf numFmtId="0" fontId="5" fillId="2" borderId="0" xfId="0" applyFont="1" applyFill="1" applyAlignment="1">
      <alignment horizontal="left" vertical="center"/>
    </xf>
    <xf numFmtId="37" fontId="15" fillId="0" borderId="14" xfId="1087" applyFont="1" applyBorder="1" applyAlignment="1">
      <alignment vertical="center"/>
    </xf>
    <xf numFmtId="0" fontId="5" fillId="0" borderId="14" xfId="0" applyFont="1" applyBorder="1"/>
    <xf numFmtId="0" fontId="18" fillId="0" borderId="14" xfId="0" applyFont="1" applyBorder="1" applyAlignment="1">
      <alignment vertical="center"/>
    </xf>
    <xf numFmtId="0" fontId="15" fillId="2" borderId="9" xfId="0" applyFont="1" applyFill="1" applyBorder="1" applyAlignment="1">
      <alignment vertical="center"/>
    </xf>
    <xf numFmtId="0" fontId="11" fillId="0" borderId="0" xfId="0" applyFont="1" applyAlignment="1">
      <alignment horizontal="left" vertical="center"/>
    </xf>
    <xf numFmtId="0" fontId="12" fillId="0" borderId="0" xfId="0" applyFont="1" applyAlignment="1">
      <alignment horizontal="left" vertical="center"/>
    </xf>
    <xf numFmtId="0" fontId="14" fillId="0" borderId="0" xfId="2228" applyFont="1" applyAlignment="1" applyProtection="1">
      <alignment horizontal="center" vertical="center"/>
      <protection locked="0"/>
    </xf>
    <xf numFmtId="178" fontId="11" fillId="0" borderId="0" xfId="2296" applyFont="1" applyFill="1" applyAlignment="1">
      <alignment vertical="center" shrinkToFit="1"/>
    </xf>
    <xf numFmtId="178" fontId="11" fillId="0" borderId="0" xfId="2296" applyFont="1" applyAlignment="1">
      <alignment vertical="center" shrinkToFit="1"/>
    </xf>
    <xf numFmtId="0" fontId="15" fillId="0" borderId="0" xfId="1466" applyFont="1" applyAlignment="1" applyProtection="1">
      <alignment horizontal="right" vertical="center"/>
      <protection locked="0"/>
    </xf>
    <xf numFmtId="0" fontId="15" fillId="0" borderId="0" xfId="1466" applyFont="1" applyAlignment="1" applyProtection="1">
      <alignment horizontal="center" vertical="center" wrapText="1"/>
      <protection locked="0"/>
    </xf>
    <xf numFmtId="0" fontId="15" fillId="0" borderId="0" xfId="1466" applyFont="1" applyAlignment="1" applyProtection="1">
      <alignment vertical="center" wrapText="1"/>
      <protection locked="0"/>
    </xf>
    <xf numFmtId="0" fontId="15" fillId="0" borderId="0" xfId="2238" applyFont="1" applyAlignment="1" applyProtection="1">
      <alignment horizontal="left" vertical="center"/>
      <protection locked="0"/>
    </xf>
    <xf numFmtId="0" fontId="6" fillId="0" borderId="0" xfId="2238" applyFont="1" applyAlignment="1" applyProtection="1">
      <alignment horizontal="left" vertical="center"/>
      <protection locked="0"/>
    </xf>
    <xf numFmtId="0" fontId="11" fillId="0" borderId="0" xfId="2238" applyFont="1" applyAlignment="1" applyProtection="1">
      <alignment horizontal="center" vertical="center"/>
      <protection locked="0"/>
    </xf>
    <xf numFmtId="0" fontId="6" fillId="0" borderId="0" xfId="1466" applyFont="1" applyAlignment="1" applyProtection="1">
      <alignment horizontal="center" vertical="center" wrapText="1"/>
      <protection locked="0"/>
    </xf>
    <xf numFmtId="0" fontId="6" fillId="0" borderId="0" xfId="2228" applyFont="1" applyAlignment="1" applyProtection="1">
      <alignment horizontal="center" vertical="center"/>
      <protection locked="0"/>
    </xf>
    <xf numFmtId="0" fontId="11" fillId="0" borderId="19" xfId="437" applyBorder="1" applyAlignment="1" applyProtection="1">
      <alignment horizontal="left" vertical="center" wrapText="1"/>
      <protection locked="0"/>
    </xf>
    <xf numFmtId="0" fontId="23" fillId="0" borderId="0" xfId="124" applyFont="1" applyAlignment="1" applyProtection="1">
      <alignment vertical="center"/>
      <protection locked="0"/>
    </xf>
    <xf numFmtId="0" fontId="16" fillId="0" borderId="0" xfId="28" applyBorder="1" applyAlignment="1" applyProtection="1">
      <alignment horizontal="center" vertical="center"/>
      <protection locked="0"/>
    </xf>
    <xf numFmtId="0" fontId="16" fillId="0" borderId="0" xfId="1211" applyFont="1" applyBorder="1" applyProtection="1">
      <protection locked="0"/>
    </xf>
    <xf numFmtId="0" fontId="16" fillId="0" borderId="0" xfId="1211" applyFont="1" applyBorder="1" applyAlignment="1" applyProtection="1">
      <alignment vertical="center" wrapText="1"/>
      <protection locked="0"/>
    </xf>
    <xf numFmtId="49" fontId="0" fillId="0" borderId="0" xfId="0" applyNumberFormat="1"/>
    <xf numFmtId="37" fontId="15" fillId="0" borderId="34" xfId="1087" applyFont="1" applyBorder="1" applyAlignment="1">
      <alignment vertical="center"/>
    </xf>
    <xf numFmtId="0" fontId="5" fillId="0" borderId="0" xfId="2375" applyFont="1" applyAlignment="1" applyProtection="1">
      <alignment vertical="center"/>
      <protection locked="0"/>
    </xf>
    <xf numFmtId="0" fontId="6" fillId="0" borderId="0" xfId="2375" applyFont="1" applyAlignment="1" applyProtection="1">
      <alignment horizontal="left" vertical="center"/>
      <protection locked="0"/>
    </xf>
    <xf numFmtId="0" fontId="7" fillId="0" borderId="0" xfId="2375" applyFont="1" applyAlignment="1" applyProtection="1">
      <alignment horizontal="left" vertical="center"/>
      <protection locked="0"/>
    </xf>
    <xf numFmtId="0" fontId="5" fillId="0" borderId="0" xfId="2375" applyFont="1" applyProtection="1">
      <protection locked="0"/>
    </xf>
    <xf numFmtId="0" fontId="7" fillId="0" borderId="0" xfId="2375" applyFont="1" applyAlignment="1" applyProtection="1">
      <alignment vertical="center" wrapText="1"/>
      <protection locked="0"/>
    </xf>
    <xf numFmtId="0" fontId="7" fillId="0" borderId="0" xfId="2375" applyFont="1" applyProtection="1">
      <protection locked="0"/>
    </xf>
    <xf numFmtId="0" fontId="11" fillId="0" borderId="0" xfId="2375" applyFont="1" applyAlignment="1" applyProtection="1">
      <alignment vertical="center" wrapText="1"/>
      <protection locked="0"/>
    </xf>
    <xf numFmtId="0" fontId="15" fillId="3" borderId="36" xfId="2375" applyFont="1" applyFill="1" applyBorder="1" applyAlignment="1">
      <alignment horizontal="center" vertical="center"/>
    </xf>
    <xf numFmtId="0" fontId="15" fillId="3" borderId="37" xfId="2375" applyFont="1" applyFill="1" applyBorder="1" applyAlignment="1">
      <alignment horizontal="center" vertical="center"/>
    </xf>
    <xf numFmtId="0" fontId="15" fillId="3" borderId="38" xfId="2375" applyFont="1" applyFill="1" applyBorder="1" applyAlignment="1">
      <alignment horizontal="center" vertical="center" wrapText="1"/>
    </xf>
    <xf numFmtId="0" fontId="15" fillId="3" borderId="38" xfId="2375" applyFont="1" applyFill="1" applyBorder="1" applyAlignment="1">
      <alignment horizontal="center" vertical="center"/>
    </xf>
    <xf numFmtId="0" fontId="11" fillId="0" borderId="19" xfId="2375" applyFont="1" applyBorder="1" applyAlignment="1" applyProtection="1">
      <alignment horizontal="left" vertical="center"/>
      <protection locked="0"/>
    </xf>
    <xf numFmtId="0" fontId="5" fillId="0" borderId="19" xfId="2375" applyFont="1" applyBorder="1" applyAlignment="1" applyProtection="1">
      <alignment horizontal="left" vertical="center" wrapText="1"/>
      <protection locked="0"/>
    </xf>
    <xf numFmtId="0" fontId="5" fillId="0" borderId="0" xfId="2376" applyFont="1" applyAlignment="1">
      <alignment horizontal="left" vertical="center"/>
    </xf>
    <xf numFmtId="0" fontId="5" fillId="0" borderId="0" xfId="2376" applyFont="1" applyAlignment="1">
      <alignment vertical="center"/>
    </xf>
    <xf numFmtId="0" fontId="8" fillId="0" borderId="0" xfId="2378" applyFont="1" applyAlignment="1" applyProtection="1">
      <alignment vertical="center"/>
      <protection locked="0"/>
    </xf>
    <xf numFmtId="0" fontId="5" fillId="0" borderId="0" xfId="2375" applyFont="1" applyAlignment="1">
      <alignment vertical="center"/>
    </xf>
    <xf numFmtId="0" fontId="5" fillId="0" borderId="0" xfId="2375" applyFont="1" applyAlignment="1">
      <alignment horizontal="left" vertical="center" wrapText="1"/>
    </xf>
    <xf numFmtId="0" fontId="5" fillId="0" borderId="0" xfId="2375" applyFont="1" applyAlignment="1">
      <alignment horizontal="left" vertical="center"/>
    </xf>
    <xf numFmtId="9" fontId="5" fillId="0" borderId="0" xfId="2375" applyNumberFormat="1" applyFont="1" applyAlignment="1">
      <alignment horizontal="left" vertical="center"/>
    </xf>
    <xf numFmtId="9" fontId="5" fillId="0" borderId="0" xfId="2379" applyFont="1" applyAlignment="1" applyProtection="1">
      <alignment vertical="center"/>
      <protection locked="0"/>
    </xf>
    <xf numFmtId="0" fontId="5" fillId="0" borderId="0" xfId="2375" applyFont="1"/>
    <xf numFmtId="0" fontId="11" fillId="0" borderId="0" xfId="2375" applyFont="1" applyAlignment="1" applyProtection="1">
      <alignment vertical="center"/>
      <protection locked="0"/>
    </xf>
    <xf numFmtId="0" fontId="11" fillId="2" borderId="0" xfId="2375" applyFont="1" applyFill="1" applyAlignment="1">
      <alignment vertical="center"/>
    </xf>
    <xf numFmtId="9" fontId="5" fillId="0" borderId="0" xfId="2379" applyFont="1" applyAlignment="1">
      <alignment vertical="center"/>
    </xf>
    <xf numFmtId="0" fontId="11" fillId="5" borderId="0" xfId="2375" applyFont="1" applyFill="1" applyAlignment="1">
      <alignment vertical="center"/>
    </xf>
    <xf numFmtId="0" fontId="5" fillId="0" borderId="0" xfId="2377" applyNumberFormat="1" applyFont="1" applyAlignment="1">
      <alignment vertical="center" wrapText="1"/>
    </xf>
    <xf numFmtId="0" fontId="5" fillId="0" borderId="0" xfId="2376" applyFont="1" applyAlignment="1">
      <alignment vertical="center" wrapText="1"/>
    </xf>
    <xf numFmtId="178" fontId="5" fillId="0" borderId="0" xfId="2375" applyNumberFormat="1" applyFont="1" applyAlignment="1">
      <alignment vertical="center" shrinkToFit="1"/>
    </xf>
    <xf numFmtId="0" fontId="11" fillId="0" borderId="0" xfId="2375" applyFont="1" applyAlignment="1">
      <alignment vertical="center"/>
    </xf>
    <xf numFmtId="9" fontId="5" fillId="0" borderId="0" xfId="2379" applyFont="1" applyAlignment="1">
      <alignment vertical="center" shrinkToFit="1"/>
    </xf>
    <xf numFmtId="0" fontId="5" fillId="0" borderId="0" xfId="2375" applyFont="1" applyAlignment="1">
      <alignment vertical="center" shrinkToFit="1"/>
    </xf>
    <xf numFmtId="0" fontId="5" fillId="0" borderId="0" xfId="2381" applyFont="1" applyAlignment="1">
      <alignment vertical="center"/>
    </xf>
    <xf numFmtId="0" fontId="11" fillId="0" borderId="0" xfId="2381" applyFont="1" applyAlignment="1">
      <alignment vertical="center"/>
    </xf>
    <xf numFmtId="0" fontId="5" fillId="0" borderId="0" xfId="2375" applyFont="1" applyAlignment="1" applyProtection="1">
      <alignment horizontal="left" vertical="center"/>
      <protection locked="0"/>
    </xf>
    <xf numFmtId="0" fontId="5" fillId="2" borderId="0" xfId="2376" applyFont="1" applyFill="1" applyAlignment="1">
      <alignment vertical="center"/>
    </xf>
    <xf numFmtId="0" fontId="6" fillId="0" borderId="0" xfId="2375" applyFont="1" applyAlignment="1">
      <alignment vertical="center"/>
    </xf>
    <xf numFmtId="0" fontId="6" fillId="2" borderId="0" xfId="2375" applyFont="1" applyFill="1" applyAlignment="1">
      <alignment vertical="center"/>
    </xf>
    <xf numFmtId="0" fontId="5" fillId="2" borderId="0" xfId="2375" applyFont="1" applyFill="1" applyAlignment="1">
      <alignment vertical="center"/>
    </xf>
    <xf numFmtId="0" fontId="5" fillId="0" borderId="15" xfId="2375" applyFont="1" applyBorder="1" applyAlignment="1">
      <alignment horizontal="center" vertical="top" wrapText="1"/>
    </xf>
    <xf numFmtId="49" fontId="5" fillId="0" borderId="14" xfId="2384" applyNumberFormat="1" applyFont="1" applyFill="1" applyBorder="1" applyAlignment="1">
      <alignment horizontal="left" vertical="center" shrinkToFit="1"/>
    </xf>
    <xf numFmtId="178" fontId="5" fillId="0" borderId="14" xfId="2384" applyFont="1" applyFill="1" applyBorder="1" applyAlignment="1">
      <alignment horizontal="right" vertical="center" shrinkToFit="1"/>
    </xf>
    <xf numFmtId="178" fontId="5" fillId="0" borderId="14" xfId="2384" applyFont="1" applyFill="1" applyBorder="1" applyAlignment="1">
      <alignment vertical="center"/>
    </xf>
    <xf numFmtId="178" fontId="5" fillId="0" borderId="14" xfId="2384" applyFont="1" applyFill="1" applyBorder="1" applyAlignment="1">
      <alignment horizontal="center" vertical="center" shrinkToFit="1"/>
    </xf>
    <xf numFmtId="0" fontId="5" fillId="0" borderId="14" xfId="2384" applyNumberFormat="1" applyFont="1" applyFill="1" applyBorder="1" applyAlignment="1">
      <alignment horizontal="center" vertical="center" shrinkToFit="1"/>
    </xf>
    <xf numFmtId="0" fontId="5" fillId="0" borderId="0" xfId="2384" applyNumberFormat="1" applyFont="1" applyFill="1" applyBorder="1" applyAlignment="1">
      <alignment vertical="center"/>
    </xf>
    <xf numFmtId="178" fontId="5" fillId="0" borderId="0" xfId="2384" applyFont="1" applyFill="1" applyBorder="1" applyAlignment="1">
      <alignment vertical="center"/>
    </xf>
    <xf numFmtId="178" fontId="5" fillId="0" borderId="0" xfId="2385" applyFont="1" applyFill="1" applyBorder="1" applyAlignment="1" applyProtection="1">
      <alignment horizontal="right" vertical="center" shrinkToFit="1"/>
      <protection locked="0"/>
    </xf>
    <xf numFmtId="178" fontId="5" fillId="0" borderId="0" xfId="2385" applyFont="1" applyFill="1" applyBorder="1" applyAlignment="1" applyProtection="1">
      <alignment horizontal="right" vertical="center" shrinkToFit="1"/>
    </xf>
    <xf numFmtId="176" fontId="11" fillId="5" borderId="0" xfId="2375" applyNumberFormat="1" applyFont="1" applyFill="1" applyAlignment="1">
      <alignment vertical="center"/>
    </xf>
    <xf numFmtId="0" fontId="5" fillId="0" borderId="0" xfId="2376" applyFont="1" applyAlignment="1" applyProtection="1">
      <alignment vertical="center"/>
      <protection locked="0"/>
    </xf>
    <xf numFmtId="0" fontId="5" fillId="0" borderId="0" xfId="2377" applyNumberFormat="1" applyFont="1" applyAlignment="1" applyProtection="1">
      <alignment vertical="center"/>
      <protection locked="0"/>
    </xf>
    <xf numFmtId="0" fontId="5" fillId="0" borderId="0" xfId="2376" applyFont="1" applyAlignment="1" applyProtection="1">
      <alignment horizontal="left" vertical="center"/>
      <protection locked="0"/>
    </xf>
    <xf numFmtId="0" fontId="11" fillId="0" borderId="0" xfId="2375" applyFont="1" applyAlignment="1">
      <alignment vertical="center" shrinkToFit="1"/>
    </xf>
    <xf numFmtId="0" fontId="5" fillId="3" borderId="15" xfId="2375" applyFont="1" applyFill="1" applyBorder="1" applyAlignment="1">
      <alignment horizontal="center" vertical="center" wrapText="1"/>
    </xf>
    <xf numFmtId="0" fontId="11" fillId="3" borderId="38" xfId="2375" applyFont="1" applyFill="1" applyBorder="1" applyAlignment="1">
      <alignment horizontal="center" vertical="center" wrapText="1"/>
    </xf>
    <xf numFmtId="0" fontId="5" fillId="0" borderId="0" xfId="2375" applyFont="1" applyAlignment="1">
      <alignment vertical="center" wrapText="1"/>
    </xf>
    <xf numFmtId="0" fontId="5" fillId="4" borderId="0" xfId="2375" applyFont="1" applyFill="1" applyAlignment="1">
      <alignment vertical="center" wrapText="1"/>
    </xf>
    <xf numFmtId="9" fontId="5" fillId="0" borderId="0" xfId="2379" applyFont="1" applyAlignment="1">
      <alignment vertical="center" wrapText="1"/>
    </xf>
    <xf numFmtId="49" fontId="11" fillId="0" borderId="18" xfId="2381" applyNumberFormat="1" applyFont="1" applyBorder="1" applyAlignment="1">
      <alignment horizontal="left" vertical="center" shrinkToFit="1"/>
    </xf>
    <xf numFmtId="178" fontId="11" fillId="0" borderId="3" xfId="2375" applyNumberFormat="1" applyFont="1" applyBorder="1" applyAlignment="1">
      <alignment horizontal="right" vertical="center" shrinkToFit="1"/>
    </xf>
    <xf numFmtId="178" fontId="5" fillId="0" borderId="0" xfId="2377" applyFont="1" applyFill="1" applyBorder="1" applyAlignment="1" applyProtection="1">
      <alignment vertical="center"/>
      <protection locked="0"/>
    </xf>
    <xf numFmtId="0" fontId="15" fillId="0" borderId="0" xfId="2382" applyFont="1" applyAlignment="1">
      <alignment horizontal="center"/>
    </xf>
    <xf numFmtId="0" fontId="15" fillId="0" borderId="0" xfId="2382" applyFont="1" applyAlignment="1">
      <alignment vertical="center"/>
    </xf>
    <xf numFmtId="0" fontId="21" fillId="0" borderId="0" xfId="2382" applyFont="1" applyAlignment="1">
      <alignment vertical="center"/>
    </xf>
    <xf numFmtId="0" fontId="6" fillId="0" borderId="1" xfId="2381" applyFont="1" applyBorder="1" applyAlignment="1">
      <alignment horizontal="center" vertical="center" wrapText="1"/>
    </xf>
    <xf numFmtId="0" fontId="6" fillId="0" borderId="1" xfId="2388" applyFont="1" applyBorder="1" applyAlignment="1">
      <alignment horizontal="center" vertical="center" wrapText="1"/>
      <protection locked="0"/>
    </xf>
    <xf numFmtId="0" fontId="15" fillId="0" borderId="1" xfId="2388" applyFont="1" applyBorder="1" applyAlignment="1">
      <alignment horizontal="center" vertical="center" wrapText="1"/>
      <protection locked="0"/>
    </xf>
    <xf numFmtId="178" fontId="6" fillId="0" borderId="1" xfId="2388" applyNumberFormat="1" applyFont="1" applyBorder="1" applyAlignment="1">
      <alignment horizontal="center" vertical="center" wrapText="1" shrinkToFit="1"/>
      <protection locked="0"/>
    </xf>
    <xf numFmtId="10" fontId="15" fillId="0" borderId="1" xfId="2388" applyNumberFormat="1" applyFont="1" applyBorder="1" applyAlignment="1">
      <alignment horizontal="center" vertical="center" wrapText="1"/>
      <protection locked="0"/>
    </xf>
    <xf numFmtId="0" fontId="6" fillId="2" borderId="0" xfId="2388" applyFont="1" applyFill="1" applyAlignment="1">
      <alignment horizontal="center" vertical="center" wrapText="1"/>
      <protection locked="0"/>
    </xf>
    <xf numFmtId="0" fontId="11" fillId="2" borderId="31" xfId="2388" applyFont="1" applyFill="1" applyBorder="1" applyAlignment="1">
      <alignment horizontal="center" vertical="center" wrapText="1"/>
      <protection locked="0"/>
    </xf>
    <xf numFmtId="0" fontId="11" fillId="2" borderId="41" xfId="2388" applyFont="1" applyFill="1" applyBorder="1" applyAlignment="1">
      <alignment horizontal="center" vertical="center" wrapText="1"/>
      <protection locked="0"/>
    </xf>
    <xf numFmtId="0" fontId="11" fillId="2" borderId="32" xfId="2388" applyFont="1" applyFill="1" applyBorder="1" applyAlignment="1">
      <alignment horizontal="center" vertical="center" wrapText="1"/>
      <protection locked="0"/>
    </xf>
    <xf numFmtId="0" fontId="11" fillId="2" borderId="28" xfId="2388" applyFont="1" applyFill="1" applyBorder="1" applyAlignment="1">
      <alignment horizontal="center" vertical="center" wrapText="1"/>
      <protection locked="0"/>
    </xf>
    <xf numFmtId="0" fontId="11" fillId="6" borderId="30" xfId="2388" applyFont="1" applyFill="1" applyBorder="1" applyAlignment="1">
      <alignment vertical="center" wrapText="1"/>
      <protection locked="0"/>
    </xf>
    <xf numFmtId="0" fontId="11" fillId="6" borderId="42" xfId="2388" applyFont="1" applyFill="1" applyBorder="1" applyAlignment="1">
      <alignment vertical="center" wrapText="1"/>
      <protection locked="0"/>
    </xf>
    <xf numFmtId="14" fontId="11" fillId="6" borderId="30" xfId="2388" applyNumberFormat="1" applyFont="1" applyFill="1" applyBorder="1" applyAlignment="1">
      <alignment horizontal="center" vertical="center" wrapText="1"/>
      <protection locked="0"/>
    </xf>
    <xf numFmtId="0" fontId="11" fillId="2" borderId="28" xfId="2388" applyFont="1" applyFill="1" applyBorder="1" applyAlignment="1">
      <alignment horizontal="right" vertical="center" wrapText="1" shrinkToFit="1"/>
      <protection locked="0"/>
    </xf>
    <xf numFmtId="0" fontId="11" fillId="2" borderId="42" xfId="2388" applyFont="1" applyFill="1" applyBorder="1" applyAlignment="1">
      <alignment horizontal="left" vertical="center" wrapText="1" shrinkToFit="1"/>
      <protection locked="0"/>
    </xf>
    <xf numFmtId="0" fontId="6" fillId="4" borderId="35" xfId="2388" applyFont="1" applyFill="1" applyBorder="1" applyAlignment="1">
      <alignment vertical="center" wrapText="1"/>
      <protection locked="0"/>
    </xf>
    <xf numFmtId="0" fontId="11" fillId="2" borderId="0" xfId="2388" applyFont="1" applyFill="1" applyAlignment="1">
      <alignment horizontal="center" vertical="center" wrapText="1"/>
      <protection locked="0"/>
    </xf>
    <xf numFmtId="0" fontId="11" fillId="6" borderId="19" xfId="2388" applyFont="1" applyFill="1" applyBorder="1" applyAlignment="1">
      <alignment horizontal="center" vertical="top" wrapText="1"/>
      <protection locked="0"/>
    </xf>
    <xf numFmtId="0" fontId="11" fillId="6" borderId="6" xfId="2388" applyFont="1" applyFill="1" applyBorder="1" applyAlignment="1">
      <alignment horizontal="center" vertical="top" wrapText="1"/>
      <protection locked="0"/>
    </xf>
    <xf numFmtId="0" fontId="11" fillId="3" borderId="6" xfId="2388" applyFont="1" applyFill="1" applyBorder="1" applyAlignment="1">
      <alignment horizontal="center" vertical="top" wrapText="1"/>
      <protection locked="0"/>
    </xf>
    <xf numFmtId="0" fontId="11" fillId="3" borderId="19" xfId="2388" applyFont="1" applyFill="1" applyBorder="1" applyAlignment="1">
      <alignment horizontal="center" vertical="center" wrapText="1"/>
      <protection locked="0"/>
    </xf>
    <xf numFmtId="0" fontId="11" fillId="4" borderId="19" xfId="2388" applyFont="1" applyFill="1" applyBorder="1" applyAlignment="1">
      <alignment horizontal="center" vertical="center" wrapText="1"/>
      <protection locked="0"/>
    </xf>
    <xf numFmtId="0" fontId="11" fillId="2" borderId="16" xfId="2388" applyFont="1" applyFill="1" applyBorder="1" applyAlignment="1">
      <alignment horizontal="center" vertical="center" wrapText="1"/>
      <protection locked="0"/>
    </xf>
    <xf numFmtId="0" fontId="11" fillId="2" borderId="15" xfId="2388" applyFont="1" applyFill="1" applyBorder="1" applyAlignment="1">
      <alignment horizontal="center" vertical="center" wrapText="1"/>
      <protection locked="0"/>
    </xf>
    <xf numFmtId="0" fontId="6" fillId="4" borderId="21" xfId="2388" applyFont="1" applyFill="1" applyBorder="1" applyAlignment="1">
      <alignment horizontal="center" vertical="top" wrapText="1"/>
      <protection locked="0"/>
    </xf>
    <xf numFmtId="0" fontId="11" fillId="2" borderId="0" xfId="2388" applyFont="1" applyFill="1">
      <alignment vertical="center"/>
      <protection locked="0"/>
    </xf>
    <xf numFmtId="49" fontId="11" fillId="0" borderId="15" xfId="2381" applyNumberFormat="1" applyFont="1" applyBorder="1" applyAlignment="1">
      <alignment vertical="center" shrinkToFit="1"/>
    </xf>
    <xf numFmtId="49" fontId="11" fillId="0" borderId="19" xfId="2388" applyNumberFormat="1" applyFont="1" applyBorder="1" applyAlignment="1">
      <alignment horizontal="left" vertical="center"/>
      <protection locked="0"/>
    </xf>
    <xf numFmtId="49" fontId="11" fillId="0" borderId="21" xfId="2388" applyNumberFormat="1" applyFont="1" applyBorder="1">
      <alignment vertical="center"/>
      <protection locked="0"/>
    </xf>
    <xf numFmtId="0" fontId="11" fillId="0" borderId="0" xfId="2388" applyFont="1" applyAlignment="1">
      <alignment horizontal="right" vertical="center"/>
      <protection locked="0"/>
    </xf>
    <xf numFmtId="0" fontId="11" fillId="0" borderId="0" xfId="2388" applyFont="1">
      <alignment vertical="center"/>
      <protection locked="0"/>
    </xf>
    <xf numFmtId="49" fontId="11" fillId="0" borderId="0" xfId="2388" applyNumberFormat="1" applyFont="1" applyAlignment="1">
      <alignment horizontal="center" vertical="center"/>
      <protection locked="0"/>
    </xf>
    <xf numFmtId="178" fontId="11" fillId="0" borderId="14" xfId="2388" applyNumberFormat="1" applyFont="1" applyBorder="1" applyAlignment="1">
      <alignment horizontal="right" vertical="center" shrinkToFit="1"/>
      <protection locked="0"/>
    </xf>
    <xf numFmtId="178" fontId="11" fillId="0" borderId="14" xfId="2388" applyNumberFormat="1" applyFont="1" applyBorder="1" applyAlignment="1" applyProtection="1">
      <alignment horizontal="right" vertical="center" shrinkToFit="1"/>
    </xf>
    <xf numFmtId="10" fontId="11" fillId="0" borderId="14" xfId="2388" applyNumberFormat="1" applyFont="1" applyBorder="1" applyAlignment="1">
      <alignment horizontal="right" vertical="center" shrinkToFit="1"/>
      <protection locked="0"/>
    </xf>
    <xf numFmtId="0" fontId="11" fillId="0" borderId="14" xfId="2388" applyFont="1" applyBorder="1">
      <alignment vertical="center"/>
      <protection locked="0"/>
    </xf>
    <xf numFmtId="49" fontId="20" fillId="0" borderId="0" xfId="2388" applyNumberFormat="1" applyFont="1" applyAlignment="1">
      <alignment horizontal="center" vertical="center" shrinkToFit="1"/>
      <protection locked="0"/>
    </xf>
    <xf numFmtId="0" fontId="6" fillId="0" borderId="0" xfId="2375" applyFont="1" applyAlignment="1">
      <alignment horizontal="right" vertical="center"/>
    </xf>
    <xf numFmtId="178" fontId="11" fillId="0" borderId="0" xfId="2375" applyNumberFormat="1" applyFont="1" applyAlignment="1">
      <alignment horizontal="right" vertical="center" shrinkToFit="1"/>
    </xf>
    <xf numFmtId="0" fontId="13" fillId="0" borderId="0" xfId="2375" applyFont="1" applyAlignment="1">
      <alignment horizontal="center" vertical="center"/>
    </xf>
    <xf numFmtId="178" fontId="11" fillId="0" borderId="0" xfId="2377" applyFont="1" applyFill="1" applyBorder="1" applyAlignment="1" applyProtection="1">
      <alignment vertical="center"/>
      <protection locked="0"/>
    </xf>
    <xf numFmtId="178" fontId="15" fillId="0" borderId="0" xfId="2377" applyFont="1" applyFill="1" applyBorder="1" applyAlignment="1" applyProtection="1">
      <alignment horizontal="right" vertical="center"/>
      <protection locked="0"/>
    </xf>
    <xf numFmtId="178" fontId="11" fillId="0" borderId="0" xfId="2377" applyFont="1" applyFill="1" applyAlignment="1" applyProtection="1">
      <alignment vertical="center"/>
      <protection locked="0"/>
    </xf>
    <xf numFmtId="178" fontId="6" fillId="0" borderId="0" xfId="2377" applyFont="1" applyFill="1" applyBorder="1" applyAlignment="1" applyProtection="1">
      <alignment horizontal="center" vertical="center" wrapText="1"/>
      <protection locked="0"/>
    </xf>
    <xf numFmtId="178" fontId="15" fillId="0" borderId="0" xfId="2377" applyFont="1" applyFill="1" applyBorder="1" applyAlignment="1">
      <alignment vertical="center"/>
    </xf>
    <xf numFmtId="178" fontId="21" fillId="0" borderId="0" xfId="2377" applyFont="1" applyFill="1" applyBorder="1" applyAlignment="1">
      <alignment vertical="center"/>
    </xf>
    <xf numFmtId="0" fontId="15" fillId="0" borderId="28" xfId="2382" applyFont="1" applyBorder="1" applyAlignment="1">
      <alignment vertical="center"/>
    </xf>
    <xf numFmtId="0" fontId="11" fillId="0" borderId="39" xfId="2382" applyFont="1" applyBorder="1" applyAlignment="1">
      <alignment vertical="center"/>
    </xf>
    <xf numFmtId="0" fontId="11" fillId="0" borderId="16" xfId="2382" applyFont="1" applyBorder="1" applyAlignment="1">
      <alignment vertical="center" wrapText="1"/>
    </xf>
    <xf numFmtId="0" fontId="5" fillId="0" borderId="0" xfId="818" applyFont="1" applyAlignment="1" applyProtection="1">
      <alignment vertical="center"/>
      <protection locked="0"/>
    </xf>
    <xf numFmtId="0" fontId="5" fillId="0" borderId="0" xfId="2375" applyFont="1" applyAlignment="1" applyProtection="1">
      <alignment vertical="center" wrapText="1"/>
      <protection locked="0"/>
    </xf>
    <xf numFmtId="0" fontId="5" fillId="0" borderId="0" xfId="2375" applyFont="1" applyAlignment="1" applyProtection="1">
      <alignment horizontal="left" vertical="center" wrapText="1"/>
      <protection locked="0"/>
    </xf>
    <xf numFmtId="0" fontId="6" fillId="0" borderId="0" xfId="2375" applyFont="1" applyAlignment="1">
      <alignment horizontal="center" vertical="center"/>
    </xf>
    <xf numFmtId="0" fontId="11" fillId="0" borderId="0" xfId="818" applyFont="1" applyAlignment="1" applyProtection="1">
      <alignment vertical="center"/>
      <protection locked="0"/>
    </xf>
    <xf numFmtId="0" fontId="11" fillId="2" borderId="0" xfId="1370" applyFill="1" applyAlignment="1">
      <alignment vertical="center"/>
    </xf>
    <xf numFmtId="178" fontId="5" fillId="0" borderId="0" xfId="2384" applyFont="1" applyFill="1" applyBorder="1" applyAlignment="1">
      <alignment horizontal="right" vertical="center" shrinkToFit="1"/>
    </xf>
    <xf numFmtId="0" fontId="5" fillId="0" borderId="14" xfId="2375" applyFont="1" applyBorder="1"/>
    <xf numFmtId="0" fontId="6" fillId="2" borderId="14" xfId="1370" applyFont="1" applyFill="1" applyBorder="1" applyAlignment="1">
      <alignment vertical="center"/>
    </xf>
    <xf numFmtId="0" fontId="6" fillId="2" borderId="14" xfId="1370" applyFont="1" applyFill="1" applyBorder="1" applyAlignment="1">
      <alignment horizontal="right" vertical="center"/>
    </xf>
    <xf numFmtId="0" fontId="5" fillId="3" borderId="32" xfId="0" applyFont="1" applyFill="1" applyBorder="1" applyAlignment="1">
      <alignment vertical="center" wrapText="1"/>
    </xf>
    <xf numFmtId="178" fontId="5" fillId="0" borderId="29" xfId="2423" applyNumberFormat="1" applyFont="1" applyBorder="1" applyAlignment="1">
      <alignment horizontal="center" vertical="center" wrapText="1" shrinkToFit="1"/>
    </xf>
    <xf numFmtId="0" fontId="5" fillId="3" borderId="19" xfId="0" applyFont="1" applyFill="1" applyBorder="1" applyAlignment="1">
      <alignment horizontal="center" vertical="top" wrapText="1"/>
    </xf>
    <xf numFmtId="178" fontId="11" fillId="0" borderId="11" xfId="2388" applyNumberFormat="1" applyFont="1" applyBorder="1" applyAlignment="1" applyProtection="1">
      <alignment horizontal="center" vertical="center" wrapText="1" shrinkToFit="1"/>
    </xf>
    <xf numFmtId="0" fontId="11" fillId="0" borderId="19" xfId="0" applyFont="1" applyBorder="1" applyAlignment="1" applyProtection="1">
      <alignment horizontal="center" vertical="center" wrapText="1"/>
      <protection locked="0"/>
    </xf>
    <xf numFmtId="0" fontId="5" fillId="0" borderId="19" xfId="2423" applyFont="1" applyBorder="1" applyAlignment="1">
      <alignment horizontal="center" vertical="center" wrapText="1"/>
    </xf>
    <xf numFmtId="49" fontId="5" fillId="0" borderId="19" xfId="0" applyNumberFormat="1" applyFont="1" applyBorder="1" applyAlignment="1">
      <alignment horizontal="center" vertical="center"/>
    </xf>
    <xf numFmtId="0" fontId="8" fillId="2" borderId="0" xfId="0" applyFont="1" applyFill="1" applyAlignment="1">
      <alignment vertical="center"/>
    </xf>
    <xf numFmtId="0" fontId="6" fillId="2" borderId="0" xfId="0" applyFont="1" applyFill="1" applyAlignment="1">
      <alignment horizontal="center" vertical="center"/>
    </xf>
    <xf numFmtId="0" fontId="6"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center" vertical="center"/>
    </xf>
    <xf numFmtId="178" fontId="5" fillId="0" borderId="0" xfId="2423" applyNumberFormat="1" applyFont="1" applyAlignment="1">
      <alignment vertical="center" shrinkToFit="1"/>
    </xf>
    <xf numFmtId="0" fontId="6" fillId="2" borderId="0" xfId="0" applyFont="1" applyFill="1" applyAlignment="1">
      <alignment horizontal="left" vertical="center" wrapText="1"/>
    </xf>
    <xf numFmtId="0" fontId="19" fillId="0" borderId="0" xfId="0" applyFont="1" applyAlignment="1">
      <alignment horizontal="center" vertical="center"/>
    </xf>
    <xf numFmtId="0" fontId="6" fillId="0" borderId="0" xfId="0" applyFont="1" applyAlignment="1">
      <alignment horizontal="center" vertical="center"/>
    </xf>
    <xf numFmtId="178" fontId="5" fillId="0" borderId="0" xfId="2423" applyNumberFormat="1" applyFont="1" applyAlignment="1">
      <alignment horizontal="center" vertical="center" wrapText="1" shrinkToFit="1"/>
    </xf>
    <xf numFmtId="0" fontId="5" fillId="0" borderId="0" xfId="0" applyFont="1" applyAlignment="1">
      <alignment horizontal="left" vertical="center" wrapText="1"/>
    </xf>
    <xf numFmtId="178" fontId="5" fillId="0" borderId="31" xfId="2423" applyNumberFormat="1" applyFont="1" applyBorder="1" applyAlignment="1">
      <alignment horizontal="center" vertical="center" wrapText="1" shrinkToFit="1"/>
    </xf>
    <xf numFmtId="178" fontId="5" fillId="0" borderId="41" xfId="2423" applyNumberFormat="1" applyFont="1" applyBorder="1" applyAlignment="1">
      <alignment horizontal="center" vertical="center" wrapText="1" shrinkToFit="1"/>
    </xf>
    <xf numFmtId="0" fontId="5" fillId="0" borderId="30" xfId="0" applyFont="1" applyBorder="1" applyAlignment="1">
      <alignment vertical="center" wrapText="1"/>
    </xf>
    <xf numFmtId="0" fontId="5" fillId="0" borderId="30" xfId="0" applyFont="1" applyBorder="1" applyAlignment="1">
      <alignment horizontal="right" vertical="center" wrapText="1"/>
    </xf>
    <xf numFmtId="0" fontId="5" fillId="0" borderId="30" xfId="0" applyFont="1" applyBorder="1" applyAlignment="1">
      <alignment vertical="center"/>
    </xf>
    <xf numFmtId="177" fontId="5" fillId="0" borderId="30" xfId="2434" applyFont="1" applyFill="1" applyBorder="1" applyAlignment="1">
      <alignment vertical="center" wrapText="1"/>
    </xf>
    <xf numFmtId="177" fontId="5" fillId="0" borderId="30" xfId="2434" applyFont="1" applyFill="1" applyBorder="1" applyAlignment="1">
      <alignment horizontal="right" vertical="center" wrapText="1"/>
    </xf>
    <xf numFmtId="0" fontId="5" fillId="0" borderId="15" xfId="0" applyFont="1" applyBorder="1" applyAlignment="1">
      <alignment horizontal="center" vertical="top" wrapText="1"/>
    </xf>
    <xf numFmtId="0" fontId="5" fillId="0" borderId="19" xfId="0" applyFont="1" applyBorder="1" applyAlignment="1">
      <alignment horizontal="center" vertical="top" wrapText="1"/>
    </xf>
    <xf numFmtId="0" fontId="5" fillId="3" borderId="19" xfId="0" applyFont="1" applyFill="1" applyBorder="1" applyAlignment="1">
      <alignment horizontal="center" vertical="center" wrapText="1"/>
    </xf>
    <xf numFmtId="0" fontId="5" fillId="0" borderId="0" xfId="0" applyFont="1" applyAlignment="1">
      <alignment horizontal="left" vertical="center"/>
    </xf>
    <xf numFmtId="49" fontId="5" fillId="0" borderId="15" xfId="0" applyNumberFormat="1" applyFont="1" applyBorder="1" applyAlignment="1">
      <alignment horizontal="center" vertical="center"/>
    </xf>
    <xf numFmtId="14" fontId="5" fillId="0" borderId="19" xfId="0" applyNumberFormat="1" applyFont="1" applyBorder="1" applyAlignment="1">
      <alignment horizontal="left" vertical="center"/>
    </xf>
    <xf numFmtId="0" fontId="5" fillId="0" borderId="0" xfId="2423" applyFont="1" applyAlignment="1">
      <alignment vertical="center" shrinkToFit="1"/>
    </xf>
    <xf numFmtId="0" fontId="5" fillId="0" borderId="0" xfId="0" applyFont="1" applyAlignment="1">
      <alignment horizontal="left" vertical="center" shrinkToFit="1"/>
    </xf>
    <xf numFmtId="49" fontId="5" fillId="0" borderId="14" xfId="0" applyNumberFormat="1" applyFont="1" applyBorder="1" applyAlignment="1">
      <alignment horizontal="left" vertical="center" shrinkToFit="1"/>
    </xf>
    <xf numFmtId="14" fontId="5" fillId="0" borderId="14" xfId="0" applyNumberFormat="1" applyFont="1" applyBorder="1" applyAlignment="1">
      <alignment horizontal="right" vertical="center" shrinkToFit="1"/>
    </xf>
    <xf numFmtId="0" fontId="5" fillId="0" borderId="14" xfId="0" applyFont="1" applyBorder="1" applyAlignment="1">
      <alignment horizontal="right" vertical="center" shrinkToFit="1"/>
    </xf>
    <xf numFmtId="14" fontId="11" fillId="0" borderId="14" xfId="2388" applyNumberFormat="1" applyFont="1" applyBorder="1" applyAlignment="1" applyProtection="1">
      <alignment horizontal="right" vertical="center" shrinkToFit="1"/>
    </xf>
    <xf numFmtId="0" fontId="5" fillId="0" borderId="14" xfId="2423" applyFont="1" applyBorder="1" applyAlignment="1">
      <alignment vertical="center" shrinkToFit="1"/>
    </xf>
    <xf numFmtId="14" fontId="5" fillId="0" borderId="0" xfId="0" applyNumberFormat="1" applyFont="1" applyAlignment="1">
      <alignment horizontal="center" vertical="center"/>
    </xf>
    <xf numFmtId="0" fontId="8" fillId="0" borderId="0" xfId="0" applyFont="1" applyAlignment="1">
      <alignment horizontal="center" vertical="center"/>
    </xf>
    <xf numFmtId="178" fontId="5" fillId="0" borderId="0" xfId="0" applyNumberFormat="1" applyFont="1" applyAlignment="1">
      <alignment horizontal="right" shrinkToFit="1"/>
    </xf>
    <xf numFmtId="0" fontId="5" fillId="0" borderId="0" xfId="0" applyFont="1" applyAlignment="1">
      <alignment horizontal="center" vertical="center"/>
    </xf>
    <xf numFmtId="14" fontId="11" fillId="0" borderId="0" xfId="2388" applyNumberFormat="1" applyFont="1" applyAlignment="1" applyProtection="1">
      <alignment horizontal="right" vertical="center" shrinkToFit="1"/>
    </xf>
    <xf numFmtId="178" fontId="11" fillId="0" borderId="0" xfId="2388" applyNumberFormat="1" applyFont="1" applyAlignment="1" applyProtection="1">
      <alignment horizontal="right" vertical="center" shrinkToFit="1"/>
    </xf>
    <xf numFmtId="178" fontId="6" fillId="0" borderId="0" xfId="2385" applyFont="1" applyFill="1" applyBorder="1" applyAlignment="1">
      <alignment horizontal="center" vertical="center"/>
    </xf>
    <xf numFmtId="178" fontId="5" fillId="0" borderId="0" xfId="0" applyNumberFormat="1" applyFont="1" applyAlignment="1">
      <alignment horizontal="right" vertical="center" shrinkToFit="1"/>
    </xf>
    <xf numFmtId="178" fontId="5" fillId="0" borderId="0" xfId="2423" applyNumberFormat="1" applyFont="1" applyAlignment="1">
      <alignment horizontal="left" vertical="center" shrinkToFit="1"/>
    </xf>
    <xf numFmtId="178" fontId="6" fillId="0" borderId="0" xfId="0" applyNumberFormat="1" applyFont="1" applyAlignment="1" applyProtection="1">
      <alignment horizontal="center" vertical="center" shrinkToFit="1"/>
      <protection locked="0"/>
    </xf>
    <xf numFmtId="0" fontId="5" fillId="2" borderId="0" xfId="2423" applyFont="1" applyFill="1" applyAlignment="1">
      <alignment vertical="center"/>
    </xf>
    <xf numFmtId="178" fontId="6" fillId="2" borderId="0" xfId="2423" applyNumberFormat="1" applyFont="1" applyFill="1" applyAlignment="1">
      <alignment horizontal="left" vertical="center" shrinkToFit="1"/>
    </xf>
    <xf numFmtId="178" fontId="5" fillId="0" borderId="35" xfId="2423" applyNumberFormat="1" applyFont="1" applyBorder="1" applyAlignment="1">
      <alignment vertical="center" shrinkToFit="1"/>
    </xf>
    <xf numFmtId="178" fontId="5" fillId="2" borderId="0" xfId="2423" applyNumberFormat="1" applyFont="1" applyFill="1" applyAlignment="1">
      <alignment vertical="center" shrinkToFit="1"/>
    </xf>
    <xf numFmtId="178" fontId="6" fillId="2" borderId="0" xfId="0" applyNumberFormat="1" applyFont="1" applyFill="1" applyAlignment="1" applyProtection="1">
      <alignment horizontal="center" vertical="center" shrinkToFit="1"/>
      <protection locked="0"/>
    </xf>
    <xf numFmtId="0" fontId="15" fillId="2" borderId="0" xfId="0" applyFont="1" applyFill="1" applyAlignment="1">
      <alignment vertical="center"/>
    </xf>
    <xf numFmtId="0" fontId="15" fillId="2" borderId="0" xfId="0" applyFont="1" applyFill="1" applyAlignment="1">
      <alignment horizontal="center" vertical="center"/>
    </xf>
    <xf numFmtId="178" fontId="5" fillId="0" borderId="12" xfId="2423" applyNumberFormat="1" applyFont="1" applyBorder="1" applyAlignment="1">
      <alignment vertical="center" shrinkToFit="1"/>
    </xf>
    <xf numFmtId="0" fontId="5" fillId="2" borderId="0" xfId="2423" applyFont="1" applyFill="1" applyAlignment="1" applyProtection="1">
      <alignment vertical="center"/>
      <protection locked="0"/>
    </xf>
    <xf numFmtId="178" fontId="13" fillId="0" borderId="9" xfId="2385" applyFont="1" applyFill="1" applyBorder="1" applyAlignment="1" applyProtection="1">
      <alignment vertical="center"/>
      <protection locked="0"/>
    </xf>
    <xf numFmtId="178" fontId="5" fillId="0" borderId="0" xfId="2385" applyFont="1" applyFill="1" applyBorder="1" applyAlignment="1" applyProtection="1">
      <alignment horizontal="center" vertical="center"/>
      <protection locked="0"/>
    </xf>
    <xf numFmtId="0" fontId="5" fillId="0" borderId="12" xfId="2423" applyFont="1" applyBorder="1" applyAlignment="1">
      <alignment vertical="center"/>
    </xf>
    <xf numFmtId="0" fontId="11" fillId="2" borderId="0" xfId="0" applyFont="1" applyFill="1" applyAlignment="1">
      <alignment vertical="center"/>
    </xf>
    <xf numFmtId="0" fontId="5" fillId="0" borderId="0" xfId="2423" applyFont="1" applyAlignment="1">
      <alignment vertical="center"/>
    </xf>
    <xf numFmtId="178" fontId="13" fillId="0" borderId="9" xfId="2385" applyFont="1" applyFill="1" applyBorder="1" applyAlignment="1">
      <alignment vertical="center"/>
    </xf>
    <xf numFmtId="178" fontId="13" fillId="0" borderId="0" xfId="2385" applyFont="1" applyFill="1" applyBorder="1" applyAlignment="1">
      <alignment vertical="center"/>
    </xf>
    <xf numFmtId="178" fontId="5" fillId="0" borderId="0" xfId="2385" applyFont="1" applyFill="1" applyBorder="1" applyAlignment="1">
      <alignment vertical="center"/>
    </xf>
    <xf numFmtId="178" fontId="5" fillId="0" borderId="0" xfId="2385" applyFont="1" applyFill="1" applyBorder="1" applyAlignment="1">
      <alignment horizontal="center" vertical="center"/>
    </xf>
    <xf numFmtId="178" fontId="5" fillId="0" borderId="1" xfId="2385" applyFont="1" applyFill="1" applyBorder="1" applyAlignment="1">
      <alignment horizontal="center" vertical="center"/>
    </xf>
    <xf numFmtId="178" fontId="5" fillId="0" borderId="2" xfId="2385" applyFont="1" applyFill="1" applyBorder="1" applyAlignment="1">
      <alignment horizontal="center" vertical="center"/>
    </xf>
    <xf numFmtId="0" fontId="11" fillId="0" borderId="0" xfId="0" applyFont="1" applyAlignment="1">
      <alignment horizontal="center" vertical="center"/>
    </xf>
    <xf numFmtId="0" fontId="5" fillId="0" borderId="10" xfId="2423" applyFont="1" applyBorder="1" applyAlignment="1" applyProtection="1">
      <alignment vertical="center"/>
      <protection locked="0"/>
    </xf>
    <xf numFmtId="0" fontId="5" fillId="0" borderId="8" xfId="2423" applyFont="1" applyBorder="1" applyAlignment="1" applyProtection="1">
      <alignment vertical="center"/>
      <protection locked="0"/>
    </xf>
    <xf numFmtId="0" fontId="5" fillId="0" borderId="13" xfId="2423" applyFont="1" applyBorder="1" applyAlignment="1" applyProtection="1">
      <alignment vertical="center"/>
      <protection locked="0"/>
    </xf>
    <xf numFmtId="176" fontId="11" fillId="5" borderId="0" xfId="0" applyNumberFormat="1" applyFont="1" applyFill="1" applyAlignment="1">
      <alignment vertical="center"/>
    </xf>
    <xf numFmtId="177" fontId="5" fillId="2" borderId="0" xfId="2423" applyNumberFormat="1" applyFont="1" applyFill="1" applyAlignment="1">
      <alignment vertical="center"/>
    </xf>
    <xf numFmtId="0" fontId="11" fillId="0" borderId="45" xfId="2375" applyFont="1" applyBorder="1" applyAlignment="1" applyProtection="1">
      <alignment horizontal="center" vertical="center"/>
      <protection locked="0"/>
    </xf>
    <xf numFmtId="0" fontId="6" fillId="49" borderId="0" xfId="2375" applyFont="1" applyFill="1" applyAlignment="1">
      <alignment horizontal="center"/>
    </xf>
    <xf numFmtId="0" fontId="6" fillId="49" borderId="0" xfId="2375" applyFont="1" applyFill="1" applyAlignment="1">
      <alignment horizontal="center" vertical="center"/>
    </xf>
    <xf numFmtId="0" fontId="6" fillId="49" borderId="0" xfId="2375" applyFont="1" applyFill="1"/>
    <xf numFmtId="0" fontId="6" fillId="49" borderId="0" xfId="0" applyFont="1" applyFill="1"/>
    <xf numFmtId="178" fontId="5" fillId="49" borderId="0" xfId="2423" applyNumberFormat="1" applyFont="1" applyFill="1" applyAlignment="1">
      <alignment horizontal="center" vertical="center" wrapText="1" shrinkToFit="1"/>
    </xf>
    <xf numFmtId="0" fontId="6" fillId="0" borderId="0" xfId="0" applyFont="1" applyAlignment="1">
      <alignment vertical="center"/>
    </xf>
    <xf numFmtId="0" fontId="22" fillId="0" borderId="9" xfId="2382" applyFont="1" applyBorder="1" applyAlignment="1" applyProtection="1">
      <alignment horizontal="left" vertical="center"/>
      <protection locked="0"/>
    </xf>
    <xf numFmtId="0" fontId="5" fillId="0" borderId="0" xfId="2382" applyFont="1" applyAlignment="1" applyProtection="1">
      <alignment vertical="center"/>
      <protection locked="0"/>
    </xf>
    <xf numFmtId="0" fontId="6" fillId="0" borderId="0" xfId="2382" applyFont="1" applyAlignment="1" applyProtection="1">
      <alignment vertical="center"/>
      <protection locked="0"/>
    </xf>
    <xf numFmtId="0" fontId="5" fillId="0" borderId="12" xfId="2382" applyFont="1" applyBorder="1" applyAlignment="1" applyProtection="1">
      <alignment vertical="center"/>
      <protection locked="0"/>
    </xf>
    <xf numFmtId="0" fontId="119" fillId="0" borderId="34" xfId="2375" applyFont="1" applyBorder="1" applyAlignment="1">
      <alignment vertical="center"/>
    </xf>
    <xf numFmtId="0" fontId="121" fillId="0" borderId="14" xfId="2382" applyFont="1" applyBorder="1" applyAlignment="1">
      <alignment vertical="center"/>
    </xf>
    <xf numFmtId="0" fontId="122" fillId="0" borderId="35" xfId="1372" applyFont="1" applyBorder="1" applyAlignment="1">
      <alignment vertical="center" wrapText="1"/>
    </xf>
    <xf numFmtId="0" fontId="121" fillId="0" borderId="9" xfId="2375" applyFont="1" applyBorder="1" applyAlignment="1">
      <alignment vertical="center"/>
    </xf>
    <xf numFmtId="0" fontId="121" fillId="0" borderId="0" xfId="2382" applyFont="1" applyAlignment="1">
      <alignment vertical="center"/>
    </xf>
    <xf numFmtId="0" fontId="122" fillId="0" borderId="12" xfId="1372" applyFont="1" applyBorder="1" applyAlignment="1">
      <alignment vertical="center" wrapText="1"/>
    </xf>
    <xf numFmtId="0" fontId="124" fillId="0" borderId="9" xfId="2375" applyFont="1" applyBorder="1" applyAlignment="1">
      <alignment vertical="center"/>
    </xf>
    <xf numFmtId="17" fontId="124" fillId="0" borderId="0" xfId="2375" applyNumberFormat="1" applyFont="1" applyAlignment="1">
      <alignment horizontal="center" vertical="center"/>
    </xf>
    <xf numFmtId="0" fontId="122" fillId="0" borderId="0" xfId="2375" applyFont="1" applyAlignment="1">
      <alignment vertical="center"/>
    </xf>
    <xf numFmtId="0" fontId="124" fillId="0" borderId="10" xfId="2375" applyFont="1" applyBorder="1" applyAlignment="1" applyProtection="1">
      <alignment vertical="center"/>
      <protection locked="0"/>
    </xf>
    <xf numFmtId="17" fontId="124" fillId="0" borderId="8" xfId="2375" applyNumberFormat="1" applyFont="1" applyBorder="1" applyAlignment="1">
      <alignment horizontal="center" vertical="center"/>
    </xf>
    <xf numFmtId="0" fontId="122" fillId="0" borderId="13" xfId="2375" applyFont="1" applyBorder="1" applyAlignment="1">
      <alignment vertical="center"/>
    </xf>
    <xf numFmtId="0" fontId="129" fillId="49" borderId="0" xfId="0" applyFont="1" applyFill="1" applyAlignment="1">
      <alignment vertical="center"/>
    </xf>
    <xf numFmtId="0" fontId="11" fillId="0" borderId="15" xfId="2388" applyFont="1" applyBorder="1" applyAlignment="1">
      <alignment horizontal="center" vertical="center" wrapText="1"/>
      <protection locked="0"/>
    </xf>
    <xf numFmtId="0" fontId="11" fillId="2" borderId="19" xfId="2388" applyFont="1" applyFill="1" applyBorder="1" applyAlignment="1">
      <alignment horizontal="center" vertical="center" wrapText="1"/>
      <protection locked="0"/>
    </xf>
    <xf numFmtId="49" fontId="16" fillId="0" borderId="6" xfId="28" applyNumberFormat="1" applyBorder="1" applyAlignment="1" applyProtection="1">
      <alignment horizontal="left" vertical="center"/>
      <protection locked="0"/>
    </xf>
    <xf numFmtId="0" fontId="119" fillId="0" borderId="14" xfId="2375" applyFont="1" applyBorder="1" applyAlignment="1">
      <alignment vertical="center"/>
    </xf>
    <xf numFmtId="0" fontId="129" fillId="0" borderId="35" xfId="2376" applyFont="1" applyBorder="1" applyAlignment="1">
      <alignment vertical="center"/>
    </xf>
    <xf numFmtId="0" fontId="124" fillId="0" borderId="0" xfId="2375" applyFont="1" applyAlignment="1">
      <alignment vertical="center" wrapText="1"/>
    </xf>
    <xf numFmtId="0" fontId="124" fillId="0" borderId="0" xfId="2375" applyFont="1" applyAlignment="1">
      <alignment vertical="center"/>
    </xf>
    <xf numFmtId="0" fontId="121" fillId="0" borderId="12" xfId="2376" applyFont="1" applyBorder="1" applyAlignment="1">
      <alignment vertical="center"/>
    </xf>
    <xf numFmtId="0" fontId="121" fillId="0" borderId="9" xfId="2376" applyFont="1" applyBorder="1" applyAlignment="1">
      <alignment vertical="center" wrapText="1"/>
    </xf>
    <xf numFmtId="0" fontId="121" fillId="0" borderId="0" xfId="2376" applyFont="1" applyAlignment="1">
      <alignment vertical="center" wrapText="1"/>
    </xf>
    <xf numFmtId="0" fontId="121" fillId="0" borderId="12" xfId="2376" applyFont="1" applyBorder="1" applyAlignment="1">
      <alignment vertical="center" wrapText="1"/>
    </xf>
    <xf numFmtId="0" fontId="7" fillId="0" borderId="0" xfId="0" applyFont="1"/>
    <xf numFmtId="0" fontId="131" fillId="0" borderId="34" xfId="2376" applyFont="1" applyBorder="1" applyAlignment="1">
      <alignment vertical="center"/>
    </xf>
    <xf numFmtId="0" fontId="129" fillId="0" borderId="14" xfId="2375" applyFont="1" applyBorder="1" applyAlignment="1">
      <alignment vertical="center"/>
    </xf>
    <xf numFmtId="0" fontId="124" fillId="0" borderId="14" xfId="2375" applyFont="1" applyBorder="1" applyAlignment="1">
      <alignment vertical="center"/>
    </xf>
    <xf numFmtId="0" fontId="124" fillId="0" borderId="35" xfId="2375" applyFont="1" applyBorder="1" applyAlignment="1">
      <alignment vertical="center"/>
    </xf>
    <xf numFmtId="0" fontId="124" fillId="0" borderId="9" xfId="2376" applyFont="1" applyBorder="1" applyAlignment="1">
      <alignment vertical="center"/>
    </xf>
    <xf numFmtId="0" fontId="124" fillId="0" borderId="0" xfId="2376" applyFont="1" applyAlignment="1">
      <alignment vertical="center"/>
    </xf>
    <xf numFmtId="0" fontId="124" fillId="0" borderId="12" xfId="2376" applyFont="1" applyBorder="1" applyAlignment="1">
      <alignment vertical="center"/>
    </xf>
    <xf numFmtId="0" fontId="129" fillId="0" borderId="9" xfId="2376" applyFont="1" applyBorder="1" applyAlignment="1">
      <alignment vertical="center"/>
    </xf>
    <xf numFmtId="0" fontId="129" fillId="0" borderId="0" xfId="2375" applyFont="1" applyAlignment="1">
      <alignment vertical="center"/>
    </xf>
    <xf numFmtId="0" fontId="124" fillId="0" borderId="12" xfId="2375" applyFont="1" applyBorder="1" applyAlignment="1">
      <alignment vertical="center"/>
    </xf>
    <xf numFmtId="0" fontId="11" fillId="3" borderId="39" xfId="2375" applyFont="1" applyFill="1" applyBorder="1" applyAlignment="1">
      <alignment horizontal="center" vertical="center" wrapText="1"/>
    </xf>
    <xf numFmtId="0" fontId="5" fillId="3" borderId="16" xfId="2423" applyFont="1" applyFill="1" applyBorder="1" applyAlignment="1">
      <alignment horizontal="center" vertical="center" wrapText="1"/>
    </xf>
    <xf numFmtId="178" fontId="6" fillId="0" borderId="0" xfId="2377" applyFont="1" applyFill="1" applyBorder="1" applyAlignment="1" applyProtection="1">
      <alignment vertical="center"/>
      <protection locked="0"/>
    </xf>
    <xf numFmtId="178" fontId="5" fillId="0" borderId="0" xfId="2385" applyFont="1" applyFill="1" applyBorder="1" applyAlignment="1" applyProtection="1">
      <alignment vertical="center"/>
      <protection locked="0"/>
    </xf>
    <xf numFmtId="178" fontId="6" fillId="0" borderId="0" xfId="2377" applyFont="1" applyFill="1" applyBorder="1" applyAlignment="1">
      <alignment vertical="center"/>
    </xf>
    <xf numFmtId="0" fontId="11" fillId="50" borderId="38" xfId="2375" applyFont="1" applyFill="1" applyBorder="1" applyAlignment="1">
      <alignment horizontal="center" vertical="center" wrapText="1"/>
    </xf>
    <xf numFmtId="0" fontId="6" fillId="2" borderId="35" xfId="1370" applyFont="1" applyFill="1" applyBorder="1" applyAlignment="1">
      <alignment vertical="center"/>
    </xf>
    <xf numFmtId="0" fontId="5" fillId="50" borderId="14" xfId="2382" applyFont="1" applyFill="1" applyBorder="1" applyAlignment="1" applyProtection="1">
      <alignment vertical="center"/>
      <protection locked="0"/>
    </xf>
    <xf numFmtId="0" fontId="6" fillId="50" borderId="14" xfId="2382" applyFont="1" applyFill="1" applyBorder="1" applyAlignment="1" applyProtection="1">
      <alignment vertical="center"/>
      <protection locked="0"/>
    </xf>
    <xf numFmtId="0" fontId="5" fillId="50" borderId="35" xfId="2382" applyFont="1" applyFill="1" applyBorder="1" applyAlignment="1" applyProtection="1">
      <alignment vertical="center"/>
      <protection locked="0"/>
    </xf>
    <xf numFmtId="0" fontId="15" fillId="6" borderId="0" xfId="437" applyFont="1" applyFill="1" applyAlignment="1" applyProtection="1">
      <alignment horizontal="left" vertical="center"/>
      <protection locked="0"/>
    </xf>
    <xf numFmtId="0" fontId="7" fillId="0" borderId="8" xfId="0" applyFont="1" applyBorder="1" applyAlignment="1" applyProtection="1">
      <alignment horizontal="left" vertical="center"/>
      <protection locked="0"/>
    </xf>
    <xf numFmtId="0" fontId="5" fillId="0" borderId="8" xfId="0" applyFont="1" applyBorder="1" applyAlignment="1" applyProtection="1">
      <alignment horizontal="left" vertical="center"/>
      <protection locked="0"/>
    </xf>
    <xf numFmtId="0" fontId="7" fillId="0" borderId="8" xfId="0" applyFont="1" applyBorder="1" applyAlignment="1" applyProtection="1">
      <alignment horizontal="center" vertical="center" wrapText="1"/>
      <protection locked="0"/>
    </xf>
    <xf numFmtId="0" fontId="7" fillId="0" borderId="8" xfId="0" applyFont="1" applyBorder="1" applyAlignment="1" applyProtection="1">
      <alignment horizontal="left" vertical="center" wrapText="1"/>
      <protection locked="0"/>
    </xf>
    <xf numFmtId="0" fontId="7" fillId="0" borderId="50" xfId="0" applyFont="1" applyBorder="1" applyAlignment="1" applyProtection="1">
      <alignment vertical="center" wrapText="1"/>
      <protection locked="0"/>
    </xf>
    <xf numFmtId="0" fontId="7" fillId="0" borderId="51" xfId="0" applyFont="1" applyBorder="1" applyAlignment="1" applyProtection="1">
      <alignment vertical="center" wrapText="1"/>
      <protection locked="0"/>
    </xf>
    <xf numFmtId="0" fontId="7" fillId="0" borderId="52" xfId="0" applyFont="1" applyBorder="1" applyAlignment="1" applyProtection="1">
      <alignment vertical="center" wrapText="1"/>
      <protection locked="0"/>
    </xf>
    <xf numFmtId="178" fontId="6" fillId="0" borderId="0" xfId="2377" applyFont="1" applyFill="1" applyBorder="1" applyAlignment="1" applyProtection="1">
      <alignment horizontal="center" vertical="center"/>
      <protection locked="0"/>
    </xf>
    <xf numFmtId="178" fontId="6" fillId="0" borderId="0" xfId="2377" applyFont="1" applyFill="1" applyBorder="1" applyAlignment="1">
      <alignment horizontal="center" vertical="center"/>
    </xf>
    <xf numFmtId="201" fontId="133" fillId="0" borderId="0" xfId="1429" applyFont="1" applyAlignment="1" applyProtection="1">
      <alignment horizontal="left" vertical="center"/>
      <protection locked="0"/>
    </xf>
    <xf numFmtId="0" fontId="11" fillId="6" borderId="49" xfId="437" applyFill="1" applyBorder="1" applyAlignment="1" applyProtection="1">
      <alignment horizontal="center" vertical="center"/>
      <protection locked="0"/>
    </xf>
    <xf numFmtId="0" fontId="22" fillId="50" borderId="34" xfId="2382" applyFont="1" applyFill="1" applyBorder="1" applyAlignment="1" applyProtection="1">
      <alignment horizontal="left" vertical="center"/>
      <protection locked="0"/>
    </xf>
    <xf numFmtId="0" fontId="11" fillId="50" borderId="29" xfId="2375" applyFont="1" applyFill="1" applyBorder="1" applyAlignment="1">
      <alignment horizontal="center" vertical="center" wrapText="1"/>
    </xf>
    <xf numFmtId="0" fontId="5" fillId="0" borderId="55" xfId="2375" applyFont="1" applyBorder="1" applyAlignment="1" applyProtection="1">
      <alignment horizontal="left" vertical="center" wrapText="1"/>
      <protection locked="0"/>
    </xf>
    <xf numFmtId="0" fontId="5" fillId="0" borderId="0" xfId="0" applyFont="1" applyAlignment="1">
      <alignment horizontal="center" vertical="center" wrapText="1"/>
    </xf>
    <xf numFmtId="0" fontId="5" fillId="0" borderId="0" xfId="2238" applyFont="1" applyAlignment="1" applyProtection="1">
      <alignment horizontal="center" vertical="center" wrapText="1"/>
      <protection locked="0"/>
    </xf>
    <xf numFmtId="9" fontId="5" fillId="0" borderId="0" xfId="2379" applyFont="1" applyFill="1" applyBorder="1" applyAlignment="1">
      <alignment horizontal="center" vertical="center" wrapText="1"/>
    </xf>
    <xf numFmtId="0" fontId="6" fillId="0" borderId="0" xfId="0" applyFont="1"/>
    <xf numFmtId="0" fontId="122" fillId="49" borderId="56" xfId="818" applyFont="1" applyFill="1" applyBorder="1" applyAlignment="1" applyProtection="1">
      <alignment horizontal="left" vertical="center" wrapText="1"/>
      <protection locked="0"/>
    </xf>
    <xf numFmtId="49" fontId="11" fillId="0" borderId="14" xfId="2388" applyNumberFormat="1" applyFont="1" applyBorder="1" applyAlignment="1">
      <alignment horizontal="center" vertical="center"/>
      <protection locked="0"/>
    </xf>
    <xf numFmtId="49" fontId="6" fillId="0" borderId="14" xfId="2249" applyNumberFormat="1" applyFont="1" applyBorder="1" applyAlignment="1" applyProtection="1">
      <alignment horizontal="center" vertical="center" shrinkToFit="1"/>
      <protection locked="0"/>
    </xf>
    <xf numFmtId="0" fontId="11" fillId="3" borderId="57" xfId="2388" applyFont="1" applyFill="1" applyBorder="1" applyAlignment="1">
      <alignment vertical="center" wrapText="1"/>
      <protection locked="0"/>
    </xf>
    <xf numFmtId="178" fontId="11" fillId="0" borderId="30" xfId="2388" applyNumberFormat="1" applyFont="1" applyBorder="1" applyAlignment="1">
      <alignment horizontal="right" vertical="center" shrinkToFit="1"/>
      <protection locked="0"/>
    </xf>
    <xf numFmtId="0" fontId="11" fillId="2" borderId="54" xfId="2388" applyFont="1" applyFill="1" applyBorder="1" applyAlignment="1">
      <alignment horizontal="center" vertical="center" wrapText="1"/>
      <protection locked="0"/>
    </xf>
    <xf numFmtId="178" fontId="11" fillId="0" borderId="54" xfId="2388" applyNumberFormat="1" applyFont="1" applyBorder="1" applyAlignment="1" applyProtection="1">
      <alignment horizontal="right" vertical="center" shrinkToFit="1"/>
    </xf>
    <xf numFmtId="0" fontId="5" fillId="0" borderId="55" xfId="0" applyFont="1" applyBorder="1" applyAlignment="1">
      <alignment horizontal="center" vertical="center" wrapText="1"/>
    </xf>
    <xf numFmtId="178" fontId="5" fillId="0" borderId="46" xfId="2385" applyFont="1" applyFill="1" applyBorder="1" applyAlignment="1">
      <alignment horizontal="center" vertical="center"/>
    </xf>
    <xf numFmtId="178" fontId="8" fillId="0" borderId="46" xfId="0" applyNumberFormat="1" applyFont="1" applyBorder="1" applyAlignment="1">
      <alignment horizontal="center" vertical="center"/>
    </xf>
    <xf numFmtId="49" fontId="5" fillId="0" borderId="46" xfId="0" applyNumberFormat="1" applyFont="1" applyBorder="1" applyAlignment="1">
      <alignment horizontal="center" vertical="center"/>
    </xf>
    <xf numFmtId="14" fontId="5" fillId="0" borderId="46" xfId="0" applyNumberFormat="1" applyFont="1" applyBorder="1" applyAlignment="1">
      <alignment horizontal="center" vertical="center"/>
    </xf>
    <xf numFmtId="178" fontId="5" fillId="0" borderId="46" xfId="0" applyNumberFormat="1" applyFont="1" applyBorder="1" applyAlignment="1">
      <alignment horizontal="center" vertical="center"/>
    </xf>
    <xf numFmtId="178" fontId="11" fillId="0" borderId="53" xfId="2375" applyNumberFormat="1" applyFont="1" applyBorder="1" applyAlignment="1">
      <alignment horizontal="right" vertical="center" shrinkToFit="1"/>
    </xf>
    <xf numFmtId="49" fontId="11" fillId="0" borderId="46" xfId="2375" applyNumberFormat="1" applyFont="1" applyBorder="1" applyAlignment="1">
      <alignment horizontal="left" vertical="center" shrinkToFit="1"/>
    </xf>
    <xf numFmtId="14" fontId="11" fillId="0" borderId="46" xfId="2375" applyNumberFormat="1" applyFont="1" applyBorder="1" applyAlignment="1">
      <alignment horizontal="left" vertical="center" shrinkToFit="1"/>
    </xf>
    <xf numFmtId="178" fontId="11" fillId="0" borderId="47" xfId="2375" applyNumberFormat="1" applyFont="1" applyBorder="1" applyAlignment="1">
      <alignment horizontal="right" vertical="center" shrinkToFit="1"/>
    </xf>
    <xf numFmtId="0" fontId="6" fillId="49" borderId="0" xfId="0" applyFont="1" applyFill="1" applyAlignment="1">
      <alignment vertical="center"/>
    </xf>
    <xf numFmtId="0" fontId="13" fillId="0" borderId="0" xfId="0" applyFont="1"/>
    <xf numFmtId="178" fontId="6" fillId="0" borderId="0" xfId="2423" applyNumberFormat="1" applyFont="1" applyAlignment="1">
      <alignment horizontal="center" vertical="center" wrapText="1" shrinkToFit="1"/>
    </xf>
    <xf numFmtId="0" fontId="124" fillId="0" borderId="56" xfId="818" applyFont="1" applyBorder="1" applyAlignment="1" applyProtection="1">
      <alignment horizontal="left" vertical="center" wrapText="1"/>
      <protection locked="0"/>
    </xf>
    <xf numFmtId="0" fontId="122" fillId="0" borderId="56" xfId="2375" applyFont="1" applyBorder="1" applyAlignment="1">
      <alignment vertical="center"/>
    </xf>
    <xf numFmtId="0" fontId="6" fillId="0" borderId="0" xfId="0" applyFont="1" applyAlignment="1">
      <alignment horizontal="right" vertical="center"/>
    </xf>
    <xf numFmtId="0" fontId="6" fillId="2" borderId="0" xfId="2375" applyFont="1" applyFill="1" applyAlignment="1">
      <alignment horizontal="right" vertical="center"/>
    </xf>
    <xf numFmtId="0" fontId="6" fillId="0" borderId="15" xfId="2382" applyFont="1" applyBorder="1" applyAlignment="1">
      <alignment horizontal="left" vertical="center"/>
    </xf>
    <xf numFmtId="0" fontId="11" fillId="50" borderId="60" xfId="2375" applyFont="1" applyFill="1" applyBorder="1" applyAlignment="1">
      <alignment horizontal="center" vertical="center" wrapText="1"/>
    </xf>
    <xf numFmtId="0" fontId="11" fillId="3" borderId="60" xfId="2375" applyFont="1" applyFill="1" applyBorder="1" applyAlignment="1">
      <alignment horizontal="center" vertical="center" wrapText="1" shrinkToFit="1"/>
    </xf>
    <xf numFmtId="0" fontId="6" fillId="3" borderId="61" xfId="2375" applyFont="1" applyFill="1" applyBorder="1" applyAlignment="1">
      <alignment horizontal="center" vertical="center" wrapText="1" shrinkToFit="1"/>
    </xf>
    <xf numFmtId="0" fontId="5" fillId="3" borderId="34" xfId="0" applyFont="1" applyFill="1" applyBorder="1" applyAlignment="1" applyProtection="1">
      <alignment vertical="center"/>
      <protection locked="0"/>
    </xf>
    <xf numFmtId="0" fontId="5" fillId="3" borderId="14" xfId="0" applyFont="1" applyFill="1" applyBorder="1" applyAlignment="1" applyProtection="1">
      <alignment vertical="center"/>
      <protection locked="0"/>
    </xf>
    <xf numFmtId="0" fontId="5" fillId="3" borderId="35" xfId="0" applyFont="1" applyFill="1" applyBorder="1" applyAlignment="1" applyProtection="1">
      <alignment vertical="center"/>
      <protection locked="0"/>
    </xf>
    <xf numFmtId="0" fontId="5" fillId="2" borderId="9" xfId="0" applyFont="1" applyFill="1" applyBorder="1" applyAlignment="1" applyProtection="1">
      <alignment horizontal="left" vertical="center"/>
      <protection locked="0"/>
    </xf>
    <xf numFmtId="49" fontId="5" fillId="6" borderId="0" xfId="0" applyNumberFormat="1" applyFont="1" applyFill="1" applyAlignment="1" applyProtection="1">
      <alignment horizontal="center" vertical="center" shrinkToFit="1"/>
      <protection locked="0"/>
    </xf>
    <xf numFmtId="0" fontId="5" fillId="3" borderId="0" xfId="0" applyFont="1" applyFill="1" applyAlignment="1" applyProtection="1">
      <alignment vertical="center"/>
      <protection locked="0"/>
    </xf>
    <xf numFmtId="0" fontId="5" fillId="0" borderId="0" xfId="0" applyFont="1" applyAlignment="1" applyProtection="1">
      <alignment horizontal="left" vertical="center"/>
      <protection locked="0"/>
    </xf>
    <xf numFmtId="178" fontId="5" fillId="2" borderId="12" xfId="0" applyNumberFormat="1" applyFont="1" applyFill="1" applyBorder="1" applyAlignment="1" applyProtection="1">
      <alignment horizontal="right" vertical="center" shrinkToFit="1"/>
      <protection locked="0"/>
    </xf>
    <xf numFmtId="0" fontId="5" fillId="3" borderId="9" xfId="0" applyFont="1" applyFill="1" applyBorder="1" applyAlignment="1" applyProtection="1">
      <alignment vertical="center"/>
      <protection locked="0"/>
    </xf>
    <xf numFmtId="0" fontId="5" fillId="3" borderId="0" xfId="0" applyFont="1" applyFill="1" applyAlignment="1" applyProtection="1">
      <alignment horizontal="left" vertical="center"/>
      <protection locked="0"/>
    </xf>
    <xf numFmtId="0" fontId="5" fillId="3" borderId="12" xfId="0" applyFont="1" applyFill="1" applyBorder="1" applyAlignment="1" applyProtection="1">
      <alignment vertical="center"/>
      <protection locked="0"/>
    </xf>
    <xf numFmtId="14" fontId="5" fillId="6" borderId="0" xfId="0" applyNumberFormat="1" applyFont="1" applyFill="1" applyAlignment="1" applyProtection="1">
      <alignment horizontal="center" vertical="center" shrinkToFit="1"/>
      <protection locked="0"/>
    </xf>
    <xf numFmtId="0" fontId="5" fillId="2" borderId="0" xfId="0" applyFont="1" applyFill="1" applyAlignment="1" applyProtection="1">
      <alignment horizontal="left" vertical="center"/>
      <protection locked="0"/>
    </xf>
    <xf numFmtId="0" fontId="13" fillId="3" borderId="0" xfId="0" applyFont="1" applyFill="1" applyAlignment="1" applyProtection="1">
      <alignment vertical="center"/>
      <protection locked="0"/>
    </xf>
    <xf numFmtId="0" fontId="5" fillId="50" borderId="0" xfId="0" applyFont="1" applyFill="1" applyAlignment="1" applyProtection="1">
      <alignment horizontal="left" vertical="center"/>
      <protection locked="0"/>
    </xf>
    <xf numFmtId="0" fontId="5" fillId="50" borderId="12" xfId="0" applyFont="1" applyFill="1" applyBorder="1" applyAlignment="1" applyProtection="1">
      <alignment horizontal="left" vertical="center"/>
      <protection locked="0"/>
    </xf>
    <xf numFmtId="0" fontId="5" fillId="3" borderId="10" xfId="0" applyFont="1" applyFill="1" applyBorder="1" applyAlignment="1" applyProtection="1">
      <alignment vertical="center"/>
      <protection locked="0"/>
    </xf>
    <xf numFmtId="0" fontId="5" fillId="3" borderId="8" xfId="0" applyFont="1" applyFill="1" applyBorder="1" applyAlignment="1" applyProtection="1">
      <alignment vertical="center"/>
      <protection locked="0"/>
    </xf>
    <xf numFmtId="0" fontId="5" fillId="3" borderId="13" xfId="0" applyFont="1" applyFill="1" applyBorder="1" applyAlignment="1" applyProtection="1">
      <alignment vertical="center"/>
      <protection locked="0"/>
    </xf>
    <xf numFmtId="0" fontId="11" fillId="0" borderId="0" xfId="0" applyFont="1" applyAlignment="1" applyProtection="1">
      <alignment horizontal="right" vertical="center"/>
      <protection locked="0"/>
    </xf>
    <xf numFmtId="0" fontId="15" fillId="50" borderId="28" xfId="0" applyFont="1" applyFill="1" applyBorder="1" applyAlignment="1">
      <alignment horizontal="center" vertical="center"/>
    </xf>
    <xf numFmtId="0" fontId="15" fillId="50" borderId="38" xfId="0" applyFont="1" applyFill="1" applyBorder="1" applyAlignment="1">
      <alignment horizontal="center" vertical="center"/>
    </xf>
    <xf numFmtId="0" fontId="15" fillId="50" borderId="39" xfId="0" applyFont="1" applyFill="1" applyBorder="1" applyAlignment="1">
      <alignment horizontal="center" vertical="center"/>
    </xf>
    <xf numFmtId="0" fontId="15" fillId="50" borderId="36" xfId="0" applyFont="1" applyFill="1" applyBorder="1" applyAlignment="1">
      <alignment horizontal="center" vertical="center"/>
    </xf>
    <xf numFmtId="0" fontId="11" fillId="0" borderId="0" xfId="0" applyFont="1" applyAlignment="1" applyProtection="1">
      <alignment vertical="center"/>
      <protection locked="0"/>
    </xf>
    <xf numFmtId="0" fontId="134" fillId="0" borderId="0" xfId="0" applyFont="1" applyAlignment="1">
      <alignment horizontal="center" vertical="center"/>
    </xf>
    <xf numFmtId="220" fontId="5" fillId="0" borderId="47" xfId="2437" applyNumberFormat="1" applyFont="1" applyFill="1" applyBorder="1" applyAlignment="1" applyProtection="1">
      <alignment vertical="center"/>
      <protection locked="0"/>
    </xf>
    <xf numFmtId="220" fontId="5" fillId="0" borderId="44" xfId="2437" applyNumberFormat="1" applyFont="1" applyFill="1" applyBorder="1" applyAlignment="1" applyProtection="1">
      <alignment vertical="center"/>
      <protection locked="0"/>
    </xf>
    <xf numFmtId="220" fontId="5" fillId="0" borderId="58" xfId="2437" applyNumberFormat="1" applyFont="1" applyFill="1" applyBorder="1" applyAlignment="1" applyProtection="1">
      <alignment vertical="center"/>
      <protection locked="0"/>
    </xf>
    <xf numFmtId="0" fontId="143" fillId="0" borderId="0" xfId="0" applyFont="1" applyAlignment="1" applyProtection="1">
      <alignment vertical="center"/>
      <protection locked="0"/>
    </xf>
    <xf numFmtId="0" fontId="7" fillId="2" borderId="0" xfId="0" applyFont="1" applyFill="1" applyAlignment="1">
      <alignment horizontal="center" vertical="center" wrapText="1"/>
    </xf>
    <xf numFmtId="220" fontId="7" fillId="0" borderId="0" xfId="2437" applyNumberFormat="1" applyFont="1" applyFill="1" applyBorder="1" applyAlignment="1" applyProtection="1">
      <alignment horizontal="right" vertical="center"/>
      <protection locked="0"/>
    </xf>
    <xf numFmtId="220" fontId="5" fillId="0" borderId="0" xfId="2437" applyNumberFormat="1" applyFont="1" applyFill="1" applyBorder="1" applyAlignment="1" applyProtection="1">
      <alignment vertical="center"/>
      <protection locked="0"/>
    </xf>
    <xf numFmtId="0" fontId="5" fillId="0" borderId="0" xfId="2391" applyFont="1" applyAlignment="1">
      <alignment vertical="center"/>
    </xf>
    <xf numFmtId="0" fontId="6" fillId="0" borderId="0" xfId="2391" applyFont="1" applyAlignment="1">
      <alignment vertical="center"/>
    </xf>
    <xf numFmtId="0" fontId="11" fillId="0" borderId="0" xfId="2391" applyFont="1" applyAlignment="1">
      <alignment vertical="center"/>
    </xf>
    <xf numFmtId="221" fontId="15" fillId="0" borderId="0" xfId="1466" applyNumberFormat="1" applyFont="1" applyAlignment="1" applyProtection="1">
      <alignment horizontal="right" vertical="center"/>
      <protection locked="0"/>
    </xf>
    <xf numFmtId="221" fontId="15" fillId="0" borderId="0" xfId="1466" applyNumberFormat="1" applyFont="1" applyAlignment="1" applyProtection="1">
      <alignment vertical="center" wrapText="1"/>
      <protection locked="0"/>
    </xf>
    <xf numFmtId="0" fontId="129" fillId="0" borderId="0" xfId="0" applyFont="1" applyAlignment="1">
      <alignment vertical="center"/>
    </xf>
    <xf numFmtId="177" fontId="6" fillId="2" borderId="30" xfId="2434" applyFont="1" applyFill="1" applyBorder="1" applyAlignment="1">
      <alignment horizontal="center" vertical="center"/>
    </xf>
    <xf numFmtId="177" fontId="6" fillId="2" borderId="42" xfId="2434" applyFont="1" applyFill="1" applyBorder="1" applyAlignment="1">
      <alignment horizontal="center" vertical="center"/>
    </xf>
    <xf numFmtId="0" fontId="6" fillId="0" borderId="0" xfId="2382" applyFont="1" applyAlignment="1">
      <alignment horizontal="center"/>
    </xf>
    <xf numFmtId="0" fontId="6" fillId="0" borderId="0" xfId="2375" applyFont="1" applyAlignment="1" applyProtection="1">
      <alignment horizontal="center" vertical="center"/>
      <protection locked="0"/>
    </xf>
    <xf numFmtId="0" fontId="6" fillId="0" borderId="8" xfId="2375" applyFont="1" applyBorder="1" applyAlignment="1">
      <alignment horizontal="center"/>
    </xf>
    <xf numFmtId="0" fontId="5" fillId="0" borderId="8" xfId="2375" applyFont="1" applyBorder="1"/>
    <xf numFmtId="0" fontId="5" fillId="0" borderId="62" xfId="2375" applyFont="1" applyBorder="1"/>
    <xf numFmtId="0" fontId="11" fillId="50" borderId="63" xfId="2375" applyFont="1" applyFill="1" applyBorder="1" applyAlignment="1">
      <alignment horizontal="center" vertical="center" wrapText="1"/>
    </xf>
    <xf numFmtId="0" fontId="11" fillId="50" borderId="63" xfId="2375" applyFont="1" applyFill="1" applyBorder="1" applyAlignment="1">
      <alignment horizontal="center" vertical="center" wrapText="1" shrinkToFit="1"/>
    </xf>
    <xf numFmtId="0" fontId="22" fillId="50" borderId="39" xfId="0" applyFont="1" applyFill="1" applyBorder="1" applyAlignment="1">
      <alignment horizontal="center" vertical="center"/>
    </xf>
    <xf numFmtId="0" fontId="5" fillId="0" borderId="46" xfId="0" applyFont="1" applyBorder="1" applyAlignment="1" applyProtection="1">
      <alignment horizontal="center" vertical="center"/>
      <protection locked="0"/>
    </xf>
    <xf numFmtId="0" fontId="11" fillId="0" borderId="47" xfId="437" applyBorder="1" applyAlignment="1" applyProtection="1">
      <alignment horizontal="left" vertical="center" wrapText="1"/>
      <protection locked="0"/>
    </xf>
    <xf numFmtId="0" fontId="121" fillId="0" borderId="13" xfId="2375" applyFont="1" applyBorder="1" applyAlignment="1" applyProtection="1">
      <alignment horizontal="left" vertical="center"/>
      <protection locked="0"/>
    </xf>
    <xf numFmtId="0" fontId="122" fillId="51" borderId="56" xfId="0" applyFont="1" applyFill="1" applyBorder="1" applyAlignment="1">
      <alignment horizontal="left" vertical="center" wrapText="1"/>
    </xf>
    <xf numFmtId="0" fontId="15" fillId="0" borderId="0" xfId="0" applyFont="1" applyAlignment="1">
      <alignment horizontal="right" vertical="center"/>
    </xf>
    <xf numFmtId="0" fontId="15" fillId="0" borderId="0" xfId="0" applyFont="1" applyAlignment="1">
      <alignment vertical="center" wrapText="1"/>
    </xf>
    <xf numFmtId="0" fontId="7" fillId="52" borderId="0" xfId="0" applyFont="1" applyFill="1" applyAlignment="1">
      <alignment vertical="center"/>
    </xf>
    <xf numFmtId="0" fontId="15" fillId="0" borderId="0" xfId="0" applyFont="1" applyAlignment="1">
      <alignment vertical="center"/>
    </xf>
    <xf numFmtId="0" fontId="144" fillId="0" borderId="0" xfId="0" applyFont="1" applyAlignment="1">
      <alignment vertical="center"/>
    </xf>
    <xf numFmtId="0" fontId="15" fillId="55" borderId="36" xfId="0" applyFont="1" applyFill="1" applyBorder="1" applyAlignment="1">
      <alignment horizontal="left" vertical="center"/>
    </xf>
    <xf numFmtId="220" fontId="11" fillId="0" borderId="39" xfId="0" applyNumberFormat="1" applyFont="1" applyBorder="1" applyAlignment="1">
      <alignment vertical="center" wrapText="1"/>
    </xf>
    <xf numFmtId="0" fontId="11" fillId="0" borderId="0" xfId="0" applyFont="1" applyAlignment="1">
      <alignment horizontal="center" vertical="center" wrapText="1"/>
    </xf>
    <xf numFmtId="0" fontId="7" fillId="0" borderId="0" xfId="0" applyFont="1" applyAlignment="1">
      <alignment vertical="center"/>
    </xf>
    <xf numFmtId="0" fontId="143" fillId="0" borderId="0" xfId="0" applyFont="1" applyAlignment="1">
      <alignment vertical="center"/>
    </xf>
    <xf numFmtId="0" fontId="6" fillId="0" borderId="0" xfId="2375" applyFont="1" applyAlignment="1" applyProtection="1">
      <alignment vertical="center"/>
      <protection locked="0"/>
    </xf>
    <xf numFmtId="0" fontId="6" fillId="0" borderId="0" xfId="2375" applyFont="1" applyProtection="1">
      <protection locked="0"/>
    </xf>
    <xf numFmtId="0" fontId="6" fillId="0" borderId="0" xfId="0" applyFont="1" applyAlignment="1" applyProtection="1">
      <alignment vertical="center"/>
      <protection locked="0"/>
    </xf>
    <xf numFmtId="0" fontId="15" fillId="3" borderId="39" xfId="2375" applyFont="1" applyFill="1" applyBorder="1" applyAlignment="1">
      <alignment horizontal="center" vertical="center" wrapText="1"/>
    </xf>
    <xf numFmtId="0" fontId="11" fillId="0" borderId="51" xfId="28" applyFont="1" applyBorder="1" applyAlignment="1" applyProtection="1">
      <alignment horizontal="left" vertical="center" wrapText="1"/>
      <protection locked="0"/>
    </xf>
    <xf numFmtId="0" fontId="6" fillId="2" borderId="0" xfId="2388" applyFont="1" applyFill="1">
      <alignment vertical="center"/>
      <protection locked="0"/>
    </xf>
    <xf numFmtId="0" fontId="6" fillId="0" borderId="0" xfId="2388" applyFont="1" applyAlignment="1">
      <alignment horizontal="left" vertical="center"/>
      <protection locked="0"/>
    </xf>
    <xf numFmtId="178" fontId="6" fillId="0" borderId="0" xfId="2377" applyFont="1" applyFill="1" applyAlignment="1" applyProtection="1">
      <alignment vertical="center"/>
      <protection locked="0"/>
    </xf>
    <xf numFmtId="0" fontId="148" fillId="0" borderId="0" xfId="0" applyFont="1" applyAlignment="1">
      <alignment horizontal="left" vertical="center"/>
    </xf>
    <xf numFmtId="49" fontId="6" fillId="0" borderId="0" xfId="2375" applyNumberFormat="1" applyFont="1" applyAlignment="1">
      <alignment vertical="center"/>
    </xf>
    <xf numFmtId="0" fontId="6" fillId="0" borderId="0" xfId="2376" applyFont="1" applyAlignment="1" applyProtection="1">
      <alignment vertical="center"/>
      <protection locked="0"/>
    </xf>
    <xf numFmtId="0" fontId="6" fillId="0" borderId="0" xfId="2376" applyFont="1" applyAlignment="1">
      <alignment vertical="center"/>
    </xf>
    <xf numFmtId="178" fontId="6" fillId="0" borderId="0" xfId="2423" applyNumberFormat="1" applyFont="1" applyAlignment="1">
      <alignment vertical="center" shrinkToFit="1"/>
    </xf>
    <xf numFmtId="178" fontId="6" fillId="2" borderId="0" xfId="2423" applyNumberFormat="1" applyFont="1" applyFill="1" applyAlignment="1">
      <alignment vertical="center" shrinkToFit="1"/>
    </xf>
    <xf numFmtId="0" fontId="15" fillId="50" borderId="28" xfId="0" applyFont="1" applyFill="1" applyBorder="1" applyAlignment="1">
      <alignment vertical="center"/>
    </xf>
    <xf numFmtId="0" fontId="6" fillId="50" borderId="30" xfId="0" applyFont="1" applyFill="1" applyBorder="1" applyAlignment="1">
      <alignment vertical="center"/>
    </xf>
    <xf numFmtId="0" fontId="6" fillId="50" borderId="42" xfId="0" applyFont="1" applyFill="1" applyBorder="1" applyAlignment="1">
      <alignment vertical="center"/>
    </xf>
    <xf numFmtId="0" fontId="149" fillId="0" borderId="64" xfId="0" applyFont="1" applyBorder="1" applyAlignment="1">
      <alignment vertical="center"/>
    </xf>
    <xf numFmtId="0" fontId="6" fillId="0" borderId="4" xfId="0" applyFont="1" applyBorder="1" applyAlignment="1">
      <alignment vertical="center"/>
    </xf>
    <xf numFmtId="0" fontId="6" fillId="0" borderId="33" xfId="0" applyFont="1" applyBorder="1" applyAlignment="1">
      <alignment vertical="center"/>
    </xf>
    <xf numFmtId="0" fontId="11" fillId="0" borderId="9" xfId="0" applyFont="1" applyBorder="1" applyAlignment="1">
      <alignment horizontal="left" vertical="center"/>
    </xf>
    <xf numFmtId="0" fontId="11" fillId="0" borderId="12" xfId="0" applyFont="1" applyBorder="1" applyAlignment="1">
      <alignment horizontal="left" vertical="center"/>
    </xf>
    <xf numFmtId="0" fontId="11" fillId="2" borderId="9" xfId="0" applyFont="1" applyFill="1" applyBorder="1" applyAlignment="1">
      <alignment horizontal="left" vertical="center"/>
    </xf>
    <xf numFmtId="0" fontId="11" fillId="2" borderId="0" xfId="0" applyFont="1" applyFill="1" applyAlignment="1">
      <alignment horizontal="left" vertical="center"/>
    </xf>
    <xf numFmtId="0" fontId="11" fillId="2" borderId="12" xfId="0" applyFont="1" applyFill="1" applyBorder="1" applyAlignment="1">
      <alignment horizontal="left" vertical="center"/>
    </xf>
    <xf numFmtId="0" fontId="11" fillId="0" borderId="10" xfId="0" applyFont="1" applyBorder="1" applyAlignment="1">
      <alignment horizontal="left" vertical="center" indent="2"/>
    </xf>
    <xf numFmtId="0" fontId="11" fillId="0" borderId="8" xfId="0" applyFont="1" applyBorder="1" applyAlignment="1">
      <alignment horizontal="left" vertical="center" indent="2"/>
    </xf>
    <xf numFmtId="0" fontId="11" fillId="0" borderId="13" xfId="0" applyFont="1" applyBorder="1" applyAlignment="1">
      <alignment horizontal="left" vertical="center" indent="2"/>
    </xf>
    <xf numFmtId="0" fontId="11" fillId="0" borderId="0" xfId="0" applyFont="1" applyAlignment="1">
      <alignment horizontal="left" vertical="center" indent="2"/>
    </xf>
    <xf numFmtId="0" fontId="6" fillId="0" borderId="0" xfId="2375" applyFont="1" applyAlignment="1">
      <alignment vertical="center" wrapText="1"/>
    </xf>
    <xf numFmtId="0" fontId="11" fillId="53" borderId="59" xfId="0" applyFont="1" applyFill="1" applyBorder="1" applyAlignment="1">
      <alignment horizontal="center" vertical="center" wrapText="1"/>
    </xf>
    <xf numFmtId="0" fontId="11" fillId="53" borderId="60" xfId="0" applyFont="1" applyFill="1" applyBorder="1" applyAlignment="1">
      <alignment horizontal="center" vertical="center" wrapText="1"/>
    </xf>
    <xf numFmtId="49" fontId="11" fillId="0" borderId="15" xfId="2381" applyNumberFormat="1" applyFont="1" applyBorder="1" applyAlignment="1">
      <alignment horizontal="left" vertical="center" shrinkToFit="1"/>
    </xf>
    <xf numFmtId="0" fontId="153" fillId="0" borderId="0" xfId="2375" applyFont="1" applyAlignment="1" applyProtection="1">
      <alignment vertical="center"/>
      <protection locked="0"/>
    </xf>
    <xf numFmtId="0" fontId="153" fillId="0" borderId="0" xfId="2375" applyFont="1" applyAlignment="1">
      <alignment vertical="center"/>
    </xf>
    <xf numFmtId="0" fontId="153" fillId="2" borderId="0" xfId="0" applyFont="1" applyFill="1"/>
    <xf numFmtId="0" fontId="153" fillId="0" borderId="0" xfId="2376" applyFont="1" applyAlignment="1" applyProtection="1">
      <alignment vertical="center"/>
      <protection locked="0"/>
    </xf>
    <xf numFmtId="0" fontId="10" fillId="0" borderId="0" xfId="0" applyFont="1"/>
    <xf numFmtId="0" fontId="121" fillId="2" borderId="0" xfId="0" applyFont="1" applyFill="1"/>
    <xf numFmtId="0" fontId="129" fillId="2" borderId="0" xfId="0" applyFont="1" applyFill="1"/>
    <xf numFmtId="0" fontId="121" fillId="49" borderId="0" xfId="0" applyFont="1" applyFill="1"/>
    <xf numFmtId="0" fontId="129" fillId="2" borderId="0" xfId="0" applyFont="1" applyFill="1" applyAlignment="1">
      <alignment wrapText="1"/>
    </xf>
    <xf numFmtId="0" fontId="121" fillId="2" borderId="0" xfId="0" applyFont="1" applyFill="1" applyAlignment="1">
      <alignment wrapText="1"/>
    </xf>
    <xf numFmtId="0" fontId="154" fillId="49" borderId="0" xfId="0" applyFont="1" applyFill="1"/>
    <xf numFmtId="0" fontId="121" fillId="49" borderId="0" xfId="0" applyFont="1" applyFill="1" applyAlignment="1">
      <alignment wrapText="1"/>
    </xf>
    <xf numFmtId="0" fontId="121" fillId="0" borderId="0" xfId="0" applyFont="1"/>
    <xf numFmtId="0" fontId="11" fillId="0" borderId="0" xfId="0" applyFont="1" applyAlignment="1">
      <alignment horizontal="right" vertical="center"/>
    </xf>
    <xf numFmtId="0" fontId="121" fillId="0" borderId="47" xfId="2375" applyFont="1" applyBorder="1" applyAlignment="1" applyProtection="1">
      <alignment vertical="center" wrapText="1"/>
      <protection locked="0"/>
    </xf>
    <xf numFmtId="0" fontId="121" fillId="0" borderId="44" xfId="2375" applyFont="1" applyBorder="1" applyAlignment="1" applyProtection="1">
      <alignment vertical="center" wrapText="1"/>
      <protection locked="0"/>
    </xf>
    <xf numFmtId="0" fontId="5" fillId="0" borderId="0" xfId="2375" applyFont="1" applyAlignment="1">
      <alignment horizontal="right" vertical="center"/>
    </xf>
    <xf numFmtId="0" fontId="11" fillId="0" borderId="0" xfId="2375" applyFont="1" applyAlignment="1">
      <alignment horizontal="right" vertical="center"/>
    </xf>
    <xf numFmtId="0" fontId="11" fillId="2" borderId="0" xfId="2375" applyFont="1" applyFill="1" applyAlignment="1">
      <alignment horizontal="right" vertical="center"/>
    </xf>
    <xf numFmtId="0" fontId="14" fillId="0" borderId="0" xfId="2375" applyFont="1" applyAlignment="1">
      <alignment horizontal="right" vertical="center" wrapText="1"/>
    </xf>
    <xf numFmtId="0" fontId="14" fillId="0" borderId="0" xfId="2375" applyFont="1" applyAlignment="1">
      <alignment horizontal="right" vertical="center"/>
    </xf>
    <xf numFmtId="0" fontId="14" fillId="2" borderId="0" xfId="2375" applyFont="1" applyFill="1" applyAlignment="1">
      <alignment horizontal="right" vertical="center"/>
    </xf>
    <xf numFmtId="0" fontId="155" fillId="3" borderId="0" xfId="28" applyFont="1" applyFill="1" applyAlignment="1">
      <alignment vertical="center"/>
    </xf>
    <xf numFmtId="0" fontId="11" fillId="0" borderId="15" xfId="2375" applyFont="1" applyBorder="1" applyAlignment="1" applyProtection="1">
      <alignment horizontal="center" vertical="center"/>
      <protection locked="0"/>
    </xf>
    <xf numFmtId="0" fontId="11" fillId="6" borderId="19" xfId="437" applyFill="1" applyBorder="1" applyAlignment="1" applyProtection="1">
      <alignment horizontal="center" vertical="center"/>
      <protection locked="0"/>
    </xf>
    <xf numFmtId="0" fontId="6" fillId="0" borderId="0" xfId="2375" applyFont="1" applyAlignment="1">
      <alignment horizontal="center"/>
    </xf>
    <xf numFmtId="0" fontId="5" fillId="0" borderId="19" xfId="0" applyFont="1" applyBorder="1" applyAlignment="1">
      <alignment horizontal="center" vertical="center" wrapText="1"/>
    </xf>
    <xf numFmtId="0" fontId="150" fillId="54" borderId="0" xfId="0" applyFont="1" applyFill="1" applyAlignment="1">
      <alignment vertical="center"/>
    </xf>
    <xf numFmtId="0" fontId="11" fillId="0" borderId="46" xfId="2375" applyFont="1" applyBorder="1" applyAlignment="1" applyProtection="1">
      <alignment horizontal="left" vertical="center" wrapText="1"/>
      <protection locked="0"/>
    </xf>
    <xf numFmtId="0" fontId="11" fillId="0" borderId="65" xfId="2375" applyFont="1" applyBorder="1" applyAlignment="1" applyProtection="1">
      <alignment horizontal="left" vertical="center" wrapText="1"/>
      <protection locked="0"/>
    </xf>
    <xf numFmtId="0" fontId="117" fillId="0" borderId="5" xfId="0" applyFont="1" applyBorder="1" applyAlignment="1">
      <alignment horizontal="left" vertical="top" wrapText="1"/>
    </xf>
    <xf numFmtId="0" fontId="117" fillId="0" borderId="0" xfId="0" applyFont="1" applyAlignment="1">
      <alignment horizontal="left" vertical="top" wrapText="1"/>
    </xf>
    <xf numFmtId="0" fontId="117" fillId="0" borderId="12" xfId="0" applyFont="1" applyBorder="1" applyAlignment="1">
      <alignment horizontal="left" vertical="top" wrapText="1"/>
    </xf>
    <xf numFmtId="0" fontId="11" fillId="0" borderId="48" xfId="0" applyFont="1" applyBorder="1" applyAlignment="1">
      <alignment horizontal="left" vertical="top" wrapText="1"/>
    </xf>
    <xf numFmtId="0" fontId="11" fillId="0" borderId="8" xfId="0" applyFont="1" applyBorder="1" applyAlignment="1">
      <alignment horizontal="left" vertical="top" wrapText="1"/>
    </xf>
    <xf numFmtId="0" fontId="11" fillId="0" borderId="13" xfId="0" applyFont="1" applyBorder="1" applyAlignment="1">
      <alignment horizontal="left" vertical="top" wrapText="1"/>
    </xf>
    <xf numFmtId="0" fontId="7" fillId="0" borderId="40" xfId="0" applyFont="1" applyBorder="1" applyAlignment="1" applyProtection="1">
      <alignment horizontal="left" vertical="center"/>
      <protection locked="0"/>
    </xf>
    <xf numFmtId="0" fontId="5" fillId="0" borderId="50" xfId="0" applyFont="1" applyBorder="1" applyAlignment="1" applyProtection="1">
      <alignment horizontal="left" vertical="center"/>
      <protection locked="0"/>
    </xf>
    <xf numFmtId="0" fontId="11" fillId="0" borderId="18" xfId="2375" applyFont="1" applyBorder="1" applyAlignment="1" applyProtection="1">
      <alignment horizontal="center" vertical="center"/>
      <protection locked="0"/>
    </xf>
    <xf numFmtId="0" fontId="11" fillId="0" borderId="15" xfId="2375" applyFont="1" applyBorder="1" applyAlignment="1" applyProtection="1">
      <alignment horizontal="center" vertical="center"/>
      <protection locked="0"/>
    </xf>
    <xf numFmtId="0" fontId="11" fillId="0" borderId="46" xfId="2375" applyFont="1" applyBorder="1" applyAlignment="1" applyProtection="1">
      <alignment horizontal="center" vertical="center"/>
      <protection locked="0"/>
    </xf>
    <xf numFmtId="0" fontId="11" fillId="0" borderId="19" xfId="2375" applyFont="1" applyBorder="1" applyAlignment="1" applyProtection="1">
      <alignment horizontal="center" vertical="center"/>
      <protection locked="0"/>
    </xf>
    <xf numFmtId="0" fontId="11" fillId="0" borderId="46" xfId="437" applyBorder="1" applyAlignment="1" applyProtection="1">
      <alignment horizontal="center" vertical="center" wrapText="1"/>
      <protection locked="0"/>
    </xf>
    <xf numFmtId="0" fontId="11" fillId="0" borderId="19" xfId="437" applyBorder="1" applyAlignment="1" applyProtection="1">
      <alignment horizontal="center" vertical="center" wrapText="1"/>
      <protection locked="0"/>
    </xf>
    <xf numFmtId="0" fontId="11" fillId="6" borderId="46" xfId="437" applyFill="1" applyBorder="1" applyAlignment="1" applyProtection="1">
      <alignment horizontal="center" vertical="center"/>
      <protection locked="0"/>
    </xf>
    <xf numFmtId="0" fontId="11" fillId="6" borderId="19" xfId="437" applyFill="1" applyBorder="1" applyAlignment="1" applyProtection="1">
      <alignment horizontal="center" vertical="center"/>
      <protection locked="0"/>
    </xf>
    <xf numFmtId="0" fontId="5" fillId="0" borderId="46" xfId="2375" applyFont="1" applyBorder="1" applyAlignment="1" applyProtection="1">
      <alignment horizontal="center" vertical="center" wrapText="1"/>
      <protection locked="0"/>
    </xf>
    <xf numFmtId="0" fontId="5" fillId="0" borderId="19" xfId="2375" applyFont="1" applyBorder="1" applyAlignment="1" applyProtection="1">
      <alignment horizontal="center" vertical="center" wrapText="1"/>
      <protection locked="0"/>
    </xf>
    <xf numFmtId="0" fontId="6" fillId="0" borderId="0" xfId="2375" applyFont="1" applyAlignment="1">
      <alignment horizontal="center"/>
    </xf>
    <xf numFmtId="0" fontId="122" fillId="49" borderId="53" xfId="2375" applyFont="1" applyFill="1" applyBorder="1" applyAlignment="1">
      <alignment horizontal="left" vertical="top"/>
    </xf>
    <xf numFmtId="0" fontId="122" fillId="49" borderId="54" xfId="2375" applyFont="1" applyFill="1" applyBorder="1" applyAlignment="1">
      <alignment horizontal="left" vertical="top"/>
    </xf>
    <xf numFmtId="0" fontId="122" fillId="49" borderId="55" xfId="2375" applyFont="1" applyFill="1" applyBorder="1" applyAlignment="1">
      <alignment horizontal="left" vertical="top"/>
    </xf>
    <xf numFmtId="0" fontId="124" fillId="0" borderId="53" xfId="0" applyFont="1" applyBorder="1" applyAlignment="1">
      <alignment horizontal="left" vertical="top" wrapText="1"/>
    </xf>
    <xf numFmtId="0" fontId="124" fillId="0" borderId="54" xfId="0" applyFont="1" applyBorder="1" applyAlignment="1">
      <alignment horizontal="left" vertical="top" wrapText="1"/>
    </xf>
    <xf numFmtId="0" fontId="124" fillId="0" borderId="55" xfId="0" applyFont="1" applyBorder="1" applyAlignment="1">
      <alignment horizontal="left" vertical="top" wrapText="1"/>
    </xf>
    <xf numFmtId="0" fontId="132" fillId="0" borderId="53" xfId="0" applyFont="1" applyBorder="1" applyAlignment="1">
      <alignment horizontal="left" vertical="top" wrapText="1"/>
    </xf>
    <xf numFmtId="0" fontId="132" fillId="0" borderId="54" xfId="0" applyFont="1" applyBorder="1" applyAlignment="1">
      <alignment horizontal="left" vertical="top" wrapText="1"/>
    </xf>
    <xf numFmtId="0" fontId="132" fillId="0" borderId="55" xfId="0" applyFont="1" applyBorder="1" applyAlignment="1">
      <alignment horizontal="left" vertical="top" wrapText="1"/>
    </xf>
    <xf numFmtId="0" fontId="11" fillId="0" borderId="34" xfId="2238" applyFont="1" applyBorder="1" applyAlignment="1" applyProtection="1">
      <alignment horizontal="left" vertical="center" wrapText="1"/>
      <protection locked="0"/>
    </xf>
    <xf numFmtId="0" fontId="11" fillId="0" borderId="14" xfId="2238" applyFont="1" applyBorder="1" applyAlignment="1" applyProtection="1">
      <alignment horizontal="left" vertical="center" wrapText="1"/>
      <protection locked="0"/>
    </xf>
    <xf numFmtId="0" fontId="11" fillId="0" borderId="35" xfId="2238" applyFont="1" applyBorder="1" applyAlignment="1" applyProtection="1">
      <alignment horizontal="left" vertical="center" wrapText="1"/>
      <protection locked="0"/>
    </xf>
    <xf numFmtId="0" fontId="11" fillId="0" borderId="9" xfId="2238" applyFont="1" applyBorder="1" applyAlignment="1" applyProtection="1">
      <alignment horizontal="left" vertical="center" wrapText="1"/>
      <protection locked="0"/>
    </xf>
    <xf numFmtId="0" fontId="11" fillId="0" borderId="0" xfId="2238" applyFont="1" applyAlignment="1" applyProtection="1">
      <alignment horizontal="left" vertical="center" wrapText="1"/>
      <protection locked="0"/>
    </xf>
    <xf numFmtId="0" fontId="11" fillId="0" borderId="12" xfId="2238" applyFont="1" applyBorder="1" applyAlignment="1" applyProtection="1">
      <alignment horizontal="left" vertical="center" wrapText="1"/>
      <protection locked="0"/>
    </xf>
    <xf numFmtId="0" fontId="11" fillId="0" borderId="10" xfId="2238" applyFont="1" applyBorder="1" applyAlignment="1" applyProtection="1">
      <alignment horizontal="left" vertical="center" wrapText="1"/>
      <protection locked="0"/>
    </xf>
    <xf numFmtId="0" fontId="11" fillId="0" borderId="8" xfId="2238" applyFont="1" applyBorder="1" applyAlignment="1" applyProtection="1">
      <alignment horizontal="left" vertical="center" wrapText="1"/>
      <protection locked="0"/>
    </xf>
    <xf numFmtId="0" fontId="11" fillId="0" borderId="13" xfId="2238" applyFont="1" applyBorder="1" applyAlignment="1" applyProtection="1">
      <alignment horizontal="left" vertical="center" wrapText="1"/>
      <protection locked="0"/>
    </xf>
    <xf numFmtId="0" fontId="11" fillId="0" borderId="34" xfId="2391" applyFont="1" applyBorder="1" applyAlignment="1">
      <alignment horizontal="left" vertical="center" wrapText="1"/>
    </xf>
    <xf numFmtId="0" fontId="11" fillId="0" borderId="14" xfId="2391" applyFont="1" applyBorder="1" applyAlignment="1">
      <alignment horizontal="left" vertical="center" wrapText="1"/>
    </xf>
    <xf numFmtId="0" fontId="11" fillId="0" borderId="35" xfId="2391" applyFont="1" applyBorder="1" applyAlignment="1">
      <alignment horizontal="left" vertical="center" wrapText="1"/>
    </xf>
    <xf numFmtId="0" fontId="11" fillId="0" borderId="9" xfId="2391" applyFont="1" applyBorder="1" applyAlignment="1">
      <alignment horizontal="left" vertical="center" wrapText="1"/>
    </xf>
    <xf numFmtId="0" fontId="11" fillId="0" borderId="0" xfId="2391" applyFont="1" applyAlignment="1">
      <alignment horizontal="left" vertical="center" wrapText="1"/>
    </xf>
    <xf numFmtId="0" fontId="11" fillId="0" borderId="12" xfId="2391" applyFont="1" applyBorder="1" applyAlignment="1">
      <alignment horizontal="left" vertical="center" wrapText="1"/>
    </xf>
    <xf numFmtId="0" fontId="11" fillId="0" borderId="10" xfId="2391" applyFont="1" applyBorder="1" applyAlignment="1">
      <alignment horizontal="left" vertical="center" wrapText="1"/>
    </xf>
    <xf numFmtId="0" fontId="11" fillId="0" borderId="8" xfId="2391" applyFont="1" applyBorder="1" applyAlignment="1">
      <alignment horizontal="left" vertical="center" wrapText="1"/>
    </xf>
    <xf numFmtId="0" fontId="11" fillId="0" borderId="13" xfId="2391" applyFont="1" applyBorder="1" applyAlignment="1">
      <alignment horizontal="left" vertical="center" wrapText="1"/>
    </xf>
    <xf numFmtId="0" fontId="11" fillId="0" borderId="34" xfId="0" applyFont="1" applyBorder="1" applyAlignment="1">
      <alignment horizontal="left" vertical="center" wrapText="1"/>
    </xf>
    <xf numFmtId="0" fontId="11" fillId="0" borderId="14" xfId="0" applyFont="1" applyBorder="1" applyAlignment="1">
      <alignment horizontal="left" vertical="center" wrapText="1"/>
    </xf>
    <xf numFmtId="0" fontId="11" fillId="0" borderId="35" xfId="0" applyFont="1" applyBorder="1" applyAlignment="1">
      <alignment horizontal="left" vertical="center" wrapText="1"/>
    </xf>
    <xf numFmtId="0" fontId="11" fillId="0" borderId="9" xfId="0" applyFont="1" applyBorder="1" applyAlignment="1">
      <alignment horizontal="left" vertical="center" wrapText="1"/>
    </xf>
    <xf numFmtId="0" fontId="11" fillId="0" borderId="0" xfId="0" applyFont="1" applyAlignment="1">
      <alignment horizontal="left" vertical="center" wrapText="1"/>
    </xf>
    <xf numFmtId="0" fontId="11" fillId="0" borderId="12" xfId="0" applyFont="1" applyBorder="1" applyAlignment="1">
      <alignment horizontal="left" vertical="center" wrapText="1"/>
    </xf>
    <xf numFmtId="0" fontId="11" fillId="0" borderId="10" xfId="0" applyFont="1" applyBorder="1" applyAlignment="1">
      <alignment horizontal="left" vertical="center" wrapText="1"/>
    </xf>
    <xf numFmtId="0" fontId="11" fillId="0" borderId="8" xfId="0" applyFont="1" applyBorder="1" applyAlignment="1">
      <alignment horizontal="left" vertical="center" wrapText="1"/>
    </xf>
    <xf numFmtId="0" fontId="11" fillId="0" borderId="13" xfId="0" applyFont="1" applyBorder="1" applyAlignment="1">
      <alignment horizontal="left" vertical="center" wrapText="1"/>
    </xf>
    <xf numFmtId="0" fontId="5" fillId="0" borderId="19" xfId="0" applyFont="1" applyBorder="1" applyAlignment="1">
      <alignment horizontal="center" vertical="center" wrapText="1"/>
    </xf>
    <xf numFmtId="0" fontId="5" fillId="0" borderId="6" xfId="0" applyFont="1" applyBorder="1" applyAlignment="1">
      <alignment horizontal="center" vertical="center" wrapText="1"/>
    </xf>
    <xf numFmtId="0" fontId="124" fillId="0" borderId="53" xfId="2375" applyFont="1" applyBorder="1" applyAlignment="1">
      <alignment horizontal="left" vertical="top" wrapText="1"/>
    </xf>
    <xf numFmtId="0" fontId="124" fillId="0" borderId="54" xfId="2375" applyFont="1" applyBorder="1" applyAlignment="1">
      <alignment horizontal="left" vertical="top" wrapText="1"/>
    </xf>
    <xf numFmtId="0" fontId="124" fillId="0" borderId="55" xfId="2375" applyFont="1" applyBorder="1" applyAlignment="1">
      <alignment horizontal="left" vertical="top" wrapText="1"/>
    </xf>
    <xf numFmtId="0" fontId="124" fillId="0" borderId="9" xfId="2376" applyFont="1" applyBorder="1" applyAlignment="1">
      <alignment horizontal="left" vertical="center" wrapText="1"/>
    </xf>
    <xf numFmtId="0" fontId="124" fillId="0" borderId="0" xfId="2376" applyFont="1" applyAlignment="1">
      <alignment horizontal="left" vertical="center" wrapText="1"/>
    </xf>
    <xf numFmtId="0" fontId="124" fillId="0" borderId="12" xfId="2376" applyFont="1" applyBorder="1" applyAlignment="1">
      <alignment horizontal="left" vertical="center" wrapText="1"/>
    </xf>
    <xf numFmtId="0" fontId="11" fillId="0" borderId="34" xfId="2375" applyFont="1" applyBorder="1" applyAlignment="1">
      <alignment horizontal="left" vertical="center" wrapText="1"/>
    </xf>
    <xf numFmtId="0" fontId="11" fillId="0" borderId="14" xfId="2375" applyFont="1" applyBorder="1" applyAlignment="1">
      <alignment horizontal="left" vertical="center" wrapText="1"/>
    </xf>
    <xf numFmtId="0" fontId="11" fillId="0" borderId="35" xfId="2375" applyFont="1" applyBorder="1" applyAlignment="1">
      <alignment horizontal="left" vertical="center" wrapText="1"/>
    </xf>
    <xf numFmtId="0" fontId="11" fillId="0" borderId="9" xfId="2375" applyFont="1" applyBorder="1" applyAlignment="1">
      <alignment horizontal="left" vertical="center" wrapText="1"/>
    </xf>
    <xf numFmtId="0" fontId="11" fillId="0" borderId="0" xfId="2375" applyFont="1" applyAlignment="1">
      <alignment horizontal="left" vertical="center" wrapText="1"/>
    </xf>
    <xf numFmtId="0" fontId="11" fillId="0" borderId="12" xfId="2375" applyFont="1" applyBorder="1" applyAlignment="1">
      <alignment horizontal="left" vertical="center" wrapText="1"/>
    </xf>
    <xf numFmtId="0" fontId="11" fillId="0" borderId="10" xfId="2375" applyFont="1" applyBorder="1" applyAlignment="1">
      <alignment horizontal="left" vertical="center" wrapText="1"/>
    </xf>
    <xf numFmtId="0" fontId="11" fillId="0" borderId="8" xfId="2375" applyFont="1" applyBorder="1" applyAlignment="1">
      <alignment horizontal="left" vertical="center" wrapText="1"/>
    </xf>
    <xf numFmtId="0" fontId="11" fillId="0" borderId="13" xfId="2375" applyFont="1" applyBorder="1" applyAlignment="1">
      <alignment horizontal="left" vertical="center" wrapText="1"/>
    </xf>
    <xf numFmtId="0" fontId="122" fillId="49" borderId="53" xfId="818" applyFont="1" applyFill="1" applyBorder="1" applyAlignment="1" applyProtection="1">
      <alignment horizontal="left" vertical="top" wrapText="1"/>
      <protection locked="0"/>
    </xf>
    <xf numFmtId="0" fontId="122" fillId="49" borderId="54" xfId="818" applyFont="1" applyFill="1" applyBorder="1" applyAlignment="1" applyProtection="1">
      <alignment horizontal="left" vertical="top" wrapText="1"/>
      <protection locked="0"/>
    </xf>
    <xf numFmtId="0" fontId="122" fillId="49" borderId="55" xfId="818" applyFont="1" applyFill="1" applyBorder="1" applyAlignment="1" applyProtection="1">
      <alignment horizontal="left" vertical="top" wrapText="1"/>
      <protection locked="0"/>
    </xf>
    <xf numFmtId="0" fontId="121" fillId="0" borderId="53" xfId="2375" applyFont="1" applyBorder="1" applyAlignment="1" applyProtection="1">
      <alignment horizontal="left" vertical="top" wrapText="1"/>
      <protection locked="0"/>
    </xf>
    <xf numFmtId="0" fontId="121" fillId="0" borderId="54" xfId="2375" applyFont="1" applyBorder="1" applyAlignment="1" applyProtection="1">
      <alignment horizontal="left" vertical="top" wrapText="1"/>
      <protection locked="0"/>
    </xf>
    <xf numFmtId="0" fontId="121" fillId="0" borderId="55" xfId="2375" applyFont="1" applyBorder="1" applyAlignment="1" applyProtection="1">
      <alignment horizontal="left" vertical="top" wrapText="1"/>
      <protection locked="0"/>
    </xf>
    <xf numFmtId="0" fontId="152" fillId="54" borderId="0" xfId="0" applyFont="1" applyFill="1" applyAlignment="1">
      <alignment vertical="center"/>
    </xf>
    <xf numFmtId="0" fontId="150" fillId="54" borderId="0" xfId="0" applyFont="1" applyFill="1" applyAlignment="1">
      <alignment vertical="center"/>
    </xf>
    <xf numFmtId="0" fontId="15" fillId="50" borderId="66" xfId="0" applyFont="1" applyFill="1" applyBorder="1" applyAlignment="1">
      <alignment horizontal="center" vertical="center"/>
    </xf>
    <xf numFmtId="9" fontId="15" fillId="50" borderId="67" xfId="2438" applyFont="1" applyFill="1" applyBorder="1" applyAlignment="1">
      <alignment horizontal="center" vertical="center"/>
    </xf>
    <xf numFmtId="0" fontId="15" fillId="50" borderId="68" xfId="0" applyFont="1" applyFill="1" applyBorder="1" applyAlignment="1">
      <alignment horizontal="center" vertical="center"/>
    </xf>
    <xf numFmtId="0" fontId="15" fillId="50" borderId="69" xfId="0" applyFont="1" applyFill="1" applyBorder="1" applyAlignment="1">
      <alignment horizontal="center" vertical="center"/>
    </xf>
    <xf numFmtId="0" fontId="7" fillId="2" borderId="70" xfId="0" applyFont="1" applyFill="1" applyBorder="1" applyAlignment="1">
      <alignment horizontal="center" vertical="center" wrapText="1"/>
    </xf>
    <xf numFmtId="0" fontId="7" fillId="0" borderId="71" xfId="0" applyFont="1" applyBorder="1" applyAlignment="1">
      <alignment horizontal="center" vertical="center"/>
    </xf>
    <xf numFmtId="220" fontId="7" fillId="0" borderId="71" xfId="2437" applyNumberFormat="1" applyFont="1" applyFill="1" applyBorder="1" applyAlignment="1" applyProtection="1">
      <alignment horizontal="right" vertical="center"/>
      <protection locked="0"/>
    </xf>
    <xf numFmtId="0" fontId="7" fillId="2" borderId="72" xfId="0" applyFont="1" applyFill="1" applyBorder="1" applyAlignment="1">
      <alignment horizontal="center" vertical="center" wrapText="1"/>
    </xf>
    <xf numFmtId="0" fontId="7" fillId="0" borderId="73" xfId="0" applyFont="1" applyBorder="1" applyAlignment="1">
      <alignment horizontal="center" vertical="center"/>
    </xf>
    <xf numFmtId="220" fontId="7" fillId="0" borderId="73" xfId="2437" applyNumberFormat="1" applyFont="1" applyFill="1" applyBorder="1" applyAlignment="1" applyProtection="1">
      <alignment horizontal="right" vertical="center"/>
      <protection locked="0"/>
    </xf>
    <xf numFmtId="0" fontId="5" fillId="0" borderId="71" xfId="2375" applyFont="1" applyBorder="1" applyAlignment="1" applyProtection="1">
      <alignment horizontal="left" vertical="center" wrapText="1"/>
      <protection locked="0"/>
    </xf>
    <xf numFmtId="0" fontId="5" fillId="0" borderId="71" xfId="0" applyFont="1" applyBorder="1" applyAlignment="1" applyProtection="1">
      <alignment horizontal="center" vertical="center"/>
      <protection locked="0"/>
    </xf>
    <xf numFmtId="0" fontId="23" fillId="2" borderId="71" xfId="28" applyFont="1" applyFill="1" applyBorder="1" applyAlignment="1" applyProtection="1">
      <alignment horizontal="center" vertical="center"/>
      <protection locked="0"/>
    </xf>
    <xf numFmtId="0" fontId="11" fillId="2" borderId="67" xfId="2375" applyFont="1" applyFill="1" applyBorder="1" applyAlignment="1" applyProtection="1">
      <alignment horizontal="left" vertical="center" wrapText="1"/>
      <protection locked="0"/>
    </xf>
    <xf numFmtId="0" fontId="5" fillId="0" borderId="67" xfId="2375" applyFont="1" applyBorder="1" applyAlignment="1" applyProtection="1">
      <alignment horizontal="left" vertical="center" wrapText="1"/>
      <protection locked="0"/>
    </xf>
    <xf numFmtId="0" fontId="11" fillId="0" borderId="67" xfId="437" applyBorder="1" applyAlignment="1" applyProtection="1">
      <alignment horizontal="left" vertical="center" wrapText="1"/>
      <protection locked="0"/>
    </xf>
    <xf numFmtId="0" fontId="11" fillId="0" borderId="73" xfId="2375" applyFont="1" applyBorder="1" applyAlignment="1" applyProtection="1">
      <alignment horizontal="left" vertical="center"/>
      <protection locked="0"/>
    </xf>
    <xf numFmtId="0" fontId="11" fillId="0" borderId="73" xfId="437" applyBorder="1" applyAlignment="1" applyProtection="1">
      <alignment vertical="center" wrapText="1"/>
      <protection locked="0"/>
    </xf>
    <xf numFmtId="0" fontId="11" fillId="6" borderId="73" xfId="437" applyFill="1" applyBorder="1" applyAlignment="1" applyProtection="1">
      <alignment horizontal="center" vertical="center"/>
      <protection locked="0"/>
    </xf>
    <xf numFmtId="0" fontId="5" fillId="0" borderId="74" xfId="2375" applyFont="1" applyBorder="1" applyAlignment="1" applyProtection="1">
      <alignment horizontal="left" vertical="center" wrapText="1"/>
      <protection locked="0"/>
    </xf>
    <xf numFmtId="0" fontId="5" fillId="0" borderId="73" xfId="2375" applyFont="1" applyBorder="1" applyAlignment="1" applyProtection="1">
      <alignment horizontal="left" vertical="center" wrapText="1"/>
      <protection locked="0"/>
    </xf>
    <xf numFmtId="0" fontId="5" fillId="0" borderId="73" xfId="0" applyFont="1" applyBorder="1" applyAlignment="1" applyProtection="1">
      <alignment horizontal="center" vertical="center"/>
      <protection locked="0"/>
    </xf>
    <xf numFmtId="0" fontId="23" fillId="2" borderId="73" xfId="28" applyFont="1" applyFill="1" applyBorder="1" applyAlignment="1" applyProtection="1">
      <alignment horizontal="center" vertical="center"/>
      <protection locked="0"/>
    </xf>
    <xf numFmtId="0" fontId="11" fillId="0" borderId="69" xfId="437" applyBorder="1" applyAlignment="1" applyProtection="1">
      <alignment horizontal="left" vertical="center" wrapText="1"/>
      <protection locked="0"/>
    </xf>
    <xf numFmtId="0" fontId="11" fillId="2" borderId="66" xfId="1372" applyFont="1" applyFill="1" applyBorder="1" applyAlignment="1" applyProtection="1">
      <alignment horizontal="center" vertical="top"/>
      <protection locked="0"/>
    </xf>
    <xf numFmtId="0" fontId="11" fillId="2" borderId="68" xfId="1372" applyFont="1" applyFill="1" applyBorder="1" applyAlignment="1" applyProtection="1">
      <alignment horizontal="center" vertical="top"/>
      <protection locked="0"/>
    </xf>
    <xf numFmtId="0" fontId="6" fillId="0" borderId="66" xfId="2382" applyFont="1" applyBorder="1" applyAlignment="1">
      <alignment horizontal="left" vertical="center"/>
    </xf>
    <xf numFmtId="0" fontId="11" fillId="0" borderId="67" xfId="2382" applyFont="1" applyBorder="1" applyAlignment="1">
      <alignment vertical="center" wrapText="1"/>
    </xf>
    <xf numFmtId="0" fontId="11" fillId="0" borderId="67" xfId="2382" applyFont="1" applyBorder="1" applyAlignment="1">
      <alignment horizontal="left" vertical="center" wrapText="1"/>
    </xf>
    <xf numFmtId="0" fontId="136" fillId="0" borderId="66" xfId="0" applyFont="1" applyBorder="1" applyAlignment="1">
      <alignment horizontal="left" vertical="center"/>
    </xf>
    <xf numFmtId="0" fontId="7" fillId="0" borderId="67" xfId="0" applyFont="1" applyBorder="1" applyAlignment="1">
      <alignment vertical="center" wrapText="1"/>
    </xf>
    <xf numFmtId="0" fontId="7" fillId="0" borderId="67" xfId="0" applyFont="1" applyBorder="1" applyAlignment="1">
      <alignment horizontal="left" vertical="center" wrapText="1"/>
    </xf>
    <xf numFmtId="0" fontId="6" fillId="0" borderId="68" xfId="2382" applyFont="1" applyBorder="1" applyAlignment="1">
      <alignment horizontal="left" vertical="center"/>
    </xf>
    <xf numFmtId="0" fontId="11" fillId="0" borderId="69" xfId="2382" applyFont="1" applyBorder="1" applyAlignment="1">
      <alignment vertical="center" wrapText="1"/>
    </xf>
    <xf numFmtId="0" fontId="125" fillId="49" borderId="66" xfId="2375" applyFont="1" applyFill="1" applyBorder="1" applyAlignment="1">
      <alignment vertical="center"/>
    </xf>
    <xf numFmtId="0" fontId="122" fillId="49" borderId="71" xfId="818" applyFont="1" applyFill="1" applyBorder="1" applyAlignment="1" applyProtection="1">
      <alignment horizontal="left" vertical="center" wrapText="1"/>
      <protection locked="0"/>
    </xf>
    <xf numFmtId="0" fontId="122" fillId="49" borderId="71" xfId="818" applyFont="1" applyFill="1" applyBorder="1" applyAlignment="1" applyProtection="1">
      <alignment horizontal="left" vertical="top" wrapText="1"/>
      <protection locked="0"/>
    </xf>
    <xf numFmtId="0" fontId="121" fillId="0" borderId="66" xfId="2375" applyFont="1" applyBorder="1" applyAlignment="1">
      <alignment horizontal="left" vertical="center"/>
    </xf>
    <xf numFmtId="0" fontId="129" fillId="0" borderId="71" xfId="2375" applyFont="1" applyBorder="1" applyAlignment="1">
      <alignment vertical="center"/>
    </xf>
    <xf numFmtId="0" fontId="124" fillId="0" borderId="71" xfId="818" applyFont="1" applyBorder="1" applyAlignment="1" applyProtection="1">
      <alignment horizontal="left" vertical="center" wrapText="1"/>
      <protection locked="0"/>
    </xf>
    <xf numFmtId="0" fontId="124" fillId="0" borderId="66" xfId="2375" applyFont="1" applyBorder="1" applyAlignment="1" applyProtection="1">
      <alignment horizontal="left" vertical="center"/>
      <protection locked="0"/>
    </xf>
    <xf numFmtId="0" fontId="15" fillId="55" borderId="68" xfId="0" applyFont="1" applyFill="1" applyBorder="1" applyAlignment="1">
      <alignment horizontal="left" vertical="center"/>
    </xf>
    <xf numFmtId="9" fontId="11" fillId="0" borderId="69" xfId="0" applyNumberFormat="1" applyFont="1" applyBorder="1" applyAlignment="1">
      <alignment vertical="center" wrapText="1"/>
    </xf>
    <xf numFmtId="178" fontId="11" fillId="0" borderId="66" xfId="2388" applyNumberFormat="1" applyFont="1" applyBorder="1" applyAlignment="1">
      <alignment horizontal="right" vertical="center" shrinkToFit="1"/>
      <protection locked="0"/>
    </xf>
    <xf numFmtId="49" fontId="11" fillId="0" borderId="71" xfId="2388" applyNumberFormat="1" applyFont="1" applyBorder="1" applyAlignment="1">
      <alignment horizontal="left" vertical="center" shrinkToFit="1"/>
      <protection locked="0"/>
    </xf>
    <xf numFmtId="178" fontId="11" fillId="0" borderId="71" xfId="2388" applyNumberFormat="1" applyFont="1" applyBorder="1" applyAlignment="1">
      <alignment horizontal="right" vertical="center" shrinkToFit="1"/>
      <protection locked="0"/>
    </xf>
    <xf numFmtId="178" fontId="11" fillId="0" borderId="71" xfId="2388" applyNumberFormat="1" applyFont="1" applyBorder="1" applyAlignment="1" applyProtection="1">
      <alignment horizontal="right" vertical="center" shrinkToFit="1"/>
    </xf>
    <xf numFmtId="178" fontId="11" fillId="0" borderId="67" xfId="2388" applyNumberFormat="1" applyFont="1" applyBorder="1" applyAlignment="1" applyProtection="1">
      <alignment horizontal="right" vertical="center" shrinkToFit="1"/>
    </xf>
    <xf numFmtId="178" fontId="11" fillId="0" borderId="66" xfId="2388" applyNumberFormat="1" applyFont="1" applyBorder="1" applyAlignment="1" applyProtection="1">
      <alignment horizontal="right" vertical="center" shrinkToFit="1"/>
    </xf>
    <xf numFmtId="10" fontId="11" fillId="0" borderId="67" xfId="2388" applyNumberFormat="1" applyFont="1" applyBorder="1" applyAlignment="1" applyProtection="1">
      <alignment horizontal="right" vertical="center" shrinkToFit="1"/>
    </xf>
    <xf numFmtId="0" fontId="11" fillId="0" borderId="68" xfId="2388" applyFont="1" applyBorder="1" applyAlignment="1">
      <alignment horizontal="right" vertical="center"/>
      <protection locked="0"/>
    </xf>
    <xf numFmtId="49" fontId="11" fillId="0" borderId="73" xfId="2388" applyNumberFormat="1" applyFont="1" applyBorder="1" applyAlignment="1">
      <alignment horizontal="right" vertical="center"/>
      <protection locked="0"/>
    </xf>
    <xf numFmtId="49" fontId="11" fillId="0" borderId="74" xfId="2388" applyNumberFormat="1" applyFont="1" applyBorder="1" applyAlignment="1">
      <alignment horizontal="right" vertical="center"/>
      <protection locked="0"/>
    </xf>
    <xf numFmtId="178" fontId="6" fillId="0" borderId="68" xfId="2388" applyNumberFormat="1" applyFont="1" applyBorder="1" applyAlignment="1">
      <alignment horizontal="right" vertical="center" shrinkToFit="1"/>
      <protection locked="0"/>
    </xf>
    <xf numFmtId="49" fontId="6" fillId="0" borderId="73" xfId="2228" applyNumberFormat="1" applyFont="1" applyBorder="1" applyAlignment="1" applyProtection="1">
      <alignment horizontal="left" vertical="center"/>
      <protection locked="0"/>
    </xf>
    <xf numFmtId="0" fontId="6" fillId="0" borderId="73" xfId="2228" applyFont="1" applyBorder="1" applyAlignment="1" applyProtection="1">
      <alignment horizontal="center" vertical="center"/>
      <protection locked="0"/>
    </xf>
    <xf numFmtId="178" fontId="11" fillId="0" borderId="73" xfId="2388" applyNumberFormat="1" applyFont="1" applyBorder="1" applyAlignment="1" applyProtection="1">
      <alignment horizontal="right" vertical="center" shrinkToFit="1"/>
    </xf>
    <xf numFmtId="49" fontId="11" fillId="0" borderId="73" xfId="2388" applyNumberFormat="1" applyFont="1" applyBorder="1" applyAlignment="1">
      <alignment horizontal="left" vertical="center" shrinkToFit="1"/>
      <protection locked="0"/>
    </xf>
    <xf numFmtId="178" fontId="11" fillId="0" borderId="73" xfId="2388" applyNumberFormat="1" applyFont="1" applyBorder="1" applyAlignment="1">
      <alignment horizontal="right" vertical="center" shrinkToFit="1"/>
      <protection locked="0"/>
    </xf>
    <xf numFmtId="178" fontId="11" fillId="0" borderId="69" xfId="2388" applyNumberFormat="1" applyFont="1" applyBorder="1" applyAlignment="1" applyProtection="1">
      <alignment horizontal="right" vertical="center" shrinkToFit="1"/>
    </xf>
    <xf numFmtId="178" fontId="11" fillId="0" borderId="75" xfId="2388" applyNumberFormat="1" applyFont="1" applyBorder="1" applyAlignment="1" applyProtection="1">
      <alignment horizontal="right" vertical="center" shrinkToFit="1"/>
    </xf>
    <xf numFmtId="178" fontId="11" fillId="0" borderId="68" xfId="2388" applyNumberFormat="1" applyFont="1" applyBorder="1" applyAlignment="1" applyProtection="1">
      <alignment horizontal="right" vertical="center" shrinkToFit="1"/>
    </xf>
    <xf numFmtId="10" fontId="11" fillId="0" borderId="69" xfId="2388" applyNumberFormat="1" applyFont="1" applyBorder="1" applyAlignment="1" applyProtection="1">
      <alignment horizontal="right" vertical="center" shrinkToFit="1"/>
    </xf>
    <xf numFmtId="0" fontId="11" fillId="0" borderId="76" xfId="2388" applyFont="1" applyBorder="1" applyAlignment="1">
      <alignment horizontal="right" vertical="center"/>
      <protection locked="0"/>
    </xf>
    <xf numFmtId="178" fontId="11" fillId="0" borderId="77" xfId="2388" applyNumberFormat="1" applyFont="1" applyBorder="1" applyAlignment="1" applyProtection="1">
      <alignment horizontal="right" vertical="center" shrinkToFit="1"/>
    </xf>
    <xf numFmtId="10" fontId="11" fillId="0" borderId="77" xfId="2388" applyNumberFormat="1" applyFont="1" applyBorder="1" applyAlignment="1" applyProtection="1">
      <alignment horizontal="right" vertical="center" shrinkToFit="1"/>
    </xf>
    <xf numFmtId="0" fontId="122" fillId="51" borderId="67" xfId="0" applyFont="1" applyFill="1" applyBorder="1" applyAlignment="1">
      <alignment horizontal="left" vertical="center" wrapText="1"/>
    </xf>
    <xf numFmtId="0" fontId="121" fillId="0" borderId="66" xfId="2376" applyFont="1" applyBorder="1" applyAlignment="1">
      <alignment horizontal="left" vertical="center"/>
    </xf>
    <xf numFmtId="0" fontId="124" fillId="0" borderId="67" xfId="2375" applyFont="1" applyBorder="1" applyAlignment="1">
      <alignment vertical="center"/>
    </xf>
    <xf numFmtId="0" fontId="121" fillId="0" borderId="72" xfId="2376" applyFont="1" applyBorder="1" applyAlignment="1">
      <alignment horizontal="left" vertical="center"/>
    </xf>
    <xf numFmtId="0" fontId="130" fillId="0" borderId="78" xfId="2375" applyFont="1" applyBorder="1" applyAlignment="1" applyProtection="1">
      <alignment horizontal="left" vertical="center"/>
      <protection locked="0"/>
    </xf>
    <xf numFmtId="0" fontId="121" fillId="0" borderId="78" xfId="2375" applyFont="1" applyBorder="1" applyAlignment="1" applyProtection="1">
      <alignment horizontal="left" vertical="center"/>
      <protection locked="0"/>
    </xf>
    <xf numFmtId="0" fontId="5" fillId="4" borderId="71" xfId="0" applyFont="1" applyFill="1" applyBorder="1" applyAlignment="1">
      <alignment horizontal="center" vertical="center" wrapText="1"/>
    </xf>
    <xf numFmtId="0" fontId="5" fillId="4" borderId="71" xfId="0" applyFont="1" applyFill="1" applyBorder="1" applyAlignment="1">
      <alignment horizontal="center" vertical="center"/>
    </xf>
    <xf numFmtId="0" fontId="5" fillId="0" borderId="71" xfId="0" applyFont="1" applyBorder="1" applyAlignment="1">
      <alignment horizontal="center" vertical="center"/>
    </xf>
    <xf numFmtId="0" fontId="5" fillId="0" borderId="71" xfId="0" applyFont="1" applyBorder="1" applyAlignment="1">
      <alignment horizontal="center" vertical="center" wrapText="1"/>
    </xf>
    <xf numFmtId="178" fontId="5" fillId="0" borderId="71" xfId="2385" applyFont="1" applyBorder="1" applyAlignment="1">
      <alignment horizontal="center" vertical="center"/>
    </xf>
    <xf numFmtId="178" fontId="8" fillId="0" borderId="71" xfId="0" applyNumberFormat="1" applyFont="1" applyBorder="1" applyAlignment="1">
      <alignment horizontal="center" vertical="center"/>
    </xf>
    <xf numFmtId="49" fontId="5" fillId="0" borderId="71" xfId="0" applyNumberFormat="1" applyFont="1" applyBorder="1" applyAlignment="1">
      <alignment horizontal="center" vertical="center"/>
    </xf>
    <xf numFmtId="14" fontId="5" fillId="0" borderId="71" xfId="0" applyNumberFormat="1" applyFont="1" applyBorder="1" applyAlignment="1">
      <alignment horizontal="center" vertical="center"/>
    </xf>
    <xf numFmtId="178" fontId="5" fillId="0" borderId="71" xfId="0" applyNumberFormat="1" applyFont="1" applyBorder="1" applyAlignment="1">
      <alignment horizontal="center" vertical="center"/>
    </xf>
    <xf numFmtId="10" fontId="5" fillId="0" borderId="71" xfId="0" applyNumberFormat="1" applyFont="1" applyBorder="1" applyAlignment="1">
      <alignment horizontal="center" vertical="center"/>
    </xf>
    <xf numFmtId="49" fontId="11" fillId="0" borderId="71" xfId="2375" applyNumberFormat="1" applyFont="1" applyBorder="1" applyAlignment="1">
      <alignment horizontal="left" vertical="center" shrinkToFit="1"/>
    </xf>
    <xf numFmtId="14" fontId="11" fillId="0" borderId="71" xfId="2388" applyNumberFormat="1" applyFont="1" applyBorder="1" applyAlignment="1" applyProtection="1">
      <alignment horizontal="left" vertical="center" shrinkToFit="1"/>
    </xf>
    <xf numFmtId="0" fontId="11" fillId="0" borderId="71" xfId="0" applyFont="1" applyBorder="1" applyAlignment="1">
      <alignment horizontal="left" vertical="center" shrinkToFit="1"/>
    </xf>
    <xf numFmtId="178" fontId="11" fillId="0" borderId="71" xfId="0" applyNumberFormat="1" applyFont="1" applyBorder="1" applyAlignment="1" applyProtection="1">
      <alignment horizontal="right" vertical="center" shrinkToFit="1"/>
      <protection locked="0"/>
    </xf>
    <xf numFmtId="178" fontId="5" fillId="0" borderId="71" xfId="2385" applyFont="1" applyFill="1" applyBorder="1" applyAlignment="1">
      <alignment horizontal="right" vertical="center" shrinkToFit="1"/>
    </xf>
    <xf numFmtId="178" fontId="5" fillId="0" borderId="71" xfId="2385" applyFont="1" applyFill="1" applyBorder="1" applyAlignment="1" applyProtection="1">
      <alignment horizontal="right" vertical="center" shrinkToFit="1"/>
    </xf>
    <xf numFmtId="49" fontId="5" fillId="0" borderId="67" xfId="2423" applyNumberFormat="1" applyFont="1" applyBorder="1" applyAlignment="1">
      <alignment horizontal="left" vertical="center" shrinkToFit="1"/>
    </xf>
    <xf numFmtId="49" fontId="5" fillId="0" borderId="66" xfId="0" applyNumberFormat="1" applyFont="1" applyBorder="1" applyAlignment="1">
      <alignment horizontal="center" vertical="center"/>
    </xf>
    <xf numFmtId="178" fontId="5" fillId="0" borderId="71" xfId="2385" applyFont="1" applyFill="1" applyBorder="1" applyAlignment="1">
      <alignment horizontal="center" vertical="center"/>
    </xf>
    <xf numFmtId="14" fontId="5" fillId="0" borderId="71" xfId="0" applyNumberFormat="1" applyFont="1" applyBorder="1" applyAlignment="1">
      <alignment horizontal="left" vertical="center"/>
    </xf>
    <xf numFmtId="0" fontId="5" fillId="0" borderId="68" xfId="0" applyFont="1" applyBorder="1" applyAlignment="1">
      <alignment horizontal="center" vertical="center"/>
    </xf>
    <xf numFmtId="0" fontId="5" fillId="0" borderId="73" xfId="0" applyFont="1" applyBorder="1" applyAlignment="1">
      <alignment horizontal="center" vertical="center"/>
    </xf>
    <xf numFmtId="0" fontId="5" fillId="0" borderId="73" xfId="0" applyFont="1" applyBorder="1" applyAlignment="1">
      <alignment horizontal="left" vertical="center"/>
    </xf>
    <xf numFmtId="178" fontId="5" fillId="0" borderId="73" xfId="2385" applyFont="1" applyFill="1" applyBorder="1" applyAlignment="1">
      <alignment horizontal="center" vertical="center"/>
    </xf>
    <xf numFmtId="0" fontId="8" fillId="0" borderId="73" xfId="0" applyFont="1" applyBorder="1" applyAlignment="1">
      <alignment horizontal="center" vertical="center"/>
    </xf>
    <xf numFmtId="178" fontId="5" fillId="0" borderId="73" xfId="0" applyNumberFormat="1" applyFont="1" applyBorder="1" applyAlignment="1">
      <alignment horizontal="center" vertical="center"/>
    </xf>
    <xf numFmtId="178" fontId="8" fillId="0" borderId="73" xfId="0" applyNumberFormat="1" applyFont="1" applyBorder="1" applyAlignment="1">
      <alignment horizontal="center" vertical="center"/>
    </xf>
    <xf numFmtId="10" fontId="5" fillId="0" borderId="73" xfId="0" applyNumberFormat="1" applyFont="1" applyBorder="1" applyAlignment="1">
      <alignment horizontal="center" vertical="center"/>
    </xf>
    <xf numFmtId="49" fontId="11" fillId="0" borderId="73" xfId="2375" applyNumberFormat="1" applyFont="1" applyBorder="1" applyAlignment="1">
      <alignment horizontal="left" vertical="center" shrinkToFit="1"/>
    </xf>
    <xf numFmtId="14" fontId="11" fillId="0" borderId="73" xfId="2388" applyNumberFormat="1" applyFont="1" applyBorder="1" applyAlignment="1" applyProtection="1">
      <alignment horizontal="left" vertical="center" shrinkToFit="1"/>
    </xf>
    <xf numFmtId="178" fontId="11" fillId="0" borderId="73" xfId="0" applyNumberFormat="1" applyFont="1" applyBorder="1" applyAlignment="1" applyProtection="1">
      <alignment horizontal="right" vertical="center" shrinkToFit="1"/>
      <protection locked="0"/>
    </xf>
    <xf numFmtId="178" fontId="5" fillId="0" borderId="73" xfId="2385" applyFont="1" applyFill="1" applyBorder="1" applyAlignment="1">
      <alignment horizontal="right" vertical="center" shrinkToFit="1"/>
    </xf>
    <xf numFmtId="178" fontId="5" fillId="0" borderId="73" xfId="2385" applyFont="1" applyFill="1" applyBorder="1" applyAlignment="1" applyProtection="1">
      <alignment horizontal="right" vertical="center" shrinkToFit="1"/>
    </xf>
    <xf numFmtId="49" fontId="5" fillId="0" borderId="69" xfId="2423" applyNumberFormat="1" applyFont="1" applyBorder="1" applyAlignment="1">
      <alignment horizontal="left" vertical="center" shrinkToFit="1"/>
    </xf>
    <xf numFmtId="178" fontId="5" fillId="0" borderId="77" xfId="2384" applyFont="1" applyFill="1" applyBorder="1" applyAlignment="1">
      <alignment horizontal="right" vertical="center" shrinkToFit="1"/>
    </xf>
    <xf numFmtId="178" fontId="5" fillId="0" borderId="77" xfId="0" applyNumberFormat="1" applyFont="1" applyBorder="1" applyAlignment="1">
      <alignment horizontal="right" vertical="center" shrinkToFit="1"/>
    </xf>
    <xf numFmtId="10" fontId="5" fillId="0" borderId="77" xfId="0" applyNumberFormat="1" applyFont="1" applyBorder="1" applyAlignment="1">
      <alignment horizontal="center" vertical="center"/>
    </xf>
    <xf numFmtId="0" fontId="125" fillId="49" borderId="66" xfId="818" applyFont="1" applyFill="1" applyBorder="1" applyAlignment="1" applyProtection="1">
      <alignment horizontal="left" vertical="center"/>
      <protection locked="0"/>
    </xf>
    <xf numFmtId="0" fontId="124" fillId="0" borderId="66" xfId="2375" applyFont="1" applyBorder="1" applyAlignment="1">
      <alignment horizontal="left" vertical="center"/>
    </xf>
    <xf numFmtId="0" fontId="129" fillId="0" borderId="71" xfId="2375" applyFont="1" applyBorder="1" applyAlignment="1" applyProtection="1">
      <alignment horizontal="left" vertical="center"/>
      <protection locked="0"/>
    </xf>
    <xf numFmtId="0" fontId="129" fillId="0" borderId="71" xfId="2375" applyFont="1" applyBorder="1" applyAlignment="1" applyProtection="1">
      <alignment horizontal="left" vertical="center" wrapText="1"/>
      <protection locked="0"/>
    </xf>
    <xf numFmtId="0" fontId="124" fillId="0" borderId="71" xfId="818" applyFont="1" applyBorder="1" applyAlignment="1" applyProtection="1">
      <alignment horizontal="centerContinuous" vertical="center" wrapText="1"/>
      <protection locked="0"/>
    </xf>
    <xf numFmtId="0" fontId="121" fillId="0" borderId="67" xfId="2375" applyFont="1" applyBorder="1" applyAlignment="1" applyProtection="1">
      <alignment vertical="center" wrapText="1"/>
      <protection locked="0"/>
    </xf>
    <xf numFmtId="0" fontId="124" fillId="0" borderId="72" xfId="2375" applyFont="1" applyBorder="1" applyAlignment="1">
      <alignment horizontal="left" vertical="center"/>
    </xf>
    <xf numFmtId="0" fontId="124" fillId="0" borderId="78" xfId="2375" applyFont="1" applyBorder="1" applyAlignment="1">
      <alignment vertical="center"/>
    </xf>
    <xf numFmtId="0" fontId="124" fillId="0" borderId="76" xfId="2375" applyFont="1" applyBorder="1" applyAlignment="1">
      <alignment vertical="center"/>
    </xf>
    <xf numFmtId="49" fontId="11" fillId="0" borderId="66" xfId="2381" applyNumberFormat="1" applyFont="1" applyBorder="1" applyAlignment="1">
      <alignment horizontal="left" vertical="center" shrinkToFit="1"/>
    </xf>
    <xf numFmtId="14" fontId="11" fillId="0" borderId="71" xfId="2375" applyNumberFormat="1" applyFont="1" applyBorder="1" applyAlignment="1">
      <alignment horizontal="left" vertical="center" shrinkToFit="1"/>
    </xf>
    <xf numFmtId="178" fontId="11" fillId="0" borderId="67" xfId="2375" applyNumberFormat="1" applyFont="1" applyBorder="1" applyAlignment="1">
      <alignment horizontal="right" vertical="center" shrinkToFit="1"/>
    </xf>
    <xf numFmtId="49" fontId="11" fillId="0" borderId="79" xfId="2375" applyNumberFormat="1" applyFont="1" applyBorder="1" applyAlignment="1">
      <alignment horizontal="left" vertical="center" shrinkToFit="1"/>
    </xf>
    <xf numFmtId="49" fontId="5" fillId="0" borderId="71" xfId="2376" applyNumberFormat="1" applyFont="1" applyBorder="1" applyAlignment="1">
      <alignment horizontal="left" vertical="center" shrinkToFit="1"/>
    </xf>
    <xf numFmtId="49" fontId="5" fillId="0" borderId="80" xfId="2376" applyNumberFormat="1" applyFont="1" applyBorder="1" applyAlignment="1">
      <alignment horizontal="left" vertical="center" shrinkToFit="1"/>
    </xf>
    <xf numFmtId="49" fontId="11" fillId="2" borderId="68" xfId="2381" applyNumberFormat="1" applyFont="1" applyFill="1" applyBorder="1" applyAlignment="1">
      <alignment horizontal="left" vertical="center" shrinkToFit="1"/>
    </xf>
    <xf numFmtId="14" fontId="11" fillId="0" borderId="73" xfId="2375" applyNumberFormat="1" applyFont="1" applyBorder="1" applyAlignment="1">
      <alignment horizontal="left" vertical="center" shrinkToFit="1"/>
    </xf>
    <xf numFmtId="178" fontId="11" fillId="0" borderId="74" xfId="2375" applyNumberFormat="1" applyFont="1" applyBorder="1" applyAlignment="1">
      <alignment horizontal="right" vertical="center" shrinkToFit="1"/>
    </xf>
    <xf numFmtId="178" fontId="11" fillId="0" borderId="69" xfId="2375" applyNumberFormat="1" applyFont="1" applyBorder="1" applyAlignment="1">
      <alignment horizontal="right" vertical="center" shrinkToFit="1"/>
    </xf>
    <xf numFmtId="49" fontId="11" fillId="0" borderId="81" xfId="2375" applyNumberFormat="1" applyFont="1" applyBorder="1" applyAlignment="1">
      <alignment horizontal="left" vertical="center" shrinkToFit="1"/>
    </xf>
    <xf numFmtId="49" fontId="5" fillId="0" borderId="82" xfId="2376" applyNumberFormat="1" applyFont="1" applyBorder="1" applyAlignment="1">
      <alignment horizontal="left" vertical="center" shrinkToFit="1"/>
    </xf>
    <xf numFmtId="49" fontId="5" fillId="0" borderId="83" xfId="2376" applyNumberFormat="1" applyFont="1" applyBorder="1" applyAlignment="1">
      <alignment horizontal="left" vertical="center" shrinkToFit="1"/>
    </xf>
  </cellXfs>
  <cellStyles count="2439">
    <cellStyle name="_x000a_mouse.drv=lm" xfId="35" xr:uid="{00000000-0005-0000-0000-00002D000000}"/>
    <cellStyle name="0%" xfId="59" xr:uid="{00000000-0005-0000-0000-00004F000000}"/>
    <cellStyle name="0.0%" xfId="116" xr:uid="{00000000-0005-0000-0000-000099000000}"/>
    <cellStyle name="0.00%" xfId="164" xr:uid="{00000000-0005-0000-0000-0000D5000000}"/>
    <cellStyle name="00" xfId="167" xr:uid="{00000000-0005-0000-0000-0000D8000000}"/>
    <cellStyle name="00 2" xfId="170" xr:uid="{00000000-0005-0000-0000-0000DB000000}"/>
    <cellStyle name="20% - Accent1 2" xfId="132" xr:uid="{00000000-0005-0000-0000-0000AD000000}"/>
    <cellStyle name="20% - Accent1 2 2" xfId="2421" xr:uid="{C2A3CC79-71A1-4D63-8292-9D00348939CB}"/>
    <cellStyle name="20% - Accent6 2" xfId="106" xr:uid="{00000000-0005-0000-0000-00008D000000}"/>
    <cellStyle name="Accent1 - 20%" xfId="163" xr:uid="{00000000-0005-0000-0000-0000D4000000}"/>
    <cellStyle name="Accent1 - 40%" xfId="177" xr:uid="{00000000-0005-0000-0000-0000E2000000}"/>
    <cellStyle name="Accent1 - 60%" xfId="182" xr:uid="{00000000-0005-0000-0000-0000E7000000}"/>
    <cellStyle name="Accent1 2" xfId="65" xr:uid="{00000000-0005-0000-0000-000057000000}"/>
    <cellStyle name="Accent2 - 20%" xfId="184" xr:uid="{00000000-0005-0000-0000-0000E9000000}"/>
    <cellStyle name="Accent2 - 40%" xfId="9" xr:uid="{00000000-0005-0000-0000-00000F000000}"/>
    <cellStyle name="Accent2 - 60%" xfId="23" xr:uid="{00000000-0005-0000-0000-000021000000}"/>
    <cellStyle name="Accent2 2" xfId="169" xr:uid="{00000000-0005-0000-0000-0000DA000000}"/>
    <cellStyle name="Accent2 2 2" xfId="187" xr:uid="{00000000-0005-0000-0000-0000EC000000}"/>
    <cellStyle name="Accent3 - 20%" xfId="197" xr:uid="{00000000-0005-0000-0000-0000F7000000}"/>
    <cellStyle name="Accent3 - 40%" xfId="200" xr:uid="{00000000-0005-0000-0000-0000FA000000}"/>
    <cellStyle name="Accent3 - 60%" xfId="201" xr:uid="{00000000-0005-0000-0000-0000FB000000}"/>
    <cellStyle name="Accent3 2" xfId="206" xr:uid="{00000000-0005-0000-0000-000000010000}"/>
    <cellStyle name="Accent4 - 20%" xfId="215" xr:uid="{00000000-0005-0000-0000-000009010000}"/>
    <cellStyle name="Accent4 - 40%" xfId="221" xr:uid="{00000000-0005-0000-0000-00000F010000}"/>
    <cellStyle name="Accent4 - 60%" xfId="225" xr:uid="{00000000-0005-0000-0000-000013010000}"/>
    <cellStyle name="Accent4 2" xfId="231" xr:uid="{00000000-0005-0000-0000-000019010000}"/>
    <cellStyle name="Accent5 - 20%" xfId="236" xr:uid="{00000000-0005-0000-0000-00001F010000}"/>
    <cellStyle name="Accent5 - 40%" xfId="243" xr:uid="{00000000-0005-0000-0000-000026010000}"/>
    <cellStyle name="Accent5 - 60%" xfId="248" xr:uid="{00000000-0005-0000-0000-00002B010000}"/>
    <cellStyle name="Accent5 2" xfId="198" xr:uid="{00000000-0005-0000-0000-0000F8000000}"/>
    <cellStyle name="Accent6 - 20%" xfId="254" xr:uid="{00000000-0005-0000-0000-000032010000}"/>
    <cellStyle name="Accent6 - 40%" xfId="256" xr:uid="{00000000-0005-0000-0000-000034010000}"/>
    <cellStyle name="Accent6 - 60%" xfId="257" xr:uid="{00000000-0005-0000-0000-000035010000}"/>
    <cellStyle name="Accent6 2" xfId="63" xr:uid="{00000000-0005-0000-0000-000054000000}"/>
    <cellStyle name="Bad 2" xfId="265" xr:uid="{00000000-0005-0000-0000-00003E010000}"/>
    <cellStyle name="Bad 3" xfId="269" xr:uid="{00000000-0005-0000-0000-000042010000}"/>
    <cellStyle name="Calc Currency (0)" xfId="271" xr:uid="{00000000-0005-0000-0000-000044010000}"/>
    <cellStyle name="Calc Currency (2)" xfId="272" xr:uid="{00000000-0005-0000-0000-000045010000}"/>
    <cellStyle name="Calc Percent (0)" xfId="276" xr:uid="{00000000-0005-0000-0000-000049010000}"/>
    <cellStyle name="Calc Percent (1)" xfId="11" xr:uid="{00000000-0005-0000-0000-000011000000}"/>
    <cellStyle name="Calc Percent (2)" xfId="278" xr:uid="{00000000-0005-0000-0000-00004B010000}"/>
    <cellStyle name="Calc Units (0)" xfId="50" xr:uid="{00000000-0005-0000-0000-000042000000}"/>
    <cellStyle name="Calc Units (1)" xfId="280" xr:uid="{00000000-0005-0000-0000-00004D010000}"/>
    <cellStyle name="Calc Units (2)" xfId="284" xr:uid="{00000000-0005-0000-0000-000051010000}"/>
    <cellStyle name="category" xfId="290" xr:uid="{00000000-0005-0000-0000-000057010000}"/>
    <cellStyle name="cellStyleNum" xfId="134" xr:uid="{00000000-0005-0000-0000-0000AF000000}"/>
    <cellStyle name="cellStyleNum 2" xfId="240" xr:uid="{00000000-0005-0000-0000-000023010000}"/>
    <cellStyle name="cellStyleNum 2 2" xfId="294" xr:uid="{00000000-0005-0000-0000-00005B010000}"/>
    <cellStyle name="cellStyleNum 2 2 2" xfId="297" xr:uid="{00000000-0005-0000-0000-00005E010000}"/>
    <cellStyle name="cellStyleNum 2 2 2 2" xfId="300" xr:uid="{00000000-0005-0000-0000-000061010000}"/>
    <cellStyle name="cellStyleNum 2 2 2 3" xfId="301" xr:uid="{00000000-0005-0000-0000-000062010000}"/>
    <cellStyle name="cellStyleNum 2 2 2 4" xfId="302" xr:uid="{00000000-0005-0000-0000-000063010000}"/>
    <cellStyle name="cellStyleNum 2 2 2 5" xfId="303" xr:uid="{00000000-0005-0000-0000-000064010000}"/>
    <cellStyle name="cellStyleNum 2 2 2 6" xfId="305" xr:uid="{00000000-0005-0000-0000-000066010000}"/>
    <cellStyle name="cellStyleNum 2 2 2 7" xfId="310" xr:uid="{00000000-0005-0000-0000-00006B010000}"/>
    <cellStyle name="cellStyleNum 2 2 3" xfId="316" xr:uid="{00000000-0005-0000-0000-000071010000}"/>
    <cellStyle name="cellStyleNum 2 2 4" xfId="263" xr:uid="{00000000-0005-0000-0000-00003C010000}"/>
    <cellStyle name="cellStyleNum 2 2 5" xfId="267" xr:uid="{00000000-0005-0000-0000-000040010000}"/>
    <cellStyle name="cellStyleNum 2 2 6" xfId="322" xr:uid="{00000000-0005-0000-0000-000077010000}"/>
    <cellStyle name="cellStyleNum 2 2 7" xfId="329" xr:uid="{00000000-0005-0000-0000-00007E010000}"/>
    <cellStyle name="cellStyleNum 2 2 8" xfId="335" xr:uid="{00000000-0005-0000-0000-000084010000}"/>
    <cellStyle name="cellStyleNum 2 3" xfId="340" xr:uid="{00000000-0005-0000-0000-000089010000}"/>
    <cellStyle name="cellStyleNum 2 3 2" xfId="341" xr:uid="{00000000-0005-0000-0000-00008A010000}"/>
    <cellStyle name="cellStyleNum 2 3 3" xfId="343" xr:uid="{00000000-0005-0000-0000-00008C010000}"/>
    <cellStyle name="cellStyleNum 2 3 4" xfId="345" xr:uid="{00000000-0005-0000-0000-00008E010000}"/>
    <cellStyle name="cellStyleNum 2 3 5" xfId="238" xr:uid="{00000000-0005-0000-0000-000021010000}"/>
    <cellStyle name="cellStyleNum 2 3 6" xfId="351" xr:uid="{00000000-0005-0000-0000-000094010000}"/>
    <cellStyle name="cellStyleNum 2 3 7" xfId="359" xr:uid="{00000000-0005-0000-0000-00009C010000}"/>
    <cellStyle name="cellStyleNum 2 4" xfId="362" xr:uid="{00000000-0005-0000-0000-00009F010000}"/>
    <cellStyle name="cellStyleNum 2 5" xfId="366" xr:uid="{00000000-0005-0000-0000-0000A3010000}"/>
    <cellStyle name="cellStyleNum 2 6" xfId="369" xr:uid="{00000000-0005-0000-0000-0000A6010000}"/>
    <cellStyle name="cellStyleNum 2 7" xfId="372" xr:uid="{00000000-0005-0000-0000-0000A9010000}"/>
    <cellStyle name="cellStyleNum 2 8" xfId="180" xr:uid="{00000000-0005-0000-0000-0000E5000000}"/>
    <cellStyle name="cellStyleNum 2 9" xfId="375" xr:uid="{00000000-0005-0000-0000-0000AC010000}"/>
    <cellStyle name="cellStyleNum 3" xfId="353" xr:uid="{00000000-0005-0000-0000-000096010000}"/>
    <cellStyle name="cellStyleNum 3 2" xfId="376" xr:uid="{00000000-0005-0000-0000-0000AD010000}"/>
    <cellStyle name="cellStyleNum 3 3" xfId="388" xr:uid="{00000000-0005-0000-0000-0000B9010000}"/>
    <cellStyle name="cellStyleNum 3 4" xfId="395" xr:uid="{00000000-0005-0000-0000-0000C0010000}"/>
    <cellStyle name="cellStyleNum 3 5" xfId="402" xr:uid="{00000000-0005-0000-0000-0000C7010000}"/>
    <cellStyle name="cellStyleNum 3 6" xfId="409" xr:uid="{00000000-0005-0000-0000-0000CE010000}"/>
    <cellStyle name="cellStyleNum 3 7" xfId="414" xr:uid="{00000000-0005-0000-0000-0000D3010000}"/>
    <cellStyle name="cellStyleNum 4" xfId="355" xr:uid="{00000000-0005-0000-0000-000098010000}"/>
    <cellStyle name="cellStyleNum 5" xfId="417" xr:uid="{00000000-0005-0000-0000-0000D6010000}"/>
    <cellStyle name="cellStyleNum 6" xfId="420" xr:uid="{00000000-0005-0000-0000-0000D9010000}"/>
    <cellStyle name="cellStyleNum 7" xfId="422" xr:uid="{00000000-0005-0000-0000-0000DB010000}"/>
    <cellStyle name="cellStyleNum 8" xfId="426" xr:uid="{00000000-0005-0000-0000-0000DF010000}"/>
    <cellStyle name="cellStyleNum 9" xfId="61" xr:uid="{00000000-0005-0000-0000-000051000000}"/>
    <cellStyle name="cellStylePer" xfId="429" xr:uid="{00000000-0005-0000-0000-0000E2010000}"/>
    <cellStyle name="cellStylePer 2" xfId="430" xr:uid="{00000000-0005-0000-0000-0000E3010000}"/>
    <cellStyle name="cellStylePer 2 2" xfId="30" xr:uid="{00000000-0005-0000-0000-000028000000}"/>
    <cellStyle name="cellStylePer 2 2 2" xfId="418" xr:uid="{00000000-0005-0000-0000-0000D7010000}"/>
    <cellStyle name="cellStylePer 2 2 3" xfId="421" xr:uid="{00000000-0005-0000-0000-0000DA010000}"/>
    <cellStyle name="cellStylePer 2 2 4" xfId="423" xr:uid="{00000000-0005-0000-0000-0000DC010000}"/>
    <cellStyle name="cellStylePer 2 2 5" xfId="427" xr:uid="{00000000-0005-0000-0000-0000E0010000}"/>
    <cellStyle name="cellStylePer 2 2 6" xfId="62" xr:uid="{00000000-0005-0000-0000-000052000000}"/>
    <cellStyle name="cellStylePer 2 2 7" xfId="45" xr:uid="{00000000-0005-0000-0000-00003B000000}"/>
    <cellStyle name="cellStylePer 2 3" xfId="432" xr:uid="{00000000-0005-0000-0000-0000E5010000}"/>
    <cellStyle name="cellStylePer 2 4" xfId="107" xr:uid="{00000000-0005-0000-0000-00008E000000}"/>
    <cellStyle name="cellStylePer 2 5" xfId="439" xr:uid="{00000000-0005-0000-0000-0000EC010000}"/>
    <cellStyle name="cellStylePer 2 6" xfId="440" xr:uid="{00000000-0005-0000-0000-0000ED010000}"/>
    <cellStyle name="cellStylePer 2 7" xfId="441" xr:uid="{00000000-0005-0000-0000-0000EE010000}"/>
    <cellStyle name="cellStylePer 2 8" xfId="444" xr:uid="{00000000-0005-0000-0000-0000F1010000}"/>
    <cellStyle name="cellStylePer 3" xfId="449" xr:uid="{00000000-0005-0000-0000-0000F6010000}"/>
    <cellStyle name="cellStylePer 3 2" xfId="450" xr:uid="{00000000-0005-0000-0000-0000F7010000}"/>
    <cellStyle name="cellStylePer 3 3" xfId="455" xr:uid="{00000000-0005-0000-0000-0000FC010000}"/>
    <cellStyle name="cellStylePer 3 4" xfId="458" xr:uid="{00000000-0005-0000-0000-0000FF010000}"/>
    <cellStyle name="cellStylePer 3 5" xfId="459" xr:uid="{00000000-0005-0000-0000-000000020000}"/>
    <cellStyle name="cellStylePer 3 6" xfId="463" xr:uid="{00000000-0005-0000-0000-000004020000}"/>
    <cellStyle name="cellStylePer 3 7" xfId="465" xr:uid="{00000000-0005-0000-0000-000006020000}"/>
    <cellStyle name="cellStylePer 4" xfId="470" xr:uid="{00000000-0005-0000-0000-00000B020000}"/>
    <cellStyle name="cellStylePer 5" xfId="471" xr:uid="{00000000-0005-0000-0000-00000C020000}"/>
    <cellStyle name="cellStylePer 6" xfId="472" xr:uid="{00000000-0005-0000-0000-00000D020000}"/>
    <cellStyle name="cellStylePer 7" xfId="473" xr:uid="{00000000-0005-0000-0000-00000E020000}"/>
    <cellStyle name="cellStylePer 8" xfId="3" xr:uid="{00000000-0005-0000-0000-000003000000}"/>
    <cellStyle name="cellStylePer 9" xfId="190" xr:uid="{00000000-0005-0000-0000-0000EF000000}"/>
    <cellStyle name="Check Cell 2" xfId="476" xr:uid="{00000000-0005-0000-0000-000011020000}"/>
    <cellStyle name="Check Cell 2 2" xfId="230" xr:uid="{00000000-0005-0000-0000-000018010000}"/>
    <cellStyle name="Check Cell 2 3" xfId="477" xr:uid="{00000000-0005-0000-0000-000012020000}"/>
    <cellStyle name="Col Heads" xfId="480" xr:uid="{00000000-0005-0000-0000-000015020000}"/>
    <cellStyle name="Comma" xfId="2437" builtinId="3"/>
    <cellStyle name="Comma  - Style1" xfId="483" xr:uid="{00000000-0005-0000-0000-000018020000}"/>
    <cellStyle name="Comma  - Style2" xfId="196" xr:uid="{00000000-0005-0000-0000-0000F6000000}"/>
    <cellStyle name="Comma  - Style3" xfId="287" xr:uid="{00000000-0005-0000-0000-000054010000}"/>
    <cellStyle name="Comma  - Style4" xfId="490" xr:uid="{00000000-0005-0000-0000-00001F020000}"/>
    <cellStyle name="Comma  - Style5" xfId="496" xr:uid="{00000000-0005-0000-0000-000025020000}"/>
    <cellStyle name="Comma  - Style6" xfId="502" xr:uid="{00000000-0005-0000-0000-00002B020000}"/>
    <cellStyle name="Comma  - Style7" xfId="510" xr:uid="{00000000-0005-0000-0000-000033020000}"/>
    <cellStyle name="Comma  - Style8" xfId="512" xr:uid="{00000000-0005-0000-0000-000035020000}"/>
    <cellStyle name="Comma [0] 2" xfId="515" xr:uid="{00000000-0005-0000-0000-000038020000}"/>
    <cellStyle name="Comma [0] 2 2" xfId="518" xr:uid="{00000000-0005-0000-0000-00003B020000}"/>
    <cellStyle name="Comma [0] 2 2 2" xfId="520" xr:uid="{00000000-0005-0000-0000-00003D020000}"/>
    <cellStyle name="Comma [0] 2 2 2 2" xfId="523" xr:uid="{00000000-0005-0000-0000-000040020000}"/>
    <cellStyle name="Comma [0] 2 2 2 2 2" xfId="174" xr:uid="{00000000-0005-0000-0000-0000DF000000}"/>
    <cellStyle name="Comma [0] 2 2 2 2 2 2" xfId="68" xr:uid="{00000000-0005-0000-0000-00005A000000}"/>
    <cellStyle name="Comma [0] 2 2 2 2 2 3" xfId="525" xr:uid="{00000000-0005-0000-0000-000042020000}"/>
    <cellStyle name="Comma [0] 2 2 2 2 3" xfId="168" xr:uid="{00000000-0005-0000-0000-0000D9000000}"/>
    <cellStyle name="Comma [0] 2 2 2 2 4" xfId="195" xr:uid="{00000000-0005-0000-0000-0000F5000000}"/>
    <cellStyle name="Comma [0] 2 2 2 2 5" xfId="210" xr:uid="{00000000-0005-0000-0000-000004010000}"/>
    <cellStyle name="Comma [0] 2 2 2 3" xfId="536" xr:uid="{00000000-0005-0000-0000-00004D020000}"/>
    <cellStyle name="Comma [0] 2 2 2 3 2" xfId="327" xr:uid="{00000000-0005-0000-0000-00007C010000}"/>
    <cellStyle name="Comma [0] 2 2 2 4" xfId="538" xr:uid="{00000000-0005-0000-0000-00004F020000}"/>
    <cellStyle name="Comma [0] 2 2 2 5" xfId="252" xr:uid="{00000000-0005-0000-0000-000030010000}"/>
    <cellStyle name="Comma [0] 2 2 3" xfId="540" xr:uid="{00000000-0005-0000-0000-000051020000}"/>
    <cellStyle name="Comma [0] 2 2 3 2" xfId="543" xr:uid="{00000000-0005-0000-0000-000054020000}"/>
    <cellStyle name="Comma [0] 2 2 3 2 2" xfId="374" xr:uid="{00000000-0005-0000-0000-0000AB010000}"/>
    <cellStyle name="Comma [0] 2 2 3 3" xfId="546" xr:uid="{00000000-0005-0000-0000-000057020000}"/>
    <cellStyle name="Comma [0] 2 2 4" xfId="548" xr:uid="{00000000-0005-0000-0000-000059020000}"/>
    <cellStyle name="Comma [0] 2 2 4 2" xfId="549" xr:uid="{00000000-0005-0000-0000-00005A020000}"/>
    <cellStyle name="Comma [0] 2 2 4 2 2" xfId="550" xr:uid="{00000000-0005-0000-0000-00005B020000}"/>
    <cellStyle name="Comma [0] 2 2 4 3" xfId="249" xr:uid="{00000000-0005-0000-0000-00002C010000}"/>
    <cellStyle name="Comma [0] 2 2 5" xfId="551" xr:uid="{00000000-0005-0000-0000-00005C020000}"/>
    <cellStyle name="Comma [0] 2 2 5 2" xfId="552" xr:uid="{00000000-0005-0000-0000-00005D020000}"/>
    <cellStyle name="Comma [0] 2 2 6" xfId="553" xr:uid="{00000000-0005-0000-0000-00005E020000}"/>
    <cellStyle name="Comma [0] 2 3" xfId="554" xr:uid="{00000000-0005-0000-0000-00005F020000}"/>
    <cellStyle name="Comma [0] 2 3 2" xfId="557" xr:uid="{00000000-0005-0000-0000-000062020000}"/>
    <cellStyle name="Comma [0] 2 3 2 2" xfId="105" xr:uid="{00000000-0005-0000-0000-00008B000000}"/>
    <cellStyle name="Comma [0] 2 3 2 2 2" xfId="562" xr:uid="{00000000-0005-0000-0000-000067020000}"/>
    <cellStyle name="Comma [0] 2 3 2 3" xfId="87" xr:uid="{00000000-0005-0000-0000-000073000000}"/>
    <cellStyle name="Comma [0] 2 3 3" xfId="564" xr:uid="{00000000-0005-0000-0000-000069020000}"/>
    <cellStyle name="Comma [0] 2 3 3 2" xfId="448" xr:uid="{00000000-0005-0000-0000-0000F5010000}"/>
    <cellStyle name="Comma [0] 2 3 3 2 2" xfId="454" xr:uid="{00000000-0005-0000-0000-0000FB010000}"/>
    <cellStyle name="Comma [0] 2 3 3 3" xfId="469" xr:uid="{00000000-0005-0000-0000-00000A020000}"/>
    <cellStyle name="Comma [0] 2 3 4" xfId="567" xr:uid="{00000000-0005-0000-0000-00006C020000}"/>
    <cellStyle name="Comma [0] 2 3 4 2" xfId="569" xr:uid="{00000000-0005-0000-0000-00006E020000}"/>
    <cellStyle name="Comma [0] 2 3 5" xfId="572" xr:uid="{00000000-0005-0000-0000-000071020000}"/>
    <cellStyle name="Comma [0] 2 4" xfId="573" xr:uid="{00000000-0005-0000-0000-000072020000}"/>
    <cellStyle name="Comma [0] 2 4 2" xfId="122" xr:uid="{00000000-0005-0000-0000-0000A0000000}"/>
    <cellStyle name="Comma [0] 2 4 2 2" xfId="319" xr:uid="{00000000-0005-0000-0000-000074010000}"/>
    <cellStyle name="Comma [0] 2 4 2 2 2" xfId="575" xr:uid="{00000000-0005-0000-0000-000074020000}"/>
    <cellStyle name="Comma [0] 2 4 3" xfId="12" xr:uid="{00000000-0005-0000-0000-000012000000}"/>
    <cellStyle name="Comma [0] 2 4 3 2" xfId="349" xr:uid="{00000000-0005-0000-0000-000092010000}"/>
    <cellStyle name="Comma [0] 2 4 4" xfId="139" xr:uid="{00000000-0005-0000-0000-0000B5000000}"/>
    <cellStyle name="Comma [0] 2 4 5" xfId="2425" xr:uid="{EE103CDC-1675-444E-874A-E0F52FE50658}"/>
    <cellStyle name="Comma [0] 2 5" xfId="578" xr:uid="{00000000-0005-0000-0000-000077020000}"/>
    <cellStyle name="Comma [0] 2 5 2" xfId="212" xr:uid="{00000000-0005-0000-0000-000006010000}"/>
    <cellStyle name="Comma [0] 2 5 2 2" xfId="579" xr:uid="{00000000-0005-0000-0000-000078020000}"/>
    <cellStyle name="Comma [0] 2 5 3" xfId="580" xr:uid="{00000000-0005-0000-0000-000079020000}"/>
    <cellStyle name="Comma [0] 2 6" xfId="585" xr:uid="{00000000-0005-0000-0000-00007E020000}"/>
    <cellStyle name="Comma [0] 2 6 2" xfId="586" xr:uid="{00000000-0005-0000-0000-00007F020000}"/>
    <cellStyle name="Comma [0] 2 6 2 2" xfId="588" xr:uid="{00000000-0005-0000-0000-000081020000}"/>
    <cellStyle name="Comma [0] 2 7" xfId="593" xr:uid="{00000000-0005-0000-0000-000086020000}"/>
    <cellStyle name="Comma [0] 2 7 2" xfId="220" xr:uid="{00000000-0005-0000-0000-00000E010000}"/>
    <cellStyle name="Comma [0] 2 8" xfId="2399" xr:uid="{36B8BF85-D18C-4084-B1AE-440EC9629F73}"/>
    <cellStyle name="Comma [0] 3" xfId="24" xr:uid="{00000000-0005-0000-0000-000022000000}"/>
    <cellStyle name="Comma [0] 3 2" xfId="597" xr:uid="{00000000-0005-0000-0000-00008A020000}"/>
    <cellStyle name="Comma [0] 3 2 2" xfId="602" xr:uid="{00000000-0005-0000-0000-00008F020000}"/>
    <cellStyle name="Comma [0] 3 3" xfId="612" xr:uid="{00000000-0005-0000-0000-000099020000}"/>
    <cellStyle name="Comma [00]" xfId="614" xr:uid="{00000000-0005-0000-0000-00009B020000}"/>
    <cellStyle name="Comma 10" xfId="91" xr:uid="{00000000-0005-0000-0000-000078000000}"/>
    <cellStyle name="Comma 10 2" xfId="492" xr:uid="{00000000-0005-0000-0000-000021020000}"/>
    <cellStyle name="Comma 10 2 2" xfId="620" xr:uid="{00000000-0005-0000-0000-0000A1020000}"/>
    <cellStyle name="Comma 10 2 2 2" xfId="625" xr:uid="{00000000-0005-0000-0000-0000A6020000}"/>
    <cellStyle name="Comma 10 2 3" xfId="627" xr:uid="{00000000-0005-0000-0000-0000A8020000}"/>
    <cellStyle name="Comma 10 2 4" xfId="558" xr:uid="{00000000-0005-0000-0000-000063020000}"/>
    <cellStyle name="Comma 10 2 5" xfId="565" xr:uid="{00000000-0005-0000-0000-00006A020000}"/>
    <cellStyle name="Comma 10 3" xfId="498" xr:uid="{00000000-0005-0000-0000-000027020000}"/>
    <cellStyle name="Comma 10 3 2" xfId="631" xr:uid="{00000000-0005-0000-0000-0000AC020000}"/>
    <cellStyle name="Comma 10 3 2 2" xfId="135" xr:uid="{00000000-0005-0000-0000-0000B0000000}"/>
    <cellStyle name="Comma 10 4" xfId="504" xr:uid="{00000000-0005-0000-0000-00002D020000}"/>
    <cellStyle name="Comma 10 4 2" xfId="633" xr:uid="{00000000-0005-0000-0000-0000AE020000}"/>
    <cellStyle name="Comma 11" xfId="642" xr:uid="{00000000-0005-0000-0000-0000B7020000}"/>
    <cellStyle name="Comma 11 2" xfId="71" xr:uid="{00000000-0005-0000-0000-00005E000000}"/>
    <cellStyle name="Comma 11 2 2" xfId="438" xr:uid="{00000000-0005-0000-0000-0000EB010000}"/>
    <cellStyle name="Comma 11 2 2 2" xfId="645" xr:uid="{00000000-0005-0000-0000-0000BA020000}"/>
    <cellStyle name="Comma 11 3" xfId="147" xr:uid="{00000000-0005-0000-0000-0000C1000000}"/>
    <cellStyle name="Comma 11 3 2" xfId="461" xr:uid="{00000000-0005-0000-0000-000002020000}"/>
    <cellStyle name="Comma 11 3 2 2" xfId="647" xr:uid="{00000000-0005-0000-0000-0000BC020000}"/>
    <cellStyle name="Comma 11 4" xfId="158" xr:uid="{00000000-0005-0000-0000-0000CE000000}"/>
    <cellStyle name="Comma 11 4 2" xfId="650" xr:uid="{00000000-0005-0000-0000-0000BF020000}"/>
    <cellStyle name="Comma 12" xfId="655" xr:uid="{00000000-0005-0000-0000-0000C4020000}"/>
    <cellStyle name="Comma 12 2" xfId="656" xr:uid="{00000000-0005-0000-0000-0000C5020000}"/>
    <cellStyle name="Comma 12 3" xfId="54" xr:uid="{00000000-0005-0000-0000-000047000000}"/>
    <cellStyle name="Comma 12 3 2" xfId="658" xr:uid="{00000000-0005-0000-0000-0000C7020000}"/>
    <cellStyle name="Comma 12 3 2 2" xfId="48" xr:uid="{00000000-0005-0000-0000-00003F000000}"/>
    <cellStyle name="Comma 12 4" xfId="660" xr:uid="{00000000-0005-0000-0000-0000C9020000}"/>
    <cellStyle name="Comma 12 4 2" xfId="662" xr:uid="{00000000-0005-0000-0000-0000CB020000}"/>
    <cellStyle name="Comma 12 4 2 2" xfId="664" xr:uid="{00000000-0005-0000-0000-0000CD020000}"/>
    <cellStyle name="Comma 12 5" xfId="666" xr:uid="{00000000-0005-0000-0000-0000CF020000}"/>
    <cellStyle name="Comma 12 5 2" xfId="487" xr:uid="{00000000-0005-0000-0000-00001C020000}"/>
    <cellStyle name="Comma 13" xfId="205" xr:uid="{00000000-0005-0000-0000-0000FF000000}"/>
    <cellStyle name="Comma 13 2" xfId="360" xr:uid="{00000000-0005-0000-0000-00009D010000}"/>
    <cellStyle name="Comma 13 2 2" xfId="668" xr:uid="{00000000-0005-0000-0000-0000D1020000}"/>
    <cellStyle name="Comma 13 2 2 2" xfId="671" xr:uid="{00000000-0005-0000-0000-0000D4020000}"/>
    <cellStyle name="Comma 13 3" xfId="363" xr:uid="{00000000-0005-0000-0000-0000A0010000}"/>
    <cellStyle name="Comma 13 3 2" xfId="672" xr:uid="{00000000-0005-0000-0000-0000D5020000}"/>
    <cellStyle name="Comma 13 3 2 2" xfId="673" xr:uid="{00000000-0005-0000-0000-0000D6020000}"/>
    <cellStyle name="Comma 13 4" xfId="367" xr:uid="{00000000-0005-0000-0000-0000A4010000}"/>
    <cellStyle name="Comma 13 4 2" xfId="674" xr:uid="{00000000-0005-0000-0000-0000D7020000}"/>
    <cellStyle name="Comma 14" xfId="379" xr:uid="{00000000-0005-0000-0000-0000B0010000}"/>
    <cellStyle name="Comma 14 2" xfId="392" xr:uid="{00000000-0005-0000-0000-0000BD010000}"/>
    <cellStyle name="Comma 14 2 2" xfId="675" xr:uid="{00000000-0005-0000-0000-0000D8020000}"/>
    <cellStyle name="Comma 14 2 2 2" xfId="684" xr:uid="{00000000-0005-0000-0000-0000E1020000}"/>
    <cellStyle name="Comma 14 3" xfId="399" xr:uid="{00000000-0005-0000-0000-0000C4010000}"/>
    <cellStyle name="Comma 14 3 2" xfId="685" xr:uid="{00000000-0005-0000-0000-0000E2020000}"/>
    <cellStyle name="Comma 14 3 2 2" xfId="689" xr:uid="{00000000-0005-0000-0000-0000E6020000}"/>
    <cellStyle name="Comma 14 4" xfId="406" xr:uid="{00000000-0005-0000-0000-0000CB010000}"/>
    <cellStyle name="Comma 14 4 2" xfId="695" xr:uid="{00000000-0005-0000-0000-0000EC020000}"/>
    <cellStyle name="Comma 15" xfId="383" xr:uid="{00000000-0005-0000-0000-0000B4010000}"/>
    <cellStyle name="Comma 15 2" xfId="697" xr:uid="{00000000-0005-0000-0000-0000EE020000}"/>
    <cellStyle name="Comma 15 2 2" xfId="581" xr:uid="{00000000-0005-0000-0000-00007A020000}"/>
    <cellStyle name="Comma 15 2 2 2" xfId="701" xr:uid="{00000000-0005-0000-0000-0000F2020000}"/>
    <cellStyle name="Comma 15 3" xfId="704" xr:uid="{00000000-0005-0000-0000-0000F5020000}"/>
    <cellStyle name="Comma 15 3 2" xfId="710" xr:uid="{00000000-0005-0000-0000-0000FB020000}"/>
    <cellStyle name="Comma 15 3 2 2" xfId="714" xr:uid="{00000000-0005-0000-0000-0000FF020000}"/>
    <cellStyle name="Comma 15 4" xfId="717" xr:uid="{00000000-0005-0000-0000-000002030000}"/>
    <cellStyle name="Comma 15 4 2" xfId="721" xr:uid="{00000000-0005-0000-0000-000006030000}"/>
    <cellStyle name="Comma 16" xfId="389" xr:uid="{00000000-0005-0000-0000-0000BA010000}"/>
    <cellStyle name="Comma 16 2" xfId="678" xr:uid="{00000000-0005-0000-0000-0000DB020000}"/>
    <cellStyle name="Comma 16 2 2" xfId="680" xr:uid="{00000000-0005-0000-0000-0000DD020000}"/>
    <cellStyle name="Comma 16 2 2 2" xfId="141" xr:uid="{00000000-0005-0000-0000-0000B8000000}"/>
    <cellStyle name="Comma 16 2 2 2 2" xfId="724" xr:uid="{00000000-0005-0000-0000-000009030000}"/>
    <cellStyle name="Comma 16 2 3" xfId="726" xr:uid="{00000000-0005-0000-0000-00000B030000}"/>
    <cellStyle name="Comma 16 2 3 2" xfId="475" xr:uid="{00000000-0005-0000-0000-000010020000}"/>
    <cellStyle name="Comma 16 2 3 2 2" xfId="730" xr:uid="{00000000-0005-0000-0000-00000F030000}"/>
    <cellStyle name="Comma 16 2 4" xfId="731" xr:uid="{00000000-0005-0000-0000-000010030000}"/>
    <cellStyle name="Comma 16 2 4 2" xfId="734" xr:uid="{00000000-0005-0000-0000-000013030000}"/>
    <cellStyle name="Comma 16 3" xfId="737" xr:uid="{00000000-0005-0000-0000-000016030000}"/>
    <cellStyle name="Comma 16 3 2" xfId="306" xr:uid="{00000000-0005-0000-0000-000067010000}"/>
    <cellStyle name="Comma 16 3 2 2" xfId="739" xr:uid="{00000000-0005-0000-0000-000018030000}"/>
    <cellStyle name="Comma 16 3 2 2 2" xfId="584" xr:uid="{00000000-0005-0000-0000-00007D020000}"/>
    <cellStyle name="Comma 16 3 3" xfId="311" xr:uid="{00000000-0005-0000-0000-00006C010000}"/>
    <cellStyle name="Comma 16 3 3 2" xfId="424" xr:uid="{00000000-0005-0000-0000-0000DD010000}"/>
    <cellStyle name="Comma 16 3 3 2 2" xfId="742" xr:uid="{00000000-0005-0000-0000-00001B030000}"/>
    <cellStyle name="Comma 16 3 4" xfId="743" xr:uid="{00000000-0005-0000-0000-00001C030000}"/>
    <cellStyle name="Comma 16 3 4 2" xfId="748" xr:uid="{00000000-0005-0000-0000-000021030000}"/>
    <cellStyle name="Comma 16 4" xfId="752" xr:uid="{00000000-0005-0000-0000-000025030000}"/>
    <cellStyle name="Comma 16 4 2" xfId="754" xr:uid="{00000000-0005-0000-0000-000027030000}"/>
    <cellStyle name="Comma 16 4 2 2" xfId="759" xr:uid="{00000000-0005-0000-0000-00002C030000}"/>
    <cellStyle name="Comma 16 5" xfId="77" xr:uid="{00000000-0005-0000-0000-000065000000}"/>
    <cellStyle name="Comma 16 5 2" xfId="119" xr:uid="{00000000-0005-0000-0000-00009C000000}"/>
    <cellStyle name="Comma 16 5 2 2" xfId="761" xr:uid="{00000000-0005-0000-0000-00002E030000}"/>
    <cellStyle name="Comma 16 6" xfId="763" xr:uid="{00000000-0005-0000-0000-000030030000}"/>
    <cellStyle name="Comma 16 6 2" xfId="767" xr:uid="{00000000-0005-0000-0000-000034030000}"/>
    <cellStyle name="Comma 17" xfId="396" xr:uid="{00000000-0005-0000-0000-0000C1010000}"/>
    <cellStyle name="Comma 17 2" xfId="687" xr:uid="{00000000-0005-0000-0000-0000E4020000}"/>
    <cellStyle name="Comma 17 2 2" xfId="691" xr:uid="{00000000-0005-0000-0000-0000E8020000}"/>
    <cellStyle name="Comma 17 2 2 2" xfId="769" xr:uid="{00000000-0005-0000-0000-000036030000}"/>
    <cellStyle name="Comma 17 3" xfId="774" xr:uid="{00000000-0005-0000-0000-00003B030000}"/>
    <cellStyle name="Comma 17 3 2" xfId="505" xr:uid="{00000000-0005-0000-0000-00002E020000}"/>
    <cellStyle name="Comma 17 3 2 2" xfId="634" xr:uid="{00000000-0005-0000-0000-0000AF020000}"/>
    <cellStyle name="Comma 17 4" xfId="778" xr:uid="{00000000-0005-0000-0000-00003F030000}"/>
    <cellStyle name="Comma 17 4 2" xfId="159" xr:uid="{00000000-0005-0000-0000-0000CF000000}"/>
    <cellStyle name="Comma 18" xfId="404" xr:uid="{00000000-0005-0000-0000-0000C9010000}"/>
    <cellStyle name="Comma 18 2" xfId="694" xr:uid="{00000000-0005-0000-0000-0000EB020000}"/>
    <cellStyle name="Comma 18 2 2" xfId="780" xr:uid="{00000000-0005-0000-0000-000041030000}"/>
    <cellStyle name="Comma 18 2 2 2" xfId="8" xr:uid="{00000000-0005-0000-0000-00000D000000}"/>
    <cellStyle name="Comma 18 3" xfId="782" xr:uid="{00000000-0005-0000-0000-000043030000}"/>
    <cellStyle name="Comma 18 3 2" xfId="245" xr:uid="{00000000-0005-0000-0000-000028010000}"/>
    <cellStyle name="Comma 18 3 2 2" xfId="344" xr:uid="{00000000-0005-0000-0000-00008D010000}"/>
    <cellStyle name="Comma 18 4" xfId="784" xr:uid="{00000000-0005-0000-0000-000045030000}"/>
    <cellStyle name="Comma 18 4 2" xfId="787" xr:uid="{00000000-0005-0000-0000-000048030000}"/>
    <cellStyle name="Comma 19" xfId="411" xr:uid="{00000000-0005-0000-0000-0000D0010000}"/>
    <cellStyle name="Comma 19 2" xfId="791" xr:uid="{00000000-0005-0000-0000-00004C030000}"/>
    <cellStyle name="Comma 19 2 2" xfId="479" xr:uid="{00000000-0005-0000-0000-000014020000}"/>
    <cellStyle name="Comma 19 2 2 2" xfId="795" xr:uid="{00000000-0005-0000-0000-000050030000}"/>
    <cellStyle name="Comma 19 3" xfId="798" xr:uid="{00000000-0005-0000-0000-000053030000}"/>
    <cellStyle name="Comma 19 3 2" xfId="800" xr:uid="{00000000-0005-0000-0000-000055030000}"/>
    <cellStyle name="Comma 19 3 2 2" xfId="530" xr:uid="{00000000-0005-0000-0000-000047020000}"/>
    <cellStyle name="Comma 19 4" xfId="806" xr:uid="{00000000-0005-0000-0000-00005B030000}"/>
    <cellStyle name="Comma 19 4 2" xfId="615" xr:uid="{00000000-0005-0000-0000-00009C020000}"/>
    <cellStyle name="Comma 2" xfId="47" xr:uid="{00000000-0005-0000-0000-00003E000000}"/>
    <cellStyle name="Comma 2 10" xfId="33" xr:uid="{00000000-0005-0000-0000-00002B000000}"/>
    <cellStyle name="Comma 2 11" xfId="434" xr:uid="{00000000-0005-0000-0000-0000E7010000}"/>
    <cellStyle name="Comma 2 12" xfId="109" xr:uid="{00000000-0005-0000-0000-000090000000}"/>
    <cellStyle name="Comma 2 13" xfId="436" xr:uid="{00000000-0005-0000-0000-0000E9010000}"/>
    <cellStyle name="Comma 2 14" xfId="2394" xr:uid="{0B0CD871-209B-4D47-8A3E-7CD45F330DE1}"/>
    <cellStyle name="Comma 2 2" xfId="808" xr:uid="{00000000-0005-0000-0000-00005D030000}"/>
    <cellStyle name="Comma 2 2 10" xfId="810" xr:uid="{00000000-0005-0000-0000-00005F030000}"/>
    <cellStyle name="Comma 2 2 11" xfId="2415" xr:uid="{2FA4891E-98ED-409E-9FFD-CC468D453B88}"/>
    <cellStyle name="Comma 2 2 2" xfId="811" xr:uid="{00000000-0005-0000-0000-000060030000}"/>
    <cellStyle name="Comma 2 2 2 2" xfId="813" xr:uid="{00000000-0005-0000-0000-000062030000}"/>
    <cellStyle name="Comma 2 2 2 2 2" xfId="639" xr:uid="{00000000-0005-0000-0000-0000B4020000}"/>
    <cellStyle name="Comma 2 2 2 2 2 2" xfId="70" xr:uid="{00000000-0005-0000-0000-00005D000000}"/>
    <cellStyle name="Comma 2 2 2 2 2 3" xfId="146" xr:uid="{00000000-0005-0000-0000-0000C0000000}"/>
    <cellStyle name="Comma 2 2 2 2 3" xfId="652" xr:uid="{00000000-0005-0000-0000-0000C1020000}"/>
    <cellStyle name="Comma 2 2 2 2 4" xfId="202" xr:uid="{00000000-0005-0000-0000-0000FC000000}"/>
    <cellStyle name="Comma 2 2 2 2 5" xfId="377" xr:uid="{00000000-0005-0000-0000-0000AE010000}"/>
    <cellStyle name="Comma 2 2 2 2_1" xfId="67" xr:uid="{00000000-0005-0000-0000-000059000000}"/>
    <cellStyle name="Comma 2 2 2 3" xfId="815" xr:uid="{00000000-0005-0000-0000-000064030000}"/>
    <cellStyle name="Comma 2 2 2 3 2" xfId="816" xr:uid="{00000000-0005-0000-0000-000065030000}"/>
    <cellStyle name="Comma 2 2 2 3 3" xfId="819" xr:uid="{00000000-0005-0000-0000-000068030000}"/>
    <cellStyle name="Comma 2 2 2 4" xfId="49" xr:uid="{00000000-0005-0000-0000-000040000000}"/>
    <cellStyle name="Comma 2 2 2 5" xfId="821" xr:uid="{00000000-0005-0000-0000-00006A030000}"/>
    <cellStyle name="Comma 2 2 2 6" xfId="66" xr:uid="{00000000-0005-0000-0000-000058000000}"/>
    <cellStyle name="Comma 2 2 2 7" xfId="527" xr:uid="{00000000-0005-0000-0000-000044020000}"/>
    <cellStyle name="Comma 2 2 2_1" xfId="822" xr:uid="{00000000-0005-0000-0000-00006B030000}"/>
    <cellStyle name="Comma 2 2 3" xfId="823" xr:uid="{00000000-0005-0000-0000-00006C030000}"/>
    <cellStyle name="Comma 2 2 3 2" xfId="16" xr:uid="{00000000-0005-0000-0000-000018000000}"/>
    <cellStyle name="Comma 2 2 3 2 2" xfId="824" xr:uid="{00000000-0005-0000-0000-00006D030000}"/>
    <cellStyle name="Comma 2 2 3 2 2 2" xfId="825" xr:uid="{00000000-0005-0000-0000-00006E030000}"/>
    <cellStyle name="Comma 2 2 3 2 2 2 2" xfId="828" xr:uid="{00000000-0005-0000-0000-000071030000}"/>
    <cellStyle name="Comma 2 2 3 2 2 3" xfId="829" xr:uid="{00000000-0005-0000-0000-000072030000}"/>
    <cellStyle name="Comma 2 2 3 2 2_1" xfId="831" xr:uid="{00000000-0005-0000-0000-000074030000}"/>
    <cellStyle name="Comma 2 2 3 2 3" xfId="807" xr:uid="{00000000-0005-0000-0000-00005C030000}"/>
    <cellStyle name="Comma 2 2 3 2 4" xfId="621" xr:uid="{00000000-0005-0000-0000-0000A2020000}"/>
    <cellStyle name="Comma 2 2 3 2_1" xfId="834" xr:uid="{00000000-0005-0000-0000-000077030000}"/>
    <cellStyle name="Comma 2 2 3 3" xfId="835" xr:uid="{00000000-0005-0000-0000-000078030000}"/>
    <cellStyle name="Comma 2 2 3 3 2" xfId="273" xr:uid="{00000000-0005-0000-0000-000046010000}"/>
    <cellStyle name="Comma 2 2 3 3 2 2" xfId="746" xr:uid="{00000000-0005-0000-0000-00001F030000}"/>
    <cellStyle name="Comma 2 2 3 3 3" xfId="836" xr:uid="{00000000-0005-0000-0000-000079030000}"/>
    <cellStyle name="Comma 2 2 3 3_1" xfId="838" xr:uid="{00000000-0005-0000-0000-00007B030000}"/>
    <cellStyle name="Comma 2 2 3 4" xfId="840" xr:uid="{00000000-0005-0000-0000-00007D030000}"/>
    <cellStyle name="Comma 2 2 3 4 2" xfId="841" xr:uid="{00000000-0005-0000-0000-00007E030000}"/>
    <cellStyle name="Comma 2 2 3 5" xfId="843" xr:uid="{00000000-0005-0000-0000-000080030000}"/>
    <cellStyle name="Comma 2 2 3 6" xfId="171" xr:uid="{00000000-0005-0000-0000-0000DC000000}"/>
    <cellStyle name="Comma 2 2 3 7" xfId="844" xr:uid="{00000000-0005-0000-0000-000081030000}"/>
    <cellStyle name="Comma 2 2 3 8" xfId="846" xr:uid="{00000000-0005-0000-0000-000083030000}"/>
    <cellStyle name="Comma 2 2 3_1" xfId="559" xr:uid="{00000000-0005-0000-0000-000064020000}"/>
    <cellStyle name="Comma 2 2 4" xfId="847" xr:uid="{00000000-0005-0000-0000-000084030000}"/>
    <cellStyle name="Comma 2 2 4 2" xfId="78" xr:uid="{00000000-0005-0000-0000-000068000000}"/>
    <cellStyle name="Comma 2 2 4 2 2" xfId="435" xr:uid="{00000000-0005-0000-0000-0000E8010000}"/>
    <cellStyle name="Comma 2 2 4 2 3" xfId="110" xr:uid="{00000000-0005-0000-0000-000091000000}"/>
    <cellStyle name="Comma 2 2 4 3" xfId="848" xr:uid="{00000000-0005-0000-0000-000085030000}"/>
    <cellStyle name="Comma 2 2 4 4" xfId="849" xr:uid="{00000000-0005-0000-0000-000086030000}"/>
    <cellStyle name="Comma 2 2 4 5" xfId="850" xr:uid="{00000000-0005-0000-0000-000087030000}"/>
    <cellStyle name="Comma 2 2 4 6" xfId="207" xr:uid="{00000000-0005-0000-0000-000001010000}"/>
    <cellStyle name="Comma 2 2 4_1" xfId="851" xr:uid="{00000000-0005-0000-0000-000088030000}"/>
    <cellStyle name="Comma 2 2 5" xfId="852" xr:uid="{00000000-0005-0000-0000-000089030000}"/>
    <cellStyle name="Comma 2 2 5 2" xfId="166" xr:uid="{00000000-0005-0000-0000-0000D7000000}"/>
    <cellStyle name="Comma 2 2 5 3" xfId="191" xr:uid="{00000000-0005-0000-0000-0000F1000000}"/>
    <cellStyle name="Comma 2 2 6" xfId="853" xr:uid="{00000000-0005-0000-0000-00008A030000}"/>
    <cellStyle name="Comma 2 2 6 2" xfId="332" xr:uid="{00000000-0005-0000-0000-000081010000}"/>
    <cellStyle name="Comma 2 2 6 3" xfId="2416" xr:uid="{6ACE3436-1934-4B71-B8AA-547C20E00DB2}"/>
    <cellStyle name="Comma 2 2 7" xfId="31" xr:uid="{00000000-0005-0000-0000-000029000000}"/>
    <cellStyle name="Comma 2 2 8" xfId="433" xr:uid="{00000000-0005-0000-0000-0000E6010000}"/>
    <cellStyle name="Comma 2 2 9" xfId="108" xr:uid="{00000000-0005-0000-0000-00008F000000}"/>
    <cellStyle name="Comma 2 2_1" xfId="855" xr:uid="{00000000-0005-0000-0000-00008C030000}"/>
    <cellStyle name="Comma 2 3" xfId="618" xr:uid="{00000000-0005-0000-0000-00009F020000}"/>
    <cellStyle name="Comma 2 3 2" xfId="623" xr:uid="{00000000-0005-0000-0000-0000A4020000}"/>
    <cellStyle name="Comma 2 3 2 2" xfId="857" xr:uid="{00000000-0005-0000-0000-00008E030000}"/>
    <cellStyle name="Comma 2 3 2 2 2" xfId="860" xr:uid="{00000000-0005-0000-0000-000091030000}"/>
    <cellStyle name="Comma 2 3 2 2 2 2" xfId="863" xr:uid="{00000000-0005-0000-0000-000094030000}"/>
    <cellStyle name="Comma 2 3 2 2 3" xfId="866" xr:uid="{00000000-0005-0000-0000-000097030000}"/>
    <cellStyle name="Comma 2 3 2 2 4" xfId="227" xr:uid="{00000000-0005-0000-0000-000015010000}"/>
    <cellStyle name="Comma 2 3 2 3" xfId="868" xr:uid="{00000000-0005-0000-0000-000099030000}"/>
    <cellStyle name="Comma 2 3 2 3 2" xfId="871" xr:uid="{00000000-0005-0000-0000-00009C030000}"/>
    <cellStyle name="Comma 2 3 2 3 2 2" xfId="608" xr:uid="{00000000-0005-0000-0000-000095020000}"/>
    <cellStyle name="Comma 2 3 2 3 3" xfId="874" xr:uid="{00000000-0005-0000-0000-00009F030000}"/>
    <cellStyle name="Comma 2 3 2 4" xfId="875" xr:uid="{00000000-0005-0000-0000-0000A0030000}"/>
    <cellStyle name="Comma 2 3 2 4 2" xfId="526" xr:uid="{00000000-0005-0000-0000-000043020000}"/>
    <cellStyle name="Comma 2 3 2 5" xfId="876" xr:uid="{00000000-0005-0000-0000-0000A1030000}"/>
    <cellStyle name="Comma 2 3 2_1" xfId="32" xr:uid="{00000000-0005-0000-0000-00002A000000}"/>
    <cellStyle name="Comma 2 3 3" xfId="877" xr:uid="{00000000-0005-0000-0000-0000A2030000}"/>
    <cellStyle name="Comma 2 3 3 2" xfId="879" xr:uid="{00000000-0005-0000-0000-0000A4030000}"/>
    <cellStyle name="Comma 2 3 3 2 2" xfId="880" xr:uid="{00000000-0005-0000-0000-0000A5030000}"/>
    <cellStyle name="Comma 2 3 3 2 2 2" xfId="882" xr:uid="{00000000-0005-0000-0000-0000A7030000}"/>
    <cellStyle name="Comma 2 3 3 2 3" xfId="883" xr:uid="{00000000-0005-0000-0000-0000A8030000}"/>
    <cellStyle name="Comma 2 3 3 3" xfId="884" xr:uid="{00000000-0005-0000-0000-0000A9030000}"/>
    <cellStyle name="Comma 2 3 3 3 2" xfId="886" xr:uid="{00000000-0005-0000-0000-0000AB030000}"/>
    <cellStyle name="Comma 2 3 3 3 2 2" xfId="888" xr:uid="{00000000-0005-0000-0000-0000AD030000}"/>
    <cellStyle name="Comma 2 3 3 4" xfId="889" xr:uid="{00000000-0005-0000-0000-0000AE030000}"/>
    <cellStyle name="Comma 2 3 3 4 2" xfId="893" xr:uid="{00000000-0005-0000-0000-0000B2030000}"/>
    <cellStyle name="Comma 2 3 3 5" xfId="894" xr:uid="{00000000-0005-0000-0000-0000B3030000}"/>
    <cellStyle name="Comma 2 3 4" xfId="895" xr:uid="{00000000-0005-0000-0000-0000B4030000}"/>
    <cellStyle name="Comma 2 3 4 2" xfId="897" xr:uid="{00000000-0005-0000-0000-0000B6030000}"/>
    <cellStyle name="Comma 2 3 4 2 2" xfId="337" xr:uid="{00000000-0005-0000-0000-000086010000}"/>
    <cellStyle name="Comma 2 3 4 3" xfId="898" xr:uid="{00000000-0005-0000-0000-0000B7030000}"/>
    <cellStyle name="Comma 2 3 4 4" xfId="899" xr:uid="{00000000-0005-0000-0000-0000B8030000}"/>
    <cellStyle name="Comma 2 3 5" xfId="516" xr:uid="{00000000-0005-0000-0000-000039020000}"/>
    <cellStyle name="Comma 2 3 5 2" xfId="519" xr:uid="{00000000-0005-0000-0000-00003C020000}"/>
    <cellStyle name="Comma 2 3 5 2 2" xfId="521" xr:uid="{00000000-0005-0000-0000-00003E020000}"/>
    <cellStyle name="Comma 2 3 5 3" xfId="555" xr:uid="{00000000-0005-0000-0000-000060020000}"/>
    <cellStyle name="Comma 2 3 6" xfId="25" xr:uid="{00000000-0005-0000-0000-000023000000}"/>
    <cellStyle name="Comma 2 3 6 2" xfId="598" xr:uid="{00000000-0005-0000-0000-00008B020000}"/>
    <cellStyle name="Comma 2 3 7" xfId="451" xr:uid="{00000000-0005-0000-0000-0000F8010000}"/>
    <cellStyle name="Comma 2 3 8" xfId="456" xr:uid="{00000000-0005-0000-0000-0000FD010000}"/>
    <cellStyle name="Comma 2 3_1" xfId="901" xr:uid="{00000000-0005-0000-0000-0000BA030000}"/>
    <cellStyle name="Comma 2 4" xfId="626" xr:uid="{00000000-0005-0000-0000-0000A7020000}"/>
    <cellStyle name="Comma 2 4 2" xfId="904" xr:uid="{00000000-0005-0000-0000-0000BD030000}"/>
    <cellStyle name="Comma 2 4 2 2" xfId="906" xr:uid="{00000000-0005-0000-0000-0000BF030000}"/>
    <cellStyle name="Comma 2 4 2 2 2" xfId="908" xr:uid="{00000000-0005-0000-0000-0000C1030000}"/>
    <cellStyle name="Comma 2 4 2 3" xfId="817" xr:uid="{00000000-0005-0000-0000-000066030000}"/>
    <cellStyle name="Comma 2 4 2 4" xfId="820" xr:uid="{00000000-0005-0000-0000-000069030000}"/>
    <cellStyle name="Comma 2 4 3" xfId="911" xr:uid="{00000000-0005-0000-0000-0000C4030000}"/>
    <cellStyle name="Comma 2 4 3 2" xfId="913" xr:uid="{00000000-0005-0000-0000-0000C6030000}"/>
    <cellStyle name="Comma 2 4 4" xfId="916" xr:uid="{00000000-0005-0000-0000-0000C9030000}"/>
    <cellStyle name="Comma 2 4 5" xfId="919" xr:uid="{00000000-0005-0000-0000-0000CC030000}"/>
    <cellStyle name="Comma 2 4 6" xfId="922" xr:uid="{00000000-0005-0000-0000-0000CF030000}"/>
    <cellStyle name="Comma 2 4_1" xfId="926" xr:uid="{00000000-0005-0000-0000-0000D3030000}"/>
    <cellStyle name="Comma 2 5" xfId="556" xr:uid="{00000000-0005-0000-0000-000061020000}"/>
    <cellStyle name="Comma 2 5 2" xfId="103" xr:uid="{00000000-0005-0000-0000-000088000000}"/>
    <cellStyle name="Comma 2 5 3" xfId="85" xr:uid="{00000000-0005-0000-0000-000070000000}"/>
    <cellStyle name="Comma 2 5 4" xfId="126" xr:uid="{00000000-0005-0000-0000-0000A5000000}"/>
    <cellStyle name="Comma 2 5 5" xfId="131" xr:uid="{00000000-0005-0000-0000-0000AB000000}"/>
    <cellStyle name="Comma 2 6" xfId="563" xr:uid="{00000000-0005-0000-0000-000068020000}"/>
    <cellStyle name="Comma 2 6 2" xfId="447" xr:uid="{00000000-0005-0000-0000-0000F4010000}"/>
    <cellStyle name="Comma 2 7" xfId="566" xr:uid="{00000000-0005-0000-0000-00006B020000}"/>
    <cellStyle name="Comma 2 7 2" xfId="568" xr:uid="{00000000-0005-0000-0000-00006D020000}"/>
    <cellStyle name="Comma 2 8" xfId="571" xr:uid="{00000000-0005-0000-0000-000070020000}"/>
    <cellStyle name="Comma 2 8 2" xfId="927" xr:uid="{00000000-0005-0000-0000-0000D4030000}"/>
    <cellStyle name="Comma 2 9" xfId="931" xr:uid="{00000000-0005-0000-0000-0000D8030000}"/>
    <cellStyle name="Comma 2 9 2" xfId="932" xr:uid="{00000000-0005-0000-0000-0000D9030000}"/>
    <cellStyle name="Comma 2_1" xfId="890" xr:uid="{00000000-0005-0000-0000-0000AF030000}"/>
    <cellStyle name="Comma 20" xfId="384" xr:uid="{00000000-0005-0000-0000-0000B5010000}"/>
    <cellStyle name="Comma 20 2" xfId="698" xr:uid="{00000000-0005-0000-0000-0000EF020000}"/>
    <cellStyle name="Comma 20 2 2" xfId="582" xr:uid="{00000000-0005-0000-0000-00007B020000}"/>
    <cellStyle name="Comma 20 2 2 2" xfId="702" xr:uid="{00000000-0005-0000-0000-0000F3020000}"/>
    <cellStyle name="Comma 20 3" xfId="705" xr:uid="{00000000-0005-0000-0000-0000F6020000}"/>
    <cellStyle name="Comma 20 3 2" xfId="711" xr:uid="{00000000-0005-0000-0000-0000FC020000}"/>
    <cellStyle name="Comma 20 3 2 2" xfId="715" xr:uid="{00000000-0005-0000-0000-000000030000}"/>
    <cellStyle name="Comma 20 4" xfId="718" xr:uid="{00000000-0005-0000-0000-000003030000}"/>
    <cellStyle name="Comma 20 4 2" xfId="722" xr:uid="{00000000-0005-0000-0000-000007030000}"/>
    <cellStyle name="Comma 21" xfId="390" xr:uid="{00000000-0005-0000-0000-0000BB010000}"/>
    <cellStyle name="Comma 21 2" xfId="679" xr:uid="{00000000-0005-0000-0000-0000DC020000}"/>
    <cellStyle name="Comma 21 2 2" xfId="681" xr:uid="{00000000-0005-0000-0000-0000DE020000}"/>
    <cellStyle name="Comma 21 2 2 2" xfId="142" xr:uid="{00000000-0005-0000-0000-0000B9000000}"/>
    <cellStyle name="Comma 21 3" xfId="738" xr:uid="{00000000-0005-0000-0000-000017030000}"/>
    <cellStyle name="Comma 21 3 2" xfId="307" xr:uid="{00000000-0005-0000-0000-000068010000}"/>
    <cellStyle name="Comma 21 3 2 2" xfId="740" xr:uid="{00000000-0005-0000-0000-000019030000}"/>
    <cellStyle name="Comma 21 4" xfId="753" xr:uid="{00000000-0005-0000-0000-000026030000}"/>
    <cellStyle name="Comma 21 4 2" xfId="755" xr:uid="{00000000-0005-0000-0000-000028030000}"/>
    <cellStyle name="Comma 22" xfId="397" xr:uid="{00000000-0005-0000-0000-0000C2010000}"/>
    <cellStyle name="Comma 22 2" xfId="688" xr:uid="{00000000-0005-0000-0000-0000E5020000}"/>
    <cellStyle name="Comma 22 2 2" xfId="692" xr:uid="{00000000-0005-0000-0000-0000E9020000}"/>
    <cellStyle name="Comma 22 2 2 2" xfId="770" xr:uid="{00000000-0005-0000-0000-000037030000}"/>
    <cellStyle name="Comma 22 3" xfId="775" xr:uid="{00000000-0005-0000-0000-00003C030000}"/>
    <cellStyle name="Comma 22 3 2" xfId="506" xr:uid="{00000000-0005-0000-0000-00002F020000}"/>
    <cellStyle name="Comma 22 3 2 2" xfId="635" xr:uid="{00000000-0005-0000-0000-0000B0020000}"/>
    <cellStyle name="Comma 22 4" xfId="777" xr:uid="{00000000-0005-0000-0000-00003E030000}"/>
    <cellStyle name="Comma 22 4 2" xfId="157" xr:uid="{00000000-0005-0000-0000-0000CD000000}"/>
    <cellStyle name="Comma 23" xfId="403" xr:uid="{00000000-0005-0000-0000-0000C8010000}"/>
    <cellStyle name="Comma 23 2" xfId="693" xr:uid="{00000000-0005-0000-0000-0000EA020000}"/>
    <cellStyle name="Comma 23 2 2" xfId="779" xr:uid="{00000000-0005-0000-0000-000040030000}"/>
    <cellStyle name="Comma 23 2 2 2" xfId="7" xr:uid="{00000000-0005-0000-0000-00000C000000}"/>
    <cellStyle name="Comma 23 3" xfId="781" xr:uid="{00000000-0005-0000-0000-000042030000}"/>
    <cellStyle name="Comma 23 3 2" xfId="244" xr:uid="{00000000-0005-0000-0000-000027010000}"/>
    <cellStyle name="Comma 23 3 2 2" xfId="342" xr:uid="{00000000-0005-0000-0000-00008B010000}"/>
    <cellStyle name="Comma 23 4" xfId="783" xr:uid="{00000000-0005-0000-0000-000044030000}"/>
    <cellStyle name="Comma 23 4 2" xfId="786" xr:uid="{00000000-0005-0000-0000-000047030000}"/>
    <cellStyle name="Comma 24" xfId="410" xr:uid="{00000000-0005-0000-0000-0000CF010000}"/>
    <cellStyle name="Comma 24 2" xfId="790" xr:uid="{00000000-0005-0000-0000-00004B030000}"/>
    <cellStyle name="Comma 24 2 2" xfId="478" xr:uid="{00000000-0005-0000-0000-000013020000}"/>
    <cellStyle name="Comma 24 2 2 2" xfId="794" xr:uid="{00000000-0005-0000-0000-00004F030000}"/>
    <cellStyle name="Comma 24 3" xfId="797" xr:uid="{00000000-0005-0000-0000-000052030000}"/>
    <cellStyle name="Comma 24 3 2" xfId="799" xr:uid="{00000000-0005-0000-0000-000054030000}"/>
    <cellStyle name="Comma 24 3 2 2" xfId="529" xr:uid="{00000000-0005-0000-0000-000046020000}"/>
    <cellStyle name="Comma 24 4" xfId="805" xr:uid="{00000000-0005-0000-0000-00005A030000}"/>
    <cellStyle name="Comma 24 4 2" xfId="613" xr:uid="{00000000-0005-0000-0000-00009A020000}"/>
    <cellStyle name="Comma 25" xfId="934" xr:uid="{00000000-0005-0000-0000-0000DB030000}"/>
    <cellStyle name="Comma 25 2" xfId="939" xr:uid="{00000000-0005-0000-0000-0000E0030000}"/>
    <cellStyle name="Comma 25 2 2" xfId="941" xr:uid="{00000000-0005-0000-0000-0000E2030000}"/>
    <cellStyle name="Comma 25 2 2 2" xfId="18" xr:uid="{00000000-0005-0000-0000-00001A000000}"/>
    <cellStyle name="Comma 25 3" xfId="943" xr:uid="{00000000-0005-0000-0000-0000E4030000}"/>
    <cellStyle name="Comma 25 3 2" xfId="945" xr:uid="{00000000-0005-0000-0000-0000E6030000}"/>
    <cellStyle name="Comma 25 3 2 2" xfId="948" xr:uid="{00000000-0005-0000-0000-0000E9030000}"/>
    <cellStyle name="Comma 25 4" xfId="950" xr:uid="{00000000-0005-0000-0000-0000EB030000}"/>
    <cellStyle name="Comma 25 4 2" xfId="952" xr:uid="{00000000-0005-0000-0000-0000ED030000}"/>
    <cellStyle name="Comma 26" xfId="957" xr:uid="{00000000-0005-0000-0000-0000F2030000}"/>
    <cellStyle name="Comma 26 2" xfId="961" xr:uid="{00000000-0005-0000-0000-0000F7030000}"/>
    <cellStyle name="Comma 26 2 2" xfId="964" xr:uid="{00000000-0005-0000-0000-0000FA030000}"/>
    <cellStyle name="Comma 26 2 2 2" xfId="966" xr:uid="{00000000-0005-0000-0000-0000FC030000}"/>
    <cellStyle name="Comma 26 3" xfId="969" xr:uid="{00000000-0005-0000-0000-0000FF030000}"/>
    <cellStyle name="Comma 26 3 2" xfId="972" xr:uid="{00000000-0005-0000-0000-000002040000}"/>
    <cellStyle name="Comma 26 3 2 2" xfId="975" xr:uid="{00000000-0005-0000-0000-000005040000}"/>
    <cellStyle name="Comma 26 4" xfId="979" xr:uid="{00000000-0005-0000-0000-000009040000}"/>
    <cellStyle name="Comma 26 4 2" xfId="176" xr:uid="{00000000-0005-0000-0000-0000E1000000}"/>
    <cellStyle name="Comma 27" xfId="596" xr:uid="{00000000-0005-0000-0000-000089020000}"/>
    <cellStyle name="Comma 27 2" xfId="601" xr:uid="{00000000-0005-0000-0000-00008E020000}"/>
    <cellStyle name="Comma 27 2 2" xfId="982" xr:uid="{00000000-0005-0000-0000-00000C040000}"/>
    <cellStyle name="Comma 27 2 2 2" xfId="984" xr:uid="{00000000-0005-0000-0000-00000E040000}"/>
    <cellStyle name="Comma 27 3" xfId="987" xr:uid="{00000000-0005-0000-0000-000011040000}"/>
    <cellStyle name="Comma 27 3 2" xfId="990" xr:uid="{00000000-0005-0000-0000-000014040000}"/>
    <cellStyle name="Comma 27 3 2 2" xfId="992" xr:uid="{00000000-0005-0000-0000-000016040000}"/>
    <cellStyle name="Comma 27 4" xfId="995" xr:uid="{00000000-0005-0000-0000-000019040000}"/>
    <cellStyle name="Comma 27 4 2" xfId="1000" xr:uid="{00000000-0005-0000-0000-00001E040000}"/>
    <cellStyle name="Comma 28" xfId="611" xr:uid="{00000000-0005-0000-0000-000098020000}"/>
    <cellStyle name="Comma 28 2" xfId="443" xr:uid="{00000000-0005-0000-0000-0000F0010000}"/>
    <cellStyle name="Comma 28 2 2" xfId="1003" xr:uid="{00000000-0005-0000-0000-000021040000}"/>
    <cellStyle name="Comma 28 2 2 2" xfId="1004" xr:uid="{00000000-0005-0000-0000-000022040000}"/>
    <cellStyle name="Comma 28 3" xfId="445" xr:uid="{00000000-0005-0000-0000-0000F2010000}"/>
    <cellStyle name="Comma 28 3 2" xfId="1006" xr:uid="{00000000-0005-0000-0000-000024040000}"/>
    <cellStyle name="Comma 28 3 2 2" xfId="1008" xr:uid="{00000000-0005-0000-0000-000026040000}"/>
    <cellStyle name="Comma 28 4" xfId="1009" xr:uid="{00000000-0005-0000-0000-000027040000}"/>
    <cellStyle name="Comma 28 4 2" xfId="1010" xr:uid="{00000000-0005-0000-0000-000028040000}"/>
    <cellStyle name="Comma 29" xfId="758" xr:uid="{00000000-0005-0000-0000-00002B030000}"/>
    <cellStyle name="Comma 29 2" xfId="468" xr:uid="{00000000-0005-0000-0000-000009020000}"/>
    <cellStyle name="Comma 29 2 2" xfId="38" xr:uid="{00000000-0005-0000-0000-000030000000}"/>
    <cellStyle name="Comma 29 2 2 2" xfId="1011" xr:uid="{00000000-0005-0000-0000-000029040000}"/>
    <cellStyle name="Comma 29 3" xfId="1013" xr:uid="{00000000-0005-0000-0000-00002B040000}"/>
    <cellStyle name="Comma 29 3 2" xfId="1014" xr:uid="{00000000-0005-0000-0000-00002C040000}"/>
    <cellStyle name="Comma 29 3 2 2" xfId="1016" xr:uid="{00000000-0005-0000-0000-00002E040000}"/>
    <cellStyle name="Comma 29 4" xfId="1018" xr:uid="{00000000-0005-0000-0000-000030040000}"/>
    <cellStyle name="Comma 29 4 2" xfId="1019" xr:uid="{00000000-0005-0000-0000-000031040000}"/>
    <cellStyle name="Comma 3" xfId="1021" xr:uid="{00000000-0005-0000-0000-000033040000}"/>
    <cellStyle name="Comma 3 2" xfId="1022" xr:uid="{00000000-0005-0000-0000-000034040000}"/>
    <cellStyle name="Comma 3 2 2" xfId="1023" xr:uid="{00000000-0005-0000-0000-000035040000}"/>
    <cellStyle name="Comma 3 2 2 2" xfId="1024" xr:uid="{00000000-0005-0000-0000-000036040000}"/>
    <cellStyle name="Comma 3 2 2 2 2" xfId="1025" xr:uid="{00000000-0005-0000-0000-000037040000}"/>
    <cellStyle name="Comma 3 2 2 3" xfId="1026" xr:uid="{00000000-0005-0000-0000-000038040000}"/>
    <cellStyle name="Comma 3 2 3" xfId="1028" xr:uid="{00000000-0005-0000-0000-00003A040000}"/>
    <cellStyle name="Comma 3 2 3 2" xfId="1029" xr:uid="{00000000-0005-0000-0000-00003B040000}"/>
    <cellStyle name="Comma 3 2 3 2 2" xfId="1030" xr:uid="{00000000-0005-0000-0000-00003C040000}"/>
    <cellStyle name="Comma 3 2 4" xfId="20" xr:uid="{00000000-0005-0000-0000-00001D000000}"/>
    <cellStyle name="Comma 3 2 4 2" xfId="1031" xr:uid="{00000000-0005-0000-0000-00003D040000}"/>
    <cellStyle name="Comma 3 2 5" xfId="1034" xr:uid="{00000000-0005-0000-0000-000040040000}"/>
    <cellStyle name="Comma 3 3" xfId="632" xr:uid="{00000000-0005-0000-0000-0000AD020000}"/>
    <cellStyle name="Comma 3 3 2" xfId="137" xr:uid="{00000000-0005-0000-0000-0000B2000000}"/>
    <cellStyle name="Comma 3 3 2 2" xfId="1036" xr:uid="{00000000-0005-0000-0000-000042040000}"/>
    <cellStyle name="Comma 3 3 2 2 2" xfId="1037" xr:uid="{00000000-0005-0000-0000-000043040000}"/>
    <cellStyle name="Comma 3 3 3" xfId="101" xr:uid="{00000000-0005-0000-0000-000085000000}"/>
    <cellStyle name="Comma 3 3 3 2" xfId="1038" xr:uid="{00000000-0005-0000-0000-000044040000}"/>
    <cellStyle name="Comma 3 3 3 2 2" xfId="1040" xr:uid="{00000000-0005-0000-0000-000046040000}"/>
    <cellStyle name="Comma 3 3 4" xfId="82" xr:uid="{00000000-0005-0000-0000-00006C000000}"/>
    <cellStyle name="Comma 3 3 4 2" xfId="431" xr:uid="{00000000-0005-0000-0000-0000E4010000}"/>
    <cellStyle name="Comma 3 3 5" xfId="1041" xr:uid="{00000000-0005-0000-0000-000047040000}"/>
    <cellStyle name="Comma 3 4" xfId="115" xr:uid="{00000000-0005-0000-0000-000097000000}"/>
    <cellStyle name="Comma 3 4 2" xfId="1044" xr:uid="{00000000-0005-0000-0000-00004A040000}"/>
    <cellStyle name="Comma 3 4 2 2" xfId="283" xr:uid="{00000000-0005-0000-0000-000050010000}"/>
    <cellStyle name="Comma 3 4 3" xfId="173" xr:uid="{00000000-0005-0000-0000-0000DE000000}"/>
    <cellStyle name="Comma 3 5" xfId="123" xr:uid="{00000000-0005-0000-0000-0000A1000000}"/>
    <cellStyle name="Comma 3 5 2" xfId="321" xr:uid="{00000000-0005-0000-0000-000076010000}"/>
    <cellStyle name="Comma 3 5 2 2" xfId="577" xr:uid="{00000000-0005-0000-0000-000076020000}"/>
    <cellStyle name="Comma 3 6" xfId="13" xr:uid="{00000000-0005-0000-0000-000013000000}"/>
    <cellStyle name="Comma 3 6 2" xfId="350" xr:uid="{00000000-0005-0000-0000-000093010000}"/>
    <cellStyle name="Comma 3 7" xfId="140" xr:uid="{00000000-0005-0000-0000-0000B6000000}"/>
    <cellStyle name="Comma 3 7 2" xfId="1045" xr:uid="{00000000-0005-0000-0000-00004B040000}"/>
    <cellStyle name="Comma 30" xfId="933" xr:uid="{00000000-0005-0000-0000-0000DA030000}"/>
    <cellStyle name="Comma 30 2" xfId="938" xr:uid="{00000000-0005-0000-0000-0000DF030000}"/>
    <cellStyle name="Comma 30 2 2" xfId="940" xr:uid="{00000000-0005-0000-0000-0000E1030000}"/>
    <cellStyle name="Comma 30 2 2 2" xfId="17" xr:uid="{00000000-0005-0000-0000-000019000000}"/>
    <cellStyle name="Comma 30 3" xfId="942" xr:uid="{00000000-0005-0000-0000-0000E3030000}"/>
    <cellStyle name="Comma 30 3 2" xfId="944" xr:uid="{00000000-0005-0000-0000-0000E5030000}"/>
    <cellStyle name="Comma 30 3 2 2" xfId="947" xr:uid="{00000000-0005-0000-0000-0000E8030000}"/>
    <cellStyle name="Comma 30 4" xfId="949" xr:uid="{00000000-0005-0000-0000-0000EA030000}"/>
    <cellStyle name="Comma 30 4 2" xfId="951" xr:uid="{00000000-0005-0000-0000-0000EC030000}"/>
    <cellStyle name="Comma 31" xfId="956" xr:uid="{00000000-0005-0000-0000-0000F1030000}"/>
    <cellStyle name="Comma 31 2" xfId="960" xr:uid="{00000000-0005-0000-0000-0000F6030000}"/>
    <cellStyle name="Comma 31 2 2" xfId="963" xr:uid="{00000000-0005-0000-0000-0000F9030000}"/>
    <cellStyle name="Comma 31 2 2 2" xfId="965" xr:uid="{00000000-0005-0000-0000-0000FB030000}"/>
    <cellStyle name="Comma 31 3" xfId="968" xr:uid="{00000000-0005-0000-0000-0000FE030000}"/>
    <cellStyle name="Comma 31 3 2" xfId="971" xr:uid="{00000000-0005-0000-0000-000001040000}"/>
    <cellStyle name="Comma 31 3 2 2" xfId="974" xr:uid="{00000000-0005-0000-0000-000004040000}"/>
    <cellStyle name="Comma 31 4" xfId="978" xr:uid="{00000000-0005-0000-0000-000008040000}"/>
    <cellStyle name="Comma 31 4 2" xfId="175" xr:uid="{00000000-0005-0000-0000-0000E0000000}"/>
    <cellStyle name="Comma 32" xfId="595" xr:uid="{00000000-0005-0000-0000-000088020000}"/>
    <cellStyle name="Comma 32 2" xfId="600" xr:uid="{00000000-0005-0000-0000-00008D020000}"/>
    <cellStyle name="Comma 32 2 2" xfId="981" xr:uid="{00000000-0005-0000-0000-00000B040000}"/>
    <cellStyle name="Comma 32 2 2 2" xfId="983" xr:uid="{00000000-0005-0000-0000-00000D040000}"/>
    <cellStyle name="Comma 32 3" xfId="986" xr:uid="{00000000-0005-0000-0000-000010040000}"/>
    <cellStyle name="Comma 32 3 2" xfId="989" xr:uid="{00000000-0005-0000-0000-000013040000}"/>
    <cellStyle name="Comma 32 3 2 2" xfId="991" xr:uid="{00000000-0005-0000-0000-000015040000}"/>
    <cellStyle name="Comma 32 4" xfId="994" xr:uid="{00000000-0005-0000-0000-000018040000}"/>
    <cellStyle name="Comma 32 4 2" xfId="999" xr:uid="{00000000-0005-0000-0000-00001D040000}"/>
    <cellStyle name="Comma 33" xfId="610" xr:uid="{00000000-0005-0000-0000-000097020000}"/>
    <cellStyle name="Comma 33 2" xfId="442" xr:uid="{00000000-0005-0000-0000-0000EF010000}"/>
    <cellStyle name="Comma 33 2 2" xfId="1002" xr:uid="{00000000-0005-0000-0000-000020040000}"/>
    <cellStyle name="Comma 34" xfId="757" xr:uid="{00000000-0005-0000-0000-00002A030000}"/>
    <cellStyle name="Comma 34 2" xfId="467" xr:uid="{00000000-0005-0000-0000-000008020000}"/>
    <cellStyle name="Comma 34 2 2" xfId="37" xr:uid="{00000000-0005-0000-0000-00002F000000}"/>
    <cellStyle name="Comma 35" xfId="1047" xr:uid="{00000000-0005-0000-0000-00004D040000}"/>
    <cellStyle name="Comma 35 2" xfId="1048" xr:uid="{00000000-0005-0000-0000-00004E040000}"/>
    <cellStyle name="Comma 35 2 2" xfId="1050" xr:uid="{00000000-0005-0000-0000-000050040000}"/>
    <cellStyle name="Comma 36" xfId="1051" xr:uid="{00000000-0005-0000-0000-000051040000}"/>
    <cellStyle name="Comma 36 2" xfId="304" xr:uid="{00000000-0005-0000-0000-000065010000}"/>
    <cellStyle name="Comma 36 2 2" xfId="211" xr:uid="{00000000-0005-0000-0000-000005010000}"/>
    <cellStyle name="Comma 37" xfId="670" xr:uid="{00000000-0005-0000-0000-0000D3020000}"/>
    <cellStyle name="Comma 37 2" xfId="1052" xr:uid="{00000000-0005-0000-0000-000052040000}"/>
    <cellStyle name="Comma 38" xfId="1053" xr:uid="{00000000-0005-0000-0000-000053040000}"/>
    <cellStyle name="Comma 38 2" xfId="1054" xr:uid="{00000000-0005-0000-0000-000054040000}"/>
    <cellStyle name="Comma 39" xfId="907" xr:uid="{00000000-0005-0000-0000-0000C0030000}"/>
    <cellStyle name="Comma 4" xfId="1055" xr:uid="{00000000-0005-0000-0000-000055040000}"/>
    <cellStyle name="Comma 4 2" xfId="1056" xr:uid="{00000000-0005-0000-0000-000056040000}"/>
    <cellStyle name="Comma 4 2 2" xfId="1057" xr:uid="{00000000-0005-0000-0000-000057040000}"/>
    <cellStyle name="Comma 4 2 2 2" xfId="1059" xr:uid="{00000000-0005-0000-0000-000059040000}"/>
    <cellStyle name="Comma 4 2 3" xfId="1062" xr:uid="{00000000-0005-0000-0000-00005C040000}"/>
    <cellStyle name="Comma 4 3" xfId="637" xr:uid="{00000000-0005-0000-0000-0000B2020000}"/>
    <cellStyle name="Comma 4 3 2" xfId="1065" xr:uid="{00000000-0005-0000-0000-00005F040000}"/>
    <cellStyle name="Comma 4 3 2 2" xfId="21" xr:uid="{00000000-0005-0000-0000-00001E000000}"/>
    <cellStyle name="Comma 4 3 3" xfId="1070" xr:uid="{00000000-0005-0000-0000-000064040000}"/>
    <cellStyle name="Comma 4 4" xfId="1071" xr:uid="{00000000-0005-0000-0000-000065040000}"/>
    <cellStyle name="Comma 4 4 2" xfId="178" xr:uid="{00000000-0005-0000-0000-0000E3000000}"/>
    <cellStyle name="Comma 4 4 2 2" xfId="2385" xr:uid="{C9109DE7-F2A7-48EF-91D9-1BCB80A52B96}"/>
    <cellStyle name="Comma 4 4 3" xfId="2422" xr:uid="{185940C4-2C07-456F-B13E-341381551D50}"/>
    <cellStyle name="Comma 4 5" xfId="213" xr:uid="{00000000-0005-0000-0000-000007010000}"/>
    <cellStyle name="Comma 40" xfId="1046" xr:uid="{00000000-0005-0000-0000-00004C040000}"/>
    <cellStyle name="Comma 41" xfId="2369" xr:uid="{1B99AA03-D0E8-4AF4-AD1D-D131E0B53E3F}"/>
    <cellStyle name="Comma 5" xfId="1072" xr:uid="{00000000-0005-0000-0000-000066040000}"/>
    <cellStyle name="Comma 5 2" xfId="1073" xr:uid="{00000000-0005-0000-0000-000067040000}"/>
    <cellStyle name="Comma 5 2 2" xfId="1074" xr:uid="{00000000-0005-0000-0000-000068040000}"/>
    <cellStyle name="Comma 5 2 2 2" xfId="771" xr:uid="{00000000-0005-0000-0000-000038030000}"/>
    <cellStyle name="Comma 5 2 3" xfId="1075" xr:uid="{00000000-0005-0000-0000-000069040000}"/>
    <cellStyle name="Comma 5 3" xfId="1076" xr:uid="{00000000-0005-0000-0000-00006A040000}"/>
    <cellStyle name="Comma 5 3 2" xfId="1078" xr:uid="{00000000-0005-0000-0000-00006C040000}"/>
    <cellStyle name="Comma 5 3 2 2" xfId="1080" xr:uid="{00000000-0005-0000-0000-00006E040000}"/>
    <cellStyle name="Comma 5 3 3" xfId="1081" xr:uid="{00000000-0005-0000-0000-00006F040000}"/>
    <cellStyle name="Comma 5 4" xfId="1082" xr:uid="{00000000-0005-0000-0000-000070040000}"/>
    <cellStyle name="Comma 5 4 2" xfId="1083" xr:uid="{00000000-0005-0000-0000-000071040000}"/>
    <cellStyle name="Comma 5 5" xfId="587" xr:uid="{00000000-0005-0000-0000-000080020000}"/>
    <cellStyle name="Comma 5 5 2" xfId="589" xr:uid="{00000000-0005-0000-0000-000082020000}"/>
    <cellStyle name="Comma 5 6" xfId="2424" xr:uid="{6DFB9AC6-0533-4E00-90B2-B9946C5C1FBC}"/>
    <cellStyle name="Comma 6" xfId="1084" xr:uid="{00000000-0005-0000-0000-000072040000}"/>
    <cellStyle name="Comma 6 2" xfId="1085" xr:uid="{00000000-0005-0000-0000-000073040000}"/>
    <cellStyle name="Comma 6 2 2" xfId="1089" xr:uid="{00000000-0005-0000-0000-000077040000}"/>
    <cellStyle name="Comma 6 2 2 2" xfId="1090" xr:uid="{00000000-0005-0000-0000-000078040000}"/>
    <cellStyle name="Comma 6 2 2 3" xfId="2384" xr:uid="{BD407A01-1331-4F98-8FD4-89D294B03A91}"/>
    <cellStyle name="Comma 6 3" xfId="1091" xr:uid="{00000000-0005-0000-0000-000079040000}"/>
    <cellStyle name="Comma 6 3 2" xfId="251" xr:uid="{00000000-0005-0000-0000-00002F010000}"/>
    <cellStyle name="Comma 6 3 2 2" xfId="1093" xr:uid="{00000000-0005-0000-0000-00007B040000}"/>
    <cellStyle name="Comma 6 4" xfId="1095" xr:uid="{00000000-0005-0000-0000-00007D040000}"/>
    <cellStyle name="Comma 6 4 2" xfId="1098" xr:uid="{00000000-0005-0000-0000-000080040000}"/>
    <cellStyle name="Comma 6 5" xfId="218" xr:uid="{00000000-0005-0000-0000-00000C010000}"/>
    <cellStyle name="Comma 7" xfId="1101" xr:uid="{00000000-0005-0000-0000-000083040000}"/>
    <cellStyle name="Comma 7 2" xfId="1102" xr:uid="{00000000-0005-0000-0000-000084040000}"/>
    <cellStyle name="Comma 7 2 2" xfId="921" xr:uid="{00000000-0005-0000-0000-0000CE030000}"/>
    <cellStyle name="Comma 7 2 2 2" xfId="1105" xr:uid="{00000000-0005-0000-0000-000087040000}"/>
    <cellStyle name="Comma 7 3" xfId="1107" xr:uid="{00000000-0005-0000-0000-000089040000}"/>
    <cellStyle name="Comma 7 3 2" xfId="129" xr:uid="{00000000-0005-0000-0000-0000A9000000}"/>
    <cellStyle name="Comma 7 3 2 2" xfId="1110" xr:uid="{00000000-0005-0000-0000-00008C040000}"/>
    <cellStyle name="Comma 7 4" xfId="1112" xr:uid="{00000000-0005-0000-0000-00008E040000}"/>
    <cellStyle name="Comma 7 4 2" xfId="1113" xr:uid="{00000000-0005-0000-0000-00008F040000}"/>
    <cellStyle name="Comma 7 5" xfId="1115" xr:uid="{00000000-0005-0000-0000-000091040000}"/>
    <cellStyle name="Comma 8" xfId="1118" xr:uid="{00000000-0005-0000-0000-000094040000}"/>
    <cellStyle name="Comma 8 2" xfId="234" xr:uid="{00000000-0005-0000-0000-00001D010000}"/>
    <cellStyle name="Comma 8 2 2" xfId="194" xr:uid="{00000000-0005-0000-0000-0000F4000000}"/>
    <cellStyle name="Comma 8 2 2 2" xfId="1120" xr:uid="{00000000-0005-0000-0000-000096040000}"/>
    <cellStyle name="Comma 8 3" xfId="859" xr:uid="{00000000-0005-0000-0000-000090030000}"/>
    <cellStyle name="Comma 8 3 2" xfId="862" xr:uid="{00000000-0005-0000-0000-000093030000}"/>
    <cellStyle name="Comma 8 3 2 2" xfId="1123" xr:uid="{00000000-0005-0000-0000-000099040000}"/>
    <cellStyle name="Comma 8 4" xfId="865" xr:uid="{00000000-0005-0000-0000-000096030000}"/>
    <cellStyle name="Comma 8 4 2" xfId="1127" xr:uid="{00000000-0005-0000-0000-00009D040000}"/>
    <cellStyle name="Comma 8 5" xfId="226" xr:uid="{00000000-0005-0000-0000-000014010000}"/>
    <cellStyle name="Comma 8 6" xfId="2428" xr:uid="{A37BEC34-201C-4B7F-B36B-AAE141EE2008}"/>
    <cellStyle name="Comma 84" xfId="1128" xr:uid="{00000000-0005-0000-0000-00009E040000}"/>
    <cellStyle name="Comma 84 2" xfId="1130" xr:uid="{00000000-0005-0000-0000-0000A0040000}"/>
    <cellStyle name="Comma 84 2 2" xfId="1132" xr:uid="{00000000-0005-0000-0000-0000A2040000}"/>
    <cellStyle name="Comma 84 2 2 2" xfId="845" xr:uid="{00000000-0005-0000-0000-000082030000}"/>
    <cellStyle name="Comma 84 2 2 2 2" xfId="1133" xr:uid="{00000000-0005-0000-0000-0000A3040000}"/>
    <cellStyle name="Comma 84 2 3" xfId="833" xr:uid="{00000000-0005-0000-0000-000076030000}"/>
    <cellStyle name="Comma 84 2 3 2" xfId="1135" xr:uid="{00000000-0005-0000-0000-0000A5040000}"/>
    <cellStyle name="Comma 84 2 3 2 2" xfId="1136" xr:uid="{00000000-0005-0000-0000-0000A6040000}"/>
    <cellStyle name="Comma 84 2 4" xfId="892" xr:uid="{00000000-0005-0000-0000-0000B1030000}"/>
    <cellStyle name="Comma 84 2 4 2" xfId="1138" xr:uid="{00000000-0005-0000-0000-0000A8040000}"/>
    <cellStyle name="Comma 84 3" xfId="1140" xr:uid="{00000000-0005-0000-0000-0000AA040000}"/>
    <cellStyle name="Comma 84 3 2" xfId="1142" xr:uid="{00000000-0005-0000-0000-0000AC040000}"/>
    <cellStyle name="Comma 84 3 2 2" xfId="1143" xr:uid="{00000000-0005-0000-0000-0000AD040000}"/>
    <cellStyle name="Comma 84 4" xfId="1144" xr:uid="{00000000-0005-0000-0000-0000AE040000}"/>
    <cellStyle name="Comma 84 4 2" xfId="1146" xr:uid="{00000000-0005-0000-0000-0000B0040000}"/>
    <cellStyle name="Comma 9" xfId="1043" xr:uid="{00000000-0005-0000-0000-000049040000}"/>
    <cellStyle name="Comma 9 2" xfId="282" xr:uid="{00000000-0005-0000-0000-00004F010000}"/>
    <cellStyle name="Comma 9 2 2" xfId="1152" xr:uid="{00000000-0005-0000-0000-0000B6040000}"/>
    <cellStyle name="Comma 9 2 2 2" xfId="1154" xr:uid="{00000000-0005-0000-0000-0000B8040000}"/>
    <cellStyle name="Comma 9 3" xfId="870" xr:uid="{00000000-0005-0000-0000-00009B030000}"/>
    <cellStyle name="Comma 9 3 2" xfId="607" xr:uid="{00000000-0005-0000-0000-000094020000}"/>
    <cellStyle name="Comma 9 3 2 2" xfId="1155" xr:uid="{00000000-0005-0000-0000-0000B9040000}"/>
    <cellStyle name="Comma 9 4" xfId="873" xr:uid="{00000000-0005-0000-0000-00009E030000}"/>
    <cellStyle name="Comma 9 4 2" xfId="1156" xr:uid="{00000000-0005-0000-0000-0000BA040000}"/>
    <cellStyle name="comma zerodec" xfId="189" xr:uid="{00000000-0005-0000-0000-0000EE000000}"/>
    <cellStyle name="Comma,0" xfId="358" xr:uid="{00000000-0005-0000-0000-00009B010000}"/>
    <cellStyle name="Comma,1" xfId="1157" xr:uid="{00000000-0005-0000-0000-0000BB040000}"/>
    <cellStyle name="Comma,2" xfId="1126" xr:uid="{00000000-0005-0000-0000-00009C040000}"/>
    <cellStyle name="consultationStyle" xfId="1159" xr:uid="{00000000-0005-0000-0000-0000BD040000}"/>
    <cellStyle name="Currency" xfId="2434" builtinId="4"/>
    <cellStyle name="Currency [00]" xfId="946" xr:uid="{00000000-0005-0000-0000-0000E7030000}"/>
    <cellStyle name="Currency 2" xfId="1160" xr:uid="{00000000-0005-0000-0000-0000BE040000}"/>
    <cellStyle name="Currency,0" xfId="457" xr:uid="{00000000-0005-0000-0000-0000FE010000}"/>
    <cellStyle name="Currency,2" xfId="462" xr:uid="{00000000-0005-0000-0000-000003020000}"/>
    <cellStyle name="Currency1" xfId="1161" xr:uid="{00000000-0005-0000-0000-0000BF040000}"/>
    <cellStyle name="dataStyle" xfId="1163" xr:uid="{00000000-0005-0000-0000-0000C1040000}"/>
    <cellStyle name="dataStyle 10" xfId="1167" xr:uid="{00000000-0005-0000-0000-0000C5040000}"/>
    <cellStyle name="dataStyle 2" xfId="1168" xr:uid="{00000000-0005-0000-0000-0000C6040000}"/>
    <cellStyle name="dataStyle 2 2" xfId="1067" xr:uid="{00000000-0005-0000-0000-000061040000}"/>
    <cellStyle name="dataStyle 2 2 2" xfId="1170" xr:uid="{00000000-0005-0000-0000-0000C8040000}"/>
    <cellStyle name="dataStyle 2 2 3" xfId="1172" xr:uid="{00000000-0005-0000-0000-0000CA040000}"/>
    <cellStyle name="dataStyle 2 2 4" xfId="56" xr:uid="{00000000-0005-0000-0000-00004A000000}"/>
    <cellStyle name="dataStyle 2 2 5" xfId="1174" xr:uid="{00000000-0005-0000-0000-0000CC040000}"/>
    <cellStyle name="dataStyle 2 2 6" xfId="1176" xr:uid="{00000000-0005-0000-0000-0000CE040000}"/>
    <cellStyle name="dataStyle 2 2 7" xfId="1064" xr:uid="{00000000-0005-0000-0000-00005E040000}"/>
    <cellStyle name="dataStyle 2 3" xfId="1180" xr:uid="{00000000-0005-0000-0000-0000D2040000}"/>
    <cellStyle name="dataStyle 2 4" xfId="1183" xr:uid="{00000000-0005-0000-0000-0000D5040000}"/>
    <cellStyle name="dataStyle 2 5" xfId="1188" xr:uid="{00000000-0005-0000-0000-0000DA040000}"/>
    <cellStyle name="dataStyle 2 6" xfId="1149" xr:uid="{00000000-0005-0000-0000-0000B3040000}"/>
    <cellStyle name="dataStyle 2 7" xfId="1125" xr:uid="{00000000-0005-0000-0000-00009B040000}"/>
    <cellStyle name="dataStyle 2 8" xfId="97" xr:uid="{00000000-0005-0000-0000-000080000000}"/>
    <cellStyle name="dataStyle 2 9" xfId="2402" xr:uid="{56E4F5A1-4721-4407-BFA9-493FB933CB1A}"/>
    <cellStyle name="dataStyle 3" xfId="542" xr:uid="{00000000-0005-0000-0000-000053020000}"/>
    <cellStyle name="dataStyle 3 2" xfId="373" xr:uid="{00000000-0005-0000-0000-0000AA010000}"/>
    <cellStyle name="dataStyle 3 2 2" xfId="1189" xr:uid="{00000000-0005-0000-0000-0000DB040000}"/>
    <cellStyle name="dataStyle 3 2 3" xfId="1191" xr:uid="{00000000-0005-0000-0000-0000DD040000}"/>
    <cellStyle name="dataStyle 3 2 4" xfId="1192" xr:uid="{00000000-0005-0000-0000-0000DE040000}"/>
    <cellStyle name="dataStyle 3 2 5" xfId="1193" xr:uid="{00000000-0005-0000-0000-0000DF040000}"/>
    <cellStyle name="dataStyle 3 2 6" xfId="1194" xr:uid="{00000000-0005-0000-0000-0000E0040000}"/>
    <cellStyle name="dataStyle 3 2 7" xfId="1077" xr:uid="{00000000-0005-0000-0000-00006B040000}"/>
    <cellStyle name="dataStyle 3 3" xfId="1196" xr:uid="{00000000-0005-0000-0000-0000E2040000}"/>
    <cellStyle name="dataStyle 3 4" xfId="1151" xr:uid="{00000000-0005-0000-0000-0000B5040000}"/>
    <cellStyle name="dataStyle 3 5" xfId="1198" xr:uid="{00000000-0005-0000-0000-0000E4040000}"/>
    <cellStyle name="dataStyle 3 6" xfId="1199" xr:uid="{00000000-0005-0000-0000-0000E5040000}"/>
    <cellStyle name="dataStyle 3 7" xfId="1202" xr:uid="{00000000-0005-0000-0000-0000E8040000}"/>
    <cellStyle name="dataStyle 3 8" xfId="1203" xr:uid="{00000000-0005-0000-0000-0000E9040000}"/>
    <cellStyle name="dataStyle 4" xfId="545" xr:uid="{00000000-0005-0000-0000-000056020000}"/>
    <cellStyle name="dataStyle 4 2" xfId="1205" xr:uid="{00000000-0005-0000-0000-0000EB040000}"/>
    <cellStyle name="dataStyle 4 3" xfId="1209" xr:uid="{00000000-0005-0000-0000-0000EF040000}"/>
    <cellStyle name="dataStyle 4 4" xfId="606" xr:uid="{00000000-0005-0000-0000-000093020000}"/>
    <cellStyle name="dataStyle 4 5" xfId="1212" xr:uid="{00000000-0005-0000-0000-0000F2040000}"/>
    <cellStyle name="dataStyle 4 6" xfId="1214" xr:uid="{00000000-0005-0000-0000-0000F4040000}"/>
    <cellStyle name="dataStyle 4 7" xfId="1218" xr:uid="{00000000-0005-0000-0000-0000F8040000}"/>
    <cellStyle name="dataStyle 5" xfId="1220" xr:uid="{00000000-0005-0000-0000-0000FA040000}"/>
    <cellStyle name="dataStyle 6" xfId="1099" xr:uid="{00000000-0005-0000-0000-000081040000}"/>
    <cellStyle name="dataStyle 7" xfId="1221" xr:uid="{00000000-0005-0000-0000-0000FB040000}"/>
    <cellStyle name="dataStyle 8" xfId="1223" xr:uid="{00000000-0005-0000-0000-0000FD040000}"/>
    <cellStyle name="dataStyle 9" xfId="1225" xr:uid="{00000000-0005-0000-0000-0000FF040000}"/>
    <cellStyle name="Date" xfId="1226" xr:uid="{00000000-0005-0000-0000-000000050000}"/>
    <cellStyle name="Date Short" xfId="535" xr:uid="{00000000-0005-0000-0000-00004C020000}"/>
    <cellStyle name="Date_capinves" xfId="371" xr:uid="{00000000-0005-0000-0000-0000A8010000}"/>
    <cellStyle name="dateStyle" xfId="232" xr:uid="{00000000-0005-0000-0000-00001A010000}"/>
    <cellStyle name="dateStyle 2" xfId="193" xr:uid="{00000000-0005-0000-0000-0000F3000000}"/>
    <cellStyle name="dateStyle 2 2" xfId="1119" xr:uid="{00000000-0005-0000-0000-000095040000}"/>
    <cellStyle name="dateStyle 2 3" xfId="1227" xr:uid="{00000000-0005-0000-0000-000001050000}"/>
    <cellStyle name="dateStyle 2 4" xfId="657" xr:uid="{00000000-0005-0000-0000-0000C6020000}"/>
    <cellStyle name="dateStyle 2 5" xfId="1229" xr:uid="{00000000-0005-0000-0000-000003050000}"/>
    <cellStyle name="dateStyle 2 6" xfId="1129" xr:uid="{00000000-0005-0000-0000-00009F040000}"/>
    <cellStyle name="dateStyle 2 7" xfId="1139" xr:uid="{00000000-0005-0000-0000-0000A9040000}"/>
    <cellStyle name="dateStyle 2 8" xfId="2403" xr:uid="{A6E037AD-57BD-4064-B4C5-1848251C88B0}"/>
    <cellStyle name="dateStyle 3" xfId="209" xr:uid="{00000000-0005-0000-0000-000003010000}"/>
    <cellStyle name="dateStyle 4" xfId="1230" xr:uid="{00000000-0005-0000-0000-000004050000}"/>
    <cellStyle name="dateStyle 5" xfId="1233" xr:uid="{00000000-0005-0000-0000-000007050000}"/>
    <cellStyle name="dateStyle 6" xfId="1235" xr:uid="{00000000-0005-0000-0000-000009050000}"/>
    <cellStyle name="dateStyle 7" xfId="661" xr:uid="{00000000-0005-0000-0000-0000CA020000}"/>
    <cellStyle name="dateStyle 8" xfId="1237" xr:uid="{00000000-0005-0000-0000-00000B050000}"/>
    <cellStyle name="Dollar (zero dec)" xfId="1239" xr:uid="{00000000-0005-0000-0000-00000D050000}"/>
    <cellStyle name="Enter Currency (0)" xfId="339" xr:uid="{00000000-0005-0000-0000-000088010000}"/>
    <cellStyle name="Enter Currency (2)" xfId="1201" xr:uid="{00000000-0005-0000-0000-0000E7040000}"/>
    <cellStyle name="Enter Units (0)" xfId="89" xr:uid="{00000000-0005-0000-0000-000076000000}"/>
    <cellStyle name="Enter Units (1)" xfId="386" xr:uid="{00000000-0005-0000-0000-0000B7010000}"/>
    <cellStyle name="Enter Units (2)" xfId="936" xr:uid="{00000000-0005-0000-0000-0000DD030000}"/>
    <cellStyle name="entry" xfId="42" xr:uid="{00000000-0005-0000-0000-000037000000}"/>
    <cellStyle name="entry box" xfId="1240" xr:uid="{00000000-0005-0000-0000-00000E050000}"/>
    <cellStyle name="entry box 2" xfId="242" xr:uid="{00000000-0005-0000-0000-000025010000}"/>
    <cellStyle name="entry box 2 2" xfId="1242" xr:uid="{00000000-0005-0000-0000-000010050000}"/>
    <cellStyle name="entry box 2 3" xfId="599" xr:uid="{00000000-0005-0000-0000-00008C020000}"/>
    <cellStyle name="entry box 2 4" xfId="985" xr:uid="{00000000-0005-0000-0000-00000F040000}"/>
    <cellStyle name="entry box 2 5" xfId="993" xr:uid="{00000000-0005-0000-0000-000017040000}"/>
    <cellStyle name="entry box 2 6" xfId="1245" xr:uid="{00000000-0005-0000-0000-000013050000}"/>
    <cellStyle name="entry box 2 7" xfId="1250" xr:uid="{00000000-0005-0000-0000-000018050000}"/>
    <cellStyle name="entry box 3" xfId="1252" xr:uid="{00000000-0005-0000-0000-00001A050000}"/>
    <cellStyle name="entry box 4" xfId="1254" xr:uid="{00000000-0005-0000-0000-00001C050000}"/>
    <cellStyle name="entry box 5" xfId="1256" xr:uid="{00000000-0005-0000-0000-00001E050000}"/>
    <cellStyle name="entry box 6" xfId="1258" xr:uid="{00000000-0005-0000-0000-000020050000}"/>
    <cellStyle name="entry box 7" xfId="1260" xr:uid="{00000000-0005-0000-0000-000022050000}"/>
    <cellStyle name="entry box 8" xfId="1262" xr:uid="{00000000-0005-0000-0000-000024050000}"/>
    <cellStyle name="Euro" xfId="1264" xr:uid="{00000000-0005-0000-0000-000026050000}"/>
    <cellStyle name="evenStyle" xfId="181" xr:uid="{00000000-0005-0000-0000-0000E6000000}"/>
    <cellStyle name="evenStyle 2" xfId="1265" xr:uid="{00000000-0005-0000-0000-000027050000}"/>
    <cellStyle name="evenStyle 2 2" xfId="55" xr:uid="{00000000-0005-0000-0000-000049000000}"/>
    <cellStyle name="evenStyle 2 2 2" xfId="2401" xr:uid="{B3302A46-6338-408E-B979-E9030D97A750}"/>
    <cellStyle name="evenStyle 2 3" xfId="1173" xr:uid="{00000000-0005-0000-0000-0000CB040000}"/>
    <cellStyle name="evenStyle 2 4" xfId="1175" xr:uid="{00000000-0005-0000-0000-0000CD040000}"/>
    <cellStyle name="evenStyle 2 5" xfId="1063" xr:uid="{00000000-0005-0000-0000-00005D040000}"/>
    <cellStyle name="evenStyle 2 6" xfId="1069" xr:uid="{00000000-0005-0000-0000-000063040000}"/>
    <cellStyle name="evenStyle 2 7" xfId="1178" xr:uid="{00000000-0005-0000-0000-0000D0040000}"/>
    <cellStyle name="evenStyle 3" xfId="1267" xr:uid="{00000000-0005-0000-0000-000029050000}"/>
    <cellStyle name="evenStyle 4" xfId="1269" xr:uid="{00000000-0005-0000-0000-00002B050000}"/>
    <cellStyle name="evenStyle 5" xfId="785" xr:uid="{00000000-0005-0000-0000-000046030000}"/>
    <cellStyle name="evenStyle 6" xfId="1271" xr:uid="{00000000-0005-0000-0000-00002D050000}"/>
    <cellStyle name="evenStyle 7" xfId="902" xr:uid="{00000000-0005-0000-0000-0000BB030000}"/>
    <cellStyle name="evenStyle 8" xfId="1001" xr:uid="{00000000-0005-0000-0000-00001F040000}"/>
    <cellStyle name="F2" xfId="144" xr:uid="{00000000-0005-0000-0000-0000BD000000}"/>
    <cellStyle name="F3" xfId="156" xr:uid="{00000000-0005-0000-0000-0000CC000000}"/>
    <cellStyle name="F4" xfId="1273" xr:uid="{00000000-0005-0000-0000-00002F050000}"/>
    <cellStyle name="F5" xfId="277" xr:uid="{00000000-0005-0000-0000-00004A010000}"/>
    <cellStyle name="F6" xfId="1274" xr:uid="{00000000-0005-0000-0000-000030050000}"/>
    <cellStyle name="F7" xfId="1275" xr:uid="{00000000-0005-0000-0000-000031050000}"/>
    <cellStyle name="F8" xfId="1276" xr:uid="{00000000-0005-0000-0000-000032050000}"/>
    <cellStyle name="Fixed" xfId="707" xr:uid="{00000000-0005-0000-0000-0000F8020000}"/>
    <cellStyle name="Good 2" xfId="1277" xr:uid="{00000000-0005-0000-0000-000033050000}"/>
    <cellStyle name="Good 2 2" xfId="1278" xr:uid="{00000000-0005-0000-0000-000034050000}"/>
    <cellStyle name="Good 2 3" xfId="1280" xr:uid="{00000000-0005-0000-0000-000036050000}"/>
    <cellStyle name="Good 2 4" xfId="2398" xr:uid="{65B55EDD-4865-4C86-B525-84F01C0ADBA3}"/>
    <cellStyle name="Good 3" xfId="768" xr:uid="{00000000-0005-0000-0000-000035030000}"/>
    <cellStyle name="Good 4" xfId="1284" xr:uid="{00000000-0005-0000-0000-00003A050000}"/>
    <cellStyle name="Good 4 2" xfId="2427" xr:uid="{F5E19A97-C0F8-4331-BEC2-D8BA7138448B}"/>
    <cellStyle name="Grey" xfId="1285" xr:uid="{00000000-0005-0000-0000-00003B050000}"/>
    <cellStyle name="HEADER" xfId="954" xr:uid="{00000000-0005-0000-0000-0000EF030000}"/>
    <cellStyle name="Header1" xfId="1289" xr:uid="{00000000-0005-0000-0000-00003F050000}"/>
    <cellStyle name="Header2" xfId="1291" xr:uid="{00000000-0005-0000-0000-000041050000}"/>
    <cellStyle name="Header2 2" xfId="333" xr:uid="{00000000-0005-0000-0000-000082010000}"/>
    <cellStyle name="Header2 2 2" xfId="837" xr:uid="{00000000-0005-0000-0000-00007A030000}"/>
    <cellStyle name="Header2 2 3" xfId="1292" xr:uid="{00000000-0005-0000-0000-000042050000}"/>
    <cellStyle name="Header2 2 4" xfId="669" xr:uid="{00000000-0005-0000-0000-0000D2020000}"/>
    <cellStyle name="Header2 2 5" xfId="1293" xr:uid="{00000000-0005-0000-0000-000043050000}"/>
    <cellStyle name="Header2 2 6" xfId="1294" xr:uid="{00000000-0005-0000-0000-000044050000}"/>
    <cellStyle name="Header2 2 7" xfId="1296" xr:uid="{00000000-0005-0000-0000-000046050000}"/>
    <cellStyle name="Header2 3" xfId="864" xr:uid="{00000000-0005-0000-0000-000095030000}"/>
    <cellStyle name="Header2 4" xfId="1297" xr:uid="{00000000-0005-0000-0000-000047050000}"/>
    <cellStyle name="Header2 5" xfId="1300" xr:uid="{00000000-0005-0000-0000-00004A050000}"/>
    <cellStyle name="Header2 6" xfId="1301" xr:uid="{00000000-0005-0000-0000-00004B050000}"/>
    <cellStyle name="Header2 7" xfId="289" xr:uid="{00000000-0005-0000-0000-000056010000}"/>
    <cellStyle name="Header2 8" xfId="484" xr:uid="{00000000-0005-0000-0000-000019020000}"/>
    <cellStyle name="Heading1" xfId="1303" xr:uid="{00000000-0005-0000-0000-00004D050000}"/>
    <cellStyle name="Heading2" xfId="858" xr:uid="{00000000-0005-0000-0000-00008F030000}"/>
    <cellStyle name="headStyle" xfId="1305" xr:uid="{00000000-0005-0000-0000-00004F050000}"/>
    <cellStyle name="headStyle 2" xfId="1306" xr:uid="{00000000-0005-0000-0000-000050050000}"/>
    <cellStyle name="headStyle 2 2" xfId="1308" xr:uid="{00000000-0005-0000-0000-000052050000}"/>
    <cellStyle name="headStyle 2 3" xfId="1311" xr:uid="{00000000-0005-0000-0000-000055050000}"/>
    <cellStyle name="headStyle 2 4" xfId="792" xr:uid="{00000000-0005-0000-0000-00004D030000}"/>
    <cellStyle name="headStyle 2 5" xfId="1314" xr:uid="{00000000-0005-0000-0000-000058050000}"/>
    <cellStyle name="headStyle 2 6" xfId="925" xr:uid="{00000000-0005-0000-0000-0000D2030000}"/>
    <cellStyle name="headStyle 2 7" xfId="1005" xr:uid="{00000000-0005-0000-0000-000023040000}"/>
    <cellStyle name="headStyle 3" xfId="1316" xr:uid="{00000000-0005-0000-0000-00005A050000}"/>
    <cellStyle name="headStyle 4" xfId="1318" xr:uid="{00000000-0005-0000-0000-00005C050000}"/>
    <cellStyle name="headStyle 5" xfId="1320" xr:uid="{00000000-0005-0000-0000-00005E050000}"/>
    <cellStyle name="headStyle 6" xfId="696" xr:uid="{00000000-0005-0000-0000-0000ED020000}"/>
    <cellStyle name="headStyle 7" xfId="703" xr:uid="{00000000-0005-0000-0000-0000F4020000}"/>
    <cellStyle name="headStyle 8" xfId="716" xr:uid="{00000000-0005-0000-0000-000001030000}"/>
    <cellStyle name="Hyperlink" xfId="28" builtinId="8"/>
    <cellStyle name="Hyperlink 2" xfId="124" xr:uid="{00000000-0005-0000-0000-0000A3000000}"/>
    <cellStyle name="Hyperlink 2 2" xfId="1322" xr:uid="{00000000-0005-0000-0000-000060050000}"/>
    <cellStyle name="Hyperlink 2 2 2" xfId="1324" xr:uid="{00000000-0005-0000-0000-000062050000}"/>
    <cellStyle name="Hyperlink 2 2 3" xfId="643" xr:uid="{00000000-0005-0000-0000-0000B8020000}"/>
    <cellStyle name="Hyperlink 2 2 4" xfId="94" xr:uid="{00000000-0005-0000-0000-00007C000000}"/>
    <cellStyle name="Hyperlink 2 2 5" xfId="640" xr:uid="{00000000-0005-0000-0000-0000B5020000}"/>
    <cellStyle name="Hyperlink 2 3" xfId="1326" xr:uid="{00000000-0005-0000-0000-000064050000}"/>
    <cellStyle name="Hyperlink 3" xfId="128" xr:uid="{00000000-0005-0000-0000-0000A8000000}"/>
    <cellStyle name="Hyperlink 4" xfId="143" xr:uid="{00000000-0005-0000-0000-0000BA000000}"/>
    <cellStyle name="Hyperlink 4 2" xfId="1327" xr:uid="{00000000-0005-0000-0000-000065050000}"/>
    <cellStyle name="Hyperlink 4 2 2" xfId="1288" xr:uid="{00000000-0005-0000-0000-00003E050000}"/>
    <cellStyle name="Hyperlink 5" xfId="151" xr:uid="{00000000-0005-0000-0000-0000C5000000}"/>
    <cellStyle name="Hyperlink 5 2" xfId="1328" xr:uid="{00000000-0005-0000-0000-000066050000}"/>
    <cellStyle name="Hyperlink 5 2 2" xfId="2419" xr:uid="{3D9B2284-47F4-4641-B9C2-303035DF1E78}"/>
    <cellStyle name="Hyperlink 6" xfId="1331" xr:uid="{00000000-0005-0000-0000-000069050000}"/>
    <cellStyle name="Hyperlink 6 2" xfId="2426" xr:uid="{BFF5C651-9A34-44DE-BD81-1CD16DE58371}"/>
    <cellStyle name="Hyperlink 7" xfId="299" xr:uid="{00000000-0005-0000-0000-000060010000}"/>
    <cellStyle name="Input [yellow]" xfId="827" xr:uid="{00000000-0005-0000-0000-000070030000}"/>
    <cellStyle name="Input [yellow] 2" xfId="1333" xr:uid="{00000000-0005-0000-0000-00006B050000}"/>
    <cellStyle name="Input [yellow] 2 2" xfId="1179" xr:uid="{00000000-0005-0000-0000-0000D1040000}"/>
    <cellStyle name="Input [yellow] 2 3" xfId="1181" xr:uid="{00000000-0005-0000-0000-0000D3040000}"/>
    <cellStyle name="Input [yellow] 2 4" xfId="1186" xr:uid="{00000000-0005-0000-0000-0000D8040000}"/>
    <cellStyle name="Input [yellow] 2 5" xfId="1147" xr:uid="{00000000-0005-0000-0000-0000B1040000}"/>
    <cellStyle name="Input [yellow] 2 6" xfId="1122" xr:uid="{00000000-0005-0000-0000-000098040000}"/>
    <cellStyle name="Input [yellow] 2 7" xfId="95" xr:uid="{00000000-0005-0000-0000-00007D000000}"/>
    <cellStyle name="Input [yellow] 3" xfId="1334" xr:uid="{00000000-0005-0000-0000-00006C050000}"/>
    <cellStyle name="Input [yellow] 4" xfId="27" xr:uid="{00000000-0005-0000-0000-000025000000}"/>
    <cellStyle name="Input [yellow] 5" xfId="453" xr:uid="{00000000-0005-0000-0000-0000FA010000}"/>
    <cellStyle name="Input [yellow] 6" xfId="1335" xr:uid="{00000000-0005-0000-0000-00006D050000}"/>
    <cellStyle name="Input [yellow] 7" xfId="1336" xr:uid="{00000000-0005-0000-0000-00006E050000}"/>
    <cellStyle name="Input [yellow] 8" xfId="1337" xr:uid="{00000000-0005-0000-0000-00006F050000}"/>
    <cellStyle name="Link Currency (0)" xfId="1061" xr:uid="{00000000-0005-0000-0000-00005B040000}"/>
    <cellStyle name="Link Currency (2)" xfId="1295" xr:uid="{00000000-0005-0000-0000-000045050000}"/>
    <cellStyle name="Link Units (0)" xfId="111" xr:uid="{00000000-0005-0000-0000-000092000000}"/>
    <cellStyle name="Link Units (1)" xfId="83" xr:uid="{00000000-0005-0000-0000-00006E000000}"/>
    <cellStyle name="Link Units (2)" xfId="1228" xr:uid="{00000000-0005-0000-0000-000002050000}"/>
    <cellStyle name="Model" xfId="1339" xr:uid="{00000000-0005-0000-0000-000071050000}"/>
    <cellStyle name="Monétaire [0]_PERSONAL" xfId="1068" xr:uid="{00000000-0005-0000-0000-000062040000}"/>
    <cellStyle name="Monétaire_PERSONAL" xfId="40" xr:uid="{00000000-0005-0000-0000-000033000000}"/>
    <cellStyle name="Neutral 2" xfId="1341" xr:uid="{00000000-0005-0000-0000-000073050000}"/>
    <cellStyle name="Normal" xfId="0" builtinId="0"/>
    <cellStyle name="Normal - Style1" xfId="1342" xr:uid="{00000000-0005-0000-0000-000074050000}"/>
    <cellStyle name="Normal 10" xfId="591" xr:uid="{00000000-0005-0000-0000-000084020000}"/>
    <cellStyle name="Normal 10 10" xfId="437" xr:uid="{00000000-0005-0000-0000-0000EA010000}"/>
    <cellStyle name="Normal 10 10 2" xfId="644" xr:uid="{00000000-0005-0000-0000-0000B9020000}"/>
    <cellStyle name="Normal 10 2" xfId="2404" xr:uid="{7DAE6BCA-D127-446A-8BC9-0FA9B2F926C7}"/>
    <cellStyle name="Normal 10 2 2" xfId="1343" xr:uid="{00000000-0005-0000-0000-000075050000}"/>
    <cellStyle name="Normal 10 2 2 2" xfId="1164" xr:uid="{00000000-0005-0000-0000-0000C2040000}"/>
    <cellStyle name="Normal 103" xfId="1344" xr:uid="{00000000-0005-0000-0000-000076050000}"/>
    <cellStyle name="Normal 103 2" xfId="482" xr:uid="{00000000-0005-0000-0000-000017020000}"/>
    <cellStyle name="Normal 103 2 2" xfId="2423" xr:uid="{A2FBAA25-44AA-4F17-8DA8-CC9D0AA3A239}"/>
    <cellStyle name="Normal 103 3" xfId="2376" xr:uid="{C8938E2E-E2D2-497A-BFF7-1AE11D685203}"/>
    <cellStyle name="Normal 106 2" xfId="534" xr:uid="{00000000-0005-0000-0000-00004B020000}"/>
    <cellStyle name="Normal 11" xfId="1346" xr:uid="{00000000-0005-0000-0000-000078050000}"/>
    <cellStyle name="Normal 111 2" xfId="533" xr:uid="{00000000-0005-0000-0000-00004A020000}"/>
    <cellStyle name="Normal 111 2 2" xfId="326" xr:uid="{00000000-0005-0000-0000-00007B010000}"/>
    <cellStyle name="Normal 111 2 3" xfId="334" xr:uid="{00000000-0005-0000-0000-000083010000}"/>
    <cellStyle name="Normal 111 2 3 2" xfId="839" xr:uid="{00000000-0005-0000-0000-00007C030000}"/>
    <cellStyle name="Normal 118" xfId="629" xr:uid="{00000000-0005-0000-0000-0000AA020000}"/>
    <cellStyle name="Normal 118 2" xfId="138" xr:uid="{00000000-0005-0000-0000-0000B3000000}"/>
    <cellStyle name="Normal 12" xfId="1349" xr:uid="{00000000-0005-0000-0000-00007B050000}"/>
    <cellStyle name="Normal 12 2" xfId="224" xr:uid="{00000000-0005-0000-0000-000012010000}"/>
    <cellStyle name="Normal 12 2 2" xfId="2413" xr:uid="{AA8BC191-211C-4AFC-A998-95E4C6D7FE8A}"/>
    <cellStyle name="Normal 12 2 2 2 2" xfId="2435" xr:uid="{B20DD861-5BD2-4312-B8D4-404F967ECBD6}"/>
    <cellStyle name="Normal 121" xfId="275" xr:uid="{00000000-0005-0000-0000-000048010000}"/>
    <cellStyle name="Normal 121 2" xfId="1350" xr:uid="{00000000-0005-0000-0000-00007C050000}"/>
    <cellStyle name="Normal 121 2 2" xfId="1351" xr:uid="{00000000-0005-0000-0000-00007D050000}"/>
    <cellStyle name="Normal 121 2 2 2" xfId="1094" xr:uid="{00000000-0005-0000-0000-00007C040000}"/>
    <cellStyle name="Normal 121 2 2 2 2" xfId="1097" xr:uid="{00000000-0005-0000-0000-00007F040000}"/>
    <cellStyle name="Normal 121 2 2 2 3" xfId="2372" xr:uid="{E837421E-D6F7-41E3-877F-DA2C52CEC260}"/>
    <cellStyle name="Normal 121 2 2 2 4" xfId="2382" xr:uid="{7A380382-E899-42B4-B4CE-C93A502BCB20}"/>
    <cellStyle name="Normal 121 2 2 3" xfId="217" xr:uid="{00000000-0005-0000-0000-00000B010000}"/>
    <cellStyle name="Normal 121 2 3" xfId="1352" xr:uid="{00000000-0005-0000-0000-00007E050000}"/>
    <cellStyle name="Normal 121 2 3 2" xfId="1111" xr:uid="{00000000-0005-0000-0000-00008D040000}"/>
    <cellStyle name="Normal 121 2 4" xfId="1353" xr:uid="{00000000-0005-0000-0000-00007F050000}"/>
    <cellStyle name="Normal 121 2 5" xfId="2371" xr:uid="{0101712C-2906-4B18-99A4-43CC06B80B4F}"/>
    <cellStyle name="Normal 124" xfId="114" xr:uid="{00000000-0005-0000-0000-000096000000}"/>
    <cellStyle name="Normal 124 2" xfId="1042" xr:uid="{00000000-0005-0000-0000-000048040000}"/>
    <cellStyle name="Normal 124 2 2" xfId="279" xr:uid="{00000000-0005-0000-0000-00004C010000}"/>
    <cellStyle name="Normal 125" xfId="121" xr:uid="{00000000-0005-0000-0000-00009F000000}"/>
    <cellStyle name="Normal 125 2" xfId="317" xr:uid="{00000000-0005-0000-0000-000072010000}"/>
    <cellStyle name="Normal 125 2 2" xfId="574" xr:uid="{00000000-0005-0000-0000-000073020000}"/>
    <cellStyle name="Normal 125 3" xfId="324" xr:uid="{00000000-0005-0000-0000-000079010000}"/>
    <cellStyle name="Normal 126" xfId="10" xr:uid="{00000000-0005-0000-0000-000010000000}"/>
    <cellStyle name="Normal 126 2" xfId="346" xr:uid="{00000000-0005-0000-0000-00008F010000}"/>
    <cellStyle name="Normal 126 2 2" xfId="381" xr:uid="{00000000-0005-0000-0000-0000B2010000}"/>
    <cellStyle name="Normal 126 3" xfId="356" xr:uid="{00000000-0005-0000-0000-000099010000}"/>
    <cellStyle name="Normal 129" xfId="153" xr:uid="{00000000-0005-0000-0000-0000C8000000}"/>
    <cellStyle name="Normal 129 2" xfId="1355" xr:uid="{00000000-0005-0000-0000-000081050000}"/>
    <cellStyle name="Normal 13" xfId="1358" xr:uid="{00000000-0005-0000-0000-000084050000}"/>
    <cellStyle name="Normal 13 2" xfId="1359" xr:uid="{00000000-0005-0000-0000-000085050000}"/>
    <cellStyle name="Normal 14" xfId="1361" xr:uid="{00000000-0005-0000-0000-000087050000}"/>
    <cellStyle name="Normal 14 2" xfId="1362" xr:uid="{00000000-0005-0000-0000-000088050000}"/>
    <cellStyle name="Normal 15" xfId="2367" xr:uid="{C6B99312-0C07-469E-9E05-BB2ADB68DE33}"/>
    <cellStyle name="Normal 15 2" xfId="2431" xr:uid="{DEF5C868-0FD8-4E9E-B372-2AC78ED97AFD}"/>
    <cellStyle name="Normal 154" xfId="1363" xr:uid="{00000000-0005-0000-0000-000089050000}"/>
    <cellStyle name="Normal 182" xfId="1364" xr:uid="{00000000-0005-0000-0000-00008A050000}"/>
    <cellStyle name="Normal 182 2" xfId="1366" xr:uid="{00000000-0005-0000-0000-00008C050000}"/>
    <cellStyle name="Normal 2" xfId="915" xr:uid="{00000000-0005-0000-0000-0000C8030000}"/>
    <cellStyle name="Normal 2 10" xfId="818" xr:uid="{00000000-0005-0000-0000-000067030000}"/>
    <cellStyle name="Normal 2 10 2" xfId="1367" xr:uid="{00000000-0005-0000-0000-00008D050000}"/>
    <cellStyle name="Normal 2 10 2 2" xfId="365" xr:uid="{00000000-0005-0000-0000-0000A2010000}"/>
    <cellStyle name="Normal 2 11" xfId="2390" xr:uid="{5CD231AE-AD72-401C-B893-257B788998D9}"/>
    <cellStyle name="Normal 2 16" xfId="1368" xr:uid="{00000000-0005-0000-0000-00008E050000}"/>
    <cellStyle name="Normal 2 18" xfId="1369" xr:uid="{00000000-0005-0000-0000-00008F050000}"/>
    <cellStyle name="Normal 2 2" xfId="1370" xr:uid="{00000000-0005-0000-0000-000090050000}"/>
    <cellStyle name="Normal 2 2 2" xfId="1372" xr:uid="{00000000-0005-0000-0000-000092050000}"/>
    <cellStyle name="Normal 2 2 2 2" xfId="1375" xr:uid="{00000000-0005-0000-0000-000095050000}"/>
    <cellStyle name="Normal 2 2 2 2 2" xfId="2417" xr:uid="{7C9302DA-40D9-4BEC-A260-3B031AB4E6AE}"/>
    <cellStyle name="Normal 2 2 2 3" xfId="2405" xr:uid="{A9F0E54D-1EA7-447B-BA74-4505D3BD8688}"/>
    <cellStyle name="Normal 2 2 3" xfId="622" xr:uid="{00000000-0005-0000-0000-0000A3020000}"/>
    <cellStyle name="Normal 2 2 3 2" xfId="856" xr:uid="{00000000-0005-0000-0000-00008D030000}"/>
    <cellStyle name="Normal 2 2 4" xfId="2391" xr:uid="{907FBFEA-FC32-4F9C-8FFF-85780C7FCB30}"/>
    <cellStyle name="Normal 2 2_2" xfId="900" xr:uid="{00000000-0005-0000-0000-0000B9030000}"/>
    <cellStyle name="Normal 2 24" xfId="700" xr:uid="{00000000-0005-0000-0000-0000F1020000}"/>
    <cellStyle name="Normal 2 3" xfId="1377" xr:uid="{00000000-0005-0000-0000-000097050000}"/>
    <cellStyle name="Normal 2 3 2" xfId="1379" xr:uid="{00000000-0005-0000-0000-000099050000}"/>
    <cellStyle name="Normal 2 3 2 2" xfId="93" xr:uid="{00000000-0005-0000-0000-00007A000000}"/>
    <cellStyle name="Normal 2 3 2 2 2" xfId="495" xr:uid="{00000000-0005-0000-0000-000024020000}"/>
    <cellStyle name="Normal 2 3 2 2 3" xfId="501" xr:uid="{00000000-0005-0000-0000-00002A020000}"/>
    <cellStyle name="Normal 2 3 2 2 4" xfId="2368" xr:uid="{EE3736F9-06C4-4142-B8A5-896DE9D5490E}"/>
    <cellStyle name="Normal 2 3 2 2 5" xfId="2386" xr:uid="{70631324-646C-4D17-98A4-6B371E11B924}"/>
    <cellStyle name="Normal 2 3 2 3" xfId="638" xr:uid="{00000000-0005-0000-0000-0000B3020000}"/>
    <cellStyle name="Normal 2 3 2 4" xfId="651" xr:uid="{00000000-0005-0000-0000-0000C0020000}"/>
    <cellStyle name="Normal 2 3 3" xfId="903" xr:uid="{00000000-0005-0000-0000-0000BC030000}"/>
    <cellStyle name="Normal 2 3 3 2" xfId="905" xr:uid="{00000000-0005-0000-0000-0000BE030000}"/>
    <cellStyle name="Normal 2 3 4" xfId="910" xr:uid="{00000000-0005-0000-0000-0000C3030000}"/>
    <cellStyle name="Normal 2 3 4 2" xfId="912" xr:uid="{00000000-0005-0000-0000-0000C5030000}"/>
    <cellStyle name="Normal 2 3 5" xfId="914" xr:uid="{00000000-0005-0000-0000-0000C7030000}"/>
    <cellStyle name="Normal 2 3 6" xfId="2378" xr:uid="{D99A7870-99F9-406E-BD6C-5EFA5A50DA59}"/>
    <cellStyle name="Normal 2 4" xfId="1380" xr:uid="{00000000-0005-0000-0000-00009A050000}"/>
    <cellStyle name="Normal 2 4 2" xfId="1382" xr:uid="{00000000-0005-0000-0000-00009C050000}"/>
    <cellStyle name="Normal 2 4 2 2" xfId="1383" xr:uid="{00000000-0005-0000-0000-00009D050000}"/>
    <cellStyle name="Normal 2 4 3" xfId="102" xr:uid="{00000000-0005-0000-0000-000087000000}"/>
    <cellStyle name="Normal 2 4 4" xfId="84" xr:uid="{00000000-0005-0000-0000-00006F000000}"/>
    <cellStyle name="Normal 2 5" xfId="1384" xr:uid="{00000000-0005-0000-0000-00009E050000}"/>
    <cellStyle name="Normal 2 5 2" xfId="1387" xr:uid="{00000000-0005-0000-0000-0000A1050000}"/>
    <cellStyle name="Normal 2 5 3" xfId="446" xr:uid="{00000000-0005-0000-0000-0000F3010000}"/>
    <cellStyle name="Normal 2 6" xfId="1388" xr:uid="{00000000-0005-0000-0000-0000A2050000}"/>
    <cellStyle name="Normal 2 7" xfId="14" xr:uid="{00000000-0005-0000-0000-000015000000}"/>
    <cellStyle name="Normal 2 8" xfId="1390" xr:uid="{00000000-0005-0000-0000-0000A4050000}"/>
    <cellStyle name="Normal 2 9" xfId="1392" xr:uid="{00000000-0005-0000-0000-0000A6050000}"/>
    <cellStyle name="Normal 2 9 2" xfId="509" xr:uid="{00000000-0005-0000-0000-000032020000}"/>
    <cellStyle name="Normal 2_1" xfId="1232" xr:uid="{00000000-0005-0000-0000-000006050000}"/>
    <cellStyle name="Normal 3" xfId="918" xr:uid="{00000000-0005-0000-0000-0000CB030000}"/>
    <cellStyle name="Normal 3 2" xfId="1103" xr:uid="{00000000-0005-0000-0000-000085040000}"/>
    <cellStyle name="Normal 3 2 2" xfId="4" xr:uid="{00000000-0005-0000-0000-000005000000}"/>
    <cellStyle name="Normal 3 2 2 2 2" xfId="929" xr:uid="{00000000-0005-0000-0000-0000D6030000}"/>
    <cellStyle name="Normal 3 2 3" xfId="136" xr:uid="{00000000-0005-0000-0000-0000B1000000}"/>
    <cellStyle name="Normal 3 2 3 2" xfId="1035" xr:uid="{00000000-0005-0000-0000-000041040000}"/>
    <cellStyle name="Normal 3 2 4" xfId="100" xr:uid="{00000000-0005-0000-0000-000084000000}"/>
    <cellStyle name="Normal 3 2 5" xfId="81" xr:uid="{00000000-0005-0000-0000-00006B000000}"/>
    <cellStyle name="Normal 3 2_2" xfId="1394" xr:uid="{00000000-0005-0000-0000-0000A8050000}"/>
    <cellStyle name="Normal 3 3" xfId="1396" xr:uid="{00000000-0005-0000-0000-0000AA050000}"/>
    <cellStyle name="Normal 3 3 2" xfId="1117" xr:uid="{00000000-0005-0000-0000-000093040000}"/>
    <cellStyle name="Normal 3 4" xfId="1398" xr:uid="{00000000-0005-0000-0000-0000AC050000}"/>
    <cellStyle name="Normal 3 5" xfId="1400" xr:uid="{00000000-0005-0000-0000-0000AE050000}"/>
    <cellStyle name="Normal 3 6" xfId="2381" xr:uid="{28A84BD9-90C8-4AE4-B0CD-0FF0787B7265}"/>
    <cellStyle name="Normal 3 7" xfId="2395" xr:uid="{C26756AF-834E-4410-9640-F82220EE9549}"/>
    <cellStyle name="Normal 3 8" xfId="2429" xr:uid="{50AB9CBD-EB57-44D6-BE92-0DF3E74B561D}"/>
    <cellStyle name="Normal 3_1" xfId="1299" xr:uid="{00000000-0005-0000-0000-000049050000}"/>
    <cellStyle name="Normal 32" xfId="378" xr:uid="{00000000-0005-0000-0000-0000AF010000}"/>
    <cellStyle name="Normal 32 2" xfId="1402" xr:uid="{00000000-0005-0000-0000-0000B0050000}"/>
    <cellStyle name="Normal 4" xfId="923" xr:uid="{00000000-0005-0000-0000-0000D0030000}"/>
    <cellStyle name="Normal 4 2" xfId="1403" xr:uid="{00000000-0005-0000-0000-0000B1050000}"/>
    <cellStyle name="Normal 4 2 2" xfId="1177" xr:uid="{00000000-0005-0000-0000-0000CF040000}"/>
    <cellStyle name="Normal 4 2 3" xfId="1066" xr:uid="{00000000-0005-0000-0000-000060040000}"/>
    <cellStyle name="Normal 4 3" xfId="1404" xr:uid="{00000000-0005-0000-0000-0000B2050000}"/>
    <cellStyle name="Normal 4 3 2" xfId="370" xr:uid="{00000000-0005-0000-0000-0000A7010000}"/>
    <cellStyle name="Normal 4 3 3" xfId="179" xr:uid="{00000000-0005-0000-0000-0000E4000000}"/>
    <cellStyle name="Normal 4 3 4" xfId="2418" xr:uid="{E2A777CA-22DC-4C3C-8780-A4C541D464FE}"/>
    <cellStyle name="Normal 4 4" xfId="1405" xr:uid="{00000000-0005-0000-0000-0000B3050000}"/>
    <cellStyle name="Normal 4 5" xfId="1407" xr:uid="{00000000-0005-0000-0000-0000B5050000}"/>
    <cellStyle name="Normal 4 6" xfId="2406" xr:uid="{FDE22DDA-85F9-4E25-8F65-31D5655B05B2}"/>
    <cellStyle name="Normal 41 3" xfId="1408" xr:uid="{00000000-0005-0000-0000-0000B6050000}"/>
    <cellStyle name="Normal 5" xfId="1409" xr:uid="{00000000-0005-0000-0000-0000B7050000}"/>
    <cellStyle name="Normal 5 2" xfId="1411" xr:uid="{00000000-0005-0000-0000-0000B9050000}"/>
    <cellStyle name="Normal 5 2 2" xfId="1195" xr:uid="{00000000-0005-0000-0000-0000E1040000}"/>
    <cellStyle name="Normal 5 3" xfId="1414" xr:uid="{00000000-0005-0000-0000-0000BC050000}"/>
    <cellStyle name="Normal 5 4" xfId="1417" xr:uid="{00000000-0005-0000-0000-0000BF050000}"/>
    <cellStyle name="Normal 56" xfId="1421" xr:uid="{00000000-0005-0000-0000-0000C3050000}"/>
    <cellStyle name="Normal 6" xfId="1422" xr:uid="{00000000-0005-0000-0000-0000C4050000}"/>
    <cellStyle name="Normal 6 2" xfId="1424" xr:uid="{00000000-0005-0000-0000-0000C6050000}"/>
    <cellStyle name="Normal 6 2 2" xfId="1428" xr:uid="{00000000-0005-0000-0000-0000CA050000}"/>
    <cellStyle name="Normal 6 3" xfId="1431" xr:uid="{00000000-0005-0000-0000-0000CD050000}"/>
    <cellStyle name="Normal 6 4" xfId="1435" xr:uid="{00000000-0005-0000-0000-0000D1050000}"/>
    <cellStyle name="Normal 6_3" xfId="1437" xr:uid="{00000000-0005-0000-0000-0000D3050000}"/>
    <cellStyle name="Normal 7" xfId="1440" xr:uid="{00000000-0005-0000-0000-0000D6050000}"/>
    <cellStyle name="Normal 7 2" xfId="1443" xr:uid="{00000000-0005-0000-0000-0000D9050000}"/>
    <cellStyle name="Normal 7 2 2" xfId="125" xr:uid="{00000000-0005-0000-0000-0000A4000000}"/>
    <cellStyle name="Normal 7 2 2 2" xfId="1323" xr:uid="{00000000-0005-0000-0000-000061050000}"/>
    <cellStyle name="Normal 7 2 2_1" xfId="1200" xr:uid="{00000000-0005-0000-0000-0000E6040000}"/>
    <cellStyle name="Normal 7 2 3" xfId="130" xr:uid="{00000000-0005-0000-0000-0000AA000000}"/>
    <cellStyle name="Normal 7 2_1" xfId="1106" xr:uid="{00000000-0005-0000-0000-000088040000}"/>
    <cellStyle name="Normal 7 3" xfId="1445" xr:uid="{00000000-0005-0000-0000-0000DB050000}"/>
    <cellStyle name="Normal 7 3 2" xfId="1446" xr:uid="{00000000-0005-0000-0000-0000DC050000}"/>
    <cellStyle name="Normal 7 3 3" xfId="1114" xr:uid="{00000000-0005-0000-0000-000090040000}"/>
    <cellStyle name="Normal 7 3 3 2" xfId="1" xr:uid="{00000000-0005-0000-0000-000001000000}"/>
    <cellStyle name="Normal 7 3 3_1" xfId="1447" xr:uid="{00000000-0005-0000-0000-0000DD050000}"/>
    <cellStyle name="Normal 7 3 4" xfId="1448" xr:uid="{00000000-0005-0000-0000-0000DE050000}"/>
    <cellStyle name="Normal 7 3_1" xfId="1450" xr:uid="{00000000-0005-0000-0000-0000E0050000}"/>
    <cellStyle name="Normal 7 4" xfId="977" xr:uid="{00000000-0005-0000-0000-000007040000}"/>
    <cellStyle name="Normal 7 4 2" xfId="2400" xr:uid="{3CB2F7C4-ADF6-4C2C-B640-76821F3D36F0}"/>
    <cellStyle name="Normal 7 5" xfId="1452" xr:uid="{00000000-0005-0000-0000-0000E2050000}"/>
    <cellStyle name="Normal 7 6" xfId="1455" xr:uid="{00000000-0005-0000-0000-0000E5050000}"/>
    <cellStyle name="Normal 7 7" xfId="1458" xr:uid="{00000000-0005-0000-0000-0000E8050000}"/>
    <cellStyle name="Normal 7_1" xfId="1459" xr:uid="{00000000-0005-0000-0000-0000E9050000}"/>
    <cellStyle name="Normal 8" xfId="648" xr:uid="{00000000-0005-0000-0000-0000BD020000}"/>
    <cellStyle name="Normal 8 2" xfId="1290" xr:uid="{00000000-0005-0000-0000-000040050000}"/>
    <cellStyle name="Normal 8 3" xfId="1460" xr:uid="{00000000-0005-0000-0000-0000EA050000}"/>
    <cellStyle name="Normal 8 3 2" xfId="2420" xr:uid="{6BD32A2C-0609-4A23-B417-D51507C62B74}"/>
    <cellStyle name="Normal 9" xfId="1461" xr:uid="{00000000-0005-0000-0000-0000EB050000}"/>
    <cellStyle name="Normal 9 2" xfId="29" xr:uid="{00000000-0005-0000-0000-000027000000}"/>
    <cellStyle name="Normal 9 2 2" xfId="2436" xr:uid="{9B56A556-F910-4D56-9A54-914E151683FA}"/>
    <cellStyle name="Normal 9 3" xfId="1463" xr:uid="{00000000-0005-0000-0000-0000ED050000}"/>
    <cellStyle name="Normal 9 4" xfId="2397" xr:uid="{C0F42204-E569-4796-A015-3EA5E5C32A28}"/>
    <cellStyle name="Normal_0213 Bank Recs 31.03.2010" xfId="1087" xr:uid="{00000000-0005-0000-0000-000075040000}"/>
    <cellStyle name="Normal_Sheet2" xfId="1466" xr:uid="{00000000-0005-0000-0000-0000F0050000}"/>
    <cellStyle name="Normalny_Arkusz1" xfId="1467" xr:uid="{00000000-0005-0000-0000-0000F1050000}"/>
    <cellStyle name="Percent" xfId="2438" builtinId="5"/>
    <cellStyle name="Percent [0]" xfId="727" xr:uid="{00000000-0005-0000-0000-00000C030000}"/>
    <cellStyle name="Percent [00]" xfId="1468" xr:uid="{00000000-0005-0000-0000-0000F2050000}"/>
    <cellStyle name="Percent [2]" xfId="1470" xr:uid="{00000000-0005-0000-0000-0000F4050000}"/>
    <cellStyle name="Percent 2" xfId="1471" xr:uid="{00000000-0005-0000-0000-0000F5050000}"/>
    <cellStyle name="Percent 2 2" xfId="1472" xr:uid="{00000000-0005-0000-0000-0000F6050000}"/>
    <cellStyle name="Percent 2 2 2" xfId="1473" xr:uid="{00000000-0005-0000-0000-0000F7050000}"/>
    <cellStyle name="Percent 2 2 3" xfId="1474" xr:uid="{00000000-0005-0000-0000-0000F8050000}"/>
    <cellStyle name="Percent 2 3" xfId="1475" xr:uid="{00000000-0005-0000-0000-0000F9050000}"/>
    <cellStyle name="Percent 2 3 2" xfId="1476" xr:uid="{00000000-0005-0000-0000-0000FA050000}"/>
    <cellStyle name="Percent 2 3 2 2" xfId="1478" xr:uid="{00000000-0005-0000-0000-0000FC050000}"/>
    <cellStyle name="Percent 2 3 3" xfId="1479" xr:uid="{00000000-0005-0000-0000-0000FD050000}"/>
    <cellStyle name="Percent 2 4" xfId="1481" xr:uid="{00000000-0005-0000-0000-0000FF050000}"/>
    <cellStyle name="Percent 2 4 2" xfId="1482" xr:uid="{00000000-0005-0000-0000-000000060000}"/>
    <cellStyle name="Percent 2 5" xfId="36" xr:uid="{00000000-0005-0000-0000-00002E000000}"/>
    <cellStyle name="Percent 2 6" xfId="1483" xr:uid="{00000000-0005-0000-0000-000001060000}"/>
    <cellStyle name="Percent 2 7" xfId="2393" xr:uid="{EBFF19BF-3183-4E8C-AF88-97D984F5D131}"/>
    <cellStyle name="Percent 2_3" xfId="1184" xr:uid="{00000000-0005-0000-0000-0000D6040000}"/>
    <cellStyle name="Percent 3" xfId="801" xr:uid="{00000000-0005-0000-0000-000056030000}"/>
    <cellStyle name="Percent 3 2" xfId="531" xr:uid="{00000000-0005-0000-0000-000048020000}"/>
    <cellStyle name="Percent 4" xfId="1484" xr:uid="{00000000-0005-0000-0000-000002060000}"/>
    <cellStyle name="Percent 4 2" xfId="1248" xr:uid="{00000000-0005-0000-0000-000016050000}"/>
    <cellStyle name="Percent 5" xfId="1486" xr:uid="{00000000-0005-0000-0000-000004060000}"/>
    <cellStyle name="Percent 6" xfId="1488" xr:uid="{00000000-0005-0000-0000-000006060000}"/>
    <cellStyle name="Percent 7" xfId="2370" xr:uid="{186AA58C-8A48-425D-B6AD-14C3EF00855D}"/>
    <cellStyle name="Prefilled" xfId="803" xr:uid="{00000000-0005-0000-0000-000058030000}"/>
    <cellStyle name="Prefilled 2" xfId="617" xr:uid="{00000000-0005-0000-0000-00009E020000}"/>
    <cellStyle name="Prefilled 2 2" xfId="1489" xr:uid="{00000000-0005-0000-0000-000007060000}"/>
    <cellStyle name="Prefilled 2 3" xfId="1491" xr:uid="{00000000-0005-0000-0000-000009060000}"/>
    <cellStyle name="Prefilled 2 4" xfId="1492" xr:uid="{00000000-0005-0000-0000-00000A060000}"/>
    <cellStyle name="Prefilled 2 5" xfId="1494" xr:uid="{00000000-0005-0000-0000-00000C060000}"/>
    <cellStyle name="Prefilled 2 6" xfId="1496" xr:uid="{00000000-0005-0000-0000-00000E060000}"/>
    <cellStyle name="Prefilled 2 7" xfId="1498" xr:uid="{00000000-0005-0000-0000-000010060000}"/>
    <cellStyle name="Prefilled 3" xfId="1500" xr:uid="{00000000-0005-0000-0000-000012060000}"/>
    <cellStyle name="Prefilled 4" xfId="1395" xr:uid="{00000000-0005-0000-0000-0000A9050000}"/>
    <cellStyle name="Prefilled 5" xfId="39" xr:uid="{00000000-0005-0000-0000-000031000000}"/>
    <cellStyle name="Prefilled 6" xfId="1501" xr:uid="{00000000-0005-0000-0000-000013060000}"/>
    <cellStyle name="Prefilled 7" xfId="842" xr:uid="{00000000-0005-0000-0000-00007F030000}"/>
    <cellStyle name="Prefilled 8" xfId="881" xr:uid="{00000000-0005-0000-0000-0000A6030000}"/>
    <cellStyle name="PrePop Currency (0)" xfId="998" xr:uid="{00000000-0005-0000-0000-00001C040000}"/>
    <cellStyle name="PrePop Currency (2)" xfId="1503" xr:uid="{00000000-0005-0000-0000-000015060000}"/>
    <cellStyle name="PrePop Units (0)" xfId="1158" xr:uid="{00000000-0005-0000-0000-0000BC040000}"/>
    <cellStyle name="PrePop Units (1)" xfId="1505" xr:uid="{00000000-0005-0000-0000-000017060000}"/>
    <cellStyle name="PrePop Units (2)" xfId="1506" xr:uid="{00000000-0005-0000-0000-000018060000}"/>
    <cellStyle name="price" xfId="1507" xr:uid="{00000000-0005-0000-0000-000019060000}"/>
    <cellStyle name="revised" xfId="1511" xr:uid="{00000000-0005-0000-0000-00001D060000}"/>
    <cellStyle name="row_def_array" xfId="1513" xr:uid="{00000000-0005-0000-0000-00001F060000}"/>
    <cellStyle name="SAPBEXaggData" xfId="1514" xr:uid="{00000000-0005-0000-0000-000020060000}"/>
    <cellStyle name="SAPBEXaggData 10" xfId="809" xr:uid="{00000000-0005-0000-0000-00005E030000}"/>
    <cellStyle name="SAPBEXaggData 11" xfId="619" xr:uid="{00000000-0005-0000-0000-0000A0020000}"/>
    <cellStyle name="SAPBEXaggData 2" xfId="1515" xr:uid="{00000000-0005-0000-0000-000021060000}"/>
    <cellStyle name="SAPBEXaggData 2 2" xfId="1516" xr:uid="{00000000-0005-0000-0000-000022060000}"/>
    <cellStyle name="SAPBEXaggData 2 2 2" xfId="1517" xr:uid="{00000000-0005-0000-0000-000023060000}"/>
    <cellStyle name="SAPBEXaggData 2 2 3" xfId="1518" xr:uid="{00000000-0005-0000-0000-000024060000}"/>
    <cellStyle name="SAPBEXaggData 2 2 4" xfId="1519" xr:uid="{00000000-0005-0000-0000-000025060000}"/>
    <cellStyle name="SAPBEXaggData 2 2 5" xfId="1520" xr:uid="{00000000-0005-0000-0000-000026060000}"/>
    <cellStyle name="SAPBEXaggData 2 2 6" xfId="1521" xr:uid="{00000000-0005-0000-0000-000027060000}"/>
    <cellStyle name="SAPBEXaggData 2 2 7" xfId="235" xr:uid="{00000000-0005-0000-0000-00001E010000}"/>
    <cellStyle name="SAPBEXaggData 2 2 8" xfId="861" xr:uid="{00000000-0005-0000-0000-000092030000}"/>
    <cellStyle name="SAPBEXaggData 2 3" xfId="1522" xr:uid="{00000000-0005-0000-0000-000028060000}"/>
    <cellStyle name="SAPBEXaggData 2 4" xfId="41" xr:uid="{00000000-0005-0000-0000-000036000000}"/>
    <cellStyle name="SAPBEXaggData 2 5" xfId="1523" xr:uid="{00000000-0005-0000-0000-000029060000}"/>
    <cellStyle name="SAPBEXaggData 2 6" xfId="1524" xr:uid="{00000000-0005-0000-0000-00002A060000}"/>
    <cellStyle name="SAPBEXaggData 2 7" xfId="524" xr:uid="{00000000-0005-0000-0000-000041020000}"/>
    <cellStyle name="SAPBEXaggData 2 8" xfId="537" xr:uid="{00000000-0005-0000-0000-00004E020000}"/>
    <cellStyle name="SAPBEXaggData 2 9" xfId="539" xr:uid="{00000000-0005-0000-0000-000050020000}"/>
    <cellStyle name="SAPBEXaggData 3" xfId="1525" xr:uid="{00000000-0005-0000-0000-00002B060000}"/>
    <cellStyle name="SAPBEXaggData 3 2" xfId="260" xr:uid="{00000000-0005-0000-0000-000038010000}"/>
    <cellStyle name="SAPBEXaggData 3 3" xfId="1526" xr:uid="{00000000-0005-0000-0000-00002C060000}"/>
    <cellStyle name="SAPBEXaggData 3 4" xfId="1528" xr:uid="{00000000-0005-0000-0000-00002E060000}"/>
    <cellStyle name="SAPBEXaggData 3 5" xfId="1529" xr:uid="{00000000-0005-0000-0000-00002F060000}"/>
    <cellStyle name="SAPBEXaggData 3 6" xfId="1169" xr:uid="{00000000-0005-0000-0000-0000C7040000}"/>
    <cellStyle name="SAPBEXaggData 3 7" xfId="544" xr:uid="{00000000-0005-0000-0000-000055020000}"/>
    <cellStyle name="SAPBEXaggData 3 8" xfId="547" xr:uid="{00000000-0005-0000-0000-000058020000}"/>
    <cellStyle name="SAPBEXaggData 4" xfId="1530" xr:uid="{00000000-0005-0000-0000-000030060000}"/>
    <cellStyle name="SAPBEXaggData 5" xfId="576" xr:uid="{00000000-0005-0000-0000-000075020000}"/>
    <cellStyle name="SAPBEXaggData 6" xfId="885" xr:uid="{00000000-0005-0000-0000-0000AA030000}"/>
    <cellStyle name="SAPBEXaggData 7" xfId="1531" xr:uid="{00000000-0005-0000-0000-000031060000}"/>
    <cellStyle name="SAPBEXaggData 8" xfId="1532" xr:uid="{00000000-0005-0000-0000-000032060000}"/>
    <cellStyle name="SAPBEXaggData 9" xfId="1533" xr:uid="{00000000-0005-0000-0000-000033060000}"/>
    <cellStyle name="SAPBEXaggDataEmph" xfId="1535" xr:uid="{00000000-0005-0000-0000-000035060000}"/>
    <cellStyle name="SAPBEXaggDataEmph 10" xfId="233" xr:uid="{00000000-0005-0000-0000-00001B010000}"/>
    <cellStyle name="SAPBEXaggDataEmph 11" xfId="1536" xr:uid="{00000000-0005-0000-0000-000036060000}"/>
    <cellStyle name="SAPBEXaggDataEmph 2" xfId="1537" xr:uid="{00000000-0005-0000-0000-000037060000}"/>
    <cellStyle name="SAPBEXaggDataEmph 2 2" xfId="288" xr:uid="{00000000-0005-0000-0000-000055010000}"/>
    <cellStyle name="SAPBEXaggDataEmph 2 2 2" xfId="1538" xr:uid="{00000000-0005-0000-0000-000038060000}"/>
    <cellStyle name="SAPBEXaggDataEmph 2 2 3" xfId="1540" xr:uid="{00000000-0005-0000-0000-00003A060000}"/>
    <cellStyle name="SAPBEXaggDataEmph 2 2 4" xfId="1541" xr:uid="{00000000-0005-0000-0000-00003B060000}"/>
    <cellStyle name="SAPBEXaggDataEmph 2 2 5" xfId="1542" xr:uid="{00000000-0005-0000-0000-00003C060000}"/>
    <cellStyle name="SAPBEXaggDataEmph 2 2 6" xfId="1544" xr:uid="{00000000-0005-0000-0000-00003E060000}"/>
    <cellStyle name="SAPBEXaggDataEmph 2 2 7" xfId="1546" xr:uid="{00000000-0005-0000-0000-000040060000}"/>
    <cellStyle name="SAPBEXaggDataEmph 2 2 8" xfId="1547" xr:uid="{00000000-0005-0000-0000-000041060000}"/>
    <cellStyle name="SAPBEXaggDataEmph 2 3" xfId="491" xr:uid="{00000000-0005-0000-0000-000020020000}"/>
    <cellStyle name="SAPBEXaggDataEmph 2 4" xfId="497" xr:uid="{00000000-0005-0000-0000-000026020000}"/>
    <cellStyle name="SAPBEXaggDataEmph 2 5" xfId="503" xr:uid="{00000000-0005-0000-0000-00002C020000}"/>
    <cellStyle name="SAPBEXaggDataEmph 2 6" xfId="511" xr:uid="{00000000-0005-0000-0000-000034020000}"/>
    <cellStyle name="SAPBEXaggDataEmph 2 7" xfId="513" xr:uid="{00000000-0005-0000-0000-000036020000}"/>
    <cellStyle name="SAPBEXaggDataEmph 2 8" xfId="1549" xr:uid="{00000000-0005-0000-0000-000043060000}"/>
    <cellStyle name="SAPBEXaggDataEmph 2 9" xfId="1550" xr:uid="{00000000-0005-0000-0000-000044060000}"/>
    <cellStyle name="SAPBEXaggDataEmph 3" xfId="1551" xr:uid="{00000000-0005-0000-0000-000045060000}"/>
    <cellStyle name="SAPBEXaggDataEmph 3 2" xfId="43" xr:uid="{00000000-0005-0000-0000-000039000000}"/>
    <cellStyle name="SAPBEXaggDataEmph 3 3" xfId="22" xr:uid="{00000000-0005-0000-0000-000020000000}"/>
    <cellStyle name="SAPBEXaggDataEmph 3 4" xfId="69" xr:uid="{00000000-0005-0000-0000-00005C000000}"/>
    <cellStyle name="SAPBEXaggDataEmph 3 5" xfId="145" xr:uid="{00000000-0005-0000-0000-0000BF000000}"/>
    <cellStyle name="SAPBEXaggDataEmph 3 6" xfId="162" xr:uid="{00000000-0005-0000-0000-0000D3000000}"/>
    <cellStyle name="SAPBEXaggDataEmph 3 7" xfId="1552" xr:uid="{00000000-0005-0000-0000-000046060000}"/>
    <cellStyle name="SAPBEXaggDataEmph 3 8" xfId="1058" xr:uid="{00000000-0005-0000-0000-000058040000}"/>
    <cellStyle name="SAPBEXaggDataEmph 4" xfId="1553" xr:uid="{00000000-0005-0000-0000-000047060000}"/>
    <cellStyle name="SAPBEXaggDataEmph 5" xfId="239" xr:uid="{00000000-0005-0000-0000-000022010000}"/>
    <cellStyle name="SAPBEXaggDataEmph 6" xfId="352" xr:uid="{00000000-0005-0000-0000-000095010000}"/>
    <cellStyle name="SAPBEXaggDataEmph 7" xfId="354" xr:uid="{00000000-0005-0000-0000-000097010000}"/>
    <cellStyle name="SAPBEXaggDataEmph 8" xfId="415" xr:uid="{00000000-0005-0000-0000-0000D4010000}"/>
    <cellStyle name="SAPBEXaggDataEmph 9" xfId="419" xr:uid="{00000000-0005-0000-0000-0000D8010000}"/>
    <cellStyle name="SAPBEXaggItem" xfId="1493" xr:uid="{00000000-0005-0000-0000-00000B060000}"/>
    <cellStyle name="SAPBEXaggItem 10" xfId="1554" xr:uid="{00000000-0005-0000-0000-000048060000}"/>
    <cellStyle name="SAPBEXaggItem 11" xfId="1243" xr:uid="{00000000-0005-0000-0000-000011050000}"/>
    <cellStyle name="SAPBEXaggItem 2" xfId="1222" xr:uid="{00000000-0005-0000-0000-0000FC040000}"/>
    <cellStyle name="SAPBEXaggItem 2 2" xfId="1556" xr:uid="{00000000-0005-0000-0000-00004A060000}"/>
    <cellStyle name="SAPBEXaggItem 2 2 2" xfId="1557" xr:uid="{00000000-0005-0000-0000-00004B060000}"/>
    <cellStyle name="SAPBEXaggItem 2 2 3" xfId="1558" xr:uid="{00000000-0005-0000-0000-00004C060000}"/>
    <cellStyle name="SAPBEXaggItem 2 2 4" xfId="1559" xr:uid="{00000000-0005-0000-0000-00004D060000}"/>
    <cellStyle name="SAPBEXaggItem 2 2 5" xfId="1560" xr:uid="{00000000-0005-0000-0000-00004E060000}"/>
    <cellStyle name="SAPBEXaggItem 2 2 6" xfId="1561" xr:uid="{00000000-0005-0000-0000-00004F060000}"/>
    <cellStyle name="SAPBEXaggItem 2 2 7" xfId="1562" xr:uid="{00000000-0005-0000-0000-000050060000}"/>
    <cellStyle name="SAPBEXaggItem 2 2 8" xfId="1563" xr:uid="{00000000-0005-0000-0000-000051060000}"/>
    <cellStyle name="SAPBEXaggItem 2 3" xfId="1564" xr:uid="{00000000-0005-0000-0000-000052060000}"/>
    <cellStyle name="SAPBEXaggItem 2 4" xfId="1565" xr:uid="{00000000-0005-0000-0000-000053060000}"/>
    <cellStyle name="SAPBEXaggItem 2 5" xfId="1032" xr:uid="{00000000-0005-0000-0000-00003E040000}"/>
    <cellStyle name="SAPBEXaggItem 2 6" xfId="1567" xr:uid="{00000000-0005-0000-0000-000055060000}"/>
    <cellStyle name="SAPBEXaggItem 2 7" xfId="1568" xr:uid="{00000000-0005-0000-0000-000056060000}"/>
    <cellStyle name="SAPBEXaggItem 2 8" xfId="1569" xr:uid="{00000000-0005-0000-0000-000057060000}"/>
    <cellStyle name="SAPBEXaggItem 2 9" xfId="1570" xr:uid="{00000000-0005-0000-0000-000058060000}"/>
    <cellStyle name="SAPBEXaggItem 3" xfId="1224" xr:uid="{00000000-0005-0000-0000-0000FE040000}"/>
    <cellStyle name="SAPBEXaggItem 3 2" xfId="1571" xr:uid="{00000000-0005-0000-0000-000059060000}"/>
    <cellStyle name="SAPBEXaggItem 3 3" xfId="1572" xr:uid="{00000000-0005-0000-0000-00005A060000}"/>
    <cellStyle name="SAPBEXaggItem 3 4" xfId="1573" xr:uid="{00000000-0005-0000-0000-00005B060000}"/>
    <cellStyle name="SAPBEXaggItem 3 5" xfId="274" xr:uid="{00000000-0005-0000-0000-000047010000}"/>
    <cellStyle name="SAPBEXaggItem 3 6" xfId="1574" xr:uid="{00000000-0005-0000-0000-00005C060000}"/>
    <cellStyle name="SAPBEXaggItem 3 7" xfId="628" xr:uid="{00000000-0005-0000-0000-0000A9020000}"/>
    <cellStyle name="SAPBEXaggItem 3 8" xfId="113" xr:uid="{00000000-0005-0000-0000-000095000000}"/>
    <cellStyle name="SAPBEXaggItem 4" xfId="1086" xr:uid="{00000000-0005-0000-0000-000074040000}"/>
    <cellStyle name="SAPBEXaggItem 5" xfId="1092" xr:uid="{00000000-0005-0000-0000-00007A040000}"/>
    <cellStyle name="SAPBEXaggItem 6" xfId="1096" xr:uid="{00000000-0005-0000-0000-00007E040000}"/>
    <cellStyle name="SAPBEXaggItem 7" xfId="219" xr:uid="{00000000-0005-0000-0000-00000D010000}"/>
    <cellStyle name="SAPBEXaggItem 8" xfId="1575" xr:uid="{00000000-0005-0000-0000-00005D060000}"/>
    <cellStyle name="SAPBEXaggItem 9" xfId="1577" xr:uid="{00000000-0005-0000-0000-00005F060000}"/>
    <cellStyle name="SAPBEXaggItemX" xfId="1579" xr:uid="{00000000-0005-0000-0000-000061060000}"/>
    <cellStyle name="SAPBEXaggItemX 10" xfId="592" xr:uid="{00000000-0005-0000-0000-000085020000}"/>
    <cellStyle name="SAPBEXaggItemX 11" xfId="1347" xr:uid="{00000000-0005-0000-0000-000079050000}"/>
    <cellStyle name="SAPBEXaggItemX 2" xfId="917" xr:uid="{00000000-0005-0000-0000-0000CA030000}"/>
    <cellStyle name="SAPBEXaggItemX 2 2" xfId="1371" xr:uid="{00000000-0005-0000-0000-000091050000}"/>
    <cellStyle name="SAPBEXaggItemX 2 2 2" xfId="1373" xr:uid="{00000000-0005-0000-0000-000093050000}"/>
    <cellStyle name="SAPBEXaggItemX 2 2 3" xfId="624" xr:uid="{00000000-0005-0000-0000-0000A5020000}"/>
    <cellStyle name="SAPBEXaggItemX 2 2 4" xfId="878" xr:uid="{00000000-0005-0000-0000-0000A3030000}"/>
    <cellStyle name="SAPBEXaggItemX 2 2 5" xfId="896" xr:uid="{00000000-0005-0000-0000-0000B5030000}"/>
    <cellStyle name="SAPBEXaggItemX 2 2 6" xfId="517" xr:uid="{00000000-0005-0000-0000-00003A020000}"/>
    <cellStyle name="SAPBEXaggItemX 2 2 7" xfId="26" xr:uid="{00000000-0005-0000-0000-000024000000}"/>
    <cellStyle name="SAPBEXaggItemX 2 2 8" xfId="452" xr:uid="{00000000-0005-0000-0000-0000F9010000}"/>
    <cellStyle name="SAPBEXaggItemX 2 3" xfId="1378" xr:uid="{00000000-0005-0000-0000-000098050000}"/>
    <cellStyle name="SAPBEXaggItemX 2 4" xfId="1381" xr:uid="{00000000-0005-0000-0000-00009B050000}"/>
    <cellStyle name="SAPBEXaggItemX 2 5" xfId="1385" xr:uid="{00000000-0005-0000-0000-00009F050000}"/>
    <cellStyle name="SAPBEXaggItemX 2 6" xfId="1389" xr:uid="{00000000-0005-0000-0000-0000A3050000}"/>
    <cellStyle name="SAPBEXaggItemX 2 7" xfId="15" xr:uid="{00000000-0005-0000-0000-000017000000}"/>
    <cellStyle name="SAPBEXaggItemX 2 8" xfId="1391" xr:uid="{00000000-0005-0000-0000-0000A5050000}"/>
    <cellStyle name="SAPBEXaggItemX 2 9" xfId="1393" xr:uid="{00000000-0005-0000-0000-0000A7050000}"/>
    <cellStyle name="SAPBEXaggItemX 3" xfId="920" xr:uid="{00000000-0005-0000-0000-0000CD030000}"/>
    <cellStyle name="SAPBEXaggItemX 3 2" xfId="1104" xr:uid="{00000000-0005-0000-0000-000086040000}"/>
    <cellStyle name="SAPBEXaggItemX 3 3" xfId="1397" xr:uid="{00000000-0005-0000-0000-0000AB050000}"/>
    <cellStyle name="SAPBEXaggItemX 3 4" xfId="1399" xr:uid="{00000000-0005-0000-0000-0000AD050000}"/>
    <cellStyle name="SAPBEXaggItemX 3 5" xfId="1401" xr:uid="{00000000-0005-0000-0000-0000AF050000}"/>
    <cellStyle name="SAPBEXaggItemX 3 6" xfId="741" xr:uid="{00000000-0005-0000-0000-00001A030000}"/>
    <cellStyle name="SAPBEXaggItemX 3 7" xfId="1241" xr:uid="{00000000-0005-0000-0000-00000F050000}"/>
    <cellStyle name="SAPBEXaggItemX 3 8" xfId="1580" xr:uid="{00000000-0005-0000-0000-000062060000}"/>
    <cellStyle name="SAPBEXaggItemX 4" xfId="924" xr:uid="{00000000-0005-0000-0000-0000D1030000}"/>
    <cellStyle name="SAPBEXaggItemX 5" xfId="1410" xr:uid="{00000000-0005-0000-0000-0000B8050000}"/>
    <cellStyle name="SAPBEXaggItemX 6" xfId="1423" xr:uid="{00000000-0005-0000-0000-0000C5050000}"/>
    <cellStyle name="SAPBEXaggItemX 7" xfId="1441" xr:uid="{00000000-0005-0000-0000-0000D7050000}"/>
    <cellStyle name="SAPBEXaggItemX 8" xfId="649" xr:uid="{00000000-0005-0000-0000-0000BE020000}"/>
    <cellStyle name="SAPBEXaggItemX 9" xfId="1462" xr:uid="{00000000-0005-0000-0000-0000EC050000}"/>
    <cellStyle name="SAPBEXchaText" xfId="1581" xr:uid="{00000000-0005-0000-0000-000063060000}"/>
    <cellStyle name="SAPBEXexcBad7" xfId="1376" xr:uid="{00000000-0005-0000-0000-000096050000}"/>
    <cellStyle name="SAPBEXexcBad7 10" xfId="286" xr:uid="{00000000-0005-0000-0000-000053010000}"/>
    <cellStyle name="SAPBEXexcBad7 11" xfId="489" xr:uid="{00000000-0005-0000-0000-00001E020000}"/>
    <cellStyle name="SAPBEXexcBad7 2" xfId="1582" xr:uid="{00000000-0005-0000-0000-000064060000}"/>
    <cellStyle name="SAPBEXexcBad7 2 2" xfId="154" xr:uid="{00000000-0005-0000-0000-0000C9000000}"/>
    <cellStyle name="SAPBEXexcBad7 2 2 2" xfId="1356" xr:uid="{00000000-0005-0000-0000-000082050000}"/>
    <cellStyle name="SAPBEXexcBad7 2 2 3" xfId="832" xr:uid="{00000000-0005-0000-0000-000075030000}"/>
    <cellStyle name="SAPBEXexcBad7 2 2 4" xfId="1340" xr:uid="{00000000-0005-0000-0000-000072050000}"/>
    <cellStyle name="SAPBEXexcBad7 2 2 5" xfId="90" xr:uid="{00000000-0005-0000-0000-000077000000}"/>
    <cellStyle name="SAPBEXexcBad7 2 2 6" xfId="641" xr:uid="{00000000-0005-0000-0000-0000B6020000}"/>
    <cellStyle name="SAPBEXexcBad7 2 2 7" xfId="653" xr:uid="{00000000-0005-0000-0000-0000C2020000}"/>
    <cellStyle name="SAPBEXexcBad7 2 2 8" xfId="203" xr:uid="{00000000-0005-0000-0000-0000FD000000}"/>
    <cellStyle name="SAPBEXexcBad7 2 3" xfId="1583" xr:uid="{00000000-0005-0000-0000-000065060000}"/>
    <cellStyle name="SAPBEXexcBad7 2 4" xfId="1585" xr:uid="{00000000-0005-0000-0000-000067060000}"/>
    <cellStyle name="SAPBEXexcBad7 2 5" xfId="1412" xr:uid="{00000000-0005-0000-0000-0000BA050000}"/>
    <cellStyle name="SAPBEXexcBad7 2 6" xfId="1415" xr:uid="{00000000-0005-0000-0000-0000BD050000}"/>
    <cellStyle name="SAPBEXexcBad7 2 7" xfId="1418" xr:uid="{00000000-0005-0000-0000-0000C0050000}"/>
    <cellStyle name="SAPBEXexcBad7 2 8" xfId="98" xr:uid="{00000000-0005-0000-0000-000082000000}"/>
    <cellStyle name="SAPBEXexcBad7 2 9" xfId="1587" xr:uid="{00000000-0005-0000-0000-000069060000}"/>
    <cellStyle name="SAPBEXexcBad7 3" xfId="1588" xr:uid="{00000000-0005-0000-0000-00006A060000}"/>
    <cellStyle name="SAPBEXexcBad7 3 2" xfId="1589" xr:uid="{00000000-0005-0000-0000-00006B060000}"/>
    <cellStyle name="SAPBEXexcBad7 3 3" xfId="1591" xr:uid="{00000000-0005-0000-0000-00006D060000}"/>
    <cellStyle name="SAPBEXexcBad7 3 4" xfId="1593" xr:uid="{00000000-0005-0000-0000-00006F060000}"/>
    <cellStyle name="SAPBEXexcBad7 3 5" xfId="1425" xr:uid="{00000000-0005-0000-0000-0000C7050000}"/>
    <cellStyle name="SAPBEXexcBad7 3 6" xfId="1432" xr:uid="{00000000-0005-0000-0000-0000CE050000}"/>
    <cellStyle name="SAPBEXexcBad7 3 7" xfId="1436" xr:uid="{00000000-0005-0000-0000-0000D2050000}"/>
    <cellStyle name="SAPBEXexcBad7 3 8" xfId="1598" xr:uid="{00000000-0005-0000-0000-000074060000}"/>
    <cellStyle name="SAPBEXexcBad7 4" xfId="1599" xr:uid="{00000000-0005-0000-0000-000075060000}"/>
    <cellStyle name="SAPBEXexcBad7 5" xfId="1600" xr:uid="{00000000-0005-0000-0000-000076060000}"/>
    <cellStyle name="SAPBEXexcBad7 6" xfId="1601" xr:uid="{00000000-0005-0000-0000-000077060000}"/>
    <cellStyle name="SAPBEXexcBad7 7" xfId="1602" xr:uid="{00000000-0005-0000-0000-000078060000}"/>
    <cellStyle name="SAPBEXexcBad7 8" xfId="616" xr:uid="{00000000-0005-0000-0000-00009D020000}"/>
    <cellStyle name="SAPBEXexcBad7 9" xfId="1499" xr:uid="{00000000-0005-0000-0000-000011060000}"/>
    <cellStyle name="SAPBEXexcBad8" xfId="1604" xr:uid="{00000000-0005-0000-0000-00007A060000}"/>
    <cellStyle name="SAPBEXexcBad8 10" xfId="1605" xr:uid="{00000000-0005-0000-0000-00007B060000}"/>
    <cellStyle name="SAPBEXexcBad8 11" xfId="1606" xr:uid="{00000000-0005-0000-0000-00007C060000}"/>
    <cellStyle name="SAPBEXexcBad8 2" xfId="1607" xr:uid="{00000000-0005-0000-0000-00007D060000}"/>
    <cellStyle name="SAPBEXexcBad8 2 2" xfId="1608" xr:uid="{00000000-0005-0000-0000-00007E060000}"/>
    <cellStyle name="SAPBEXexcBad8 2 2 2" xfId="1612" xr:uid="{00000000-0005-0000-0000-000082060000}"/>
    <cellStyle name="SAPBEXexcBad8 2 2 3" xfId="1616" xr:uid="{00000000-0005-0000-0000-000086060000}"/>
    <cellStyle name="SAPBEXexcBad8 2 2 4" xfId="1618" xr:uid="{00000000-0005-0000-0000-000088060000}"/>
    <cellStyle name="SAPBEXexcBad8 2 2 5" xfId="1620" xr:uid="{00000000-0005-0000-0000-00008A060000}"/>
    <cellStyle name="SAPBEXexcBad8 2 2 6" xfId="1623" xr:uid="{00000000-0005-0000-0000-00008D060000}"/>
    <cellStyle name="SAPBEXexcBad8 2 2 7" xfId="1626" xr:uid="{00000000-0005-0000-0000-000090060000}"/>
    <cellStyle name="SAPBEXexcBad8 2 2 8" xfId="229" xr:uid="{00000000-0005-0000-0000-000017010000}"/>
    <cellStyle name="SAPBEXexcBad8 2 3" xfId="1630" xr:uid="{00000000-0005-0000-0000-000094060000}"/>
    <cellStyle name="SAPBEXexcBad8 2 4" xfId="1613" xr:uid="{00000000-0005-0000-0000-000083060000}"/>
    <cellStyle name="SAPBEXexcBad8 2 5" xfId="1617" xr:uid="{00000000-0005-0000-0000-000087060000}"/>
    <cellStyle name="SAPBEXexcBad8 2 6" xfId="1619" xr:uid="{00000000-0005-0000-0000-000089060000}"/>
    <cellStyle name="SAPBEXexcBad8 2 7" xfId="1621" xr:uid="{00000000-0005-0000-0000-00008B060000}"/>
    <cellStyle name="SAPBEXexcBad8 2 8" xfId="1624" xr:uid="{00000000-0005-0000-0000-00008E060000}"/>
    <cellStyle name="SAPBEXexcBad8 2 9" xfId="1627" xr:uid="{00000000-0005-0000-0000-000091060000}"/>
    <cellStyle name="SAPBEXexcBad8 3" xfId="1631" xr:uid="{00000000-0005-0000-0000-000095060000}"/>
    <cellStyle name="SAPBEXexcBad8 3 2" xfId="51" xr:uid="{00000000-0005-0000-0000-000044000000}"/>
    <cellStyle name="SAPBEXexcBad8 3 3" xfId="258" xr:uid="{00000000-0005-0000-0000-000036010000}"/>
    <cellStyle name="SAPBEXexcBad8 3 4" xfId="1632" xr:uid="{00000000-0005-0000-0000-000096060000}"/>
    <cellStyle name="SAPBEXexcBad8 3 5" xfId="1634" xr:uid="{00000000-0005-0000-0000-000098060000}"/>
    <cellStyle name="SAPBEXexcBad8 3 6" xfId="1636" xr:uid="{00000000-0005-0000-0000-00009A060000}"/>
    <cellStyle name="SAPBEXexcBad8 3 7" xfId="1637" xr:uid="{00000000-0005-0000-0000-00009B060000}"/>
    <cellStyle name="SAPBEXexcBad8 3 8" xfId="1638" xr:uid="{00000000-0005-0000-0000-00009C060000}"/>
    <cellStyle name="SAPBEXexcBad8 4" xfId="1639" xr:uid="{00000000-0005-0000-0000-00009D060000}"/>
    <cellStyle name="SAPBEXexcBad8 5" xfId="1640" xr:uid="{00000000-0005-0000-0000-00009E060000}"/>
    <cellStyle name="SAPBEXexcBad8 6" xfId="1641" xr:uid="{00000000-0005-0000-0000-00009F060000}"/>
    <cellStyle name="SAPBEXexcBad8 7" xfId="1642" xr:uid="{00000000-0005-0000-0000-0000A0060000}"/>
    <cellStyle name="SAPBEXexcBad8 8" xfId="1644" xr:uid="{00000000-0005-0000-0000-0000A2060000}"/>
    <cellStyle name="SAPBEXexcBad8 9" xfId="1645" xr:uid="{00000000-0005-0000-0000-0000A3060000}"/>
    <cellStyle name="SAPBEXexcBad9" xfId="1647" xr:uid="{00000000-0005-0000-0000-0000A5060000}"/>
    <cellStyle name="SAPBEXexcBad9 10" xfId="1648" xr:uid="{00000000-0005-0000-0000-0000A6060000}"/>
    <cellStyle name="SAPBEXexcBad9 11" xfId="1649" xr:uid="{00000000-0005-0000-0000-0000A7060000}"/>
    <cellStyle name="SAPBEXexcBad9 2" xfId="1650" xr:uid="{00000000-0005-0000-0000-0000A8060000}"/>
    <cellStyle name="SAPBEXexcBad9 2 2" xfId="1651" xr:uid="{00000000-0005-0000-0000-0000A9060000}"/>
    <cellStyle name="SAPBEXexcBad9 2 2 2" xfId="1215" xr:uid="{00000000-0005-0000-0000-0000F5040000}"/>
    <cellStyle name="SAPBEXexcBad9 2 2 3" xfId="1219" xr:uid="{00000000-0005-0000-0000-0000F9040000}"/>
    <cellStyle name="SAPBEXexcBad9 2 2 4" xfId="1509" xr:uid="{00000000-0005-0000-0000-00001B060000}"/>
    <cellStyle name="SAPBEXexcBad9 2 2 5" xfId="1653" xr:uid="{00000000-0005-0000-0000-0000AB060000}"/>
    <cellStyle name="SAPBEXexcBad9 2 2 6" xfId="1655" xr:uid="{00000000-0005-0000-0000-0000AD060000}"/>
    <cellStyle name="SAPBEXexcBad9 2 2 7" xfId="1657" xr:uid="{00000000-0005-0000-0000-0000AF060000}"/>
    <cellStyle name="SAPBEXexcBad9 2 2 8" xfId="247" xr:uid="{00000000-0005-0000-0000-00002A010000}"/>
    <cellStyle name="SAPBEXexcBad9 2 3" xfId="57" xr:uid="{00000000-0005-0000-0000-00004C000000}"/>
    <cellStyle name="SAPBEXexcBad9 2 4" xfId="58" xr:uid="{00000000-0005-0000-0000-00004E000000}"/>
    <cellStyle name="SAPBEXexcBad9 2 5" xfId="64" xr:uid="{00000000-0005-0000-0000-000056000000}"/>
    <cellStyle name="SAPBEXexcBad9 2 6" xfId="46" xr:uid="{00000000-0005-0000-0000-00003D000000}"/>
    <cellStyle name="SAPBEXexcBad9 2 7" xfId="1659" xr:uid="{00000000-0005-0000-0000-0000B1060000}"/>
    <cellStyle name="SAPBEXexcBad9 2 8" xfId="1469" xr:uid="{00000000-0005-0000-0000-0000F3050000}"/>
    <cellStyle name="SAPBEXexcBad9 2 9" xfId="1660" xr:uid="{00000000-0005-0000-0000-0000B2060000}"/>
    <cellStyle name="SAPBEXexcBad9 3" xfId="1661" xr:uid="{00000000-0005-0000-0000-0000B3060000}"/>
    <cellStyle name="SAPBEXexcBad9 3 2" xfId="1663" xr:uid="{00000000-0005-0000-0000-0000B5060000}"/>
    <cellStyle name="SAPBEXexcBad9 3 3" xfId="1374" xr:uid="{00000000-0005-0000-0000-000094050000}"/>
    <cellStyle name="SAPBEXexcBad9 3 4" xfId="1603" xr:uid="{00000000-0005-0000-0000-000079060000}"/>
    <cellStyle name="SAPBEXexcBad9 3 5" xfId="1646" xr:uid="{00000000-0005-0000-0000-0000A4060000}"/>
    <cellStyle name="SAPBEXexcBad9 3 6" xfId="1664" xr:uid="{00000000-0005-0000-0000-0000B6060000}"/>
    <cellStyle name="SAPBEXexcBad9 3 7" xfId="1665" xr:uid="{00000000-0005-0000-0000-0000B7060000}"/>
    <cellStyle name="SAPBEXexcBad9 3 8" xfId="1667" xr:uid="{00000000-0005-0000-0000-0000B9060000}"/>
    <cellStyle name="SAPBEXexcBad9 4" xfId="1669" xr:uid="{00000000-0005-0000-0000-0000BB060000}"/>
    <cellStyle name="SAPBEXexcBad9 5" xfId="1670" xr:uid="{00000000-0005-0000-0000-0000BC060000}"/>
    <cellStyle name="SAPBEXexcBad9 6" xfId="1671" xr:uid="{00000000-0005-0000-0000-0000BD060000}"/>
    <cellStyle name="SAPBEXexcBad9 7" xfId="1672" xr:uid="{00000000-0005-0000-0000-0000BE060000}"/>
    <cellStyle name="SAPBEXexcBad9 8" xfId="1673" xr:uid="{00000000-0005-0000-0000-0000BF060000}"/>
    <cellStyle name="SAPBEXexcBad9 9" xfId="1674" xr:uid="{00000000-0005-0000-0000-0000C0060000}"/>
    <cellStyle name="SAPBEXexcCritical4" xfId="1283" xr:uid="{00000000-0005-0000-0000-000039050000}"/>
    <cellStyle name="SAPBEXexcCritical4 10" xfId="1310" xr:uid="{00000000-0005-0000-0000-000054050000}"/>
    <cellStyle name="SAPBEXexcCritical4 11" xfId="1313" xr:uid="{00000000-0005-0000-0000-000057050000}"/>
    <cellStyle name="SAPBEXexcCritical4 2" xfId="253" xr:uid="{00000000-0005-0000-0000-000031010000}"/>
    <cellStyle name="SAPBEXexcCritical4 2 2" xfId="1675" xr:uid="{00000000-0005-0000-0000-0000C1060000}"/>
    <cellStyle name="SAPBEXexcCritical4 2 2 2" xfId="1677" xr:uid="{00000000-0005-0000-0000-0000C3060000}"/>
    <cellStyle name="SAPBEXexcCritical4 2 2 3" xfId="1679" xr:uid="{00000000-0005-0000-0000-0000C5060000}"/>
    <cellStyle name="SAPBEXexcCritical4 2 2 4" xfId="1680" xr:uid="{00000000-0005-0000-0000-0000C6060000}"/>
    <cellStyle name="SAPBEXexcCritical4 2 2 5" xfId="1681" xr:uid="{00000000-0005-0000-0000-0000C7060000}"/>
    <cellStyle name="SAPBEXexcCritical4 2 2 6" xfId="1682" xr:uid="{00000000-0005-0000-0000-0000C8060000}"/>
    <cellStyle name="SAPBEXexcCritical4 2 2 7" xfId="1683" xr:uid="{00000000-0005-0000-0000-0000C9060000}"/>
    <cellStyle name="SAPBEXexcCritical4 2 2 8" xfId="1684" xr:uid="{00000000-0005-0000-0000-0000CA060000}"/>
    <cellStyle name="SAPBEXexcCritical4 2 3" xfId="165" xr:uid="{00000000-0005-0000-0000-0000D6000000}"/>
    <cellStyle name="SAPBEXexcCritical4 2 4" xfId="1685" xr:uid="{00000000-0005-0000-0000-0000CB060000}"/>
    <cellStyle name="SAPBEXexcCritical4 2 5" xfId="1686" xr:uid="{00000000-0005-0000-0000-0000CC060000}"/>
    <cellStyle name="SAPBEXexcCritical4 2 6" xfId="1687" xr:uid="{00000000-0005-0000-0000-0000CD060000}"/>
    <cellStyle name="SAPBEXexcCritical4 2 7" xfId="199" xr:uid="{00000000-0005-0000-0000-0000F9000000}"/>
    <cellStyle name="SAPBEXexcCritical4 2 8" xfId="1688" xr:uid="{00000000-0005-0000-0000-0000CE060000}"/>
    <cellStyle name="SAPBEXexcCritical4 2 9" xfId="1171" xr:uid="{00000000-0005-0000-0000-0000C9040000}"/>
    <cellStyle name="SAPBEXexcCritical4 3" xfId="1689" xr:uid="{00000000-0005-0000-0000-0000CF060000}"/>
    <cellStyle name="SAPBEXexcCritical4 3 2" xfId="1690" xr:uid="{00000000-0005-0000-0000-0000D0060000}"/>
    <cellStyle name="SAPBEXexcCritical4 3 3" xfId="1691" xr:uid="{00000000-0005-0000-0000-0000D1060000}"/>
    <cellStyle name="SAPBEXexcCritical4 3 4" xfId="1692" xr:uid="{00000000-0005-0000-0000-0000D2060000}"/>
    <cellStyle name="SAPBEXexcCritical4 3 5" xfId="1693" xr:uid="{00000000-0005-0000-0000-0000D3060000}"/>
    <cellStyle name="SAPBEXexcCritical4 3 6" xfId="88" xr:uid="{00000000-0005-0000-0000-000074000000}"/>
    <cellStyle name="SAPBEXexcCritical4 3 7" xfId="1695" xr:uid="{00000000-0005-0000-0000-0000D5060000}"/>
    <cellStyle name="SAPBEXexcCritical4 3 8" xfId="293" xr:uid="{00000000-0005-0000-0000-00005A010000}"/>
    <cellStyle name="SAPBEXexcCritical4 4" xfId="1696" xr:uid="{00000000-0005-0000-0000-0000D6060000}"/>
    <cellStyle name="SAPBEXexcCritical4 5" xfId="1698" xr:uid="{00000000-0005-0000-0000-0000D8060000}"/>
    <cellStyle name="SAPBEXexcCritical4 6" xfId="1700" xr:uid="{00000000-0005-0000-0000-0000DA060000}"/>
    <cellStyle name="SAPBEXexcCritical4 7" xfId="1702" xr:uid="{00000000-0005-0000-0000-0000DC060000}"/>
    <cellStyle name="SAPBEXexcCritical4 8" xfId="1704" xr:uid="{00000000-0005-0000-0000-0000DE060000}"/>
    <cellStyle name="SAPBEXexcCritical4 9" xfId="1706" xr:uid="{00000000-0005-0000-0000-0000E0060000}"/>
    <cellStyle name="SAPBEXexcCritical5" xfId="1709" xr:uid="{00000000-0005-0000-0000-0000E3060000}"/>
    <cellStyle name="SAPBEXexcCritical5 10" xfId="708" xr:uid="{00000000-0005-0000-0000-0000F9020000}"/>
    <cellStyle name="SAPBEXexcCritical5 11" xfId="1079" xr:uid="{00000000-0005-0000-0000-00006D040000}"/>
    <cellStyle name="SAPBEXexcCritical5 2" xfId="1710" xr:uid="{00000000-0005-0000-0000-0000E4060000}"/>
    <cellStyle name="SAPBEXexcCritical5 2 2" xfId="1712" xr:uid="{00000000-0005-0000-0000-0000E6060000}"/>
    <cellStyle name="SAPBEXexcCritical5 2 2 2" xfId="264" xr:uid="{00000000-0005-0000-0000-00003D010000}"/>
    <cellStyle name="SAPBEXexcCritical5 2 2 3" xfId="268" xr:uid="{00000000-0005-0000-0000-000041010000}"/>
    <cellStyle name="SAPBEXexcCritical5 2 2 4" xfId="1716" xr:uid="{00000000-0005-0000-0000-0000EA060000}"/>
    <cellStyle name="SAPBEXexcCritical5 2 2 5" xfId="1717" xr:uid="{00000000-0005-0000-0000-0000EB060000}"/>
    <cellStyle name="SAPBEXexcCritical5 2 2 6" xfId="331" xr:uid="{00000000-0005-0000-0000-000080010000}"/>
    <cellStyle name="SAPBEXexcCritical5 2 2 7" xfId="1718" xr:uid="{00000000-0005-0000-0000-0000EC060000}"/>
    <cellStyle name="SAPBEXexcCritical5 2 2 8" xfId="1719" xr:uid="{00000000-0005-0000-0000-0000ED060000}"/>
    <cellStyle name="SAPBEXexcCritical5 2 3" xfId="1723" xr:uid="{00000000-0005-0000-0000-0000F1060000}"/>
    <cellStyle name="SAPBEXexcCritical5 2 4" xfId="1725" xr:uid="{00000000-0005-0000-0000-0000F3060000}"/>
    <cellStyle name="SAPBEXexcCritical5 2 5" xfId="1727" xr:uid="{00000000-0005-0000-0000-0000F5060000}"/>
    <cellStyle name="SAPBEXexcCritical5 2 6" xfId="1729" xr:uid="{00000000-0005-0000-0000-0000F7060000}"/>
    <cellStyle name="SAPBEXexcCritical5 2 7" xfId="1731" xr:uid="{00000000-0005-0000-0000-0000F9060000}"/>
    <cellStyle name="SAPBEXexcCritical5 2 8" xfId="1732" xr:uid="{00000000-0005-0000-0000-0000FA060000}"/>
    <cellStyle name="SAPBEXexcCritical5 2 9" xfId="1190" xr:uid="{00000000-0005-0000-0000-0000DC040000}"/>
    <cellStyle name="SAPBEXexcCritical5 3" xfId="1733" xr:uid="{00000000-0005-0000-0000-0000FB060000}"/>
    <cellStyle name="SAPBEXexcCritical5 3 2" xfId="1735" xr:uid="{00000000-0005-0000-0000-0000FD060000}"/>
    <cellStyle name="SAPBEXexcCritical5 3 3" xfId="1736" xr:uid="{00000000-0005-0000-0000-0000FE060000}"/>
    <cellStyle name="SAPBEXexcCritical5 3 4" xfId="1737" xr:uid="{00000000-0005-0000-0000-0000FF060000}"/>
    <cellStyle name="SAPBEXexcCritical5 3 5" xfId="967" xr:uid="{00000000-0005-0000-0000-0000FD030000}"/>
    <cellStyle name="SAPBEXexcCritical5 3 6" xfId="1738" xr:uid="{00000000-0005-0000-0000-000000070000}"/>
    <cellStyle name="SAPBEXexcCritical5 3 7" xfId="1739" xr:uid="{00000000-0005-0000-0000-000001070000}"/>
    <cellStyle name="SAPBEXexcCritical5 3 8" xfId="1740" xr:uid="{00000000-0005-0000-0000-000002070000}"/>
    <cellStyle name="SAPBEXexcCritical5 4" xfId="1741" xr:uid="{00000000-0005-0000-0000-000003070000}"/>
    <cellStyle name="SAPBEXexcCritical5 5" xfId="1742" xr:uid="{00000000-0005-0000-0000-000004070000}"/>
    <cellStyle name="SAPBEXexcCritical5 6" xfId="1743" xr:uid="{00000000-0005-0000-0000-000005070000}"/>
    <cellStyle name="SAPBEXexcCritical5 7" xfId="1744" xr:uid="{00000000-0005-0000-0000-000006070000}"/>
    <cellStyle name="SAPBEXexcCritical5 8" xfId="1746" xr:uid="{00000000-0005-0000-0000-000008070000}"/>
    <cellStyle name="SAPBEXexcCritical5 9" xfId="1748" xr:uid="{00000000-0005-0000-0000-00000A070000}"/>
    <cellStyle name="SAPBEXexcCritical6" xfId="1504" xr:uid="{00000000-0005-0000-0000-000016060000}"/>
    <cellStyle name="SAPBEXexcCritical6 10" xfId="1750" xr:uid="{00000000-0005-0000-0000-00000C070000}"/>
    <cellStyle name="SAPBEXexcCritical6 11" xfId="1751" xr:uid="{00000000-0005-0000-0000-00000D070000}"/>
    <cellStyle name="SAPBEXexcCritical6 2" xfId="255" xr:uid="{00000000-0005-0000-0000-000033010000}"/>
    <cellStyle name="SAPBEXexcCritical6 2 2" xfId="1595" xr:uid="{00000000-0005-0000-0000-000071060000}"/>
    <cellStyle name="SAPBEXexcCritical6 2 2 2" xfId="1752" xr:uid="{00000000-0005-0000-0000-00000E070000}"/>
    <cellStyle name="SAPBEXexcCritical6 2 2 3" xfId="1088" xr:uid="{00000000-0005-0000-0000-000076040000}"/>
    <cellStyle name="SAPBEXexcCritical6 2 2 4" xfId="1753" xr:uid="{00000000-0005-0000-0000-00000F070000}"/>
    <cellStyle name="SAPBEXexcCritical6 2 2 5" xfId="1754" xr:uid="{00000000-0005-0000-0000-000010070000}"/>
    <cellStyle name="SAPBEXexcCritical6 2 2 6" xfId="1755" xr:uid="{00000000-0005-0000-0000-000011070000}"/>
    <cellStyle name="SAPBEXexcCritical6 2 2 7" xfId="1756" xr:uid="{00000000-0005-0000-0000-000012070000}"/>
    <cellStyle name="SAPBEXexcCritical6 2 2 8" xfId="1757" xr:uid="{00000000-0005-0000-0000-000013070000}"/>
    <cellStyle name="SAPBEXexcCritical6 2 3" xfId="1427" xr:uid="{00000000-0005-0000-0000-0000C9050000}"/>
    <cellStyle name="SAPBEXexcCritical6 2 4" xfId="1430" xr:uid="{00000000-0005-0000-0000-0000CC050000}"/>
    <cellStyle name="SAPBEXexcCritical6 2 5" xfId="1434" xr:uid="{00000000-0005-0000-0000-0000D0050000}"/>
    <cellStyle name="SAPBEXexcCritical6 2 6" xfId="1597" xr:uid="{00000000-0005-0000-0000-000073060000}"/>
    <cellStyle name="SAPBEXexcCritical6 2 7" xfId="1759" xr:uid="{00000000-0005-0000-0000-000015070000}"/>
    <cellStyle name="SAPBEXexcCritical6 2 8" xfId="1761" xr:uid="{00000000-0005-0000-0000-000017070000}"/>
    <cellStyle name="SAPBEXexcCritical6 2 9" xfId="1764" xr:uid="{00000000-0005-0000-0000-00001A070000}"/>
    <cellStyle name="SAPBEXexcCritical6 3" xfId="1765" xr:uid="{00000000-0005-0000-0000-00001B070000}"/>
    <cellStyle name="SAPBEXexcCritical6 3 2" xfId="1767" xr:uid="{00000000-0005-0000-0000-00001D070000}"/>
    <cellStyle name="SAPBEXexcCritical6 3 3" xfId="1442" xr:uid="{00000000-0005-0000-0000-0000D8050000}"/>
    <cellStyle name="SAPBEXexcCritical6 3 4" xfId="1444" xr:uid="{00000000-0005-0000-0000-0000DA050000}"/>
    <cellStyle name="SAPBEXexcCritical6 3 5" xfId="976" xr:uid="{00000000-0005-0000-0000-000006040000}"/>
    <cellStyle name="SAPBEXexcCritical6 3 6" xfId="1451" xr:uid="{00000000-0005-0000-0000-0000E1050000}"/>
    <cellStyle name="SAPBEXexcCritical6 3 7" xfId="1453" xr:uid="{00000000-0005-0000-0000-0000E3050000}"/>
    <cellStyle name="SAPBEXexcCritical6 3 8" xfId="1456" xr:uid="{00000000-0005-0000-0000-0000E6050000}"/>
    <cellStyle name="SAPBEXexcCritical6 4" xfId="1768" xr:uid="{00000000-0005-0000-0000-00001E070000}"/>
    <cellStyle name="SAPBEXexcCritical6 5" xfId="1134" xr:uid="{00000000-0005-0000-0000-0000A4040000}"/>
    <cellStyle name="SAPBEXexcCritical6 6" xfId="1770" xr:uid="{00000000-0005-0000-0000-000020070000}"/>
    <cellStyle name="SAPBEXexcCritical6 7" xfId="1771" xr:uid="{00000000-0005-0000-0000-000021070000}"/>
    <cellStyle name="SAPBEXexcCritical6 8" xfId="1772" xr:uid="{00000000-0005-0000-0000-000022070000}"/>
    <cellStyle name="SAPBEXexcCritical6 9" xfId="1773" xr:uid="{00000000-0005-0000-0000-000023070000}"/>
    <cellStyle name="SAPBEXexcGood1" xfId="928" xr:uid="{00000000-0005-0000-0000-0000D5030000}"/>
    <cellStyle name="SAPBEXexcGood1 10" xfId="1150" xr:uid="{00000000-0005-0000-0000-0000B4040000}"/>
    <cellStyle name="SAPBEXexcGood1 11" xfId="1197" xr:uid="{00000000-0005-0000-0000-0000E3040000}"/>
    <cellStyle name="SAPBEXexcGood1 2" xfId="1774" xr:uid="{00000000-0005-0000-0000-000024070000}"/>
    <cellStyle name="SAPBEXexcGood1 2 2" xfId="1775" xr:uid="{00000000-0005-0000-0000-000025070000}"/>
    <cellStyle name="SAPBEXexcGood1 2 2 2" xfId="1777" xr:uid="{00000000-0005-0000-0000-000027070000}"/>
    <cellStyle name="SAPBEXexcGood1 2 2 3" xfId="1779" xr:uid="{00000000-0005-0000-0000-000029070000}"/>
    <cellStyle name="SAPBEXexcGood1 2 2 4" xfId="1781" xr:uid="{00000000-0005-0000-0000-00002B070000}"/>
    <cellStyle name="SAPBEXexcGood1 2 2 5" xfId="1610" xr:uid="{00000000-0005-0000-0000-000080060000}"/>
    <cellStyle name="SAPBEXexcGood1 2 2 6" xfId="1629" xr:uid="{00000000-0005-0000-0000-000093060000}"/>
    <cellStyle name="SAPBEXexcGood1 2 2 7" xfId="1611" xr:uid="{00000000-0005-0000-0000-000081060000}"/>
    <cellStyle name="SAPBEXexcGood1 2 2 8" xfId="1615" xr:uid="{00000000-0005-0000-0000-000085060000}"/>
    <cellStyle name="SAPBEXexcGood1 2 3" xfId="676" xr:uid="{00000000-0005-0000-0000-0000D9020000}"/>
    <cellStyle name="SAPBEXexcGood1 2 4" xfId="735" xr:uid="{00000000-0005-0000-0000-000014030000}"/>
    <cellStyle name="SAPBEXexcGood1 2 5" xfId="750" xr:uid="{00000000-0005-0000-0000-000023030000}"/>
    <cellStyle name="SAPBEXexcGood1 2 6" xfId="75" xr:uid="{00000000-0005-0000-0000-000063000000}"/>
    <cellStyle name="SAPBEXexcGood1 2 7" xfId="765" xr:uid="{00000000-0005-0000-0000-000032030000}"/>
    <cellStyle name="SAPBEXexcGood1 2 8" xfId="1714" xr:uid="{00000000-0005-0000-0000-0000E8060000}"/>
    <cellStyle name="SAPBEXexcGood1 2 9" xfId="1720" xr:uid="{00000000-0005-0000-0000-0000EE060000}"/>
    <cellStyle name="SAPBEXexcGood1 3" xfId="1782" xr:uid="{00000000-0005-0000-0000-00002C070000}"/>
    <cellStyle name="SAPBEXexcGood1 3 2" xfId="1783" xr:uid="{00000000-0005-0000-0000-00002D070000}"/>
    <cellStyle name="SAPBEXexcGood1 3 3" xfId="686" xr:uid="{00000000-0005-0000-0000-0000E3020000}"/>
    <cellStyle name="SAPBEXexcGood1 3 4" xfId="772" xr:uid="{00000000-0005-0000-0000-000039030000}"/>
    <cellStyle name="SAPBEXexcGood1 3 5" xfId="776" xr:uid="{00000000-0005-0000-0000-00003D030000}"/>
    <cellStyle name="SAPBEXexcGood1 3 6" xfId="1784" xr:uid="{00000000-0005-0000-0000-00002E070000}"/>
    <cellStyle name="SAPBEXexcGood1 3 7" xfId="1785" xr:uid="{00000000-0005-0000-0000-00002F070000}"/>
    <cellStyle name="SAPBEXexcGood1 3 8" xfId="1734" xr:uid="{00000000-0005-0000-0000-0000FC060000}"/>
    <cellStyle name="SAPBEXexcGood1 4" xfId="1786" xr:uid="{00000000-0005-0000-0000-000030070000}"/>
    <cellStyle name="SAPBEXexcGood1 5" xfId="1787" xr:uid="{00000000-0005-0000-0000-000031070000}"/>
    <cellStyle name="SAPBEXexcGood1 6" xfId="1788" xr:uid="{00000000-0005-0000-0000-000032070000}"/>
    <cellStyle name="SAPBEXexcGood1 7" xfId="1789" xr:uid="{00000000-0005-0000-0000-000033070000}"/>
    <cellStyle name="SAPBEXexcGood1 8" xfId="241" xr:uid="{00000000-0005-0000-0000-000024010000}"/>
    <cellStyle name="SAPBEXexcGood1 9" xfId="1251" xr:uid="{00000000-0005-0000-0000-000019050000}"/>
    <cellStyle name="SAPBEXexcGood2" xfId="1790" xr:uid="{00000000-0005-0000-0000-000034070000}"/>
    <cellStyle name="SAPBEXexcGood2 10" xfId="1566" xr:uid="{00000000-0005-0000-0000-000054060000}"/>
    <cellStyle name="SAPBEXexcGood2 11" xfId="1033" xr:uid="{00000000-0005-0000-0000-00003F040000}"/>
    <cellStyle name="SAPBEXexcGood2 2" xfId="1791" xr:uid="{00000000-0005-0000-0000-000035070000}"/>
    <cellStyle name="SAPBEXexcGood2 2 2" xfId="214" xr:uid="{00000000-0005-0000-0000-000008010000}"/>
    <cellStyle name="SAPBEXexcGood2 2 2 2" xfId="1792" xr:uid="{00000000-0005-0000-0000-000036070000}"/>
    <cellStyle name="SAPBEXexcGood2 2 2 3" xfId="1204" xr:uid="{00000000-0005-0000-0000-0000EA040000}"/>
    <cellStyle name="SAPBEXexcGood2 2 2 4" xfId="1207" xr:uid="{00000000-0005-0000-0000-0000ED040000}"/>
    <cellStyle name="SAPBEXexcGood2 2 2 5" xfId="604" xr:uid="{00000000-0005-0000-0000-000091020000}"/>
    <cellStyle name="SAPBEXexcGood2 2 2 6" xfId="1210" xr:uid="{00000000-0005-0000-0000-0000F0040000}"/>
    <cellStyle name="SAPBEXexcGood2 2 2 7" xfId="1213" xr:uid="{00000000-0005-0000-0000-0000F3040000}"/>
    <cellStyle name="SAPBEXexcGood2 2 2 8" xfId="1216" xr:uid="{00000000-0005-0000-0000-0000F6040000}"/>
    <cellStyle name="SAPBEXexcGood2 2 3" xfId="583" xr:uid="{00000000-0005-0000-0000-00007C020000}"/>
    <cellStyle name="SAPBEXexcGood2 2 4" xfId="1365" xr:uid="{00000000-0005-0000-0000-00008B050000}"/>
    <cellStyle name="SAPBEXexcGood2 2 5" xfId="1793" xr:uid="{00000000-0005-0000-0000-000037070000}"/>
    <cellStyle name="SAPBEXexcGood2 2 6" xfId="1590" xr:uid="{00000000-0005-0000-0000-00006C060000}"/>
    <cellStyle name="SAPBEXexcGood2 2 7" xfId="1592" xr:uid="{00000000-0005-0000-0000-00006E060000}"/>
    <cellStyle name="SAPBEXexcGood2 2 8" xfId="1594" xr:uid="{00000000-0005-0000-0000-000070060000}"/>
    <cellStyle name="SAPBEXexcGood2 2 9" xfId="1426" xr:uid="{00000000-0005-0000-0000-0000C8050000}"/>
    <cellStyle name="SAPBEXexcGood2 3" xfId="1794" xr:uid="{00000000-0005-0000-0000-000038070000}"/>
    <cellStyle name="SAPBEXexcGood2 3 2" xfId="1796" xr:uid="{00000000-0005-0000-0000-00003A070000}"/>
    <cellStyle name="SAPBEXexcGood2 3 3" xfId="712" xr:uid="{00000000-0005-0000-0000-0000FD020000}"/>
    <cellStyle name="SAPBEXexcGood2 3 4" xfId="1798" xr:uid="{00000000-0005-0000-0000-00003C070000}"/>
    <cellStyle name="SAPBEXexcGood2 3 5" xfId="1800" xr:uid="{00000000-0005-0000-0000-00003E070000}"/>
    <cellStyle name="SAPBEXexcGood2 3 6" xfId="1802" xr:uid="{00000000-0005-0000-0000-000040070000}"/>
    <cellStyle name="SAPBEXexcGood2 3 7" xfId="1803" xr:uid="{00000000-0005-0000-0000-000041070000}"/>
    <cellStyle name="SAPBEXexcGood2 3 8" xfId="1766" xr:uid="{00000000-0005-0000-0000-00001C070000}"/>
    <cellStyle name="SAPBEXexcGood2 4" xfId="590" xr:uid="{00000000-0005-0000-0000-000083020000}"/>
    <cellStyle name="SAPBEXexcGood2 5" xfId="1345" xr:uid="{00000000-0005-0000-0000-000077050000}"/>
    <cellStyle name="SAPBEXexcGood2 6" xfId="1348" xr:uid="{00000000-0005-0000-0000-00007A050000}"/>
    <cellStyle name="SAPBEXexcGood2 7" xfId="1357" xr:uid="{00000000-0005-0000-0000-000083050000}"/>
    <cellStyle name="SAPBEXexcGood2 8" xfId="1360" xr:uid="{00000000-0005-0000-0000-000086050000}"/>
    <cellStyle name="SAPBEXexcGood2 9" xfId="1804" xr:uid="{00000000-0005-0000-0000-000042070000}"/>
    <cellStyle name="SAPBEXexcGood3" xfId="1805" xr:uid="{00000000-0005-0000-0000-000043070000}"/>
    <cellStyle name="SAPBEXexcGood3 10" xfId="725" xr:uid="{00000000-0005-0000-0000-00000A030000}"/>
    <cellStyle name="SAPBEXexcGood3 11" xfId="1806" xr:uid="{00000000-0005-0000-0000-000044070000}"/>
    <cellStyle name="SAPBEXexcGood3 2" xfId="1807" xr:uid="{00000000-0005-0000-0000-000045070000}"/>
    <cellStyle name="SAPBEXexcGood3 2 2" xfId="1808" xr:uid="{00000000-0005-0000-0000-000046070000}"/>
    <cellStyle name="SAPBEXexcGood3 2 2 2" xfId="1810" xr:uid="{00000000-0005-0000-0000-000048070000}"/>
    <cellStyle name="SAPBEXexcGood3 2 2 3" xfId="1811" xr:uid="{00000000-0005-0000-0000-000049070000}"/>
    <cellStyle name="SAPBEXexcGood3 2 2 4" xfId="1812" xr:uid="{00000000-0005-0000-0000-00004A070000}"/>
    <cellStyle name="SAPBEXexcGood3 2 2 5" xfId="887" xr:uid="{00000000-0005-0000-0000-0000AC030000}"/>
    <cellStyle name="SAPBEXexcGood3 2 2 6" xfId="1813" xr:uid="{00000000-0005-0000-0000-00004B070000}"/>
    <cellStyle name="SAPBEXexcGood3 2 2 7" xfId="1814" xr:uid="{00000000-0005-0000-0000-00004C070000}"/>
    <cellStyle name="SAPBEXexcGood3 2 2 8" xfId="1815" xr:uid="{00000000-0005-0000-0000-00004D070000}"/>
    <cellStyle name="SAPBEXexcGood3 2 3" xfId="682" xr:uid="{00000000-0005-0000-0000-0000DF020000}"/>
    <cellStyle name="SAPBEXexcGood3 2 4" xfId="728" xr:uid="{00000000-0005-0000-0000-00000D030000}"/>
    <cellStyle name="SAPBEXexcGood3 2 5" xfId="732" xr:uid="{00000000-0005-0000-0000-000011030000}"/>
    <cellStyle name="SAPBEXexcGood3 2 6" xfId="52" xr:uid="{00000000-0005-0000-0000-000045000000}"/>
    <cellStyle name="SAPBEXexcGood3 2 7" xfId="259" xr:uid="{00000000-0005-0000-0000-000037010000}"/>
    <cellStyle name="SAPBEXexcGood3 2 8" xfId="1633" xr:uid="{00000000-0005-0000-0000-000097060000}"/>
    <cellStyle name="SAPBEXexcGood3 2 9" xfId="1635" xr:uid="{00000000-0005-0000-0000-000099060000}"/>
    <cellStyle name="SAPBEXexcGood3 3" xfId="1816" xr:uid="{00000000-0005-0000-0000-00004E070000}"/>
    <cellStyle name="SAPBEXexcGood3 3 2" xfId="1817" xr:uid="{00000000-0005-0000-0000-00004F070000}"/>
    <cellStyle name="SAPBEXexcGood3 3 3" xfId="308" xr:uid="{00000000-0005-0000-0000-000069010000}"/>
    <cellStyle name="SAPBEXexcGood3 3 4" xfId="312" xr:uid="{00000000-0005-0000-0000-00006D010000}"/>
    <cellStyle name="SAPBEXexcGood3 3 5" xfId="744" xr:uid="{00000000-0005-0000-0000-00001D030000}"/>
    <cellStyle name="SAPBEXexcGood3 3 6" xfId="1819" xr:uid="{00000000-0005-0000-0000-000051070000}"/>
    <cellStyle name="SAPBEXexcGood3 3 7" xfId="812" xr:uid="{00000000-0005-0000-0000-000061030000}"/>
    <cellStyle name="SAPBEXexcGood3 3 8" xfId="814" xr:uid="{00000000-0005-0000-0000-000063030000}"/>
    <cellStyle name="SAPBEXexcGood3 4" xfId="1820" xr:uid="{00000000-0005-0000-0000-000052070000}"/>
    <cellStyle name="SAPBEXexcGood3 5" xfId="1420" xr:uid="{00000000-0005-0000-0000-0000C2050000}"/>
    <cellStyle name="SAPBEXexcGood3 6" xfId="909" xr:uid="{00000000-0005-0000-0000-0000C2030000}"/>
    <cellStyle name="SAPBEXexcGood3 7" xfId="1821" xr:uid="{00000000-0005-0000-0000-000053070000}"/>
    <cellStyle name="SAPBEXexcGood3 8" xfId="1822" xr:uid="{00000000-0005-0000-0000-000054070000}"/>
    <cellStyle name="SAPBEXexcGood3 9" xfId="1823" xr:uid="{00000000-0005-0000-0000-000055070000}"/>
    <cellStyle name="SAPBEXfilterDrill" xfId="250" xr:uid="{00000000-0005-0000-0000-00002E010000}"/>
    <cellStyle name="SAPBEXfilterItem" xfId="1769" xr:uid="{00000000-0005-0000-0000-00001F070000}"/>
    <cellStyle name="SAPBEXfilterText" xfId="1824" xr:uid="{00000000-0005-0000-0000-000056070000}"/>
    <cellStyle name="SAPBEXformats" xfId="1825" xr:uid="{00000000-0005-0000-0000-000057070000}"/>
    <cellStyle name="SAPBEXformats 10" xfId="1100" xr:uid="{00000000-0005-0000-0000-000082040000}"/>
    <cellStyle name="SAPBEXformats 11" xfId="1116" xr:uid="{00000000-0005-0000-0000-000092040000}"/>
    <cellStyle name="SAPBEXformats 2" xfId="1826" xr:uid="{00000000-0005-0000-0000-000058070000}"/>
    <cellStyle name="SAPBEXformats 2 2" xfId="1827" xr:uid="{00000000-0005-0000-0000-000059070000}"/>
    <cellStyle name="SAPBEXformats 2 2 2" xfId="1828" xr:uid="{00000000-0005-0000-0000-00005A070000}"/>
    <cellStyle name="SAPBEXformats 2 2 3" xfId="1829" xr:uid="{00000000-0005-0000-0000-00005B070000}"/>
    <cellStyle name="SAPBEXformats 2 2 4" xfId="118" xr:uid="{00000000-0005-0000-0000-00009B000000}"/>
    <cellStyle name="SAPBEXformats 2 2 5" xfId="1830" xr:uid="{00000000-0005-0000-0000-00005C070000}"/>
    <cellStyle name="SAPBEXformats 2 2 6" xfId="1831" xr:uid="{00000000-0005-0000-0000-00005D070000}"/>
    <cellStyle name="SAPBEXformats 2 2 7" xfId="1832" xr:uid="{00000000-0005-0000-0000-00005E070000}"/>
    <cellStyle name="SAPBEXformats 2 2 8" xfId="79" xr:uid="{00000000-0005-0000-0000-000069000000}"/>
    <cellStyle name="SAPBEXformats 2 3" xfId="665" xr:uid="{00000000-0005-0000-0000-0000CE020000}"/>
    <cellStyle name="SAPBEXformats 2 4" xfId="1833" xr:uid="{00000000-0005-0000-0000-00005F070000}"/>
    <cellStyle name="SAPBEXformats 2 5" xfId="1534" xr:uid="{00000000-0005-0000-0000-000034060000}"/>
    <cellStyle name="SAPBEXformats 2 6" xfId="361" xr:uid="{00000000-0005-0000-0000-00009E010000}"/>
    <cellStyle name="SAPBEXformats 2 7" xfId="364" xr:uid="{00000000-0005-0000-0000-0000A1010000}"/>
    <cellStyle name="SAPBEXformats 2 8" xfId="368" xr:uid="{00000000-0005-0000-0000-0000A5010000}"/>
    <cellStyle name="SAPBEXformats 2 9" xfId="1834" xr:uid="{00000000-0005-0000-0000-000060070000}"/>
    <cellStyle name="SAPBEXformats 3" xfId="1137" xr:uid="{00000000-0005-0000-0000-0000A7040000}"/>
    <cellStyle name="SAPBEXformats 3 2" xfId="654" xr:uid="{00000000-0005-0000-0000-0000C3020000}"/>
    <cellStyle name="SAPBEXformats 3 3" xfId="204" xr:uid="{00000000-0005-0000-0000-0000FE000000}"/>
    <cellStyle name="SAPBEXformats 3 4" xfId="382" xr:uid="{00000000-0005-0000-0000-0000B3010000}"/>
    <cellStyle name="SAPBEXformats 3 5" xfId="387" xr:uid="{00000000-0005-0000-0000-0000B8010000}"/>
    <cellStyle name="SAPBEXformats 3 6" xfId="393" xr:uid="{00000000-0005-0000-0000-0000BE010000}"/>
    <cellStyle name="SAPBEXformats 3 7" xfId="400" xr:uid="{00000000-0005-0000-0000-0000C5010000}"/>
    <cellStyle name="SAPBEXformats 3 8" xfId="407" xr:uid="{00000000-0005-0000-0000-0000CC010000}"/>
    <cellStyle name="SAPBEXformats 4" xfId="1835" xr:uid="{00000000-0005-0000-0000-000061070000}"/>
    <cellStyle name="SAPBEXformats 5" xfId="1836" xr:uid="{00000000-0005-0000-0000-000062070000}"/>
    <cellStyle name="SAPBEXformats 6" xfId="1837" xr:uid="{00000000-0005-0000-0000-000063070000}"/>
    <cellStyle name="SAPBEXformats 7" xfId="112" xr:uid="{00000000-0005-0000-0000-000093000000}"/>
    <cellStyle name="SAPBEXformats 8" xfId="120" xr:uid="{00000000-0005-0000-0000-00009D000000}"/>
    <cellStyle name="SAPBEXformats 9" xfId="5" xr:uid="{00000000-0005-0000-0000-000006000000}"/>
    <cellStyle name="SAPBEXheaderItem" xfId="1762" xr:uid="{00000000-0005-0000-0000-000018070000}"/>
    <cellStyle name="SAPBEXheaderText" xfId="1839" xr:uid="{00000000-0005-0000-0000-000065070000}"/>
    <cellStyle name="SAPBEXHLevel0" xfId="1841" xr:uid="{00000000-0005-0000-0000-000067070000}"/>
    <cellStyle name="SAPBEXHLevel0 10" xfId="1477" xr:uid="{00000000-0005-0000-0000-0000FB050000}"/>
    <cellStyle name="SAPBEXHLevel0 11" xfId="1480" xr:uid="{00000000-0005-0000-0000-0000FE050000}"/>
    <cellStyle name="SAPBEXHLevel0 2" xfId="1842" xr:uid="{00000000-0005-0000-0000-000068070000}"/>
    <cellStyle name="SAPBEXHLevel0 2 2" xfId="1844" xr:uid="{00000000-0005-0000-0000-00006A070000}"/>
    <cellStyle name="SAPBEXHLevel0 2 2 2" xfId="1845" xr:uid="{00000000-0005-0000-0000-00006B070000}"/>
    <cellStyle name="SAPBEXHLevel0 2 2 3" xfId="1846" xr:uid="{00000000-0005-0000-0000-00006C070000}"/>
    <cellStyle name="SAPBEXHLevel0 2 2 4" xfId="1847" xr:uid="{00000000-0005-0000-0000-00006D070000}"/>
    <cellStyle name="SAPBEXHLevel0 2 2 5" xfId="1848" xr:uid="{00000000-0005-0000-0000-00006E070000}"/>
    <cellStyle name="SAPBEXHLevel0 2 2 6" xfId="1307" xr:uid="{00000000-0005-0000-0000-000051050000}"/>
    <cellStyle name="SAPBEXHLevel0 2 2 7" xfId="1317" xr:uid="{00000000-0005-0000-0000-00005B050000}"/>
    <cellStyle name="SAPBEXHLevel0 2 2 8" xfId="1319" xr:uid="{00000000-0005-0000-0000-00005D050000}"/>
    <cellStyle name="SAPBEXHLevel0 2 3" xfId="1850" xr:uid="{00000000-0005-0000-0000-000070070000}"/>
    <cellStyle name="SAPBEXHLevel0 2 4" xfId="1852" xr:uid="{00000000-0005-0000-0000-000072070000}"/>
    <cellStyle name="SAPBEXHLevel0 2 5" xfId="1854" xr:uid="{00000000-0005-0000-0000-000074070000}"/>
    <cellStyle name="SAPBEXHLevel0 2 6" xfId="1797" xr:uid="{00000000-0005-0000-0000-00003B070000}"/>
    <cellStyle name="SAPBEXHLevel0 2 7" xfId="713" xr:uid="{00000000-0005-0000-0000-0000FE020000}"/>
    <cellStyle name="SAPBEXHLevel0 2 8" xfId="1799" xr:uid="{00000000-0005-0000-0000-00003D070000}"/>
    <cellStyle name="SAPBEXHLevel0 2 9" xfId="1801" xr:uid="{00000000-0005-0000-0000-00003F070000}"/>
    <cellStyle name="SAPBEXHLevel0 3" xfId="1855" xr:uid="{00000000-0005-0000-0000-000075070000}"/>
    <cellStyle name="SAPBEXHLevel0 3 2" xfId="1858" xr:uid="{00000000-0005-0000-0000-000078070000}"/>
    <cellStyle name="SAPBEXHLevel0 3 3" xfId="1861" xr:uid="{00000000-0005-0000-0000-00007B070000}"/>
    <cellStyle name="SAPBEXHLevel0 3 4" xfId="1864" xr:uid="{00000000-0005-0000-0000-00007E070000}"/>
    <cellStyle name="SAPBEXHLevel0 3 5" xfId="1867" xr:uid="{00000000-0005-0000-0000-000081070000}"/>
    <cellStyle name="SAPBEXHLevel0 3 6" xfId="223" xr:uid="{00000000-0005-0000-0000-000011010000}"/>
    <cellStyle name="SAPBEXHLevel0 3 7" xfId="723" xr:uid="{00000000-0005-0000-0000-000008030000}"/>
    <cellStyle name="SAPBEXHLevel0 3 8" xfId="1868" xr:uid="{00000000-0005-0000-0000-000082070000}"/>
    <cellStyle name="SAPBEXHLevel0 4" xfId="1869" xr:uid="{00000000-0005-0000-0000-000083070000}"/>
    <cellStyle name="SAPBEXHLevel0 5" xfId="1870" xr:uid="{00000000-0005-0000-0000-000084070000}"/>
    <cellStyle name="SAPBEXHLevel0 6" xfId="1871" xr:uid="{00000000-0005-0000-0000-000085070000}"/>
    <cellStyle name="SAPBEXHLevel0 7" xfId="1872" xr:uid="{00000000-0005-0000-0000-000086070000}"/>
    <cellStyle name="SAPBEXHLevel0 8" xfId="1840" xr:uid="{00000000-0005-0000-0000-000066070000}"/>
    <cellStyle name="SAPBEXHLevel0 9" xfId="1874" xr:uid="{00000000-0005-0000-0000-000088070000}"/>
    <cellStyle name="SAPBEXHLevel0X" xfId="891" xr:uid="{00000000-0005-0000-0000-0000B0030000}"/>
    <cellStyle name="SAPBEXHLevel0X 10" xfId="1543" xr:uid="{00000000-0005-0000-0000-00003D060000}"/>
    <cellStyle name="SAPBEXHLevel0X 11" xfId="1545" xr:uid="{00000000-0005-0000-0000-00003F060000}"/>
    <cellStyle name="SAPBEXHLevel0X 2" xfId="1875" xr:uid="{00000000-0005-0000-0000-000089070000}"/>
    <cellStyle name="SAPBEXHLevel0X 2 2" xfId="1354" xr:uid="{00000000-0005-0000-0000-000080050000}"/>
    <cellStyle name="SAPBEXHLevel0X 2 2 2" xfId="867" xr:uid="{00000000-0005-0000-0000-000098030000}"/>
    <cellStyle name="SAPBEXHLevel0X 2 2 3" xfId="228" xr:uid="{00000000-0005-0000-0000-000016010000}"/>
    <cellStyle name="SAPBEXHLevel0X 2 2 4" xfId="1876" xr:uid="{00000000-0005-0000-0000-00008A070000}"/>
    <cellStyle name="SAPBEXHLevel0X 2 2 5" xfId="1877" xr:uid="{00000000-0005-0000-0000-00008B070000}"/>
    <cellStyle name="SAPBEXHLevel0X 2 2 6" xfId="1878" xr:uid="{00000000-0005-0000-0000-00008C070000}"/>
    <cellStyle name="SAPBEXHLevel0X 2 2 7" xfId="953" xr:uid="{00000000-0005-0000-0000-0000EE030000}"/>
    <cellStyle name="SAPBEXHLevel0X 2 2 8" xfId="1879" xr:uid="{00000000-0005-0000-0000-00008D070000}"/>
    <cellStyle name="SAPBEXHLevel0X 2 3" xfId="1880" xr:uid="{00000000-0005-0000-0000-00008E070000}"/>
    <cellStyle name="SAPBEXHLevel0X 2 4" xfId="1881" xr:uid="{00000000-0005-0000-0000-00008F070000}"/>
    <cellStyle name="SAPBEXHLevel0X 2 5" xfId="1882" xr:uid="{00000000-0005-0000-0000-000090070000}"/>
    <cellStyle name="SAPBEXHLevel0X 2 6" xfId="1883" xr:uid="{00000000-0005-0000-0000-000091070000}"/>
    <cellStyle name="SAPBEXHLevel0X 2 7" xfId="1884" xr:uid="{00000000-0005-0000-0000-000092070000}"/>
    <cellStyle name="SAPBEXHLevel0X 2 8" xfId="1885" xr:uid="{00000000-0005-0000-0000-000093070000}"/>
    <cellStyle name="SAPBEXHLevel0X 2 9" xfId="1886" xr:uid="{00000000-0005-0000-0000-000094070000}"/>
    <cellStyle name="SAPBEXHLevel0X 3" xfId="1887" xr:uid="{00000000-0005-0000-0000-000095070000}"/>
    <cellStyle name="SAPBEXHLevel0X 3 2" xfId="1889" xr:uid="{00000000-0005-0000-0000-000097070000}"/>
    <cellStyle name="SAPBEXHLevel0X 3 3" xfId="1439" xr:uid="{00000000-0005-0000-0000-0000D5050000}"/>
    <cellStyle name="SAPBEXHLevel0X 3 4" xfId="336" xr:uid="{00000000-0005-0000-0000-000085010000}"/>
    <cellStyle name="SAPBEXHLevel0X 3 5" xfId="1890" xr:uid="{00000000-0005-0000-0000-000098070000}"/>
    <cellStyle name="SAPBEXHLevel0X 3 6" xfId="1891" xr:uid="{00000000-0005-0000-0000-000099070000}"/>
    <cellStyle name="SAPBEXHLevel0X 3 7" xfId="1892" xr:uid="{00000000-0005-0000-0000-00009A070000}"/>
    <cellStyle name="SAPBEXHLevel0X 3 8" xfId="1894" xr:uid="{00000000-0005-0000-0000-00009C070000}"/>
    <cellStyle name="SAPBEXHLevel0X 4" xfId="1895" xr:uid="{00000000-0005-0000-0000-00009D070000}"/>
    <cellStyle name="SAPBEXHLevel0X 5" xfId="1896" xr:uid="{00000000-0005-0000-0000-00009E070000}"/>
    <cellStyle name="SAPBEXHLevel0X 6" xfId="690" xr:uid="{00000000-0005-0000-0000-0000E7020000}"/>
    <cellStyle name="SAPBEXHLevel0X 7" xfId="1897" xr:uid="{00000000-0005-0000-0000-00009F070000}"/>
    <cellStyle name="SAPBEXHLevel0X 8" xfId="1898" xr:uid="{00000000-0005-0000-0000-0000A0070000}"/>
    <cellStyle name="SAPBEXHLevel0X 9" xfId="1662" xr:uid="{00000000-0005-0000-0000-0000B4060000}"/>
    <cellStyle name="SAPBEXHLevel1" xfId="1873" xr:uid="{00000000-0005-0000-0000-000087070000}"/>
    <cellStyle name="SAPBEXHLevel1 10" xfId="1899" xr:uid="{00000000-0005-0000-0000-0000A1070000}"/>
    <cellStyle name="SAPBEXHLevel1 11" xfId="1901" xr:uid="{00000000-0005-0000-0000-0000A3070000}"/>
    <cellStyle name="SAPBEXHLevel1 2" xfId="1902" xr:uid="{00000000-0005-0000-0000-0000A4070000}"/>
    <cellStyle name="SAPBEXHLevel1 2 2" xfId="1330" xr:uid="{00000000-0005-0000-0000-000068050000}"/>
    <cellStyle name="SAPBEXHLevel1 2 2 2" xfId="1903" xr:uid="{00000000-0005-0000-0000-0000A5070000}"/>
    <cellStyle name="SAPBEXHLevel1 2 2 3" xfId="1904" xr:uid="{00000000-0005-0000-0000-0000A6070000}"/>
    <cellStyle name="SAPBEXHLevel1 2 2 4" xfId="1905" xr:uid="{00000000-0005-0000-0000-0000A7070000}"/>
    <cellStyle name="SAPBEXHLevel1 2 2 5" xfId="1906" xr:uid="{00000000-0005-0000-0000-0000A8070000}"/>
    <cellStyle name="SAPBEXHLevel1 2 2 6" xfId="1907" xr:uid="{00000000-0005-0000-0000-0000A9070000}"/>
    <cellStyle name="SAPBEXHLevel1 2 2 7" xfId="1908" xr:uid="{00000000-0005-0000-0000-0000AA070000}"/>
    <cellStyle name="SAPBEXHLevel1 2 2 8" xfId="1910" xr:uid="{00000000-0005-0000-0000-0000AC070000}"/>
    <cellStyle name="SAPBEXHLevel1 2 3" xfId="298" xr:uid="{00000000-0005-0000-0000-00005F010000}"/>
    <cellStyle name="SAPBEXHLevel1 2 4" xfId="1911" xr:uid="{00000000-0005-0000-0000-0000AD070000}"/>
    <cellStyle name="SAPBEXHLevel1 2 5" xfId="1912" xr:uid="{00000000-0005-0000-0000-0000AE070000}"/>
    <cellStyle name="SAPBEXHLevel1 2 6" xfId="1818" xr:uid="{00000000-0005-0000-0000-000050070000}"/>
    <cellStyle name="SAPBEXHLevel1 2 7" xfId="309" xr:uid="{00000000-0005-0000-0000-00006A010000}"/>
    <cellStyle name="SAPBEXHLevel1 2 8" xfId="313" xr:uid="{00000000-0005-0000-0000-00006E010000}"/>
    <cellStyle name="SAPBEXHLevel1 2 9" xfId="745" xr:uid="{00000000-0005-0000-0000-00001E030000}"/>
    <cellStyle name="SAPBEXHLevel1 3" xfId="1121" xr:uid="{00000000-0005-0000-0000-000097040000}"/>
    <cellStyle name="SAPBEXHLevel1 3 2" xfId="1913" xr:uid="{00000000-0005-0000-0000-0000AF070000}"/>
    <cellStyle name="SAPBEXHLevel1 3 3" xfId="1914" xr:uid="{00000000-0005-0000-0000-0000B0070000}"/>
    <cellStyle name="SAPBEXHLevel1 3 4" xfId="1915" xr:uid="{00000000-0005-0000-0000-0000B1070000}"/>
    <cellStyle name="SAPBEXHLevel1 3 5" xfId="1916" xr:uid="{00000000-0005-0000-0000-0000B2070000}"/>
    <cellStyle name="SAPBEXHLevel1 3 6" xfId="1917" xr:uid="{00000000-0005-0000-0000-0000B3070000}"/>
    <cellStyle name="SAPBEXHLevel1 3 7" xfId="756" xr:uid="{00000000-0005-0000-0000-000029030000}"/>
    <cellStyle name="SAPBEXHLevel1 3 8" xfId="1918" xr:uid="{00000000-0005-0000-0000-0000B4070000}"/>
    <cellStyle name="SAPBEXHLevel1 4" xfId="1919" xr:uid="{00000000-0005-0000-0000-0000B5070000}"/>
    <cellStyle name="SAPBEXHLevel1 5" xfId="659" xr:uid="{00000000-0005-0000-0000-0000C8020000}"/>
    <cellStyle name="SAPBEXHLevel1 6" xfId="1920" xr:uid="{00000000-0005-0000-0000-0000B6070000}"/>
    <cellStyle name="SAPBEXHLevel1 7" xfId="1131" xr:uid="{00000000-0005-0000-0000-0000A1040000}"/>
    <cellStyle name="SAPBEXHLevel1 8" xfId="1141" xr:uid="{00000000-0005-0000-0000-0000AB040000}"/>
    <cellStyle name="SAPBEXHLevel1 9" xfId="1145" xr:uid="{00000000-0005-0000-0000-0000AF040000}"/>
    <cellStyle name="SAPBEXHLevel1X" xfId="348" xr:uid="{00000000-0005-0000-0000-000091010000}"/>
    <cellStyle name="SAPBEXHLevel1X 10" xfId="522" xr:uid="{00000000-0005-0000-0000-00003F020000}"/>
    <cellStyle name="SAPBEXHLevel1X 11" xfId="532" xr:uid="{00000000-0005-0000-0000-000049020000}"/>
    <cellStyle name="SAPBEXHLevel1X 2" xfId="380" xr:uid="{00000000-0005-0000-0000-0000B1010000}"/>
    <cellStyle name="SAPBEXHLevel1X 2 2" xfId="394" xr:uid="{00000000-0005-0000-0000-0000BF010000}"/>
    <cellStyle name="SAPBEXHLevel1X 2 2 2" xfId="677" xr:uid="{00000000-0005-0000-0000-0000DA020000}"/>
    <cellStyle name="SAPBEXHLevel1X 2 2 3" xfId="736" xr:uid="{00000000-0005-0000-0000-000015030000}"/>
    <cellStyle name="SAPBEXHLevel1X 2 2 4" xfId="751" xr:uid="{00000000-0005-0000-0000-000024030000}"/>
    <cellStyle name="SAPBEXHLevel1X 2 2 5" xfId="76" xr:uid="{00000000-0005-0000-0000-000064000000}"/>
    <cellStyle name="SAPBEXHLevel1X 2 2 6" xfId="766" xr:uid="{00000000-0005-0000-0000-000033030000}"/>
    <cellStyle name="SAPBEXHLevel1X 2 2 7" xfId="1715" xr:uid="{00000000-0005-0000-0000-0000E9060000}"/>
    <cellStyle name="SAPBEXHLevel1X 2 2 8" xfId="1721" xr:uid="{00000000-0005-0000-0000-0000EF060000}"/>
    <cellStyle name="SAPBEXHLevel1X 2 3" xfId="401" xr:uid="{00000000-0005-0000-0000-0000C6010000}"/>
    <cellStyle name="SAPBEXHLevel1X 2 4" xfId="408" xr:uid="{00000000-0005-0000-0000-0000CD010000}"/>
    <cellStyle name="SAPBEXHLevel1X 2 5" xfId="413" xr:uid="{00000000-0005-0000-0000-0000D2010000}"/>
    <cellStyle name="SAPBEXHLevel1X 2 6" xfId="937" xr:uid="{00000000-0005-0000-0000-0000DE030000}"/>
    <cellStyle name="SAPBEXHLevel1X 2 7" xfId="959" xr:uid="{00000000-0005-0000-0000-0000F4030000}"/>
    <cellStyle name="SAPBEXHLevel1X 2 8" xfId="594" xr:uid="{00000000-0005-0000-0000-000087020000}"/>
    <cellStyle name="SAPBEXHLevel1X 2 9" xfId="609" xr:uid="{00000000-0005-0000-0000-000096020000}"/>
    <cellStyle name="SAPBEXHLevel1X 3" xfId="385" xr:uid="{00000000-0005-0000-0000-0000B6010000}"/>
    <cellStyle name="SAPBEXHLevel1X 3 2" xfId="699" xr:uid="{00000000-0005-0000-0000-0000F0020000}"/>
    <cellStyle name="SAPBEXHLevel1X 3 3" xfId="706" xr:uid="{00000000-0005-0000-0000-0000F7020000}"/>
    <cellStyle name="SAPBEXHLevel1X 3 4" xfId="719" xr:uid="{00000000-0005-0000-0000-000004030000}"/>
    <cellStyle name="SAPBEXHLevel1X 3 5" xfId="1921" xr:uid="{00000000-0005-0000-0000-0000B7070000}"/>
    <cellStyle name="SAPBEXHLevel1X 3 6" xfId="1923" xr:uid="{00000000-0005-0000-0000-0000B9070000}"/>
    <cellStyle name="SAPBEXHLevel1X 3 7" xfId="1925" xr:uid="{00000000-0005-0000-0000-0000BB070000}"/>
    <cellStyle name="SAPBEXHLevel1X 3 8" xfId="1927" xr:uid="{00000000-0005-0000-0000-0000BD070000}"/>
    <cellStyle name="SAPBEXHLevel1X 4" xfId="391" xr:uid="{00000000-0005-0000-0000-0000BC010000}"/>
    <cellStyle name="SAPBEXHLevel1X 5" xfId="398" xr:uid="{00000000-0005-0000-0000-0000C3010000}"/>
    <cellStyle name="SAPBEXHLevel1X 6" xfId="405" xr:uid="{00000000-0005-0000-0000-0000CA010000}"/>
    <cellStyle name="SAPBEXHLevel1X 7" xfId="412" xr:uid="{00000000-0005-0000-0000-0000D1010000}"/>
    <cellStyle name="SAPBEXHLevel1X 8" xfId="935" xr:uid="{00000000-0005-0000-0000-0000DC030000}"/>
    <cellStyle name="SAPBEXHLevel1X 9" xfId="958" xr:uid="{00000000-0005-0000-0000-0000F3030000}"/>
    <cellStyle name="SAPBEXHLevel2" xfId="1928" xr:uid="{00000000-0005-0000-0000-0000BE070000}"/>
    <cellStyle name="SAPBEXHLevel2 10" xfId="764" xr:uid="{00000000-0005-0000-0000-000031030000}"/>
    <cellStyle name="SAPBEXHLevel2 11" xfId="1713" xr:uid="{00000000-0005-0000-0000-0000E7060000}"/>
    <cellStyle name="SAPBEXHLevel2 2" xfId="1231" xr:uid="{00000000-0005-0000-0000-000005050000}"/>
    <cellStyle name="SAPBEXHLevel2 2 2" xfId="1302" xr:uid="{00000000-0005-0000-0000-00004C050000}"/>
    <cellStyle name="SAPBEXHLevel2 2 2 2" xfId="1929" xr:uid="{00000000-0005-0000-0000-0000BF070000}"/>
    <cellStyle name="SAPBEXHLevel2 2 2 3" xfId="1930" xr:uid="{00000000-0005-0000-0000-0000C0070000}"/>
    <cellStyle name="SAPBEXHLevel2 2 2 4" xfId="1931" xr:uid="{00000000-0005-0000-0000-0000C1070000}"/>
    <cellStyle name="SAPBEXHLevel2 2 2 5" xfId="1932" xr:uid="{00000000-0005-0000-0000-0000C2070000}"/>
    <cellStyle name="SAPBEXHLevel2 2 2 6" xfId="1933" xr:uid="{00000000-0005-0000-0000-0000C3070000}"/>
    <cellStyle name="SAPBEXHLevel2 2 2 7" xfId="1934" xr:uid="{00000000-0005-0000-0000-0000C4070000}"/>
    <cellStyle name="SAPBEXHLevel2 2 2 8" xfId="1936" xr:uid="{00000000-0005-0000-0000-0000C6070000}"/>
    <cellStyle name="SAPBEXHLevel2 2 3" xfId="291" xr:uid="{00000000-0005-0000-0000-000058010000}"/>
    <cellStyle name="SAPBEXHLevel2 2 4" xfId="485" xr:uid="{00000000-0005-0000-0000-00001A020000}"/>
    <cellStyle name="SAPBEXHLevel2 2 5" xfId="493" xr:uid="{00000000-0005-0000-0000-000022020000}"/>
    <cellStyle name="SAPBEXHLevel2 2 6" xfId="499" xr:uid="{00000000-0005-0000-0000-000028020000}"/>
    <cellStyle name="SAPBEXHLevel2 2 7" xfId="507" xr:uid="{00000000-0005-0000-0000-000030020000}"/>
    <cellStyle name="SAPBEXHLevel2 2 8" xfId="1937" xr:uid="{00000000-0005-0000-0000-0000C7070000}"/>
    <cellStyle name="SAPBEXHLevel2 2 9" xfId="1939" xr:uid="{00000000-0005-0000-0000-0000C9070000}"/>
    <cellStyle name="SAPBEXHLevel2 3" xfId="1234" xr:uid="{00000000-0005-0000-0000-000008050000}"/>
    <cellStyle name="SAPBEXHLevel2 3 2" xfId="1941" xr:uid="{00000000-0005-0000-0000-0000CB070000}"/>
    <cellStyle name="SAPBEXHLevel2 3 3" xfId="1942" xr:uid="{00000000-0005-0000-0000-0000CC070000}"/>
    <cellStyle name="SAPBEXHLevel2 3 4" xfId="1944" xr:uid="{00000000-0005-0000-0000-0000CE070000}"/>
    <cellStyle name="SAPBEXHLevel2 3 5" xfId="72" xr:uid="{00000000-0005-0000-0000-00005F000000}"/>
    <cellStyle name="SAPBEXHLevel2 3 6" xfId="148" xr:uid="{00000000-0005-0000-0000-0000C2000000}"/>
    <cellStyle name="SAPBEXHLevel2 3 7" xfId="160" xr:uid="{00000000-0005-0000-0000-0000D0000000}"/>
    <cellStyle name="SAPBEXHLevel2 3 8" xfId="1946" xr:uid="{00000000-0005-0000-0000-0000D0070000}"/>
    <cellStyle name="SAPBEXHLevel2 4" xfId="1236" xr:uid="{00000000-0005-0000-0000-00000A050000}"/>
    <cellStyle name="SAPBEXHLevel2 5" xfId="663" xr:uid="{00000000-0005-0000-0000-0000CC020000}"/>
    <cellStyle name="SAPBEXHLevel2 6" xfId="1238" xr:uid="{00000000-0005-0000-0000-00000C050000}"/>
    <cellStyle name="SAPBEXHLevel2 7" xfId="1948" xr:uid="{00000000-0005-0000-0000-0000D2070000}"/>
    <cellStyle name="SAPBEXHLevel2 8" xfId="1949" xr:uid="{00000000-0005-0000-0000-0000D3070000}"/>
    <cellStyle name="SAPBEXHLevel2 9" xfId="1950" xr:uid="{00000000-0005-0000-0000-0000D4070000}"/>
    <cellStyle name="SAPBEXHLevel2X" xfId="1951" xr:uid="{00000000-0005-0000-0000-0000D5070000}"/>
    <cellStyle name="SAPBEXHLevel2X 10" xfId="104" xr:uid="{00000000-0005-0000-0000-000089000000}"/>
    <cellStyle name="SAPBEXHLevel2X 11" xfId="86" xr:uid="{00000000-0005-0000-0000-000071000000}"/>
    <cellStyle name="SAPBEXHLevel2X 2" xfId="1952" xr:uid="{00000000-0005-0000-0000-0000D6070000}"/>
    <cellStyle name="SAPBEXHLevel2X 2 2" xfId="74" xr:uid="{00000000-0005-0000-0000-000062000000}"/>
    <cellStyle name="SAPBEXHLevel2X 2 2 2" xfId="117" xr:uid="{00000000-0005-0000-0000-00009A000000}"/>
    <cellStyle name="SAPBEXHLevel2X 2 2 3" xfId="6" xr:uid="{00000000-0005-0000-0000-000009000000}"/>
    <cellStyle name="SAPBEXHLevel2X 2 2 4" xfId="1953" xr:uid="{00000000-0005-0000-0000-0000D7070000}"/>
    <cellStyle name="SAPBEXHLevel2X 2 2 5" xfId="973" xr:uid="{00000000-0005-0000-0000-000003040000}"/>
    <cellStyle name="SAPBEXHLevel2X 2 2 6" xfId="1954" xr:uid="{00000000-0005-0000-0000-0000D8070000}"/>
    <cellStyle name="SAPBEXHLevel2X 2 2 7" xfId="1955" xr:uid="{00000000-0005-0000-0000-0000D9070000}"/>
    <cellStyle name="SAPBEXHLevel2X 2 2 8" xfId="1956" xr:uid="{00000000-0005-0000-0000-0000DA070000}"/>
    <cellStyle name="SAPBEXHLevel2X 2 3" xfId="1957" xr:uid="{00000000-0005-0000-0000-0000DB070000}"/>
    <cellStyle name="SAPBEXHLevel2X 2 4" xfId="1958" xr:uid="{00000000-0005-0000-0000-0000DC070000}"/>
    <cellStyle name="SAPBEXHLevel2X 2 5" xfId="1959" xr:uid="{00000000-0005-0000-0000-0000DD070000}"/>
    <cellStyle name="SAPBEXHLevel2X 2 6" xfId="1960" xr:uid="{00000000-0005-0000-0000-0000DE070000}"/>
    <cellStyle name="SAPBEXHLevel2X 2 7" xfId="1512" xr:uid="{00000000-0005-0000-0000-00001E060000}"/>
    <cellStyle name="SAPBEXHLevel2X 2 8" xfId="1286" xr:uid="{00000000-0005-0000-0000-00003C050000}"/>
    <cellStyle name="SAPBEXHLevel2X 2 9" xfId="1539" xr:uid="{00000000-0005-0000-0000-000039060000}"/>
    <cellStyle name="SAPBEXHLevel2X 3" xfId="1961" xr:uid="{00000000-0005-0000-0000-0000DF070000}"/>
    <cellStyle name="SAPBEXHLevel2X 3 2" xfId="1962" xr:uid="{00000000-0005-0000-0000-0000E0070000}"/>
    <cellStyle name="SAPBEXHLevel2X 3 3" xfId="1963" xr:uid="{00000000-0005-0000-0000-0000E1070000}"/>
    <cellStyle name="SAPBEXHLevel2X 3 4" xfId="1964" xr:uid="{00000000-0005-0000-0000-0000E2070000}"/>
    <cellStyle name="SAPBEXHLevel2X 3 5" xfId="1965" xr:uid="{00000000-0005-0000-0000-0000E3070000}"/>
    <cellStyle name="SAPBEXHLevel2X 3 6" xfId="1967" xr:uid="{00000000-0005-0000-0000-0000E5070000}"/>
    <cellStyle name="SAPBEXHLevel2X 3 7" xfId="1969" xr:uid="{00000000-0005-0000-0000-0000E7070000}"/>
    <cellStyle name="SAPBEXHLevel2X 3 8" xfId="1972" xr:uid="{00000000-0005-0000-0000-0000EA070000}"/>
    <cellStyle name="SAPBEXHLevel2X 4" xfId="789" xr:uid="{00000000-0005-0000-0000-00004A030000}"/>
    <cellStyle name="SAPBEXHLevel2X 5" xfId="796" xr:uid="{00000000-0005-0000-0000-000051030000}"/>
    <cellStyle name="SAPBEXHLevel2X 6" xfId="804" xr:uid="{00000000-0005-0000-0000-000059030000}"/>
    <cellStyle name="SAPBEXHLevel2X 7" xfId="1974" xr:uid="{00000000-0005-0000-0000-0000EC070000}"/>
    <cellStyle name="SAPBEXHLevel2X 8" xfId="1975" xr:uid="{00000000-0005-0000-0000-0000ED070000}"/>
    <cellStyle name="SAPBEXHLevel2X 9" xfId="1976" xr:uid="{00000000-0005-0000-0000-0000EE070000}"/>
    <cellStyle name="SAPBEXHLevel3" xfId="1977" xr:uid="{00000000-0005-0000-0000-0000EF070000}"/>
    <cellStyle name="SAPBEXHLevel3 10" xfId="1978" xr:uid="{00000000-0005-0000-0000-0000F0070000}"/>
    <cellStyle name="SAPBEXHLevel3 11" xfId="1980" xr:uid="{00000000-0005-0000-0000-0000F2070000}"/>
    <cellStyle name="SAPBEXHLevel3 2" xfId="1298" xr:uid="{00000000-0005-0000-0000-000048050000}"/>
    <cellStyle name="SAPBEXHLevel3 2 2" xfId="1217" xr:uid="{00000000-0005-0000-0000-0000F7040000}"/>
    <cellStyle name="SAPBEXHLevel3 2 2 2" xfId="1982" xr:uid="{00000000-0005-0000-0000-0000F4070000}"/>
    <cellStyle name="SAPBEXHLevel3 2 2 3" xfId="1983" xr:uid="{00000000-0005-0000-0000-0000F5070000}"/>
    <cellStyle name="SAPBEXHLevel3 2 2 4" xfId="1984" xr:uid="{00000000-0005-0000-0000-0000F6070000}"/>
    <cellStyle name="SAPBEXHLevel3 2 2 5" xfId="1985" xr:uid="{00000000-0005-0000-0000-0000F7070000}"/>
    <cellStyle name="SAPBEXHLevel3 2 2 6" xfId="1987" xr:uid="{00000000-0005-0000-0000-0000F9070000}"/>
    <cellStyle name="SAPBEXHLevel3 2 2 7" xfId="1988" xr:uid="{00000000-0005-0000-0000-0000FA070000}"/>
    <cellStyle name="SAPBEXHLevel3 2 2 8" xfId="1989" xr:uid="{00000000-0005-0000-0000-0000FB070000}"/>
    <cellStyle name="SAPBEXHLevel3 2 3" xfId="1508" xr:uid="{00000000-0005-0000-0000-00001A060000}"/>
    <cellStyle name="SAPBEXHLevel3 2 4" xfId="1652" xr:uid="{00000000-0005-0000-0000-0000AA060000}"/>
    <cellStyle name="SAPBEXHLevel3 2 5" xfId="1654" xr:uid="{00000000-0005-0000-0000-0000AC060000}"/>
    <cellStyle name="SAPBEXHLevel3 2 6" xfId="1656" xr:uid="{00000000-0005-0000-0000-0000AE060000}"/>
    <cellStyle name="SAPBEXHLevel3 2 7" xfId="246" xr:uid="{00000000-0005-0000-0000-000029010000}"/>
    <cellStyle name="SAPBEXHLevel3 2 8" xfId="1162" xr:uid="{00000000-0005-0000-0000-0000C0040000}"/>
    <cellStyle name="SAPBEXHLevel3 2 9" xfId="854" xr:uid="{00000000-0005-0000-0000-00008B030000}"/>
    <cellStyle name="SAPBEXHLevel3 3" xfId="1990" xr:uid="{00000000-0005-0000-0000-0000FC070000}"/>
    <cellStyle name="SAPBEXHLevel3 3 2" xfId="1991" xr:uid="{00000000-0005-0000-0000-0000FD070000}"/>
    <cellStyle name="SAPBEXHLevel3 3 3" xfId="1992" xr:uid="{00000000-0005-0000-0000-0000FE070000}"/>
    <cellStyle name="SAPBEXHLevel3 3 4" xfId="1266" xr:uid="{00000000-0005-0000-0000-000028050000}"/>
    <cellStyle name="SAPBEXHLevel3 3 5" xfId="1268" xr:uid="{00000000-0005-0000-0000-00002A050000}"/>
    <cellStyle name="SAPBEXHLevel3 3 6" xfId="1270" xr:uid="{00000000-0005-0000-0000-00002C050000}"/>
    <cellStyle name="SAPBEXHLevel3 3 7" xfId="788" xr:uid="{00000000-0005-0000-0000-000049030000}"/>
    <cellStyle name="SAPBEXHLevel3 3 8" xfId="1272" xr:uid="{00000000-0005-0000-0000-00002E050000}"/>
    <cellStyle name="SAPBEXHLevel3 4" xfId="1993" xr:uid="{00000000-0005-0000-0000-0000FF070000}"/>
    <cellStyle name="SAPBEXHLevel3 5" xfId="488" xr:uid="{00000000-0005-0000-0000-00001D020000}"/>
    <cellStyle name="SAPBEXHLevel3 6" xfId="1994" xr:uid="{00000000-0005-0000-0000-000000080000}"/>
    <cellStyle name="SAPBEXHLevel3 7" xfId="1995" xr:uid="{00000000-0005-0000-0000-000001080000}"/>
    <cellStyle name="SAPBEXHLevel3 8" xfId="1996" xr:uid="{00000000-0005-0000-0000-000002080000}"/>
    <cellStyle name="SAPBEXHLevel3 9" xfId="1997" xr:uid="{00000000-0005-0000-0000-000003080000}"/>
    <cellStyle name="SAPBEXHLevel3X" xfId="150" xr:uid="{00000000-0005-0000-0000-0000C4000000}"/>
    <cellStyle name="SAPBEXHLevel3X 10" xfId="323" xr:uid="{00000000-0005-0000-0000-000078010000}"/>
    <cellStyle name="SAPBEXHLevel3X 11" xfId="330" xr:uid="{00000000-0005-0000-0000-00007F010000}"/>
    <cellStyle name="SAPBEXHLevel3X 2" xfId="460" xr:uid="{00000000-0005-0000-0000-000001020000}"/>
    <cellStyle name="SAPBEXHLevel3X 2 2" xfId="646" xr:uid="{00000000-0005-0000-0000-0000BB020000}"/>
    <cellStyle name="SAPBEXHLevel3X 2 2 2" xfId="1998" xr:uid="{00000000-0005-0000-0000-000004080000}"/>
    <cellStyle name="SAPBEXHLevel3X 2 2 3" xfId="155" xr:uid="{00000000-0005-0000-0000-0000CA000000}"/>
    <cellStyle name="SAPBEXHLevel3X 2 2 4" xfId="1584" xr:uid="{00000000-0005-0000-0000-000066060000}"/>
    <cellStyle name="SAPBEXHLevel3X 2 2 5" xfId="1586" xr:uid="{00000000-0005-0000-0000-000068060000}"/>
    <cellStyle name="SAPBEXHLevel3X 2 2 6" xfId="1413" xr:uid="{00000000-0005-0000-0000-0000BB050000}"/>
    <cellStyle name="SAPBEXHLevel3X 2 2 7" xfId="1416" xr:uid="{00000000-0005-0000-0000-0000BE050000}"/>
    <cellStyle name="SAPBEXHLevel3X 2 2 8" xfId="1419" xr:uid="{00000000-0005-0000-0000-0000C1050000}"/>
    <cellStyle name="SAPBEXHLevel3X 2 3" xfId="1999" xr:uid="{00000000-0005-0000-0000-000005080000}"/>
    <cellStyle name="SAPBEXHLevel3X 2 4" xfId="2000" xr:uid="{00000000-0005-0000-0000-000006080000}"/>
    <cellStyle name="SAPBEXHLevel3X 2 5" xfId="2002" xr:uid="{00000000-0005-0000-0000-000008080000}"/>
    <cellStyle name="SAPBEXHLevel3X 2 6" xfId="2004" xr:uid="{00000000-0005-0000-0000-00000A080000}"/>
    <cellStyle name="SAPBEXHLevel3X 2 7" xfId="2005" xr:uid="{00000000-0005-0000-0000-00000B080000}"/>
    <cellStyle name="SAPBEXHLevel3X 2 8" xfId="1153" xr:uid="{00000000-0005-0000-0000-0000B7040000}"/>
    <cellStyle name="SAPBEXHLevel3X 2 9" xfId="2006" xr:uid="{00000000-0005-0000-0000-00000C080000}"/>
    <cellStyle name="SAPBEXHLevel3X 3" xfId="464" xr:uid="{00000000-0005-0000-0000-000005020000}"/>
    <cellStyle name="SAPBEXHLevel3X 3 2" xfId="2007" xr:uid="{00000000-0005-0000-0000-00000D080000}"/>
    <cellStyle name="SAPBEXHLevel3X 3 3" xfId="2008" xr:uid="{00000000-0005-0000-0000-00000E080000}"/>
    <cellStyle name="SAPBEXHLevel3X 3 4" xfId="2009" xr:uid="{00000000-0005-0000-0000-00000F080000}"/>
    <cellStyle name="SAPBEXHLevel3X 3 5" xfId="2010" xr:uid="{00000000-0005-0000-0000-000010080000}"/>
    <cellStyle name="SAPBEXHLevel3X 3 6" xfId="2011" xr:uid="{00000000-0005-0000-0000-000011080000}"/>
    <cellStyle name="SAPBEXHLevel3X 3 7" xfId="1676" xr:uid="{00000000-0005-0000-0000-0000C2060000}"/>
    <cellStyle name="SAPBEXHLevel3X 3 8" xfId="1678" xr:uid="{00000000-0005-0000-0000-0000C4060000}"/>
    <cellStyle name="SAPBEXHLevel3X 4" xfId="466" xr:uid="{00000000-0005-0000-0000-000007020000}"/>
    <cellStyle name="SAPBEXHLevel3X 5" xfId="1012" xr:uid="{00000000-0005-0000-0000-00002A040000}"/>
    <cellStyle name="SAPBEXHLevel3X 6" xfId="1017" xr:uid="{00000000-0005-0000-0000-00002F040000}"/>
    <cellStyle name="SAPBEXHLevel3X 7" xfId="2012" xr:uid="{00000000-0005-0000-0000-000012080000}"/>
    <cellStyle name="SAPBEXHLevel3X 8" xfId="2013" xr:uid="{00000000-0005-0000-0000-000013080000}"/>
    <cellStyle name="SAPBEXHLevel3X 9" xfId="2015" xr:uid="{00000000-0005-0000-0000-000015080000}"/>
    <cellStyle name="SAPBEXresData" xfId="2017" xr:uid="{00000000-0005-0000-0000-000017080000}"/>
    <cellStyle name="SAPBEXresData 10" xfId="2018" xr:uid="{00000000-0005-0000-0000-000018080000}"/>
    <cellStyle name="SAPBEXresData 11" xfId="2019" xr:uid="{00000000-0005-0000-0000-000019080000}"/>
    <cellStyle name="SAPBEXresData 2" xfId="1666" xr:uid="{00000000-0005-0000-0000-0000B8060000}"/>
    <cellStyle name="SAPBEXresData 2 2" xfId="2020" xr:uid="{00000000-0005-0000-0000-00001A080000}"/>
    <cellStyle name="SAPBEXresData 2 2 2" xfId="1966" xr:uid="{00000000-0005-0000-0000-0000E4070000}"/>
    <cellStyle name="SAPBEXresData 2 2 3" xfId="1968" xr:uid="{00000000-0005-0000-0000-0000E6070000}"/>
    <cellStyle name="SAPBEXresData 2 2 4" xfId="1970" xr:uid="{00000000-0005-0000-0000-0000E8070000}"/>
    <cellStyle name="SAPBEXresData 2 2 5" xfId="1973" xr:uid="{00000000-0005-0000-0000-0000EB070000}"/>
    <cellStyle name="SAPBEXresData 2 2 6" xfId="2021" xr:uid="{00000000-0005-0000-0000-00001B080000}"/>
    <cellStyle name="SAPBEXresData 2 2 7" xfId="2022" xr:uid="{00000000-0005-0000-0000-00001C080000}"/>
    <cellStyle name="SAPBEXresData 2 2 8" xfId="2023" xr:uid="{00000000-0005-0000-0000-00001D080000}"/>
    <cellStyle name="SAPBEXresData 2 3" xfId="2024" xr:uid="{00000000-0005-0000-0000-00001E080000}"/>
    <cellStyle name="SAPBEXresData 2 4" xfId="2025" xr:uid="{00000000-0005-0000-0000-00001F080000}"/>
    <cellStyle name="SAPBEXresData 2 5" xfId="2026" xr:uid="{00000000-0005-0000-0000-000020080000}"/>
    <cellStyle name="SAPBEXresData 2 6" xfId="1776" xr:uid="{00000000-0005-0000-0000-000026070000}"/>
    <cellStyle name="SAPBEXresData 2 7" xfId="1778" xr:uid="{00000000-0005-0000-0000-000028070000}"/>
    <cellStyle name="SAPBEXresData 2 8" xfId="1780" xr:uid="{00000000-0005-0000-0000-00002A070000}"/>
    <cellStyle name="SAPBEXresData 2 9" xfId="1609" xr:uid="{00000000-0005-0000-0000-00007F060000}"/>
    <cellStyle name="SAPBEXresData 3" xfId="1668" xr:uid="{00000000-0005-0000-0000-0000BA060000}"/>
    <cellStyle name="SAPBEXresData 3 2" xfId="2027" xr:uid="{00000000-0005-0000-0000-000021080000}"/>
    <cellStyle name="SAPBEXresData 3 3" xfId="2028" xr:uid="{00000000-0005-0000-0000-000022080000}"/>
    <cellStyle name="SAPBEXresData 3 4" xfId="2029" xr:uid="{00000000-0005-0000-0000-000023080000}"/>
    <cellStyle name="SAPBEXresData 3 5" xfId="1809" xr:uid="{00000000-0005-0000-0000-000047070000}"/>
    <cellStyle name="SAPBEXresData 3 6" xfId="683" xr:uid="{00000000-0005-0000-0000-0000E0020000}"/>
    <cellStyle name="SAPBEXresData 3 7" xfId="729" xr:uid="{00000000-0005-0000-0000-00000E030000}"/>
    <cellStyle name="SAPBEXresData 3 8" xfId="733" xr:uid="{00000000-0005-0000-0000-000012030000}"/>
    <cellStyle name="SAPBEXresData 4" xfId="2030" xr:uid="{00000000-0005-0000-0000-000024080000}"/>
    <cellStyle name="SAPBEXresData 5" xfId="2031" xr:uid="{00000000-0005-0000-0000-000025080000}"/>
    <cellStyle name="SAPBEXresData 6" xfId="2032" xr:uid="{00000000-0005-0000-0000-000026080000}"/>
    <cellStyle name="SAPBEXresData 7" xfId="2033" xr:uid="{00000000-0005-0000-0000-000027080000}"/>
    <cellStyle name="SAPBEXresData 8" xfId="318" xr:uid="{00000000-0005-0000-0000-000073010000}"/>
    <cellStyle name="SAPBEXresData 9" xfId="325" xr:uid="{00000000-0005-0000-0000-00007A010000}"/>
    <cellStyle name="SAPBEXresDataEmph" xfId="2034" xr:uid="{00000000-0005-0000-0000-000028080000}"/>
    <cellStyle name="SAPBEXresDataEmph 10" xfId="2035" xr:uid="{00000000-0005-0000-0000-000029080000}"/>
    <cellStyle name="SAPBEXresDataEmph 11" xfId="2036" xr:uid="{00000000-0005-0000-0000-00002A080000}"/>
    <cellStyle name="SAPBEXresDataEmph 2" xfId="2037" xr:uid="{00000000-0005-0000-0000-00002B080000}"/>
    <cellStyle name="SAPBEXresDataEmph 2 2" xfId="2038" xr:uid="{00000000-0005-0000-0000-00002C080000}"/>
    <cellStyle name="SAPBEXresDataEmph 2 2 2" xfId="1255" xr:uid="{00000000-0005-0000-0000-00001D050000}"/>
    <cellStyle name="SAPBEXresDataEmph 2 2 3" xfId="1257" xr:uid="{00000000-0005-0000-0000-00001F050000}"/>
    <cellStyle name="SAPBEXresDataEmph 2 2 4" xfId="1259" xr:uid="{00000000-0005-0000-0000-000021050000}"/>
    <cellStyle name="SAPBEXresDataEmph 2 2 5" xfId="1261" xr:uid="{00000000-0005-0000-0000-000023050000}"/>
    <cellStyle name="SAPBEXresDataEmph 2 2 6" xfId="1263" xr:uid="{00000000-0005-0000-0000-000025050000}"/>
    <cellStyle name="SAPBEXresDataEmph 2 2 7" xfId="1888" xr:uid="{00000000-0005-0000-0000-000096070000}"/>
    <cellStyle name="SAPBEXresDataEmph 2 2 8" xfId="1438" xr:uid="{00000000-0005-0000-0000-0000D4050000}"/>
    <cellStyle name="SAPBEXresDataEmph 2 3" xfId="2039" xr:uid="{00000000-0005-0000-0000-00002D080000}"/>
    <cellStyle name="SAPBEXresDataEmph 2 4" xfId="1843" xr:uid="{00000000-0005-0000-0000-000069070000}"/>
    <cellStyle name="SAPBEXresDataEmph 2 5" xfId="1849" xr:uid="{00000000-0005-0000-0000-00006F070000}"/>
    <cellStyle name="SAPBEXresDataEmph 2 6" xfId="1851" xr:uid="{00000000-0005-0000-0000-000071070000}"/>
    <cellStyle name="SAPBEXresDataEmph 2 7" xfId="1853" xr:uid="{00000000-0005-0000-0000-000073070000}"/>
    <cellStyle name="SAPBEXresDataEmph 2 8" xfId="1795" xr:uid="{00000000-0005-0000-0000-000039070000}"/>
    <cellStyle name="SAPBEXresDataEmph 2 9" xfId="709" xr:uid="{00000000-0005-0000-0000-0000FA020000}"/>
    <cellStyle name="SAPBEXresDataEmph 3" xfId="2040" xr:uid="{00000000-0005-0000-0000-00002E080000}"/>
    <cellStyle name="SAPBEXresDataEmph 3 2" xfId="2041" xr:uid="{00000000-0005-0000-0000-00002F080000}"/>
    <cellStyle name="SAPBEXresDataEmph 3 3" xfId="1464" xr:uid="{00000000-0005-0000-0000-0000EE050000}"/>
    <cellStyle name="SAPBEXresDataEmph 3 4" xfId="1856" xr:uid="{00000000-0005-0000-0000-000076070000}"/>
    <cellStyle name="SAPBEXresDataEmph 3 5" xfId="1859" xr:uid="{00000000-0005-0000-0000-000079070000}"/>
    <cellStyle name="SAPBEXresDataEmph 3 6" xfId="1862" xr:uid="{00000000-0005-0000-0000-00007C070000}"/>
    <cellStyle name="SAPBEXresDataEmph 3 7" xfId="1865" xr:uid="{00000000-0005-0000-0000-00007F070000}"/>
    <cellStyle name="SAPBEXresDataEmph 3 8" xfId="222" xr:uid="{00000000-0005-0000-0000-000010010000}"/>
    <cellStyle name="SAPBEXresDataEmph 4" xfId="2042" xr:uid="{00000000-0005-0000-0000-000030080000}"/>
    <cellStyle name="SAPBEXresDataEmph 5" xfId="2043" xr:uid="{00000000-0005-0000-0000-000031080000}"/>
    <cellStyle name="SAPBEXresDataEmph 6" xfId="2044" xr:uid="{00000000-0005-0000-0000-000032080000}"/>
    <cellStyle name="SAPBEXresDataEmph 7" xfId="2045" xr:uid="{00000000-0005-0000-0000-000033080000}"/>
    <cellStyle name="SAPBEXresDataEmph 8" xfId="2046" xr:uid="{00000000-0005-0000-0000-000034080000}"/>
    <cellStyle name="SAPBEXresDataEmph 9" xfId="2047" xr:uid="{00000000-0005-0000-0000-000035080000}"/>
    <cellStyle name="SAPBEXresItem" xfId="1548" xr:uid="{00000000-0005-0000-0000-000042060000}"/>
    <cellStyle name="SAPBEXresItem 10" xfId="1576" xr:uid="{00000000-0005-0000-0000-00005E060000}"/>
    <cellStyle name="SAPBEXresItem 11" xfId="1578" xr:uid="{00000000-0005-0000-0000-000060060000}"/>
    <cellStyle name="SAPBEXresItem 2" xfId="1745" xr:uid="{00000000-0005-0000-0000-000007070000}"/>
    <cellStyle name="SAPBEXresItem 2 2" xfId="1981" xr:uid="{00000000-0005-0000-0000-0000F3070000}"/>
    <cellStyle name="SAPBEXresItem 2 2 2" xfId="2048" xr:uid="{00000000-0005-0000-0000-000036080000}"/>
    <cellStyle name="SAPBEXresItem 2 2 3" xfId="2049" xr:uid="{00000000-0005-0000-0000-000037080000}"/>
    <cellStyle name="SAPBEXresItem 2 2 4" xfId="2050" xr:uid="{00000000-0005-0000-0000-000038080000}"/>
    <cellStyle name="SAPBEXresItem 2 2 5" xfId="747" xr:uid="{00000000-0005-0000-0000-000020030000}"/>
    <cellStyle name="SAPBEXresItem 2 2 6" xfId="2051" xr:uid="{00000000-0005-0000-0000-000039080000}"/>
    <cellStyle name="SAPBEXresItem 2 2 7" xfId="2053" xr:uid="{00000000-0005-0000-0000-00003B080000}"/>
    <cellStyle name="SAPBEXresItem 2 2 8" xfId="2054" xr:uid="{00000000-0005-0000-0000-00003C080000}"/>
    <cellStyle name="SAPBEXresItem 2 3" xfId="1015" xr:uid="{00000000-0005-0000-0000-00002D040000}"/>
    <cellStyle name="SAPBEXresItem 2 4" xfId="1321" xr:uid="{00000000-0005-0000-0000-00005F050000}"/>
    <cellStyle name="SAPBEXresItem 2 5" xfId="1325" xr:uid="{00000000-0005-0000-0000-000063050000}"/>
    <cellStyle name="SAPBEXresItem 2 6" xfId="2055" xr:uid="{00000000-0005-0000-0000-00003D080000}"/>
    <cellStyle name="SAPBEXresItem 2 7" xfId="2056" xr:uid="{00000000-0005-0000-0000-00003E080000}"/>
    <cellStyle name="SAPBEXresItem 2 8" xfId="2057" xr:uid="{00000000-0005-0000-0000-00003F080000}"/>
    <cellStyle name="SAPBEXresItem 2 9" xfId="2058" xr:uid="{00000000-0005-0000-0000-000040080000}"/>
    <cellStyle name="SAPBEXresItem 3" xfId="1747" xr:uid="{00000000-0005-0000-0000-000009070000}"/>
    <cellStyle name="SAPBEXresItem 3 2" xfId="2059" xr:uid="{00000000-0005-0000-0000-000041080000}"/>
    <cellStyle name="SAPBEXresItem 3 3" xfId="1020" xr:uid="{00000000-0005-0000-0000-000032040000}"/>
    <cellStyle name="SAPBEXresItem 3 4" xfId="1108" xr:uid="{00000000-0005-0000-0000-00008A040000}"/>
    <cellStyle name="SAPBEXresItem 3 5" xfId="185" xr:uid="{00000000-0005-0000-0000-0000EA000000}"/>
    <cellStyle name="SAPBEXresItem 3 6" xfId="1279" xr:uid="{00000000-0005-0000-0000-000035050000}"/>
    <cellStyle name="SAPBEXresItem 3 7" xfId="1281" xr:uid="{00000000-0005-0000-0000-000037050000}"/>
    <cellStyle name="SAPBEXresItem 3 8" xfId="1707" xr:uid="{00000000-0005-0000-0000-0000E1060000}"/>
    <cellStyle name="SAPBEXresItem 4" xfId="1749" xr:uid="{00000000-0005-0000-0000-00000B070000}"/>
    <cellStyle name="SAPBEXresItem 5" xfId="2060" xr:uid="{00000000-0005-0000-0000-000042080000}"/>
    <cellStyle name="SAPBEXresItem 6" xfId="1007" xr:uid="{00000000-0005-0000-0000-000025040000}"/>
    <cellStyle name="SAPBEXresItem 7" xfId="2061" xr:uid="{00000000-0005-0000-0000-000043080000}"/>
    <cellStyle name="SAPBEXresItem 8" xfId="2062" xr:uid="{00000000-0005-0000-0000-000044080000}"/>
    <cellStyle name="SAPBEXresItem 9" xfId="2064" xr:uid="{00000000-0005-0000-0000-000046080000}"/>
    <cellStyle name="SAPBEXresItemX" xfId="1497" xr:uid="{00000000-0005-0000-0000-00000F060000}"/>
    <cellStyle name="SAPBEXresItemX 10" xfId="2065" xr:uid="{00000000-0005-0000-0000-000047080000}"/>
    <cellStyle name="SAPBEXresItemX 11" xfId="2066" xr:uid="{00000000-0005-0000-0000-000048080000}"/>
    <cellStyle name="SAPBEXresItemX 2" xfId="2067" xr:uid="{00000000-0005-0000-0000-000049080000}"/>
    <cellStyle name="SAPBEXresItemX 2 2" xfId="2068" xr:uid="{00000000-0005-0000-0000-00004A080000}"/>
    <cellStyle name="SAPBEXresItemX 2 2 2" xfId="2069" xr:uid="{00000000-0005-0000-0000-00004B080000}"/>
    <cellStyle name="SAPBEXresItemX 2 2 3" xfId="295" xr:uid="{00000000-0005-0000-0000-00005C010000}"/>
    <cellStyle name="SAPBEXresItemX 2 2 4" xfId="314" xr:uid="{00000000-0005-0000-0000-00006F010000}"/>
    <cellStyle name="SAPBEXresItemX 2 2 5" xfId="261" xr:uid="{00000000-0005-0000-0000-00003A010000}"/>
    <cellStyle name="SAPBEXresItemX 2 2 6" xfId="266" xr:uid="{00000000-0005-0000-0000-00003F010000}"/>
    <cellStyle name="SAPBEXresItemX 2 2 7" xfId="320" xr:uid="{00000000-0005-0000-0000-000075010000}"/>
    <cellStyle name="SAPBEXresItemX 2 2 8" xfId="328" xr:uid="{00000000-0005-0000-0000-00007D010000}"/>
    <cellStyle name="SAPBEXresItemX 2 3" xfId="2071" xr:uid="{00000000-0005-0000-0000-00004D080000}"/>
    <cellStyle name="SAPBEXresItemX 2 4" xfId="2072" xr:uid="{00000000-0005-0000-0000-00004E080000}"/>
    <cellStyle name="SAPBEXresItemX 2 5" xfId="2073" xr:uid="{00000000-0005-0000-0000-00004F080000}"/>
    <cellStyle name="SAPBEXresItemX 2 6" xfId="2074" xr:uid="{00000000-0005-0000-0000-000050080000}"/>
    <cellStyle name="SAPBEXresItemX 2 7" xfId="2075" xr:uid="{00000000-0005-0000-0000-000051080000}"/>
    <cellStyle name="SAPBEXresItemX 2 8" xfId="2076" xr:uid="{00000000-0005-0000-0000-000052080000}"/>
    <cellStyle name="SAPBEXresItemX 2 9" xfId="2077" xr:uid="{00000000-0005-0000-0000-000053080000}"/>
    <cellStyle name="SAPBEXresItemX 3" xfId="2078" xr:uid="{00000000-0005-0000-0000-000054080000}"/>
    <cellStyle name="SAPBEXresItemX 3 2" xfId="1182" xr:uid="{00000000-0005-0000-0000-0000D4040000}"/>
    <cellStyle name="SAPBEXresItemX 3 3" xfId="1187" xr:uid="{00000000-0005-0000-0000-0000D9040000}"/>
    <cellStyle name="SAPBEXresItemX 3 4" xfId="1148" xr:uid="{00000000-0005-0000-0000-0000B2040000}"/>
    <cellStyle name="SAPBEXresItemX 3 5" xfId="1124" xr:uid="{00000000-0005-0000-0000-00009A040000}"/>
    <cellStyle name="SAPBEXresItemX 3 6" xfId="96" xr:uid="{00000000-0005-0000-0000-00007F000000}"/>
    <cellStyle name="SAPBEXresItemX 3 7" xfId="2079" xr:uid="{00000000-0005-0000-0000-000055080000}"/>
    <cellStyle name="SAPBEXresItemX 3 8" xfId="2080" xr:uid="{00000000-0005-0000-0000-000056080000}"/>
    <cellStyle name="SAPBEXresItemX 4" xfId="281" xr:uid="{00000000-0005-0000-0000-00004E010000}"/>
    <cellStyle name="SAPBEXresItemX 5" xfId="869" xr:uid="{00000000-0005-0000-0000-00009A030000}"/>
    <cellStyle name="SAPBEXresItemX 6" xfId="872" xr:uid="{00000000-0005-0000-0000-00009D030000}"/>
    <cellStyle name="SAPBEXresItemX 7" xfId="2081" xr:uid="{00000000-0005-0000-0000-000057080000}"/>
    <cellStyle name="SAPBEXresItemX 8" xfId="2082" xr:uid="{00000000-0005-0000-0000-000058080000}"/>
    <cellStyle name="SAPBEXresItemX 9" xfId="285" xr:uid="{00000000-0005-0000-0000-000052010000}"/>
    <cellStyle name="SAPBEXstdData" xfId="2083" xr:uid="{00000000-0005-0000-0000-000059080000}"/>
    <cellStyle name="SAPBEXstdData 10" xfId="2001" xr:uid="{00000000-0005-0000-0000-000007080000}"/>
    <cellStyle name="SAPBEXstdData 11" xfId="2003" xr:uid="{00000000-0005-0000-0000-000009080000}"/>
    <cellStyle name="SAPBEXstdData 2" xfId="2084" xr:uid="{00000000-0005-0000-0000-00005A080000}"/>
    <cellStyle name="SAPBEXstdData 2 2" xfId="2085" xr:uid="{00000000-0005-0000-0000-00005B080000}"/>
    <cellStyle name="SAPBEXstdData 2 2 2" xfId="2014" xr:uid="{00000000-0005-0000-0000-000014080000}"/>
    <cellStyle name="SAPBEXstdData 2 2 3" xfId="2016" xr:uid="{00000000-0005-0000-0000-000016080000}"/>
    <cellStyle name="SAPBEXstdData 2 2 4" xfId="2086" xr:uid="{00000000-0005-0000-0000-00005C080000}"/>
    <cellStyle name="SAPBEXstdData 2 2 5" xfId="1329" xr:uid="{00000000-0005-0000-0000-000067050000}"/>
    <cellStyle name="SAPBEXstdData 2 2 6" xfId="2087" xr:uid="{00000000-0005-0000-0000-00005D080000}"/>
    <cellStyle name="SAPBEXstdData 2 2 7" xfId="2088" xr:uid="{00000000-0005-0000-0000-00005E080000}"/>
    <cellStyle name="SAPBEXstdData 2 2 8" xfId="2089" xr:uid="{00000000-0005-0000-0000-00005F080000}"/>
    <cellStyle name="SAPBEXstdData 2 3" xfId="2090" xr:uid="{00000000-0005-0000-0000-000060080000}"/>
    <cellStyle name="SAPBEXstdData 2 4" xfId="2091" xr:uid="{00000000-0005-0000-0000-000061080000}"/>
    <cellStyle name="SAPBEXstdData 2 5" xfId="962" xr:uid="{00000000-0005-0000-0000-0000F8030000}"/>
    <cellStyle name="SAPBEXstdData 2 6" xfId="970" xr:uid="{00000000-0005-0000-0000-000000040000}"/>
    <cellStyle name="SAPBEXstdData 2 7" xfId="980" xr:uid="{00000000-0005-0000-0000-00000A040000}"/>
    <cellStyle name="SAPBEXstdData 2 8" xfId="528" xr:uid="{00000000-0005-0000-0000-000045020000}"/>
    <cellStyle name="SAPBEXstdData 2 9" xfId="1979" xr:uid="{00000000-0005-0000-0000-0000F1070000}"/>
    <cellStyle name="SAPBEXstdData 3" xfId="2092" xr:uid="{00000000-0005-0000-0000-000062080000}"/>
    <cellStyle name="SAPBEXstdData 3 2" xfId="2093" xr:uid="{00000000-0005-0000-0000-000063080000}"/>
    <cellStyle name="SAPBEXstdData 3 3" xfId="1555" xr:uid="{00000000-0005-0000-0000-000049060000}"/>
    <cellStyle name="SAPBEXstdData 3 4" xfId="1244" xr:uid="{00000000-0005-0000-0000-000012050000}"/>
    <cellStyle name="SAPBEXstdData 3 5" xfId="603" xr:uid="{00000000-0005-0000-0000-000090020000}"/>
    <cellStyle name="SAPBEXstdData 3 6" xfId="988" xr:uid="{00000000-0005-0000-0000-000012040000}"/>
    <cellStyle name="SAPBEXstdData 3 7" xfId="996" xr:uid="{00000000-0005-0000-0000-00001A040000}"/>
    <cellStyle name="SAPBEXstdData 3 8" xfId="1246" xr:uid="{00000000-0005-0000-0000-000014050000}"/>
    <cellStyle name="SAPBEXstdData 4" xfId="2094" xr:uid="{00000000-0005-0000-0000-000064080000}"/>
    <cellStyle name="SAPBEXstdData 5" xfId="2095" xr:uid="{00000000-0005-0000-0000-000065080000}"/>
    <cellStyle name="SAPBEXstdData 6" xfId="2070" xr:uid="{00000000-0005-0000-0000-00004C080000}"/>
    <cellStyle name="SAPBEXstdData 7" xfId="296" xr:uid="{00000000-0005-0000-0000-00005D010000}"/>
    <cellStyle name="SAPBEXstdData 8" xfId="315" xr:uid="{00000000-0005-0000-0000-000070010000}"/>
    <cellStyle name="SAPBEXstdData 9" xfId="262" xr:uid="{00000000-0005-0000-0000-00003B010000}"/>
    <cellStyle name="SAPBEXstdDataEmph" xfId="338" xr:uid="{00000000-0005-0000-0000-000087010000}"/>
    <cellStyle name="SAPBEXstdDataEmph 10" xfId="1622" xr:uid="{00000000-0005-0000-0000-00008C060000}"/>
    <cellStyle name="SAPBEXstdDataEmph 11" xfId="1625" xr:uid="{00000000-0005-0000-0000-00008F060000}"/>
    <cellStyle name="SAPBEXstdDataEmph 2" xfId="2096" xr:uid="{00000000-0005-0000-0000-000066080000}"/>
    <cellStyle name="SAPBEXstdDataEmph 2 2" xfId="292" xr:uid="{00000000-0005-0000-0000-000059010000}"/>
    <cellStyle name="SAPBEXstdDataEmph 2 2 2" xfId="2097" xr:uid="{00000000-0005-0000-0000-000067080000}"/>
    <cellStyle name="SAPBEXstdDataEmph 2 2 3" xfId="2098" xr:uid="{00000000-0005-0000-0000-000068080000}"/>
    <cellStyle name="SAPBEXstdDataEmph 2 2 4" xfId="2099" xr:uid="{00000000-0005-0000-0000-000069080000}"/>
    <cellStyle name="SAPBEXstdDataEmph 2 2 5" xfId="1309" xr:uid="{00000000-0005-0000-0000-000053050000}"/>
    <cellStyle name="SAPBEXstdDataEmph 2 2 6" xfId="1312" xr:uid="{00000000-0005-0000-0000-000056050000}"/>
    <cellStyle name="SAPBEXstdDataEmph 2 2 7" xfId="793" xr:uid="{00000000-0005-0000-0000-00004E030000}"/>
    <cellStyle name="SAPBEXstdDataEmph 2 2 8" xfId="1315" xr:uid="{00000000-0005-0000-0000-000059050000}"/>
    <cellStyle name="SAPBEXstdDataEmph 2 3" xfId="486" xr:uid="{00000000-0005-0000-0000-00001B020000}"/>
    <cellStyle name="SAPBEXstdDataEmph 2 4" xfId="494" xr:uid="{00000000-0005-0000-0000-000023020000}"/>
    <cellStyle name="SAPBEXstdDataEmph 2 5" xfId="500" xr:uid="{00000000-0005-0000-0000-000029020000}"/>
    <cellStyle name="SAPBEXstdDataEmph 2 6" xfId="508" xr:uid="{00000000-0005-0000-0000-000031020000}"/>
    <cellStyle name="SAPBEXstdDataEmph 2 7" xfId="1938" xr:uid="{00000000-0005-0000-0000-0000C8070000}"/>
    <cellStyle name="SAPBEXstdDataEmph 2 8" xfId="1940" xr:uid="{00000000-0005-0000-0000-0000CA070000}"/>
    <cellStyle name="SAPBEXstdDataEmph 2 9" xfId="1304" xr:uid="{00000000-0005-0000-0000-00004E050000}"/>
    <cellStyle name="SAPBEXstdDataEmph 3" xfId="2100" xr:uid="{00000000-0005-0000-0000-00006A080000}"/>
    <cellStyle name="SAPBEXstdDataEmph 3 2" xfId="1943" xr:uid="{00000000-0005-0000-0000-0000CD070000}"/>
    <cellStyle name="SAPBEXstdDataEmph 3 3" xfId="1945" xr:uid="{00000000-0005-0000-0000-0000CF070000}"/>
    <cellStyle name="SAPBEXstdDataEmph 3 4" xfId="73" xr:uid="{00000000-0005-0000-0000-000060000000}"/>
    <cellStyle name="SAPBEXstdDataEmph 3 5" xfId="149" xr:uid="{00000000-0005-0000-0000-0000C3000000}"/>
    <cellStyle name="SAPBEXstdDataEmph 3 6" xfId="161" xr:uid="{00000000-0005-0000-0000-0000D1000000}"/>
    <cellStyle name="SAPBEXstdDataEmph 3 7" xfId="1947" xr:uid="{00000000-0005-0000-0000-0000D1070000}"/>
    <cellStyle name="SAPBEXstdDataEmph 3 8" xfId="1900" xr:uid="{00000000-0005-0000-0000-0000A2070000}"/>
    <cellStyle name="SAPBEXstdDataEmph 4" xfId="2101" xr:uid="{00000000-0005-0000-0000-00006B080000}"/>
    <cellStyle name="SAPBEXstdDataEmph 5" xfId="237" xr:uid="{00000000-0005-0000-0000-000020010000}"/>
    <cellStyle name="SAPBEXstdDataEmph 6" xfId="347" xr:uid="{00000000-0005-0000-0000-000090010000}"/>
    <cellStyle name="SAPBEXstdDataEmph 7" xfId="357" xr:uid="{00000000-0005-0000-0000-00009A010000}"/>
    <cellStyle name="SAPBEXstdDataEmph 8" xfId="2102" xr:uid="{00000000-0005-0000-0000-00006C080000}"/>
    <cellStyle name="SAPBEXstdDataEmph 9" xfId="2103" xr:uid="{00000000-0005-0000-0000-00006D080000}"/>
    <cellStyle name="SAPBEXstdItem" xfId="127" xr:uid="{00000000-0005-0000-0000-0000A7000000}"/>
    <cellStyle name="SAPBEXstdItem 10" xfId="1454" xr:uid="{00000000-0005-0000-0000-0000E4050000}"/>
    <cellStyle name="SAPBEXstdItem 11" xfId="1457" xr:uid="{00000000-0005-0000-0000-0000E7050000}"/>
    <cellStyle name="SAPBEXstdItem 2" xfId="1109" xr:uid="{00000000-0005-0000-0000-00008B040000}"/>
    <cellStyle name="SAPBEXstdItem 2 2" xfId="2104" xr:uid="{00000000-0005-0000-0000-00006E080000}"/>
    <cellStyle name="SAPBEXstdItem 2 2 2" xfId="570" xr:uid="{00000000-0005-0000-0000-00006F020000}"/>
    <cellStyle name="SAPBEXstdItem 2 2 3" xfId="930" xr:uid="{00000000-0005-0000-0000-0000D7030000}"/>
    <cellStyle name="SAPBEXstdItem 2 2 4" xfId="2105" xr:uid="{00000000-0005-0000-0000-00006F080000}"/>
    <cellStyle name="SAPBEXstdItem 2 2 5" xfId="2106" xr:uid="{00000000-0005-0000-0000-000070080000}"/>
    <cellStyle name="SAPBEXstdItem 2 2 6" xfId="1449" xr:uid="{00000000-0005-0000-0000-0000DF050000}"/>
    <cellStyle name="SAPBEXstdItem 2 2 7" xfId="2107" xr:uid="{00000000-0005-0000-0000-000071080000}"/>
    <cellStyle name="SAPBEXstdItem 2 2 8" xfId="760" xr:uid="{00000000-0005-0000-0000-00002D030000}"/>
    <cellStyle name="SAPBEXstdItem 2 3" xfId="2108" xr:uid="{00000000-0005-0000-0000-000072080000}"/>
    <cellStyle name="SAPBEXstdItem 2 4" xfId="2109" xr:uid="{00000000-0005-0000-0000-000073080000}"/>
    <cellStyle name="SAPBEXstdItem 2 5" xfId="2110" xr:uid="{00000000-0005-0000-0000-000074080000}"/>
    <cellStyle name="SAPBEXstdItem 2 6" xfId="2111" xr:uid="{00000000-0005-0000-0000-000075080000}"/>
    <cellStyle name="SAPBEXstdItem 2 7" xfId="2112" xr:uid="{00000000-0005-0000-0000-000076080000}"/>
    <cellStyle name="SAPBEXstdItem 2 8" xfId="2113" xr:uid="{00000000-0005-0000-0000-000077080000}"/>
    <cellStyle name="SAPBEXstdItem 2 9" xfId="2114" xr:uid="{00000000-0005-0000-0000-000078080000}"/>
    <cellStyle name="SAPBEXstdItem 3" xfId="186" xr:uid="{00000000-0005-0000-0000-0000EB000000}"/>
    <cellStyle name="SAPBEXstdItem 3 2" xfId="1485" xr:uid="{00000000-0005-0000-0000-000003060000}"/>
    <cellStyle name="SAPBEXstdItem 3 3" xfId="1487" xr:uid="{00000000-0005-0000-0000-000005060000}"/>
    <cellStyle name="SAPBEXstdItem 3 4" xfId="561" xr:uid="{00000000-0005-0000-0000-000066020000}"/>
    <cellStyle name="SAPBEXstdItem 3 5" xfId="2115" xr:uid="{00000000-0005-0000-0000-000079080000}"/>
    <cellStyle name="SAPBEXstdItem 3 6" xfId="2116" xr:uid="{00000000-0005-0000-0000-00007A080000}"/>
    <cellStyle name="SAPBEXstdItem 3 7" xfId="2117" xr:uid="{00000000-0005-0000-0000-00007B080000}"/>
    <cellStyle name="SAPBEXstdItem 3 8" xfId="2118" xr:uid="{00000000-0005-0000-0000-00007C080000}"/>
    <cellStyle name="SAPBEXstdItem 4" xfId="2119" xr:uid="{00000000-0005-0000-0000-00007D080000}"/>
    <cellStyle name="SAPBEXstdItem 5" xfId="1282" xr:uid="{00000000-0005-0000-0000-000038050000}"/>
    <cellStyle name="SAPBEXstdItem 6" xfId="1708" xr:uid="{00000000-0005-0000-0000-0000E2060000}"/>
    <cellStyle name="SAPBEXstdItem 7" xfId="1502" xr:uid="{00000000-0005-0000-0000-000014060000}"/>
    <cellStyle name="SAPBEXstdItem 8" xfId="1338" xr:uid="{00000000-0005-0000-0000-000070050000}"/>
    <cellStyle name="SAPBEXstdItem 9" xfId="2120" xr:uid="{00000000-0005-0000-0000-00007E080000}"/>
    <cellStyle name="SAPBEXstdItemX" xfId="2121" xr:uid="{00000000-0005-0000-0000-00007F080000}"/>
    <cellStyle name="SAPBEXstdItemX 10" xfId="2122" xr:uid="{00000000-0005-0000-0000-000080080000}"/>
    <cellStyle name="SAPBEXstdItemX 11" xfId="2123" xr:uid="{00000000-0005-0000-0000-000081080000}"/>
    <cellStyle name="SAPBEXstdItemX 2" xfId="2124" xr:uid="{00000000-0005-0000-0000-000082080000}"/>
    <cellStyle name="SAPBEXstdItemX 2 2" xfId="2125" xr:uid="{00000000-0005-0000-0000-000083080000}"/>
    <cellStyle name="SAPBEXstdItemX 2 2 2" xfId="2126" xr:uid="{00000000-0005-0000-0000-000084080000}"/>
    <cellStyle name="SAPBEXstdItemX 2 2 3" xfId="2127" xr:uid="{00000000-0005-0000-0000-000085080000}"/>
    <cellStyle name="SAPBEXstdItemX 2 2 4" xfId="2128" xr:uid="{00000000-0005-0000-0000-000086080000}"/>
    <cellStyle name="SAPBEXstdItemX 2 2 5" xfId="2130" xr:uid="{00000000-0005-0000-0000-000088080000}"/>
    <cellStyle name="SAPBEXstdItemX 2 2 6" xfId="2131" xr:uid="{00000000-0005-0000-0000-000089080000}"/>
    <cellStyle name="SAPBEXstdItemX 2 2 7" xfId="2132" xr:uid="{00000000-0005-0000-0000-00008A080000}"/>
    <cellStyle name="SAPBEXstdItemX 2 2 8" xfId="2133" xr:uid="{00000000-0005-0000-0000-00008B080000}"/>
    <cellStyle name="SAPBEXstdItemX 2 3" xfId="2134" xr:uid="{00000000-0005-0000-0000-00008C080000}"/>
    <cellStyle name="SAPBEXstdItemX 2 4" xfId="2135" xr:uid="{00000000-0005-0000-0000-00008D080000}"/>
    <cellStyle name="SAPBEXstdItemX 2 5" xfId="428" xr:uid="{00000000-0005-0000-0000-0000E1010000}"/>
    <cellStyle name="SAPBEXstdItemX 2 6" xfId="2136" xr:uid="{00000000-0005-0000-0000-00008E080000}"/>
    <cellStyle name="SAPBEXstdItemX 2 7" xfId="2137" xr:uid="{00000000-0005-0000-0000-00008F080000}"/>
    <cellStyle name="SAPBEXstdItemX 2 8" xfId="2138" xr:uid="{00000000-0005-0000-0000-000090080000}"/>
    <cellStyle name="SAPBEXstdItemX 2 9" xfId="2139" xr:uid="{00000000-0005-0000-0000-000091080000}"/>
    <cellStyle name="SAPBEXstdItemX 3" xfId="2140" xr:uid="{00000000-0005-0000-0000-000092080000}"/>
    <cellStyle name="SAPBEXstdItemX 3 2" xfId="2141" xr:uid="{00000000-0005-0000-0000-000093080000}"/>
    <cellStyle name="SAPBEXstdItemX 3 3" xfId="2142" xr:uid="{00000000-0005-0000-0000-000094080000}"/>
    <cellStyle name="SAPBEXstdItemX 3 4" xfId="2143" xr:uid="{00000000-0005-0000-0000-000095080000}"/>
    <cellStyle name="SAPBEXstdItemX 3 5" xfId="133" xr:uid="{00000000-0005-0000-0000-0000AE000000}"/>
    <cellStyle name="SAPBEXstdItemX 3 6" xfId="2144" xr:uid="{00000000-0005-0000-0000-000096080000}"/>
    <cellStyle name="SAPBEXstdItemX 3 7" xfId="2145" xr:uid="{00000000-0005-0000-0000-000097080000}"/>
    <cellStyle name="SAPBEXstdItemX 3 8" xfId="2146" xr:uid="{00000000-0005-0000-0000-000098080000}"/>
    <cellStyle name="SAPBEXstdItemX 4" xfId="1049" xr:uid="{00000000-0005-0000-0000-00004F040000}"/>
    <cellStyle name="SAPBEXstdItemX 5" xfId="2147" xr:uid="{00000000-0005-0000-0000-000099080000}"/>
    <cellStyle name="SAPBEXstdItemX 6" xfId="270" xr:uid="{00000000-0005-0000-0000-000043010000}"/>
    <cellStyle name="SAPBEXstdItemX 7" xfId="2148" xr:uid="{00000000-0005-0000-0000-00009A080000}"/>
    <cellStyle name="SAPBEXstdItemX 8" xfId="2149" xr:uid="{00000000-0005-0000-0000-00009B080000}"/>
    <cellStyle name="SAPBEXstdItemX 9" xfId="2150" xr:uid="{00000000-0005-0000-0000-00009C080000}"/>
    <cellStyle name="SAPBEXtitle" xfId="2063" xr:uid="{00000000-0005-0000-0000-000045080000}"/>
    <cellStyle name="SAPBEXundefined" xfId="2151" xr:uid="{00000000-0005-0000-0000-00009D080000}"/>
    <cellStyle name="SAPBEXundefined 10" xfId="2152" xr:uid="{00000000-0005-0000-0000-00009E080000}"/>
    <cellStyle name="SAPBEXundefined 11" xfId="2153" xr:uid="{00000000-0005-0000-0000-00009F080000}"/>
    <cellStyle name="SAPBEXundefined 2" xfId="2154" xr:uid="{00000000-0005-0000-0000-0000A0080000}"/>
    <cellStyle name="SAPBEXundefined 2 2" xfId="1922" xr:uid="{00000000-0005-0000-0000-0000B8070000}"/>
    <cellStyle name="SAPBEXundefined 2 2 2" xfId="2155" xr:uid="{00000000-0005-0000-0000-0000A1080000}"/>
    <cellStyle name="SAPBEXundefined 2 2 3" xfId="2156" xr:uid="{00000000-0005-0000-0000-0000A2080000}"/>
    <cellStyle name="SAPBEXundefined 2 2 4" xfId="2157" xr:uid="{00000000-0005-0000-0000-0000A3080000}"/>
    <cellStyle name="SAPBEXundefined 2 2 5" xfId="2158" xr:uid="{00000000-0005-0000-0000-0000A4080000}"/>
    <cellStyle name="SAPBEXundefined 2 2 6" xfId="2159" xr:uid="{00000000-0005-0000-0000-0000A5080000}"/>
    <cellStyle name="SAPBEXundefined 2 2 7" xfId="2160" xr:uid="{00000000-0005-0000-0000-0000A6080000}"/>
    <cellStyle name="SAPBEXundefined 2 2 8" xfId="2161" xr:uid="{00000000-0005-0000-0000-0000A7080000}"/>
    <cellStyle name="SAPBEXundefined 2 3" xfId="1924" xr:uid="{00000000-0005-0000-0000-0000BA070000}"/>
    <cellStyle name="SAPBEXundefined 2 4" xfId="1926" xr:uid="{00000000-0005-0000-0000-0000BC070000}"/>
    <cellStyle name="SAPBEXundefined 2 5" xfId="2162" xr:uid="{00000000-0005-0000-0000-0000A8080000}"/>
    <cellStyle name="SAPBEXundefined 2 6" xfId="2163" xr:uid="{00000000-0005-0000-0000-0000A9080000}"/>
    <cellStyle name="SAPBEXundefined 2 7" xfId="2164" xr:uid="{00000000-0005-0000-0000-0000AA080000}"/>
    <cellStyle name="SAPBEXundefined 2 8" xfId="2165" xr:uid="{00000000-0005-0000-0000-0000AB080000}"/>
    <cellStyle name="SAPBEXundefined 2 9" xfId="2166" xr:uid="{00000000-0005-0000-0000-0000AC080000}"/>
    <cellStyle name="SAPBEXundefined 3" xfId="2167" xr:uid="{00000000-0005-0000-0000-0000AD080000}"/>
    <cellStyle name="SAPBEXundefined 3 2" xfId="762" xr:uid="{00000000-0005-0000-0000-00002F030000}"/>
    <cellStyle name="SAPBEXundefined 3 3" xfId="1711" xr:uid="{00000000-0005-0000-0000-0000E5060000}"/>
    <cellStyle name="SAPBEXundefined 3 4" xfId="1722" xr:uid="{00000000-0005-0000-0000-0000F0060000}"/>
    <cellStyle name="SAPBEXundefined 3 5" xfId="1724" xr:uid="{00000000-0005-0000-0000-0000F2060000}"/>
    <cellStyle name="SAPBEXundefined 3 6" xfId="1726" xr:uid="{00000000-0005-0000-0000-0000F4060000}"/>
    <cellStyle name="SAPBEXundefined 3 7" xfId="1728" xr:uid="{00000000-0005-0000-0000-0000F6060000}"/>
    <cellStyle name="SAPBEXundefined 3 8" xfId="1730" xr:uid="{00000000-0005-0000-0000-0000F8060000}"/>
    <cellStyle name="SAPBEXundefined 4" xfId="2168" xr:uid="{00000000-0005-0000-0000-0000AE080000}"/>
    <cellStyle name="SAPBEXundefined 5" xfId="2169" xr:uid="{00000000-0005-0000-0000-0000AF080000}"/>
    <cellStyle name="SAPBEXundefined 6" xfId="2170" xr:uid="{00000000-0005-0000-0000-0000B0080000}"/>
    <cellStyle name="SAPBEXundefined 7" xfId="1166" xr:uid="{00000000-0005-0000-0000-0000C4040000}"/>
    <cellStyle name="SAPBEXundefined 8" xfId="2172" xr:uid="{00000000-0005-0000-0000-0000B2080000}"/>
    <cellStyle name="SAPBEXundefined 9" xfId="2173" xr:uid="{00000000-0005-0000-0000-0000B3080000}"/>
    <cellStyle name="section" xfId="2174" xr:uid="{00000000-0005-0000-0000-0000B4080000}"/>
    <cellStyle name="SOR" xfId="2175" xr:uid="{00000000-0005-0000-0000-0000B5080000}"/>
    <cellStyle name="SOR 2" xfId="2176" xr:uid="{00000000-0005-0000-0000-0000B6080000}"/>
    <cellStyle name="subhead" xfId="2177" xr:uid="{00000000-0005-0000-0000-0000B7080000}"/>
    <cellStyle name="Text Indent A" xfId="2178" xr:uid="{00000000-0005-0000-0000-0000B8080000}"/>
    <cellStyle name="Text Indent B" xfId="2179" xr:uid="{00000000-0005-0000-0000-0000B9080000}"/>
    <cellStyle name="Text Indent C" xfId="2180" xr:uid="{00000000-0005-0000-0000-0000BA080000}"/>
    <cellStyle name="title 2" xfId="1249" xr:uid="{00000000-0005-0000-0000-000017050000}"/>
    <cellStyle name="Total 2" xfId="2181" xr:uid="{00000000-0005-0000-0000-0000BB080000}"/>
    <cellStyle name="Tusental (0)_pldt" xfId="2182" xr:uid="{00000000-0005-0000-0000-0000BC080000}"/>
    <cellStyle name="Tusental_pldt" xfId="2183" xr:uid="{00000000-0005-0000-0000-0000BD080000}"/>
    <cellStyle name="Valuta (0)_pldt" xfId="2184" xr:uid="{00000000-0005-0000-0000-0000BE080000}"/>
    <cellStyle name="Valuta_pldt" xfId="636" xr:uid="{00000000-0005-0000-0000-0000B1020000}"/>
    <cellStyle name="パーセント_laroux" xfId="2185" xr:uid="{00000000-0005-0000-0000-0000BF080000}"/>
    <cellStyle name="_PLDT" xfId="2187" xr:uid="{00000000-0005-0000-0000-0000C1080000}"/>
    <cellStyle name="_laroux" xfId="2188" xr:uid="{00000000-0005-0000-0000-0000C2080000}"/>
    <cellStyle name="だ[0]_PLDT" xfId="152" xr:uid="{00000000-0005-0000-0000-0000C7000000}"/>
    <cellStyle name="だ_PLDT" xfId="2189" xr:uid="{00000000-0005-0000-0000-0000C3080000}"/>
    <cellStyle name="だ[0]_Total (2)" xfId="2" xr:uid="{00000000-0005-0000-0000-000002000000}"/>
    <cellStyle name="だ_laroux" xfId="1971" xr:uid="{00000000-0005-0000-0000-0000E9070000}"/>
    <cellStyle name="百分比 2" xfId="2190" xr:uid="{00000000-0005-0000-0000-0000C4080000}"/>
    <cellStyle name="百分比 2 2" xfId="2191" xr:uid="{00000000-0005-0000-0000-0000C5080000}"/>
    <cellStyle name="百分比 2 2 2" xfId="2192" xr:uid="{00000000-0005-0000-0000-0000C6080000}"/>
    <cellStyle name="百分比 2 3" xfId="2193" xr:uid="{00000000-0005-0000-0000-0000C7080000}"/>
    <cellStyle name="百分比 3" xfId="2194" xr:uid="{00000000-0005-0000-0000-0000C8080000}"/>
    <cellStyle name="百分比 3 2" xfId="2195" xr:uid="{00000000-0005-0000-0000-0000C9080000}"/>
    <cellStyle name="百分比 4" xfId="2196" xr:uid="{00000000-0005-0000-0000-0000CA080000}"/>
    <cellStyle name="百分比 4 2" xfId="2197" xr:uid="{00000000-0005-0000-0000-0000CB080000}"/>
    <cellStyle name="百分比 4 3" xfId="2409" xr:uid="{D823F436-4A9C-402F-9446-9BE20E76F460}"/>
    <cellStyle name="百分比 5" xfId="2198" xr:uid="{00000000-0005-0000-0000-0000CC080000}"/>
    <cellStyle name="百分比 6" xfId="2379" xr:uid="{6BF6D04A-E19C-4519-B124-FA99B75FF955}"/>
    <cellStyle name="百分比 6 2" xfId="2387" xr:uid="{B245364E-72C8-4629-90D4-92AD4A5C498C}"/>
    <cellStyle name="捠壿 [0.00]_PRODUCT DETAIL Q1" xfId="2199" xr:uid="{00000000-0005-0000-0000-0000CD080000}"/>
    <cellStyle name="捠壿_PRODUCT DETAIL Q1" xfId="2200" xr:uid="{00000000-0005-0000-0000-0000CE080000}"/>
    <cellStyle name="标题 5" xfId="1658" xr:uid="{00000000-0005-0000-0000-0000B0060000}"/>
    <cellStyle name="標準_１１月価格表" xfId="2201" xr:uid="{00000000-0005-0000-0000-0000CF080000}"/>
    <cellStyle name="表标题" xfId="474" xr:uid="{00000000-0005-0000-0000-00000F020000}"/>
    <cellStyle name="差_10存货" xfId="2202" xr:uid="{00000000-0005-0000-0000-0000D0080000}"/>
    <cellStyle name="差_19-无形资产（空白模板）" xfId="2203" xr:uid="{00000000-0005-0000-0000-0000D1080000}"/>
    <cellStyle name="差_2-交易性金融资产（空白模板）" xfId="630" xr:uid="{00000000-0005-0000-0000-0000AB020000}"/>
    <cellStyle name="差_2应收账款" xfId="1838" xr:uid="{00000000-0005-0000-0000-000064070000}"/>
    <cellStyle name="差_3-2 进一步审计程序-采购与付款循环" xfId="2204" xr:uid="{00000000-0005-0000-0000-0000D2080000}"/>
    <cellStyle name="差_3-3 进一步审计程序-存货与生产循环" xfId="2205" xr:uid="{00000000-0005-0000-0000-0000D3080000}"/>
    <cellStyle name="差_49-营业收入（空白模板）" xfId="2206" xr:uid="{00000000-0005-0000-0000-0000D4080000}"/>
    <cellStyle name="差_4-应收账款（空白模板）" xfId="2207" xr:uid="{00000000-0005-0000-0000-0000D5080000}"/>
    <cellStyle name="差_50-营业成本（空白模板）" xfId="1039" xr:uid="{00000000-0005-0000-0000-000045040000}"/>
    <cellStyle name="差_51-营业税金及附加（空白模板）" xfId="2208" xr:uid="{00000000-0005-0000-0000-0000D6080000}"/>
    <cellStyle name="差_54-财务费用（空白模板）" xfId="2209" xr:uid="{00000000-0005-0000-0000-0000D7080000}"/>
    <cellStyle name="差_55-资产减值损失（空白模板）" xfId="416" xr:uid="{00000000-0005-0000-0000-0000D5010000}"/>
    <cellStyle name="差_9管理费用" xfId="2210" xr:uid="{00000000-0005-0000-0000-0000D8080000}"/>
    <cellStyle name="差_Book2" xfId="92" xr:uid="{00000000-0005-0000-0000-000079000000}"/>
    <cellStyle name="差_dxn底稿目录" xfId="2211" xr:uid="{00000000-0005-0000-0000-0000D9080000}"/>
    <cellStyle name="差_Sheet1" xfId="2212" xr:uid="{00000000-0005-0000-0000-0000DA080000}"/>
    <cellStyle name="差_ZA0货币资金审定表 " xfId="216" xr:uid="{00000000-0005-0000-0000-00000A010000}"/>
    <cellStyle name="差_存货" xfId="2213" xr:uid="{00000000-0005-0000-0000-0000DB080000}"/>
    <cellStyle name="差_大信底稿目录" xfId="2214" xr:uid="{00000000-0005-0000-0000-0000DC080000}"/>
    <cellStyle name="差_底稿设置宏" xfId="2215" xr:uid="{00000000-0005-0000-0000-0000DD080000}"/>
    <cellStyle name="差_货币资金" xfId="2217" xr:uid="{00000000-0005-0000-0000-0000DF080000}"/>
    <cellStyle name="差_货币资金 天职" xfId="2218" xr:uid="{00000000-0005-0000-0000-0000E0080000}"/>
    <cellStyle name="差_货币资金 岳华" xfId="53" xr:uid="{00000000-0005-0000-0000-000046000000}"/>
    <cellStyle name="差_其他应付款" xfId="2219" xr:uid="{00000000-0005-0000-0000-0000E1080000}"/>
    <cellStyle name="差_其他应付款—YH" xfId="2220" xr:uid="{00000000-0005-0000-0000-0000E2080000}"/>
    <cellStyle name="差_未分配利润" xfId="720" xr:uid="{00000000-0005-0000-0000-000005030000}"/>
    <cellStyle name="差_无形资产" xfId="2221" xr:uid="{00000000-0005-0000-0000-0000E3080000}"/>
    <cellStyle name="差_应付账款" xfId="2222" xr:uid="{00000000-0005-0000-0000-0000E4080000}"/>
    <cellStyle name="差_应付职工薪酬" xfId="2223" xr:uid="{00000000-0005-0000-0000-0000E5080000}"/>
    <cellStyle name="差_应收账款" xfId="2224" xr:uid="{00000000-0005-0000-0000-0000E6080000}"/>
    <cellStyle name="差_账项明细表" xfId="1694" xr:uid="{00000000-0005-0000-0000-0000D4060000}"/>
    <cellStyle name="常规 10" xfId="2225" xr:uid="{00000000-0005-0000-0000-0000E7080000}"/>
    <cellStyle name="常规 10 2" xfId="2366" xr:uid="{0F99E28B-57D0-4014-BD48-E188CE24866C}"/>
    <cellStyle name="常规 11" xfId="2375" xr:uid="{047020DA-F72A-407D-B8BE-40D295E7899C}"/>
    <cellStyle name="常规 12" xfId="2389" xr:uid="{9EBD9CD8-D658-456C-9AE1-174157600C92}"/>
    <cellStyle name="常规 12 2" xfId="2432" xr:uid="{767C6CB4-F7A0-4FE6-BC2D-C53CEE49662C}"/>
    <cellStyle name="常规 2" xfId="1429" xr:uid="{00000000-0005-0000-0000-0000CB050000}"/>
    <cellStyle name="常规 2- " xfId="2226" xr:uid="{00000000-0005-0000-0000-0000E8080000}"/>
    <cellStyle name="常规 2 10" xfId="1697" xr:uid="{00000000-0005-0000-0000-0000D7060000}"/>
    <cellStyle name="常规 2 11" xfId="1699" xr:uid="{00000000-0005-0000-0000-0000D9060000}"/>
    <cellStyle name="常规 2 12" xfId="1701" xr:uid="{00000000-0005-0000-0000-0000DB060000}"/>
    <cellStyle name="常规 2 13" xfId="1703" xr:uid="{00000000-0005-0000-0000-0000DD060000}"/>
    <cellStyle name="常规 2 14" xfId="1705" xr:uid="{00000000-0005-0000-0000-0000DF060000}"/>
    <cellStyle name="常规 2 15" xfId="2227" xr:uid="{00000000-0005-0000-0000-0000E9080000}"/>
    <cellStyle name="常规 2 16" xfId="2373" xr:uid="{2F2EE94C-BC5B-419D-9377-B674CE16024E}"/>
    <cellStyle name="常规 2 2" xfId="2228" xr:uid="{00000000-0005-0000-0000-0000EA080000}"/>
    <cellStyle name="常规 2 2 2" xfId="2229" xr:uid="{00000000-0005-0000-0000-0000EB080000}"/>
    <cellStyle name="常规 2 2 2 2" xfId="1909" xr:uid="{00000000-0005-0000-0000-0000AB070000}"/>
    <cellStyle name="常规 2 2 2 2 2" xfId="2230" xr:uid="{00000000-0005-0000-0000-0000EC080000}"/>
    <cellStyle name="常规 2 2 2 3" xfId="2231" xr:uid="{00000000-0005-0000-0000-0000ED080000}"/>
    <cellStyle name="常规 2 2 3" xfId="2232" xr:uid="{00000000-0005-0000-0000-0000EE080000}"/>
    <cellStyle name="常规 2 2 3 2" xfId="2233" xr:uid="{00000000-0005-0000-0000-0000EF080000}"/>
    <cellStyle name="常规 2 2 3 3 2" xfId="34" xr:uid="{00000000-0005-0000-0000-00002C000000}"/>
    <cellStyle name="常规 2 2 5" xfId="2374" xr:uid="{9A54B399-2474-4653-98DC-FE2A4BB8A915}"/>
    <cellStyle name="常规 2 3" xfId="2234" xr:uid="{00000000-0005-0000-0000-0000F0080000}"/>
    <cellStyle name="常规 2 3 2" xfId="2235" xr:uid="{00000000-0005-0000-0000-0000F1080000}"/>
    <cellStyle name="常规 2 4" xfId="2236" xr:uid="{00000000-0005-0000-0000-0000F2080000}"/>
    <cellStyle name="常规 2 5" xfId="1465" xr:uid="{00000000-0005-0000-0000-0000EF050000}"/>
    <cellStyle name="常规 2 6" xfId="1857" xr:uid="{00000000-0005-0000-0000-000077070000}"/>
    <cellStyle name="常规 2 7" xfId="1860" xr:uid="{00000000-0005-0000-0000-00007A070000}"/>
    <cellStyle name="常规 2 8" xfId="1863" xr:uid="{00000000-0005-0000-0000-00007D070000}"/>
    <cellStyle name="常规 2 9" xfId="1866" xr:uid="{00000000-0005-0000-0000-000080070000}"/>
    <cellStyle name="常规 2_10存货" xfId="2237" xr:uid="{00000000-0005-0000-0000-0000F3080000}"/>
    <cellStyle name="常规 3" xfId="1433" xr:uid="{00000000-0005-0000-0000-0000CF050000}"/>
    <cellStyle name="常规 3 2" xfId="2238" xr:uid="{00000000-0005-0000-0000-0000F4080000}"/>
    <cellStyle name="常规 3 2 2" xfId="2239" xr:uid="{00000000-0005-0000-0000-0000F5080000}"/>
    <cellStyle name="常规 3 2 2 2" xfId="1935" xr:uid="{00000000-0005-0000-0000-0000C5070000}"/>
    <cellStyle name="常规 3 2 3" xfId="183" xr:uid="{00000000-0005-0000-0000-0000E8000000}"/>
    <cellStyle name="常规 3 2 3 2" xfId="2411" xr:uid="{3E43A9FF-6181-49E2-9277-380869A60381}"/>
    <cellStyle name="常规 3 2_3" xfId="2052" xr:uid="{00000000-0005-0000-0000-00003A080000}"/>
    <cellStyle name="常规 3 3" xfId="2240" xr:uid="{00000000-0005-0000-0000-0000F6080000}"/>
    <cellStyle name="常规 3 3 2" xfId="1165" xr:uid="{00000000-0005-0000-0000-0000C3040000}"/>
    <cellStyle name="常规 3 3 3" xfId="2171" xr:uid="{00000000-0005-0000-0000-0000B1080000}"/>
    <cellStyle name="常规 3 4" xfId="2241" xr:uid="{00000000-0005-0000-0000-0000F7080000}"/>
    <cellStyle name="常规 3 5" xfId="2242" xr:uid="{00000000-0005-0000-0000-0000F8080000}"/>
    <cellStyle name="常规 3 6" xfId="2388" xr:uid="{5BD38AC4-A8DC-4998-AE75-1642CB78AB20}"/>
    <cellStyle name="常规 3 7" xfId="2396" xr:uid="{63AC7397-8DD1-407F-A154-57B56BF332FF}"/>
    <cellStyle name="常规 3 8" xfId="2430" xr:uid="{10E9D631-5057-44EE-AAF7-9A5267751FEB}"/>
    <cellStyle name="常规 3_1" xfId="2243" xr:uid="{00000000-0005-0000-0000-0000F9080000}"/>
    <cellStyle name="常规 4" xfId="1596" xr:uid="{00000000-0005-0000-0000-000072060000}"/>
    <cellStyle name="常规 4 2" xfId="2244" xr:uid="{00000000-0005-0000-0000-0000FA080000}"/>
    <cellStyle name="常规 4 3" xfId="2245" xr:uid="{00000000-0005-0000-0000-0000FB080000}"/>
    <cellStyle name="常规 5" xfId="1758" xr:uid="{00000000-0005-0000-0000-000014070000}"/>
    <cellStyle name="常规 5 2" xfId="2246" xr:uid="{00000000-0005-0000-0000-0000FC080000}"/>
    <cellStyle name="常规 6" xfId="1760" xr:uid="{00000000-0005-0000-0000-000016070000}"/>
    <cellStyle name="常规 6 2" xfId="1986" xr:uid="{00000000-0005-0000-0000-0000F8070000}"/>
    <cellStyle name="常规 7" xfId="1763" xr:uid="{00000000-0005-0000-0000-000019070000}"/>
    <cellStyle name="常规 7 2" xfId="1027" xr:uid="{00000000-0005-0000-0000-000039040000}"/>
    <cellStyle name="常规 7 3" xfId="19" xr:uid="{00000000-0005-0000-0000-00001C000000}"/>
    <cellStyle name="常规 8" xfId="2247" xr:uid="{00000000-0005-0000-0000-0000FD080000}"/>
    <cellStyle name="常规 8 2" xfId="99" xr:uid="{00000000-0005-0000-0000-000083000000}"/>
    <cellStyle name="常规 8 3" xfId="80" xr:uid="{00000000-0005-0000-0000-00006A000000}"/>
    <cellStyle name="常规 8 4" xfId="2392" xr:uid="{FD502D4B-DBBD-4D12-913E-FBE84B6F043F}"/>
    <cellStyle name="常规 9" xfId="2364" xr:uid="{64E40C9C-B6E1-426F-9472-22BC7C5A016F}"/>
    <cellStyle name="常规 9 2" xfId="172" xr:uid="{00000000-0005-0000-0000-0000DD000000}"/>
    <cellStyle name="常规 9 2 2" xfId="2248" xr:uid="{00000000-0005-0000-0000-0000FE080000}"/>
    <cellStyle name="常规 9 3" xfId="2410" xr:uid="{256D8010-4F11-4BBE-A0DB-3806AAF3419F}"/>
    <cellStyle name="常规_ZA 货币资金" xfId="2249" xr:uid="{00000000-0005-0000-0000-0000FF080000}"/>
    <cellStyle name="超级链接_综合类底稿表格" xfId="2250" xr:uid="{00000000-0005-0000-0000-000000090000}"/>
    <cellStyle name="超連結 2" xfId="2365" xr:uid="{2680A199-FC39-433A-B8B4-B360A9BE7D2E}"/>
    <cellStyle name="超链接 2" xfId="1208" xr:uid="{00000000-0005-0000-0000-0000EE040000}"/>
    <cellStyle name="超链接 2 2" xfId="2251" xr:uid="{00000000-0005-0000-0000-000001090000}"/>
    <cellStyle name="超链接 2 2 2" xfId="1060" xr:uid="{00000000-0005-0000-0000-00005A040000}"/>
    <cellStyle name="超链接 2 3" xfId="2252" xr:uid="{00000000-0005-0000-0000-000002090000}"/>
    <cellStyle name="超链接 3" xfId="605" xr:uid="{00000000-0005-0000-0000-000092020000}"/>
    <cellStyle name="超链接 3 2" xfId="2414" xr:uid="{62E3082C-F4FE-48D0-BC09-A2FBF5C07B18}"/>
    <cellStyle name="超链接 3 3" xfId="2408" xr:uid="{09A4D314-118C-4650-8DFD-7F79018575BE}"/>
    <cellStyle name="超链接 4" xfId="1211" xr:uid="{00000000-0005-0000-0000-0000F1040000}"/>
    <cellStyle name="超链接 4 2" xfId="2253" xr:uid="{00000000-0005-0000-0000-000003090000}"/>
    <cellStyle name="好_10存货" xfId="2254" xr:uid="{00000000-0005-0000-0000-000004090000}"/>
    <cellStyle name="好_19-无形资产（空白模板）" xfId="560" xr:uid="{00000000-0005-0000-0000-000065020000}"/>
    <cellStyle name="好_1财务费用" xfId="2255" xr:uid="{00000000-0005-0000-0000-000005090000}"/>
    <cellStyle name="好_1营业收入" xfId="2256" xr:uid="{00000000-0005-0000-0000-000006090000}"/>
    <cellStyle name="好_1资产减值损失" xfId="2257" xr:uid="{00000000-0005-0000-0000-000007090000}"/>
    <cellStyle name="好_2-交易性金融资产（空白模板）" xfId="2258" xr:uid="{00000000-0005-0000-0000-000008090000}"/>
    <cellStyle name="好_2应收账款" xfId="2259" xr:uid="{00000000-0005-0000-0000-000009090000}"/>
    <cellStyle name="好_3-2 进一步审计程序-采购与付款循环" xfId="2260" xr:uid="{00000000-0005-0000-0000-00000A090000}"/>
    <cellStyle name="好_3-3 进一步审计程序-存货与生产循环" xfId="2261" xr:uid="{00000000-0005-0000-0000-00000B090000}"/>
    <cellStyle name="好_49-营业收入（空白模板）" xfId="2262" xr:uid="{00000000-0005-0000-0000-00000C090000}"/>
    <cellStyle name="好_4-应收账款（空白模板）" xfId="2263" xr:uid="{00000000-0005-0000-0000-00000D090000}"/>
    <cellStyle name="好_50-营业成本（空白模板）" xfId="192" xr:uid="{00000000-0005-0000-0000-0000F2000000}"/>
    <cellStyle name="好_51-营业税金及附加（空白模板）" xfId="2264" xr:uid="{00000000-0005-0000-0000-00000E090000}"/>
    <cellStyle name="好_54-财务费用（空白模板）" xfId="1406" xr:uid="{00000000-0005-0000-0000-0000B4050000}"/>
    <cellStyle name="好_55-资产减值损失（空白模板）" xfId="2265" xr:uid="{00000000-0005-0000-0000-00000F090000}"/>
    <cellStyle name="好_9管理费用" xfId="2266" xr:uid="{00000000-0005-0000-0000-000010090000}"/>
    <cellStyle name="好_Book2" xfId="1614" xr:uid="{00000000-0005-0000-0000-000084060000}"/>
    <cellStyle name="好_Sheet1" xfId="1206" xr:uid="{00000000-0005-0000-0000-0000EC040000}"/>
    <cellStyle name="好_ZA0货币资金审定表 " xfId="2267" xr:uid="{00000000-0005-0000-0000-000011090000}"/>
    <cellStyle name="好_财务费用" xfId="2269" xr:uid="{00000000-0005-0000-0000-000013090000}"/>
    <cellStyle name="好_存货" xfId="2270" xr:uid="{00000000-0005-0000-0000-000014090000}"/>
    <cellStyle name="好_存货 - 复制" xfId="2271" xr:uid="{00000000-0005-0000-0000-000015090000}"/>
    <cellStyle name="好_大信底稿目录" xfId="514" xr:uid="{00000000-0005-0000-0000-000037020000}"/>
    <cellStyle name="好_底稿设置宏" xfId="2272" xr:uid="{00000000-0005-0000-0000-000016090000}"/>
    <cellStyle name="好_底稿设置宏_大信底稿目录" xfId="2273" xr:uid="{00000000-0005-0000-0000-000017090000}"/>
    <cellStyle name="好_货币资金" xfId="2274" xr:uid="{00000000-0005-0000-0000-000018090000}"/>
    <cellStyle name="好_货币资金 天职" xfId="541" xr:uid="{00000000-0005-0000-0000-000052020000}"/>
    <cellStyle name="好_货币资金 岳华" xfId="208" xr:uid="{00000000-0005-0000-0000-000002010000}"/>
    <cellStyle name="好_其他应付款" xfId="1893" xr:uid="{00000000-0005-0000-0000-00009B070000}"/>
    <cellStyle name="好_其他应付款—YH" xfId="2275" xr:uid="{00000000-0005-0000-0000-000019090000}"/>
    <cellStyle name="好_实收资本(股本)" xfId="2276" xr:uid="{00000000-0005-0000-0000-00001A090000}"/>
    <cellStyle name="好_未分配利润" xfId="2277" xr:uid="{00000000-0005-0000-0000-00001B090000}"/>
    <cellStyle name="好_无形资产" xfId="2278" xr:uid="{00000000-0005-0000-0000-00001C090000}"/>
    <cellStyle name="好_银行函证结果汇总表" xfId="2279" xr:uid="{00000000-0005-0000-0000-00001D090000}"/>
    <cellStyle name="好_应付账款" xfId="2280" xr:uid="{00000000-0005-0000-0000-00001E090000}"/>
    <cellStyle name="好_应付职工薪酬" xfId="2281" xr:uid="{00000000-0005-0000-0000-00001F090000}"/>
    <cellStyle name="好_应收利息" xfId="2129" xr:uid="{00000000-0005-0000-0000-000087080000}"/>
    <cellStyle name="好_应收账款" xfId="1643" xr:uid="{00000000-0005-0000-0000-0000A1060000}"/>
    <cellStyle name="好_营业收入" xfId="1386" xr:uid="{00000000-0005-0000-0000-0000A0050000}"/>
    <cellStyle name="好_账项明细表" xfId="2282" xr:uid="{00000000-0005-0000-0000-000020090000}"/>
    <cellStyle name="好_资产负债标准底稿" xfId="2283" xr:uid="{00000000-0005-0000-0000-000021090000}"/>
    <cellStyle name="好_资产负债标准底稿_大信底稿目录" xfId="2284" xr:uid="{00000000-0005-0000-0000-000022090000}"/>
    <cellStyle name="好_资产负债类底稿模版" xfId="2268" xr:uid="{00000000-0005-0000-0000-000012090000}"/>
    <cellStyle name="好_资产负债类底稿模版_大信底稿目录" xfId="2285" xr:uid="{00000000-0005-0000-0000-000023090000}"/>
    <cellStyle name="好_资产减值损失" xfId="2286" xr:uid="{00000000-0005-0000-0000-000024090000}"/>
    <cellStyle name="桁区切り [0.00]_１１月価格表" xfId="749" xr:uid="{00000000-0005-0000-0000-000022030000}"/>
    <cellStyle name="桁区切り_１１月価格表" xfId="2287" xr:uid="{00000000-0005-0000-0000-000025090000}"/>
    <cellStyle name="货币 2" xfId="2383" xr:uid="{C5C7968D-D3AC-4F2E-9A65-51DE58DE1F98}"/>
    <cellStyle name="货币 2 2" xfId="2412" xr:uid="{E4BB8398-4199-4E97-AF31-E9136EFD055B}"/>
    <cellStyle name="貨幣 [0]_SGV" xfId="2288" xr:uid="{00000000-0005-0000-0000-000026090000}"/>
    <cellStyle name="貨幣_SGV" xfId="2289" xr:uid="{00000000-0005-0000-0000-000027090000}"/>
    <cellStyle name="霓付 [0]_1202" xfId="1628" xr:uid="{00000000-0005-0000-0000-000092060000}"/>
    <cellStyle name="霓付_1202" xfId="2290" xr:uid="{00000000-0005-0000-0000-000028090000}"/>
    <cellStyle name="烹拳 [0]_1202" xfId="2291" xr:uid="{00000000-0005-0000-0000-000029090000}"/>
    <cellStyle name="烹拳_1202" xfId="773" xr:uid="{00000000-0005-0000-0000-00003A030000}"/>
    <cellStyle name="砯刽 [0]_PLDT" xfId="1527" xr:uid="{00000000-0005-0000-0000-00002D060000}"/>
    <cellStyle name="砯刽_PLDT" xfId="2292" xr:uid="{00000000-0005-0000-0000-00002A090000}"/>
    <cellStyle name="普通_ 白土" xfId="2293" xr:uid="{00000000-0005-0000-0000-00002B090000}"/>
    <cellStyle name="千分位[0]_ 白土" xfId="2294" xr:uid="{00000000-0005-0000-0000-00002C090000}"/>
    <cellStyle name="千分位_ 白土" xfId="955" xr:uid="{00000000-0005-0000-0000-0000F0030000}"/>
    <cellStyle name="千位[0]_1995" xfId="1495" xr:uid="{00000000-0005-0000-0000-00000D060000}"/>
    <cellStyle name="千位_1995" xfId="481" xr:uid="{00000000-0005-0000-0000-000016020000}"/>
    <cellStyle name="千位分隔 10" xfId="2295" xr:uid="{00000000-0005-0000-0000-00002D090000}"/>
    <cellStyle name="千位分隔 11" xfId="2377" xr:uid="{0F446EA3-1EC2-4028-9978-1EFD809200B3}"/>
    <cellStyle name="千位分隔 2" xfId="2296" xr:uid="{00000000-0005-0000-0000-00002E090000}"/>
    <cellStyle name="千位分隔 2 2" xfId="2297" xr:uid="{00000000-0005-0000-0000-00002F090000}"/>
    <cellStyle name="千位分隔 2 2 2" xfId="2298" xr:uid="{00000000-0005-0000-0000-000030090000}"/>
    <cellStyle name="千位分隔 2 2 2 2" xfId="2299" xr:uid="{00000000-0005-0000-0000-000031090000}"/>
    <cellStyle name="千位分隔 2 2 2 3" xfId="2300" xr:uid="{00000000-0005-0000-0000-000032090000}"/>
    <cellStyle name="千位分隔 2 2 3" xfId="2301" xr:uid="{00000000-0005-0000-0000-000033090000}"/>
    <cellStyle name="千位分隔 2 2 4" xfId="2302" xr:uid="{00000000-0005-0000-0000-000034090000}"/>
    <cellStyle name="千位分隔 2 2 5" xfId="2303" xr:uid="{00000000-0005-0000-0000-000035090000}"/>
    <cellStyle name="千位分隔 2 2 6" xfId="2407" xr:uid="{401D056F-B109-48E9-BDEA-CFD41DAFF32E}"/>
    <cellStyle name="千位分隔 2 3" xfId="2304" xr:uid="{00000000-0005-0000-0000-000036090000}"/>
    <cellStyle name="千位分隔 2 3 2" xfId="2305" xr:uid="{00000000-0005-0000-0000-000037090000}"/>
    <cellStyle name="千位分隔 2 3 3" xfId="1287" xr:uid="{00000000-0005-0000-0000-00003D050000}"/>
    <cellStyle name="千位分隔 2 3 4" xfId="2306" xr:uid="{00000000-0005-0000-0000-000038090000}"/>
    <cellStyle name="千位分隔 2 4" xfId="826" xr:uid="{00000000-0005-0000-0000-00006F030000}"/>
    <cellStyle name="千位分隔 2 4 2" xfId="1332" xr:uid="{00000000-0005-0000-0000-00006A050000}"/>
    <cellStyle name="千位分隔 2 5" xfId="2307" xr:uid="{00000000-0005-0000-0000-000039090000}"/>
    <cellStyle name="千位分隔 2 6" xfId="2308" xr:uid="{00000000-0005-0000-0000-00003A090000}"/>
    <cellStyle name="千位分隔 2 7" xfId="2309" xr:uid="{00000000-0005-0000-0000-00003B090000}"/>
    <cellStyle name="千位分隔 2 8" xfId="2433" xr:uid="{C574FA23-E6B6-4F9F-A736-C022167761DD}"/>
    <cellStyle name="千位分隔 2_1" xfId="2310" xr:uid="{00000000-0005-0000-0000-00003C090000}"/>
    <cellStyle name="千位分隔 3" xfId="2311" xr:uid="{00000000-0005-0000-0000-00003D090000}"/>
    <cellStyle name="千位分隔 3 2" xfId="2312" xr:uid="{00000000-0005-0000-0000-00003E090000}"/>
    <cellStyle name="千位分隔 3 2 2" xfId="2313" xr:uid="{00000000-0005-0000-0000-00003F090000}"/>
    <cellStyle name="千位分隔 3 2 3" xfId="2314" xr:uid="{00000000-0005-0000-0000-000040090000}"/>
    <cellStyle name="千位分隔 3 3" xfId="2315" xr:uid="{00000000-0005-0000-0000-000041090000}"/>
    <cellStyle name="千位分隔 3 4" xfId="2316" xr:uid="{00000000-0005-0000-0000-000042090000}"/>
    <cellStyle name="千位分隔 3 5" xfId="2216" xr:uid="{00000000-0005-0000-0000-0000DE080000}"/>
    <cellStyle name="千位分隔 4" xfId="2317" xr:uid="{00000000-0005-0000-0000-000043090000}"/>
    <cellStyle name="千位分隔 4 2" xfId="2318" xr:uid="{00000000-0005-0000-0000-000044090000}"/>
    <cellStyle name="千位分隔 4 2 2" xfId="2319" xr:uid="{00000000-0005-0000-0000-000045090000}"/>
    <cellStyle name="千位分隔 4 2 2 2" xfId="2320" xr:uid="{00000000-0005-0000-0000-000046090000}"/>
    <cellStyle name="千位分隔 4 2 3" xfId="2321" xr:uid="{00000000-0005-0000-0000-000047090000}"/>
    <cellStyle name="千位分隔 4 2 4" xfId="2322" xr:uid="{00000000-0005-0000-0000-000048090000}"/>
    <cellStyle name="千位分隔 4 2 5" xfId="2186" xr:uid="{00000000-0005-0000-0000-0000C0080000}"/>
    <cellStyle name="千位分隔 4 2_1" xfId="2323" xr:uid="{00000000-0005-0000-0000-000049090000}"/>
    <cellStyle name="千位分隔 4 3" xfId="2324" xr:uid="{00000000-0005-0000-0000-00004A090000}"/>
    <cellStyle name="千位分隔 4 3 2" xfId="2325" xr:uid="{00000000-0005-0000-0000-00004B090000}"/>
    <cellStyle name="千位分隔 4 4" xfId="2326" xr:uid="{00000000-0005-0000-0000-00004C090000}"/>
    <cellStyle name="千位分隔 4 5" xfId="2327" xr:uid="{00000000-0005-0000-0000-00004D090000}"/>
    <cellStyle name="千位分隔 4_1" xfId="2328" xr:uid="{00000000-0005-0000-0000-00004E090000}"/>
    <cellStyle name="千位分隔 5" xfId="2329" xr:uid="{00000000-0005-0000-0000-00004F090000}"/>
    <cellStyle name="千位分隔 5 2" xfId="2330" xr:uid="{00000000-0005-0000-0000-000050090000}"/>
    <cellStyle name="千位分隔 5 3" xfId="2331" xr:uid="{00000000-0005-0000-0000-000051090000}"/>
    <cellStyle name="千位分隔 5 4" xfId="2332" xr:uid="{00000000-0005-0000-0000-000052090000}"/>
    <cellStyle name="千位分隔 6" xfId="2333" xr:uid="{00000000-0005-0000-0000-000053090000}"/>
    <cellStyle name="千位分隔 6 2" xfId="2334" xr:uid="{00000000-0005-0000-0000-000054090000}"/>
    <cellStyle name="千位分隔 6 3" xfId="2335" xr:uid="{00000000-0005-0000-0000-000055090000}"/>
    <cellStyle name="千位分隔 6 4" xfId="2380" xr:uid="{D4DFBB7B-BFB7-40A8-AB36-AAFFAE3B391B}"/>
    <cellStyle name="千位分隔 7" xfId="2336" xr:uid="{00000000-0005-0000-0000-000056090000}"/>
    <cellStyle name="千位分隔 7 2" xfId="2337" xr:uid="{00000000-0005-0000-0000-000057090000}"/>
    <cellStyle name="千位分隔 7 3" xfId="2338" xr:uid="{00000000-0005-0000-0000-000058090000}"/>
    <cellStyle name="千位分隔 8" xfId="2339" xr:uid="{00000000-0005-0000-0000-000059090000}"/>
    <cellStyle name="千位分隔 8 2" xfId="2340" xr:uid="{00000000-0005-0000-0000-00005A090000}"/>
    <cellStyle name="千位分隔 9" xfId="2341" xr:uid="{00000000-0005-0000-0000-00005B090000}"/>
    <cellStyle name="千位分隔 9 2" xfId="2342" xr:uid="{00000000-0005-0000-0000-00005C090000}"/>
    <cellStyle name="千位分隔[0] 2" xfId="1490" xr:uid="{00000000-0005-0000-0000-000008060000}"/>
    <cellStyle name="千位分隔[0] 2 2" xfId="2343" xr:uid="{00000000-0005-0000-0000-00005D090000}"/>
    <cellStyle name="千位分隔[0] 2 2 2" xfId="830" xr:uid="{00000000-0005-0000-0000-000073030000}"/>
    <cellStyle name="钎霖_(沥焊何巩)岿喊牢盔拌裙" xfId="2344" xr:uid="{00000000-0005-0000-0000-00005E090000}"/>
    <cellStyle name="强调 1" xfId="997" xr:uid="{00000000-0005-0000-0000-00001B040000}"/>
    <cellStyle name="强调 2" xfId="1247" xr:uid="{00000000-0005-0000-0000-000015050000}"/>
    <cellStyle name="强调 3" xfId="2345" xr:uid="{00000000-0005-0000-0000-00005F090000}"/>
    <cellStyle name="通貨 [0.00]_１１月価格表" xfId="1510" xr:uid="{00000000-0005-0000-0000-00001C060000}"/>
    <cellStyle name="通貨_１１月価格表" xfId="2346" xr:uid="{00000000-0005-0000-0000-000060090000}"/>
    <cellStyle name="样式 1" xfId="802" xr:uid="{00000000-0005-0000-0000-000057030000}"/>
    <cellStyle name="一般 2" xfId="2363" xr:uid="{511835B7-B253-4957-B2CA-6F79D98CD43F}"/>
    <cellStyle name="一般_SGV" xfId="1253" xr:uid="{00000000-0005-0000-0000-00001B050000}"/>
    <cellStyle name="昗弨_BOOKSHIP" xfId="2347" xr:uid="{00000000-0005-0000-0000-000061090000}"/>
    <cellStyle name="寘嬫愗傝 [0.00]_PRODUCT DETAIL Q1" xfId="1185" xr:uid="{00000000-0005-0000-0000-0000D7040000}"/>
    <cellStyle name="寘嬫愗傝_PRODUCT DETAIL Q1" xfId="2348" xr:uid="{00000000-0005-0000-0000-000062090000}"/>
    <cellStyle name="资产" xfId="2349" xr:uid="{00000000-0005-0000-0000-000063090000}"/>
    <cellStyle name="资产 2" xfId="425" xr:uid="{00000000-0005-0000-0000-0000DE010000}"/>
    <cellStyle name="资产 2 2" xfId="2350" xr:uid="{00000000-0005-0000-0000-000064090000}"/>
    <cellStyle name="资产 2 3" xfId="2351" xr:uid="{00000000-0005-0000-0000-000065090000}"/>
    <cellStyle name="资产 2 4" xfId="2352" xr:uid="{00000000-0005-0000-0000-000066090000}"/>
    <cellStyle name="资产 2 5" xfId="2353" xr:uid="{00000000-0005-0000-0000-000067090000}"/>
    <cellStyle name="资产 2 6" xfId="2354" xr:uid="{00000000-0005-0000-0000-000068090000}"/>
    <cellStyle name="资产 2 7" xfId="2355" xr:uid="{00000000-0005-0000-0000-000069090000}"/>
    <cellStyle name="资产 3" xfId="60" xr:uid="{00000000-0005-0000-0000-000050000000}"/>
    <cellStyle name="资产 4" xfId="44" xr:uid="{00000000-0005-0000-0000-00003A000000}"/>
    <cellStyle name="资产 5" xfId="2356" xr:uid="{00000000-0005-0000-0000-00006A090000}"/>
    <cellStyle name="资产 6" xfId="2357" xr:uid="{00000000-0005-0000-0000-00006B090000}"/>
    <cellStyle name="资产 7" xfId="2358" xr:uid="{00000000-0005-0000-0000-00006C090000}"/>
    <cellStyle name="资产 8" xfId="2359" xr:uid="{00000000-0005-0000-0000-00006D090000}"/>
    <cellStyle name="콤마 [0]_BOILER-CO1" xfId="2360" xr:uid="{00000000-0005-0000-0000-00006E090000}"/>
    <cellStyle name="콤마_BOILER-CO1" xfId="2361" xr:uid="{00000000-0005-0000-0000-00006F090000}"/>
    <cellStyle name="통화 [0]_BOILER-CO1" xfId="667" xr:uid="{00000000-0005-0000-0000-0000D0020000}"/>
    <cellStyle name="통화_BOILER-CO1" xfId="188" xr:uid="{00000000-0005-0000-0000-0000ED000000}"/>
    <cellStyle name="표준_0N-HANDLING " xfId="2362" xr:uid="{00000000-0005-0000-0000-000070090000}"/>
  </cellStyles>
  <dxfs count="20">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theme="0" tint="-0.24988555558946501"/>
        </patternFill>
      </fill>
    </dxf>
    <dxf>
      <fill>
        <patternFill patternType="solid">
          <bgColor theme="0" tint="-0.24988555558946501"/>
        </patternFill>
      </fill>
    </dxf>
    <dxf>
      <fill>
        <patternFill>
          <bgColor rgb="FFFFFFCC"/>
        </patternFill>
      </fill>
    </dxf>
    <dxf>
      <fill>
        <patternFill>
          <bgColor theme="0" tint="-0.34998626667073579"/>
        </patternFill>
      </fill>
    </dxf>
    <dxf>
      <fill>
        <patternFill>
          <bgColor theme="0" tint="-0.34998626667073579"/>
        </patternFill>
      </fill>
    </dxf>
    <dxf>
      <fill>
        <patternFill>
          <bgColor rgb="FFFFFFCC"/>
        </patternFill>
      </fill>
    </dxf>
    <dxf>
      <fill>
        <patternFill>
          <bgColor theme="0" tint="-0.34998626667073579"/>
        </patternFill>
      </fill>
    </dxf>
    <dxf>
      <border>
        <left style="thin">
          <color auto="1"/>
        </left>
        <right style="thin">
          <color auto="1"/>
        </right>
      </border>
    </dxf>
    <dxf>
      <border>
        <left style="thin">
          <color auto="1"/>
        </left>
        <right style="thin">
          <color auto="1"/>
        </right>
      </border>
    </dxf>
    <dxf>
      <fill>
        <patternFill patternType="solid">
          <bgColor theme="0" tint="-0.14947965941343425"/>
        </patternFill>
      </fill>
    </dxf>
    <dxf>
      <fill>
        <patternFill patternType="solid">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2" defaultTableStyle="TableStyleMedium2" defaultPivotStyle="PivotStyleLight16">
    <tableStyle name="Table Style 1" pivot="0" count="6" xr9:uid="{00000000-0011-0000-FFFF-FFFF00000000}">
      <tableStyleElement type="wholeTable" dxfId="19"/>
      <tableStyleElement type="totalRow" dxfId="18"/>
      <tableStyleElement type="firstRowStripe" dxfId="17"/>
      <tableStyleElement type="secondRowStripe" dxfId="16"/>
      <tableStyleElement type="firstColumnStripe" dxfId="15"/>
      <tableStyleElement type="secondColumnStripe" dxfId="14"/>
    </tableStyle>
    <tableStyle name="MySqlDefault" table="0" count="0" xr9:uid="{00000000-0011-0000-FFFF-FFFF01000000}"/>
  </tableStyles>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5%AE%9E%E4%BD%93%E7%94%9F%E6%88%90%E7%9A%84%E4%BF%A1%E6%81%AF%EF%BC%88IPE%EF%BC%89.aspx?csf=1&amp;web=1&amp;e=UoBafg&amp;cid=a1f4ef69-4fef-4aba-9718-deb1f981e959"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Altas-PSP-%E9%93%BE%E6%8E%A5.aspx#:~:text=%E7%9B%B8%E5%85%B3PSP%20%E4%BB%A5%E5%8F%8AOSP%20%E5%8F%AF%E4%BB%8EAtlas%20%E4%B8%AD%E8%8E%B7%E5%BE%97%EF%BC%8CAtlas%20Link%3A%0A(CN)%20L%2DIntangible%20assets%2C%20including%20goodwill%0A%E6%9B%B4%E5%A4%9A%E8%AF%A5%E7%A7%91%E7%9B%AE%E7%9B%B8%E5%85%B3%E5%AE%A1%E8%AE%A1%E4%BC%9A%E8%AE%A1%E7%9F%A5%E8%AF%86%E5%8F%AF%E5%8F%82%E8%80%83%E2%80%9C%E5%A4%A7%E4%B8%AD%E5%8D%8E%E5%8C%BA%E4%BC%9A%E8%AE%A1%E5%AE%A1%E8%AE%A1%E7%9F%A5%E8%AF%86%E5%BA%93%E2%80%9D%0AL2_%E9%95%BF%E6%9C%9F%E5%BE%85%E6%91%8A%E8%B4%B9%E7%94%A8%0A%E5%87%8F%E5%80%BC%EF%BC%88%E5%8C%85%E5%90%AB%E9%95%BF%E6%9C%9F%E8%B5%84%E4%BA%A7%E5%87%8F%E5%80%BC%E5%92%8C%E5%95%86%E8%AA%89%E5%87%8F%E5%80%BC%EF%BC%89%E6%A0%87%E5%87%86%E5%BA%95%E7%A8%BF"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s>
</file>

<file path=xl/drawings/_rels/drawing3.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L2_%E9%95%BF%E6%9C%9F%E5%BE%85%E6%91%8A%E8%B4%B9%E7%94%A8_202YMMDD_XYZ%E5%85%AC%E5%8F%B8_Read-me-and-Delete-me.aspx#:~:text=L2_100%2D%E6%B3%A8%E9%87%8A1,%E6%8F%90%E6%91%8A%E9%94%80%E3%80%82" TargetMode="External"/></Relationships>
</file>

<file path=xl/drawings/_rels/drawing4.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L2_%E9%95%BF%E6%9C%9F%E5%BE%85%E6%91%8A%E8%B4%B9%E7%94%A8_202YMMDD_XYZ%E5%85%AC%E5%8F%B8_Read-me-and-Delete-me.aspx#:~:text=L2_200%2D%E6%B3%A8%E9%87%8A2,%E5%AE%9E%E9%99%85%E6%94%B6%E7%9B%8A%E6%83%85%E5%86%B5%E3%80%82"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s>
</file>

<file path=xl/drawings/drawing1.xml><?xml version="1.0" encoding="utf-8"?>
<xdr:wsDr xmlns:xdr="http://schemas.openxmlformats.org/drawingml/2006/spreadsheetDrawing" xmlns:a="http://schemas.openxmlformats.org/drawingml/2006/main">
  <xdr:twoCellAnchor>
    <xdr:from>
      <xdr:col>4</xdr:col>
      <xdr:colOff>1251857</xdr:colOff>
      <xdr:row>28</xdr:row>
      <xdr:rowOff>45357</xdr:rowOff>
    </xdr:from>
    <xdr:to>
      <xdr:col>4</xdr:col>
      <xdr:colOff>1537607</xdr:colOff>
      <xdr:row>28</xdr:row>
      <xdr:rowOff>308188</xdr:rowOff>
    </xdr:to>
    <xdr:pic>
      <xdr:nvPicPr>
        <xdr:cNvPr id="4" name="图片 3">
          <a:hlinkClick xmlns:r="http://schemas.openxmlformats.org/officeDocument/2006/relationships" r:id="rId1" tooltip="Altas PSP 链接"/>
          <a:extLst>
            <a:ext uri="{FF2B5EF4-FFF2-40B4-BE49-F238E27FC236}">
              <a16:creationId xmlns:a16="http://schemas.microsoft.com/office/drawing/2014/main" id="{CD0B8996-3399-4375-AED5-18DB24977CF7}"/>
            </a:ext>
          </a:extLst>
        </xdr:cNvPr>
        <xdr:cNvPicPr>
          <a:picLocks noChangeAspect="1"/>
        </xdr:cNvPicPr>
      </xdr:nvPicPr>
      <xdr:blipFill>
        <a:blip xmlns:r="http://schemas.openxmlformats.org/officeDocument/2006/relationships" r:embed="rId2"/>
        <a:stretch>
          <a:fillRect/>
        </a:stretch>
      </xdr:blipFill>
      <xdr:spPr>
        <a:xfrm>
          <a:off x="4318000" y="2177143"/>
          <a:ext cx="285750" cy="262831"/>
        </a:xfrm>
        <a:prstGeom prst="rect">
          <a:avLst/>
        </a:prstGeom>
      </xdr:spPr>
    </xdr:pic>
    <xdr:clientData/>
  </xdr:twoCellAnchor>
  <xdr:twoCellAnchor>
    <xdr:from>
      <xdr:col>3</xdr:col>
      <xdr:colOff>879929</xdr:colOff>
      <xdr:row>36</xdr:row>
      <xdr:rowOff>27214</xdr:rowOff>
    </xdr:from>
    <xdr:to>
      <xdr:col>3</xdr:col>
      <xdr:colOff>1215571</xdr:colOff>
      <xdr:row>36</xdr:row>
      <xdr:rowOff>359334</xdr:rowOff>
    </xdr:to>
    <xdr:pic>
      <xdr:nvPicPr>
        <xdr:cNvPr id="3" name="图片 2">
          <a:hlinkClick xmlns:r="http://schemas.openxmlformats.org/officeDocument/2006/relationships" r:id="rId3" tooltip="IPE 填写指引"/>
          <a:extLst>
            <a:ext uri="{FF2B5EF4-FFF2-40B4-BE49-F238E27FC236}">
              <a16:creationId xmlns:a16="http://schemas.microsoft.com/office/drawing/2014/main" id="{BF9895D7-D828-4A3A-B137-2B4C95B8A819}"/>
            </a:ext>
          </a:extLst>
        </xdr:cNvPr>
        <xdr:cNvPicPr>
          <a:picLocks noChangeAspect="1"/>
        </xdr:cNvPicPr>
      </xdr:nvPicPr>
      <xdr:blipFill>
        <a:blip xmlns:r="http://schemas.openxmlformats.org/officeDocument/2006/relationships" r:embed="rId2"/>
        <a:stretch>
          <a:fillRect/>
        </a:stretch>
      </xdr:blipFill>
      <xdr:spPr>
        <a:xfrm>
          <a:off x="2667000" y="5179785"/>
          <a:ext cx="335642" cy="332120"/>
        </a:xfrm>
        <a:prstGeom prst="rect">
          <a:avLst/>
        </a:prstGeom>
      </xdr:spPr>
    </xdr:pic>
    <xdr:clientData/>
  </xdr:twoCellAnchor>
  <xdr:twoCellAnchor>
    <xdr:from>
      <xdr:col>8</xdr:col>
      <xdr:colOff>0</xdr:colOff>
      <xdr:row>1</xdr:row>
      <xdr:rowOff>0</xdr:rowOff>
    </xdr:from>
    <xdr:to>
      <xdr:col>11</xdr:col>
      <xdr:colOff>1301296</xdr:colOff>
      <xdr:row>7</xdr:row>
      <xdr:rowOff>77106</xdr:rowOff>
    </xdr:to>
    <xdr:sp macro="" textlink="">
      <xdr:nvSpPr>
        <xdr:cNvPr id="5" name="TextBox 2">
          <a:extLst>
            <a:ext uri="{FF2B5EF4-FFF2-40B4-BE49-F238E27FC236}">
              <a16:creationId xmlns:a16="http://schemas.microsoft.com/office/drawing/2014/main" id="{380A2A7F-AC89-42FB-BAB2-9CFEB39EDE45}"/>
            </a:ext>
            <a:ext uri="{147F2762-F138-4A5C-976F-8EAC2B608ADB}">
              <a16:predDERef xmlns:a16="http://schemas.microsoft.com/office/drawing/2014/main" pred="{C9C0D5C3-9D87-4135-9496-6DD501ADA265}"/>
            </a:ext>
          </a:extLst>
        </xdr:cNvPr>
        <xdr:cNvSpPr txBox="1"/>
      </xdr:nvSpPr>
      <xdr:spPr>
        <a:xfrm>
          <a:off x="11647714" y="163286"/>
          <a:ext cx="5247368" cy="1056820"/>
        </a:xfrm>
        <a:prstGeom prst="rect">
          <a:avLst/>
        </a:prstGeom>
        <a:solidFill>
          <a:srgbClr val="FFFFCC"/>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r>
            <a:rPr lang="ja-JP" altLang="en-US" sz="1600" b="1">
              <a:solidFill>
                <a:srgbClr val="FF0000"/>
              </a:solidFill>
              <a:latin typeface="微软雅黑" panose="020B0503020204020204" pitchFamily="34" charset="-122"/>
              <a:ea typeface="微软雅黑" panose="020B0503020204020204" pitchFamily="34" charset="-122"/>
              <a:cs typeface="Arial" panose="020B0604020202020204" pitchFamily="34" charset="0"/>
            </a:rPr>
            <a:t>注意：</a:t>
          </a:r>
          <a:r>
            <a:rPr lang="ja-JP" altLang="en-US" sz="1600">
              <a:solidFill>
                <a:schemeClr val="dk1"/>
              </a:solidFill>
              <a:latin typeface="微软雅黑" panose="020B0503020204020204" pitchFamily="34" charset="-122"/>
              <a:ea typeface="微软雅黑" panose="020B0503020204020204" pitchFamily="34" charset="-122"/>
              <a:cs typeface="Arial" panose="020B0604020202020204" pitchFamily="34" charset="0"/>
            </a:rPr>
            <a:t>淡黄色单元格需要审计小组输入。审计小组在更新时删除红色文本，并从工作底稿中删除此注意事项。</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698500</xdr:colOff>
      <xdr:row>6</xdr:row>
      <xdr:rowOff>27214</xdr:rowOff>
    </xdr:from>
    <xdr:to>
      <xdr:col>6</xdr:col>
      <xdr:colOff>938899</xdr:colOff>
      <xdr:row>6</xdr:row>
      <xdr:rowOff>244928</xdr:rowOff>
    </xdr:to>
    <xdr:pic>
      <xdr:nvPicPr>
        <xdr:cNvPr id="2" name="图片 1">
          <a:hlinkClick xmlns:r="http://schemas.openxmlformats.org/officeDocument/2006/relationships" r:id="rId1" tooltip="预审&amp;年审工作注意事项"/>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a:stretch>
          <a:fillRect/>
        </a:stretch>
      </xdr:blipFill>
      <xdr:spPr>
        <a:xfrm>
          <a:off x="7756071" y="2013857"/>
          <a:ext cx="240399" cy="2177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1551668</xdr:colOff>
      <xdr:row>18</xdr:row>
      <xdr:rowOff>274411</xdr:rowOff>
    </xdr:from>
    <xdr:to>
      <xdr:col>3</xdr:col>
      <xdr:colOff>1888218</xdr:colOff>
      <xdr:row>19</xdr:row>
      <xdr:rowOff>182971</xdr:rowOff>
    </xdr:to>
    <xdr:pic>
      <xdr:nvPicPr>
        <xdr:cNvPr id="4" name="图片 2">
          <a:hlinkClick xmlns:r="http://schemas.openxmlformats.org/officeDocument/2006/relationships" r:id="rId1" tooltip="如长期待摊费用计提了减值，则应按照减值后的金额和自减值计提之日起的剩余摊销期限计提摊销。"/>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3637643" y="4855936"/>
          <a:ext cx="336550" cy="299085"/>
        </a:xfrm>
        <a:prstGeom prst="rect">
          <a:avLst/>
        </a:prstGeom>
      </xdr:spPr>
    </xdr:pic>
    <xdr:clientData/>
  </xdr:twoCellAnchor>
  <xdr:twoCellAnchor>
    <xdr:from>
      <xdr:col>6</xdr:col>
      <xdr:colOff>698500</xdr:colOff>
      <xdr:row>6</xdr:row>
      <xdr:rowOff>18143</xdr:rowOff>
    </xdr:from>
    <xdr:to>
      <xdr:col>6</xdr:col>
      <xdr:colOff>938899</xdr:colOff>
      <xdr:row>6</xdr:row>
      <xdr:rowOff>235857</xdr:rowOff>
    </xdr:to>
    <xdr:pic>
      <xdr:nvPicPr>
        <xdr:cNvPr id="2" name="图片 1">
          <a:hlinkClick xmlns:r="http://schemas.openxmlformats.org/officeDocument/2006/relationships" r:id="rId3" tooltip="预审&amp;年审工作注意事项"/>
          <a:extLst>
            <a:ext uri="{FF2B5EF4-FFF2-40B4-BE49-F238E27FC236}">
              <a16:creationId xmlns:a16="http://schemas.microsoft.com/office/drawing/2014/main" id="{0D49F954-69DC-4591-83C1-91419172495B}"/>
            </a:ext>
          </a:extLst>
        </xdr:cNvPr>
        <xdr:cNvPicPr>
          <a:picLocks noChangeAspect="1"/>
        </xdr:cNvPicPr>
      </xdr:nvPicPr>
      <xdr:blipFill>
        <a:blip xmlns:r="http://schemas.openxmlformats.org/officeDocument/2006/relationships" r:embed="rId2"/>
        <a:stretch>
          <a:fillRect/>
        </a:stretch>
      </xdr:blipFill>
      <xdr:spPr>
        <a:xfrm>
          <a:off x="6994071" y="1587500"/>
          <a:ext cx="240399" cy="2177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238125</xdr:colOff>
      <xdr:row>31</xdr:row>
      <xdr:rowOff>1270</xdr:rowOff>
    </xdr:from>
    <xdr:to>
      <xdr:col>1</xdr:col>
      <xdr:colOff>365125</xdr:colOff>
      <xdr:row>35</xdr:row>
      <xdr:rowOff>155575</xdr:rowOff>
    </xdr:to>
    <xdr:grpSp>
      <xdr:nvGrpSpPr>
        <xdr:cNvPr id="2" name="Group 1">
          <a:extLst>
            <a:ext uri="{FF2B5EF4-FFF2-40B4-BE49-F238E27FC236}">
              <a16:creationId xmlns:a16="http://schemas.microsoft.com/office/drawing/2014/main" id="{00000000-0008-0000-0500-000002000000}"/>
            </a:ext>
          </a:extLst>
        </xdr:cNvPr>
        <xdr:cNvGrpSpPr/>
      </xdr:nvGrpSpPr>
      <xdr:grpSpPr>
        <a:xfrm>
          <a:off x="447675" y="7506970"/>
          <a:ext cx="127000" cy="802005"/>
          <a:chOff x="1016000" y="5989320"/>
          <a:chExt cx="114300" cy="1101725"/>
        </a:xfrm>
      </xdr:grpSpPr>
      <xdr:cxnSp macro="">
        <xdr:nvCxnSpPr>
          <xdr:cNvPr id="3" name="Straight Connector 2">
            <a:extLst>
              <a:ext uri="{FF2B5EF4-FFF2-40B4-BE49-F238E27FC236}">
                <a16:creationId xmlns:a16="http://schemas.microsoft.com/office/drawing/2014/main" id="{00000000-0008-0000-0500-000003000000}"/>
              </a:ext>
            </a:extLst>
          </xdr:cNvPr>
          <xdr:cNvCxnSpPr/>
        </xdr:nvCxnSpPr>
        <xdr:spPr>
          <a:xfrm>
            <a:off x="1066800" y="5989320"/>
            <a:ext cx="0" cy="1101725"/>
          </a:xfrm>
          <a:prstGeom prst="line">
            <a:avLst/>
          </a:prstGeom>
          <a:ln w="0">
            <a:solidFill>
              <a:srgbClr val="FF0000"/>
            </a:solidFill>
            <a:prstDash val="solid"/>
            <a:headEnd w="med" len="sm"/>
            <a:tailEnd w="med" len="sm"/>
          </a:ln>
        </xdr:spPr>
        <xdr:style>
          <a:lnRef idx="1">
            <a:schemeClr val="accent1"/>
          </a:lnRef>
          <a:fillRef idx="0">
            <a:schemeClr val="accent1"/>
          </a:fillRef>
          <a:effectRef idx="0">
            <a:schemeClr val="accent1"/>
          </a:effectRef>
          <a:fontRef idx="minor">
            <a:schemeClr val="tx1"/>
          </a:fontRef>
        </xdr:style>
      </xdr:cxnSp>
      <xdr:cxnSp macro="">
        <xdr:nvCxnSpPr>
          <xdr:cNvPr id="4" name="Straight Connector 3">
            <a:extLst>
              <a:ext uri="{FF2B5EF4-FFF2-40B4-BE49-F238E27FC236}">
                <a16:creationId xmlns:a16="http://schemas.microsoft.com/office/drawing/2014/main" id="{00000000-0008-0000-0500-000004000000}"/>
              </a:ext>
            </a:extLst>
          </xdr:cNvPr>
          <xdr:cNvCxnSpPr/>
        </xdr:nvCxnSpPr>
        <xdr:spPr>
          <a:xfrm>
            <a:off x="1016000" y="7091045"/>
            <a:ext cx="114300" cy="0"/>
          </a:xfrm>
          <a:prstGeom prst="line">
            <a:avLst/>
          </a:prstGeom>
          <a:ln w="0">
            <a:solidFill>
              <a:srgbClr val="FF0000"/>
            </a:solidFill>
            <a:prstDash val="solid"/>
            <a:headEnd w="med" len="sm"/>
            <a:tailEnd w="med" len="sm"/>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816429</xdr:colOff>
      <xdr:row>7</xdr:row>
      <xdr:rowOff>18143</xdr:rowOff>
    </xdr:from>
    <xdr:to>
      <xdr:col>6</xdr:col>
      <xdr:colOff>1056828</xdr:colOff>
      <xdr:row>7</xdr:row>
      <xdr:rowOff>235857</xdr:rowOff>
    </xdr:to>
    <xdr:pic>
      <xdr:nvPicPr>
        <xdr:cNvPr id="6" name="图片 5">
          <a:hlinkClick xmlns:r="http://schemas.openxmlformats.org/officeDocument/2006/relationships" r:id="rId1" tooltip="预审&amp;年审工作注意事项"/>
          <a:extLst>
            <a:ext uri="{FF2B5EF4-FFF2-40B4-BE49-F238E27FC236}">
              <a16:creationId xmlns:a16="http://schemas.microsoft.com/office/drawing/2014/main" id="{B9526D16-4919-4DAA-A3E0-35F75663008A}"/>
            </a:ext>
          </a:extLst>
        </xdr:cNvPr>
        <xdr:cNvPicPr>
          <a:picLocks noChangeAspect="1"/>
        </xdr:cNvPicPr>
      </xdr:nvPicPr>
      <xdr:blipFill>
        <a:blip xmlns:r="http://schemas.openxmlformats.org/officeDocument/2006/relationships" r:embed="rId2"/>
        <a:stretch>
          <a:fillRect/>
        </a:stretch>
      </xdr:blipFill>
      <xdr:spPr>
        <a:xfrm>
          <a:off x="9180286" y="1406072"/>
          <a:ext cx="240399" cy="217714"/>
        </a:xfrm>
        <a:prstGeom prst="rect">
          <a:avLst/>
        </a:prstGeom>
      </xdr:spPr>
    </xdr:pic>
    <xdr:clientData/>
  </xdr:twoCellAnchor>
  <xdr:twoCellAnchor editAs="oneCell">
    <xdr:from>
      <xdr:col>11</xdr:col>
      <xdr:colOff>27215</xdr:colOff>
      <xdr:row>29</xdr:row>
      <xdr:rowOff>13607</xdr:rowOff>
    </xdr:from>
    <xdr:to>
      <xdr:col>11</xdr:col>
      <xdr:colOff>272970</xdr:colOff>
      <xdr:row>29</xdr:row>
      <xdr:rowOff>256772</xdr:rowOff>
    </xdr:to>
    <xdr:pic>
      <xdr:nvPicPr>
        <xdr:cNvPr id="5" name="Picture 8">
          <a:hlinkClick xmlns:r="http://schemas.openxmlformats.org/officeDocument/2006/relationships" r:id="rId3" tooltip="执行程序注意事项"/>
          <a:extLst>
            <a:ext uri="{FF2B5EF4-FFF2-40B4-BE49-F238E27FC236}">
              <a16:creationId xmlns:a16="http://schemas.microsoft.com/office/drawing/2014/main" id="{F96B6BC0-BD03-4E7E-A2D2-8BA3868294EA}"/>
            </a:ext>
            <a:ext uri="{147F2762-F138-4A5C-976F-8EAC2B608ADB}">
              <a16:predDERef xmlns:a16="http://schemas.microsoft.com/office/drawing/2014/main" pred="{B9526D16-4919-4DAA-A3E0-35F75663008A}"/>
            </a:ext>
          </a:extLst>
        </xdr:cNvPr>
        <xdr:cNvPicPr>
          <a:picLocks noChangeAspect="1"/>
        </xdr:cNvPicPr>
      </xdr:nvPicPr>
      <xdr:blipFill>
        <a:blip xmlns:r="http://schemas.openxmlformats.org/officeDocument/2006/relationships" r:embed="rId2"/>
        <a:stretch>
          <a:fillRect/>
        </a:stretch>
      </xdr:blipFill>
      <xdr:spPr>
        <a:xfrm>
          <a:off x="17594036" y="8354786"/>
          <a:ext cx="245755" cy="24316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live.atlas.ey.co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P112"/>
  <sheetViews>
    <sheetView workbookViewId="0"/>
  </sheetViews>
  <sheetFormatPr defaultColWidth="9" defaultRowHeight="13.5"/>
  <cols>
    <col min="1" max="1" width="0.125" customWidth="1"/>
  </cols>
  <sheetData>
    <row r="1" spans="1:94">
      <c r="A1" t="s">
        <v>0</v>
      </c>
    </row>
    <row r="6" spans="1:94">
      <c r="E6" t="s">
        <v>1</v>
      </c>
      <c r="Y6" t="s">
        <v>2</v>
      </c>
      <c r="Z6" t="s">
        <v>3</v>
      </c>
      <c r="AA6" t="s">
        <v>4</v>
      </c>
      <c r="AB6" t="s">
        <v>5</v>
      </c>
      <c r="AC6" t="s">
        <v>6</v>
      </c>
      <c r="AD6" t="s">
        <v>7</v>
      </c>
      <c r="AE6" t="s">
        <v>8</v>
      </c>
      <c r="AF6" t="s">
        <v>9</v>
      </c>
      <c r="AG6" t="s">
        <v>10</v>
      </c>
      <c r="AH6" t="s">
        <v>11</v>
      </c>
      <c r="AI6" t="s">
        <v>12</v>
      </c>
      <c r="AJ6" t="s">
        <v>13</v>
      </c>
      <c r="AK6" t="s">
        <v>14</v>
      </c>
      <c r="AL6" t="s">
        <v>15</v>
      </c>
      <c r="AM6" t="s">
        <v>16</v>
      </c>
      <c r="AN6" t="s">
        <v>17</v>
      </c>
      <c r="AO6" t="s">
        <v>18</v>
      </c>
      <c r="AP6" t="s">
        <v>19</v>
      </c>
      <c r="AQ6" t="s">
        <v>20</v>
      </c>
      <c r="AR6" t="s">
        <v>21</v>
      </c>
      <c r="AS6" t="s">
        <v>22</v>
      </c>
      <c r="AT6" t="s">
        <v>23</v>
      </c>
      <c r="AU6" t="s">
        <v>24</v>
      </c>
      <c r="AV6" t="s">
        <v>25</v>
      </c>
      <c r="AW6" t="s">
        <v>26</v>
      </c>
      <c r="AX6" t="s">
        <v>27</v>
      </c>
      <c r="AY6" t="s">
        <v>28</v>
      </c>
      <c r="AZ6" t="s">
        <v>29</v>
      </c>
      <c r="BA6" t="s">
        <v>30</v>
      </c>
      <c r="BB6" t="s">
        <v>31</v>
      </c>
      <c r="BC6" t="s">
        <v>32</v>
      </c>
      <c r="BD6" t="s">
        <v>33</v>
      </c>
      <c r="BE6" t="s">
        <v>34</v>
      </c>
      <c r="BF6" t="s">
        <v>35</v>
      </c>
      <c r="BG6" t="s">
        <v>36</v>
      </c>
      <c r="BH6" t="s">
        <v>37</v>
      </c>
      <c r="BI6" t="s">
        <v>38</v>
      </c>
      <c r="BJ6" t="s">
        <v>39</v>
      </c>
      <c r="BK6" t="s">
        <v>40</v>
      </c>
      <c r="BL6" t="s">
        <v>41</v>
      </c>
      <c r="BM6" t="s">
        <v>42</v>
      </c>
      <c r="BN6" t="s">
        <v>43</v>
      </c>
      <c r="BO6" t="s">
        <v>44</v>
      </c>
      <c r="BP6" t="s">
        <v>45</v>
      </c>
      <c r="BQ6" t="s">
        <v>46</v>
      </c>
      <c r="BR6" t="s">
        <v>47</v>
      </c>
      <c r="BS6" t="s">
        <v>48</v>
      </c>
      <c r="BT6" t="s">
        <v>49</v>
      </c>
      <c r="BU6" t="s">
        <v>50</v>
      </c>
      <c r="BV6" t="s">
        <v>51</v>
      </c>
      <c r="BW6" t="s">
        <v>52</v>
      </c>
      <c r="BX6" t="s">
        <v>53</v>
      </c>
      <c r="BY6" t="s">
        <v>54</v>
      </c>
      <c r="BZ6" t="s">
        <v>55</v>
      </c>
      <c r="CA6" t="s">
        <v>56</v>
      </c>
      <c r="CB6" t="s">
        <v>57</v>
      </c>
      <c r="CC6" t="s">
        <v>58</v>
      </c>
      <c r="CD6" t="s">
        <v>59</v>
      </c>
      <c r="CE6" t="s">
        <v>60</v>
      </c>
      <c r="CF6" t="s">
        <v>61</v>
      </c>
      <c r="CG6" t="s">
        <v>62</v>
      </c>
      <c r="CH6" t="s">
        <v>63</v>
      </c>
      <c r="CI6" t="s">
        <v>64</v>
      </c>
      <c r="CJ6" t="s">
        <v>65</v>
      </c>
      <c r="CK6" t="s">
        <v>66</v>
      </c>
      <c r="CL6" t="s">
        <v>67</v>
      </c>
      <c r="CM6" t="s">
        <v>68</v>
      </c>
      <c r="CN6" t="s">
        <v>69</v>
      </c>
      <c r="CO6" t="s">
        <v>70</v>
      </c>
      <c r="CP6" t="s">
        <v>71</v>
      </c>
    </row>
    <row r="10" spans="1:94">
      <c r="F10" t="e">
        <f>#REF!</f>
        <v>#REF!</v>
      </c>
      <c r="G10" t="s">
        <v>72</v>
      </c>
    </row>
    <row r="11" spans="1:94">
      <c r="A11" s="36">
        <v>112</v>
      </c>
      <c r="F11" t="e">
        <f>#REF!</f>
        <v>#REF!</v>
      </c>
      <c r="G11" t="s">
        <v>73</v>
      </c>
    </row>
    <row r="12" spans="1:94">
      <c r="F12" t="e">
        <f>#REF!</f>
        <v>#REF!</v>
      </c>
      <c r="G12" t="s">
        <v>74</v>
      </c>
    </row>
    <row r="13" spans="1:94">
      <c r="F13" t="e">
        <f>#REF!</f>
        <v>#REF!</v>
      </c>
      <c r="G13" t="s">
        <v>75</v>
      </c>
    </row>
    <row r="14" spans="1:94">
      <c r="F14" t="e">
        <f>#REF!</f>
        <v>#REF!</v>
      </c>
      <c r="G14" t="s">
        <v>76</v>
      </c>
    </row>
    <row r="15" spans="1:94">
      <c r="A15" s="36">
        <v>38</v>
      </c>
      <c r="F15" t="e">
        <f>#REF!</f>
        <v>#REF!</v>
      </c>
      <c r="G15" t="s">
        <v>77</v>
      </c>
      <c r="R15" t="str">
        <f>'L2.00 Lead'!A24</f>
        <v>T1</v>
      </c>
      <c r="S15" t="s">
        <v>78</v>
      </c>
    </row>
    <row r="16" spans="1:94">
      <c r="F16" t="e">
        <f>#REF!</f>
        <v>#REF!</v>
      </c>
      <c r="G16" t="s">
        <v>79</v>
      </c>
      <c r="R16" t="str">
        <f>'L2.00 Lead'!A29</f>
        <v>/T1</v>
      </c>
      <c r="S16" t="s">
        <v>80</v>
      </c>
    </row>
    <row r="17" spans="6:19">
      <c r="F17" t="e">
        <f>#REF!</f>
        <v>#REF!</v>
      </c>
      <c r="G17" t="s">
        <v>81</v>
      </c>
      <c r="R17">
        <f>'L2.01.1 BKD'!A56</f>
        <v>0</v>
      </c>
      <c r="S17" t="s">
        <v>82</v>
      </c>
    </row>
    <row r="18" spans="6:19">
      <c r="F18" t="e">
        <f>#REF!</f>
        <v>#REF!</v>
      </c>
      <c r="G18" t="s">
        <v>83</v>
      </c>
      <c r="R18">
        <f>'L2.01.1 BKD'!A58</f>
        <v>0</v>
      </c>
      <c r="S18" t="s">
        <v>84</v>
      </c>
    </row>
    <row r="19" spans="6:19">
      <c r="F19" t="e">
        <f>#REF!</f>
        <v>#REF!</v>
      </c>
      <c r="G19" t="s">
        <v>85</v>
      </c>
      <c r="R19" t="str">
        <f>汇总!A39</f>
        <v>N1</v>
      </c>
      <c r="S19" t="s">
        <v>86</v>
      </c>
    </row>
    <row r="20" spans="6:19">
      <c r="F20" t="e">
        <f>#REF!</f>
        <v>#REF!</v>
      </c>
      <c r="G20" t="s">
        <v>87</v>
      </c>
      <c r="R20">
        <f>汇总!A48</f>
        <v>0</v>
      </c>
      <c r="S20" t="s">
        <v>88</v>
      </c>
    </row>
    <row r="21" spans="6:19">
      <c r="F21" t="e">
        <f>#REF!</f>
        <v>#REF!</v>
      </c>
      <c r="G21" t="s">
        <v>89</v>
      </c>
      <c r="R21" t="e">
        <f>'L2.01.1 BKD'!#REF!</f>
        <v>#REF!</v>
      </c>
      <c r="S21" t="s">
        <v>90</v>
      </c>
    </row>
    <row r="22" spans="6:19">
      <c r="F22" t="e">
        <f>#REF!</f>
        <v>#REF!</v>
      </c>
      <c r="G22" t="s">
        <v>91</v>
      </c>
      <c r="R22">
        <f>'L2.01.1 BKD'!A27</f>
        <v>0</v>
      </c>
      <c r="S22" t="s">
        <v>92</v>
      </c>
    </row>
    <row r="23" spans="6:19">
      <c r="F23" t="e">
        <f>#REF!</f>
        <v>#REF!</v>
      </c>
      <c r="G23" t="s">
        <v>93</v>
      </c>
      <c r="R23" t="str">
        <f>汇总!A29</f>
        <v>P1</v>
      </c>
      <c r="S23" t="s">
        <v>94</v>
      </c>
    </row>
    <row r="24" spans="6:19">
      <c r="F24" t="e">
        <f>#REF!</f>
        <v>#REF!</v>
      </c>
      <c r="G24" t="s">
        <v>95</v>
      </c>
      <c r="R24" t="str">
        <f>汇总!A37</f>
        <v>/P1</v>
      </c>
      <c r="S24" t="s">
        <v>96</v>
      </c>
    </row>
    <row r="25" spans="6:19">
      <c r="F25" t="e">
        <f>#REF!</f>
        <v>#REF!</v>
      </c>
      <c r="G25" t="s">
        <v>97</v>
      </c>
      <c r="R25">
        <f>'L2.01.1 BKD'!A18</f>
        <v>0</v>
      </c>
      <c r="S25" t="s">
        <v>98</v>
      </c>
    </row>
    <row r="26" spans="6:19">
      <c r="F26" t="e">
        <f>#REF!</f>
        <v>#REF!</v>
      </c>
      <c r="G26" t="s">
        <v>99</v>
      </c>
      <c r="R26">
        <f>'L2.01.1 BKD'!A27</f>
        <v>0</v>
      </c>
      <c r="S26" t="s">
        <v>100</v>
      </c>
    </row>
    <row r="27" spans="6:19">
      <c r="F27" t="e">
        <f>#REF!</f>
        <v>#REF!</v>
      </c>
      <c r="G27" t="s">
        <v>101</v>
      </c>
      <c r="R27" t="str">
        <f>汇总!A29</f>
        <v>P1</v>
      </c>
      <c r="S27" t="s">
        <v>102</v>
      </c>
    </row>
    <row r="28" spans="6:19">
      <c r="F28" t="e">
        <f>#REF!</f>
        <v>#REF!</v>
      </c>
      <c r="G28" t="s">
        <v>103</v>
      </c>
      <c r="R28" t="str">
        <f>汇总!A37</f>
        <v>/P1</v>
      </c>
      <c r="S28" t="s">
        <v>104</v>
      </c>
    </row>
    <row r="29" spans="6:19">
      <c r="F29" t="e">
        <f>#REF!</f>
        <v>#REF!</v>
      </c>
      <c r="G29" t="s">
        <v>105</v>
      </c>
      <c r="R29" t="str">
        <f>汇总!A39</f>
        <v>N1</v>
      </c>
      <c r="S29" t="s">
        <v>106</v>
      </c>
    </row>
    <row r="30" spans="6:19">
      <c r="F30" t="e">
        <f>#REF!</f>
        <v>#REF!</v>
      </c>
      <c r="G30" t="s">
        <v>107</v>
      </c>
      <c r="R30" t="str">
        <f>汇总!A42</f>
        <v>/N1</v>
      </c>
      <c r="S30" t="s">
        <v>108</v>
      </c>
    </row>
    <row r="31" spans="6:19">
      <c r="F31" t="e">
        <f>#REF!</f>
        <v>#REF!</v>
      </c>
      <c r="G31" t="s">
        <v>109</v>
      </c>
      <c r="R31" t="str">
        <f>'L2.00 Lead'!A24</f>
        <v>T1</v>
      </c>
      <c r="S31" t="s">
        <v>110</v>
      </c>
    </row>
    <row r="32" spans="6:19">
      <c r="F32" t="e">
        <f>#REF!</f>
        <v>#REF!</v>
      </c>
      <c r="G32" t="s">
        <v>111</v>
      </c>
      <c r="R32" t="str">
        <f>'L2.00 Lead'!A29</f>
        <v>/T1</v>
      </c>
      <c r="S32" t="s">
        <v>112</v>
      </c>
    </row>
    <row r="33" spans="6:19">
      <c r="F33" t="e">
        <f>#REF!</f>
        <v>#REF!</v>
      </c>
      <c r="G33" t="s">
        <v>113</v>
      </c>
      <c r="R33" t="str">
        <f>汇总!A29</f>
        <v>P1</v>
      </c>
      <c r="S33" t="s">
        <v>114</v>
      </c>
    </row>
    <row r="34" spans="6:19">
      <c r="F34" t="e">
        <f>#REF!</f>
        <v>#REF!</v>
      </c>
      <c r="G34" t="s">
        <v>115</v>
      </c>
      <c r="R34" t="str">
        <f>汇总!A37</f>
        <v>/P1</v>
      </c>
      <c r="S34" t="s">
        <v>116</v>
      </c>
    </row>
    <row r="35" spans="6:19">
      <c r="F35" t="e">
        <f>#REF!</f>
        <v>#REF!</v>
      </c>
      <c r="G35" t="s">
        <v>117</v>
      </c>
      <c r="R35" t="str">
        <f>汇总!A39</f>
        <v>N1</v>
      </c>
      <c r="S35" t="s">
        <v>118</v>
      </c>
    </row>
    <row r="36" spans="6:19">
      <c r="F36" t="e">
        <f>#REF!</f>
        <v>#REF!</v>
      </c>
      <c r="G36" t="s">
        <v>119</v>
      </c>
      <c r="R36" t="str">
        <f>汇总!A42</f>
        <v>/N1</v>
      </c>
      <c r="S36" t="s">
        <v>120</v>
      </c>
    </row>
    <row r="37" spans="6:19">
      <c r="F37" t="e">
        <f>#REF!</f>
        <v>#REF!</v>
      </c>
      <c r="G37" t="s">
        <v>121</v>
      </c>
      <c r="R37" t="str">
        <f>'L2.00 Lead'!A24</f>
        <v>T1</v>
      </c>
      <c r="S37" t="s">
        <v>122</v>
      </c>
    </row>
    <row r="38" spans="6:19">
      <c r="F38" t="e">
        <f>#REF!</f>
        <v>#REF!</v>
      </c>
      <c r="G38" t="s">
        <v>123</v>
      </c>
      <c r="R38" t="str">
        <f>'L2.00 Lead'!A29</f>
        <v>/T1</v>
      </c>
      <c r="S38" t="s">
        <v>124</v>
      </c>
    </row>
    <row r="39" spans="6:19">
      <c r="F39" t="e">
        <f>#REF!</f>
        <v>#REF!</v>
      </c>
      <c r="G39" t="s">
        <v>125</v>
      </c>
    </row>
    <row r="40" spans="6:19">
      <c r="F40" t="e">
        <f>#REF!</f>
        <v>#REF!</v>
      </c>
      <c r="G40" t="s">
        <v>126</v>
      </c>
    </row>
    <row r="41" spans="6:19">
      <c r="F41" t="e">
        <f>#REF!</f>
        <v>#REF!</v>
      </c>
      <c r="G41" t="s">
        <v>127</v>
      </c>
    </row>
    <row r="42" spans="6:19">
      <c r="F42" t="e">
        <f>#REF!</f>
        <v>#REF!</v>
      </c>
      <c r="G42" t="s">
        <v>128</v>
      </c>
    </row>
    <row r="43" spans="6:19">
      <c r="F43" t="e">
        <f>#REF!</f>
        <v>#REF!</v>
      </c>
      <c r="G43" t="s">
        <v>129</v>
      </c>
    </row>
    <row r="44" spans="6:19">
      <c r="F44" t="e">
        <f>#REF!</f>
        <v>#REF!</v>
      </c>
      <c r="G44" t="s">
        <v>130</v>
      </c>
    </row>
    <row r="45" spans="6:19">
      <c r="F45" t="e">
        <f>#REF!</f>
        <v>#REF!</v>
      </c>
      <c r="G45" t="s">
        <v>131</v>
      </c>
    </row>
    <row r="46" spans="6:19">
      <c r="F46" t="e">
        <f>#REF!</f>
        <v>#REF!</v>
      </c>
      <c r="G46" t="s">
        <v>132</v>
      </c>
    </row>
    <row r="47" spans="6:19">
      <c r="F47" t="e">
        <f>#REF!</f>
        <v>#REF!</v>
      </c>
      <c r="G47" t="s">
        <v>133</v>
      </c>
    </row>
    <row r="48" spans="6:19">
      <c r="F48" t="e">
        <f>#REF!</f>
        <v>#REF!</v>
      </c>
      <c r="G48" t="s">
        <v>134</v>
      </c>
    </row>
    <row r="49" spans="6:7">
      <c r="F49" t="str">
        <f>'L2.00 Lead'!C27</f>
        <v xml:space="preserve">账套名称/账套编码 </v>
      </c>
      <c r="G49" t="s">
        <v>135</v>
      </c>
    </row>
    <row r="50" spans="6:7">
      <c r="F50" t="str">
        <f>'L2.00 Lead'!D27</f>
        <v>科目编码</v>
      </c>
      <c r="G50" t="s">
        <v>136</v>
      </c>
    </row>
    <row r="51" spans="6:7">
      <c r="F51" t="str">
        <f>'L2.00 Lead'!E27</f>
        <v>科目名称</v>
      </c>
      <c r="G51" t="s">
        <v>137</v>
      </c>
    </row>
    <row r="52" spans="6:7">
      <c r="F52" t="str">
        <f>'L2.00 Lead'!N27</f>
        <v>上期末审定数
(PY)</v>
      </c>
      <c r="G52" t="s">
        <v>138</v>
      </c>
    </row>
    <row r="53" spans="6:7">
      <c r="F53" t="str">
        <f>'L2.00 Lead'!G27</f>
        <v>期末账面数</v>
      </c>
      <c r="G53" t="s">
        <v>139</v>
      </c>
    </row>
    <row r="54" spans="6:7">
      <c r="F54" t="str">
        <f>'L2.00 Lead'!H27</f>
        <v>本期账表调整编号</v>
      </c>
      <c r="G54" t="s">
        <v>140</v>
      </c>
    </row>
    <row r="55" spans="6:7">
      <c r="F55" t="str">
        <f>'L2.00 Lead'!I27</f>
        <v>本期账表调整数</v>
      </c>
      <c r="G55" t="s">
        <v>141</v>
      </c>
    </row>
    <row r="56" spans="6:7">
      <c r="F56" t="str">
        <f>'L2.00 Lead'!K27</f>
        <v>本期审计调整编号</v>
      </c>
      <c r="G56" t="s">
        <v>142</v>
      </c>
    </row>
    <row r="57" spans="6:7">
      <c r="F57" t="str">
        <f>'L2.00 Lead'!L27</f>
        <v>本期审计调整金额</v>
      </c>
      <c r="G57" t="s">
        <v>143</v>
      </c>
    </row>
    <row r="58" spans="6:7">
      <c r="F58" t="str">
        <f>'L2.00 Lead'!M27</f>
        <v>期末审定数</v>
      </c>
      <c r="G58" t="s">
        <v>144</v>
      </c>
    </row>
    <row r="89" spans="6:7">
      <c r="F89" t="str">
        <f>'L2.01.1 BKD'!C20</f>
        <v>项目编码</v>
      </c>
      <c r="G89" t="s">
        <v>145</v>
      </c>
    </row>
    <row r="90" spans="6:7">
      <c r="F90" t="str">
        <f>'L2.01.1 BKD'!D20</f>
        <v>项目名称</v>
      </c>
      <c r="G90" t="s">
        <v>146</v>
      </c>
    </row>
    <row r="91" spans="6:7">
      <c r="F91" t="str">
        <f>'L2.01.1 BKD'!E20</f>
        <v>长期待摊费用初始确认日期</v>
      </c>
      <c r="G91" t="s">
        <v>147</v>
      </c>
    </row>
    <row r="92" spans="6:7">
      <c r="F92" t="str">
        <f>'L2.01.1 BKD'!F20</f>
        <v>摊销期限（月）</v>
      </c>
      <c r="G92" t="s">
        <v>148</v>
      </c>
    </row>
    <row r="93" spans="6:7">
      <c r="F93" t="str">
        <f>'L2.01.1 BKD'!G20</f>
        <v>上期末审定数
(PY)</v>
      </c>
      <c r="G93" t="s">
        <v>149</v>
      </c>
    </row>
    <row r="94" spans="6:7">
      <c r="F94" t="str">
        <f>'L2.01.1 BKD'!H20</f>
        <v>本年增加</v>
      </c>
      <c r="G94" t="s">
        <v>150</v>
      </c>
    </row>
    <row r="95" spans="6:7">
      <c r="F95" t="str">
        <f>'L2.01.1 BKD'!K20</f>
        <v>减少日期</v>
      </c>
      <c r="G95" t="s">
        <v>151</v>
      </c>
    </row>
    <row r="96" spans="6:7">
      <c r="F96" t="str">
        <f>'L2.01.1 BKD'!L20</f>
        <v>账面期末数</v>
      </c>
      <c r="G96" t="s">
        <v>152</v>
      </c>
    </row>
    <row r="97" spans="6:7">
      <c r="F97" t="str">
        <f>'L2.01.1 BKD'!I20</f>
        <v>本年减少</v>
      </c>
      <c r="G97" t="s">
        <v>153</v>
      </c>
    </row>
    <row r="98" spans="6:7">
      <c r="F98" t="str">
        <f>'L2.01.1 BKD'!J20</f>
        <v>减少方式</v>
      </c>
      <c r="G98" t="s">
        <v>154</v>
      </c>
    </row>
    <row r="99" spans="6:7">
      <c r="F99" t="str">
        <f>'L2.01.1 BKD'!R20</f>
        <v>账面期末数</v>
      </c>
      <c r="G99" t="s">
        <v>155</v>
      </c>
    </row>
    <row r="100" spans="6:7">
      <c r="F100" t="str">
        <f>'L2.01.1 BKD'!P20</f>
        <v>本期摊销</v>
      </c>
      <c r="G100" t="s">
        <v>156</v>
      </c>
    </row>
    <row r="101" spans="6:7">
      <c r="F101" t="str">
        <f>'L2.01.1 BKD'!Q20</f>
        <v>转销</v>
      </c>
      <c r="G101" t="s">
        <v>157</v>
      </c>
    </row>
    <row r="102" spans="6:7">
      <c r="F102" t="str">
        <f>'L2.01.1 BKD'!O20</f>
        <v>上期末审定数
(PY)</v>
      </c>
      <c r="G102" t="s">
        <v>158</v>
      </c>
    </row>
    <row r="103" spans="6:7">
      <c r="F103" t="str">
        <f>'L2.01.1 BKD'!U20</f>
        <v>上期末审定数
(PY)</v>
      </c>
      <c r="G103" t="s">
        <v>159</v>
      </c>
    </row>
    <row r="104" spans="6:7">
      <c r="F104" t="str">
        <f>'L2.01.1 BKD'!V20</f>
        <v>本年增加</v>
      </c>
      <c r="G104" t="s">
        <v>160</v>
      </c>
    </row>
    <row r="105" spans="6:7">
      <c r="F105" t="str">
        <f>'L2.01.1 BKD'!W20</f>
        <v>本年减少</v>
      </c>
      <c r="G105" t="s">
        <v>161</v>
      </c>
    </row>
    <row r="106" spans="6:7">
      <c r="F106" t="str">
        <f>'L2.01.1 BKD'!X20</f>
        <v>账面期末数</v>
      </c>
      <c r="G106" t="s">
        <v>162</v>
      </c>
    </row>
    <row r="107" spans="6:7">
      <c r="F107" t="str">
        <f>'L2.01.1 BKD'!N20</f>
        <v>审定期末数</v>
      </c>
      <c r="G107" t="s">
        <v>163</v>
      </c>
    </row>
    <row r="108" spans="6:7">
      <c r="F108" t="str">
        <f>'L2.01.1 BKD'!T20</f>
        <v>审定期末数</v>
      </c>
      <c r="G108" t="s">
        <v>164</v>
      </c>
    </row>
    <row r="109" spans="6:7">
      <c r="F109" t="str">
        <f>'L2.01.1 BKD'!Z20</f>
        <v>审定期末数</v>
      </c>
      <c r="G109" t="s">
        <v>165</v>
      </c>
    </row>
    <row r="110" spans="6:7">
      <c r="F110" t="str">
        <f>'L2.01.1 BKD'!Y20</f>
        <v>审计调整</v>
      </c>
      <c r="G110" t="s">
        <v>166</v>
      </c>
    </row>
    <row r="111" spans="6:7">
      <c r="F111" t="str">
        <f>'L2.01.1 BKD'!S20</f>
        <v>审计调整</v>
      </c>
      <c r="G111" t="s">
        <v>167</v>
      </c>
    </row>
    <row r="112" spans="6:7">
      <c r="F112" t="str">
        <f>'L2.01.1 BKD'!M20</f>
        <v>审计调整</v>
      </c>
      <c r="G112" t="s">
        <v>168</v>
      </c>
    </row>
  </sheetData>
  <phoneticPr fontId="10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1264F-609E-4CF0-BBCE-F0EE984E942B}">
  <dimension ref="A1:BN55"/>
  <sheetViews>
    <sheetView showGridLines="0" tabSelected="1" zoomScale="70" zoomScaleNormal="70" workbookViewId="0">
      <selection activeCell="E6" sqref="E6"/>
    </sheetView>
  </sheetViews>
  <sheetFormatPr defaultColWidth="9.125" defaultRowHeight="12.75" customHeight="1" outlineLevelRow="1"/>
  <cols>
    <col min="1" max="1" width="2.75" style="402" customWidth="1"/>
    <col min="2" max="2" width="5.875" style="38" customWidth="1"/>
    <col min="3" max="3" width="17.125" style="38" customWidth="1"/>
    <col min="4" max="4" width="18.375" style="38" customWidth="1"/>
    <col min="5" max="5" width="22.125" style="38" customWidth="1"/>
    <col min="6" max="6" width="21.375" style="38" customWidth="1"/>
    <col min="7" max="7" width="19.5" style="38" customWidth="1"/>
    <col min="8" max="8" width="54.625" style="38" customWidth="1"/>
    <col min="9" max="9" width="13.125" style="38" customWidth="1"/>
    <col min="10" max="10" width="21.125" style="38" customWidth="1"/>
    <col min="11" max="11" width="22.375" style="38" customWidth="1"/>
    <col min="12" max="12" width="24.875" style="38" customWidth="1"/>
    <col min="13" max="13" width="26.125" style="38" customWidth="1"/>
    <col min="14" max="14" width="18.875" style="38" customWidth="1"/>
    <col min="15" max="61" width="9.125" style="38"/>
    <col min="62" max="62" width="57.375" style="38" customWidth="1"/>
    <col min="63" max="64" width="9.125" style="38"/>
    <col min="65" max="65" width="61.125" style="38" customWidth="1"/>
    <col min="66" max="16384" width="9.125" style="38"/>
  </cols>
  <sheetData>
    <row r="1" spans="1:66" ht="12.75" customHeight="1" thickBot="1">
      <c r="A1" s="435" t="s">
        <v>169</v>
      </c>
      <c r="BJ1" s="39"/>
      <c r="BM1" s="33"/>
      <c r="BN1" s="40"/>
    </row>
    <row r="2" spans="1:66" ht="12.75" customHeight="1">
      <c r="C2" s="339"/>
      <c r="D2" s="340"/>
      <c r="E2" s="340"/>
      <c r="F2" s="340"/>
      <c r="G2" s="341"/>
      <c r="I2" s="439"/>
      <c r="BJ2" s="41"/>
      <c r="BM2" s="34"/>
      <c r="BN2" s="40"/>
    </row>
    <row r="3" spans="1:66" ht="12.75" customHeight="1">
      <c r="C3" s="342" t="s">
        <v>170</v>
      </c>
      <c r="D3" s="343"/>
      <c r="E3" s="344"/>
      <c r="F3" s="345" t="s">
        <v>171</v>
      </c>
      <c r="G3" s="346"/>
      <c r="BJ3" s="41"/>
      <c r="BM3" s="34"/>
      <c r="BN3" s="40"/>
    </row>
    <row r="4" spans="1:66" ht="12.75" customHeight="1">
      <c r="C4" s="347"/>
      <c r="D4" s="344"/>
      <c r="E4" s="344"/>
      <c r="F4" s="348"/>
      <c r="G4" s="349"/>
      <c r="BJ4" s="41"/>
      <c r="BM4" s="34"/>
      <c r="BN4" s="40"/>
    </row>
    <row r="5" spans="1:66" ht="12.75" customHeight="1">
      <c r="C5" s="342" t="s">
        <v>172</v>
      </c>
      <c r="D5" s="350">
        <v>45657</v>
      </c>
      <c r="E5" s="344"/>
      <c r="F5" s="351" t="s">
        <v>173</v>
      </c>
      <c r="G5" s="346"/>
      <c r="BJ5" s="42"/>
      <c r="BM5" s="35"/>
      <c r="BN5" s="40"/>
    </row>
    <row r="6" spans="1:66" ht="12.75" customHeight="1">
      <c r="C6" s="347"/>
      <c r="D6" s="352"/>
      <c r="E6" s="344"/>
      <c r="F6" s="348"/>
      <c r="G6" s="349"/>
      <c r="BJ6" s="43"/>
      <c r="BM6" s="34"/>
      <c r="BN6" s="40"/>
    </row>
    <row r="7" spans="1:66" ht="12.75" customHeight="1">
      <c r="C7" s="342" t="s">
        <v>174</v>
      </c>
      <c r="D7" s="350"/>
      <c r="E7" s="344"/>
      <c r="F7" s="345" t="s">
        <v>175</v>
      </c>
      <c r="G7" s="346"/>
      <c r="H7" s="38" t="s">
        <v>176</v>
      </c>
      <c r="BJ7" s="41"/>
      <c r="BM7" s="34"/>
      <c r="BN7" s="40"/>
    </row>
    <row r="8" spans="1:66" ht="12.75" customHeight="1">
      <c r="C8" s="347"/>
      <c r="D8" s="344"/>
      <c r="E8" s="344"/>
      <c r="F8" s="344"/>
      <c r="G8" s="349"/>
      <c r="BJ8" s="41"/>
      <c r="BM8" s="34"/>
      <c r="BN8" s="40"/>
    </row>
    <row r="9" spans="1:66" ht="12.75" customHeight="1">
      <c r="C9" s="342" t="s">
        <v>177</v>
      </c>
      <c r="D9" s="343"/>
      <c r="E9" s="344"/>
      <c r="F9" s="353"/>
      <c r="G9" s="354"/>
      <c r="BJ9" s="41"/>
      <c r="BM9" s="34"/>
      <c r="BN9" s="40"/>
    </row>
    <row r="10" spans="1:66" ht="12.75" customHeight="1" thickBot="1">
      <c r="A10" s="403"/>
      <c r="B10" s="41"/>
      <c r="C10" s="355"/>
      <c r="D10" s="356"/>
      <c r="E10" s="356"/>
      <c r="F10" s="356"/>
      <c r="G10" s="357"/>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3"/>
      <c r="BM10" s="34"/>
      <c r="BN10" s="40"/>
    </row>
    <row r="11" spans="1:66">
      <c r="C11" s="44"/>
    </row>
    <row r="12" spans="1:66" hidden="1" outlineLevel="1">
      <c r="C12" s="362" t="s">
        <v>178</v>
      </c>
      <c r="D12" s="387" t="s">
        <v>179</v>
      </c>
    </row>
    <row r="13" spans="1:66" hidden="1" outlineLevel="1">
      <c r="C13" s="545" t="s">
        <v>180</v>
      </c>
      <c r="D13" s="546">
        <v>0.25</v>
      </c>
    </row>
    <row r="14" spans="1:66" hidden="1" outlineLevel="1">
      <c r="C14" s="545" t="s">
        <v>181</v>
      </c>
      <c r="D14" s="546">
        <v>0.5</v>
      </c>
    </row>
    <row r="15" spans="1:66" hidden="1" outlineLevel="1">
      <c r="C15" s="545" t="s">
        <v>182</v>
      </c>
      <c r="D15" s="546">
        <v>0.75</v>
      </c>
    </row>
    <row r="16" spans="1:66" hidden="1" outlineLevel="1">
      <c r="C16" s="545" t="s">
        <v>183</v>
      </c>
      <c r="D16" s="546">
        <v>1</v>
      </c>
    </row>
    <row r="17" spans="1:18" ht="13.5" hidden="1" outlineLevel="1" thickBot="1">
      <c r="C17" s="547" t="s">
        <v>184</v>
      </c>
      <c r="D17" s="548"/>
    </row>
    <row r="18" spans="1:18" ht="16.5" hidden="1" outlineLevel="1">
      <c r="C18" s="401" t="s">
        <v>185</v>
      </c>
      <c r="D18" s="363"/>
    </row>
    <row r="19" spans="1:18" ht="13.5" collapsed="1" thickBot="1">
      <c r="C19" s="44"/>
    </row>
    <row r="20" spans="1:18" s="363" customFormat="1" ht="17.25" customHeight="1">
      <c r="A20" s="404"/>
      <c r="B20" s="358"/>
      <c r="C20" s="359" t="s">
        <v>186</v>
      </c>
      <c r="D20" s="360" t="s">
        <v>178</v>
      </c>
      <c r="E20" s="360" t="s">
        <v>187</v>
      </c>
      <c r="F20" s="361" t="s">
        <v>188</v>
      </c>
      <c r="G20" s="177"/>
      <c r="J20" s="6"/>
      <c r="M20" s="101"/>
      <c r="N20" s="101"/>
      <c r="O20" s="101"/>
      <c r="P20" s="101"/>
      <c r="Q20" s="101"/>
      <c r="R20" s="102"/>
    </row>
    <row r="21" spans="1:18" s="363" customFormat="1" ht="17.25" customHeight="1">
      <c r="A21" s="404"/>
      <c r="B21" s="364" t="s">
        <v>180</v>
      </c>
      <c r="C21" s="549" t="s">
        <v>189</v>
      </c>
      <c r="D21" s="550"/>
      <c r="E21" s="551" t="str">
        <f>IFERROR(VLOOKUP(D21,$C$13:$D$16,2,FALSE)*$G$5,"-")</f>
        <v>-</v>
      </c>
      <c r="F21" s="365">
        <f>MIN($E$21:$E$25)</f>
        <v>0</v>
      </c>
      <c r="G21" s="177"/>
      <c r="J21" s="6"/>
      <c r="M21" s="101"/>
      <c r="N21" s="101"/>
      <c r="O21" s="101"/>
      <c r="P21" s="101"/>
      <c r="Q21" s="101"/>
      <c r="R21" s="102"/>
    </row>
    <row r="22" spans="1:18" s="363" customFormat="1" ht="17.25" customHeight="1">
      <c r="A22" s="404"/>
      <c r="B22" s="364" t="s">
        <v>181</v>
      </c>
      <c r="C22" s="549" t="s">
        <v>190</v>
      </c>
      <c r="D22" s="550"/>
      <c r="E22" s="551" t="str">
        <f>IFERROR(VLOOKUP(D22,$C$13:$D$16,2,FALSE)*$G$5,"-")</f>
        <v>-</v>
      </c>
      <c r="F22" s="366"/>
      <c r="G22" s="177"/>
      <c r="J22" s="6"/>
      <c r="M22" s="101"/>
      <c r="N22" s="101"/>
      <c r="O22" s="101"/>
      <c r="P22" s="101"/>
      <c r="Q22" s="101"/>
      <c r="R22" s="102"/>
    </row>
    <row r="23" spans="1:18" s="363" customFormat="1" ht="17.25" customHeight="1">
      <c r="A23" s="404"/>
      <c r="B23" s="364" t="s">
        <v>182</v>
      </c>
      <c r="C23" s="549" t="s">
        <v>191</v>
      </c>
      <c r="D23" s="550"/>
      <c r="E23" s="551" t="str">
        <f>IFERROR(VLOOKUP(D23,$C$13:$D$16,2,FALSE)*$G$5,"-")</f>
        <v>-</v>
      </c>
      <c r="F23" s="366"/>
      <c r="G23" s="177"/>
      <c r="J23" s="6"/>
      <c r="M23" s="101"/>
      <c r="N23" s="101"/>
      <c r="O23" s="101"/>
      <c r="P23" s="101"/>
      <c r="Q23" s="101"/>
      <c r="R23" s="102"/>
    </row>
    <row r="24" spans="1:18" s="363" customFormat="1" ht="17.25" customHeight="1">
      <c r="A24" s="404"/>
      <c r="B24" s="364" t="s">
        <v>183</v>
      </c>
      <c r="C24" s="549" t="s">
        <v>192</v>
      </c>
      <c r="D24" s="550"/>
      <c r="E24" s="551" t="str">
        <f>IFERROR(VLOOKUP(D24,$C$13:$D$16,2,FALSE)*$G$5,"-")</f>
        <v>-</v>
      </c>
      <c r="F24" s="366"/>
      <c r="G24" s="177"/>
      <c r="I24" s="363" t="s">
        <v>193</v>
      </c>
      <c r="J24" s="6"/>
      <c r="M24" s="101"/>
      <c r="N24" s="101"/>
      <c r="O24" s="101"/>
      <c r="P24" s="101"/>
      <c r="Q24" s="101"/>
      <c r="R24" s="102"/>
    </row>
    <row r="25" spans="1:18" s="363" customFormat="1" ht="17.25" customHeight="1" thickBot="1">
      <c r="A25" s="404"/>
      <c r="B25" s="364" t="s">
        <v>184</v>
      </c>
      <c r="C25" s="552" t="s">
        <v>194</v>
      </c>
      <c r="D25" s="553"/>
      <c r="E25" s="554" t="str">
        <f>IFERROR(VLOOKUP(D25,$C$13:$D$16,2,FALSE)*$G$5,"-")</f>
        <v>-</v>
      </c>
      <c r="F25" s="367"/>
      <c r="G25" s="177"/>
      <c r="J25" s="6"/>
      <c r="M25" s="101"/>
      <c r="N25" s="101"/>
      <c r="O25" s="101"/>
      <c r="P25" s="101"/>
      <c r="Q25" s="101"/>
      <c r="R25" s="102"/>
    </row>
    <row r="26" spans="1:18" s="363" customFormat="1" ht="16.5" customHeight="1">
      <c r="A26" s="404"/>
      <c r="B26" s="364"/>
      <c r="C26" s="368" t="s">
        <v>195</v>
      </c>
      <c r="D26" s="369"/>
      <c r="E26" s="370"/>
      <c r="F26" s="371"/>
      <c r="G26" s="177"/>
      <c r="J26" s="6"/>
      <c r="M26" s="101"/>
      <c r="N26" s="101"/>
      <c r="O26" s="101"/>
      <c r="P26" s="101"/>
      <c r="Q26" s="101"/>
      <c r="R26" s="102"/>
    </row>
    <row r="27" spans="1:18">
      <c r="C27" s="44"/>
    </row>
    <row r="28" spans="1:18" ht="16.5" customHeight="1" thickBot="1">
      <c r="C28" s="156"/>
      <c r="D28" s="156"/>
      <c r="E28" s="156"/>
      <c r="F28" s="156"/>
      <c r="G28" s="156"/>
      <c r="H28" s="302"/>
    </row>
    <row r="29" spans="1:18" ht="33">
      <c r="A29" s="402" t="s">
        <v>196</v>
      </c>
      <c r="C29" s="45" t="s">
        <v>197</v>
      </c>
      <c r="D29" s="46" t="s">
        <v>198</v>
      </c>
      <c r="E29" s="48" t="s">
        <v>199</v>
      </c>
      <c r="F29" s="47" t="s">
        <v>200</v>
      </c>
      <c r="G29" s="48" t="s">
        <v>201</v>
      </c>
      <c r="H29" s="48" t="s">
        <v>202</v>
      </c>
      <c r="I29" s="48" t="s">
        <v>203</v>
      </c>
      <c r="J29" s="48" t="s">
        <v>204</v>
      </c>
      <c r="K29" s="405" t="s">
        <v>205</v>
      </c>
    </row>
    <row r="30" spans="1:18" ht="33">
      <c r="C30" s="458">
        <v>1</v>
      </c>
      <c r="D30" s="49" t="s">
        <v>206</v>
      </c>
      <c r="E30" s="31" t="s">
        <v>207</v>
      </c>
      <c r="F30" s="459" t="s">
        <v>208</v>
      </c>
      <c r="G30" s="555" t="s">
        <v>209</v>
      </c>
      <c r="H30" s="306" t="s">
        <v>210</v>
      </c>
      <c r="I30" s="556"/>
      <c r="J30" s="557" t="s">
        <v>211</v>
      </c>
      <c r="K30" s="558"/>
    </row>
    <row r="31" spans="1:18" ht="30" customHeight="1">
      <c r="C31" s="458">
        <v>2</v>
      </c>
      <c r="D31" s="49" t="s">
        <v>206</v>
      </c>
      <c r="E31" s="31" t="s">
        <v>207</v>
      </c>
      <c r="F31" s="459" t="s">
        <v>208</v>
      </c>
      <c r="G31" s="50" t="s">
        <v>209</v>
      </c>
      <c r="H31" s="50" t="s">
        <v>212</v>
      </c>
      <c r="I31" s="556"/>
      <c r="J31" s="557" t="s">
        <v>213</v>
      </c>
      <c r="K31" s="559"/>
      <c r="L31" s="38" t="s">
        <v>193</v>
      </c>
    </row>
    <row r="32" spans="1:18" ht="35.65" customHeight="1">
      <c r="C32" s="473">
        <v>3</v>
      </c>
      <c r="D32" s="475" t="s">
        <v>206</v>
      </c>
      <c r="E32" s="477" t="s">
        <v>207</v>
      </c>
      <c r="F32" s="479" t="s">
        <v>208</v>
      </c>
      <c r="G32" s="481" t="s">
        <v>209</v>
      </c>
      <c r="H32" s="463" t="s">
        <v>214</v>
      </c>
      <c r="I32" s="556"/>
      <c r="J32" s="557" t="s">
        <v>215</v>
      </c>
      <c r="K32" s="560"/>
    </row>
    <row r="33" spans="1:11" ht="36" customHeight="1">
      <c r="C33" s="474"/>
      <c r="D33" s="476"/>
      <c r="E33" s="478"/>
      <c r="F33" s="480"/>
      <c r="G33" s="482"/>
      <c r="H33" s="464"/>
      <c r="I33" s="388"/>
      <c r="J33" s="557" t="s">
        <v>216</v>
      </c>
      <c r="K33" s="389"/>
    </row>
    <row r="34" spans="1:11" ht="68.25" customHeight="1" thickBot="1">
      <c r="C34" s="236">
        <v>4</v>
      </c>
      <c r="D34" s="561" t="s">
        <v>206</v>
      </c>
      <c r="E34" s="562" t="s">
        <v>207</v>
      </c>
      <c r="F34" s="563" t="s">
        <v>208</v>
      </c>
      <c r="G34" s="564" t="s">
        <v>209</v>
      </c>
      <c r="H34" s="565" t="s">
        <v>217</v>
      </c>
      <c r="I34" s="566"/>
      <c r="J34" s="567"/>
      <c r="K34" s="568"/>
    </row>
    <row r="36" spans="1:11" ht="12.75" customHeight="1" thickBot="1">
      <c r="C36" s="292" t="s">
        <v>218</v>
      </c>
      <c r="D36" s="293"/>
      <c r="E36" s="294"/>
      <c r="F36" s="295"/>
      <c r="G36" s="296"/>
      <c r="H36" s="296"/>
      <c r="I36" s="296"/>
      <c r="J36" s="296"/>
      <c r="K36" s="296"/>
    </row>
    <row r="37" spans="1:11" ht="33" customHeight="1" thickBot="1">
      <c r="A37" s="402" t="s">
        <v>219</v>
      </c>
      <c r="C37" s="303">
        <v>5</v>
      </c>
      <c r="D37" s="471" t="s">
        <v>220</v>
      </c>
      <c r="E37" s="472"/>
      <c r="F37" s="297"/>
      <c r="G37" s="298"/>
      <c r="H37" s="406" t="s">
        <v>221</v>
      </c>
      <c r="I37" s="566"/>
      <c r="J37" s="567"/>
      <c r="K37" s="299"/>
    </row>
    <row r="38" spans="1:11" ht="12.75" customHeight="1" thickBot="1"/>
    <row r="39" spans="1:11" ht="12.6" customHeight="1">
      <c r="A39" s="402" t="s">
        <v>222</v>
      </c>
      <c r="C39" s="304" t="s">
        <v>223</v>
      </c>
      <c r="D39" s="289"/>
      <c r="E39" s="290"/>
      <c r="F39" s="289"/>
      <c r="G39" s="291"/>
    </row>
    <row r="40" spans="1:11" ht="12.75" customHeight="1">
      <c r="C40" s="243" t="s">
        <v>224</v>
      </c>
      <c r="D40" s="244"/>
      <c r="E40" s="245"/>
      <c r="F40" s="244"/>
      <c r="G40" s="246"/>
    </row>
    <row r="41" spans="1:11">
      <c r="C41" s="569"/>
      <c r="D41" s="465" t="s">
        <v>225</v>
      </c>
      <c r="E41" s="466"/>
      <c r="F41" s="466"/>
      <c r="G41" s="467"/>
    </row>
    <row r="42" spans="1:11" ht="35.65" customHeight="1" thickBot="1">
      <c r="A42" s="402" t="s">
        <v>226</v>
      </c>
      <c r="C42" s="570"/>
      <c r="D42" s="468" t="s">
        <v>227</v>
      </c>
      <c r="E42" s="469"/>
      <c r="F42" s="469"/>
      <c r="G42" s="470"/>
    </row>
    <row r="43" spans="1:11" ht="12.75" customHeight="1" thickBot="1"/>
    <row r="44" spans="1:11" ht="12.75" customHeight="1">
      <c r="C44" s="149" t="s">
        <v>228</v>
      </c>
      <c r="D44" s="150"/>
    </row>
    <row r="45" spans="1:11" ht="65.25" customHeight="1">
      <c r="C45" s="335" t="s">
        <v>229</v>
      </c>
      <c r="D45" s="151" t="s">
        <v>230</v>
      </c>
      <c r="E45" s="32"/>
    </row>
    <row r="46" spans="1:11" ht="29.65" customHeight="1">
      <c r="C46" s="571" t="s">
        <v>231</v>
      </c>
      <c r="D46" s="572" t="s">
        <v>232</v>
      </c>
    </row>
    <row r="47" spans="1:11" ht="12.75" customHeight="1">
      <c r="C47" s="571" t="s">
        <v>233</v>
      </c>
      <c r="D47" s="572" t="s">
        <v>234</v>
      </c>
    </row>
    <row r="48" spans="1:11" ht="39" customHeight="1">
      <c r="C48" s="571" t="s">
        <v>235</v>
      </c>
      <c r="D48" s="572" t="s">
        <v>236</v>
      </c>
    </row>
    <row r="49" spans="3:4" ht="12.75" customHeight="1">
      <c r="C49" s="571" t="s">
        <v>237</v>
      </c>
      <c r="D49" s="573" t="s">
        <v>238</v>
      </c>
    </row>
    <row r="50" spans="3:4" ht="29.1" customHeight="1">
      <c r="C50" s="574" t="s">
        <v>239</v>
      </c>
      <c r="D50" s="575" t="s">
        <v>240</v>
      </c>
    </row>
    <row r="51" spans="3:4" ht="34.5" customHeight="1">
      <c r="C51" s="571" t="s">
        <v>241</v>
      </c>
      <c r="D51" s="572" t="s">
        <v>242</v>
      </c>
    </row>
    <row r="52" spans="3:4" ht="29.65" customHeight="1">
      <c r="C52" s="574" t="s">
        <v>243</v>
      </c>
      <c r="D52" s="576" t="s">
        <v>244</v>
      </c>
    </row>
    <row r="53" spans="3:4" ht="12.75" customHeight="1" thickBot="1">
      <c r="C53" s="577" t="s">
        <v>245</v>
      </c>
      <c r="D53" s="578" t="s">
        <v>246</v>
      </c>
    </row>
    <row r="55" spans="3:4" ht="12.75" customHeight="1">
      <c r="D55" s="38" t="s">
        <v>247</v>
      </c>
    </row>
  </sheetData>
  <mergeCells count="9">
    <mergeCell ref="H32:H33"/>
    <mergeCell ref="D41:G41"/>
    <mergeCell ref="D42:G42"/>
    <mergeCell ref="D37:E37"/>
    <mergeCell ref="C32:C33"/>
    <mergeCell ref="D32:D33"/>
    <mergeCell ref="E32:E33"/>
    <mergeCell ref="F32:F33"/>
    <mergeCell ref="G32:G33"/>
  </mergeCells>
  <phoneticPr fontId="101" type="noConversion"/>
  <conditionalFormatting sqref="C41">
    <cfRule type="expression" dxfId="13" priority="19">
      <formula>C42="√"</formula>
    </cfRule>
  </conditionalFormatting>
  <conditionalFormatting sqref="C41:C42">
    <cfRule type="containsBlanks" dxfId="12" priority="25">
      <formula>LEN(TRIM(C41))=0</formula>
    </cfRule>
  </conditionalFormatting>
  <conditionalFormatting sqref="C42">
    <cfRule type="expression" dxfId="11" priority="18">
      <formula>C41="√"</formula>
    </cfRule>
    <cfRule type="expression" dxfId="10" priority="20">
      <formula>"if($C$46=""√"","""")"</formula>
    </cfRule>
  </conditionalFormatting>
  <conditionalFormatting sqref="D3 G3 D5 G5 D7 G7 D9 D21:D25 I30:I34 J34 I37:J37">
    <cfRule type="containsBlanks" dxfId="9" priority="1">
      <formula>LEN(TRIM(D3))=0</formula>
    </cfRule>
  </conditionalFormatting>
  <conditionalFormatting sqref="K30:K34">
    <cfRule type="expression" dxfId="8" priority="24">
      <formula>SUMPRODUCT((I30="No")*(LEN(K30)=0))</formula>
    </cfRule>
  </conditionalFormatting>
  <conditionalFormatting sqref="K37">
    <cfRule type="expression" dxfId="7" priority="16">
      <formula>SUMPRODUCT((I37="No")*(LEN(K37)=0))</formula>
    </cfRule>
  </conditionalFormatting>
  <dataValidations count="3">
    <dataValidation type="list" allowBlank="1" showInputMessage="1" showErrorMessage="1" sqref="I37 I30:I34" xr:uid="{ABD8972E-84CB-47B2-8936-E747C63D1ED0}">
      <formula1>"Yes, No"</formula1>
    </dataValidation>
    <dataValidation type="list" allowBlank="1" showInputMessage="1" showErrorMessage="1" sqref="C41:C42" xr:uid="{26982AD3-B6A1-4DFF-9AE4-AA5E0CFA09A6}">
      <formula1>"√,"</formula1>
    </dataValidation>
    <dataValidation type="list" allowBlank="1" showInputMessage="1" showErrorMessage="1" sqref="D21:D25" xr:uid="{B5E63C6C-BC87-42A4-B119-385FD3FC6580}">
      <formula1>$C$13:$C$17</formula1>
    </dataValidation>
  </dataValidations>
  <hyperlinks>
    <hyperlink ref="J30" location="L2_Lead!A1" display="L2_Lead" xr:uid="{30F6E93B-4D2E-4052-8B8E-0BFAED413CFF}"/>
    <hyperlink ref="J31" location="'L2.01.1 BKD'!A1" display="L2.01.1 BKD" xr:uid="{C4022993-F7E3-457E-9847-AAD73AE4BF15}"/>
    <hyperlink ref="J32" location="L2_200存在性测试!A1" display="L2_200存在性测试" xr:uid="{2F296974-D3B4-4748-A6E7-49DED56098DC}"/>
    <hyperlink ref="H37" r:id="rId1" location="document/589804/pid88119662-589804?pref=20014/4/30&amp;crumb=8/1724596/553542" display="执行IPE程序以评估客户提供的数据的准确性和完整性。可点击此处获取265 From，获取后需更新链接至执行程序265GL 。" xr:uid="{6C9116F7-4389-4788-B48D-CDF9FA3C2025}"/>
    <hyperlink ref="J33" location="'L2.02.1a 选样输出'!A1" display="'L2.02.1a 选样输出" xr:uid="{78DEB70F-7174-4283-8156-B6629200DFDA}"/>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B0622-6039-423C-BB28-41503952F38E}">
  <dimension ref="A1:AQ141"/>
  <sheetViews>
    <sheetView showGridLines="0" zoomScale="70" zoomScaleNormal="70" workbookViewId="0">
      <selection activeCell="D33" sqref="D33"/>
    </sheetView>
  </sheetViews>
  <sheetFormatPr defaultColWidth="8.875" defaultRowHeight="12.75" customHeight="1" outlineLevelRow="1" outlineLevelCol="1"/>
  <cols>
    <col min="1" max="1" width="2.75" style="74" customWidth="1"/>
    <col min="2" max="2" width="5.625" style="67" customWidth="1"/>
    <col min="3" max="3" width="17.875" style="67" customWidth="1"/>
    <col min="4" max="4" width="30.125" style="67" customWidth="1"/>
    <col min="5" max="5" width="20" style="67" customWidth="1"/>
    <col min="6" max="6" width="21.875" style="67" customWidth="1"/>
    <col min="7" max="8" width="17.875" style="67" customWidth="1"/>
    <col min="9" max="9" width="16.875" style="67" customWidth="1"/>
    <col min="10" max="10" width="17.75" style="67" customWidth="1"/>
    <col min="11" max="12" width="12.875" style="67" customWidth="1" outlineLevel="1"/>
    <col min="13" max="23" width="12.875" style="67" customWidth="1"/>
    <col min="24" max="25" width="8.875" style="67" customWidth="1"/>
    <col min="26" max="16384" width="8.875" style="67"/>
  </cols>
  <sheetData>
    <row r="1" spans="1:43" ht="12.75" customHeight="1">
      <c r="A1" s="436" t="s">
        <v>248</v>
      </c>
    </row>
    <row r="2" spans="1:43" s="60" customFormat="1" ht="12.75" customHeight="1" thickBot="1">
      <c r="A2" s="402"/>
      <c r="C2" s="38"/>
      <c r="D2" s="38"/>
      <c r="E2" s="99"/>
      <c r="F2" s="38"/>
      <c r="G2" s="38"/>
      <c r="H2" s="38"/>
      <c r="J2" s="3" t="s">
        <v>249</v>
      </c>
      <c r="K2" s="38"/>
      <c r="L2" s="38"/>
      <c r="M2" s="38"/>
      <c r="N2" s="67"/>
    </row>
    <row r="3" spans="1:43" s="60" customFormat="1" ht="14.65" customHeight="1">
      <c r="A3" s="402"/>
      <c r="C3" s="247" t="s">
        <v>250</v>
      </c>
      <c r="D3" s="248"/>
      <c r="E3" s="248"/>
      <c r="F3" s="248"/>
      <c r="G3" s="248"/>
      <c r="H3" s="248"/>
      <c r="I3" s="248"/>
      <c r="J3" s="249"/>
      <c r="K3" s="38"/>
      <c r="L3" s="38"/>
      <c r="M3" s="38"/>
      <c r="N3" s="38"/>
      <c r="O3" s="38"/>
      <c r="P3" s="38"/>
      <c r="Q3" s="67"/>
    </row>
    <row r="4" spans="1:43" s="60" customFormat="1" ht="25.5" customHeight="1">
      <c r="A4" s="402"/>
      <c r="C4" s="250" t="s">
        <v>251</v>
      </c>
      <c r="D4" s="251"/>
      <c r="E4" s="251"/>
      <c r="F4" s="251"/>
      <c r="G4" s="251"/>
      <c r="H4" s="251"/>
      <c r="I4" s="251"/>
      <c r="J4" s="252"/>
      <c r="K4" s="38"/>
      <c r="L4" s="38"/>
      <c r="M4" s="38"/>
      <c r="N4" s="38"/>
      <c r="O4" s="38"/>
      <c r="P4" s="38"/>
      <c r="Q4" s="67"/>
    </row>
    <row r="5" spans="1:43" s="60" customFormat="1" ht="12.75" customHeight="1">
      <c r="A5" s="402"/>
      <c r="C5" s="253"/>
      <c r="D5" s="251"/>
      <c r="E5" s="251"/>
      <c r="F5" s="251"/>
      <c r="G5" s="251"/>
      <c r="H5" s="251"/>
      <c r="I5" s="251"/>
      <c r="J5" s="252"/>
      <c r="K5" s="38"/>
      <c r="L5" s="38"/>
      <c r="M5" s="38"/>
      <c r="N5" s="38"/>
      <c r="O5" s="38"/>
      <c r="P5" s="38"/>
      <c r="Q5" s="67"/>
    </row>
    <row r="6" spans="1:43" s="60" customFormat="1" ht="12.75" customHeight="1">
      <c r="A6" s="402"/>
      <c r="C6" s="253"/>
      <c r="D6" s="254"/>
      <c r="E6" s="254"/>
      <c r="F6" s="254"/>
      <c r="G6" s="255"/>
      <c r="H6" s="255"/>
      <c r="I6" s="255"/>
      <c r="J6" s="252"/>
      <c r="K6" s="38"/>
      <c r="L6" s="38"/>
      <c r="M6" s="38"/>
      <c r="N6" s="38"/>
      <c r="O6" s="38"/>
      <c r="P6" s="38"/>
      <c r="Q6" s="67"/>
    </row>
    <row r="7" spans="1:43" s="60" customFormat="1" ht="21" customHeight="1">
      <c r="A7" s="402"/>
      <c r="C7" s="579" t="s">
        <v>252</v>
      </c>
      <c r="D7" s="484" t="s">
        <v>253</v>
      </c>
      <c r="E7" s="485"/>
      <c r="F7" s="486"/>
      <c r="G7" s="580" t="s">
        <v>254</v>
      </c>
      <c r="H7" s="581" t="s">
        <v>255</v>
      </c>
      <c r="I7" s="581" t="s">
        <v>256</v>
      </c>
      <c r="J7" s="391" t="s">
        <v>257</v>
      </c>
      <c r="K7" s="38"/>
      <c r="L7" s="38"/>
      <c r="M7" s="38"/>
      <c r="N7" s="38"/>
      <c r="O7" s="38"/>
      <c r="P7" s="38"/>
      <c r="Q7" s="38"/>
      <c r="R7" s="67"/>
    </row>
    <row r="8" spans="1:43" s="60" customFormat="1" ht="21.6" customHeight="1" outlineLevel="1">
      <c r="A8" s="402"/>
      <c r="C8" s="582">
        <v>1</v>
      </c>
      <c r="D8" s="487" t="s">
        <v>258</v>
      </c>
      <c r="E8" s="488"/>
      <c r="F8" s="489"/>
      <c r="G8" s="583" t="s">
        <v>259</v>
      </c>
      <c r="H8" s="584" t="s">
        <v>260</v>
      </c>
      <c r="I8" s="584"/>
      <c r="J8" s="331"/>
      <c r="K8" s="38"/>
      <c r="L8" s="38"/>
      <c r="M8" s="38"/>
      <c r="N8" s="38"/>
      <c r="O8" s="38"/>
      <c r="P8" s="38"/>
      <c r="Q8" s="38"/>
      <c r="R8" s="67"/>
    </row>
    <row r="9" spans="1:43" s="60" customFormat="1" ht="46.15" customHeight="1" outlineLevel="1">
      <c r="A9" s="402"/>
      <c r="C9" s="585">
        <v>2</v>
      </c>
      <c r="D9" s="490" t="s">
        <v>261</v>
      </c>
      <c r="E9" s="491"/>
      <c r="F9" s="492"/>
      <c r="G9" s="583" t="s">
        <v>259</v>
      </c>
      <c r="H9" s="584" t="s">
        <v>260</v>
      </c>
      <c r="I9" s="584"/>
      <c r="J9" s="332"/>
      <c r="K9" s="38"/>
      <c r="L9" s="38"/>
      <c r="M9" s="38"/>
      <c r="N9" s="38"/>
      <c r="O9" s="38"/>
      <c r="P9" s="38"/>
      <c r="Q9" s="38"/>
      <c r="R9" s="67"/>
    </row>
    <row r="10" spans="1:43" s="60" customFormat="1" ht="12.75" customHeight="1" thickBot="1">
      <c r="A10" s="402"/>
      <c r="C10" s="256"/>
      <c r="D10" s="257"/>
      <c r="E10" s="257"/>
      <c r="F10" s="257"/>
      <c r="G10" s="257"/>
      <c r="H10" s="257"/>
      <c r="I10" s="257"/>
      <c r="J10" s="258"/>
      <c r="K10" s="38"/>
      <c r="L10" s="38"/>
      <c r="M10" s="38"/>
      <c r="N10" s="38"/>
      <c r="O10" s="38"/>
      <c r="P10" s="38"/>
      <c r="Q10" s="38"/>
      <c r="R10" s="67"/>
    </row>
    <row r="11" spans="1:43" s="60" customFormat="1" ht="12.75" customHeight="1">
      <c r="A11" s="242"/>
      <c r="B11" s="6"/>
      <c r="C11" s="392"/>
      <c r="D11" s="393"/>
      <c r="E11" s="177"/>
      <c r="F11" s="177"/>
      <c r="G11" s="177"/>
      <c r="H11" s="177"/>
      <c r="I11" s="6"/>
      <c r="J11" s="6"/>
      <c r="K11" s="394"/>
      <c r="L11" s="395"/>
      <c r="M11" s="395"/>
      <c r="N11" s="395"/>
      <c r="O11" s="395"/>
      <c r="P11" s="395"/>
      <c r="Q11" s="395"/>
      <c r="R11" s="396"/>
      <c r="S11" s="6"/>
      <c r="T11" s="6"/>
      <c r="U11" s="6"/>
      <c r="V11" s="6"/>
      <c r="W11" s="6"/>
      <c r="X11" s="6"/>
      <c r="Y11" s="6"/>
      <c r="Z11" s="6"/>
      <c r="AA11" s="6"/>
      <c r="AB11" s="6"/>
      <c r="AC11" s="6"/>
      <c r="AD11" s="6"/>
      <c r="AE11" s="6"/>
      <c r="AF11" s="6"/>
      <c r="AG11" s="6"/>
      <c r="AH11" s="6"/>
      <c r="AI11" s="6"/>
      <c r="AJ11" s="6"/>
      <c r="AK11" s="6"/>
      <c r="AL11" s="6"/>
      <c r="AM11" s="6"/>
      <c r="AN11" s="6"/>
      <c r="AO11" s="6"/>
      <c r="AP11" s="6"/>
      <c r="AQ11" s="6"/>
    </row>
    <row r="12" spans="1:43" s="374" customFormat="1" ht="16.149999999999999" customHeight="1">
      <c r="A12" s="373"/>
      <c r="B12" s="372"/>
      <c r="C12" s="373"/>
      <c r="D12" s="372"/>
      <c r="E12" s="372"/>
      <c r="F12" s="372"/>
      <c r="G12" s="372"/>
      <c r="H12" s="372"/>
      <c r="I12" s="372"/>
      <c r="J12" s="372"/>
      <c r="K12" s="372"/>
    </row>
    <row r="13" spans="1:43" s="374" customFormat="1" ht="16.149999999999999" customHeight="1" thickBot="1">
      <c r="A13" s="373"/>
      <c r="B13" s="372"/>
      <c r="C13" s="395" t="s">
        <v>262</v>
      </c>
      <c r="D13" s="372"/>
      <c r="E13" s="372"/>
      <c r="F13" s="372"/>
      <c r="G13" s="372"/>
      <c r="H13" s="372"/>
      <c r="I13" s="372"/>
      <c r="J13" s="372"/>
      <c r="K13" s="372"/>
    </row>
    <row r="14" spans="1:43" s="374" customFormat="1" ht="16.149999999999999" customHeight="1">
      <c r="A14" s="373"/>
      <c r="B14" s="372"/>
      <c r="C14" s="502"/>
      <c r="D14" s="503"/>
      <c r="E14" s="503"/>
      <c r="F14" s="503"/>
      <c r="G14" s="504"/>
      <c r="H14" s="372"/>
      <c r="I14" s="372"/>
      <c r="J14" s="372"/>
      <c r="K14" s="372"/>
    </row>
    <row r="15" spans="1:43" s="374" customFormat="1" ht="16.350000000000001" customHeight="1">
      <c r="A15" s="373"/>
      <c r="B15" s="372"/>
      <c r="C15" s="505"/>
      <c r="D15" s="506"/>
      <c r="E15" s="506"/>
      <c r="F15" s="506"/>
      <c r="G15" s="507"/>
      <c r="H15" s="372"/>
      <c r="I15" s="372"/>
      <c r="J15" s="372"/>
      <c r="K15" s="372"/>
    </row>
    <row r="16" spans="1:43" s="374" customFormat="1" ht="16.149999999999999" customHeight="1" thickBot="1">
      <c r="A16" s="373"/>
      <c r="B16" s="372"/>
      <c r="C16" s="508"/>
      <c r="D16" s="509"/>
      <c r="E16" s="509"/>
      <c r="F16" s="509"/>
      <c r="G16" s="510"/>
      <c r="H16" s="372"/>
      <c r="I16" s="372"/>
      <c r="J16" s="372"/>
      <c r="K16" s="372"/>
    </row>
    <row r="17" spans="1:43" s="374" customFormat="1" ht="16.149999999999999" customHeight="1" thickBot="1">
      <c r="A17" s="373"/>
      <c r="B17" s="372"/>
      <c r="C17" s="375"/>
      <c r="D17" s="376"/>
      <c r="E17" s="177"/>
      <c r="F17" s="177"/>
      <c r="G17" s="177"/>
      <c r="H17" s="177"/>
      <c r="I17" s="6"/>
      <c r="J17" s="372"/>
      <c r="K17" s="372"/>
    </row>
    <row r="18" spans="1:43" s="60" customFormat="1" ht="12.75" customHeight="1">
      <c r="A18" s="242"/>
      <c r="B18" s="6"/>
      <c r="C18" s="397" t="str">
        <f>"波动范围 ("&amp;汇总!D7&amp;"):"</f>
        <v>波动范围 ():</v>
      </c>
      <c r="D18" s="398">
        <f>汇总!$F$21</f>
        <v>0</v>
      </c>
      <c r="E18" s="399"/>
      <c r="F18" s="399"/>
      <c r="G18" s="399"/>
      <c r="H18" s="399"/>
      <c r="I18" s="399"/>
      <c r="J18" s="399"/>
      <c r="K18" s="399"/>
      <c r="L18" s="395"/>
      <c r="M18" s="395"/>
      <c r="N18" s="395"/>
      <c r="O18" s="395"/>
      <c r="P18" s="395"/>
      <c r="Q18" s="395"/>
      <c r="R18" s="396"/>
      <c r="S18" s="6"/>
      <c r="T18" s="6"/>
      <c r="U18" s="6"/>
      <c r="V18" s="6"/>
      <c r="W18" s="6"/>
      <c r="X18" s="6"/>
      <c r="Y18" s="6"/>
      <c r="Z18" s="6"/>
      <c r="AA18" s="6"/>
      <c r="AB18" s="6"/>
      <c r="AC18" s="6"/>
      <c r="AD18" s="6"/>
      <c r="AE18" s="6"/>
      <c r="AF18" s="6"/>
      <c r="AG18" s="6"/>
      <c r="AH18" s="6"/>
      <c r="AI18" s="6"/>
      <c r="AJ18" s="6"/>
      <c r="AK18" s="6"/>
      <c r="AL18" s="6"/>
      <c r="AM18" s="6"/>
      <c r="AN18" s="6"/>
      <c r="AO18" s="6"/>
      <c r="AP18" s="6"/>
      <c r="AQ18" s="6"/>
    </row>
    <row r="19" spans="1:43" s="60" customFormat="1" ht="17.25" thickBot="1">
      <c r="A19" s="242"/>
      <c r="B19" s="6"/>
      <c r="C19" s="586" t="s">
        <v>263</v>
      </c>
      <c r="D19" s="587"/>
      <c r="E19" s="400"/>
      <c r="F19" s="400"/>
      <c r="G19" s="400"/>
      <c r="H19" s="400"/>
      <c r="I19" s="400"/>
      <c r="J19" s="400"/>
      <c r="K19" s="400"/>
      <c r="L19" s="395"/>
      <c r="M19" s="395"/>
      <c r="N19" s="395"/>
      <c r="O19" s="395"/>
      <c r="P19" s="395"/>
      <c r="Q19" s="395"/>
      <c r="R19" s="396"/>
      <c r="S19" s="6"/>
      <c r="T19" s="6"/>
      <c r="U19" s="6"/>
      <c r="V19" s="6"/>
      <c r="W19" s="6"/>
      <c r="X19" s="6"/>
      <c r="Y19" s="6"/>
      <c r="Z19" s="6"/>
      <c r="AA19" s="6"/>
      <c r="AB19" s="6"/>
      <c r="AC19" s="6"/>
      <c r="AD19" s="6"/>
      <c r="AE19" s="6"/>
      <c r="AF19" s="6"/>
      <c r="AG19" s="6"/>
      <c r="AH19" s="6"/>
      <c r="AI19" s="6"/>
      <c r="AJ19" s="6"/>
      <c r="AK19" s="6"/>
      <c r="AL19" s="6"/>
      <c r="AM19" s="6"/>
      <c r="AN19" s="6"/>
      <c r="AO19" s="6"/>
      <c r="AP19" s="6"/>
      <c r="AQ19" s="6"/>
    </row>
    <row r="20" spans="1:43" s="60" customFormat="1" ht="12.75" customHeight="1">
      <c r="A20" s="402"/>
      <c r="C20" s="74"/>
      <c r="D20" s="38"/>
      <c r="E20" s="99"/>
      <c r="F20" s="38"/>
      <c r="G20" s="38"/>
      <c r="H20" s="38"/>
      <c r="I20" s="38"/>
      <c r="J20" s="38"/>
      <c r="K20" s="38"/>
      <c r="L20" s="38"/>
      <c r="M20" s="67"/>
    </row>
    <row r="21" spans="1:43" s="60" customFormat="1" ht="12.75" customHeight="1">
      <c r="A21" s="402"/>
      <c r="C21" s="38"/>
      <c r="D21" s="38"/>
      <c r="E21" s="99"/>
      <c r="F21" s="38"/>
      <c r="G21" s="38"/>
      <c r="H21" s="38"/>
      <c r="I21" s="38"/>
      <c r="J21" s="38"/>
      <c r="K21" s="38"/>
      <c r="L21" s="38"/>
      <c r="M21" s="67"/>
    </row>
    <row r="22" spans="1:43" s="60" customFormat="1" ht="21">
      <c r="A22" s="402"/>
      <c r="C22" s="259" t="s">
        <v>264</v>
      </c>
      <c r="D22" s="237"/>
      <c r="E22" s="238"/>
      <c r="F22" s="237"/>
      <c r="G22" s="238"/>
      <c r="H22" s="239"/>
      <c r="I22" s="239"/>
      <c r="J22" s="155"/>
      <c r="K22" s="483"/>
      <c r="L22" s="483"/>
      <c r="M22" s="155"/>
      <c r="O22" s="100"/>
      <c r="P22" s="100"/>
      <c r="Q22" s="67"/>
      <c r="R22" s="101"/>
      <c r="S22" s="102"/>
    </row>
    <row r="23" spans="1:43" s="60" customFormat="1" ht="18">
      <c r="A23" s="402"/>
      <c r="C23" s="377"/>
      <c r="D23" s="460"/>
      <c r="E23" s="155"/>
      <c r="F23" s="460"/>
      <c r="G23" s="155" t="s">
        <v>265</v>
      </c>
      <c r="H23" s="155"/>
      <c r="I23" s="155" t="s">
        <v>266</v>
      </c>
      <c r="J23" s="155" t="s">
        <v>267</v>
      </c>
      <c r="K23" s="155"/>
      <c r="L23" s="155" t="s">
        <v>268</v>
      </c>
      <c r="M23" s="155" t="s">
        <v>269</v>
      </c>
      <c r="N23" s="381" t="s">
        <v>270</v>
      </c>
      <c r="O23" s="380" t="s">
        <v>271</v>
      </c>
      <c r="P23" s="380" t="s">
        <v>272</v>
      </c>
      <c r="Q23" s="67"/>
      <c r="R23" s="101"/>
      <c r="S23" s="102"/>
    </row>
    <row r="24" spans="1:43" s="60" customFormat="1" ht="13.5" thickBot="1">
      <c r="A24" s="402" t="s">
        <v>273</v>
      </c>
      <c r="C24" s="103" t="s">
        <v>274</v>
      </c>
      <c r="D24" s="104" t="s">
        <v>274</v>
      </c>
      <c r="E24" s="104" t="s">
        <v>274</v>
      </c>
      <c r="F24" s="105"/>
      <c r="G24" s="106" t="s">
        <v>274</v>
      </c>
      <c r="H24" s="105"/>
      <c r="I24" s="105"/>
      <c r="J24" s="105"/>
      <c r="K24" s="105"/>
      <c r="L24" s="105"/>
      <c r="M24" s="105"/>
      <c r="N24" s="177"/>
      <c r="O24" s="105"/>
      <c r="P24" s="107"/>
      <c r="Q24" s="105"/>
      <c r="R24" s="101"/>
      <c r="S24" s="102"/>
    </row>
    <row r="25" spans="1:43" s="128" customFormat="1" ht="0.2" customHeight="1" thickBot="1">
      <c r="A25" s="407"/>
      <c r="C25" s="434"/>
      <c r="D25" s="130"/>
      <c r="E25" s="130"/>
      <c r="F25" s="262"/>
      <c r="G25" s="588"/>
      <c r="H25" s="589"/>
      <c r="I25" s="590"/>
      <c r="J25" s="591">
        <f>G25+I25</f>
        <v>0</v>
      </c>
      <c r="K25" s="589"/>
      <c r="L25" s="590"/>
      <c r="M25" s="592">
        <f>J25+L25</f>
        <v>0</v>
      </c>
      <c r="N25" s="317"/>
      <c r="O25" s="593">
        <f>M25-N25</f>
        <v>0</v>
      </c>
      <c r="P25" s="594">
        <f>IF(N25&lt;&gt;0,O25/N25,1)</f>
        <v>1</v>
      </c>
      <c r="Q25" s="131"/>
    </row>
    <row r="26" spans="1:43" s="119" customFormat="1" ht="12.6" customHeight="1">
      <c r="A26" s="108"/>
      <c r="B26" s="108" t="s">
        <v>275</v>
      </c>
      <c r="C26" s="109"/>
      <c r="D26" s="110"/>
      <c r="E26" s="111"/>
      <c r="F26" s="314"/>
      <c r="G26" s="112"/>
      <c r="H26" s="113"/>
      <c r="I26" s="113"/>
      <c r="J26" s="115">
        <f>汇总!D5</f>
        <v>45657</v>
      </c>
      <c r="K26" s="113"/>
      <c r="L26" s="113"/>
      <c r="M26" s="114"/>
      <c r="N26" s="115">
        <f>DATE(YEAR($J$26)-1,12,31)</f>
        <v>45291</v>
      </c>
      <c r="O26" s="116" t="s">
        <v>276</v>
      </c>
      <c r="P26" s="117" t="s">
        <v>277</v>
      </c>
      <c r="Q26" s="118"/>
    </row>
    <row r="27" spans="1:43" s="119" customFormat="1" ht="33">
      <c r="A27" s="108"/>
      <c r="C27" s="77" t="s">
        <v>278</v>
      </c>
      <c r="D27" s="120" t="s">
        <v>279</v>
      </c>
      <c r="E27" s="121" t="s">
        <v>280</v>
      </c>
      <c r="F27" s="122" t="s">
        <v>281</v>
      </c>
      <c r="G27" s="260" t="s">
        <v>282</v>
      </c>
      <c r="H27" s="123" t="s">
        <v>283</v>
      </c>
      <c r="I27" s="124" t="s">
        <v>284</v>
      </c>
      <c r="J27" s="261" t="s">
        <v>285</v>
      </c>
      <c r="K27" s="124" t="s">
        <v>286</v>
      </c>
      <c r="L27" s="124" t="s">
        <v>287</v>
      </c>
      <c r="M27" s="125" t="s">
        <v>288</v>
      </c>
      <c r="N27" s="316" t="s">
        <v>289</v>
      </c>
      <c r="O27" s="126" t="s">
        <v>290</v>
      </c>
      <c r="P27" s="125" t="s">
        <v>291</v>
      </c>
      <c r="Q27" s="127" t="s">
        <v>292</v>
      </c>
    </row>
    <row r="28" spans="1:43" s="128" customFormat="1">
      <c r="A28" s="407"/>
      <c r="C28" s="129"/>
      <c r="D28" s="130"/>
      <c r="E28" s="130"/>
      <c r="F28" s="262"/>
      <c r="G28" s="588"/>
      <c r="H28" s="589"/>
      <c r="I28" s="590"/>
      <c r="J28" s="591">
        <f>G28+I28</f>
        <v>0</v>
      </c>
      <c r="K28" s="589"/>
      <c r="L28" s="590"/>
      <c r="M28" s="592">
        <f>J28+L28</f>
        <v>0</v>
      </c>
      <c r="N28" s="317"/>
      <c r="O28" s="593">
        <f>M28-N28</f>
        <v>0</v>
      </c>
      <c r="P28" s="594">
        <f>IF(N28&lt;&gt;0,O28/N28,1)</f>
        <v>1</v>
      </c>
      <c r="Q28" s="131"/>
    </row>
    <row r="29" spans="1:43" s="132" customFormat="1" ht="13.5" thickBot="1">
      <c r="A29" s="408" t="s">
        <v>293</v>
      </c>
      <c r="C29" s="595"/>
      <c r="D29" s="596"/>
      <c r="E29" s="596"/>
      <c r="F29" s="597"/>
      <c r="G29" s="598"/>
      <c r="H29" s="599"/>
      <c r="I29" s="600"/>
      <c r="J29" s="601">
        <f>G29+I29</f>
        <v>0</v>
      </c>
      <c r="K29" s="602"/>
      <c r="L29" s="603"/>
      <c r="M29" s="604">
        <f>J29+L29</f>
        <v>0</v>
      </c>
      <c r="N29" s="605"/>
      <c r="O29" s="606">
        <f>M29-N29</f>
        <v>0</v>
      </c>
      <c r="P29" s="607">
        <f>IF(N29&lt;&gt;0,O29/N29,1)</f>
        <v>1</v>
      </c>
      <c r="Q29" s="608"/>
    </row>
    <row r="30" spans="1:43" s="128" customFormat="1">
      <c r="A30" s="407"/>
      <c r="C30" s="138"/>
      <c r="D30" s="312"/>
      <c r="E30" s="313"/>
      <c r="F30" s="313"/>
      <c r="G30" s="135"/>
      <c r="H30" s="135"/>
      <c r="I30" s="135"/>
      <c r="J30" s="136"/>
      <c r="K30" s="135"/>
      <c r="L30" s="135"/>
      <c r="M30" s="135"/>
      <c r="N30" s="315"/>
      <c r="O30" s="135"/>
      <c r="P30" s="137"/>
      <c r="Q30" s="138"/>
    </row>
    <row r="31" spans="1:43" s="128" customFormat="1" ht="17.25" thickBot="1">
      <c r="A31" s="407"/>
      <c r="C31" s="133"/>
      <c r="D31" s="134"/>
      <c r="E31" s="133"/>
      <c r="F31" s="139" t="s">
        <v>294</v>
      </c>
      <c r="G31" s="609">
        <f>SUM(G27:G29)</f>
        <v>0</v>
      </c>
      <c r="H31" s="59"/>
      <c r="I31" s="609">
        <f>SUM(I27:I29)</f>
        <v>0</v>
      </c>
      <c r="J31" s="609">
        <f>SUM(J27:J29)</f>
        <v>0</v>
      </c>
      <c r="K31" s="59"/>
      <c r="L31" s="609">
        <f>SUM(L27:L29)</f>
        <v>0</v>
      </c>
      <c r="M31" s="609">
        <f>SUM(M27:M29)</f>
        <v>0</v>
      </c>
      <c r="N31" s="609">
        <f>SUM(N27:N29)</f>
        <v>0</v>
      </c>
      <c r="O31" s="609">
        <f>M31-N31</f>
        <v>0</v>
      </c>
      <c r="P31" s="610">
        <f>IF(N31&lt;&gt;0,O31/N31,1)</f>
        <v>1</v>
      </c>
      <c r="Q31" s="133"/>
    </row>
    <row r="32" spans="1:43" s="60" customFormat="1" ht="13.5" thickTop="1">
      <c r="A32" s="402"/>
      <c r="D32" s="23"/>
      <c r="F32" s="24"/>
      <c r="G32" s="155" t="s">
        <v>295</v>
      </c>
      <c r="H32" s="155"/>
      <c r="I32" s="155" t="s">
        <v>295</v>
      </c>
      <c r="J32" s="155" t="s">
        <v>295</v>
      </c>
      <c r="K32" s="155"/>
      <c r="L32" s="155" t="s">
        <v>295</v>
      </c>
      <c r="M32" s="155" t="s">
        <v>295</v>
      </c>
      <c r="N32" s="155" t="s">
        <v>295</v>
      </c>
      <c r="O32" s="140"/>
      <c r="P32" s="140"/>
      <c r="Q32" s="67"/>
      <c r="R32" s="101"/>
      <c r="S32" s="102"/>
    </row>
    <row r="33" spans="1:19" s="60" customFormat="1">
      <c r="A33" s="402"/>
      <c r="D33" s="23"/>
      <c r="H33" s="155"/>
      <c r="I33" s="29" t="s">
        <v>231</v>
      </c>
      <c r="J33" s="141"/>
      <c r="K33" s="142"/>
      <c r="M33" s="141"/>
      <c r="N33" s="141"/>
      <c r="O33" s="140"/>
      <c r="P33" s="140"/>
      <c r="Q33" s="67"/>
      <c r="R33" s="101"/>
      <c r="S33" s="102"/>
    </row>
    <row r="34" spans="1:19" s="145" customFormat="1">
      <c r="A34" s="409"/>
      <c r="B34" s="143"/>
      <c r="C34" s="143"/>
      <c r="D34" s="144"/>
      <c r="E34" s="143"/>
      <c r="G34" s="85"/>
      <c r="H34" s="85"/>
      <c r="I34" s="146" t="s">
        <v>296</v>
      </c>
      <c r="J34" s="86">
        <f>J31-J33</f>
        <v>0</v>
      </c>
      <c r="K34" s="85"/>
      <c r="M34" s="86">
        <f>M31-M33</f>
        <v>0</v>
      </c>
      <c r="N34" s="86">
        <f>N31-N33</f>
        <v>0</v>
      </c>
      <c r="O34" s="85"/>
      <c r="P34" s="85"/>
      <c r="Q34" s="85"/>
      <c r="R34" s="147"/>
      <c r="S34" s="148"/>
    </row>
    <row r="35" spans="1:19" s="60" customFormat="1">
      <c r="A35" s="402"/>
      <c r="D35" s="23"/>
      <c r="E35" s="25"/>
      <c r="F35" s="155"/>
      <c r="G35" s="155"/>
      <c r="H35" s="155"/>
      <c r="I35" s="30"/>
      <c r="J35" s="67"/>
      <c r="K35" s="155"/>
      <c r="L35" s="67"/>
      <c r="M35" s="101"/>
      <c r="N35" s="101"/>
      <c r="O35" s="101"/>
      <c r="P35" s="101"/>
      <c r="Q35" s="67"/>
      <c r="R35" s="101"/>
      <c r="S35" s="102"/>
    </row>
    <row r="36" spans="1:19" ht="13.5" thickBot="1">
      <c r="B36" s="333" t="s">
        <v>292</v>
      </c>
      <c r="C36" s="400" t="s">
        <v>297</v>
      </c>
      <c r="D36" s="87"/>
      <c r="E36" s="87"/>
      <c r="F36" s="87"/>
      <c r="G36" s="87"/>
      <c r="H36" s="87"/>
      <c r="I36" s="87"/>
      <c r="J36" s="87"/>
    </row>
    <row r="37" spans="1:19" s="6" customFormat="1" ht="14.1" customHeight="1">
      <c r="A37" s="242"/>
      <c r="B37" s="18"/>
      <c r="C37" s="511"/>
      <c r="D37" s="512"/>
      <c r="E37" s="512"/>
      <c r="F37" s="512"/>
      <c r="G37" s="513"/>
    </row>
    <row r="38" spans="1:19" s="6" customFormat="1" ht="14.1" customHeight="1">
      <c r="A38" s="410"/>
      <c r="B38" s="19"/>
      <c r="C38" s="514"/>
      <c r="D38" s="515"/>
      <c r="E38" s="515"/>
      <c r="F38" s="515"/>
      <c r="G38" s="516"/>
    </row>
    <row r="39" spans="1:19" s="6" customFormat="1" ht="14.1" customHeight="1" thickBot="1">
      <c r="A39" s="242"/>
      <c r="B39" s="18"/>
      <c r="C39" s="517"/>
      <c r="D39" s="518"/>
      <c r="E39" s="518"/>
      <c r="F39" s="518"/>
      <c r="G39" s="519"/>
    </row>
    <row r="40" spans="1:19">
      <c r="D40" s="87"/>
      <c r="E40" s="87"/>
      <c r="F40" s="87"/>
      <c r="G40" s="87"/>
      <c r="H40" s="87"/>
      <c r="I40" s="87"/>
      <c r="J40" s="87"/>
    </row>
    <row r="41" spans="1:19">
      <c r="D41" s="87"/>
      <c r="E41" s="87"/>
      <c r="F41" s="87"/>
      <c r="G41" s="87"/>
      <c r="H41" s="87"/>
      <c r="I41" s="87"/>
      <c r="J41" s="87"/>
    </row>
    <row r="42" spans="1:19" ht="17.25" thickBot="1">
      <c r="C42" s="26" t="s">
        <v>298</v>
      </c>
      <c r="D42" s="27" t="s">
        <v>299</v>
      </c>
      <c r="E42" s="28"/>
      <c r="F42" s="28"/>
      <c r="G42" s="87"/>
      <c r="H42" s="87"/>
      <c r="I42" s="87"/>
      <c r="J42" s="87"/>
    </row>
    <row r="43" spans="1:19" ht="14.1" customHeight="1">
      <c r="C43" s="493"/>
      <c r="D43" s="494"/>
      <c r="E43" s="494"/>
      <c r="F43" s="495"/>
      <c r="G43" s="87"/>
      <c r="H43" s="87"/>
      <c r="I43" s="87"/>
      <c r="J43" s="87"/>
    </row>
    <row r="44" spans="1:19" ht="14.1" customHeight="1">
      <c r="C44" s="496"/>
      <c r="D44" s="497"/>
      <c r="E44" s="497"/>
      <c r="F44" s="498"/>
      <c r="G44" s="87"/>
      <c r="H44" s="87"/>
      <c r="I44" s="87"/>
      <c r="J44" s="87"/>
    </row>
    <row r="45" spans="1:19" ht="14.1" customHeight="1" thickBot="1">
      <c r="C45" s="499"/>
      <c r="D45" s="500"/>
      <c r="E45" s="500"/>
      <c r="F45" s="501"/>
      <c r="G45" s="87"/>
      <c r="H45" s="87"/>
      <c r="I45" s="87"/>
      <c r="J45" s="87"/>
    </row>
    <row r="46" spans="1:19">
      <c r="C46" s="28"/>
      <c r="D46" s="28"/>
      <c r="E46" s="28"/>
      <c r="G46" s="87"/>
      <c r="H46" s="87"/>
      <c r="I46" s="87"/>
      <c r="J46" s="87"/>
    </row>
    <row r="47" spans="1:19">
      <c r="A47" s="411"/>
    </row>
    <row r="48" spans="1:19" ht="12.75" customHeight="1">
      <c r="A48" s="411"/>
    </row>
    <row r="49" spans="1:1" ht="12.75" customHeight="1">
      <c r="A49" s="411"/>
    </row>
    <row r="50" spans="1:1" ht="12.75" customHeight="1">
      <c r="A50" s="411"/>
    </row>
    <row r="51" spans="1:1" ht="12.75" customHeight="1">
      <c r="A51" s="411"/>
    </row>
    <row r="52" spans="1:1" ht="12.75" customHeight="1">
      <c r="A52" s="411"/>
    </row>
    <row r="53" spans="1:1" ht="12.75" customHeight="1">
      <c r="A53" s="411"/>
    </row>
    <row r="54" spans="1:1" ht="12.75" customHeight="1">
      <c r="A54" s="411"/>
    </row>
    <row r="55" spans="1:1" ht="12.75" customHeight="1">
      <c r="A55" s="411"/>
    </row>
    <row r="56" spans="1:1" ht="12.75" customHeight="1">
      <c r="A56" s="411"/>
    </row>
    <row r="57" spans="1:1" ht="12.75" customHeight="1">
      <c r="A57" s="411"/>
    </row>
    <row r="58" spans="1:1" ht="12.75" customHeight="1">
      <c r="A58" s="411"/>
    </row>
    <row r="59" spans="1:1" ht="12.75" customHeight="1">
      <c r="A59" s="411"/>
    </row>
    <row r="60" spans="1:1" ht="12.75" customHeight="1">
      <c r="A60" s="411"/>
    </row>
    <row r="61" spans="1:1" ht="12.75" customHeight="1">
      <c r="A61" s="411"/>
    </row>
    <row r="62" spans="1:1" ht="12.75" customHeight="1">
      <c r="A62" s="411"/>
    </row>
    <row r="63" spans="1:1" ht="12.75" customHeight="1">
      <c r="A63" s="411"/>
    </row>
    <row r="64" spans="1:1" ht="12.75" customHeight="1">
      <c r="A64" s="411"/>
    </row>
    <row r="65" spans="1:1" ht="12.75" customHeight="1">
      <c r="A65" s="411"/>
    </row>
    <row r="66" spans="1:1" ht="12.75" customHeight="1">
      <c r="A66" s="411"/>
    </row>
    <row r="67" spans="1:1" ht="12.75" customHeight="1">
      <c r="A67" s="411"/>
    </row>
    <row r="68" spans="1:1" ht="12.75" customHeight="1">
      <c r="A68" s="411"/>
    </row>
    <row r="69" spans="1:1" ht="12.75" customHeight="1">
      <c r="A69" s="411"/>
    </row>
    <row r="70" spans="1:1" ht="12.75" customHeight="1">
      <c r="A70" s="411"/>
    </row>
    <row r="71" spans="1:1" ht="12.75" customHeight="1">
      <c r="A71" s="411"/>
    </row>
    <row r="72" spans="1:1" ht="12.75" customHeight="1">
      <c r="A72" s="411"/>
    </row>
    <row r="73" spans="1:1" ht="12.75" customHeight="1">
      <c r="A73" s="411"/>
    </row>
    <row r="74" spans="1:1" ht="12.75" customHeight="1">
      <c r="A74" s="411"/>
    </row>
    <row r="75" spans="1:1" ht="12.75" customHeight="1">
      <c r="A75" s="411"/>
    </row>
    <row r="76" spans="1:1" ht="12.75" customHeight="1">
      <c r="A76" s="411"/>
    </row>
    <row r="77" spans="1:1" ht="12.75" customHeight="1">
      <c r="A77" s="411"/>
    </row>
    <row r="78" spans="1:1" ht="12.75" customHeight="1">
      <c r="A78" s="411"/>
    </row>
    <row r="79" spans="1:1" ht="12.75" customHeight="1">
      <c r="A79" s="411"/>
    </row>
    <row r="80" spans="1:1" ht="12.75" customHeight="1">
      <c r="A80" s="411"/>
    </row>
    <row r="81" spans="1:1" ht="12.75" customHeight="1">
      <c r="A81" s="411"/>
    </row>
    <row r="82" spans="1:1" ht="12.75" customHeight="1">
      <c r="A82" s="411"/>
    </row>
    <row r="83" spans="1:1" ht="12.75" customHeight="1">
      <c r="A83" s="411"/>
    </row>
    <row r="84" spans="1:1" ht="12.75" customHeight="1">
      <c r="A84" s="411"/>
    </row>
    <row r="85" spans="1:1" ht="12.75" customHeight="1">
      <c r="A85" s="411"/>
    </row>
    <row r="86" spans="1:1" ht="12.75" customHeight="1">
      <c r="A86" s="411"/>
    </row>
    <row r="87" spans="1:1" ht="12.75" customHeight="1">
      <c r="A87" s="411"/>
    </row>
    <row r="88" spans="1:1" ht="12.75" customHeight="1">
      <c r="A88" s="411"/>
    </row>
    <row r="89" spans="1:1" ht="12.75" customHeight="1">
      <c r="A89" s="411"/>
    </row>
    <row r="90" spans="1:1" ht="12.75" customHeight="1">
      <c r="A90" s="411"/>
    </row>
    <row r="91" spans="1:1" ht="12.75" customHeight="1">
      <c r="A91" s="411"/>
    </row>
    <row r="92" spans="1:1" ht="12.75" customHeight="1">
      <c r="A92" s="411"/>
    </row>
    <row r="93" spans="1:1" ht="12.75" customHeight="1">
      <c r="A93" s="411"/>
    </row>
    <row r="94" spans="1:1" ht="12.75" customHeight="1">
      <c r="A94" s="411"/>
    </row>
    <row r="95" spans="1:1" ht="12.75" customHeight="1">
      <c r="A95" s="411"/>
    </row>
    <row r="96" spans="1:1" ht="12.75" customHeight="1">
      <c r="A96" s="411"/>
    </row>
    <row r="97" spans="1:1" ht="12.75" customHeight="1">
      <c r="A97" s="411"/>
    </row>
    <row r="98" spans="1:1" ht="12.75" customHeight="1">
      <c r="A98" s="411"/>
    </row>
    <row r="99" spans="1:1" ht="12.75" customHeight="1">
      <c r="A99" s="411"/>
    </row>
    <row r="100" spans="1:1" ht="12.75" customHeight="1">
      <c r="A100" s="411"/>
    </row>
    <row r="101" spans="1:1" ht="12.75" customHeight="1">
      <c r="A101" s="411"/>
    </row>
    <row r="102" spans="1:1" ht="12.75" customHeight="1">
      <c r="A102" s="411"/>
    </row>
    <row r="103" spans="1:1" ht="12.75" customHeight="1">
      <c r="A103" s="411"/>
    </row>
    <row r="104" spans="1:1" ht="12.75" customHeight="1">
      <c r="A104" s="411"/>
    </row>
    <row r="105" spans="1:1" ht="12.75" customHeight="1">
      <c r="A105" s="411"/>
    </row>
    <row r="106" spans="1:1" ht="12.75" customHeight="1">
      <c r="A106" s="411"/>
    </row>
    <row r="107" spans="1:1" ht="12.75" customHeight="1">
      <c r="A107" s="411"/>
    </row>
    <row r="108" spans="1:1" ht="12.75" customHeight="1">
      <c r="A108" s="411"/>
    </row>
    <row r="109" spans="1:1" ht="12.75" customHeight="1">
      <c r="A109" s="411"/>
    </row>
    <row r="110" spans="1:1" ht="12.75" customHeight="1">
      <c r="A110" s="411"/>
    </row>
    <row r="111" spans="1:1" ht="12.75" customHeight="1">
      <c r="A111" s="411"/>
    </row>
    <row r="112" spans="1:1" ht="12.75" customHeight="1">
      <c r="A112" s="411"/>
    </row>
    <row r="113" spans="1:1" ht="12.75" customHeight="1">
      <c r="A113" s="411"/>
    </row>
    <row r="114" spans="1:1" ht="12.75" customHeight="1">
      <c r="A114" s="411"/>
    </row>
    <row r="115" spans="1:1" ht="12.75" customHeight="1">
      <c r="A115" s="411"/>
    </row>
    <row r="116" spans="1:1" ht="12.75" customHeight="1">
      <c r="A116" s="411"/>
    </row>
    <row r="117" spans="1:1" ht="12.75" customHeight="1">
      <c r="A117" s="411"/>
    </row>
    <row r="118" spans="1:1" ht="12.75" customHeight="1">
      <c r="A118" s="411"/>
    </row>
    <row r="119" spans="1:1" ht="12.75" customHeight="1">
      <c r="A119" s="411"/>
    </row>
    <row r="120" spans="1:1" ht="12.75" customHeight="1">
      <c r="A120" s="411"/>
    </row>
    <row r="121" spans="1:1" ht="12.75" customHeight="1">
      <c r="A121" s="411"/>
    </row>
    <row r="122" spans="1:1" ht="12.75" customHeight="1">
      <c r="A122" s="411"/>
    </row>
    <row r="123" spans="1:1" ht="12.75" customHeight="1">
      <c r="A123" s="411"/>
    </row>
    <row r="124" spans="1:1" ht="12.75" customHeight="1">
      <c r="A124" s="411"/>
    </row>
    <row r="125" spans="1:1" ht="12.75" customHeight="1">
      <c r="A125" s="411"/>
    </row>
    <row r="126" spans="1:1" ht="12.75" customHeight="1">
      <c r="A126" s="411"/>
    </row>
    <row r="127" spans="1:1" ht="12.75" customHeight="1">
      <c r="A127" s="411"/>
    </row>
    <row r="128" spans="1:1" ht="12.75" customHeight="1">
      <c r="A128" s="411"/>
    </row>
    <row r="129" spans="1:1" ht="12.75" customHeight="1">
      <c r="A129" s="411"/>
    </row>
    <row r="130" spans="1:1" ht="12.75" customHeight="1">
      <c r="A130" s="411"/>
    </row>
    <row r="131" spans="1:1" ht="12.75" customHeight="1">
      <c r="A131" s="411"/>
    </row>
    <row r="132" spans="1:1" ht="12.75" customHeight="1">
      <c r="A132" s="411"/>
    </row>
    <row r="133" spans="1:1" ht="12.75" customHeight="1">
      <c r="A133" s="411"/>
    </row>
    <row r="134" spans="1:1" ht="12.75" customHeight="1">
      <c r="A134" s="411"/>
    </row>
    <row r="135" spans="1:1" ht="12.75" customHeight="1">
      <c r="A135" s="411"/>
    </row>
    <row r="136" spans="1:1" ht="12.75" customHeight="1">
      <c r="A136" s="411"/>
    </row>
    <row r="137" spans="1:1" ht="12.75" customHeight="1">
      <c r="A137" s="411"/>
    </row>
    <row r="138" spans="1:1" ht="12.75" customHeight="1">
      <c r="A138" s="411"/>
    </row>
    <row r="139" spans="1:1" ht="12.75" customHeight="1">
      <c r="A139" s="411"/>
    </row>
    <row r="140" spans="1:1" ht="12.75" customHeight="1">
      <c r="A140" s="411"/>
    </row>
    <row r="141" spans="1:1" ht="12.75" customHeight="1">
      <c r="A141" s="411"/>
    </row>
  </sheetData>
  <mergeCells count="7">
    <mergeCell ref="K22:L22"/>
    <mergeCell ref="D7:F7"/>
    <mergeCell ref="D8:F8"/>
    <mergeCell ref="D9:F9"/>
    <mergeCell ref="C43:F45"/>
    <mergeCell ref="C14:G16"/>
    <mergeCell ref="C37:G39"/>
  </mergeCells>
  <phoneticPr fontId="101" type="noConversion"/>
  <conditionalFormatting sqref="G8:I9 C14:G16 D19 C25:E25 G25 N25 C28:E29 G28:G29 N28:N29 J33 M33:N33 C37:G39 C43:F45">
    <cfRule type="containsBlanks" dxfId="6" priority="1">
      <formula>LEN(TRIM(C8))=0</formula>
    </cfRule>
  </conditionalFormatting>
  <dataValidations count="2">
    <dataValidation type="list" allowBlank="1" showInputMessage="1" sqref="H8:H9" xr:uid="{440BF295-96D2-40E6-85F7-6E68403BCAA0}">
      <formula1>"是,否"</formula1>
    </dataValidation>
    <dataValidation type="list" allowBlank="1" showInputMessage="1" sqref="I8:I9" xr:uid="{12CE7BC9-1283-4534-8FC0-4861D33FEB3B}">
      <formula1>"是,不适用"</formula1>
    </dataValidation>
  </dataValidations>
  <hyperlinks>
    <hyperlink ref="J2" location="汇总!A1" display="返回汇总页" xr:uid="{908FC808-85F6-40BC-9E93-1B23C3B76877}"/>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52B3D-9C16-461D-9590-73E8F6F7A03B}">
  <dimension ref="A1:DX184"/>
  <sheetViews>
    <sheetView showGridLines="0" zoomScale="70" zoomScaleNormal="70" workbookViewId="0">
      <selection activeCell="I40" sqref="I40"/>
    </sheetView>
  </sheetViews>
  <sheetFormatPr defaultColWidth="9.125" defaultRowHeight="12.75" customHeight="1" outlineLevelRow="1" outlineLevelCol="1"/>
  <cols>
    <col min="1" max="1" width="2.75" style="412" customWidth="1"/>
    <col min="2" max="2" width="6.5" style="90" customWidth="1"/>
    <col min="3" max="3" width="18.125" style="88" customWidth="1"/>
    <col min="4" max="4" width="28.125" style="88" customWidth="1"/>
    <col min="5" max="5" width="14.875" style="88" customWidth="1"/>
    <col min="6" max="6" width="17.125" style="88" customWidth="1"/>
    <col min="7" max="7" width="16.875" style="88" customWidth="1"/>
    <col min="8" max="8" width="18" style="89" customWidth="1"/>
    <col min="9" max="9" width="22.5" style="89" customWidth="1" outlineLevel="1"/>
    <col min="10" max="10" width="17.125" style="88" customWidth="1" outlineLevel="1"/>
    <col min="11" max="11" width="12.875" style="88" customWidth="1" outlineLevel="1"/>
    <col min="12" max="13" width="15.875" style="88" customWidth="1" outlineLevel="1"/>
    <col min="14" max="14" width="17.5" style="88" customWidth="1" outlineLevel="1"/>
    <col min="15" max="15" width="14.875" style="88" customWidth="1" outlineLevel="1"/>
    <col min="16" max="16" width="13.125" style="88" customWidth="1" outlineLevel="1"/>
    <col min="17" max="17" width="12.375" style="88" customWidth="1" outlineLevel="1"/>
    <col min="18" max="18" width="11.625" style="88" customWidth="1" outlineLevel="1"/>
    <col min="19" max="19" width="14.875" style="88" customWidth="1" outlineLevel="1"/>
    <col min="20" max="20" width="14.625" style="88" customWidth="1" outlineLevel="1"/>
    <col min="21" max="21" width="12.875" style="88" customWidth="1" outlineLevel="1" collapsed="1"/>
    <col min="22" max="22" width="11.5" style="88" customWidth="1" outlineLevel="1"/>
    <col min="23" max="23" width="11" style="88" customWidth="1" outlineLevel="1"/>
    <col min="24" max="24" width="11.5" style="88" customWidth="1" outlineLevel="1"/>
    <col min="25" max="25" width="12.875" style="88" customWidth="1" outlineLevel="1"/>
    <col min="26" max="26" width="12.125" style="88" customWidth="1" outlineLevel="1"/>
    <col min="27" max="27" width="12.875" style="88" customWidth="1"/>
    <col min="28" max="28" width="14.125" style="88" customWidth="1"/>
    <col min="29" max="33" width="12.875" style="88" customWidth="1"/>
    <col min="34" max="34" width="29.75" style="88" customWidth="1"/>
    <col min="35" max="35" width="12.875" style="88" customWidth="1"/>
    <col min="36" max="36" width="13.875" style="88" customWidth="1"/>
    <col min="37" max="38" width="13" style="88" customWidth="1"/>
    <col min="39" max="16384" width="9.125" style="88"/>
  </cols>
  <sheetData>
    <row r="1" spans="1:42" ht="12.75" customHeight="1">
      <c r="A1" s="438" t="s">
        <v>300</v>
      </c>
    </row>
    <row r="2" spans="1:42" ht="12.6" customHeight="1">
      <c r="H2" s="88"/>
      <c r="J2" s="3" t="s">
        <v>301</v>
      </c>
    </row>
    <row r="3" spans="1:42" s="52" customFormat="1" ht="13.5" thickBot="1">
      <c r="A3" s="413"/>
      <c r="B3" s="51"/>
      <c r="C3" s="63"/>
      <c r="D3" s="63"/>
      <c r="E3" s="63"/>
      <c r="F3" s="63"/>
      <c r="K3" s="65"/>
      <c r="L3" s="65"/>
      <c r="M3" s="65"/>
      <c r="N3" s="65"/>
      <c r="O3" s="65"/>
      <c r="P3" s="65"/>
      <c r="Q3" s="65"/>
      <c r="R3" s="65"/>
      <c r="S3" s="65"/>
      <c r="T3" s="65"/>
    </row>
    <row r="4" spans="1:42" s="52" customFormat="1" ht="18">
      <c r="A4" s="413"/>
      <c r="B4" s="51"/>
      <c r="C4" s="247" t="s">
        <v>302</v>
      </c>
      <c r="D4" s="263"/>
      <c r="E4" s="263"/>
      <c r="F4" s="263"/>
      <c r="G4" s="263"/>
      <c r="H4" s="263"/>
      <c r="I4" s="263"/>
      <c r="J4" s="264"/>
      <c r="K4" s="65"/>
      <c r="L4" s="65"/>
      <c r="M4" s="65"/>
    </row>
    <row r="5" spans="1:42" s="52" customFormat="1" ht="18">
      <c r="A5" s="413"/>
      <c r="B5" s="51"/>
      <c r="C5" s="253" t="s">
        <v>303</v>
      </c>
      <c r="D5" s="265"/>
      <c r="E5" s="265"/>
      <c r="F5" s="265"/>
      <c r="G5" s="265"/>
      <c r="H5" s="265"/>
      <c r="I5" s="265"/>
      <c r="J5" s="267"/>
      <c r="K5" s="67"/>
      <c r="L5" s="67"/>
      <c r="M5" s="67"/>
    </row>
    <row r="6" spans="1:42" s="52" customFormat="1" ht="18">
      <c r="A6" s="413"/>
      <c r="B6" s="51"/>
      <c r="C6" s="268"/>
      <c r="D6" s="269"/>
      <c r="E6" s="269"/>
      <c r="F6" s="269"/>
      <c r="G6" s="269"/>
      <c r="H6" s="269"/>
      <c r="I6" s="269"/>
      <c r="J6" s="270"/>
      <c r="K6" s="67"/>
      <c r="L6" s="67"/>
      <c r="M6" s="67"/>
    </row>
    <row r="7" spans="1:42" s="52" customFormat="1" ht="18">
      <c r="A7" s="413"/>
      <c r="B7" s="51"/>
      <c r="C7" s="579" t="s">
        <v>304</v>
      </c>
      <c r="D7" s="484" t="s">
        <v>305</v>
      </c>
      <c r="E7" s="485"/>
      <c r="F7" s="486"/>
      <c r="G7" s="580" t="s">
        <v>306</v>
      </c>
      <c r="H7" s="581" t="s">
        <v>307</v>
      </c>
      <c r="I7" s="581" t="s">
        <v>308</v>
      </c>
      <c r="J7" s="611" t="s">
        <v>309</v>
      </c>
      <c r="K7" s="152"/>
      <c r="L7" s="65"/>
      <c r="M7" s="65"/>
      <c r="N7" s="65"/>
    </row>
    <row r="8" spans="1:42" s="52" customFormat="1" ht="40.15" customHeight="1" outlineLevel="1">
      <c r="A8" s="413"/>
      <c r="B8" s="51"/>
      <c r="C8" s="612">
        <v>1</v>
      </c>
      <c r="D8" s="522" t="s">
        <v>310</v>
      </c>
      <c r="E8" s="523"/>
      <c r="F8" s="524"/>
      <c r="G8" s="583" t="s">
        <v>311</v>
      </c>
      <c r="H8" s="584" t="s">
        <v>312</v>
      </c>
      <c r="I8" s="584"/>
      <c r="J8" s="613"/>
      <c r="K8" s="67"/>
      <c r="L8" s="65"/>
      <c r="M8" s="65"/>
      <c r="N8" s="65"/>
    </row>
    <row r="9" spans="1:42" s="52" customFormat="1" ht="66.75" customHeight="1" outlineLevel="1">
      <c r="A9" s="413"/>
      <c r="B9" s="51"/>
      <c r="C9" s="612">
        <v>2</v>
      </c>
      <c r="D9" s="522" t="s">
        <v>313</v>
      </c>
      <c r="E9" s="523"/>
      <c r="F9" s="524"/>
      <c r="G9" s="583" t="s">
        <v>311</v>
      </c>
      <c r="H9" s="584"/>
      <c r="I9" s="584"/>
      <c r="J9" s="613"/>
      <c r="K9" s="67"/>
      <c r="L9" s="65"/>
      <c r="M9" s="65"/>
      <c r="N9" s="65"/>
    </row>
    <row r="10" spans="1:42" s="52" customFormat="1" ht="18" outlineLevel="1">
      <c r="A10" s="413"/>
      <c r="B10" s="51"/>
      <c r="C10" s="612">
        <v>3</v>
      </c>
      <c r="D10" s="522" t="s">
        <v>314</v>
      </c>
      <c r="E10" s="523"/>
      <c r="F10" s="524"/>
      <c r="G10" s="583" t="s">
        <v>315</v>
      </c>
      <c r="H10" s="584"/>
      <c r="I10" s="584"/>
      <c r="J10" s="613"/>
      <c r="K10" s="67"/>
      <c r="L10" s="65"/>
      <c r="M10" s="65"/>
      <c r="N10" s="65"/>
    </row>
    <row r="11" spans="1:42" s="52" customFormat="1" ht="18.75" thickBot="1">
      <c r="A11" s="413"/>
      <c r="B11" s="51"/>
      <c r="C11" s="614"/>
      <c r="D11" s="615"/>
      <c r="E11" s="615"/>
      <c r="F11" s="615"/>
      <c r="G11" s="616"/>
      <c r="H11" s="616"/>
      <c r="I11" s="616"/>
      <c r="J11" s="390"/>
      <c r="K11" s="65"/>
      <c r="L11" s="65"/>
      <c r="M11" s="65"/>
      <c r="N11" s="65"/>
    </row>
    <row r="12" spans="1:42" s="52" customFormat="1">
      <c r="A12" s="413"/>
      <c r="B12" s="51"/>
      <c r="C12" s="242"/>
      <c r="D12" s="72"/>
      <c r="E12" s="72"/>
      <c r="F12" s="72"/>
      <c r="G12" s="65"/>
      <c r="H12" s="64"/>
      <c r="I12" s="65"/>
      <c r="J12" s="65"/>
      <c r="K12" s="271"/>
      <c r="L12" s="65"/>
      <c r="M12" s="65"/>
      <c r="N12" s="65"/>
      <c r="O12" s="65"/>
      <c r="P12" s="65"/>
      <c r="Q12" s="65"/>
      <c r="R12" s="65"/>
      <c r="S12" s="65"/>
      <c r="T12" s="73"/>
    </row>
    <row r="13" spans="1:42" s="52" customFormat="1">
      <c r="A13" s="413"/>
      <c r="B13" s="51"/>
      <c r="C13" s="72"/>
      <c r="D13" s="72"/>
      <c r="E13" s="72"/>
      <c r="F13" s="72"/>
      <c r="G13" s="65"/>
      <c r="H13" s="64"/>
      <c r="I13" s="65"/>
      <c r="J13" s="65"/>
      <c r="K13" s="65"/>
      <c r="L13" s="65"/>
      <c r="M13" s="65"/>
      <c r="N13" s="65"/>
      <c r="O13" s="65"/>
      <c r="P13" s="65"/>
      <c r="Q13" s="65"/>
      <c r="R13" s="73"/>
    </row>
    <row r="14" spans="1:42" s="52" customFormat="1" ht="22.15" customHeight="1">
      <c r="A14" s="413"/>
      <c r="B14" s="51"/>
      <c r="D14" s="88"/>
      <c r="E14" s="88"/>
      <c r="F14" s="88"/>
      <c r="G14" s="88"/>
      <c r="H14" s="89"/>
      <c r="I14" s="89"/>
      <c r="J14" s="88"/>
      <c r="K14" s="88"/>
      <c r="L14" s="88"/>
      <c r="M14" s="88"/>
      <c r="N14" s="88"/>
      <c r="O14" s="88"/>
      <c r="P14" s="88"/>
      <c r="Q14" s="88"/>
      <c r="R14" s="88"/>
      <c r="S14" s="88"/>
      <c r="T14" s="88"/>
    </row>
    <row r="15" spans="1:42" s="174" customFormat="1">
      <c r="A15" s="414"/>
      <c r="B15" s="13"/>
      <c r="C15" s="169" t="s">
        <v>316</v>
      </c>
      <c r="D15" s="2"/>
      <c r="E15" s="2"/>
      <c r="F15" s="2"/>
      <c r="G15" s="2"/>
      <c r="H15" s="2"/>
      <c r="I15" s="170"/>
      <c r="J15" s="2"/>
      <c r="K15" s="2"/>
      <c r="L15" s="171"/>
      <c r="M15" s="171"/>
      <c r="N15" s="2"/>
      <c r="O15" s="2"/>
      <c r="P15" s="2"/>
      <c r="Q15" s="2"/>
      <c r="R15" s="2"/>
      <c r="S15" s="172"/>
      <c r="T15" s="2"/>
      <c r="U15" s="2"/>
      <c r="V15" s="170"/>
      <c r="W15" s="170"/>
      <c r="X15" s="2"/>
      <c r="Y15" s="2"/>
      <c r="Z15" s="2"/>
      <c r="AA15" s="2"/>
      <c r="AB15" s="2"/>
      <c r="AC15" s="2"/>
      <c r="AD15" s="2"/>
      <c r="AE15" s="2"/>
      <c r="AF15" s="2"/>
      <c r="AG15" s="2"/>
      <c r="AH15" s="2"/>
      <c r="AI15" s="2"/>
      <c r="AJ15" s="2"/>
      <c r="AK15" s="2"/>
      <c r="AL15" s="2"/>
      <c r="AM15" s="2"/>
      <c r="AN15" s="2"/>
      <c r="AO15" s="2"/>
      <c r="AP15" s="173"/>
    </row>
    <row r="16" spans="1:42" s="178" customFormat="1" ht="18">
      <c r="A16" s="330"/>
      <c r="B16" s="175" t="s">
        <v>311</v>
      </c>
      <c r="C16" s="259" t="s">
        <v>317</v>
      </c>
      <c r="D16" s="240"/>
      <c r="E16" s="240"/>
      <c r="F16" s="240"/>
      <c r="G16" s="241"/>
      <c r="H16" s="328"/>
      <c r="I16" s="328"/>
      <c r="J16" s="242"/>
      <c r="K16" s="242"/>
      <c r="L16" s="242"/>
      <c r="M16" s="2"/>
      <c r="N16" s="177"/>
      <c r="O16" s="176"/>
      <c r="P16" s="242"/>
      <c r="Q16" s="242"/>
      <c r="R16" s="242"/>
      <c r="T16" s="177"/>
      <c r="U16" s="176"/>
      <c r="V16" s="242"/>
      <c r="W16" s="242"/>
      <c r="X16" s="242"/>
      <c r="Z16" s="177"/>
      <c r="AA16" s="176"/>
      <c r="AB16" s="177"/>
      <c r="AC16" s="2"/>
      <c r="AD16" s="177"/>
      <c r="AE16" s="2"/>
      <c r="AF16" s="2"/>
      <c r="AG16" s="2"/>
      <c r="AH16" s="2"/>
      <c r="AI16" s="2"/>
      <c r="AJ16" s="2"/>
      <c r="AK16" s="2"/>
      <c r="AL16" s="2"/>
      <c r="AM16" s="2"/>
      <c r="AN16" s="2"/>
      <c r="AO16" s="2"/>
      <c r="AP16" s="2"/>
    </row>
    <row r="17" spans="1:128" s="178" customFormat="1">
      <c r="A17" s="330"/>
      <c r="C17" s="329"/>
      <c r="D17" s="310"/>
      <c r="AF17" s="177"/>
      <c r="AG17" s="177"/>
      <c r="AM17" s="177"/>
      <c r="AN17" s="2"/>
      <c r="AO17" s="2"/>
      <c r="AP17" s="2"/>
      <c r="AQ17" s="2"/>
      <c r="AR17" s="2"/>
      <c r="AS17" s="2"/>
      <c r="AT17" s="2"/>
      <c r="AU17" s="2"/>
      <c r="AV17" s="2"/>
      <c r="CV17" s="307"/>
      <c r="CW17" s="307"/>
      <c r="CX17" s="307"/>
      <c r="CY17" s="308"/>
      <c r="CZ17" s="308"/>
      <c r="DA17" s="308"/>
      <c r="DB17" s="308"/>
      <c r="DC17" s="308"/>
      <c r="DD17" s="308"/>
      <c r="DE17" s="308"/>
      <c r="DF17" s="308"/>
      <c r="DG17" s="307"/>
      <c r="DH17" s="308"/>
      <c r="DI17" s="308"/>
      <c r="DJ17" s="308"/>
      <c r="DK17" s="308"/>
      <c r="DL17" s="308"/>
      <c r="DM17" s="307"/>
      <c r="DN17" s="307"/>
      <c r="DO17" s="307"/>
      <c r="DP17" s="307"/>
      <c r="DQ17" s="307"/>
      <c r="DR17" s="307"/>
      <c r="DS17" s="307"/>
      <c r="DT17" s="307"/>
      <c r="DU17" s="307"/>
      <c r="DV17" s="309"/>
      <c r="DW17" s="307"/>
      <c r="DX17" s="307"/>
    </row>
    <row r="18" spans="1:128" s="178" customFormat="1" ht="17.100000000000001" customHeight="1" thickBot="1">
      <c r="A18" s="330"/>
      <c r="C18" s="329"/>
      <c r="D18" s="310"/>
      <c r="E18" s="177" t="s">
        <v>265</v>
      </c>
      <c r="F18" s="177" t="s">
        <v>266</v>
      </c>
      <c r="G18" s="330" t="s">
        <v>318</v>
      </c>
      <c r="H18" s="177"/>
      <c r="I18" s="177"/>
      <c r="J18" s="177"/>
      <c r="K18" s="177"/>
      <c r="L18" s="177" t="s">
        <v>268</v>
      </c>
      <c r="M18" s="177" t="s">
        <v>319</v>
      </c>
      <c r="N18" s="177" t="s">
        <v>320</v>
      </c>
      <c r="O18" s="177" t="s">
        <v>321</v>
      </c>
      <c r="P18" s="177" t="s">
        <v>322</v>
      </c>
      <c r="Q18" s="177"/>
      <c r="R18" s="177" t="s">
        <v>323</v>
      </c>
      <c r="S18" s="177" t="s">
        <v>324</v>
      </c>
      <c r="T18" s="177" t="s">
        <v>325</v>
      </c>
      <c r="U18" s="177"/>
      <c r="V18" s="177"/>
      <c r="W18" s="177"/>
      <c r="X18" s="177" t="s">
        <v>326</v>
      </c>
      <c r="Y18" s="177" t="s">
        <v>327</v>
      </c>
      <c r="Z18" s="177" t="s">
        <v>328</v>
      </c>
      <c r="AA18" s="177" t="s">
        <v>329</v>
      </c>
      <c r="AB18" s="177" t="s">
        <v>330</v>
      </c>
      <c r="AC18" s="177" t="s">
        <v>331</v>
      </c>
      <c r="AD18" s="177" t="s">
        <v>332</v>
      </c>
      <c r="AE18" s="177" t="s">
        <v>333</v>
      </c>
      <c r="AF18" s="271"/>
      <c r="AG18" s="271"/>
      <c r="AH18" s="177" t="s">
        <v>334</v>
      </c>
      <c r="AI18" s="177" t="s">
        <v>335</v>
      </c>
      <c r="AJ18" s="177" t="s">
        <v>336</v>
      </c>
      <c r="AK18" s="177" t="s">
        <v>337</v>
      </c>
      <c r="AL18" s="177" t="s">
        <v>338</v>
      </c>
      <c r="AM18" s="177"/>
      <c r="AN18" s="2"/>
      <c r="AO18" s="2"/>
      <c r="AP18" s="2"/>
      <c r="AQ18" s="2"/>
      <c r="AR18" s="2"/>
      <c r="AS18" s="2"/>
      <c r="AT18" s="2"/>
      <c r="AU18" s="2"/>
      <c r="AV18" s="2"/>
      <c r="CV18" s="307"/>
      <c r="CW18" s="307"/>
      <c r="CX18" s="307"/>
      <c r="CY18" s="308"/>
      <c r="CZ18" s="308"/>
      <c r="DA18" s="308"/>
      <c r="DB18" s="308"/>
      <c r="DC18" s="308"/>
      <c r="DD18" s="308"/>
      <c r="DE18" s="308"/>
      <c r="DF18" s="308"/>
      <c r="DG18" s="307"/>
      <c r="DH18" s="308"/>
      <c r="DI18" s="308"/>
      <c r="DJ18" s="308"/>
      <c r="DK18" s="308"/>
      <c r="DL18" s="308"/>
      <c r="DM18" s="307"/>
      <c r="DN18" s="307"/>
      <c r="DO18" s="307"/>
      <c r="DP18" s="307"/>
      <c r="DQ18" s="307"/>
      <c r="DR18" s="307"/>
      <c r="DS18" s="307"/>
      <c r="DT18" s="307"/>
      <c r="DU18" s="307"/>
      <c r="DV18" s="309"/>
      <c r="DW18" s="307"/>
      <c r="DX18" s="307"/>
    </row>
    <row r="19" spans="1:128" s="178" customFormat="1" ht="31.15" customHeight="1">
      <c r="A19" s="330"/>
      <c r="B19" s="179"/>
      <c r="C19" s="180"/>
      <c r="D19" s="181"/>
      <c r="E19" s="181"/>
      <c r="F19" s="181"/>
      <c r="G19" s="163"/>
      <c r="H19" s="182"/>
      <c r="I19" s="182"/>
      <c r="J19" s="183" t="s">
        <v>339</v>
      </c>
      <c r="K19" s="182"/>
      <c r="L19" s="182"/>
      <c r="M19" s="182"/>
      <c r="N19" s="182"/>
      <c r="O19" s="163"/>
      <c r="P19" s="182"/>
      <c r="Q19" s="184" t="s">
        <v>340</v>
      </c>
      <c r="R19" s="182"/>
      <c r="S19" s="182"/>
      <c r="T19" s="182"/>
      <c r="U19" s="163"/>
      <c r="V19" s="182"/>
      <c r="W19" s="183" t="s">
        <v>341</v>
      </c>
      <c r="X19" s="182"/>
      <c r="Y19" s="182"/>
      <c r="Z19" s="182"/>
      <c r="AA19" s="163"/>
      <c r="AB19" s="185"/>
      <c r="AC19" s="186" t="s">
        <v>342</v>
      </c>
      <c r="AD19" s="185"/>
      <c r="AE19" s="185"/>
      <c r="AF19" s="185"/>
      <c r="AG19" s="162"/>
      <c r="AH19" s="163"/>
      <c r="AI19" s="378"/>
      <c r="AJ19" s="378" t="s">
        <v>343</v>
      </c>
      <c r="AK19" s="378"/>
      <c r="AL19" s="378"/>
      <c r="AM19" s="379"/>
    </row>
    <row r="20" spans="1:128" s="178" customFormat="1" ht="25.5">
      <c r="A20" s="330"/>
      <c r="B20" s="179"/>
      <c r="C20" s="187" t="s">
        <v>344</v>
      </c>
      <c r="D20" s="188" t="s">
        <v>345</v>
      </c>
      <c r="E20" s="188" t="s">
        <v>346</v>
      </c>
      <c r="F20" s="188" t="s">
        <v>347</v>
      </c>
      <c r="G20" s="318" t="s">
        <v>348</v>
      </c>
      <c r="H20" s="617" t="s">
        <v>349</v>
      </c>
      <c r="I20" s="618" t="s">
        <v>350</v>
      </c>
      <c r="J20" s="619" t="s">
        <v>351</v>
      </c>
      <c r="K20" s="619" t="s">
        <v>352</v>
      </c>
      <c r="L20" s="620" t="s">
        <v>353</v>
      </c>
      <c r="M20" s="617" t="s">
        <v>354</v>
      </c>
      <c r="N20" s="620" t="s">
        <v>355</v>
      </c>
      <c r="O20" s="318" t="s">
        <v>348</v>
      </c>
      <c r="P20" s="461" t="s">
        <v>356</v>
      </c>
      <c r="Q20" s="461" t="s">
        <v>357</v>
      </c>
      <c r="R20" s="461" t="s">
        <v>353</v>
      </c>
      <c r="S20" s="189" t="s">
        <v>354</v>
      </c>
      <c r="T20" s="461" t="s">
        <v>355</v>
      </c>
      <c r="U20" s="318" t="s">
        <v>348</v>
      </c>
      <c r="V20" s="461" t="s">
        <v>349</v>
      </c>
      <c r="W20" s="461" t="s">
        <v>350</v>
      </c>
      <c r="X20" s="461" t="s">
        <v>353</v>
      </c>
      <c r="Y20" s="189" t="s">
        <v>354</v>
      </c>
      <c r="Z20" s="461" t="s">
        <v>355</v>
      </c>
      <c r="AA20" s="318" t="s">
        <v>348</v>
      </c>
      <c r="AB20" s="461" t="s">
        <v>353</v>
      </c>
      <c r="AC20" s="189" t="s">
        <v>354</v>
      </c>
      <c r="AD20" s="461" t="s">
        <v>355</v>
      </c>
      <c r="AE20" s="520" t="s">
        <v>358</v>
      </c>
      <c r="AF20" s="521"/>
      <c r="AG20" s="164" t="s">
        <v>359</v>
      </c>
      <c r="AH20" s="165" t="s">
        <v>360</v>
      </c>
      <c r="AI20" s="166" t="s">
        <v>361</v>
      </c>
      <c r="AJ20" s="166" t="s">
        <v>362</v>
      </c>
      <c r="AK20" s="166" t="s">
        <v>363</v>
      </c>
      <c r="AL20" s="167" t="s">
        <v>364</v>
      </c>
      <c r="AM20" s="283" t="s">
        <v>365</v>
      </c>
    </row>
    <row r="21" spans="1:128" s="174" customFormat="1">
      <c r="A21" s="414"/>
      <c r="B21" s="190"/>
      <c r="C21" s="191"/>
      <c r="D21" s="168"/>
      <c r="E21" s="192"/>
      <c r="F21" s="168"/>
      <c r="G21" s="621"/>
      <c r="H21" s="622"/>
      <c r="I21" s="622"/>
      <c r="J21" s="623"/>
      <c r="K21" s="624"/>
      <c r="L21" s="621"/>
      <c r="M21" s="625"/>
      <c r="N21" s="621">
        <f>L21+M21</f>
        <v>0</v>
      </c>
      <c r="O21" s="621"/>
      <c r="P21" s="625"/>
      <c r="Q21" s="625"/>
      <c r="R21" s="621"/>
      <c r="S21" s="625"/>
      <c r="T21" s="621">
        <f>R21+S21</f>
        <v>0</v>
      </c>
      <c r="U21" s="621"/>
      <c r="V21" s="622"/>
      <c r="W21" s="622"/>
      <c r="X21" s="621"/>
      <c r="Y21" s="625"/>
      <c r="Z21" s="621">
        <f>X21+Y21</f>
        <v>0</v>
      </c>
      <c r="AA21" s="621">
        <f>G21-O21</f>
        <v>0</v>
      </c>
      <c r="AB21" s="625">
        <f>L21-R21</f>
        <v>0</v>
      </c>
      <c r="AC21" s="625"/>
      <c r="AD21" s="625">
        <f>AB21+AC21</f>
        <v>0</v>
      </c>
      <c r="AE21" s="625">
        <f>AD21-AA21</f>
        <v>0</v>
      </c>
      <c r="AF21" s="626">
        <f>IF(AA21&lt;&gt;0,AE21/AA21,1)</f>
        <v>1</v>
      </c>
      <c r="AG21" s="627"/>
      <c r="AH21" s="628" t="str">
        <f>IFERROR(EOMONTH(E21,(F21-MONTH(1))),"")</f>
        <v/>
      </c>
      <c r="AI21" s="629" cm="1">
        <f t="array" ref="AI21">IFERROR(_xlfn.IFS(YEAR(E21)&lt;YEAR(汇总!$D$5),_xlfn.IFS(YEAR(AH21)&gt;YEAR(汇总!$D$5),MONTH(汇总!$D$5),YEAR(AH21)=YEAR(汇总!$D$5),IF(MONTH(AH21)&gt;=MONTH(汇总!$D$5),MONTH(汇总!$D$5),MONTH(AH21)),YEAR(AH21)&lt;YEAR(汇总!$D$5),0),(YEAR(E21)=YEAR(汇总!$D$5)),MONTH(汇总!$D$5)+1-(MONTH(E21)),YEAR(E21)&gt;YEAR(汇总!$D$5),0),0)</f>
        <v>0</v>
      </c>
      <c r="AJ21" s="630">
        <f>IF(F21&lt;&gt;0,L21/F21,0)</f>
        <v>0</v>
      </c>
      <c r="AK21" s="631">
        <f>AI21*AJ21</f>
        <v>0</v>
      </c>
      <c r="AL21" s="632">
        <f>P21-AK21</f>
        <v>0</v>
      </c>
      <c r="AM21" s="633"/>
      <c r="AN21" s="193"/>
      <c r="AO21" s="193"/>
      <c r="AP21" s="193"/>
    </row>
    <row r="22" spans="1:128" s="174" customFormat="1">
      <c r="A22" s="414"/>
      <c r="B22" s="190"/>
      <c r="C22" s="634"/>
      <c r="D22" s="168"/>
      <c r="E22" s="192"/>
      <c r="F22" s="168"/>
      <c r="G22" s="621"/>
      <c r="H22" s="622"/>
      <c r="I22" s="622"/>
      <c r="J22" s="623"/>
      <c r="K22" s="624"/>
      <c r="L22" s="621"/>
      <c r="M22" s="625"/>
      <c r="N22" s="635">
        <f>L22+M22</f>
        <v>0</v>
      </c>
      <c r="O22" s="635"/>
      <c r="P22" s="625"/>
      <c r="Q22" s="625"/>
      <c r="R22" s="635"/>
      <c r="S22" s="625"/>
      <c r="T22" s="635">
        <f>R22+S22</f>
        <v>0</v>
      </c>
      <c r="U22" s="635"/>
      <c r="V22" s="622"/>
      <c r="W22" s="622"/>
      <c r="X22" s="635"/>
      <c r="Y22" s="625"/>
      <c r="Z22" s="635">
        <f>X22+Y22</f>
        <v>0</v>
      </c>
      <c r="AA22" s="635">
        <f>G22-O22</f>
        <v>0</v>
      </c>
      <c r="AB22" s="625">
        <f>L22-R22</f>
        <v>0</v>
      </c>
      <c r="AC22" s="625"/>
      <c r="AD22" s="625">
        <f>AB22+AC22</f>
        <v>0</v>
      </c>
      <c r="AE22" s="625">
        <f>AD22-AA22</f>
        <v>0</v>
      </c>
      <c r="AF22" s="626">
        <f t="shared" ref="AF22:AF27" si="0">IF(AA22&lt;&gt;0,AE22/AA22,1)</f>
        <v>1</v>
      </c>
      <c r="AG22" s="627"/>
      <c r="AH22" s="628" t="str">
        <f>IFERROR(EOMONTH(E22,(F22-MONTH(1))),"")</f>
        <v/>
      </c>
      <c r="AI22" s="629" cm="1">
        <f t="array" ref="AI22">IFERROR(_xlfn.IFS(YEAR(E22)&lt;YEAR(汇总!$D$5),_xlfn.IFS(YEAR(AH22)&gt;YEAR(汇总!$D$5),MONTH(汇总!$D$5),YEAR(AH22)=YEAR(汇总!$D$5),IF(MONTH(AH22)&gt;=MONTH(汇总!$D$5),MONTH(汇总!$D$5),MONTH(AH22)),YEAR(AH22)&lt;YEAR(汇总!$D$5),0),(YEAR(E22)=YEAR(汇总!$D$5)),MONTH(汇总!$D$5)+1-(MONTH(E22)),YEAR(E22)&gt;YEAR(汇总!$D$5),0),0)</f>
        <v>0</v>
      </c>
      <c r="AJ22" s="630">
        <f>IF(F22&lt;&gt;0,L22/F22,0)</f>
        <v>0</v>
      </c>
      <c r="AK22" s="631">
        <f>AI22*AJ22</f>
        <v>0</v>
      </c>
      <c r="AL22" s="632">
        <f>P22-AK22</f>
        <v>0</v>
      </c>
      <c r="AM22" s="633"/>
      <c r="AN22" s="193"/>
      <c r="AO22" s="193"/>
      <c r="AP22" s="193"/>
    </row>
    <row r="23" spans="1:128" s="174" customFormat="1">
      <c r="A23" s="414"/>
      <c r="B23" s="190"/>
      <c r="C23" s="634"/>
      <c r="D23" s="623"/>
      <c r="E23" s="636"/>
      <c r="F23" s="623"/>
      <c r="G23" s="319"/>
      <c r="H23" s="320"/>
      <c r="I23" s="320"/>
      <c r="J23" s="321"/>
      <c r="K23" s="322"/>
      <c r="L23" s="319"/>
      <c r="M23" s="323"/>
      <c r="N23" s="635">
        <f>L23+M23</f>
        <v>0</v>
      </c>
      <c r="O23" s="635"/>
      <c r="P23" s="625"/>
      <c r="Q23" s="625"/>
      <c r="R23" s="635"/>
      <c r="S23" s="625"/>
      <c r="T23" s="635">
        <f t="shared" ref="T23:T27" si="1">R23+S23</f>
        <v>0</v>
      </c>
      <c r="U23" s="635"/>
      <c r="V23" s="622"/>
      <c r="W23" s="622"/>
      <c r="X23" s="635"/>
      <c r="Y23" s="625"/>
      <c r="Z23" s="635">
        <f t="shared" ref="Z23:Z27" si="2">X23+Y23</f>
        <v>0</v>
      </c>
      <c r="AA23" s="635">
        <f>G23-O23</f>
        <v>0</v>
      </c>
      <c r="AB23" s="625">
        <f>L23-R23</f>
        <v>0</v>
      </c>
      <c r="AC23" s="625"/>
      <c r="AD23" s="625">
        <f t="shared" ref="AD23:AD27" si="3">AB23+AC23</f>
        <v>0</v>
      </c>
      <c r="AE23" s="625">
        <f>AD23-AA23</f>
        <v>0</v>
      </c>
      <c r="AF23" s="626">
        <f t="shared" si="0"/>
        <v>1</v>
      </c>
      <c r="AG23" s="627"/>
      <c r="AH23" s="628" t="str">
        <f>IFERROR(EOMONTH(E23,(F23-MONTH(1))),"")</f>
        <v/>
      </c>
      <c r="AI23" s="629" cm="1">
        <f t="array" ref="AI23">IFERROR(_xlfn.IFS(YEAR(E23)&lt;YEAR(汇总!$D$5),_xlfn.IFS(YEAR(AH23)&gt;YEAR(汇总!$D$5),MONTH(汇总!$D$5),YEAR(AH23)=YEAR(汇总!$D$5),IF(MONTH(AH23)&gt;=MONTH(汇总!$D$5),MONTH(汇总!$D$5),MONTH(AH23)),YEAR(AH23)&lt;YEAR(汇总!$D$5),0),(YEAR(E23)=YEAR(汇总!$D$5)),MONTH(汇总!$D$5)+1-(MONTH(E23)),YEAR(E23)&gt;YEAR(汇总!$D$5),0),0)</f>
        <v>0</v>
      </c>
      <c r="AJ23" s="630">
        <f>IF(F23&lt;&gt;0,L23/F23,0)</f>
        <v>0</v>
      </c>
      <c r="AK23" s="631">
        <f>AI23*AJ23</f>
        <v>0</v>
      </c>
      <c r="AL23" s="632">
        <f>P23-AK23</f>
        <v>0</v>
      </c>
      <c r="AM23" s="633"/>
      <c r="AN23" s="193"/>
      <c r="AO23" s="193"/>
      <c r="AP23" s="193"/>
    </row>
    <row r="24" spans="1:128" s="174" customFormat="1">
      <c r="A24" s="414"/>
      <c r="B24" s="190"/>
      <c r="C24" s="634"/>
      <c r="D24" s="623"/>
      <c r="E24" s="636"/>
      <c r="F24" s="623"/>
      <c r="G24" s="319"/>
      <c r="H24" s="320"/>
      <c r="I24" s="320"/>
      <c r="J24" s="321"/>
      <c r="K24" s="322"/>
      <c r="L24" s="319"/>
      <c r="M24" s="323"/>
      <c r="N24" s="635">
        <f t="shared" ref="N24:N27" si="4">L24+M24</f>
        <v>0</v>
      </c>
      <c r="O24" s="635"/>
      <c r="P24" s="625"/>
      <c r="Q24" s="625"/>
      <c r="R24" s="635"/>
      <c r="S24" s="625"/>
      <c r="T24" s="635">
        <f t="shared" si="1"/>
        <v>0</v>
      </c>
      <c r="U24" s="635"/>
      <c r="V24" s="622"/>
      <c r="W24" s="622"/>
      <c r="X24" s="635"/>
      <c r="Y24" s="625"/>
      <c r="Z24" s="635">
        <f t="shared" si="2"/>
        <v>0</v>
      </c>
      <c r="AA24" s="635">
        <f t="shared" ref="AA24:AA27" si="5">G24-O24</f>
        <v>0</v>
      </c>
      <c r="AB24" s="625">
        <f t="shared" ref="AB24:AB27" si="6">L24-R24</f>
        <v>0</v>
      </c>
      <c r="AC24" s="625"/>
      <c r="AD24" s="625">
        <f>AB24+AC24</f>
        <v>0</v>
      </c>
      <c r="AE24" s="625">
        <f t="shared" ref="AE24:AE27" si="7">AD24-AA24</f>
        <v>0</v>
      </c>
      <c r="AF24" s="626">
        <f t="shared" si="0"/>
        <v>1</v>
      </c>
      <c r="AG24" s="627"/>
      <c r="AH24" s="628" t="str">
        <f t="shared" ref="AH24:AH26" si="8">IFERROR(EOMONTH(E24,(F24-MONTH(1))),"")</f>
        <v/>
      </c>
      <c r="AI24" s="629" cm="1">
        <f t="array" ref="AI24">IFERROR(_xlfn.IFS(YEAR(E24)&lt;YEAR(汇总!$D$5),_xlfn.IFS(YEAR(AH24)&gt;YEAR(汇总!$D$5),MONTH(汇总!$D$5),YEAR(AH24)=YEAR(汇总!$D$5),IF(MONTH(AH24)&gt;=MONTH(汇总!$D$5),MONTH(汇总!$D$5),MONTH(AH24)),YEAR(AH24)&lt;YEAR(汇总!$D$5),0),(YEAR(E24)=YEAR(汇总!$D$5)),MONTH(汇总!$D$5)+1-(MONTH(E24)),YEAR(E24)&gt;YEAR(汇总!$D$5),0),0)</f>
        <v>0</v>
      </c>
      <c r="AJ24" s="630">
        <f t="shared" ref="AJ24:AJ27" si="9">IF(F24&lt;&gt;0,L24/F24,0)</f>
        <v>0</v>
      </c>
      <c r="AK24" s="631">
        <f>AI24*AJ24</f>
        <v>0</v>
      </c>
      <c r="AL24" s="632">
        <f t="shared" ref="AL24:AL27" si="10">P24-AK24</f>
        <v>0</v>
      </c>
      <c r="AM24" s="633"/>
      <c r="AN24" s="193"/>
      <c r="AO24" s="193"/>
      <c r="AP24" s="193"/>
    </row>
    <row r="25" spans="1:128" s="174" customFormat="1">
      <c r="A25" s="414"/>
      <c r="B25" s="190"/>
      <c r="C25" s="634"/>
      <c r="D25" s="623"/>
      <c r="E25" s="636"/>
      <c r="F25" s="623"/>
      <c r="G25" s="319"/>
      <c r="H25" s="320"/>
      <c r="I25" s="320"/>
      <c r="J25" s="321"/>
      <c r="K25" s="322"/>
      <c r="L25" s="319"/>
      <c r="M25" s="323"/>
      <c r="N25" s="635">
        <f t="shared" si="4"/>
        <v>0</v>
      </c>
      <c r="O25" s="635"/>
      <c r="P25" s="625"/>
      <c r="Q25" s="625"/>
      <c r="R25" s="635"/>
      <c r="S25" s="625"/>
      <c r="T25" s="635">
        <f t="shared" si="1"/>
        <v>0</v>
      </c>
      <c r="U25" s="635"/>
      <c r="V25" s="622"/>
      <c r="W25" s="622"/>
      <c r="X25" s="635"/>
      <c r="Y25" s="625"/>
      <c r="Z25" s="635">
        <f t="shared" si="2"/>
        <v>0</v>
      </c>
      <c r="AA25" s="635">
        <f t="shared" si="5"/>
        <v>0</v>
      </c>
      <c r="AB25" s="625">
        <f t="shared" si="6"/>
        <v>0</v>
      </c>
      <c r="AC25" s="625"/>
      <c r="AD25" s="625">
        <f t="shared" si="3"/>
        <v>0</v>
      </c>
      <c r="AE25" s="625">
        <f t="shared" si="7"/>
        <v>0</v>
      </c>
      <c r="AF25" s="626">
        <f t="shared" si="0"/>
        <v>1</v>
      </c>
      <c r="AG25" s="627"/>
      <c r="AH25" s="628" t="str">
        <f t="shared" si="8"/>
        <v/>
      </c>
      <c r="AI25" s="629" cm="1">
        <f t="array" ref="AI25">IFERROR(_xlfn.IFS(YEAR(E25)&lt;YEAR(汇总!$D$5),_xlfn.IFS(YEAR(AH25)&gt;YEAR(汇总!$D$5),MONTH(汇总!$D$5),YEAR(AH25)=YEAR(汇总!$D$5),IF(MONTH(AH25)&gt;=MONTH(汇总!$D$5),MONTH(汇总!$D$5),MONTH(AH25)),YEAR(AH25)&lt;YEAR(汇总!$D$5),0),(YEAR(E25)=YEAR(汇总!$D$5)),MONTH(汇总!$D$5)+1-(MONTH(E25)),YEAR(E25)&gt;YEAR(汇总!$D$5),0),0)</f>
        <v>0</v>
      </c>
      <c r="AJ25" s="630">
        <f t="shared" si="9"/>
        <v>0</v>
      </c>
      <c r="AK25" s="631">
        <f t="shared" ref="AK25:AK27" si="11">AI25*AJ25</f>
        <v>0</v>
      </c>
      <c r="AL25" s="632">
        <f t="shared" si="10"/>
        <v>0</v>
      </c>
      <c r="AM25" s="633"/>
      <c r="AN25" s="193"/>
      <c r="AO25" s="193"/>
      <c r="AP25" s="193"/>
    </row>
    <row r="26" spans="1:128" s="174" customFormat="1">
      <c r="A26" s="414"/>
      <c r="B26" s="190"/>
      <c r="C26" s="634"/>
      <c r="D26" s="623"/>
      <c r="E26" s="636"/>
      <c r="F26" s="623"/>
      <c r="G26" s="319"/>
      <c r="H26" s="320"/>
      <c r="I26" s="320"/>
      <c r="J26" s="321"/>
      <c r="K26" s="322"/>
      <c r="L26" s="319"/>
      <c r="M26" s="323"/>
      <c r="N26" s="635">
        <f t="shared" si="4"/>
        <v>0</v>
      </c>
      <c r="O26" s="635"/>
      <c r="P26" s="625"/>
      <c r="Q26" s="625"/>
      <c r="R26" s="635"/>
      <c r="S26" s="625"/>
      <c r="T26" s="635">
        <f t="shared" si="1"/>
        <v>0</v>
      </c>
      <c r="U26" s="635"/>
      <c r="V26" s="622"/>
      <c r="W26" s="622"/>
      <c r="X26" s="635"/>
      <c r="Y26" s="625"/>
      <c r="Z26" s="635">
        <f t="shared" si="2"/>
        <v>0</v>
      </c>
      <c r="AA26" s="635">
        <f t="shared" si="5"/>
        <v>0</v>
      </c>
      <c r="AB26" s="625">
        <f t="shared" si="6"/>
        <v>0</v>
      </c>
      <c r="AC26" s="625"/>
      <c r="AD26" s="625">
        <f t="shared" si="3"/>
        <v>0</v>
      </c>
      <c r="AE26" s="625">
        <f t="shared" si="7"/>
        <v>0</v>
      </c>
      <c r="AF26" s="626">
        <f t="shared" si="0"/>
        <v>1</v>
      </c>
      <c r="AG26" s="627"/>
      <c r="AH26" s="628" t="str">
        <f t="shared" si="8"/>
        <v/>
      </c>
      <c r="AI26" s="629" cm="1">
        <f t="array" ref="AI26">IFERROR(_xlfn.IFS(YEAR(E26)&lt;YEAR(汇总!$D$5),_xlfn.IFS(YEAR(AH26)&gt;YEAR(汇总!$D$5),MONTH(汇总!$D$5),YEAR(AH26)=YEAR(汇总!$D$5),IF(MONTH(AH26)&gt;=MONTH(汇总!$D$5),MONTH(汇总!$D$5),MONTH(AH26)),YEAR(AH26)&lt;YEAR(汇总!$D$5),0),(YEAR(E26)=YEAR(汇总!$D$5)),MONTH(汇总!$D$5)+1-(MONTH(E26)),YEAR(E26)&gt;YEAR(汇总!$D$5),0),0)</f>
        <v>0</v>
      </c>
      <c r="AJ26" s="630">
        <f t="shared" si="9"/>
        <v>0</v>
      </c>
      <c r="AK26" s="631">
        <f t="shared" si="11"/>
        <v>0</v>
      </c>
      <c r="AL26" s="632">
        <f t="shared" si="10"/>
        <v>0</v>
      </c>
      <c r="AM26" s="633"/>
      <c r="AN26" s="193"/>
      <c r="AO26" s="193"/>
      <c r="AP26" s="193"/>
    </row>
    <row r="27" spans="1:128" s="174" customFormat="1" ht="13.5" thickBot="1">
      <c r="A27" s="414"/>
      <c r="B27" s="190"/>
      <c r="C27" s="637"/>
      <c r="D27" s="638"/>
      <c r="E27" s="639"/>
      <c r="F27" s="638"/>
      <c r="G27" s="640"/>
      <c r="H27" s="641"/>
      <c r="I27" s="641"/>
      <c r="J27" s="638"/>
      <c r="K27" s="638"/>
      <c r="L27" s="640"/>
      <c r="M27" s="638"/>
      <c r="N27" s="640">
        <f t="shared" si="4"/>
        <v>0</v>
      </c>
      <c r="O27" s="640"/>
      <c r="P27" s="642"/>
      <c r="Q27" s="642"/>
      <c r="R27" s="640"/>
      <c r="S27" s="642"/>
      <c r="T27" s="640">
        <f t="shared" si="1"/>
        <v>0</v>
      </c>
      <c r="U27" s="640"/>
      <c r="V27" s="643"/>
      <c r="W27" s="643"/>
      <c r="X27" s="640"/>
      <c r="Y27" s="642"/>
      <c r="Z27" s="640">
        <f t="shared" si="2"/>
        <v>0</v>
      </c>
      <c r="AA27" s="635">
        <f t="shared" si="5"/>
        <v>0</v>
      </c>
      <c r="AB27" s="625">
        <f t="shared" si="6"/>
        <v>0</v>
      </c>
      <c r="AC27" s="642"/>
      <c r="AD27" s="642">
        <f t="shared" si="3"/>
        <v>0</v>
      </c>
      <c r="AE27" s="642">
        <f t="shared" si="7"/>
        <v>0</v>
      </c>
      <c r="AF27" s="644">
        <f t="shared" si="0"/>
        <v>1</v>
      </c>
      <c r="AG27" s="645"/>
      <c r="AH27" s="646" t="str">
        <f>IFERROR(EOMONTH(E27,(F27-MONTH(1))),"")</f>
        <v/>
      </c>
      <c r="AI27" s="629" cm="1">
        <f t="array" ref="AI27">IFERROR(_xlfn.IFS(YEAR(E27)&lt;YEAR(汇总!$D$5),_xlfn.IFS(YEAR(AH27)&gt;YEAR(汇总!$D$5),MONTH(汇总!$D$5),YEAR(AH27)=YEAR(汇总!$D$5),IF(MONTH(AH27)&gt;=MONTH(汇总!$D$5),MONTH(汇总!$D$5),MONTH(AH27)),YEAR(AH27)&lt;YEAR(汇总!$D$5),0),(YEAR(E27)=YEAR(汇总!$D$5)),MONTH(汇总!$D$5)+1-(MONTH(E27)),YEAR(E27)&gt;YEAR(汇总!$D$5),0),0)</f>
        <v>0</v>
      </c>
      <c r="AJ27" s="647">
        <f t="shared" si="9"/>
        <v>0</v>
      </c>
      <c r="AK27" s="648">
        <f t="shared" si="11"/>
        <v>0</v>
      </c>
      <c r="AL27" s="649">
        <f t="shared" si="10"/>
        <v>0</v>
      </c>
      <c r="AM27" s="650"/>
    </row>
    <row r="28" spans="1:128" s="174" customFormat="1">
      <c r="A28" s="414"/>
      <c r="B28" s="194"/>
      <c r="C28" s="195"/>
      <c r="D28" s="78"/>
      <c r="E28" s="196"/>
      <c r="F28" s="197"/>
      <c r="G28" s="79"/>
      <c r="H28" s="79"/>
      <c r="I28" s="79"/>
      <c r="J28" s="79"/>
      <c r="K28" s="79"/>
      <c r="L28" s="79"/>
      <c r="M28" s="79"/>
      <c r="N28" s="79"/>
      <c r="O28" s="79"/>
      <c r="P28" s="79"/>
      <c r="Q28" s="79"/>
      <c r="R28" s="80"/>
      <c r="S28" s="79"/>
      <c r="T28" s="80"/>
      <c r="U28" s="79"/>
      <c r="V28" s="79"/>
      <c r="W28" s="79"/>
      <c r="X28" s="79"/>
      <c r="Y28" s="79"/>
      <c r="Z28" s="79"/>
      <c r="AA28" s="79"/>
      <c r="AB28" s="79"/>
      <c r="AC28" s="79"/>
      <c r="AD28" s="79"/>
      <c r="AE28" s="81"/>
      <c r="AF28" s="82"/>
      <c r="AG28" s="158"/>
      <c r="AH28" s="198"/>
      <c r="AI28" s="136"/>
      <c r="AJ28" s="136"/>
      <c r="AK28" s="136"/>
      <c r="AL28" s="136"/>
      <c r="AM28" s="199"/>
    </row>
    <row r="29" spans="1:128" s="174" customFormat="1" ht="13.5" thickBot="1">
      <c r="A29" s="414"/>
      <c r="B29" s="190"/>
      <c r="D29" s="83"/>
      <c r="E29" s="200"/>
      <c r="F29" s="201" t="s">
        <v>366</v>
      </c>
      <c r="G29" s="651">
        <f>SUM(G20:G27)</f>
        <v>0</v>
      </c>
      <c r="H29" s="651">
        <f>SUM(H20:H27)</f>
        <v>0</v>
      </c>
      <c r="I29" s="651">
        <f>SUM(I20:I27)</f>
        <v>0</v>
      </c>
      <c r="J29" s="202"/>
      <c r="K29" s="202"/>
      <c r="L29" s="651">
        <f t="shared" ref="L29:AD29" si="12">SUM(L20:L27)</f>
        <v>0</v>
      </c>
      <c r="M29" s="651">
        <f t="shared" si="12"/>
        <v>0</v>
      </c>
      <c r="N29" s="651">
        <f t="shared" si="12"/>
        <v>0</v>
      </c>
      <c r="O29" s="651">
        <f t="shared" si="12"/>
        <v>0</v>
      </c>
      <c r="P29" s="651">
        <f t="shared" si="12"/>
        <v>0</v>
      </c>
      <c r="Q29" s="651">
        <f t="shared" si="12"/>
        <v>0</v>
      </c>
      <c r="R29" s="651">
        <f t="shared" si="12"/>
        <v>0</v>
      </c>
      <c r="S29" s="651">
        <f t="shared" si="12"/>
        <v>0</v>
      </c>
      <c r="T29" s="651">
        <f t="shared" si="12"/>
        <v>0</v>
      </c>
      <c r="U29" s="651">
        <f t="shared" si="12"/>
        <v>0</v>
      </c>
      <c r="V29" s="651">
        <f t="shared" si="12"/>
        <v>0</v>
      </c>
      <c r="W29" s="651">
        <f t="shared" si="12"/>
        <v>0</v>
      </c>
      <c r="X29" s="651">
        <f t="shared" si="12"/>
        <v>0</v>
      </c>
      <c r="Y29" s="651">
        <f t="shared" si="12"/>
        <v>0</v>
      </c>
      <c r="Z29" s="651">
        <f t="shared" si="12"/>
        <v>0</v>
      </c>
      <c r="AA29" s="651">
        <f t="shared" si="12"/>
        <v>0</v>
      </c>
      <c r="AB29" s="651">
        <f t="shared" si="12"/>
        <v>0</v>
      </c>
      <c r="AC29" s="651">
        <f t="shared" si="12"/>
        <v>0</v>
      </c>
      <c r="AD29" s="651">
        <f t="shared" si="12"/>
        <v>0</v>
      </c>
      <c r="AE29" s="652">
        <f>AA29-AD29</f>
        <v>0</v>
      </c>
      <c r="AF29" s="653">
        <f>IF(AA29&lt;&gt;0,AE29/AA29,1)</f>
        <v>1</v>
      </c>
      <c r="AG29" s="158"/>
      <c r="AH29" s="158"/>
      <c r="AI29" s="158"/>
      <c r="AJ29" s="651">
        <f>SUM(AJ20:AJ27)</f>
        <v>0</v>
      </c>
      <c r="AK29" s="651">
        <f t="shared" ref="AK29:AL29" si="13">SUM(AK20:AK27)</f>
        <v>0</v>
      </c>
      <c r="AL29" s="651">
        <f t="shared" si="13"/>
        <v>0</v>
      </c>
      <c r="AM29" s="158"/>
    </row>
    <row r="30" spans="1:128" s="174" customFormat="1" ht="13.5" thickTop="1">
      <c r="A30" s="414"/>
      <c r="B30" s="190"/>
      <c r="C30" s="1"/>
      <c r="D30" s="1"/>
      <c r="E30" s="1"/>
      <c r="F30" s="84"/>
      <c r="G30" s="177" t="s">
        <v>295</v>
      </c>
      <c r="H30" s="177" t="s">
        <v>295</v>
      </c>
      <c r="I30" s="177" t="s">
        <v>295</v>
      </c>
      <c r="J30" s="177"/>
      <c r="K30" s="177"/>
      <c r="L30" s="177" t="s">
        <v>295</v>
      </c>
      <c r="M30" s="177" t="s">
        <v>295</v>
      </c>
      <c r="N30" s="177" t="s">
        <v>295</v>
      </c>
      <c r="O30" s="177" t="s">
        <v>295</v>
      </c>
      <c r="P30" s="177" t="s">
        <v>295</v>
      </c>
      <c r="Q30" s="177" t="s">
        <v>295</v>
      </c>
      <c r="R30" s="177" t="s">
        <v>295</v>
      </c>
      <c r="S30" s="177" t="s">
        <v>295</v>
      </c>
      <c r="T30" s="177" t="s">
        <v>295</v>
      </c>
      <c r="U30" s="177" t="s">
        <v>295</v>
      </c>
      <c r="V30" s="177" t="s">
        <v>295</v>
      </c>
      <c r="W30" s="177" t="s">
        <v>295</v>
      </c>
      <c r="X30" s="177" t="s">
        <v>295</v>
      </c>
      <c r="Y30" s="177" t="s">
        <v>295</v>
      </c>
      <c r="Z30" s="177" t="s">
        <v>295</v>
      </c>
      <c r="AA30" s="177" t="s">
        <v>295</v>
      </c>
      <c r="AB30" s="177" t="s">
        <v>295</v>
      </c>
      <c r="AC30" s="177" t="s">
        <v>295</v>
      </c>
      <c r="AD30" s="177" t="s">
        <v>295</v>
      </c>
      <c r="AE30" s="177"/>
      <c r="AF30" s="177"/>
      <c r="AG30" s="203"/>
      <c r="AH30" s="204"/>
      <c r="AI30" s="205"/>
      <c r="AJ30" s="177" t="s">
        <v>295</v>
      </c>
      <c r="AK30" s="177" t="s">
        <v>295</v>
      </c>
      <c r="AL30" s="177" t="s">
        <v>295</v>
      </c>
      <c r="AM30" s="193"/>
    </row>
    <row r="31" spans="1:128" s="174" customFormat="1">
      <c r="A31" s="414"/>
      <c r="B31" s="13"/>
      <c r="C31" s="2"/>
      <c r="D31" s="83"/>
      <c r="E31" s="2"/>
      <c r="O31" s="2"/>
      <c r="P31" s="2"/>
      <c r="Q31" s="2"/>
      <c r="R31" s="2"/>
      <c r="S31" s="2"/>
      <c r="T31" s="177"/>
      <c r="U31" s="2"/>
      <c r="V31" s="2"/>
      <c r="W31" s="2"/>
      <c r="X31" s="2"/>
      <c r="Y31" s="2"/>
      <c r="Z31" s="206" t="s">
        <v>211</v>
      </c>
      <c r="AA31" s="207">
        <f>'L2.00 Lead'!N31</f>
        <v>0</v>
      </c>
      <c r="AB31" s="207">
        <f>'L2.00 Lead'!G31</f>
        <v>0</v>
      </c>
      <c r="AC31" s="202"/>
      <c r="AD31" s="207">
        <f>'L2.00 Lead'!M31</f>
        <v>0</v>
      </c>
      <c r="AE31" s="202"/>
      <c r="AF31" s="177"/>
      <c r="AG31" s="202"/>
    </row>
    <row r="32" spans="1:128" s="174" customFormat="1">
      <c r="A32" s="414"/>
      <c r="B32" s="13"/>
      <c r="C32" s="2"/>
      <c r="D32" s="2"/>
      <c r="E32" s="2"/>
      <c r="O32" s="85"/>
      <c r="P32" s="85"/>
      <c r="Q32" s="85"/>
      <c r="R32" s="85"/>
      <c r="S32" s="85"/>
      <c r="T32" s="85"/>
      <c r="U32" s="85"/>
      <c r="V32" s="85"/>
      <c r="W32" s="85"/>
      <c r="X32" s="85"/>
      <c r="Y32" s="85"/>
      <c r="Z32" s="206" t="s">
        <v>296</v>
      </c>
      <c r="AA32" s="86">
        <f>AA29-AA31</f>
        <v>0</v>
      </c>
      <c r="AB32" s="86">
        <f>AB29-AB31</f>
        <v>0</v>
      </c>
      <c r="AC32" s="85"/>
      <c r="AD32" s="86">
        <f>AD29-AD31</f>
        <v>0</v>
      </c>
      <c r="AE32" s="85"/>
      <c r="AF32" s="177"/>
      <c r="AG32" s="85"/>
      <c r="AI32" s="85"/>
      <c r="AJ32" s="85"/>
      <c r="AK32" s="85"/>
      <c r="AL32" s="85"/>
      <c r="AM32" s="85"/>
      <c r="AN32" s="85"/>
      <c r="AO32" s="85"/>
      <c r="AP32" s="85"/>
    </row>
    <row r="33" spans="1:36" s="174" customFormat="1">
      <c r="A33" s="414"/>
      <c r="B33" s="208"/>
      <c r="I33" s="20"/>
      <c r="J33" s="20"/>
      <c r="K33" s="2"/>
      <c r="L33" s="20"/>
      <c r="P33" s="2"/>
      <c r="Q33" s="2"/>
      <c r="R33" s="2"/>
      <c r="S33" s="209"/>
      <c r="T33" s="21"/>
      <c r="U33" s="21"/>
      <c r="V33" s="2"/>
      <c r="W33" s="209"/>
      <c r="Z33" s="210"/>
      <c r="AA33" s="210"/>
      <c r="AB33" s="210"/>
      <c r="AH33" s="2"/>
      <c r="AI33" s="2"/>
      <c r="AJ33" s="2"/>
    </row>
    <row r="34" spans="1:36" s="174" customFormat="1" ht="13.5" thickBot="1">
      <c r="A34" s="414"/>
      <c r="B34" s="333" t="s">
        <v>292</v>
      </c>
      <c r="C34" s="18" t="s">
        <v>367</v>
      </c>
      <c r="D34" s="448"/>
      <c r="E34" s="333"/>
      <c r="F34" s="333"/>
      <c r="G34" s="333"/>
      <c r="I34" s="20"/>
      <c r="J34" s="20"/>
      <c r="K34" s="2"/>
      <c r="L34" s="20"/>
      <c r="P34" s="2"/>
      <c r="Q34" s="2"/>
      <c r="R34" s="2"/>
      <c r="S34" s="209"/>
      <c r="T34" s="21"/>
      <c r="U34" s="21"/>
      <c r="V34" s="2"/>
      <c r="W34" s="209"/>
      <c r="Z34" s="210"/>
      <c r="AA34" s="210"/>
      <c r="AB34" s="210"/>
      <c r="AH34" s="2"/>
      <c r="AI34" s="2"/>
      <c r="AJ34" s="2"/>
    </row>
    <row r="35" spans="1:36" s="174" customFormat="1">
      <c r="A35" s="414"/>
      <c r="B35" s="400"/>
      <c r="C35" s="511"/>
      <c r="D35" s="512"/>
      <c r="E35" s="512"/>
      <c r="F35" s="512"/>
      <c r="G35" s="513"/>
      <c r="I35" s="20"/>
      <c r="J35" s="20"/>
      <c r="K35" s="2"/>
      <c r="L35" s="20"/>
      <c r="P35" s="2"/>
      <c r="Q35" s="2"/>
      <c r="R35" s="2"/>
      <c r="S35" s="209"/>
      <c r="T35" s="21"/>
      <c r="U35" s="21"/>
      <c r="V35" s="2"/>
      <c r="W35" s="209"/>
      <c r="Z35" s="210"/>
      <c r="AA35" s="210"/>
      <c r="AB35" s="210"/>
      <c r="AH35" s="2"/>
      <c r="AI35" s="2"/>
      <c r="AJ35" s="2"/>
    </row>
    <row r="36" spans="1:36" s="174" customFormat="1">
      <c r="A36" s="414"/>
      <c r="B36" s="400"/>
      <c r="C36" s="514"/>
      <c r="D36" s="515"/>
      <c r="E36" s="515"/>
      <c r="F36" s="515"/>
      <c r="G36" s="516"/>
      <c r="I36" s="20"/>
      <c r="J36" s="20"/>
      <c r="K36" s="2"/>
      <c r="L36" s="20"/>
      <c r="P36" s="2"/>
      <c r="Q36" s="2"/>
      <c r="R36" s="2"/>
      <c r="S36" s="209"/>
      <c r="T36" s="21"/>
      <c r="U36" s="21"/>
      <c r="V36" s="2"/>
      <c r="W36" s="209"/>
      <c r="Z36" s="210"/>
      <c r="AA36" s="210"/>
      <c r="AB36" s="210"/>
      <c r="AH36" s="2"/>
      <c r="AI36" s="2"/>
      <c r="AJ36" s="2"/>
    </row>
    <row r="37" spans="1:36" s="174" customFormat="1" ht="13.5" thickBot="1">
      <c r="A37" s="414"/>
      <c r="B37" s="400"/>
      <c r="C37" s="517"/>
      <c r="D37" s="518"/>
      <c r="E37" s="518"/>
      <c r="F37" s="518"/>
      <c r="G37" s="519"/>
      <c r="I37" s="20"/>
      <c r="J37" s="20"/>
      <c r="K37" s="2"/>
      <c r="L37" s="20"/>
      <c r="P37" s="2"/>
      <c r="Q37" s="2"/>
      <c r="R37" s="2"/>
      <c r="S37" s="209"/>
      <c r="T37" s="21"/>
      <c r="U37" s="21"/>
      <c r="V37" s="2"/>
      <c r="W37" s="209"/>
      <c r="Z37" s="210"/>
      <c r="AA37" s="210"/>
      <c r="AB37" s="210"/>
      <c r="AH37" s="2"/>
      <c r="AI37" s="2"/>
      <c r="AJ37" s="2"/>
    </row>
    <row r="38" spans="1:36" s="174" customFormat="1">
      <c r="A38" s="414"/>
      <c r="B38" s="190"/>
      <c r="C38" s="2"/>
      <c r="D38" s="2"/>
      <c r="E38" s="2"/>
      <c r="I38" s="20"/>
      <c r="J38" s="20"/>
      <c r="K38" s="2"/>
      <c r="L38" s="20"/>
      <c r="P38" s="2"/>
      <c r="Q38" s="2"/>
      <c r="R38" s="2"/>
      <c r="S38" s="209"/>
      <c r="T38" s="21"/>
      <c r="U38" s="21"/>
      <c r="V38" s="2"/>
      <c r="W38" s="209"/>
      <c r="Z38" s="210"/>
      <c r="AA38" s="210"/>
      <c r="AB38" s="210"/>
      <c r="AH38" s="2"/>
      <c r="AI38" s="2"/>
      <c r="AJ38" s="2"/>
    </row>
    <row r="39" spans="1:36" s="174" customFormat="1" ht="13.5" thickBot="1">
      <c r="A39" s="414"/>
      <c r="B39" s="333" t="s">
        <v>292</v>
      </c>
      <c r="C39" s="18" t="s">
        <v>368</v>
      </c>
      <c r="D39" s="448"/>
      <c r="E39" s="333"/>
      <c r="F39" s="333"/>
      <c r="G39" s="333"/>
      <c r="I39" s="20"/>
      <c r="J39" s="20"/>
      <c r="K39" s="2"/>
      <c r="L39" s="20"/>
      <c r="P39" s="2"/>
      <c r="Q39" s="2"/>
      <c r="R39" s="2"/>
      <c r="S39" s="209"/>
      <c r="T39" s="21"/>
      <c r="U39" s="21"/>
      <c r="V39" s="2"/>
      <c r="W39" s="209"/>
      <c r="Z39" s="210"/>
      <c r="AA39" s="210"/>
      <c r="AB39" s="210"/>
      <c r="AH39" s="2"/>
      <c r="AI39" s="2"/>
      <c r="AJ39" s="2"/>
    </row>
    <row r="40" spans="1:36" s="174" customFormat="1">
      <c r="A40" s="414"/>
      <c r="B40" s="400"/>
      <c r="C40" s="511"/>
      <c r="D40" s="512"/>
      <c r="E40" s="512"/>
      <c r="F40" s="512"/>
      <c r="G40" s="513"/>
      <c r="I40" s="20"/>
      <c r="J40" s="20"/>
      <c r="K40" s="2"/>
      <c r="L40" s="20"/>
      <c r="P40" s="2"/>
      <c r="Q40" s="2"/>
      <c r="R40" s="2"/>
      <c r="S40" s="209"/>
      <c r="T40" s="21"/>
      <c r="U40" s="21"/>
      <c r="V40" s="2"/>
      <c r="W40" s="209"/>
      <c r="Z40" s="210"/>
      <c r="AA40" s="210"/>
      <c r="AB40" s="210"/>
      <c r="AH40" s="2"/>
      <c r="AI40" s="2"/>
      <c r="AJ40" s="2"/>
    </row>
    <row r="41" spans="1:36" s="174" customFormat="1">
      <c r="A41" s="414"/>
      <c r="B41" s="400"/>
      <c r="C41" s="514"/>
      <c r="D41" s="515"/>
      <c r="E41" s="515"/>
      <c r="F41" s="515"/>
      <c r="G41" s="516"/>
      <c r="I41" s="20"/>
      <c r="J41" s="20"/>
      <c r="K41" s="2"/>
      <c r="L41" s="20"/>
      <c r="P41" s="2"/>
      <c r="Q41" s="2"/>
      <c r="R41" s="2"/>
      <c r="S41" s="209"/>
      <c r="T41" s="21"/>
      <c r="U41" s="21"/>
      <c r="V41" s="2"/>
      <c r="W41" s="209"/>
      <c r="Z41" s="210"/>
      <c r="AA41" s="210"/>
      <c r="AB41" s="210"/>
      <c r="AH41" s="2"/>
      <c r="AI41" s="2"/>
      <c r="AJ41" s="2"/>
    </row>
    <row r="42" spans="1:36" s="174" customFormat="1" ht="13.5" thickBot="1">
      <c r="A42" s="414"/>
      <c r="B42" s="400"/>
      <c r="C42" s="517"/>
      <c r="D42" s="518"/>
      <c r="E42" s="518"/>
      <c r="F42" s="518"/>
      <c r="G42" s="519"/>
      <c r="I42" s="20"/>
      <c r="J42" s="20"/>
      <c r="K42" s="2"/>
      <c r="L42" s="20"/>
      <c r="P42" s="2"/>
      <c r="Q42" s="2"/>
      <c r="R42" s="2"/>
      <c r="S42" s="209"/>
      <c r="T42" s="21"/>
      <c r="U42" s="21"/>
      <c r="V42" s="2"/>
      <c r="W42" s="209"/>
      <c r="Z42" s="210"/>
      <c r="AA42" s="210"/>
      <c r="AB42" s="210"/>
      <c r="AH42" s="2"/>
      <c r="AI42" s="2"/>
      <c r="AJ42" s="2"/>
    </row>
    <row r="43" spans="1:36" s="174" customFormat="1" ht="13.5" thickBot="1">
      <c r="A43" s="414"/>
      <c r="B43" s="208"/>
      <c r="I43" s="20"/>
      <c r="J43" s="20"/>
      <c r="K43" s="2"/>
      <c r="L43" s="20"/>
      <c r="P43" s="2"/>
      <c r="Q43" s="2"/>
      <c r="R43" s="2"/>
      <c r="S43" s="209"/>
      <c r="T43" s="21"/>
      <c r="U43" s="21"/>
      <c r="V43" s="2"/>
      <c r="W43" s="209"/>
      <c r="Z43" s="210"/>
      <c r="AA43" s="210"/>
      <c r="AB43" s="210"/>
      <c r="AH43" s="2"/>
      <c r="AI43" s="2"/>
      <c r="AJ43" s="2"/>
    </row>
    <row r="44" spans="1:36" s="213" customFormat="1">
      <c r="A44" s="415"/>
      <c r="B44" s="211" t="s">
        <v>315</v>
      </c>
      <c r="C44" s="37" t="s">
        <v>369</v>
      </c>
      <c r="D44" s="14"/>
      <c r="E44" s="14"/>
      <c r="F44" s="15"/>
      <c r="G44" s="16"/>
      <c r="H44" s="212"/>
      <c r="Q44" s="2"/>
      <c r="R44" s="2"/>
      <c r="S44" s="2"/>
      <c r="T44" s="22"/>
      <c r="U44" s="214"/>
      <c r="V44" s="214"/>
      <c r="W44" s="214"/>
      <c r="Z44" s="210"/>
      <c r="AA44" s="210"/>
      <c r="AB44" s="210"/>
      <c r="AC44" s="210"/>
    </row>
    <row r="45" spans="1:36" s="210" customFormat="1">
      <c r="A45" s="171"/>
      <c r="B45" s="13"/>
      <c r="C45" s="17" t="s">
        <v>370</v>
      </c>
      <c r="D45" s="216" t="s">
        <v>371</v>
      </c>
      <c r="E45" s="215" t="s">
        <v>372</v>
      </c>
      <c r="F45" s="215" t="s">
        <v>373</v>
      </c>
      <c r="G45" s="216" t="s">
        <v>374</v>
      </c>
      <c r="H45" s="217"/>
      <c r="I45" s="218"/>
      <c r="J45" s="218"/>
      <c r="K45" s="6"/>
      <c r="L45" s="20"/>
      <c r="O45" s="235"/>
      <c r="W45" s="20"/>
      <c r="X45" s="20"/>
    </row>
    <row r="46" spans="1:36" s="210" customFormat="1">
      <c r="A46" s="171"/>
      <c r="B46" s="13"/>
      <c r="C46" s="219"/>
      <c r="D46" s="300" t="s">
        <v>375</v>
      </c>
      <c r="E46" s="284"/>
      <c r="F46" s="285" t="s">
        <v>376</v>
      </c>
      <c r="G46" s="220"/>
      <c r="H46" s="221"/>
      <c r="I46" s="218"/>
      <c r="J46" s="218"/>
      <c r="K46" s="222"/>
      <c r="L46" s="222"/>
      <c r="O46" s="235"/>
      <c r="T46" s="222"/>
      <c r="U46" s="222"/>
      <c r="V46" s="222"/>
      <c r="W46" s="223"/>
      <c r="X46" s="223"/>
    </row>
    <row r="47" spans="1:36" s="210" customFormat="1">
      <c r="A47" s="171"/>
      <c r="B47" s="13"/>
      <c r="C47" s="224"/>
      <c r="D47" s="301" t="s">
        <v>377</v>
      </c>
      <c r="E47" s="286"/>
      <c r="F47" s="226" t="s">
        <v>378</v>
      </c>
      <c r="G47" s="227"/>
      <c r="H47" s="221"/>
      <c r="I47" s="218"/>
      <c r="J47" s="218"/>
      <c r="K47" s="222"/>
      <c r="L47" s="222"/>
      <c r="T47" s="222"/>
      <c r="U47" s="222"/>
      <c r="V47" s="222"/>
      <c r="W47" s="223"/>
      <c r="X47" s="223"/>
    </row>
    <row r="48" spans="1:36" s="210" customFormat="1">
      <c r="A48" s="171"/>
      <c r="B48" s="13"/>
      <c r="C48" s="224"/>
      <c r="D48" s="301" t="s">
        <v>379</v>
      </c>
      <c r="E48" s="286"/>
      <c r="F48" s="226" t="s">
        <v>380</v>
      </c>
      <c r="G48" s="227"/>
      <c r="H48" s="221"/>
      <c r="I48" s="218"/>
      <c r="J48" s="218"/>
      <c r="K48" s="222"/>
      <c r="L48" s="222"/>
      <c r="T48" s="222"/>
      <c r="U48" s="222"/>
      <c r="V48" s="222"/>
      <c r="W48" s="222"/>
      <c r="X48" s="218"/>
    </row>
    <row r="49" spans="1:24" s="210" customFormat="1">
      <c r="A49" s="171"/>
      <c r="B49" s="13"/>
      <c r="C49" s="224"/>
      <c r="D49" s="225"/>
      <c r="E49" s="225"/>
      <c r="F49" s="226" t="s">
        <v>381</v>
      </c>
      <c r="G49" s="228"/>
      <c r="H49" s="221"/>
      <c r="I49" s="218"/>
      <c r="J49" s="218"/>
      <c r="K49" s="222"/>
      <c r="L49" s="222"/>
      <c r="T49" s="222"/>
      <c r="U49" s="222"/>
      <c r="V49" s="222"/>
      <c r="W49" s="222"/>
      <c r="X49" s="218"/>
    </row>
    <row r="50" spans="1:24" s="210" customFormat="1" ht="13.5" thickBot="1">
      <c r="A50" s="171"/>
      <c r="B50" s="13"/>
      <c r="C50" s="224"/>
      <c r="D50" s="225"/>
      <c r="E50" s="225"/>
      <c r="F50" s="226" t="s">
        <v>364</v>
      </c>
      <c r="G50" s="229">
        <f>SUM(G46:G49)-P29</f>
        <v>0</v>
      </c>
      <c r="H50" s="221"/>
      <c r="I50" s="218"/>
      <c r="J50" s="218"/>
      <c r="K50" s="222"/>
      <c r="L50" s="222"/>
      <c r="T50" s="222"/>
      <c r="U50" s="222"/>
      <c r="V50" s="222"/>
      <c r="W50" s="222"/>
      <c r="X50" s="218"/>
    </row>
    <row r="51" spans="1:24" s="210" customFormat="1" ht="13.5" thickTop="1">
      <c r="A51" s="171"/>
      <c r="B51" s="13"/>
      <c r="C51" s="224"/>
      <c r="D51" s="225"/>
      <c r="E51" s="225"/>
      <c r="F51" s="18"/>
      <c r="G51" s="230"/>
      <c r="H51" s="221"/>
      <c r="I51" s="218"/>
      <c r="J51" s="218"/>
      <c r="K51" s="6"/>
      <c r="L51" s="20"/>
      <c r="M51" s="20"/>
      <c r="N51" s="20"/>
      <c r="O51" s="20"/>
      <c r="P51" s="20"/>
      <c r="Q51" s="20"/>
      <c r="R51" s="20"/>
      <c r="S51" s="20"/>
      <c r="T51" s="20"/>
      <c r="U51" s="20"/>
      <c r="V51" s="20"/>
      <c r="W51" s="20"/>
      <c r="X51" s="20"/>
    </row>
    <row r="52" spans="1:24" s="210" customFormat="1" ht="13.5" thickBot="1">
      <c r="A52" s="171"/>
      <c r="B52" s="13"/>
      <c r="C52" s="231"/>
      <c r="D52" s="232"/>
      <c r="E52" s="232"/>
      <c r="F52" s="232"/>
      <c r="G52" s="232"/>
      <c r="H52" s="233"/>
      <c r="I52" s="218"/>
      <c r="J52" s="218"/>
      <c r="K52" s="222"/>
      <c r="L52" s="222"/>
      <c r="M52" s="222"/>
      <c r="N52" s="222"/>
      <c r="O52" s="222"/>
      <c r="P52" s="222"/>
      <c r="Q52" s="222"/>
      <c r="R52" s="222"/>
      <c r="S52" s="222"/>
      <c r="T52" s="222"/>
      <c r="U52" s="222"/>
      <c r="V52" s="222"/>
      <c r="W52" s="223"/>
      <c r="X52" s="223"/>
    </row>
    <row r="53" spans="1:24" s="210" customFormat="1">
      <c r="A53" s="171"/>
      <c r="B53" s="13"/>
      <c r="C53" s="218"/>
      <c r="D53" s="218"/>
      <c r="E53" s="218"/>
      <c r="F53" s="218"/>
      <c r="G53" s="218"/>
      <c r="H53" s="218"/>
      <c r="I53" s="218"/>
      <c r="J53" s="222"/>
      <c r="K53" s="222"/>
      <c r="L53" s="222"/>
      <c r="M53" s="222"/>
      <c r="N53" s="222"/>
      <c r="O53" s="222"/>
      <c r="P53" s="222"/>
      <c r="Q53" s="222"/>
      <c r="R53" s="222" t="s">
        <v>382</v>
      </c>
      <c r="S53" s="222"/>
      <c r="T53" s="222"/>
      <c r="U53" s="222"/>
      <c r="V53" s="223"/>
      <c r="W53" s="223"/>
    </row>
    <row r="54" spans="1:24" s="210" customFormat="1">
      <c r="A54" s="171"/>
      <c r="B54" s="13"/>
      <c r="C54" s="218"/>
      <c r="D54" s="218"/>
      <c r="E54" s="218"/>
      <c r="F54" s="218"/>
      <c r="G54" s="218"/>
      <c r="H54" s="218"/>
      <c r="I54" s="218"/>
      <c r="J54" s="222"/>
      <c r="K54" s="222"/>
      <c r="L54" s="222"/>
      <c r="M54" s="222"/>
      <c r="N54" s="222"/>
      <c r="O54" s="222"/>
      <c r="P54" s="222"/>
      <c r="Q54" s="222"/>
      <c r="R54" s="222"/>
      <c r="S54" s="222"/>
      <c r="T54" s="222"/>
      <c r="U54" s="222"/>
      <c r="V54" s="222"/>
      <c r="W54" s="218"/>
    </row>
    <row r="55" spans="1:24" s="210" customFormat="1" ht="13.5" thickBot="1">
      <c r="A55" s="171"/>
      <c r="B55" s="333" t="s">
        <v>292</v>
      </c>
      <c r="C55" s="400" t="s">
        <v>383</v>
      </c>
      <c r="D55" s="218"/>
      <c r="E55" s="218"/>
      <c r="F55" s="218"/>
      <c r="G55" s="218"/>
      <c r="H55" s="218"/>
      <c r="I55" s="218"/>
      <c r="J55" s="222"/>
      <c r="K55" s="222"/>
      <c r="L55" s="222"/>
      <c r="M55" s="222"/>
      <c r="N55" s="222"/>
      <c r="O55" s="222"/>
      <c r="P55" s="222"/>
      <c r="Q55" s="222"/>
      <c r="R55" s="222"/>
      <c r="S55" s="222"/>
      <c r="T55" s="222"/>
      <c r="U55" s="222"/>
      <c r="V55" s="222"/>
      <c r="W55" s="218"/>
    </row>
    <row r="56" spans="1:24" s="6" customFormat="1" ht="14.1" customHeight="1">
      <c r="A56" s="242"/>
      <c r="B56" s="18"/>
      <c r="C56" s="511"/>
      <c r="D56" s="512"/>
      <c r="E56" s="512"/>
      <c r="F56" s="512"/>
      <c r="G56" s="513"/>
    </row>
    <row r="57" spans="1:24" s="6" customFormat="1" ht="14.1" customHeight="1">
      <c r="A57" s="410"/>
      <c r="B57" s="19"/>
      <c r="C57" s="514"/>
      <c r="D57" s="515"/>
      <c r="E57" s="515"/>
      <c r="F57" s="515"/>
      <c r="G57" s="516"/>
    </row>
    <row r="58" spans="1:24" s="6" customFormat="1" ht="14.1" customHeight="1" thickBot="1">
      <c r="A58" s="242"/>
      <c r="B58" s="18"/>
      <c r="C58" s="517"/>
      <c r="D58" s="518"/>
      <c r="E58" s="518"/>
      <c r="F58" s="518"/>
      <c r="G58" s="519"/>
    </row>
    <row r="59" spans="1:24" s="6" customFormat="1">
      <c r="A59" s="242"/>
      <c r="B59" s="18"/>
      <c r="D59" s="234"/>
      <c r="E59" s="234"/>
      <c r="F59" s="234"/>
      <c r="G59" s="234"/>
      <c r="H59" s="234"/>
      <c r="I59" s="234"/>
      <c r="J59" s="234"/>
      <c r="K59" s="234"/>
      <c r="L59" s="234"/>
      <c r="M59" s="234"/>
      <c r="N59" s="234"/>
      <c r="O59" s="234"/>
    </row>
    <row r="60" spans="1:24" s="52" customFormat="1" ht="12.75" customHeight="1">
      <c r="A60" s="413"/>
      <c r="B60" s="51"/>
      <c r="C60" s="88"/>
      <c r="D60" s="88"/>
      <c r="E60" s="88"/>
      <c r="F60" s="88"/>
      <c r="G60" s="88"/>
      <c r="H60" s="89"/>
      <c r="I60" s="89"/>
      <c r="J60" s="88"/>
      <c r="K60" s="88"/>
      <c r="L60" s="88"/>
      <c r="M60" s="88"/>
      <c r="N60" s="88"/>
      <c r="O60" s="88"/>
      <c r="P60" s="88"/>
      <c r="Q60" s="88"/>
      <c r="R60" s="88"/>
      <c r="S60" s="88"/>
      <c r="T60" s="88"/>
    </row>
    <row r="61" spans="1:24" s="52" customFormat="1" ht="12.75" customHeight="1">
      <c r="A61" s="413"/>
      <c r="B61" s="51"/>
      <c r="C61" s="88"/>
      <c r="D61" s="88"/>
      <c r="E61" s="88"/>
      <c r="F61" s="88"/>
      <c r="G61" s="88"/>
      <c r="H61" s="89"/>
      <c r="I61" s="89"/>
      <c r="J61" s="88"/>
      <c r="K61" s="88"/>
      <c r="L61" s="88"/>
      <c r="M61" s="88"/>
      <c r="N61" s="88"/>
      <c r="O61" s="88"/>
      <c r="P61" s="88"/>
      <c r="Q61" s="88"/>
      <c r="R61" s="88"/>
      <c r="S61" s="88"/>
      <c r="T61" s="88"/>
    </row>
    <row r="62" spans="1:24" s="52" customFormat="1" ht="12.75" customHeight="1">
      <c r="A62" s="413"/>
      <c r="B62" s="51"/>
      <c r="C62" s="88"/>
      <c r="D62" s="88"/>
      <c r="E62" s="88"/>
      <c r="F62" s="88"/>
      <c r="G62" s="88"/>
      <c r="H62" s="89"/>
      <c r="I62" s="89"/>
      <c r="J62" s="88"/>
      <c r="K62" s="88"/>
      <c r="L62" s="88"/>
      <c r="M62" s="88"/>
      <c r="N62" s="88"/>
      <c r="O62" s="88"/>
      <c r="P62" s="88"/>
      <c r="Q62" s="88"/>
      <c r="R62" s="88"/>
      <c r="S62" s="88"/>
      <c r="T62" s="88"/>
    </row>
    <row r="63" spans="1:24" s="52" customFormat="1" ht="12.75" customHeight="1">
      <c r="A63" s="413"/>
      <c r="B63" s="51"/>
      <c r="C63" s="88"/>
      <c r="D63" s="88"/>
      <c r="E63" s="88"/>
      <c r="F63" s="88"/>
      <c r="G63" s="88"/>
      <c r="H63" s="89"/>
      <c r="I63" s="89"/>
      <c r="J63" s="88"/>
      <c r="K63" s="88"/>
      <c r="L63" s="88"/>
      <c r="M63" s="88"/>
      <c r="N63" s="88"/>
      <c r="O63" s="88"/>
      <c r="P63" s="88"/>
      <c r="Q63" s="88"/>
      <c r="R63" s="88"/>
      <c r="S63" s="88"/>
      <c r="T63" s="88"/>
    </row>
    <row r="64" spans="1:24" s="52" customFormat="1" ht="12.75" customHeight="1">
      <c r="A64" s="413"/>
      <c r="B64" s="51"/>
      <c r="C64" s="88"/>
      <c r="D64" s="88"/>
      <c r="E64" s="88"/>
      <c r="F64" s="88"/>
      <c r="G64" s="88"/>
      <c r="H64" s="89"/>
      <c r="I64" s="89"/>
      <c r="J64" s="88"/>
      <c r="K64" s="88"/>
      <c r="L64" s="88"/>
      <c r="M64" s="88"/>
      <c r="N64" s="88"/>
      <c r="O64" s="88"/>
      <c r="P64" s="88"/>
      <c r="Q64" s="88"/>
      <c r="R64" s="88"/>
      <c r="S64" s="88"/>
      <c r="T64" s="88"/>
    </row>
    <row r="65" spans="1:20" s="52" customFormat="1" ht="12.75" customHeight="1">
      <c r="A65" s="413"/>
      <c r="B65" s="51"/>
      <c r="C65" s="88"/>
      <c r="D65" s="88"/>
      <c r="E65" s="88"/>
      <c r="F65" s="88"/>
      <c r="G65" s="88"/>
      <c r="H65" s="89"/>
      <c r="I65" s="89"/>
      <c r="J65" s="88"/>
      <c r="K65" s="88"/>
      <c r="L65" s="88"/>
      <c r="M65" s="88"/>
      <c r="N65" s="88"/>
      <c r="O65" s="88"/>
      <c r="P65" s="88"/>
      <c r="Q65" s="88"/>
      <c r="R65" s="88"/>
      <c r="S65" s="88"/>
      <c r="T65" s="88"/>
    </row>
    <row r="66" spans="1:20" s="52" customFormat="1" ht="12.75" customHeight="1">
      <c r="A66" s="413"/>
      <c r="B66" s="51"/>
      <c r="C66" s="88"/>
      <c r="D66" s="88"/>
      <c r="E66" s="88"/>
      <c r="F66" s="88"/>
      <c r="G66" s="88"/>
      <c r="H66" s="89"/>
      <c r="I66" s="89"/>
      <c r="J66" s="88"/>
      <c r="K66" s="88"/>
      <c r="L66" s="88"/>
      <c r="M66" s="88"/>
      <c r="N66" s="88"/>
      <c r="O66" s="88"/>
      <c r="P66" s="88"/>
      <c r="Q66" s="88"/>
      <c r="R66" s="88"/>
      <c r="S66" s="88"/>
      <c r="T66" s="88"/>
    </row>
    <row r="67" spans="1:20" s="52" customFormat="1" ht="12.75" customHeight="1">
      <c r="A67" s="413"/>
      <c r="B67" s="51"/>
      <c r="C67" s="88"/>
      <c r="D67" s="88"/>
      <c r="E67" s="88"/>
      <c r="F67" s="88"/>
      <c r="G67" s="88"/>
      <c r="H67" s="89"/>
      <c r="I67" s="89"/>
      <c r="J67" s="88"/>
      <c r="K67" s="88"/>
      <c r="L67" s="88"/>
      <c r="M67" s="88"/>
      <c r="N67" s="88"/>
      <c r="O67" s="88"/>
      <c r="P67" s="88"/>
      <c r="Q67" s="88"/>
      <c r="R67" s="88"/>
      <c r="S67" s="88"/>
      <c r="T67" s="88"/>
    </row>
    <row r="68" spans="1:20" s="52" customFormat="1" ht="12.75" customHeight="1">
      <c r="A68" s="413"/>
      <c r="B68" s="51"/>
      <c r="C68" s="88"/>
      <c r="D68" s="88"/>
      <c r="E68" s="88"/>
      <c r="F68" s="88"/>
      <c r="G68" s="88"/>
      <c r="H68" s="89"/>
      <c r="I68" s="89"/>
      <c r="J68" s="88"/>
      <c r="K68" s="88"/>
      <c r="L68" s="88"/>
      <c r="M68" s="88"/>
      <c r="N68" s="88"/>
      <c r="O68" s="88"/>
      <c r="P68" s="88"/>
      <c r="Q68" s="88"/>
      <c r="R68" s="88"/>
      <c r="S68" s="88"/>
      <c r="T68" s="88"/>
    </row>
    <row r="69" spans="1:20" s="52" customFormat="1" ht="12.75" customHeight="1">
      <c r="A69" s="413"/>
      <c r="B69" s="51"/>
      <c r="C69" s="88"/>
      <c r="D69" s="88"/>
      <c r="E69" s="88"/>
      <c r="F69" s="88"/>
      <c r="G69" s="88"/>
      <c r="H69" s="89"/>
      <c r="I69" s="89"/>
      <c r="J69" s="88"/>
      <c r="K69" s="88"/>
      <c r="L69" s="88"/>
      <c r="M69" s="88"/>
      <c r="N69" s="88"/>
      <c r="O69" s="88"/>
      <c r="P69" s="88"/>
      <c r="Q69" s="88"/>
      <c r="R69" s="88"/>
      <c r="S69" s="88"/>
      <c r="T69" s="88"/>
    </row>
    <row r="70" spans="1:20" s="52" customFormat="1" ht="12.75" customHeight="1">
      <c r="A70" s="413"/>
      <c r="B70" s="51"/>
      <c r="C70" s="88"/>
      <c r="D70" s="88"/>
      <c r="E70" s="88"/>
      <c r="F70" s="88"/>
      <c r="G70" s="88"/>
      <c r="H70" s="89"/>
      <c r="I70" s="89"/>
      <c r="J70" s="88"/>
      <c r="K70" s="88"/>
      <c r="L70" s="88"/>
      <c r="M70" s="88"/>
      <c r="N70" s="88"/>
      <c r="O70" s="88"/>
      <c r="P70" s="88"/>
      <c r="Q70" s="88"/>
      <c r="R70" s="88"/>
      <c r="S70" s="88"/>
      <c r="T70" s="88"/>
    </row>
    <row r="71" spans="1:20" s="52" customFormat="1" ht="12.75" customHeight="1">
      <c r="A71" s="413"/>
      <c r="B71" s="51"/>
      <c r="C71" s="88"/>
      <c r="D71" s="88"/>
      <c r="E71" s="88"/>
      <c r="F71" s="88"/>
      <c r="G71" s="88"/>
      <c r="H71" s="89"/>
      <c r="I71" s="89"/>
      <c r="J71" s="88"/>
      <c r="K71" s="88"/>
      <c r="L71" s="88"/>
      <c r="M71" s="88"/>
      <c r="N71" s="88"/>
      <c r="O71" s="88"/>
      <c r="P71" s="88"/>
      <c r="Q71" s="88"/>
      <c r="R71" s="88"/>
      <c r="S71" s="88"/>
      <c r="T71" s="88"/>
    </row>
    <row r="72" spans="1:20" s="52" customFormat="1" ht="12.75" customHeight="1">
      <c r="A72" s="413"/>
      <c r="B72" s="51"/>
      <c r="C72" s="88"/>
      <c r="D72" s="88"/>
      <c r="E72" s="88"/>
      <c r="F72" s="88"/>
      <c r="G72" s="88"/>
      <c r="H72" s="89"/>
      <c r="I72" s="89"/>
      <c r="J72" s="88"/>
      <c r="K72" s="88"/>
      <c r="L72" s="88"/>
      <c r="M72" s="88"/>
      <c r="N72" s="88"/>
      <c r="O72" s="88"/>
      <c r="P72" s="88"/>
      <c r="Q72" s="88"/>
      <c r="R72" s="88"/>
      <c r="S72" s="88"/>
      <c r="T72" s="88"/>
    </row>
    <row r="73" spans="1:20" s="52" customFormat="1" ht="12.75" customHeight="1">
      <c r="A73" s="413"/>
      <c r="B73" s="51"/>
      <c r="C73" s="88"/>
      <c r="D73" s="88"/>
      <c r="E73" s="88"/>
      <c r="F73" s="88"/>
      <c r="G73" s="88"/>
      <c r="H73" s="89"/>
      <c r="I73" s="89"/>
      <c r="J73" s="88"/>
      <c r="K73" s="88"/>
      <c r="L73" s="88"/>
      <c r="M73" s="88"/>
      <c r="N73" s="88"/>
      <c r="O73" s="88"/>
      <c r="P73" s="88"/>
      <c r="Q73" s="88"/>
      <c r="R73" s="88"/>
      <c r="S73" s="88"/>
      <c r="T73" s="88"/>
    </row>
    <row r="74" spans="1:20" s="52" customFormat="1" ht="12.75" customHeight="1">
      <c r="A74" s="413"/>
      <c r="B74" s="51"/>
      <c r="C74" s="88"/>
      <c r="D74" s="88"/>
      <c r="E74" s="88"/>
      <c r="F74" s="88"/>
      <c r="G74" s="88"/>
      <c r="H74" s="89"/>
      <c r="I74" s="89"/>
      <c r="J74" s="88"/>
      <c r="K74" s="88"/>
      <c r="L74" s="88"/>
      <c r="M74" s="88"/>
      <c r="N74" s="88"/>
      <c r="O74" s="88"/>
      <c r="P74" s="88"/>
      <c r="Q74" s="88"/>
      <c r="R74" s="88"/>
      <c r="S74" s="88"/>
      <c r="T74" s="88"/>
    </row>
    <row r="75" spans="1:20" s="52" customFormat="1" ht="12.75" customHeight="1">
      <c r="A75" s="413"/>
      <c r="B75" s="51"/>
      <c r="C75" s="88"/>
      <c r="D75" s="88"/>
      <c r="E75" s="88"/>
      <c r="F75" s="88"/>
      <c r="G75" s="88"/>
      <c r="H75" s="89"/>
      <c r="I75" s="89"/>
      <c r="J75" s="88"/>
      <c r="K75" s="88"/>
      <c r="L75" s="88"/>
      <c r="M75" s="88"/>
      <c r="N75" s="88"/>
      <c r="O75" s="88"/>
      <c r="P75" s="88"/>
      <c r="Q75" s="88"/>
      <c r="R75" s="88"/>
      <c r="S75" s="88"/>
      <c r="T75" s="88"/>
    </row>
    <row r="76" spans="1:20" s="52" customFormat="1" ht="12.75" customHeight="1">
      <c r="A76" s="413"/>
      <c r="B76" s="51"/>
      <c r="C76" s="88"/>
      <c r="D76" s="88"/>
      <c r="E76" s="88"/>
      <c r="F76" s="88"/>
      <c r="G76" s="88"/>
      <c r="H76" s="89"/>
      <c r="I76" s="89"/>
      <c r="J76" s="88"/>
      <c r="K76" s="88"/>
      <c r="L76" s="88"/>
      <c r="M76" s="88"/>
      <c r="N76" s="88"/>
      <c r="O76" s="88"/>
      <c r="P76" s="88"/>
      <c r="Q76" s="88"/>
      <c r="R76" s="88"/>
      <c r="S76" s="88"/>
      <c r="T76" s="88"/>
    </row>
    <row r="77" spans="1:20" s="52" customFormat="1" ht="12.75" customHeight="1">
      <c r="A77" s="413"/>
      <c r="B77" s="51"/>
      <c r="C77" s="88"/>
      <c r="D77" s="88"/>
      <c r="E77" s="88"/>
      <c r="F77" s="88"/>
      <c r="G77" s="88"/>
      <c r="H77" s="89"/>
      <c r="I77" s="89"/>
      <c r="J77" s="88"/>
      <c r="K77" s="88"/>
      <c r="L77" s="88"/>
      <c r="M77" s="88"/>
      <c r="N77" s="88"/>
      <c r="O77" s="88"/>
      <c r="P77" s="88"/>
      <c r="Q77" s="88"/>
      <c r="R77" s="88"/>
      <c r="S77" s="88"/>
      <c r="T77" s="88"/>
    </row>
    <row r="78" spans="1:20" s="52" customFormat="1" ht="12.75" customHeight="1">
      <c r="A78" s="413"/>
      <c r="B78" s="51"/>
      <c r="C78" s="88"/>
      <c r="D78" s="88"/>
      <c r="E78" s="88"/>
      <c r="F78" s="88"/>
      <c r="G78" s="88"/>
      <c r="H78" s="89"/>
      <c r="I78" s="89"/>
      <c r="J78" s="88"/>
      <c r="K78" s="88"/>
      <c r="L78" s="88"/>
      <c r="M78" s="88"/>
      <c r="N78" s="88"/>
      <c r="O78" s="88"/>
      <c r="P78" s="88"/>
      <c r="Q78" s="88"/>
      <c r="R78" s="88"/>
      <c r="S78" s="88"/>
      <c r="T78" s="88"/>
    </row>
    <row r="79" spans="1:20" s="52" customFormat="1" ht="12.75" customHeight="1">
      <c r="A79" s="413"/>
      <c r="B79" s="51"/>
      <c r="C79" s="88"/>
      <c r="D79" s="88"/>
      <c r="E79" s="88"/>
      <c r="F79" s="88"/>
      <c r="G79" s="88"/>
      <c r="H79" s="89"/>
      <c r="I79" s="89"/>
      <c r="J79" s="88"/>
      <c r="K79" s="88"/>
      <c r="L79" s="88"/>
      <c r="M79" s="88"/>
      <c r="N79" s="88"/>
      <c r="O79" s="88"/>
      <c r="P79" s="88"/>
      <c r="Q79" s="88"/>
      <c r="R79" s="88"/>
      <c r="S79" s="88"/>
      <c r="T79" s="88"/>
    </row>
    <row r="80" spans="1:20" s="52" customFormat="1" ht="12.75" customHeight="1">
      <c r="A80" s="413"/>
      <c r="B80" s="51"/>
      <c r="C80" s="88"/>
      <c r="D80" s="88"/>
      <c r="E80" s="88"/>
      <c r="F80" s="88"/>
      <c r="G80" s="88"/>
      <c r="H80" s="89"/>
      <c r="I80" s="89"/>
      <c r="J80" s="88"/>
      <c r="K80" s="88"/>
      <c r="L80" s="88"/>
      <c r="M80" s="88"/>
      <c r="N80" s="88"/>
      <c r="O80" s="88"/>
      <c r="P80" s="88"/>
      <c r="Q80" s="88"/>
      <c r="R80" s="88"/>
      <c r="S80" s="88"/>
      <c r="T80" s="88"/>
    </row>
    <row r="81" spans="1:20" s="52" customFormat="1" ht="12.75" customHeight="1">
      <c r="A81" s="413"/>
      <c r="B81" s="51"/>
      <c r="C81" s="88"/>
      <c r="D81" s="88"/>
      <c r="E81" s="88"/>
      <c r="F81" s="88"/>
      <c r="G81" s="88"/>
      <c r="H81" s="89"/>
      <c r="I81" s="89"/>
      <c r="J81" s="88"/>
      <c r="K81" s="88"/>
      <c r="L81" s="88"/>
      <c r="M81" s="88"/>
      <c r="N81" s="88"/>
      <c r="O81" s="88"/>
      <c r="P81" s="88"/>
      <c r="Q81" s="88"/>
      <c r="R81" s="88"/>
      <c r="S81" s="88"/>
      <c r="T81" s="88"/>
    </row>
    <row r="82" spans="1:20" s="52" customFormat="1" ht="12.75" customHeight="1">
      <c r="A82" s="413"/>
      <c r="B82" s="51"/>
      <c r="C82" s="88"/>
      <c r="D82" s="88"/>
      <c r="E82" s="88"/>
      <c r="F82" s="88"/>
      <c r="G82" s="88"/>
      <c r="H82" s="89"/>
      <c r="I82" s="89"/>
      <c r="J82" s="88"/>
      <c r="K82" s="88"/>
      <c r="L82" s="88"/>
      <c r="M82" s="88"/>
      <c r="N82" s="88"/>
      <c r="O82" s="88"/>
      <c r="P82" s="88"/>
      <c r="Q82" s="88"/>
      <c r="R82" s="88"/>
      <c r="S82" s="88"/>
      <c r="T82" s="88"/>
    </row>
    <row r="83" spans="1:20" s="52" customFormat="1" ht="12.75" customHeight="1">
      <c r="A83" s="413"/>
      <c r="B83" s="51"/>
      <c r="C83" s="88"/>
      <c r="D83" s="88"/>
      <c r="E83" s="88"/>
      <c r="F83" s="88"/>
      <c r="G83" s="88"/>
      <c r="H83" s="89"/>
      <c r="I83" s="89"/>
      <c r="J83" s="88"/>
      <c r="K83" s="88"/>
      <c r="L83" s="88"/>
      <c r="M83" s="88"/>
      <c r="N83" s="88"/>
      <c r="O83" s="88"/>
      <c r="P83" s="88"/>
      <c r="Q83" s="88"/>
      <c r="R83" s="88"/>
      <c r="S83" s="88"/>
      <c r="T83" s="88"/>
    </row>
    <row r="84" spans="1:20" s="52" customFormat="1" ht="12.75" customHeight="1">
      <c r="A84" s="413"/>
      <c r="B84" s="51"/>
      <c r="C84" s="88"/>
      <c r="D84" s="88"/>
      <c r="E84" s="88"/>
      <c r="F84" s="88"/>
      <c r="G84" s="88"/>
      <c r="H84" s="89"/>
      <c r="I84" s="89"/>
      <c r="J84" s="88"/>
      <c r="K84" s="88"/>
      <c r="L84" s="88"/>
      <c r="M84" s="88"/>
      <c r="N84" s="88"/>
      <c r="O84" s="88"/>
      <c r="P84" s="88"/>
      <c r="Q84" s="88"/>
      <c r="R84" s="88"/>
      <c r="S84" s="88"/>
      <c r="T84" s="88"/>
    </row>
    <row r="85" spans="1:20" s="52" customFormat="1" ht="12.75" customHeight="1">
      <c r="A85" s="413"/>
      <c r="B85" s="51"/>
      <c r="C85" s="88"/>
      <c r="D85" s="88"/>
      <c r="E85" s="88"/>
      <c r="F85" s="88"/>
      <c r="G85" s="88"/>
      <c r="H85" s="89"/>
      <c r="I85" s="89"/>
      <c r="J85" s="88"/>
      <c r="K85" s="88"/>
      <c r="L85" s="88"/>
      <c r="M85" s="88"/>
      <c r="N85" s="88"/>
      <c r="O85" s="88"/>
      <c r="P85" s="88"/>
      <c r="Q85" s="88"/>
      <c r="R85" s="88"/>
      <c r="S85" s="88"/>
      <c r="T85" s="88"/>
    </row>
    <row r="86" spans="1:20" s="52" customFormat="1" ht="12.75" customHeight="1">
      <c r="A86" s="413"/>
      <c r="B86" s="51"/>
      <c r="C86" s="88"/>
      <c r="D86" s="88"/>
      <c r="E86" s="88"/>
      <c r="F86" s="88"/>
      <c r="G86" s="88"/>
      <c r="H86" s="89"/>
      <c r="I86" s="89"/>
      <c r="J86" s="88"/>
      <c r="K86" s="88"/>
      <c r="L86" s="88"/>
      <c r="M86" s="88"/>
      <c r="N86" s="88"/>
      <c r="O86" s="88"/>
      <c r="P86" s="88"/>
      <c r="Q86" s="88"/>
      <c r="R86" s="88"/>
      <c r="S86" s="88"/>
      <c r="T86" s="88"/>
    </row>
    <row r="87" spans="1:20" s="52" customFormat="1" ht="12.75" customHeight="1">
      <c r="A87" s="413"/>
      <c r="B87" s="51"/>
      <c r="C87" s="88"/>
      <c r="D87" s="88"/>
      <c r="E87" s="88"/>
      <c r="F87" s="88"/>
      <c r="G87" s="88"/>
      <c r="H87" s="89"/>
      <c r="I87" s="89"/>
      <c r="J87" s="88"/>
      <c r="K87" s="88"/>
      <c r="L87" s="88"/>
      <c r="M87" s="88"/>
      <c r="N87" s="88"/>
      <c r="O87" s="88"/>
      <c r="P87" s="88"/>
      <c r="Q87" s="88"/>
      <c r="R87" s="88"/>
      <c r="S87" s="88"/>
      <c r="T87" s="88"/>
    </row>
    <row r="88" spans="1:20" s="52" customFormat="1" ht="12.75" customHeight="1">
      <c r="A88" s="413"/>
      <c r="B88" s="51"/>
      <c r="C88" s="88"/>
      <c r="D88" s="88"/>
      <c r="E88" s="88"/>
      <c r="F88" s="88"/>
      <c r="G88" s="88"/>
      <c r="H88" s="89"/>
      <c r="I88" s="89"/>
      <c r="J88" s="88"/>
      <c r="K88" s="88"/>
      <c r="L88" s="88"/>
      <c r="M88" s="88"/>
      <c r="N88" s="88"/>
      <c r="O88" s="88"/>
      <c r="P88" s="88"/>
      <c r="Q88" s="88"/>
      <c r="R88" s="88"/>
      <c r="S88" s="88"/>
      <c r="T88" s="88"/>
    </row>
    <row r="89" spans="1:20" s="52" customFormat="1" ht="12.75" customHeight="1">
      <c r="A89" s="413"/>
      <c r="B89" s="51"/>
      <c r="C89" s="88"/>
      <c r="D89" s="88"/>
      <c r="E89" s="88"/>
      <c r="F89" s="88"/>
      <c r="G89" s="88"/>
      <c r="H89" s="89"/>
      <c r="I89" s="89"/>
      <c r="J89" s="88"/>
      <c r="K89" s="88"/>
      <c r="L89" s="88"/>
      <c r="M89" s="88"/>
      <c r="N89" s="88"/>
      <c r="O89" s="88"/>
      <c r="P89" s="88"/>
      <c r="Q89" s="88"/>
      <c r="R89" s="88"/>
      <c r="S89" s="88"/>
      <c r="T89" s="88"/>
    </row>
    <row r="90" spans="1:20" s="52" customFormat="1" ht="12.75" customHeight="1">
      <c r="A90" s="413"/>
      <c r="B90" s="51"/>
      <c r="C90" s="88"/>
      <c r="D90" s="88"/>
      <c r="E90" s="88"/>
      <c r="F90" s="88"/>
      <c r="G90" s="88"/>
      <c r="H90" s="89"/>
      <c r="I90" s="89"/>
      <c r="J90" s="88"/>
      <c r="K90" s="88"/>
      <c r="L90" s="88"/>
      <c r="M90" s="88"/>
      <c r="N90" s="88"/>
      <c r="O90" s="88"/>
      <c r="P90" s="88"/>
      <c r="Q90" s="88"/>
      <c r="R90" s="88"/>
      <c r="S90" s="88"/>
      <c r="T90" s="88"/>
    </row>
    <row r="91" spans="1:20" s="52" customFormat="1" ht="12.75" customHeight="1">
      <c r="A91" s="413"/>
      <c r="B91" s="51"/>
      <c r="C91" s="88"/>
      <c r="D91" s="88"/>
      <c r="E91" s="88"/>
      <c r="F91" s="88"/>
      <c r="G91" s="88"/>
      <c r="H91" s="89"/>
      <c r="I91" s="89"/>
      <c r="J91" s="88"/>
      <c r="K91" s="88"/>
      <c r="L91" s="88"/>
      <c r="M91" s="88"/>
      <c r="N91" s="88"/>
      <c r="O91" s="88"/>
      <c r="P91" s="88"/>
      <c r="Q91" s="88"/>
      <c r="R91" s="88"/>
      <c r="S91" s="88"/>
      <c r="T91" s="88"/>
    </row>
    <row r="92" spans="1:20" s="52" customFormat="1" ht="12.75" customHeight="1">
      <c r="A92" s="413"/>
      <c r="B92" s="51"/>
      <c r="C92" s="88"/>
      <c r="D92" s="88"/>
      <c r="E92" s="88"/>
      <c r="F92" s="88"/>
      <c r="G92" s="88"/>
      <c r="H92" s="89"/>
      <c r="I92" s="89"/>
      <c r="J92" s="88"/>
      <c r="K92" s="88"/>
      <c r="L92" s="88"/>
      <c r="M92" s="88"/>
      <c r="N92" s="88"/>
      <c r="O92" s="88"/>
      <c r="P92" s="88"/>
      <c r="Q92" s="88"/>
      <c r="R92" s="88"/>
      <c r="S92" s="88"/>
      <c r="T92" s="88"/>
    </row>
    <row r="93" spans="1:20" s="52" customFormat="1" ht="12.75" customHeight="1">
      <c r="A93" s="413"/>
      <c r="B93" s="51"/>
      <c r="C93" s="88"/>
      <c r="D93" s="88"/>
      <c r="E93" s="88"/>
      <c r="F93" s="88"/>
      <c r="G93" s="88"/>
      <c r="H93" s="89"/>
      <c r="I93" s="89"/>
      <c r="J93" s="88"/>
      <c r="K93" s="88"/>
      <c r="L93" s="88"/>
      <c r="M93" s="88"/>
      <c r="N93" s="88"/>
      <c r="O93" s="88"/>
      <c r="P93" s="88"/>
      <c r="Q93" s="88"/>
      <c r="R93" s="88"/>
      <c r="S93" s="88"/>
      <c r="T93" s="88"/>
    </row>
    <row r="94" spans="1:20" s="52" customFormat="1" ht="12.75" customHeight="1">
      <c r="A94" s="413"/>
      <c r="B94" s="51"/>
      <c r="C94" s="88"/>
      <c r="D94" s="88"/>
      <c r="E94" s="88"/>
      <c r="F94" s="88"/>
      <c r="G94" s="88"/>
      <c r="H94" s="89"/>
      <c r="I94" s="89"/>
      <c r="J94" s="88"/>
      <c r="K94" s="88"/>
      <c r="L94" s="88"/>
      <c r="M94" s="88"/>
      <c r="N94" s="88"/>
      <c r="O94" s="88"/>
      <c r="P94" s="88"/>
      <c r="Q94" s="88"/>
      <c r="R94" s="88"/>
      <c r="S94" s="88"/>
      <c r="T94" s="88"/>
    </row>
    <row r="95" spans="1:20" s="52" customFormat="1" ht="12.75" customHeight="1">
      <c r="A95" s="413"/>
      <c r="B95" s="51"/>
      <c r="C95" s="88"/>
      <c r="D95" s="88"/>
      <c r="E95" s="88"/>
      <c r="F95" s="88"/>
      <c r="G95" s="88"/>
      <c r="H95" s="89"/>
      <c r="I95" s="89"/>
      <c r="J95" s="88"/>
      <c r="K95" s="88"/>
      <c r="L95" s="88"/>
      <c r="M95" s="88"/>
      <c r="N95" s="88"/>
      <c r="O95" s="88"/>
      <c r="P95" s="88"/>
      <c r="Q95" s="88"/>
      <c r="R95" s="88"/>
      <c r="S95" s="88"/>
      <c r="T95" s="88"/>
    </row>
    <row r="96" spans="1:20" s="52" customFormat="1" ht="12.75" customHeight="1">
      <c r="A96" s="413"/>
      <c r="B96" s="51"/>
      <c r="C96" s="88"/>
      <c r="D96" s="88"/>
      <c r="E96" s="88"/>
      <c r="F96" s="88"/>
      <c r="G96" s="88"/>
      <c r="H96" s="89"/>
      <c r="I96" s="89"/>
      <c r="J96" s="88"/>
      <c r="K96" s="88"/>
      <c r="L96" s="88"/>
      <c r="M96" s="88"/>
      <c r="N96" s="88"/>
      <c r="O96" s="88"/>
      <c r="P96" s="88"/>
      <c r="Q96" s="88"/>
      <c r="R96" s="88"/>
      <c r="S96" s="88"/>
      <c r="T96" s="88"/>
    </row>
    <row r="97" spans="1:20" s="52" customFormat="1" ht="12.75" customHeight="1">
      <c r="A97" s="413"/>
      <c r="B97" s="51"/>
      <c r="C97" s="88"/>
      <c r="D97" s="88"/>
      <c r="E97" s="88"/>
      <c r="F97" s="88"/>
      <c r="G97" s="88"/>
      <c r="H97" s="89"/>
      <c r="I97" s="89"/>
      <c r="J97" s="88"/>
      <c r="K97" s="88"/>
      <c r="L97" s="88"/>
      <c r="M97" s="88"/>
      <c r="N97" s="88"/>
      <c r="O97" s="88"/>
      <c r="P97" s="88"/>
      <c r="Q97" s="88"/>
      <c r="R97" s="88"/>
      <c r="S97" s="88"/>
      <c r="T97" s="88"/>
    </row>
    <row r="98" spans="1:20" s="52" customFormat="1" ht="12.75" customHeight="1">
      <c r="A98" s="413"/>
      <c r="B98" s="51"/>
      <c r="C98" s="88"/>
      <c r="D98" s="88"/>
      <c r="E98" s="88"/>
      <c r="F98" s="88"/>
      <c r="G98" s="88"/>
      <c r="H98" s="89"/>
      <c r="I98" s="89"/>
      <c r="J98" s="88"/>
      <c r="K98" s="88"/>
      <c r="L98" s="88"/>
      <c r="M98" s="88"/>
      <c r="N98" s="88"/>
      <c r="O98" s="88"/>
      <c r="P98" s="88"/>
      <c r="Q98" s="88"/>
      <c r="R98" s="88"/>
      <c r="S98" s="88"/>
      <c r="T98" s="88"/>
    </row>
    <row r="99" spans="1:20" s="52" customFormat="1" ht="12.75" customHeight="1">
      <c r="A99" s="413"/>
      <c r="B99" s="51"/>
      <c r="C99" s="88"/>
      <c r="D99" s="88"/>
      <c r="E99" s="88"/>
      <c r="F99" s="88"/>
      <c r="G99" s="88"/>
      <c r="H99" s="89"/>
      <c r="I99" s="89"/>
      <c r="J99" s="88"/>
      <c r="K99" s="88"/>
      <c r="L99" s="88"/>
      <c r="M99" s="88"/>
      <c r="N99" s="88"/>
      <c r="O99" s="88"/>
      <c r="P99" s="88"/>
      <c r="Q99" s="88"/>
      <c r="R99" s="88"/>
      <c r="S99" s="88"/>
      <c r="T99" s="88"/>
    </row>
    <row r="100" spans="1:20" s="52" customFormat="1" ht="12.75" customHeight="1">
      <c r="A100" s="413"/>
      <c r="B100" s="51"/>
      <c r="C100" s="88"/>
      <c r="D100" s="88"/>
      <c r="E100" s="88"/>
      <c r="F100" s="88"/>
      <c r="G100" s="88"/>
      <c r="H100" s="89"/>
      <c r="I100" s="89"/>
      <c r="J100" s="88"/>
      <c r="K100" s="88"/>
      <c r="L100" s="88"/>
      <c r="M100" s="88"/>
      <c r="N100" s="88"/>
      <c r="O100" s="88"/>
      <c r="P100" s="88"/>
      <c r="Q100" s="88"/>
      <c r="R100" s="88"/>
      <c r="S100" s="88"/>
      <c r="T100" s="88"/>
    </row>
    <row r="101" spans="1:20" s="52" customFormat="1" ht="12.75" customHeight="1">
      <c r="A101" s="413"/>
      <c r="B101" s="51"/>
      <c r="C101" s="88"/>
      <c r="D101" s="88"/>
      <c r="E101" s="88"/>
      <c r="F101" s="88"/>
      <c r="G101" s="88"/>
      <c r="H101" s="89"/>
      <c r="I101" s="89"/>
      <c r="J101" s="88"/>
      <c r="K101" s="88"/>
      <c r="L101" s="88"/>
      <c r="M101" s="88"/>
      <c r="N101" s="88"/>
      <c r="O101" s="88"/>
      <c r="P101" s="88"/>
      <c r="Q101" s="88"/>
      <c r="R101" s="88"/>
      <c r="S101" s="88"/>
      <c r="T101" s="88"/>
    </row>
    <row r="102" spans="1:20" s="52" customFormat="1" ht="12.75" customHeight="1">
      <c r="A102" s="413"/>
      <c r="B102" s="51"/>
      <c r="C102" s="88"/>
      <c r="D102" s="88"/>
      <c r="E102" s="88"/>
      <c r="F102" s="88"/>
      <c r="G102" s="88"/>
      <c r="H102" s="89"/>
      <c r="I102" s="89"/>
      <c r="J102" s="88"/>
      <c r="K102" s="88"/>
      <c r="L102" s="88"/>
      <c r="M102" s="88"/>
      <c r="N102" s="88"/>
      <c r="O102" s="88"/>
      <c r="P102" s="88"/>
      <c r="Q102" s="88"/>
      <c r="R102" s="88"/>
      <c r="S102" s="88"/>
      <c r="T102" s="88"/>
    </row>
    <row r="103" spans="1:20" s="52" customFormat="1" ht="12.75" customHeight="1">
      <c r="A103" s="413"/>
      <c r="B103" s="51"/>
      <c r="C103" s="88"/>
      <c r="D103" s="88"/>
      <c r="E103" s="88"/>
      <c r="F103" s="88"/>
      <c r="G103" s="88"/>
      <c r="H103" s="89"/>
      <c r="I103" s="89"/>
      <c r="J103" s="88"/>
      <c r="K103" s="88"/>
      <c r="L103" s="88"/>
      <c r="M103" s="88"/>
      <c r="N103" s="88"/>
      <c r="O103" s="88"/>
      <c r="P103" s="88"/>
      <c r="Q103" s="88"/>
      <c r="R103" s="88"/>
      <c r="S103" s="88"/>
      <c r="T103" s="88"/>
    </row>
    <row r="104" spans="1:20" s="52" customFormat="1" ht="12.75" customHeight="1">
      <c r="A104" s="413"/>
      <c r="B104" s="51"/>
      <c r="C104" s="88"/>
      <c r="D104" s="88"/>
      <c r="E104" s="88"/>
      <c r="F104" s="88"/>
      <c r="G104" s="88"/>
      <c r="H104" s="89"/>
      <c r="I104" s="89"/>
      <c r="J104" s="88"/>
      <c r="K104" s="88"/>
      <c r="L104" s="88"/>
      <c r="M104" s="88"/>
      <c r="N104" s="88"/>
      <c r="O104" s="88"/>
      <c r="P104" s="88"/>
      <c r="Q104" s="88"/>
      <c r="R104" s="88"/>
      <c r="S104" s="88"/>
      <c r="T104" s="88"/>
    </row>
    <row r="105" spans="1:20" s="52" customFormat="1" ht="12.75" customHeight="1">
      <c r="A105" s="413"/>
      <c r="B105" s="51"/>
      <c r="C105" s="88"/>
      <c r="D105" s="88"/>
      <c r="E105" s="88"/>
      <c r="F105" s="88"/>
      <c r="G105" s="88"/>
      <c r="H105" s="89"/>
      <c r="I105" s="89"/>
      <c r="J105" s="88"/>
      <c r="K105" s="88"/>
      <c r="L105" s="88"/>
      <c r="M105" s="88"/>
      <c r="N105" s="88"/>
      <c r="O105" s="88"/>
      <c r="P105" s="88"/>
      <c r="Q105" s="88"/>
      <c r="R105" s="88"/>
      <c r="S105" s="88"/>
      <c r="T105" s="88"/>
    </row>
    <row r="106" spans="1:20" s="52" customFormat="1" ht="12.75" customHeight="1">
      <c r="A106" s="413"/>
      <c r="B106" s="51"/>
      <c r="C106" s="88"/>
      <c r="D106" s="88"/>
      <c r="E106" s="88"/>
      <c r="F106" s="88"/>
      <c r="G106" s="88"/>
      <c r="H106" s="89"/>
      <c r="I106" s="89"/>
      <c r="J106" s="88"/>
      <c r="K106" s="88"/>
      <c r="L106" s="88"/>
      <c r="M106" s="88"/>
      <c r="N106" s="88"/>
      <c r="O106" s="88"/>
      <c r="P106" s="88"/>
      <c r="Q106" s="88"/>
      <c r="R106" s="88"/>
      <c r="S106" s="88"/>
      <c r="T106" s="88"/>
    </row>
    <row r="107" spans="1:20" s="52" customFormat="1" ht="12.75" customHeight="1">
      <c r="A107" s="413"/>
      <c r="B107" s="51"/>
      <c r="C107" s="88"/>
      <c r="D107" s="88"/>
      <c r="E107" s="88"/>
      <c r="F107" s="88"/>
      <c r="G107" s="88"/>
      <c r="H107" s="89"/>
      <c r="I107" s="89"/>
      <c r="J107" s="88"/>
      <c r="K107" s="88"/>
      <c r="L107" s="88"/>
      <c r="M107" s="88"/>
      <c r="N107" s="88"/>
      <c r="O107" s="88"/>
      <c r="P107" s="88"/>
      <c r="Q107" s="88"/>
      <c r="R107" s="88"/>
      <c r="S107" s="88"/>
      <c r="T107" s="88"/>
    </row>
    <row r="108" spans="1:20" s="52" customFormat="1" ht="12.75" customHeight="1">
      <c r="A108" s="413"/>
      <c r="B108" s="51"/>
      <c r="C108" s="88"/>
      <c r="D108" s="88"/>
      <c r="E108" s="88"/>
      <c r="F108" s="88"/>
      <c r="G108" s="88"/>
      <c r="H108" s="89"/>
      <c r="I108" s="89"/>
      <c r="J108" s="88"/>
      <c r="K108" s="88"/>
      <c r="L108" s="88"/>
      <c r="M108" s="88"/>
      <c r="N108" s="88"/>
      <c r="O108" s="88"/>
      <c r="P108" s="88"/>
      <c r="Q108" s="88"/>
      <c r="R108" s="88"/>
      <c r="S108" s="88"/>
      <c r="T108" s="88"/>
    </row>
    <row r="109" spans="1:20" s="52" customFormat="1" ht="12.75" customHeight="1">
      <c r="A109" s="413"/>
      <c r="B109" s="51"/>
      <c r="C109" s="88"/>
      <c r="D109" s="88"/>
      <c r="E109" s="88"/>
      <c r="F109" s="88"/>
      <c r="G109" s="88"/>
      <c r="H109" s="89"/>
      <c r="I109" s="89"/>
      <c r="J109" s="88"/>
      <c r="K109" s="88"/>
      <c r="L109" s="88"/>
      <c r="M109" s="88"/>
      <c r="N109" s="88"/>
      <c r="O109" s="88"/>
      <c r="P109" s="88"/>
      <c r="Q109" s="88"/>
      <c r="R109" s="88"/>
      <c r="S109" s="88"/>
      <c r="T109" s="88"/>
    </row>
    <row r="110" spans="1:20" s="52" customFormat="1" ht="12.75" customHeight="1">
      <c r="A110" s="413"/>
      <c r="B110" s="51"/>
      <c r="C110" s="88"/>
      <c r="D110" s="88"/>
      <c r="E110" s="88"/>
      <c r="F110" s="88"/>
      <c r="G110" s="88"/>
      <c r="H110" s="89"/>
      <c r="I110" s="89"/>
      <c r="J110" s="88"/>
      <c r="K110" s="88"/>
      <c r="L110" s="88"/>
      <c r="M110" s="88"/>
      <c r="N110" s="88"/>
      <c r="O110" s="88"/>
      <c r="P110" s="88"/>
      <c r="Q110" s="88"/>
      <c r="R110" s="88"/>
      <c r="S110" s="88"/>
      <c r="T110" s="88"/>
    </row>
    <row r="111" spans="1:20" s="52" customFormat="1" ht="12.75" customHeight="1">
      <c r="A111" s="413"/>
      <c r="B111" s="51"/>
      <c r="C111" s="88"/>
      <c r="D111" s="88"/>
      <c r="E111" s="88"/>
      <c r="F111" s="88"/>
      <c r="G111" s="88"/>
      <c r="H111" s="89"/>
      <c r="I111" s="89"/>
      <c r="J111" s="88"/>
      <c r="K111" s="88"/>
      <c r="L111" s="88"/>
      <c r="M111" s="88"/>
      <c r="N111" s="88"/>
      <c r="O111" s="88"/>
      <c r="P111" s="88"/>
      <c r="Q111" s="88"/>
      <c r="R111" s="88"/>
      <c r="S111" s="88"/>
      <c r="T111" s="88"/>
    </row>
    <row r="112" spans="1:20" s="52" customFormat="1" ht="12.75" customHeight="1">
      <c r="A112" s="413"/>
      <c r="B112" s="51"/>
      <c r="C112" s="88"/>
      <c r="D112" s="88"/>
      <c r="E112" s="88"/>
      <c r="F112" s="88"/>
      <c r="G112" s="88"/>
      <c r="H112" s="89"/>
      <c r="I112" s="89"/>
      <c r="J112" s="88"/>
      <c r="K112" s="88"/>
      <c r="L112" s="88"/>
      <c r="M112" s="88"/>
      <c r="N112" s="88"/>
      <c r="O112" s="88"/>
      <c r="P112" s="88"/>
      <c r="Q112" s="88"/>
      <c r="R112" s="88"/>
      <c r="S112" s="88"/>
      <c r="T112" s="88"/>
    </row>
    <row r="113" spans="1:20" s="52" customFormat="1" ht="12.75" customHeight="1">
      <c r="A113" s="413"/>
      <c r="B113" s="51"/>
      <c r="C113" s="88"/>
      <c r="D113" s="88"/>
      <c r="E113" s="88"/>
      <c r="F113" s="88"/>
      <c r="G113" s="88"/>
      <c r="H113" s="89"/>
      <c r="I113" s="89"/>
      <c r="J113" s="88"/>
      <c r="K113" s="88"/>
      <c r="L113" s="88"/>
      <c r="M113" s="88"/>
      <c r="N113" s="88"/>
      <c r="O113" s="88"/>
      <c r="P113" s="88"/>
      <c r="Q113" s="88"/>
      <c r="R113" s="88"/>
      <c r="S113" s="88"/>
      <c r="T113" s="88"/>
    </row>
    <row r="114" spans="1:20" s="52" customFormat="1" ht="12.75" customHeight="1">
      <c r="A114" s="413"/>
      <c r="B114" s="51"/>
      <c r="C114" s="88"/>
      <c r="D114" s="88"/>
      <c r="E114" s="88"/>
      <c r="F114" s="88"/>
      <c r="G114" s="88"/>
      <c r="H114" s="89"/>
      <c r="I114" s="89"/>
      <c r="J114" s="88"/>
      <c r="K114" s="88"/>
      <c r="L114" s="88"/>
      <c r="M114" s="88"/>
      <c r="N114" s="88"/>
      <c r="O114" s="88"/>
      <c r="P114" s="88"/>
      <c r="Q114" s="88"/>
      <c r="R114" s="88"/>
      <c r="S114" s="88"/>
      <c r="T114" s="88"/>
    </row>
    <row r="115" spans="1:20" s="52" customFormat="1" ht="12.75" customHeight="1">
      <c r="A115" s="413"/>
      <c r="B115" s="51"/>
      <c r="C115" s="88"/>
      <c r="D115" s="88"/>
      <c r="E115" s="88"/>
      <c r="F115" s="88"/>
      <c r="G115" s="88"/>
      <c r="H115" s="89"/>
      <c r="I115" s="89"/>
      <c r="J115" s="88"/>
      <c r="K115" s="88"/>
      <c r="L115" s="88"/>
      <c r="M115" s="88"/>
      <c r="N115" s="88"/>
      <c r="O115" s="88"/>
      <c r="P115" s="88"/>
      <c r="Q115" s="88"/>
      <c r="R115" s="88"/>
      <c r="S115" s="88"/>
      <c r="T115" s="88"/>
    </row>
    <row r="116" spans="1:20" s="52" customFormat="1" ht="12.75" customHeight="1">
      <c r="A116" s="413"/>
      <c r="B116" s="51"/>
      <c r="C116" s="88"/>
      <c r="D116" s="88"/>
      <c r="E116" s="88"/>
      <c r="F116" s="88"/>
      <c r="G116" s="88"/>
      <c r="H116" s="89"/>
      <c r="I116" s="89"/>
      <c r="J116" s="88"/>
      <c r="K116" s="88"/>
      <c r="L116" s="88"/>
      <c r="M116" s="88"/>
      <c r="N116" s="88"/>
      <c r="O116" s="88"/>
      <c r="P116" s="88"/>
      <c r="Q116" s="88"/>
      <c r="R116" s="88"/>
      <c r="S116" s="88"/>
      <c r="T116" s="88"/>
    </row>
    <row r="117" spans="1:20" s="52" customFormat="1" ht="12.75" customHeight="1">
      <c r="A117" s="413"/>
      <c r="B117" s="51"/>
      <c r="C117" s="88"/>
      <c r="D117" s="88"/>
      <c r="E117" s="88"/>
      <c r="F117" s="88"/>
      <c r="G117" s="88"/>
      <c r="H117" s="89"/>
      <c r="I117" s="89"/>
      <c r="J117" s="88"/>
      <c r="K117" s="88"/>
      <c r="L117" s="88"/>
      <c r="M117" s="88"/>
      <c r="N117" s="88"/>
      <c r="O117" s="88"/>
      <c r="P117" s="88"/>
      <c r="Q117" s="88"/>
      <c r="R117" s="88"/>
      <c r="S117" s="88"/>
      <c r="T117" s="88"/>
    </row>
    <row r="118" spans="1:20" s="52" customFormat="1" ht="12.75" customHeight="1">
      <c r="A118" s="413"/>
      <c r="B118" s="51"/>
      <c r="C118" s="88"/>
      <c r="D118" s="88"/>
      <c r="E118" s="88"/>
      <c r="F118" s="88"/>
      <c r="G118" s="88"/>
      <c r="H118" s="89"/>
      <c r="I118" s="89"/>
      <c r="J118" s="88"/>
      <c r="K118" s="88"/>
      <c r="L118" s="88"/>
      <c r="M118" s="88"/>
      <c r="N118" s="88"/>
      <c r="O118" s="88"/>
      <c r="P118" s="88"/>
      <c r="Q118" s="88"/>
      <c r="R118" s="88"/>
      <c r="S118" s="88"/>
      <c r="T118" s="88"/>
    </row>
    <row r="119" spans="1:20" s="52" customFormat="1" ht="12.75" customHeight="1">
      <c r="A119" s="413"/>
      <c r="B119" s="51"/>
      <c r="C119" s="88"/>
      <c r="D119" s="88"/>
      <c r="E119" s="88"/>
      <c r="F119" s="88"/>
      <c r="G119" s="88"/>
      <c r="H119" s="89"/>
      <c r="I119" s="89"/>
      <c r="J119" s="88"/>
      <c r="K119" s="88"/>
      <c r="L119" s="88"/>
      <c r="M119" s="88"/>
      <c r="N119" s="88"/>
      <c r="O119" s="88"/>
      <c r="P119" s="88"/>
      <c r="Q119" s="88"/>
      <c r="R119" s="88"/>
      <c r="S119" s="88"/>
      <c r="T119" s="88"/>
    </row>
    <row r="120" spans="1:20" s="52" customFormat="1" ht="12.75" customHeight="1">
      <c r="A120" s="413"/>
      <c r="B120" s="51"/>
      <c r="C120" s="88"/>
      <c r="D120" s="88"/>
      <c r="E120" s="88"/>
      <c r="F120" s="88"/>
      <c r="G120" s="88"/>
      <c r="H120" s="89"/>
      <c r="I120" s="89"/>
      <c r="J120" s="88"/>
      <c r="K120" s="88"/>
      <c r="L120" s="88"/>
      <c r="M120" s="88"/>
      <c r="N120" s="88"/>
      <c r="O120" s="88"/>
      <c r="P120" s="88"/>
      <c r="Q120" s="88"/>
      <c r="R120" s="88"/>
      <c r="S120" s="88"/>
      <c r="T120" s="88"/>
    </row>
    <row r="121" spans="1:20" s="52" customFormat="1" ht="12.75" customHeight="1">
      <c r="A121" s="413"/>
      <c r="B121" s="51"/>
      <c r="C121" s="88"/>
      <c r="D121" s="88"/>
      <c r="E121" s="88"/>
      <c r="F121" s="88"/>
      <c r="G121" s="88"/>
      <c r="H121" s="89"/>
      <c r="I121" s="89"/>
      <c r="J121" s="88"/>
      <c r="K121" s="88"/>
      <c r="L121" s="88"/>
      <c r="M121" s="88"/>
      <c r="N121" s="88"/>
      <c r="O121" s="88"/>
      <c r="P121" s="88"/>
      <c r="Q121" s="88"/>
      <c r="R121" s="88"/>
      <c r="S121" s="88"/>
      <c r="T121" s="88"/>
    </row>
    <row r="122" spans="1:20" s="52" customFormat="1" ht="12.75" customHeight="1">
      <c r="A122" s="413"/>
      <c r="B122" s="51"/>
      <c r="C122" s="88"/>
      <c r="D122" s="88"/>
      <c r="E122" s="88"/>
      <c r="F122" s="88"/>
      <c r="G122" s="88"/>
      <c r="H122" s="89"/>
      <c r="I122" s="89"/>
      <c r="J122" s="88"/>
      <c r="K122" s="88"/>
      <c r="L122" s="88"/>
      <c r="M122" s="88"/>
      <c r="N122" s="88"/>
      <c r="O122" s="88"/>
      <c r="P122" s="88"/>
      <c r="Q122" s="88"/>
      <c r="R122" s="88"/>
      <c r="S122" s="88"/>
      <c r="T122" s="88"/>
    </row>
    <row r="123" spans="1:20" s="52" customFormat="1" ht="12.75" customHeight="1">
      <c r="A123" s="413"/>
      <c r="B123" s="51"/>
      <c r="C123" s="88"/>
      <c r="D123" s="88"/>
      <c r="E123" s="88"/>
      <c r="F123" s="88"/>
      <c r="G123" s="88"/>
      <c r="H123" s="89"/>
      <c r="I123" s="89"/>
      <c r="J123" s="88"/>
      <c r="K123" s="88"/>
      <c r="L123" s="88"/>
      <c r="M123" s="88"/>
      <c r="N123" s="88"/>
      <c r="O123" s="88"/>
      <c r="P123" s="88"/>
      <c r="Q123" s="88"/>
      <c r="R123" s="88"/>
      <c r="S123" s="88"/>
      <c r="T123" s="88"/>
    </row>
    <row r="124" spans="1:20" s="52" customFormat="1" ht="12.75" customHeight="1">
      <c r="A124" s="413"/>
      <c r="B124" s="51"/>
      <c r="C124" s="88"/>
      <c r="D124" s="88"/>
      <c r="E124" s="88"/>
      <c r="F124" s="88"/>
      <c r="G124" s="88"/>
      <c r="H124" s="89"/>
      <c r="I124" s="89"/>
      <c r="J124" s="88"/>
      <c r="K124" s="88"/>
      <c r="L124" s="88"/>
      <c r="M124" s="88"/>
      <c r="N124" s="88"/>
      <c r="O124" s="88"/>
      <c r="P124" s="88"/>
      <c r="Q124" s="88"/>
      <c r="R124" s="88"/>
      <c r="S124" s="88"/>
      <c r="T124" s="88"/>
    </row>
    <row r="125" spans="1:20" s="52" customFormat="1" ht="12.75" customHeight="1">
      <c r="A125" s="413"/>
      <c r="B125" s="51"/>
      <c r="C125" s="88"/>
      <c r="D125" s="88"/>
      <c r="E125" s="88"/>
      <c r="F125" s="88"/>
      <c r="G125" s="88"/>
      <c r="H125" s="89"/>
      <c r="I125" s="89"/>
      <c r="J125" s="88"/>
      <c r="K125" s="88"/>
      <c r="L125" s="88"/>
      <c r="M125" s="88"/>
      <c r="N125" s="88"/>
      <c r="O125" s="88"/>
      <c r="P125" s="88"/>
      <c r="Q125" s="88"/>
      <c r="R125" s="88"/>
      <c r="S125" s="88"/>
      <c r="T125" s="88"/>
    </row>
    <row r="126" spans="1:20" s="52" customFormat="1" ht="12.75" customHeight="1">
      <c r="A126" s="413"/>
      <c r="B126" s="51"/>
      <c r="C126" s="88"/>
      <c r="D126" s="88"/>
      <c r="E126" s="88"/>
      <c r="F126" s="88"/>
      <c r="G126" s="88"/>
      <c r="H126" s="89"/>
      <c r="I126" s="89"/>
      <c r="J126" s="88"/>
      <c r="K126" s="88"/>
      <c r="L126" s="88"/>
      <c r="M126" s="88"/>
      <c r="N126" s="88"/>
      <c r="O126" s="88"/>
      <c r="P126" s="88"/>
      <c r="Q126" s="88"/>
      <c r="R126" s="88"/>
      <c r="S126" s="88"/>
      <c r="T126" s="88"/>
    </row>
    <row r="127" spans="1:20" s="52" customFormat="1" ht="12.75" customHeight="1">
      <c r="A127" s="413"/>
      <c r="B127" s="51"/>
      <c r="C127" s="88"/>
      <c r="D127" s="88"/>
      <c r="E127" s="88"/>
      <c r="F127" s="88"/>
      <c r="G127" s="88"/>
      <c r="H127" s="89"/>
      <c r="I127" s="89"/>
      <c r="J127" s="88"/>
      <c r="K127" s="88"/>
      <c r="L127" s="88"/>
      <c r="M127" s="88"/>
      <c r="N127" s="88"/>
      <c r="O127" s="88"/>
      <c r="P127" s="88"/>
      <c r="Q127" s="88"/>
      <c r="R127" s="88"/>
      <c r="S127" s="88"/>
      <c r="T127" s="88"/>
    </row>
    <row r="128" spans="1:20" s="52" customFormat="1" ht="12.75" customHeight="1">
      <c r="A128" s="413"/>
      <c r="B128" s="51"/>
      <c r="C128" s="88"/>
      <c r="D128" s="88"/>
      <c r="E128" s="88"/>
      <c r="F128" s="88"/>
      <c r="G128" s="88"/>
      <c r="H128" s="89"/>
      <c r="I128" s="89"/>
      <c r="J128" s="88"/>
      <c r="K128" s="88"/>
      <c r="L128" s="88"/>
      <c r="M128" s="88"/>
      <c r="N128" s="88"/>
      <c r="O128" s="88"/>
      <c r="P128" s="88"/>
      <c r="Q128" s="88"/>
      <c r="R128" s="88"/>
      <c r="S128" s="88"/>
      <c r="T128" s="88"/>
    </row>
    <row r="129" spans="1:20" s="52" customFormat="1" ht="12.75" customHeight="1">
      <c r="A129" s="413"/>
      <c r="B129" s="51"/>
      <c r="C129" s="88"/>
      <c r="D129" s="88"/>
      <c r="E129" s="88"/>
      <c r="F129" s="88"/>
      <c r="G129" s="88"/>
      <c r="H129" s="89"/>
      <c r="I129" s="89"/>
      <c r="J129" s="88"/>
      <c r="K129" s="88"/>
      <c r="L129" s="88"/>
      <c r="M129" s="88"/>
      <c r="N129" s="88"/>
      <c r="O129" s="88"/>
      <c r="P129" s="88"/>
      <c r="Q129" s="88"/>
      <c r="R129" s="88"/>
      <c r="S129" s="88"/>
      <c r="T129" s="88"/>
    </row>
    <row r="130" spans="1:20" s="52" customFormat="1" ht="12.75" customHeight="1">
      <c r="A130" s="413"/>
      <c r="B130" s="51"/>
      <c r="C130" s="88"/>
      <c r="D130" s="88"/>
      <c r="E130" s="88"/>
      <c r="F130" s="88"/>
      <c r="G130" s="88"/>
      <c r="H130" s="89"/>
      <c r="I130" s="89"/>
      <c r="J130" s="88"/>
      <c r="K130" s="88"/>
      <c r="L130" s="88"/>
      <c r="M130" s="88"/>
      <c r="N130" s="88"/>
      <c r="O130" s="88"/>
      <c r="P130" s="88"/>
      <c r="Q130" s="88"/>
      <c r="R130" s="88"/>
      <c r="S130" s="88"/>
      <c r="T130" s="88"/>
    </row>
    <row r="131" spans="1:20" s="52" customFormat="1" ht="12.75" customHeight="1">
      <c r="A131" s="413"/>
      <c r="B131" s="51"/>
      <c r="C131" s="88"/>
      <c r="D131" s="88"/>
      <c r="E131" s="88"/>
      <c r="F131" s="88"/>
      <c r="G131" s="88"/>
      <c r="H131" s="89"/>
      <c r="I131" s="89"/>
      <c r="J131" s="88"/>
      <c r="K131" s="88"/>
      <c r="L131" s="88"/>
      <c r="M131" s="88"/>
      <c r="N131" s="88"/>
      <c r="O131" s="88"/>
      <c r="P131" s="88"/>
      <c r="Q131" s="88"/>
      <c r="R131" s="88"/>
      <c r="S131" s="88"/>
      <c r="T131" s="88"/>
    </row>
    <row r="132" spans="1:20" s="52" customFormat="1" ht="12.75" customHeight="1">
      <c r="A132" s="413"/>
      <c r="B132" s="51"/>
      <c r="C132" s="88"/>
      <c r="D132" s="88"/>
      <c r="E132" s="88"/>
      <c r="F132" s="88"/>
      <c r="G132" s="88"/>
      <c r="H132" s="89"/>
      <c r="I132" s="89"/>
      <c r="J132" s="88"/>
      <c r="K132" s="88"/>
      <c r="L132" s="88"/>
      <c r="M132" s="88"/>
      <c r="N132" s="88"/>
      <c r="O132" s="88"/>
      <c r="P132" s="88"/>
      <c r="Q132" s="88"/>
      <c r="R132" s="88"/>
      <c r="S132" s="88"/>
      <c r="T132" s="88"/>
    </row>
    <row r="133" spans="1:20" s="52" customFormat="1" ht="12.75" customHeight="1">
      <c r="A133" s="413"/>
      <c r="B133" s="51"/>
      <c r="C133" s="88"/>
      <c r="D133" s="88"/>
      <c r="E133" s="88"/>
      <c r="F133" s="88"/>
      <c r="G133" s="88"/>
      <c r="H133" s="89"/>
      <c r="I133" s="89"/>
      <c r="J133" s="88"/>
      <c r="K133" s="88"/>
      <c r="L133" s="88"/>
      <c r="M133" s="88"/>
      <c r="N133" s="88"/>
      <c r="O133" s="88"/>
      <c r="P133" s="88"/>
      <c r="Q133" s="88"/>
      <c r="R133" s="88"/>
      <c r="S133" s="88"/>
      <c r="T133" s="88"/>
    </row>
    <row r="134" spans="1:20" s="52" customFormat="1" ht="12.75" customHeight="1">
      <c r="A134" s="413"/>
      <c r="B134" s="51"/>
      <c r="C134" s="88"/>
      <c r="D134" s="88"/>
      <c r="E134" s="88"/>
      <c r="F134" s="88"/>
      <c r="G134" s="88"/>
      <c r="H134" s="89"/>
      <c r="I134" s="89"/>
      <c r="J134" s="88"/>
      <c r="K134" s="88"/>
      <c r="L134" s="88"/>
      <c r="M134" s="88"/>
      <c r="N134" s="88"/>
      <c r="O134" s="88"/>
      <c r="P134" s="88"/>
      <c r="Q134" s="88"/>
      <c r="R134" s="88"/>
      <c r="S134" s="88"/>
      <c r="T134" s="88"/>
    </row>
    <row r="135" spans="1:20" s="52" customFormat="1" ht="12.75" customHeight="1">
      <c r="A135" s="413"/>
      <c r="B135" s="51"/>
      <c r="C135" s="88"/>
      <c r="D135" s="88"/>
      <c r="E135" s="88"/>
      <c r="F135" s="88"/>
      <c r="G135" s="88"/>
      <c r="H135" s="89"/>
      <c r="I135" s="89"/>
      <c r="J135" s="88"/>
      <c r="K135" s="88"/>
      <c r="L135" s="88"/>
      <c r="M135" s="88"/>
      <c r="N135" s="88"/>
      <c r="O135" s="88"/>
      <c r="P135" s="88"/>
      <c r="Q135" s="88"/>
      <c r="R135" s="88"/>
      <c r="S135" s="88"/>
      <c r="T135" s="88"/>
    </row>
    <row r="136" spans="1:20" s="52" customFormat="1" ht="12.75" customHeight="1">
      <c r="A136" s="413"/>
      <c r="B136" s="51"/>
      <c r="C136" s="88"/>
      <c r="D136" s="88"/>
      <c r="E136" s="88"/>
      <c r="F136" s="88"/>
      <c r="G136" s="88"/>
      <c r="H136" s="89"/>
      <c r="I136" s="89"/>
      <c r="J136" s="88"/>
      <c r="K136" s="88"/>
      <c r="L136" s="88"/>
      <c r="M136" s="88"/>
      <c r="N136" s="88"/>
      <c r="O136" s="88"/>
      <c r="P136" s="88"/>
      <c r="Q136" s="88"/>
      <c r="R136" s="88"/>
      <c r="S136" s="88"/>
      <c r="T136" s="88"/>
    </row>
    <row r="137" spans="1:20" s="52" customFormat="1" ht="12.75" customHeight="1">
      <c r="A137" s="413"/>
      <c r="B137" s="51"/>
      <c r="C137" s="88"/>
      <c r="D137" s="88"/>
      <c r="E137" s="88"/>
      <c r="F137" s="88"/>
      <c r="G137" s="88"/>
      <c r="H137" s="89"/>
      <c r="I137" s="89"/>
      <c r="J137" s="88"/>
      <c r="K137" s="88"/>
      <c r="L137" s="88"/>
      <c r="M137" s="88"/>
      <c r="N137" s="88"/>
      <c r="O137" s="88"/>
      <c r="P137" s="88"/>
      <c r="Q137" s="88"/>
      <c r="R137" s="88"/>
      <c r="S137" s="88"/>
      <c r="T137" s="88"/>
    </row>
    <row r="138" spans="1:20" s="52" customFormat="1" ht="12.75" customHeight="1">
      <c r="A138" s="413"/>
      <c r="B138" s="51"/>
      <c r="C138" s="88"/>
      <c r="D138" s="88"/>
      <c r="E138" s="88"/>
      <c r="F138" s="88"/>
      <c r="G138" s="88"/>
      <c r="H138" s="89"/>
      <c r="I138" s="89"/>
      <c r="J138" s="88"/>
      <c r="K138" s="88"/>
      <c r="L138" s="88"/>
      <c r="M138" s="88"/>
      <c r="N138" s="88"/>
      <c r="O138" s="88"/>
      <c r="P138" s="88"/>
      <c r="Q138" s="88"/>
      <c r="R138" s="88"/>
      <c r="S138" s="88"/>
      <c r="T138" s="88"/>
    </row>
    <row r="139" spans="1:20" s="52" customFormat="1" ht="12.75" customHeight="1">
      <c r="A139" s="413"/>
      <c r="B139" s="51"/>
      <c r="C139" s="88"/>
      <c r="D139" s="88"/>
      <c r="E139" s="88"/>
      <c r="F139" s="88"/>
      <c r="G139" s="88"/>
      <c r="H139" s="89"/>
      <c r="I139" s="89"/>
      <c r="J139" s="88"/>
      <c r="K139" s="88"/>
      <c r="L139" s="88"/>
      <c r="M139" s="88"/>
      <c r="N139" s="88"/>
      <c r="O139" s="88"/>
      <c r="P139" s="88"/>
      <c r="Q139" s="88"/>
      <c r="R139" s="88"/>
      <c r="S139" s="88"/>
      <c r="T139" s="88"/>
    </row>
    <row r="140" spans="1:20" s="52" customFormat="1" ht="12.75" customHeight="1">
      <c r="A140" s="413"/>
      <c r="B140" s="51"/>
      <c r="C140" s="88"/>
      <c r="D140" s="88"/>
      <c r="E140" s="88"/>
      <c r="F140" s="88"/>
      <c r="G140" s="88"/>
      <c r="H140" s="89"/>
      <c r="I140" s="89"/>
      <c r="J140" s="88"/>
      <c r="K140" s="88"/>
      <c r="L140" s="88"/>
      <c r="M140" s="88"/>
      <c r="N140" s="88"/>
      <c r="O140" s="88"/>
      <c r="P140" s="88"/>
      <c r="Q140" s="88"/>
      <c r="R140" s="88"/>
      <c r="S140" s="88"/>
      <c r="T140" s="88"/>
    </row>
    <row r="141" spans="1:20" s="52" customFormat="1" ht="12.75" customHeight="1">
      <c r="A141" s="413"/>
      <c r="B141" s="51"/>
      <c r="C141" s="88"/>
      <c r="D141" s="88"/>
      <c r="E141" s="88"/>
      <c r="F141" s="88"/>
      <c r="G141" s="88"/>
      <c r="H141" s="89"/>
      <c r="I141" s="89"/>
      <c r="J141" s="88"/>
      <c r="K141" s="88"/>
      <c r="L141" s="88"/>
      <c r="M141" s="88"/>
      <c r="N141" s="88"/>
      <c r="O141" s="88"/>
      <c r="P141" s="88"/>
      <c r="Q141" s="88"/>
      <c r="R141" s="88"/>
      <c r="S141" s="88"/>
      <c r="T141" s="88"/>
    </row>
    <row r="142" spans="1:20" s="52" customFormat="1" ht="12.75" customHeight="1">
      <c r="A142" s="413"/>
      <c r="B142" s="51"/>
      <c r="C142" s="88"/>
      <c r="D142" s="88"/>
      <c r="E142" s="88"/>
      <c r="F142" s="88"/>
      <c r="G142" s="88"/>
      <c r="H142" s="89"/>
      <c r="I142" s="89"/>
      <c r="J142" s="88"/>
      <c r="K142" s="88"/>
      <c r="L142" s="88"/>
      <c r="M142" s="88"/>
      <c r="N142" s="88"/>
      <c r="O142" s="88"/>
      <c r="P142" s="88"/>
      <c r="Q142" s="88"/>
      <c r="R142" s="88"/>
      <c r="S142" s="88"/>
      <c r="T142" s="88"/>
    </row>
    <row r="143" spans="1:20" s="52" customFormat="1" ht="12.75" customHeight="1">
      <c r="A143" s="413"/>
      <c r="B143" s="51"/>
      <c r="C143" s="88"/>
      <c r="D143" s="88"/>
      <c r="E143" s="88"/>
      <c r="F143" s="88"/>
      <c r="G143" s="88"/>
      <c r="H143" s="89"/>
      <c r="I143" s="89"/>
      <c r="J143" s="88"/>
      <c r="K143" s="88"/>
      <c r="L143" s="88"/>
      <c r="M143" s="88"/>
      <c r="N143" s="88"/>
      <c r="O143" s="88"/>
      <c r="P143" s="88"/>
      <c r="Q143" s="88"/>
      <c r="R143" s="88"/>
      <c r="S143" s="88"/>
      <c r="T143" s="88"/>
    </row>
    <row r="144" spans="1:20" s="52" customFormat="1" ht="12.75" customHeight="1">
      <c r="A144" s="413"/>
      <c r="B144" s="51"/>
      <c r="C144" s="88"/>
      <c r="D144" s="88"/>
      <c r="E144" s="88"/>
      <c r="F144" s="88"/>
      <c r="G144" s="88"/>
      <c r="H144" s="89"/>
      <c r="I144" s="89"/>
      <c r="J144" s="88"/>
      <c r="K144" s="88"/>
      <c r="L144" s="88"/>
      <c r="M144" s="88"/>
      <c r="N144" s="88"/>
      <c r="O144" s="88"/>
      <c r="P144" s="88"/>
      <c r="Q144" s="88"/>
      <c r="R144" s="88"/>
      <c r="S144" s="88"/>
      <c r="T144" s="88"/>
    </row>
    <row r="145" spans="1:20" s="52" customFormat="1" ht="12.75" customHeight="1">
      <c r="A145" s="413"/>
      <c r="B145" s="51"/>
      <c r="C145" s="88"/>
      <c r="D145" s="88"/>
      <c r="E145" s="88"/>
      <c r="F145" s="88"/>
      <c r="G145" s="88"/>
      <c r="H145" s="89"/>
      <c r="I145" s="89"/>
      <c r="J145" s="88"/>
      <c r="K145" s="88"/>
      <c r="L145" s="88"/>
      <c r="M145" s="88"/>
      <c r="N145" s="88"/>
      <c r="O145" s="88"/>
      <c r="P145" s="88"/>
      <c r="Q145" s="88"/>
      <c r="R145" s="88"/>
      <c r="S145" s="88"/>
      <c r="T145" s="88"/>
    </row>
    <row r="146" spans="1:20" s="52" customFormat="1" ht="12.75" customHeight="1">
      <c r="A146" s="413"/>
      <c r="B146" s="51"/>
      <c r="C146" s="88"/>
      <c r="D146" s="88"/>
      <c r="E146" s="88"/>
      <c r="F146" s="88"/>
      <c r="G146" s="88"/>
      <c r="H146" s="89"/>
      <c r="I146" s="89"/>
      <c r="J146" s="88"/>
      <c r="K146" s="88"/>
      <c r="L146" s="88"/>
      <c r="M146" s="88"/>
      <c r="N146" s="88"/>
      <c r="O146" s="88"/>
      <c r="P146" s="88"/>
      <c r="Q146" s="88"/>
      <c r="R146" s="88"/>
      <c r="S146" s="88"/>
      <c r="T146" s="88"/>
    </row>
    <row r="147" spans="1:20" s="52" customFormat="1" ht="12.75" customHeight="1">
      <c r="A147" s="413"/>
      <c r="B147" s="51"/>
      <c r="C147" s="88"/>
      <c r="D147" s="88"/>
      <c r="E147" s="88"/>
      <c r="F147" s="88"/>
      <c r="G147" s="88"/>
      <c r="H147" s="89"/>
      <c r="I147" s="89"/>
      <c r="J147" s="88"/>
      <c r="K147" s="88"/>
      <c r="L147" s="88"/>
      <c r="M147" s="88"/>
      <c r="N147" s="88"/>
      <c r="O147" s="88"/>
      <c r="P147" s="88"/>
      <c r="Q147" s="88"/>
      <c r="R147" s="88"/>
      <c r="S147" s="88"/>
      <c r="T147" s="88"/>
    </row>
    <row r="148" spans="1:20" s="52" customFormat="1" ht="12.75" customHeight="1">
      <c r="A148" s="413"/>
      <c r="B148" s="51"/>
      <c r="C148" s="88"/>
      <c r="D148" s="88"/>
      <c r="E148" s="88"/>
      <c r="F148" s="88"/>
      <c r="G148" s="88"/>
      <c r="H148" s="89"/>
      <c r="I148" s="89"/>
      <c r="J148" s="88"/>
      <c r="K148" s="88"/>
      <c r="L148" s="88"/>
      <c r="M148" s="88"/>
      <c r="N148" s="88"/>
      <c r="O148" s="88"/>
      <c r="P148" s="88"/>
      <c r="Q148" s="88"/>
      <c r="R148" s="88"/>
      <c r="S148" s="88"/>
      <c r="T148" s="88"/>
    </row>
    <row r="149" spans="1:20" s="52" customFormat="1" ht="12.75" customHeight="1">
      <c r="A149" s="413"/>
      <c r="B149" s="51"/>
      <c r="C149" s="88"/>
      <c r="D149" s="88"/>
      <c r="E149" s="88"/>
      <c r="F149" s="88"/>
      <c r="G149" s="88"/>
      <c r="H149" s="89"/>
      <c r="I149" s="89"/>
      <c r="J149" s="88"/>
      <c r="K149" s="88"/>
      <c r="L149" s="88"/>
      <c r="M149" s="88"/>
      <c r="N149" s="88"/>
      <c r="O149" s="88"/>
      <c r="P149" s="88"/>
      <c r="Q149" s="88"/>
      <c r="R149" s="88"/>
      <c r="S149" s="88"/>
      <c r="T149" s="88"/>
    </row>
    <row r="150" spans="1:20" s="52" customFormat="1" ht="12.75" customHeight="1">
      <c r="A150" s="413"/>
      <c r="B150" s="51"/>
      <c r="C150" s="88"/>
      <c r="D150" s="88"/>
      <c r="E150" s="88"/>
      <c r="F150" s="88"/>
      <c r="G150" s="88"/>
      <c r="H150" s="89"/>
      <c r="I150" s="89"/>
      <c r="J150" s="88"/>
      <c r="K150" s="88"/>
      <c r="L150" s="88"/>
      <c r="M150" s="88"/>
      <c r="N150" s="88"/>
      <c r="O150" s="88"/>
      <c r="P150" s="88"/>
      <c r="Q150" s="88"/>
      <c r="R150" s="88"/>
      <c r="S150" s="88"/>
      <c r="T150" s="88"/>
    </row>
    <row r="151" spans="1:20" s="52" customFormat="1" ht="12.75" customHeight="1">
      <c r="A151" s="413"/>
      <c r="B151" s="51"/>
      <c r="C151" s="88"/>
      <c r="D151" s="88"/>
      <c r="E151" s="88"/>
      <c r="F151" s="88"/>
      <c r="G151" s="88"/>
      <c r="H151" s="89"/>
      <c r="I151" s="89"/>
      <c r="J151" s="88"/>
      <c r="K151" s="88"/>
      <c r="L151" s="88"/>
      <c r="M151" s="88"/>
      <c r="N151" s="88"/>
      <c r="O151" s="88"/>
      <c r="P151" s="88"/>
      <c r="Q151" s="88"/>
      <c r="R151" s="88"/>
      <c r="S151" s="88"/>
      <c r="T151" s="88"/>
    </row>
    <row r="152" spans="1:20" s="52" customFormat="1" ht="12.75" customHeight="1">
      <c r="A152" s="413"/>
      <c r="B152" s="51"/>
      <c r="C152" s="88"/>
      <c r="D152" s="88"/>
      <c r="E152" s="88"/>
      <c r="F152" s="88"/>
      <c r="G152" s="88"/>
      <c r="H152" s="89"/>
      <c r="I152" s="89"/>
      <c r="J152" s="88"/>
      <c r="K152" s="88"/>
      <c r="L152" s="88"/>
      <c r="M152" s="88"/>
      <c r="N152" s="88"/>
      <c r="O152" s="88"/>
      <c r="P152" s="88"/>
      <c r="Q152" s="88"/>
      <c r="R152" s="88"/>
      <c r="S152" s="88"/>
      <c r="T152" s="88"/>
    </row>
    <row r="153" spans="1:20" s="52" customFormat="1" ht="12.75" customHeight="1">
      <c r="A153" s="413"/>
      <c r="B153" s="51"/>
      <c r="C153" s="88"/>
      <c r="D153" s="88"/>
      <c r="E153" s="88"/>
      <c r="F153" s="88"/>
      <c r="G153" s="88"/>
      <c r="H153" s="89"/>
      <c r="I153" s="89"/>
      <c r="J153" s="88"/>
      <c r="K153" s="88"/>
      <c r="L153" s="88"/>
      <c r="M153" s="88"/>
      <c r="N153" s="88"/>
      <c r="O153" s="88"/>
      <c r="P153" s="88"/>
      <c r="Q153" s="88"/>
      <c r="R153" s="88"/>
      <c r="S153" s="88"/>
      <c r="T153" s="88"/>
    </row>
    <row r="154" spans="1:20" s="52" customFormat="1" ht="12.75" customHeight="1">
      <c r="A154" s="413"/>
      <c r="B154" s="51"/>
      <c r="C154" s="88"/>
      <c r="D154" s="88"/>
      <c r="E154" s="88"/>
      <c r="F154" s="88"/>
      <c r="G154" s="88"/>
      <c r="H154" s="89"/>
      <c r="I154" s="89"/>
      <c r="J154" s="88"/>
      <c r="K154" s="88"/>
      <c r="L154" s="88"/>
      <c r="M154" s="88"/>
      <c r="N154" s="88"/>
      <c r="O154" s="88"/>
      <c r="P154" s="88"/>
      <c r="Q154" s="88"/>
      <c r="R154" s="88"/>
      <c r="S154" s="88"/>
      <c r="T154" s="88"/>
    </row>
    <row r="155" spans="1:20" s="52" customFormat="1" ht="12.75" customHeight="1">
      <c r="A155" s="413"/>
      <c r="B155" s="51"/>
      <c r="C155" s="88"/>
      <c r="D155" s="88"/>
      <c r="E155" s="88"/>
      <c r="F155" s="88"/>
      <c r="G155" s="88"/>
      <c r="H155" s="89"/>
      <c r="I155" s="89"/>
      <c r="J155" s="88"/>
      <c r="K155" s="88"/>
      <c r="L155" s="88"/>
      <c r="M155" s="88"/>
      <c r="N155" s="88"/>
      <c r="O155" s="88"/>
      <c r="P155" s="88"/>
      <c r="Q155" s="88"/>
      <c r="R155" s="88"/>
      <c r="S155" s="88"/>
      <c r="T155" s="88"/>
    </row>
    <row r="156" spans="1:20" s="52" customFormat="1" ht="12.75" customHeight="1">
      <c r="A156" s="413"/>
      <c r="B156" s="51"/>
      <c r="C156" s="88"/>
      <c r="D156" s="88"/>
      <c r="E156" s="88"/>
      <c r="F156" s="88"/>
      <c r="G156" s="88"/>
      <c r="H156" s="89"/>
      <c r="I156" s="89"/>
      <c r="J156" s="88"/>
      <c r="K156" s="88"/>
      <c r="L156" s="88"/>
      <c r="M156" s="88"/>
      <c r="N156" s="88"/>
      <c r="O156" s="88"/>
      <c r="P156" s="88"/>
      <c r="Q156" s="88"/>
      <c r="R156" s="88"/>
      <c r="S156" s="88"/>
      <c r="T156" s="88"/>
    </row>
    <row r="157" spans="1:20" s="52" customFormat="1" ht="12.75" customHeight="1">
      <c r="A157" s="413"/>
      <c r="B157" s="51"/>
      <c r="C157" s="88"/>
      <c r="D157" s="88"/>
      <c r="E157" s="88"/>
      <c r="F157" s="88"/>
      <c r="G157" s="88"/>
      <c r="H157" s="89"/>
      <c r="I157" s="89"/>
      <c r="J157" s="88"/>
      <c r="K157" s="88"/>
      <c r="L157" s="88"/>
      <c r="M157" s="88"/>
      <c r="N157" s="88"/>
      <c r="O157" s="88"/>
      <c r="P157" s="88"/>
      <c r="Q157" s="88"/>
      <c r="R157" s="88"/>
      <c r="S157" s="88"/>
      <c r="T157" s="88"/>
    </row>
    <row r="158" spans="1:20" s="52" customFormat="1" ht="12.75" customHeight="1">
      <c r="A158" s="413"/>
      <c r="B158" s="51"/>
      <c r="C158" s="88"/>
      <c r="D158" s="88"/>
      <c r="E158" s="88"/>
      <c r="F158" s="88"/>
      <c r="G158" s="88"/>
      <c r="H158" s="89"/>
      <c r="I158" s="89"/>
      <c r="J158" s="88"/>
      <c r="K158" s="88"/>
      <c r="L158" s="88"/>
      <c r="M158" s="88"/>
      <c r="N158" s="88"/>
      <c r="O158" s="88"/>
      <c r="P158" s="88"/>
      <c r="Q158" s="88"/>
      <c r="R158" s="88"/>
      <c r="S158" s="88"/>
      <c r="T158" s="88"/>
    </row>
    <row r="159" spans="1:20" s="52" customFormat="1" ht="12.75" customHeight="1">
      <c r="A159" s="413"/>
      <c r="B159" s="51"/>
      <c r="C159" s="88"/>
      <c r="D159" s="88"/>
      <c r="E159" s="88"/>
      <c r="F159" s="88"/>
      <c r="G159" s="88"/>
      <c r="H159" s="89"/>
      <c r="I159" s="89"/>
      <c r="J159" s="88"/>
      <c r="K159" s="88"/>
      <c r="L159" s="88"/>
      <c r="M159" s="88"/>
      <c r="N159" s="88"/>
      <c r="O159" s="88"/>
      <c r="P159" s="88"/>
      <c r="Q159" s="88"/>
      <c r="R159" s="88"/>
      <c r="S159" s="88"/>
      <c r="T159" s="88"/>
    </row>
    <row r="160" spans="1:20" s="52" customFormat="1" ht="12.75" customHeight="1">
      <c r="A160" s="413"/>
      <c r="B160" s="51"/>
      <c r="C160" s="88"/>
      <c r="D160" s="88"/>
      <c r="E160" s="88"/>
      <c r="F160" s="88"/>
      <c r="G160" s="88"/>
      <c r="H160" s="89"/>
      <c r="I160" s="89"/>
      <c r="J160" s="88"/>
      <c r="K160" s="88"/>
      <c r="L160" s="88"/>
      <c r="M160" s="88"/>
      <c r="N160" s="88"/>
      <c r="O160" s="88"/>
      <c r="P160" s="88"/>
      <c r="Q160" s="88"/>
      <c r="R160" s="88"/>
      <c r="S160" s="88"/>
      <c r="T160" s="88"/>
    </row>
    <row r="161" spans="1:20" s="52" customFormat="1" ht="12.75" customHeight="1">
      <c r="A161" s="413"/>
      <c r="B161" s="51"/>
      <c r="C161" s="88"/>
      <c r="D161" s="88"/>
      <c r="E161" s="88"/>
      <c r="F161" s="88"/>
      <c r="G161" s="88"/>
      <c r="H161" s="89"/>
      <c r="I161" s="89"/>
      <c r="J161" s="88"/>
      <c r="K161" s="88"/>
      <c r="L161" s="88"/>
      <c r="M161" s="88"/>
      <c r="N161" s="88"/>
      <c r="O161" s="88"/>
      <c r="P161" s="88"/>
      <c r="Q161" s="88"/>
      <c r="R161" s="88"/>
      <c r="S161" s="88"/>
      <c r="T161" s="88"/>
    </row>
    <row r="162" spans="1:20" s="52" customFormat="1" ht="12.75" customHeight="1">
      <c r="A162" s="413"/>
      <c r="B162" s="51"/>
      <c r="C162" s="88"/>
      <c r="D162" s="88"/>
      <c r="E162" s="88"/>
      <c r="F162" s="88"/>
      <c r="G162" s="88"/>
      <c r="H162" s="89"/>
      <c r="I162" s="89"/>
      <c r="J162" s="88"/>
      <c r="K162" s="88"/>
      <c r="L162" s="88"/>
      <c r="M162" s="88"/>
      <c r="N162" s="88"/>
      <c r="O162" s="88"/>
      <c r="P162" s="88"/>
      <c r="Q162" s="88"/>
      <c r="R162" s="88"/>
      <c r="S162" s="88"/>
      <c r="T162" s="88"/>
    </row>
    <row r="163" spans="1:20" s="52" customFormat="1" ht="12.75" customHeight="1">
      <c r="A163" s="413"/>
      <c r="B163" s="51"/>
      <c r="C163" s="88"/>
      <c r="D163" s="88"/>
      <c r="E163" s="88"/>
      <c r="F163" s="88"/>
      <c r="G163" s="88"/>
      <c r="H163" s="89"/>
      <c r="I163" s="89"/>
      <c r="J163" s="88"/>
      <c r="K163" s="88"/>
      <c r="L163" s="88"/>
      <c r="M163" s="88"/>
      <c r="N163" s="88"/>
      <c r="O163" s="88"/>
      <c r="P163" s="88"/>
      <c r="Q163" s="88"/>
      <c r="R163" s="88"/>
      <c r="S163" s="88"/>
      <c r="T163" s="88"/>
    </row>
    <row r="164" spans="1:20" s="52" customFormat="1" ht="12.75" customHeight="1">
      <c r="A164" s="413"/>
      <c r="B164" s="51"/>
      <c r="C164" s="88"/>
      <c r="D164" s="88"/>
      <c r="E164" s="88"/>
      <c r="F164" s="88"/>
      <c r="G164" s="88"/>
      <c r="H164" s="89"/>
      <c r="I164" s="89"/>
      <c r="J164" s="88"/>
      <c r="K164" s="88"/>
      <c r="L164" s="88"/>
      <c r="M164" s="88"/>
      <c r="N164" s="88"/>
      <c r="O164" s="88"/>
      <c r="P164" s="88"/>
      <c r="Q164" s="88"/>
      <c r="R164" s="88"/>
      <c r="S164" s="88"/>
      <c r="T164" s="88"/>
    </row>
    <row r="165" spans="1:20" s="52" customFormat="1" ht="12.75" customHeight="1">
      <c r="A165" s="413"/>
      <c r="B165" s="51"/>
      <c r="C165" s="88"/>
      <c r="D165" s="88"/>
      <c r="E165" s="88"/>
      <c r="F165" s="88"/>
      <c r="G165" s="88"/>
      <c r="H165" s="89"/>
      <c r="I165" s="89"/>
      <c r="J165" s="88"/>
      <c r="K165" s="88"/>
      <c r="L165" s="88"/>
      <c r="M165" s="88"/>
      <c r="N165" s="88"/>
      <c r="O165" s="88"/>
      <c r="P165" s="88"/>
      <c r="Q165" s="88"/>
      <c r="R165" s="88"/>
      <c r="S165" s="88"/>
      <c r="T165" s="88"/>
    </row>
    <row r="166" spans="1:20" s="52" customFormat="1" ht="12.75" customHeight="1">
      <c r="A166" s="413"/>
      <c r="B166" s="51"/>
      <c r="C166" s="88"/>
      <c r="D166" s="88"/>
      <c r="E166" s="88"/>
      <c r="F166" s="88"/>
      <c r="G166" s="88"/>
      <c r="H166" s="89"/>
      <c r="I166" s="89"/>
      <c r="J166" s="88"/>
      <c r="K166" s="88"/>
      <c r="L166" s="88"/>
      <c r="M166" s="88"/>
      <c r="N166" s="88"/>
      <c r="O166" s="88"/>
      <c r="P166" s="88"/>
      <c r="Q166" s="88"/>
      <c r="R166" s="88"/>
      <c r="S166" s="88"/>
      <c r="T166" s="88"/>
    </row>
    <row r="167" spans="1:20" s="52" customFormat="1" ht="12.75" customHeight="1">
      <c r="A167" s="413"/>
      <c r="B167" s="51"/>
      <c r="C167" s="88"/>
      <c r="D167" s="88"/>
      <c r="E167" s="88"/>
      <c r="F167" s="88"/>
      <c r="G167" s="88"/>
      <c r="H167" s="89"/>
      <c r="I167" s="89"/>
      <c r="J167" s="88"/>
      <c r="K167" s="88"/>
      <c r="L167" s="88"/>
      <c r="M167" s="88"/>
      <c r="N167" s="88"/>
      <c r="O167" s="88"/>
      <c r="P167" s="88"/>
      <c r="Q167" s="88"/>
      <c r="R167" s="88"/>
      <c r="S167" s="88"/>
      <c r="T167" s="88"/>
    </row>
    <row r="168" spans="1:20" s="52" customFormat="1" ht="12.75" customHeight="1">
      <c r="A168" s="413"/>
      <c r="B168" s="51"/>
      <c r="C168" s="88"/>
      <c r="D168" s="88"/>
      <c r="E168" s="88"/>
      <c r="F168" s="88"/>
      <c r="G168" s="88"/>
      <c r="H168" s="89"/>
      <c r="I168" s="89"/>
      <c r="J168" s="88"/>
      <c r="K168" s="88"/>
      <c r="L168" s="88"/>
      <c r="M168" s="88"/>
      <c r="N168" s="88"/>
      <c r="O168" s="88"/>
      <c r="P168" s="88"/>
      <c r="Q168" s="88"/>
      <c r="R168" s="88"/>
      <c r="S168" s="88"/>
      <c r="T168" s="88"/>
    </row>
    <row r="169" spans="1:20" s="52" customFormat="1" ht="12.75" customHeight="1">
      <c r="A169" s="413"/>
      <c r="B169" s="51"/>
      <c r="C169" s="88"/>
      <c r="D169" s="88"/>
      <c r="E169" s="88"/>
      <c r="F169" s="88"/>
      <c r="G169" s="88"/>
      <c r="H169" s="89"/>
      <c r="I169" s="89"/>
      <c r="J169" s="88"/>
      <c r="K169" s="88"/>
      <c r="L169" s="88"/>
      <c r="M169" s="88"/>
      <c r="N169" s="88"/>
      <c r="O169" s="88"/>
      <c r="P169" s="88"/>
      <c r="Q169" s="88"/>
      <c r="R169" s="88"/>
      <c r="S169" s="88"/>
      <c r="T169" s="88"/>
    </row>
    <row r="170" spans="1:20" s="52" customFormat="1" ht="12.75" customHeight="1">
      <c r="A170" s="413"/>
      <c r="B170" s="51"/>
      <c r="C170" s="88"/>
      <c r="D170" s="88"/>
      <c r="E170" s="88"/>
      <c r="F170" s="88"/>
      <c r="G170" s="88"/>
      <c r="H170" s="89"/>
      <c r="I170" s="89"/>
      <c r="J170" s="88"/>
      <c r="K170" s="88"/>
      <c r="L170" s="88"/>
      <c r="M170" s="88"/>
      <c r="N170" s="88"/>
      <c r="O170" s="88"/>
      <c r="P170" s="88"/>
      <c r="Q170" s="88"/>
      <c r="R170" s="88"/>
      <c r="S170" s="88"/>
      <c r="T170" s="88"/>
    </row>
    <row r="171" spans="1:20" s="52" customFormat="1" ht="12.75" customHeight="1">
      <c r="A171" s="413"/>
      <c r="B171" s="51"/>
      <c r="C171" s="88"/>
      <c r="D171" s="88"/>
      <c r="E171" s="88"/>
      <c r="F171" s="88"/>
      <c r="G171" s="88"/>
      <c r="H171" s="89"/>
      <c r="I171" s="89"/>
      <c r="J171" s="88"/>
      <c r="K171" s="88"/>
      <c r="L171" s="88"/>
      <c r="M171" s="88"/>
      <c r="N171" s="88"/>
      <c r="O171" s="88"/>
      <c r="P171" s="88"/>
      <c r="Q171" s="88"/>
      <c r="R171" s="88"/>
      <c r="S171" s="88"/>
      <c r="T171" s="88"/>
    </row>
    <row r="172" spans="1:20" s="52" customFormat="1" ht="12.75" customHeight="1">
      <c r="A172" s="413"/>
      <c r="B172" s="51"/>
      <c r="C172" s="88"/>
      <c r="D172" s="88"/>
      <c r="E172" s="88"/>
      <c r="F172" s="88"/>
      <c r="G172" s="88"/>
      <c r="H172" s="89"/>
      <c r="I172" s="89"/>
      <c r="J172" s="88"/>
      <c r="K172" s="88"/>
      <c r="L172" s="88"/>
      <c r="M172" s="88"/>
      <c r="N172" s="88"/>
      <c r="O172" s="88"/>
      <c r="P172" s="88"/>
      <c r="Q172" s="88"/>
      <c r="R172" s="88"/>
      <c r="S172" s="88"/>
      <c r="T172" s="88"/>
    </row>
    <row r="173" spans="1:20" s="52" customFormat="1" ht="12.75" customHeight="1">
      <c r="A173" s="413"/>
      <c r="B173" s="51"/>
      <c r="C173" s="88"/>
      <c r="D173" s="88"/>
      <c r="E173" s="88"/>
      <c r="F173" s="88"/>
      <c r="G173" s="88"/>
      <c r="H173" s="89"/>
      <c r="I173" s="89"/>
      <c r="J173" s="88"/>
      <c r="K173" s="88"/>
      <c r="L173" s="88"/>
      <c r="M173" s="88"/>
      <c r="N173" s="88"/>
      <c r="O173" s="88"/>
      <c r="P173" s="88"/>
      <c r="Q173" s="88"/>
      <c r="R173" s="88"/>
      <c r="S173" s="88"/>
      <c r="T173" s="88"/>
    </row>
    <row r="174" spans="1:20" s="52" customFormat="1" ht="12.75" customHeight="1">
      <c r="A174" s="412"/>
      <c r="B174" s="90"/>
      <c r="C174" s="88"/>
      <c r="D174" s="88"/>
      <c r="E174" s="88"/>
      <c r="F174" s="88"/>
      <c r="G174" s="88"/>
      <c r="H174" s="89"/>
      <c r="I174" s="89"/>
      <c r="J174" s="88"/>
      <c r="K174" s="88"/>
      <c r="L174" s="88"/>
      <c r="M174" s="88"/>
      <c r="N174" s="88"/>
      <c r="O174" s="88"/>
      <c r="P174" s="88"/>
      <c r="Q174" s="88"/>
      <c r="R174" s="88"/>
      <c r="S174" s="88"/>
      <c r="T174" s="88"/>
    </row>
    <row r="175" spans="1:20" s="52" customFormat="1" ht="12.75" customHeight="1">
      <c r="A175" s="412"/>
      <c r="B175" s="90"/>
      <c r="C175" s="88"/>
      <c r="D175" s="88"/>
      <c r="E175" s="88"/>
      <c r="F175" s="88"/>
      <c r="G175" s="88"/>
      <c r="H175" s="89"/>
      <c r="I175" s="89"/>
      <c r="J175" s="88"/>
      <c r="K175" s="88"/>
      <c r="L175" s="88"/>
      <c r="M175" s="88"/>
      <c r="N175" s="88"/>
      <c r="O175" s="88"/>
      <c r="P175" s="88"/>
      <c r="Q175" s="88"/>
      <c r="R175" s="88"/>
      <c r="S175" s="88"/>
      <c r="T175" s="88"/>
    </row>
    <row r="176" spans="1:20" s="52" customFormat="1" ht="12.75" customHeight="1">
      <c r="A176" s="412"/>
      <c r="B176" s="90"/>
      <c r="C176" s="88"/>
      <c r="D176" s="88"/>
      <c r="E176" s="88"/>
      <c r="F176" s="88"/>
      <c r="G176" s="88"/>
      <c r="H176" s="89"/>
      <c r="I176" s="89"/>
      <c r="J176" s="88"/>
      <c r="K176" s="88"/>
      <c r="L176" s="88"/>
      <c r="M176" s="88"/>
      <c r="N176" s="88"/>
      <c r="O176" s="88"/>
      <c r="P176" s="88"/>
      <c r="Q176" s="88"/>
      <c r="R176" s="88"/>
      <c r="S176" s="88"/>
      <c r="T176" s="88"/>
    </row>
    <row r="177" spans="1:20" s="52" customFormat="1" ht="12.75" customHeight="1">
      <c r="A177" s="412"/>
      <c r="B177" s="90"/>
      <c r="C177" s="88"/>
      <c r="D177" s="88"/>
      <c r="E177" s="88"/>
      <c r="F177" s="88"/>
      <c r="G177" s="88"/>
      <c r="H177" s="89"/>
      <c r="I177" s="89"/>
      <c r="J177" s="88"/>
      <c r="K177" s="88"/>
      <c r="L177" s="88"/>
      <c r="M177" s="88"/>
      <c r="N177" s="88"/>
      <c r="O177" s="88"/>
      <c r="P177" s="88"/>
      <c r="Q177" s="88"/>
      <c r="R177" s="88"/>
      <c r="S177" s="88"/>
      <c r="T177" s="88"/>
    </row>
    <row r="178" spans="1:20" s="52" customFormat="1" ht="12.75" customHeight="1">
      <c r="A178" s="412"/>
      <c r="B178" s="90"/>
      <c r="C178" s="88"/>
      <c r="D178" s="88"/>
      <c r="E178" s="88"/>
      <c r="F178" s="88"/>
      <c r="G178" s="88"/>
      <c r="H178" s="89"/>
      <c r="I178" s="89"/>
      <c r="J178" s="88"/>
      <c r="K178" s="88"/>
      <c r="L178" s="88"/>
      <c r="M178" s="88"/>
      <c r="N178" s="88"/>
      <c r="O178" s="88"/>
      <c r="P178" s="88"/>
      <c r="Q178" s="88"/>
      <c r="R178" s="88"/>
      <c r="S178" s="88"/>
      <c r="T178" s="88"/>
    </row>
    <row r="179" spans="1:20" s="52" customFormat="1" ht="12.75" customHeight="1">
      <c r="A179" s="412"/>
      <c r="B179" s="90"/>
      <c r="C179" s="88"/>
      <c r="D179" s="88"/>
      <c r="E179" s="88"/>
      <c r="F179" s="88"/>
      <c r="G179" s="88"/>
      <c r="H179" s="89"/>
      <c r="I179" s="89"/>
      <c r="J179" s="88"/>
      <c r="K179" s="88"/>
      <c r="L179" s="88"/>
      <c r="M179" s="88"/>
      <c r="N179" s="88"/>
      <c r="O179" s="88"/>
      <c r="P179" s="88"/>
      <c r="Q179" s="88"/>
      <c r="R179" s="88"/>
      <c r="S179" s="88"/>
      <c r="T179" s="88"/>
    </row>
    <row r="180" spans="1:20" s="52" customFormat="1" ht="12.75" customHeight="1">
      <c r="A180" s="412"/>
      <c r="B180" s="90"/>
      <c r="C180" s="88"/>
      <c r="D180" s="88"/>
      <c r="E180" s="88"/>
      <c r="F180" s="88"/>
      <c r="G180" s="88"/>
      <c r="H180" s="89"/>
      <c r="I180" s="89"/>
      <c r="J180" s="88"/>
      <c r="K180" s="88"/>
      <c r="L180" s="88"/>
      <c r="M180" s="88"/>
      <c r="N180" s="88"/>
      <c r="O180" s="88"/>
      <c r="P180" s="88"/>
      <c r="Q180" s="88"/>
      <c r="R180" s="88"/>
      <c r="S180" s="88"/>
      <c r="T180" s="88"/>
    </row>
    <row r="181" spans="1:20" s="52" customFormat="1" ht="12.75" customHeight="1">
      <c r="A181" s="412"/>
      <c r="B181" s="90"/>
      <c r="C181" s="88"/>
      <c r="D181" s="88"/>
      <c r="E181" s="88"/>
      <c r="F181" s="88"/>
      <c r="G181" s="88"/>
      <c r="H181" s="89"/>
      <c r="I181" s="89"/>
      <c r="J181" s="88"/>
      <c r="K181" s="88"/>
      <c r="L181" s="88"/>
      <c r="M181" s="88"/>
      <c r="N181" s="88"/>
      <c r="O181" s="88"/>
      <c r="P181" s="88"/>
      <c r="Q181" s="88"/>
      <c r="R181" s="88"/>
      <c r="S181" s="88"/>
      <c r="T181" s="88"/>
    </row>
    <row r="182" spans="1:20" s="52" customFormat="1" ht="12.75" customHeight="1">
      <c r="A182" s="412"/>
      <c r="B182" s="90"/>
      <c r="C182" s="88"/>
      <c r="D182" s="88"/>
      <c r="E182" s="88"/>
      <c r="F182" s="88"/>
      <c r="G182" s="88"/>
      <c r="H182" s="89"/>
      <c r="I182" s="89"/>
      <c r="J182" s="88"/>
      <c r="K182" s="88"/>
      <c r="L182" s="88"/>
      <c r="M182" s="88"/>
      <c r="N182" s="88"/>
      <c r="O182" s="88"/>
      <c r="P182" s="88"/>
      <c r="Q182" s="88"/>
      <c r="R182" s="88"/>
      <c r="S182" s="88"/>
      <c r="T182" s="88"/>
    </row>
    <row r="183" spans="1:20" s="52" customFormat="1" ht="12.75" customHeight="1">
      <c r="A183" s="412"/>
      <c r="B183" s="90"/>
      <c r="C183" s="88"/>
      <c r="D183" s="88"/>
      <c r="E183" s="88"/>
      <c r="F183" s="88"/>
      <c r="G183" s="88"/>
      <c r="H183" s="89"/>
      <c r="I183" s="89"/>
      <c r="J183" s="88"/>
      <c r="K183" s="88"/>
      <c r="L183" s="88"/>
      <c r="M183" s="88"/>
      <c r="N183" s="88"/>
      <c r="O183" s="88"/>
      <c r="P183" s="88"/>
      <c r="Q183" s="88"/>
      <c r="R183" s="88"/>
      <c r="S183" s="88"/>
      <c r="T183" s="88"/>
    </row>
    <row r="184" spans="1:20" s="52" customFormat="1" ht="12.75" customHeight="1">
      <c r="A184" s="412"/>
      <c r="B184" s="90"/>
      <c r="C184" s="88"/>
      <c r="D184" s="88"/>
      <c r="E184" s="88"/>
      <c r="F184" s="88"/>
      <c r="G184" s="88"/>
      <c r="H184" s="89"/>
      <c r="I184" s="89"/>
      <c r="J184" s="88"/>
      <c r="K184" s="88"/>
      <c r="L184" s="88"/>
      <c r="M184" s="88"/>
      <c r="N184" s="88"/>
      <c r="O184" s="88"/>
      <c r="P184" s="88"/>
      <c r="Q184" s="88"/>
      <c r="R184" s="88"/>
      <c r="S184" s="88"/>
      <c r="T184" s="88"/>
    </row>
  </sheetData>
  <mergeCells count="8">
    <mergeCell ref="C56:G58"/>
    <mergeCell ref="AE20:AF20"/>
    <mergeCell ref="D7:F7"/>
    <mergeCell ref="D8:F8"/>
    <mergeCell ref="D9:F9"/>
    <mergeCell ref="D10:F10"/>
    <mergeCell ref="C35:G37"/>
    <mergeCell ref="C40:G42"/>
  </mergeCells>
  <phoneticPr fontId="101" type="noConversion"/>
  <conditionalFormatting sqref="C35:G37">
    <cfRule type="cellIs" dxfId="5" priority="2" operator="equal">
      <formula>0</formula>
    </cfRule>
  </conditionalFormatting>
  <conditionalFormatting sqref="C40:G42">
    <cfRule type="cellIs" dxfId="4" priority="1" operator="equal">
      <formula>0</formula>
    </cfRule>
  </conditionalFormatting>
  <conditionalFormatting sqref="G8:I10 C21:L27 O21:R27 U21:X27 AG21:AG27 AM21:AM27 AA31:AB31 AD31 C46:E49 G46:G49 F49 C56:G58">
    <cfRule type="containsBlanks" dxfId="3" priority="3">
      <formula>LEN(TRIM(C8))=0</formula>
    </cfRule>
  </conditionalFormatting>
  <dataValidations count="3">
    <dataValidation type="list" allowBlank="1" showInputMessage="1" sqref="AG21:AG27" xr:uid="{936075A2-1803-4A99-894A-3A094009E84E}">
      <formula1>"关键项（key item）,代表性样本"</formula1>
    </dataValidation>
    <dataValidation type="list" allowBlank="1" showInputMessage="1" sqref="I8:I10" xr:uid="{193310A9-0FD7-4723-B689-44F26B8BD12F}">
      <formula1>"是,不适用"</formula1>
    </dataValidation>
    <dataValidation type="list" allowBlank="1" showInputMessage="1" sqref="H8:H10" xr:uid="{680E6509-6AD7-436F-80A6-27B86F8AEDDA}">
      <formula1>"是,否"</formula1>
    </dataValidation>
  </dataValidations>
  <hyperlinks>
    <hyperlink ref="J2" location="汇总!A1" display="返回汇总页" xr:uid="{9D778CDD-911E-413C-9A20-C0C3840AA1A8}"/>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4EB7E-5EF4-4C62-9AD3-12FC15B791BE}">
  <dimension ref="A1:DS93"/>
  <sheetViews>
    <sheetView showGridLines="0" zoomScale="70" zoomScaleNormal="70" workbookViewId="0">
      <selection activeCell="C50" sqref="C50"/>
    </sheetView>
  </sheetViews>
  <sheetFormatPr defaultColWidth="9" defaultRowHeight="12.75" customHeight="1" outlineLevelRow="1"/>
  <cols>
    <col min="1" max="1" width="2.75" style="74" customWidth="1"/>
    <col min="2" max="2" width="9" style="451"/>
    <col min="3" max="3" width="27.125" style="54" customWidth="1"/>
    <col min="4" max="4" width="42.375" style="54" customWidth="1"/>
    <col min="5" max="6" width="17.875" style="54" customWidth="1"/>
    <col min="7" max="7" width="25.125" style="54" customWidth="1"/>
    <col min="8" max="9" width="21.5" style="54" customWidth="1"/>
    <col min="10" max="10" width="25.125" style="54" customWidth="1"/>
    <col min="11" max="12" width="21.5" style="54" customWidth="1"/>
    <col min="13" max="13" width="37.125" style="54" customWidth="1"/>
    <col min="14" max="17" width="21.5" style="54" customWidth="1"/>
    <col min="18" max="18" width="20.625" style="54" customWidth="1"/>
    <col min="19" max="91" width="9" style="54"/>
    <col min="92" max="92" width="14.125" style="4" customWidth="1"/>
    <col min="93" max="93" width="8.125" style="4" customWidth="1"/>
    <col min="94" max="103" width="9" style="4"/>
    <col min="104" max="104" width="15.625" style="4" customWidth="1"/>
    <col min="105" max="110" width="9" style="4"/>
    <col min="111" max="111" width="11.375" style="4" customWidth="1"/>
    <col min="112" max="115" width="9" style="4"/>
    <col min="116" max="116" width="11" style="4" customWidth="1"/>
    <col min="117" max="117" width="13.625" style="4" customWidth="1"/>
    <col min="118" max="118" width="9" style="58"/>
    <col min="119" max="119" width="9" style="4"/>
    <col min="120" max="120" width="9" style="5"/>
    <col min="121" max="16384" width="9" style="54"/>
  </cols>
  <sheetData>
    <row r="1" spans="1:121" ht="12.75" customHeight="1">
      <c r="A1" s="436" t="s">
        <v>384</v>
      </c>
    </row>
    <row r="2" spans="1:121" ht="12.75" customHeight="1">
      <c r="B2" s="452"/>
      <c r="C2" s="61"/>
      <c r="D2" s="61"/>
      <c r="E2" s="61"/>
      <c r="F2" s="61"/>
      <c r="G2" s="61"/>
      <c r="H2" s="61"/>
      <c r="I2" s="61"/>
      <c r="J2" s="3" t="s">
        <v>301</v>
      </c>
      <c r="K2" s="61"/>
      <c r="L2" s="61"/>
      <c r="M2" s="61"/>
      <c r="N2" s="61"/>
      <c r="O2" s="61"/>
      <c r="P2" s="61"/>
      <c r="Q2" s="61"/>
      <c r="R2" s="61"/>
      <c r="S2" s="61"/>
      <c r="T2" s="61"/>
      <c r="U2" s="76"/>
      <c r="CN2" s="54"/>
      <c r="CO2" s="53"/>
      <c r="CP2" s="54"/>
      <c r="CQ2" s="54"/>
      <c r="CR2" s="10"/>
      <c r="CZ2" s="54"/>
      <c r="DG2" s="54"/>
      <c r="DH2" s="55"/>
      <c r="DI2" s="56"/>
      <c r="DJ2" s="57"/>
      <c r="DK2" s="57"/>
      <c r="DL2" s="54"/>
      <c r="DN2" s="12"/>
      <c r="DO2" s="58"/>
      <c r="DP2" s="4"/>
      <c r="DQ2" s="5"/>
    </row>
    <row r="3" spans="1:121" ht="12.75" customHeight="1" thickBot="1">
      <c r="A3" s="75"/>
      <c r="B3" s="453"/>
      <c r="C3" s="61"/>
      <c r="D3" s="61"/>
      <c r="E3" s="61"/>
      <c r="F3" s="61"/>
      <c r="I3" s="61"/>
      <c r="K3" s="61"/>
      <c r="L3" s="61"/>
      <c r="M3" s="61"/>
      <c r="P3" s="61"/>
      <c r="Q3" s="61"/>
      <c r="R3" s="61"/>
      <c r="S3" s="76"/>
      <c r="CM3" s="4"/>
      <c r="CN3" s="54"/>
      <c r="CO3" s="54"/>
      <c r="CX3" s="54"/>
      <c r="DD3" s="54"/>
      <c r="DE3" s="54"/>
      <c r="DF3" s="54"/>
      <c r="DG3" s="54"/>
      <c r="DH3" s="54"/>
      <c r="DI3" s="54"/>
      <c r="DJ3" s="54"/>
      <c r="DK3" s="54"/>
      <c r="DL3" s="54"/>
      <c r="DM3" s="62"/>
      <c r="DN3" s="4"/>
      <c r="DO3" s="5"/>
      <c r="DP3" s="54"/>
    </row>
    <row r="4" spans="1:121" ht="19.149999999999999" customHeight="1">
      <c r="A4" s="75"/>
      <c r="B4" s="453"/>
      <c r="C4" s="272" t="s">
        <v>302</v>
      </c>
      <c r="D4" s="273"/>
      <c r="E4" s="273"/>
      <c r="F4" s="273"/>
      <c r="G4" s="274"/>
      <c r="H4" s="274"/>
      <c r="I4" s="274"/>
      <c r="J4" s="275"/>
      <c r="K4" s="67"/>
      <c r="L4" s="67"/>
      <c r="M4" s="61"/>
      <c r="N4" s="61"/>
      <c r="CN4" s="54"/>
      <c r="CO4" s="54"/>
      <c r="CP4" s="54"/>
      <c r="CY4" s="54"/>
      <c r="DE4" s="54"/>
      <c r="DF4" s="54"/>
      <c r="DG4" s="54"/>
      <c r="DH4" s="54"/>
      <c r="DI4" s="54"/>
      <c r="DJ4" s="54"/>
      <c r="DK4" s="54"/>
      <c r="DL4" s="54"/>
      <c r="DM4" s="54"/>
      <c r="DN4" s="62"/>
      <c r="DO4" s="54"/>
      <c r="DP4" s="54"/>
    </row>
    <row r="5" spans="1:121" ht="39" customHeight="1">
      <c r="A5" s="75"/>
      <c r="B5" s="453"/>
      <c r="C5" s="525" t="s">
        <v>385</v>
      </c>
      <c r="D5" s="526"/>
      <c r="E5" s="526"/>
      <c r="F5" s="526"/>
      <c r="G5" s="526"/>
      <c r="H5" s="526"/>
      <c r="I5" s="526"/>
      <c r="J5" s="527"/>
      <c r="K5" s="67"/>
      <c r="L5" s="67"/>
      <c r="M5" s="61"/>
      <c r="N5" s="61"/>
      <c r="CN5" s="54"/>
      <c r="CO5" s="54"/>
      <c r="CP5" s="66"/>
      <c r="CY5" s="54"/>
      <c r="DE5" s="54"/>
      <c r="DF5" s="54"/>
      <c r="DG5" s="54"/>
      <c r="DH5" s="54"/>
      <c r="DI5" s="54"/>
      <c r="DJ5" s="54"/>
      <c r="DK5" s="54"/>
      <c r="DL5" s="54"/>
      <c r="DM5" s="54"/>
      <c r="DN5" s="62"/>
      <c r="DO5" s="54"/>
      <c r="DP5" s="54"/>
    </row>
    <row r="6" spans="1:121" ht="18">
      <c r="A6" s="75"/>
      <c r="B6" s="453"/>
      <c r="C6" s="276" t="s">
        <v>386</v>
      </c>
      <c r="D6" s="277"/>
      <c r="E6" s="277"/>
      <c r="F6" s="277"/>
      <c r="G6" s="277"/>
      <c r="H6" s="277"/>
      <c r="I6" s="277"/>
      <c r="J6" s="278"/>
      <c r="K6" s="67"/>
      <c r="L6" s="67"/>
      <c r="M6" s="61"/>
      <c r="N6" s="61"/>
      <c r="CN6" s="54"/>
      <c r="CO6" s="54"/>
      <c r="CP6" s="66"/>
      <c r="CY6" s="54"/>
      <c r="DE6" s="54"/>
      <c r="DF6" s="54"/>
      <c r="DG6" s="54"/>
      <c r="DH6" s="54"/>
      <c r="DI6" s="54"/>
      <c r="DJ6" s="54"/>
      <c r="DK6" s="54"/>
      <c r="DL6" s="54"/>
      <c r="DM6" s="54"/>
      <c r="DN6" s="62"/>
      <c r="DO6" s="54"/>
      <c r="DP6" s="54"/>
    </row>
    <row r="7" spans="1:121" ht="12.75" customHeight="1">
      <c r="A7" s="75"/>
      <c r="B7" s="453"/>
      <c r="C7" s="279"/>
      <c r="D7" s="280"/>
      <c r="E7" s="280"/>
      <c r="F7" s="280"/>
      <c r="G7" s="266"/>
      <c r="H7" s="266"/>
      <c r="I7" s="266"/>
      <c r="J7" s="281"/>
      <c r="K7" s="67"/>
      <c r="L7" s="67"/>
      <c r="M7" s="61"/>
      <c r="N7" s="61"/>
      <c r="CN7" s="54"/>
      <c r="CO7" s="66"/>
      <c r="CP7" s="66"/>
      <c r="CY7" s="66"/>
      <c r="DE7" s="66"/>
      <c r="DF7" s="54"/>
      <c r="DG7" s="54"/>
      <c r="DH7" s="54"/>
      <c r="DI7" s="54"/>
      <c r="DJ7" s="54"/>
      <c r="DK7" s="66"/>
      <c r="DL7" s="66"/>
      <c r="DM7" s="66"/>
      <c r="DN7" s="68"/>
      <c r="DO7" s="54"/>
      <c r="DP7" s="54"/>
    </row>
    <row r="8" spans="1:121" ht="18">
      <c r="A8" s="75"/>
      <c r="B8" s="453"/>
      <c r="C8" s="654" t="s">
        <v>304</v>
      </c>
      <c r="D8" s="537" t="s">
        <v>305</v>
      </c>
      <c r="E8" s="538"/>
      <c r="F8" s="539"/>
      <c r="G8" s="580" t="s">
        <v>306</v>
      </c>
      <c r="H8" s="581" t="s">
        <v>307</v>
      </c>
      <c r="I8" s="581" t="s">
        <v>308</v>
      </c>
      <c r="J8" s="311" t="s">
        <v>309</v>
      </c>
      <c r="K8" s="152"/>
      <c r="L8" s="152"/>
      <c r="M8" s="61"/>
      <c r="N8" s="61"/>
      <c r="O8" s="61"/>
      <c r="P8" s="8"/>
      <c r="Q8" s="8"/>
      <c r="CN8" s="54"/>
      <c r="CO8" s="69"/>
      <c r="CP8" s="69"/>
      <c r="CQ8" s="69"/>
      <c r="CZ8" s="69"/>
      <c r="DF8" s="69"/>
      <c r="DG8" s="66"/>
      <c r="DH8" s="66"/>
      <c r="DI8" s="66"/>
      <c r="DJ8" s="66"/>
      <c r="DK8" s="66"/>
      <c r="DL8" s="69"/>
      <c r="DM8" s="69"/>
      <c r="DN8" s="69"/>
      <c r="DO8" s="68"/>
      <c r="DP8" s="69"/>
      <c r="DQ8" s="91"/>
    </row>
    <row r="9" spans="1:121" ht="44.65" customHeight="1" outlineLevel="1">
      <c r="A9" s="75"/>
      <c r="B9" s="453"/>
      <c r="C9" s="655">
        <v>1</v>
      </c>
      <c r="D9" s="540" t="s">
        <v>387</v>
      </c>
      <c r="E9" s="541"/>
      <c r="F9" s="542"/>
      <c r="G9" s="656" t="s">
        <v>311</v>
      </c>
      <c r="H9" s="584" t="s">
        <v>312</v>
      </c>
      <c r="I9" s="584"/>
      <c r="J9" s="449"/>
      <c r="K9" s="153"/>
      <c r="L9" s="153"/>
      <c r="M9" s="61"/>
      <c r="N9" s="61"/>
      <c r="O9" s="61"/>
      <c r="P9" s="8"/>
      <c r="Q9" s="8"/>
      <c r="CN9" s="54"/>
      <c r="CO9" s="69"/>
      <c r="CP9" s="69"/>
      <c r="CQ9" s="69"/>
      <c r="CZ9" s="69"/>
      <c r="DF9" s="69"/>
      <c r="DG9" s="66"/>
      <c r="DH9" s="66"/>
      <c r="DI9" s="66"/>
      <c r="DJ9" s="66"/>
      <c r="DK9" s="66"/>
      <c r="DL9" s="69"/>
      <c r="DM9" s="69"/>
      <c r="DN9" s="69"/>
      <c r="DO9" s="68"/>
      <c r="DP9" s="69"/>
      <c r="DQ9" s="91"/>
    </row>
    <row r="10" spans="1:121" ht="61.15" customHeight="1" outlineLevel="1">
      <c r="A10" s="75"/>
      <c r="B10" s="453"/>
      <c r="C10" s="655">
        <v>2</v>
      </c>
      <c r="D10" s="540" t="s">
        <v>388</v>
      </c>
      <c r="E10" s="541"/>
      <c r="F10" s="542"/>
      <c r="G10" s="657" t="s">
        <v>389</v>
      </c>
      <c r="H10" s="584" t="s">
        <v>312</v>
      </c>
      <c r="I10" s="658"/>
      <c r="J10" s="659"/>
      <c r="K10" s="154"/>
      <c r="L10" s="154"/>
      <c r="M10" s="61"/>
      <c r="N10" s="61"/>
      <c r="O10" s="61"/>
      <c r="P10" s="8"/>
      <c r="Q10" s="8"/>
      <c r="CN10" s="54"/>
      <c r="CO10" s="69"/>
      <c r="CP10" s="69"/>
      <c r="CQ10" s="69"/>
      <c r="CZ10" s="69"/>
      <c r="DF10" s="69"/>
      <c r="DG10" s="66"/>
      <c r="DH10" s="66"/>
      <c r="DI10" s="66"/>
      <c r="DJ10" s="66"/>
      <c r="DK10" s="66"/>
      <c r="DL10" s="69"/>
      <c r="DM10" s="69"/>
      <c r="DN10" s="69"/>
      <c r="DO10" s="68"/>
      <c r="DP10" s="69"/>
      <c r="DQ10" s="91"/>
    </row>
    <row r="11" spans="1:121" ht="18" outlineLevel="1">
      <c r="A11" s="75"/>
      <c r="B11" s="453"/>
      <c r="C11" s="655">
        <v>3</v>
      </c>
      <c r="D11" s="540" t="s">
        <v>390</v>
      </c>
      <c r="E11" s="541"/>
      <c r="F11" s="542"/>
      <c r="G11" s="656" t="s">
        <v>391</v>
      </c>
      <c r="H11" s="584" t="s">
        <v>312</v>
      </c>
      <c r="I11" s="658"/>
      <c r="J11" s="450"/>
      <c r="K11" s="154"/>
      <c r="L11" s="154"/>
      <c r="M11" s="61"/>
      <c r="N11" s="61"/>
      <c r="O11" s="61"/>
      <c r="P11" s="8"/>
      <c r="Q11" s="8"/>
      <c r="CN11" s="54"/>
      <c r="CO11" s="69"/>
      <c r="CP11" s="69"/>
      <c r="CQ11" s="69"/>
      <c r="CZ11" s="69"/>
      <c r="DF11" s="69"/>
      <c r="DG11" s="66"/>
      <c r="DH11" s="66"/>
      <c r="DI11" s="66"/>
      <c r="DJ11" s="66"/>
      <c r="DK11" s="66"/>
      <c r="DL11" s="69"/>
      <c r="DM11" s="69"/>
      <c r="DN11" s="69"/>
      <c r="DO11" s="68"/>
      <c r="DP11" s="69"/>
      <c r="DQ11" s="91"/>
    </row>
    <row r="12" spans="1:121" ht="18.75" thickBot="1">
      <c r="A12" s="75"/>
      <c r="B12" s="453"/>
      <c r="C12" s="660"/>
      <c r="D12" s="661"/>
      <c r="E12" s="661"/>
      <c r="F12" s="661"/>
      <c r="G12" s="661"/>
      <c r="H12" s="661"/>
      <c r="I12" s="661"/>
      <c r="J12" s="662"/>
      <c r="K12" s="67"/>
      <c r="L12" s="67"/>
      <c r="M12" s="61"/>
      <c r="N12" s="61"/>
      <c r="O12" s="61"/>
      <c r="CM12" s="70"/>
      <c r="CN12" s="70"/>
      <c r="CO12" s="70"/>
      <c r="CX12" s="70"/>
      <c r="DD12" s="70"/>
      <c r="DE12" s="70"/>
      <c r="DF12" s="70"/>
      <c r="DG12" s="70"/>
      <c r="DH12" s="70"/>
      <c r="DI12" s="70"/>
      <c r="DJ12" s="70"/>
      <c r="DK12" s="70"/>
      <c r="DL12" s="70"/>
      <c r="DM12" s="62"/>
      <c r="DN12" s="70"/>
      <c r="DO12" s="71"/>
      <c r="DP12" s="54"/>
    </row>
    <row r="13" spans="1:121" ht="12.75" customHeight="1">
      <c r="A13" s="75"/>
      <c r="B13" s="453"/>
      <c r="C13" s="157"/>
      <c r="D13" s="61"/>
      <c r="E13" s="61"/>
      <c r="F13" s="61"/>
      <c r="G13" s="61"/>
      <c r="H13" s="61"/>
      <c r="I13" s="61"/>
      <c r="J13" s="61"/>
      <c r="K13" s="61"/>
      <c r="L13" s="61"/>
      <c r="CJ13" s="70"/>
      <c r="CM13" s="4"/>
      <c r="CU13" s="54"/>
      <c r="DA13" s="54"/>
      <c r="DB13" s="54"/>
      <c r="DC13" s="54"/>
      <c r="DD13" s="54"/>
      <c r="DE13" s="54"/>
      <c r="DF13" s="54"/>
      <c r="DG13" s="54"/>
      <c r="DH13" s="54"/>
      <c r="DI13" s="54"/>
      <c r="DJ13" s="62"/>
      <c r="DK13" s="70"/>
      <c r="DL13" s="71"/>
      <c r="DM13" s="54"/>
      <c r="DN13" s="54"/>
      <c r="DO13" s="54"/>
      <c r="DP13" s="54"/>
    </row>
    <row r="14" spans="1:121" ht="12.75" customHeight="1">
      <c r="A14" s="75"/>
      <c r="B14" s="140" t="s">
        <v>392</v>
      </c>
      <c r="C14" s="67" t="s">
        <v>393</v>
      </c>
      <c r="D14" s="61"/>
      <c r="E14" s="61"/>
      <c r="F14" s="61"/>
      <c r="G14" s="61"/>
      <c r="H14" s="61"/>
      <c r="I14" s="61"/>
      <c r="J14" s="61"/>
      <c r="K14" s="61"/>
      <c r="L14" s="61"/>
      <c r="CJ14" s="70"/>
      <c r="CM14" s="4"/>
      <c r="CU14" s="54"/>
      <c r="DA14" s="54"/>
      <c r="DB14" s="54"/>
      <c r="DC14" s="54"/>
      <c r="DD14" s="54"/>
      <c r="DE14" s="54"/>
      <c r="DF14" s="54"/>
      <c r="DG14" s="54"/>
      <c r="DH14" s="54"/>
      <c r="DI14" s="54"/>
      <c r="DJ14" s="62"/>
      <c r="DK14" s="70"/>
      <c r="DL14" s="71"/>
      <c r="DM14" s="54"/>
      <c r="DN14" s="54"/>
      <c r="DO14" s="54"/>
      <c r="DP14" s="54"/>
    </row>
    <row r="15" spans="1:121" ht="12.75" customHeight="1" thickBot="1">
      <c r="A15" s="75"/>
      <c r="B15" s="140"/>
      <c r="C15" s="67" t="s">
        <v>394</v>
      </c>
      <c r="D15" s="61"/>
      <c r="E15" s="61"/>
      <c r="F15" s="61"/>
      <c r="G15" s="61"/>
      <c r="H15" s="61"/>
      <c r="I15" s="61"/>
      <c r="J15" s="61"/>
      <c r="K15" s="61"/>
      <c r="L15" s="61"/>
      <c r="M15" s="61"/>
      <c r="N15" s="61"/>
      <c r="O15" s="76"/>
      <c r="CL15" s="4"/>
      <c r="CM15" s="4"/>
      <c r="CT15" s="54"/>
      <c r="CZ15" s="54"/>
      <c r="DA15" s="54"/>
      <c r="DB15" s="54"/>
      <c r="DC15" s="54"/>
      <c r="DD15" s="54"/>
      <c r="DE15" s="54"/>
      <c r="DF15" s="54"/>
      <c r="DG15" s="54"/>
      <c r="DH15" s="54"/>
      <c r="DI15" s="62"/>
      <c r="DJ15" s="54"/>
      <c r="DK15" s="54"/>
      <c r="DL15" s="54"/>
      <c r="DM15" s="54"/>
      <c r="DN15" s="54"/>
      <c r="DO15" s="54"/>
      <c r="DP15" s="54"/>
    </row>
    <row r="16" spans="1:121" ht="12.75" customHeight="1">
      <c r="A16" s="75"/>
      <c r="B16" s="334"/>
      <c r="C16" s="528"/>
      <c r="D16" s="529"/>
      <c r="E16" s="529"/>
      <c r="F16" s="529"/>
      <c r="G16" s="530"/>
      <c r="H16" s="61"/>
      <c r="I16" s="61"/>
      <c r="J16" s="61"/>
      <c r="K16" s="61"/>
      <c r="L16" s="61"/>
      <c r="M16" s="61"/>
      <c r="N16" s="61"/>
      <c r="O16" s="61"/>
      <c r="P16" s="61"/>
      <c r="Q16" s="76"/>
      <c r="CV16" s="54"/>
      <c r="DB16" s="54"/>
      <c r="DC16" s="54"/>
      <c r="DD16" s="54"/>
      <c r="DE16" s="54"/>
      <c r="DF16" s="54"/>
      <c r="DG16" s="54"/>
      <c r="DH16" s="54"/>
      <c r="DI16" s="54"/>
      <c r="DJ16" s="54"/>
      <c r="DK16" s="62"/>
      <c r="DL16" s="54"/>
      <c r="DM16" s="54"/>
      <c r="DN16" s="54"/>
      <c r="DO16" s="54"/>
      <c r="DP16" s="54"/>
    </row>
    <row r="17" spans="1:123" ht="12.75" customHeight="1">
      <c r="A17" s="75"/>
      <c r="B17" s="453"/>
      <c r="C17" s="531"/>
      <c r="D17" s="532"/>
      <c r="E17" s="532"/>
      <c r="F17" s="532"/>
      <c r="G17" s="533"/>
      <c r="H17" s="61"/>
      <c r="I17" s="61"/>
      <c r="J17" s="61"/>
      <c r="K17" s="61"/>
      <c r="L17" s="61"/>
      <c r="M17" s="61"/>
      <c r="N17" s="61"/>
      <c r="O17" s="61"/>
      <c r="P17" s="61"/>
      <c r="Q17" s="76"/>
      <c r="CV17" s="54"/>
      <c r="DB17" s="54"/>
      <c r="DC17" s="54"/>
      <c r="DD17" s="54"/>
      <c r="DE17" s="54"/>
      <c r="DF17" s="54"/>
      <c r="DG17" s="54"/>
      <c r="DH17" s="54"/>
      <c r="DI17" s="54"/>
      <c r="DJ17" s="54"/>
      <c r="DK17" s="62"/>
      <c r="DL17" s="54"/>
      <c r="DM17" s="54"/>
      <c r="DN17" s="54"/>
      <c r="DO17" s="54"/>
      <c r="DP17" s="54"/>
    </row>
    <row r="18" spans="1:123" ht="12.75" customHeight="1" thickBot="1">
      <c r="A18" s="75"/>
      <c r="B18" s="453"/>
      <c r="C18" s="534"/>
      <c r="D18" s="535"/>
      <c r="E18" s="535"/>
      <c r="F18" s="535"/>
      <c r="G18" s="536"/>
      <c r="H18" s="61"/>
      <c r="I18" s="61"/>
      <c r="J18" s="61"/>
      <c r="K18" s="61"/>
      <c r="L18" s="61"/>
      <c r="M18" s="61"/>
      <c r="N18" s="61"/>
      <c r="O18" s="61"/>
      <c r="P18" s="61"/>
      <c r="Q18" s="76"/>
      <c r="CV18" s="54"/>
      <c r="DB18" s="54"/>
      <c r="DC18" s="54"/>
      <c r="DD18" s="54"/>
      <c r="DE18" s="54"/>
      <c r="DF18" s="54"/>
      <c r="DG18" s="54"/>
      <c r="DH18" s="54"/>
      <c r="DI18" s="54"/>
      <c r="DJ18" s="54"/>
      <c r="DK18" s="62"/>
      <c r="DL18" s="54"/>
      <c r="DM18" s="54"/>
      <c r="DN18" s="54"/>
      <c r="DO18" s="54"/>
      <c r="DP18" s="54"/>
    </row>
    <row r="19" spans="1:123" ht="12.75" customHeight="1">
      <c r="A19" s="75"/>
      <c r="B19" s="453"/>
      <c r="C19" s="61"/>
      <c r="D19" s="61"/>
      <c r="E19" s="61"/>
      <c r="F19" s="61"/>
      <c r="G19" s="61"/>
      <c r="H19" s="61"/>
      <c r="I19" s="61"/>
      <c r="J19" s="61"/>
      <c r="K19" s="61"/>
      <c r="L19" s="61"/>
      <c r="M19" s="61"/>
      <c r="N19" s="61"/>
      <c r="O19" s="61"/>
      <c r="P19" s="61"/>
      <c r="Q19" s="76"/>
      <c r="CV19" s="54"/>
      <c r="DB19" s="54"/>
      <c r="DC19" s="54"/>
      <c r="DD19" s="54"/>
      <c r="DE19" s="54"/>
      <c r="DF19" s="54"/>
      <c r="DG19" s="54"/>
      <c r="DH19" s="54"/>
      <c r="DI19" s="54"/>
      <c r="DJ19" s="54"/>
      <c r="DK19" s="62"/>
      <c r="DL19" s="54"/>
      <c r="DM19" s="54"/>
      <c r="DN19" s="54"/>
      <c r="DO19" s="54"/>
      <c r="DP19" s="54"/>
    </row>
    <row r="20" spans="1:123" ht="12.75" customHeight="1" thickBot="1">
      <c r="A20" s="75"/>
      <c r="B20" s="334"/>
      <c r="C20" s="74"/>
      <c r="D20" s="61"/>
      <c r="E20" s="61"/>
      <c r="F20" s="61"/>
      <c r="G20" s="61"/>
      <c r="H20" s="61"/>
      <c r="I20" s="61"/>
      <c r="J20" s="61"/>
      <c r="K20" s="61"/>
      <c r="L20" s="61"/>
      <c r="M20" s="61"/>
      <c r="N20" s="61"/>
      <c r="O20" s="61"/>
      <c r="P20" s="61"/>
      <c r="Q20" s="76"/>
      <c r="CV20" s="54"/>
      <c r="DB20" s="54"/>
      <c r="DC20" s="54"/>
      <c r="DD20" s="54"/>
      <c r="DE20" s="54"/>
      <c r="DF20" s="54"/>
      <c r="DG20" s="54"/>
      <c r="DH20" s="54"/>
      <c r="DI20" s="54"/>
      <c r="DJ20" s="54"/>
      <c r="DK20" s="62"/>
      <c r="DL20" s="54"/>
      <c r="DM20" s="54"/>
      <c r="DN20" s="54"/>
      <c r="DO20" s="54"/>
      <c r="DP20" s="54"/>
    </row>
    <row r="21" spans="1:123" ht="12.75" customHeight="1">
      <c r="A21" s="75"/>
      <c r="B21" s="140" t="s">
        <v>391</v>
      </c>
      <c r="C21" s="416" t="s">
        <v>395</v>
      </c>
      <c r="D21" s="417"/>
      <c r="E21" s="417"/>
      <c r="F21" s="417"/>
      <c r="G21" s="418"/>
      <c r="CD21" s="4"/>
      <c r="CE21" s="4"/>
      <c r="CF21" s="4"/>
      <c r="CG21" s="4"/>
      <c r="CH21" s="4"/>
      <c r="CI21" s="4"/>
      <c r="CJ21" s="4"/>
      <c r="CK21" s="4"/>
      <c r="CM21" s="4"/>
      <c r="CR21" s="54"/>
      <c r="CS21" s="54"/>
      <c r="CT21" s="54"/>
      <c r="CU21" s="54"/>
      <c r="CV21" s="54"/>
      <c r="CW21" s="54"/>
      <c r="CX21" s="54"/>
      <c r="CY21" s="54"/>
      <c r="CZ21" s="54"/>
      <c r="DA21" s="62"/>
      <c r="DB21" s="54"/>
      <c r="DC21" s="54"/>
      <c r="DD21" s="54"/>
      <c r="DE21" s="54"/>
      <c r="DF21" s="54"/>
      <c r="DG21" s="54"/>
      <c r="DH21" s="54"/>
      <c r="DI21" s="54"/>
      <c r="DJ21" s="54"/>
      <c r="DK21" s="54"/>
      <c r="DL21" s="54"/>
      <c r="DM21" s="54"/>
      <c r="DN21" s="54"/>
      <c r="DO21" s="54"/>
      <c r="DP21" s="54"/>
    </row>
    <row r="22" spans="1:123" ht="12.75" customHeight="1">
      <c r="A22" s="75"/>
      <c r="B22" s="453"/>
      <c r="C22" s="419" t="s">
        <v>396</v>
      </c>
      <c r="D22" s="420"/>
      <c r="E22" s="420"/>
      <c r="F22" s="420"/>
      <c r="G22" s="421"/>
      <c r="CD22" s="4"/>
      <c r="CE22" s="4"/>
      <c r="CF22" s="4"/>
      <c r="CG22" s="4"/>
      <c r="CH22" s="4"/>
      <c r="CI22" s="4"/>
      <c r="CJ22" s="4"/>
      <c r="CK22" s="4"/>
      <c r="CM22" s="4"/>
      <c r="CR22" s="54"/>
      <c r="CS22" s="54"/>
      <c r="CT22" s="54"/>
      <c r="CU22" s="54"/>
      <c r="CV22" s="54"/>
      <c r="CW22" s="54"/>
      <c r="CX22" s="54"/>
      <c r="CY22" s="54"/>
      <c r="CZ22" s="54"/>
      <c r="DA22" s="62"/>
      <c r="DB22" s="54"/>
      <c r="DC22" s="54"/>
      <c r="DD22" s="54"/>
      <c r="DE22" s="54"/>
      <c r="DF22" s="54"/>
      <c r="DG22" s="54"/>
      <c r="DH22" s="54"/>
      <c r="DI22" s="54"/>
      <c r="DJ22" s="54"/>
      <c r="DK22" s="54"/>
      <c r="DL22" s="54"/>
      <c r="DM22" s="54"/>
      <c r="DN22" s="54"/>
      <c r="DO22" s="54"/>
      <c r="DP22" s="54"/>
    </row>
    <row r="23" spans="1:123" ht="12.75" customHeight="1">
      <c r="A23" s="75"/>
      <c r="B23" s="453"/>
      <c r="C23" s="422" t="s">
        <v>397</v>
      </c>
      <c r="D23" s="18"/>
      <c r="E23" s="18"/>
      <c r="F23" s="18"/>
      <c r="G23" s="423"/>
      <c r="CD23" s="4"/>
      <c r="CE23" s="4"/>
      <c r="CF23" s="4"/>
      <c r="CG23" s="4"/>
      <c r="CH23" s="4"/>
      <c r="CI23" s="4"/>
      <c r="CJ23" s="4"/>
      <c r="CK23" s="4"/>
      <c r="CM23" s="4"/>
      <c r="CR23" s="54"/>
      <c r="CS23" s="54"/>
      <c r="CT23" s="54"/>
      <c r="CU23" s="54"/>
      <c r="CV23" s="54"/>
      <c r="CW23" s="54"/>
      <c r="CX23" s="54"/>
      <c r="CY23" s="54"/>
      <c r="CZ23" s="54"/>
      <c r="DA23" s="62"/>
      <c r="DB23" s="54"/>
      <c r="DC23" s="54"/>
      <c r="DD23" s="54"/>
      <c r="DE23" s="54"/>
      <c r="DF23" s="54"/>
      <c r="DG23" s="54"/>
      <c r="DH23" s="54"/>
      <c r="DI23" s="54"/>
      <c r="DJ23" s="54"/>
      <c r="DK23" s="54"/>
      <c r="DL23" s="54"/>
      <c r="DM23" s="54"/>
      <c r="DN23" s="54"/>
      <c r="DO23" s="54"/>
      <c r="DP23" s="54"/>
    </row>
    <row r="24" spans="1:123" ht="12.75" customHeight="1">
      <c r="A24" s="75"/>
      <c r="B24" s="453"/>
      <c r="C24" s="424" t="s">
        <v>398</v>
      </c>
      <c r="D24" s="425"/>
      <c r="E24" s="425"/>
      <c r="F24" s="425"/>
      <c r="G24" s="426"/>
      <c r="CD24" s="4"/>
      <c r="CE24" s="4"/>
      <c r="CF24" s="4"/>
      <c r="CG24" s="4"/>
      <c r="CH24" s="4"/>
      <c r="CI24" s="4"/>
      <c r="CJ24" s="4"/>
      <c r="CK24" s="4"/>
      <c r="CM24" s="4"/>
      <c r="CR24" s="54"/>
      <c r="CS24" s="54"/>
      <c r="CT24" s="54"/>
      <c r="CU24" s="54"/>
      <c r="CV24" s="54"/>
      <c r="CW24" s="54"/>
      <c r="CX24" s="54"/>
      <c r="CY24" s="54"/>
      <c r="CZ24" s="54"/>
      <c r="DA24" s="62"/>
      <c r="DB24" s="54"/>
      <c r="DC24" s="54"/>
      <c r="DD24" s="54"/>
      <c r="DE24" s="54"/>
      <c r="DF24" s="54"/>
      <c r="DG24" s="54"/>
      <c r="DH24" s="54"/>
      <c r="DI24" s="54"/>
      <c r="DJ24" s="54"/>
      <c r="DK24" s="54"/>
      <c r="DL24" s="54"/>
      <c r="DM24" s="54"/>
      <c r="DN24" s="54"/>
      <c r="DO24" s="54"/>
      <c r="DP24" s="54"/>
    </row>
    <row r="25" spans="1:123" ht="12.75" customHeight="1">
      <c r="A25" s="75"/>
      <c r="B25" s="453"/>
      <c r="C25" s="424" t="s">
        <v>399</v>
      </c>
      <c r="D25" s="425"/>
      <c r="E25" s="425"/>
      <c r="F25" s="425"/>
      <c r="G25" s="426"/>
      <c r="CD25" s="4"/>
      <c r="CE25" s="4"/>
      <c r="CF25" s="4"/>
      <c r="CG25" s="4"/>
      <c r="CH25" s="4"/>
      <c r="CI25" s="4"/>
      <c r="CJ25" s="4"/>
      <c r="CK25" s="4"/>
      <c r="CM25" s="4"/>
      <c r="CR25" s="54"/>
      <c r="CS25" s="54"/>
      <c r="CT25" s="54"/>
      <c r="CU25" s="54"/>
      <c r="CV25" s="54"/>
      <c r="CW25" s="54"/>
      <c r="CX25" s="54"/>
      <c r="CY25" s="54"/>
      <c r="CZ25" s="54"/>
      <c r="DA25" s="62"/>
      <c r="DB25" s="54"/>
      <c r="DC25" s="54"/>
      <c r="DD25" s="54"/>
      <c r="DE25" s="54"/>
      <c r="DF25" s="54"/>
      <c r="DG25" s="54"/>
      <c r="DH25" s="54"/>
      <c r="DI25" s="54"/>
      <c r="DJ25" s="54"/>
      <c r="DK25" s="54"/>
      <c r="DL25" s="54"/>
      <c r="DM25" s="54"/>
      <c r="DN25" s="54"/>
      <c r="DO25" s="54"/>
      <c r="DP25" s="54"/>
    </row>
    <row r="26" spans="1:123" ht="12.75" customHeight="1">
      <c r="A26" s="75"/>
      <c r="B26" s="453"/>
      <c r="C26" s="424" t="s">
        <v>400</v>
      </c>
      <c r="D26" s="425"/>
      <c r="E26" s="425"/>
      <c r="F26" s="425"/>
      <c r="G26" s="426"/>
      <c r="CD26" s="4"/>
      <c r="CE26" s="4"/>
      <c r="CF26" s="4"/>
      <c r="CG26" s="4"/>
      <c r="CH26" s="4"/>
      <c r="CI26" s="4"/>
      <c r="CJ26" s="4"/>
      <c r="CK26" s="4"/>
      <c r="CM26" s="4"/>
      <c r="CR26" s="54"/>
      <c r="CS26" s="54"/>
      <c r="CT26" s="54"/>
      <c r="CU26" s="54"/>
      <c r="CV26" s="54"/>
      <c r="CW26" s="54"/>
      <c r="CX26" s="54"/>
      <c r="CY26" s="54"/>
      <c r="CZ26" s="54"/>
      <c r="DA26" s="62"/>
      <c r="DB26" s="54"/>
      <c r="DC26" s="54"/>
      <c r="DD26" s="54"/>
      <c r="DE26" s="54"/>
      <c r="DF26" s="54"/>
      <c r="DG26" s="54"/>
      <c r="DH26" s="54"/>
      <c r="DI26" s="54"/>
      <c r="DJ26" s="54"/>
      <c r="DK26" s="54"/>
      <c r="DL26" s="54"/>
      <c r="DM26" s="54"/>
      <c r="DN26" s="54"/>
      <c r="DO26" s="54"/>
      <c r="DP26" s="54"/>
    </row>
    <row r="27" spans="1:123" ht="12.75" customHeight="1" thickBot="1">
      <c r="A27" s="75"/>
      <c r="B27" s="453"/>
      <c r="C27" s="427"/>
      <c r="D27" s="428"/>
      <c r="E27" s="428"/>
      <c r="F27" s="428"/>
      <c r="G27" s="429"/>
      <c r="CD27" s="4"/>
      <c r="CE27" s="4"/>
      <c r="CF27" s="4"/>
      <c r="CG27" s="4"/>
      <c r="CH27" s="4"/>
      <c r="CI27" s="4"/>
      <c r="CJ27" s="4"/>
      <c r="CK27" s="4"/>
      <c r="CM27" s="4"/>
      <c r="CR27" s="54"/>
      <c r="CS27" s="54"/>
      <c r="CT27" s="54"/>
      <c r="CU27" s="54"/>
      <c r="CV27" s="54"/>
      <c r="CW27" s="54"/>
      <c r="CX27" s="54"/>
      <c r="CY27" s="54"/>
      <c r="CZ27" s="54"/>
      <c r="DA27" s="62"/>
      <c r="DB27" s="54"/>
      <c r="DC27" s="54"/>
      <c r="DD27" s="54"/>
      <c r="DE27" s="54"/>
      <c r="DF27" s="54"/>
      <c r="DG27" s="54"/>
      <c r="DH27" s="54"/>
      <c r="DI27" s="54"/>
      <c r="DJ27" s="54"/>
      <c r="DK27" s="54"/>
      <c r="DL27" s="54"/>
      <c r="DM27" s="54"/>
      <c r="DN27" s="54"/>
      <c r="DO27" s="54"/>
      <c r="DP27" s="54"/>
    </row>
    <row r="28" spans="1:123" ht="12.75" customHeight="1">
      <c r="A28" s="75"/>
      <c r="B28" s="453"/>
      <c r="C28" s="430"/>
      <c r="D28" s="430"/>
      <c r="E28" s="430"/>
      <c r="F28" s="430"/>
      <c r="G28" s="430"/>
      <c r="H28" s="430"/>
      <c r="I28" s="430"/>
      <c r="J28" s="430"/>
      <c r="K28" s="430"/>
      <c r="L28" s="430"/>
      <c r="M28" s="430"/>
      <c r="N28" s="430"/>
      <c r="O28" s="430"/>
      <c r="CV28" s="54"/>
      <c r="DB28" s="54"/>
      <c r="DC28" s="54"/>
      <c r="DD28" s="54"/>
      <c r="DE28" s="54"/>
      <c r="DF28" s="54"/>
      <c r="DG28" s="54"/>
      <c r="DH28" s="54"/>
      <c r="DI28" s="54"/>
      <c r="DJ28" s="54"/>
      <c r="DK28" s="62"/>
      <c r="DL28" s="54"/>
      <c r="DM28" s="54"/>
      <c r="DN28" s="54"/>
      <c r="DO28" s="54"/>
      <c r="DP28" s="54"/>
    </row>
    <row r="29" spans="1:123" ht="27.6" customHeight="1" thickBot="1">
      <c r="A29" s="75"/>
      <c r="B29" s="334"/>
      <c r="C29" s="74" t="s">
        <v>401</v>
      </c>
      <c r="D29" s="59"/>
      <c r="E29" s="59"/>
      <c r="F29" s="59"/>
      <c r="G29" s="59"/>
      <c r="I29" s="430"/>
      <c r="J29" s="430"/>
      <c r="K29" s="430"/>
      <c r="L29" s="430"/>
      <c r="M29" s="430"/>
      <c r="N29" s="430"/>
      <c r="O29" s="430"/>
      <c r="T29" s="52"/>
      <c r="U29" s="52"/>
      <c r="V29" s="52"/>
      <c r="W29" s="52"/>
      <c r="X29" s="52"/>
      <c r="Y29" s="52"/>
      <c r="Z29" s="52"/>
      <c r="AA29" s="52"/>
      <c r="AB29" s="52"/>
      <c r="CN29" s="54"/>
      <c r="CO29" s="54"/>
      <c r="CP29" s="54"/>
      <c r="CQ29" s="54"/>
      <c r="CR29" s="54"/>
      <c r="CS29" s="54"/>
      <c r="CT29" s="54"/>
      <c r="CU29" s="54"/>
      <c r="DD29" s="54"/>
      <c r="DJ29" s="54"/>
      <c r="DK29" s="54"/>
      <c r="DL29" s="54"/>
      <c r="DM29" s="54"/>
      <c r="DN29" s="54"/>
      <c r="DO29" s="54"/>
      <c r="DP29" s="54"/>
      <c r="DS29" s="62"/>
    </row>
    <row r="30" spans="1:123" ht="21" customHeight="1" thickBot="1">
      <c r="A30" s="75"/>
      <c r="C30" s="382"/>
      <c r="D30" s="383"/>
      <c r="E30" s="383"/>
      <c r="F30" s="383"/>
      <c r="G30" s="383"/>
      <c r="H30" s="383"/>
      <c r="I30" s="384"/>
      <c r="J30" s="159"/>
      <c r="K30" s="161" t="s">
        <v>402</v>
      </c>
      <c r="L30" s="160"/>
      <c r="M30" s="161"/>
      <c r="N30" s="160"/>
      <c r="O30" s="288"/>
      <c r="T30" s="52"/>
      <c r="U30" s="52"/>
      <c r="V30" s="52"/>
      <c r="W30" s="52"/>
      <c r="X30" s="52"/>
      <c r="Y30" s="52"/>
      <c r="Z30" s="52"/>
      <c r="AA30" s="52"/>
      <c r="AB30" s="52"/>
      <c r="CN30" s="54"/>
      <c r="CO30" s="54"/>
      <c r="CP30" s="54"/>
      <c r="CQ30" s="54"/>
      <c r="CR30" s="54"/>
      <c r="CS30" s="54"/>
      <c r="CT30" s="54"/>
      <c r="CU30" s="54"/>
      <c r="DD30" s="54"/>
      <c r="DJ30" s="54"/>
      <c r="DK30" s="54"/>
      <c r="DL30" s="54"/>
      <c r="DM30" s="54"/>
      <c r="DN30" s="54"/>
      <c r="DO30" s="54"/>
      <c r="DP30" s="54"/>
      <c r="DS30" s="62"/>
    </row>
    <row r="31" spans="1:123" s="94" customFormat="1" ht="52.5" customHeight="1">
      <c r="A31" s="431"/>
      <c r="B31" s="454" t="s">
        <v>403</v>
      </c>
      <c r="C31" s="92" t="s">
        <v>404</v>
      </c>
      <c r="D31" s="93" t="s">
        <v>359</v>
      </c>
      <c r="E31" s="93" t="s">
        <v>405</v>
      </c>
      <c r="F31" s="287" t="s">
        <v>346</v>
      </c>
      <c r="G31" s="305" t="s">
        <v>406</v>
      </c>
      <c r="H31" s="282" t="s">
        <v>407</v>
      </c>
      <c r="I31" s="432" t="s">
        <v>408</v>
      </c>
      <c r="J31" s="385">
        <v>1</v>
      </c>
      <c r="K31" s="433">
        <v>2</v>
      </c>
      <c r="L31" s="336">
        <v>3</v>
      </c>
      <c r="M31" s="386">
        <v>4</v>
      </c>
      <c r="N31" s="337" t="s">
        <v>409</v>
      </c>
      <c r="O31" s="338" t="s">
        <v>292</v>
      </c>
      <c r="P31" s="54"/>
      <c r="Q31" s="54"/>
      <c r="R31" s="54"/>
      <c r="S31" s="54"/>
      <c r="T31" s="65"/>
      <c r="U31" s="65"/>
      <c r="V31" s="65"/>
      <c r="W31" s="65"/>
      <c r="X31" s="65"/>
      <c r="Y31" s="65"/>
      <c r="Z31" s="65"/>
      <c r="AA31" s="65"/>
      <c r="AB31" s="65"/>
      <c r="CS31" s="95"/>
      <c r="CT31" s="95"/>
      <c r="CU31" s="95"/>
      <c r="CV31" s="11"/>
      <c r="CW31" s="11"/>
      <c r="CX31" s="11"/>
      <c r="CY31" s="11"/>
      <c r="CZ31" s="11"/>
      <c r="DA31" s="11"/>
      <c r="DB31" s="11"/>
      <c r="DC31" s="11"/>
      <c r="DE31" s="11"/>
      <c r="DF31" s="11"/>
      <c r="DG31" s="11"/>
      <c r="DH31" s="11"/>
      <c r="DI31" s="11"/>
      <c r="DS31" s="96"/>
    </row>
    <row r="32" spans="1:123" ht="13.15" customHeight="1">
      <c r="B32" s="455"/>
      <c r="C32" s="663"/>
      <c r="D32" s="627"/>
      <c r="E32" s="627"/>
      <c r="F32" s="664"/>
      <c r="G32" s="324"/>
      <c r="H32" s="665"/>
      <c r="I32" s="666"/>
      <c r="J32" s="627"/>
      <c r="K32" s="627"/>
      <c r="L32" s="627"/>
      <c r="M32" s="627"/>
      <c r="N32" s="667"/>
      <c r="O32" s="668"/>
      <c r="T32" s="52"/>
      <c r="U32" s="52"/>
      <c r="V32" s="52"/>
      <c r="W32" s="52"/>
      <c r="X32" s="52"/>
      <c r="Y32" s="52"/>
      <c r="Z32" s="52"/>
      <c r="AA32" s="52"/>
      <c r="AB32" s="52"/>
      <c r="CN32" s="54"/>
      <c r="CO32" s="54"/>
      <c r="CP32" s="54"/>
      <c r="CQ32" s="54"/>
      <c r="CR32" s="54"/>
      <c r="CS32" s="54"/>
      <c r="CT32" s="54"/>
      <c r="CU32" s="54"/>
      <c r="DD32" s="54"/>
      <c r="DJ32" s="54"/>
      <c r="DK32" s="54"/>
      <c r="DL32" s="54"/>
      <c r="DM32" s="54"/>
      <c r="DN32" s="54"/>
      <c r="DO32" s="54"/>
      <c r="DP32" s="54"/>
      <c r="DS32" s="62"/>
    </row>
    <row r="33" spans="1:123" ht="13.15" customHeight="1">
      <c r="B33" s="455"/>
      <c r="C33" s="663"/>
      <c r="D33" s="627"/>
      <c r="E33" s="627"/>
      <c r="F33" s="664"/>
      <c r="G33" s="324"/>
      <c r="H33" s="665"/>
      <c r="I33" s="666"/>
      <c r="J33" s="627"/>
      <c r="K33" s="627"/>
      <c r="L33" s="627"/>
      <c r="M33" s="627"/>
      <c r="N33" s="667"/>
      <c r="O33" s="668"/>
      <c r="T33" s="52"/>
      <c r="U33" s="52"/>
      <c r="V33" s="52"/>
      <c r="W33" s="52"/>
      <c r="X33" s="52"/>
      <c r="Y33" s="52"/>
      <c r="Z33" s="52"/>
      <c r="AA33" s="52"/>
      <c r="AB33" s="52"/>
      <c r="CN33" s="54"/>
      <c r="CO33" s="54"/>
      <c r="CP33" s="54"/>
      <c r="CQ33" s="54"/>
      <c r="CR33" s="54"/>
      <c r="CS33" s="54"/>
      <c r="CT33" s="54"/>
      <c r="CU33" s="54"/>
      <c r="DD33" s="54"/>
      <c r="DJ33" s="54"/>
      <c r="DK33" s="54"/>
      <c r="DL33" s="54"/>
      <c r="DM33" s="54"/>
      <c r="DN33" s="54"/>
      <c r="DO33" s="54"/>
      <c r="DP33" s="54"/>
      <c r="DS33" s="62"/>
    </row>
    <row r="34" spans="1:123" ht="13.15" customHeight="1">
      <c r="B34" s="455"/>
      <c r="C34" s="97"/>
      <c r="D34" s="627"/>
      <c r="E34" s="325"/>
      <c r="F34" s="326"/>
      <c r="G34" s="98"/>
      <c r="H34" s="327"/>
      <c r="I34" s="666"/>
      <c r="J34" s="627"/>
      <c r="K34" s="627"/>
      <c r="L34" s="627"/>
      <c r="M34" s="627"/>
      <c r="N34" s="667"/>
      <c r="O34" s="668"/>
      <c r="T34" s="52"/>
      <c r="U34" s="52"/>
      <c r="V34" s="52"/>
      <c r="W34" s="52"/>
      <c r="X34" s="52"/>
      <c r="Y34" s="52"/>
      <c r="Z34" s="52"/>
      <c r="AA34" s="52"/>
      <c r="AB34" s="52"/>
      <c r="CN34" s="54"/>
      <c r="CO34" s="54"/>
      <c r="CP34" s="54"/>
      <c r="CQ34" s="54"/>
      <c r="CR34" s="54"/>
      <c r="CS34" s="54"/>
      <c r="CT34" s="54"/>
      <c r="CU34" s="54"/>
      <c r="DD34" s="54"/>
      <c r="DJ34" s="54"/>
      <c r="DK34" s="54"/>
      <c r="DL34" s="54"/>
      <c r="DM34" s="54"/>
      <c r="DN34" s="54"/>
      <c r="DO34" s="54"/>
      <c r="DP34" s="54"/>
      <c r="DS34" s="62"/>
    </row>
    <row r="35" spans="1:123" ht="13.15" customHeight="1">
      <c r="B35" s="455"/>
      <c r="C35" s="97"/>
      <c r="D35" s="627"/>
      <c r="E35" s="325"/>
      <c r="F35" s="326"/>
      <c r="G35" s="98"/>
      <c r="H35" s="327"/>
      <c r="I35" s="666"/>
      <c r="J35" s="627"/>
      <c r="K35" s="627"/>
      <c r="L35" s="627"/>
      <c r="M35" s="627"/>
      <c r="N35" s="667"/>
      <c r="O35" s="668"/>
      <c r="T35" s="52"/>
      <c r="U35" s="52"/>
      <c r="V35" s="52"/>
      <c r="W35" s="52"/>
      <c r="X35" s="52"/>
      <c r="Y35" s="52"/>
      <c r="Z35" s="52"/>
      <c r="AA35" s="52"/>
      <c r="AB35" s="52"/>
      <c r="CN35" s="54"/>
      <c r="CO35" s="54"/>
      <c r="CP35" s="54"/>
      <c r="CQ35" s="54"/>
      <c r="CR35" s="54"/>
      <c r="CS35" s="54"/>
      <c r="CT35" s="54"/>
      <c r="CU35" s="54"/>
      <c r="DD35" s="54"/>
      <c r="DJ35" s="54"/>
      <c r="DK35" s="54"/>
      <c r="DL35" s="54"/>
      <c r="DM35" s="54"/>
      <c r="DN35" s="54"/>
      <c r="DO35" s="54"/>
      <c r="DP35" s="54"/>
      <c r="DS35" s="62"/>
    </row>
    <row r="36" spans="1:123" ht="13.5" customHeight="1" thickBot="1">
      <c r="B36" s="455"/>
      <c r="C36" s="669"/>
      <c r="D36" s="645"/>
      <c r="E36" s="645"/>
      <c r="F36" s="670"/>
      <c r="G36" s="671"/>
      <c r="H36" s="672"/>
      <c r="I36" s="673"/>
      <c r="J36" s="645"/>
      <c r="K36" s="645"/>
      <c r="L36" s="645"/>
      <c r="M36" s="645"/>
      <c r="N36" s="674"/>
      <c r="O36" s="675"/>
      <c r="T36" s="52"/>
      <c r="U36" s="52"/>
      <c r="V36" s="52"/>
      <c r="W36" s="52"/>
      <c r="X36" s="52"/>
      <c r="Y36" s="52"/>
      <c r="Z36" s="52"/>
      <c r="AA36" s="52"/>
      <c r="AB36" s="52"/>
      <c r="CN36" s="54"/>
      <c r="CO36" s="54"/>
      <c r="CP36" s="54"/>
      <c r="CQ36" s="54"/>
      <c r="CR36" s="54"/>
      <c r="CS36" s="54"/>
      <c r="CT36" s="54"/>
      <c r="CU36" s="54"/>
      <c r="DD36" s="54"/>
      <c r="DJ36" s="54"/>
      <c r="DK36" s="54"/>
      <c r="DL36" s="54"/>
      <c r="DM36" s="54"/>
      <c r="DN36" s="54"/>
      <c r="DO36" s="54"/>
      <c r="DP36" s="54"/>
      <c r="DS36" s="62"/>
    </row>
    <row r="37" spans="1:123">
      <c r="A37" s="75"/>
      <c r="B37" s="456"/>
      <c r="C37" s="400" t="s">
        <v>410</v>
      </c>
      <c r="D37" s="61"/>
      <c r="E37" s="61"/>
      <c r="F37" s="61"/>
      <c r="G37" s="61"/>
      <c r="H37" s="61"/>
      <c r="I37" s="61"/>
      <c r="J37" s="61"/>
      <c r="K37" s="52"/>
      <c r="L37" s="52"/>
      <c r="M37" s="52"/>
      <c r="N37" s="52"/>
      <c r="O37" s="52"/>
      <c r="T37" s="52"/>
      <c r="U37" s="52"/>
      <c r="V37" s="52"/>
      <c r="W37" s="52"/>
      <c r="CN37" s="54"/>
      <c r="CO37" s="54"/>
      <c r="CP37" s="54"/>
      <c r="CY37" s="54"/>
      <c r="DE37" s="54"/>
      <c r="DF37" s="54"/>
      <c r="DG37" s="54"/>
      <c r="DH37" s="54"/>
      <c r="DI37" s="54"/>
      <c r="DJ37" s="54"/>
      <c r="DK37" s="54"/>
      <c r="DL37" s="54"/>
      <c r="DM37" s="54"/>
      <c r="DN37" s="62"/>
      <c r="DO37" s="54"/>
      <c r="DP37" s="54"/>
    </row>
    <row r="38" spans="1:123" ht="13.5" thickBot="1">
      <c r="B38" s="54"/>
      <c r="C38" s="7"/>
      <c r="D38" s="7"/>
      <c r="E38" s="7"/>
      <c r="F38" s="7"/>
      <c r="G38" s="7"/>
      <c r="H38" s="7"/>
      <c r="I38" s="7"/>
      <c r="J38" s="9"/>
      <c r="K38" s="7"/>
      <c r="L38" s="76"/>
      <c r="M38" s="76"/>
      <c r="CM38" s="4"/>
      <c r="DM38" s="58"/>
      <c r="DN38" s="4"/>
      <c r="DO38" s="5"/>
      <c r="DP38" s="54"/>
    </row>
    <row r="39" spans="1:123" ht="14.1" customHeight="1">
      <c r="B39" s="140" t="s">
        <v>411</v>
      </c>
      <c r="C39" s="528"/>
      <c r="D39" s="529"/>
      <c r="E39" s="529"/>
      <c r="F39" s="529"/>
      <c r="G39" s="530"/>
      <c r="CM39" s="4"/>
      <c r="DM39" s="58"/>
      <c r="DN39" s="4"/>
      <c r="DO39" s="5"/>
      <c r="DP39" s="54"/>
    </row>
    <row r="40" spans="1:123" ht="14.1" customHeight="1">
      <c r="C40" s="531"/>
      <c r="D40" s="532"/>
      <c r="E40" s="532"/>
      <c r="F40" s="532"/>
      <c r="G40" s="533"/>
    </row>
    <row r="41" spans="1:123" ht="14.1" customHeight="1" thickBot="1">
      <c r="A41" s="411"/>
      <c r="C41" s="534"/>
      <c r="D41" s="535"/>
      <c r="E41" s="535"/>
      <c r="F41" s="535"/>
      <c r="G41" s="536"/>
    </row>
    <row r="42" spans="1:123">
      <c r="A42" s="411"/>
    </row>
    <row r="43" spans="1:123" ht="12.75" customHeight="1">
      <c r="A43" s="411"/>
    </row>
    <row r="44" spans="1:123" ht="12.75" customHeight="1">
      <c r="A44" s="411"/>
    </row>
    <row r="45" spans="1:123" ht="12.75" customHeight="1">
      <c r="A45" s="411"/>
    </row>
    <row r="46" spans="1:123" ht="12.75" customHeight="1">
      <c r="A46" s="411"/>
    </row>
    <row r="47" spans="1:123" ht="12.75" customHeight="1">
      <c r="A47" s="411"/>
    </row>
    <row r="48" spans="1:123" ht="12.75" customHeight="1">
      <c r="A48" s="411"/>
    </row>
    <row r="49" spans="1:1" ht="12.75" customHeight="1">
      <c r="A49" s="411"/>
    </row>
    <row r="50" spans="1:1" ht="12.75" customHeight="1">
      <c r="A50" s="411"/>
    </row>
    <row r="51" spans="1:1" ht="12.75" customHeight="1">
      <c r="A51" s="411"/>
    </row>
    <row r="52" spans="1:1" ht="12.75" customHeight="1">
      <c r="A52" s="411"/>
    </row>
    <row r="53" spans="1:1" ht="12.75" customHeight="1">
      <c r="A53" s="411"/>
    </row>
    <row r="54" spans="1:1" ht="12.75" customHeight="1">
      <c r="A54" s="411"/>
    </row>
    <row r="55" spans="1:1" ht="12.75" customHeight="1">
      <c r="A55" s="411"/>
    </row>
    <row r="56" spans="1:1" ht="12.75" customHeight="1">
      <c r="A56" s="411"/>
    </row>
    <row r="57" spans="1:1" ht="12.75" customHeight="1">
      <c r="A57" s="411"/>
    </row>
    <row r="58" spans="1:1" ht="12.75" customHeight="1">
      <c r="A58" s="411"/>
    </row>
    <row r="59" spans="1:1" ht="12.75" customHeight="1">
      <c r="A59" s="411"/>
    </row>
    <row r="60" spans="1:1" ht="12.75" customHeight="1">
      <c r="A60" s="411"/>
    </row>
    <row r="61" spans="1:1" ht="12.75" customHeight="1">
      <c r="A61" s="411"/>
    </row>
    <row r="62" spans="1:1" ht="12.75" customHeight="1">
      <c r="A62" s="411"/>
    </row>
    <row r="63" spans="1:1" ht="12.75" customHeight="1">
      <c r="A63" s="411"/>
    </row>
    <row r="64" spans="1:1" ht="12.75" customHeight="1">
      <c r="A64" s="411"/>
    </row>
    <row r="65" spans="1:1" ht="12.75" customHeight="1">
      <c r="A65" s="411"/>
    </row>
    <row r="66" spans="1:1" ht="12.75" customHeight="1">
      <c r="A66" s="411"/>
    </row>
    <row r="67" spans="1:1" ht="12.75" customHeight="1">
      <c r="A67" s="411"/>
    </row>
    <row r="68" spans="1:1" ht="12.75" customHeight="1">
      <c r="A68" s="411"/>
    </row>
    <row r="69" spans="1:1" ht="12.75" customHeight="1">
      <c r="A69" s="411"/>
    </row>
    <row r="70" spans="1:1" ht="12.75" customHeight="1">
      <c r="A70" s="411"/>
    </row>
    <row r="71" spans="1:1" ht="12.75" customHeight="1">
      <c r="A71" s="411"/>
    </row>
    <row r="72" spans="1:1" ht="12.75" customHeight="1">
      <c r="A72" s="411"/>
    </row>
    <row r="73" spans="1:1" ht="12.75" customHeight="1">
      <c r="A73" s="411"/>
    </row>
    <row r="74" spans="1:1" ht="12.75" customHeight="1">
      <c r="A74" s="411"/>
    </row>
    <row r="75" spans="1:1" ht="12.75" customHeight="1">
      <c r="A75" s="411"/>
    </row>
    <row r="76" spans="1:1" ht="12.75" customHeight="1">
      <c r="A76" s="411"/>
    </row>
    <row r="77" spans="1:1" ht="12.75" customHeight="1">
      <c r="A77" s="411"/>
    </row>
    <row r="78" spans="1:1" ht="12.75" customHeight="1">
      <c r="A78" s="411"/>
    </row>
    <row r="79" spans="1:1" ht="12.75" customHeight="1">
      <c r="A79" s="411"/>
    </row>
    <row r="80" spans="1:1" ht="12.75" customHeight="1">
      <c r="A80" s="411"/>
    </row>
    <row r="81" spans="1:1" ht="12.75" customHeight="1">
      <c r="A81" s="411"/>
    </row>
    <row r="82" spans="1:1" ht="12.75" customHeight="1">
      <c r="A82" s="411"/>
    </row>
    <row r="83" spans="1:1" ht="12.75" customHeight="1">
      <c r="A83" s="411"/>
    </row>
    <row r="84" spans="1:1" ht="12.75" customHeight="1">
      <c r="A84" s="411"/>
    </row>
    <row r="85" spans="1:1" ht="12.75" customHeight="1">
      <c r="A85" s="411"/>
    </row>
    <row r="86" spans="1:1" ht="12.75" customHeight="1">
      <c r="A86" s="411"/>
    </row>
    <row r="87" spans="1:1" ht="12.75" customHeight="1">
      <c r="A87" s="411"/>
    </row>
    <row r="88" spans="1:1" ht="12.75" customHeight="1">
      <c r="A88" s="411"/>
    </row>
    <row r="89" spans="1:1" ht="12.75" customHeight="1">
      <c r="A89" s="411"/>
    </row>
    <row r="90" spans="1:1" ht="12.75" customHeight="1">
      <c r="A90" s="411"/>
    </row>
    <row r="91" spans="1:1" ht="12.75" customHeight="1">
      <c r="A91" s="411"/>
    </row>
    <row r="92" spans="1:1" ht="12.75" customHeight="1">
      <c r="A92" s="411"/>
    </row>
    <row r="93" spans="1:1" ht="12.75" customHeight="1">
      <c r="A93" s="411"/>
    </row>
  </sheetData>
  <mergeCells count="7">
    <mergeCell ref="C5:J5"/>
    <mergeCell ref="C39:G41"/>
    <mergeCell ref="D8:F8"/>
    <mergeCell ref="D9:F9"/>
    <mergeCell ref="D10:F10"/>
    <mergeCell ref="D11:F11"/>
    <mergeCell ref="C16:G18"/>
  </mergeCells>
  <phoneticPr fontId="101" type="noConversion"/>
  <conditionalFormatting sqref="G11">
    <cfRule type="cellIs" dxfId="2" priority="2" operator="equal">
      <formula>0</formula>
    </cfRule>
  </conditionalFormatting>
  <conditionalFormatting sqref="G9:I9 C16:G18 C32:N36 C39:G41">
    <cfRule type="containsBlanks" dxfId="1" priority="3">
      <formula>LEN(TRIM(C9))=0</formula>
    </cfRule>
  </conditionalFormatting>
  <conditionalFormatting sqref="H10:I11">
    <cfRule type="containsBlanks" dxfId="0" priority="1">
      <formula>LEN(TRIM(H10))=0</formula>
    </cfRule>
  </conditionalFormatting>
  <dataValidations count="4">
    <dataValidation type="list" allowBlank="1" showInputMessage="1" sqref="D32:D36" xr:uid="{C58B91AF-A5C2-40FB-9BF2-6DD411194C90}">
      <formula1>"关键项（key item）,代表性样本"</formula1>
    </dataValidation>
    <dataValidation type="list" allowBlank="1" showInputMessage="1" sqref="J32:M36" xr:uid="{DB9307E2-4835-412D-BB05-538499821327}">
      <formula1>"Y,N"</formula1>
    </dataValidation>
    <dataValidation type="list" allowBlank="1" showInputMessage="1" sqref="H9:H11" xr:uid="{80B18742-CB3C-4CF0-8216-E5152D4976CF}">
      <formula1>"是,否"</formula1>
    </dataValidation>
    <dataValidation type="list" allowBlank="1" showInputMessage="1" sqref="I9:I11" xr:uid="{D4A9CB88-954E-49F4-A37D-0BD2CBE514E8}">
      <formula1>"是,不适用"</formula1>
    </dataValidation>
  </dataValidations>
  <hyperlinks>
    <hyperlink ref="J2" location="汇总!A1" display="返回汇总页" xr:uid="{38EF5CB3-CEDA-4169-9F59-441F547D345E}"/>
  </hyperlinks>
  <pageMargins left="0.7" right="0.7" top="0.75" bottom="0.75" header="0.3" footer="0.3"/>
  <pageSetup paperSize="9"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05862-0830-4C19-817F-2DE633C30695}">
  <dimension ref="A1:W10"/>
  <sheetViews>
    <sheetView showGridLines="0" zoomScale="70" zoomScaleNormal="70" workbookViewId="0">
      <selection activeCell="R13" sqref="R13"/>
    </sheetView>
  </sheetViews>
  <sheetFormatPr defaultColWidth="9" defaultRowHeight="18"/>
  <cols>
    <col min="1" max="1" width="2.75" style="441" customWidth="1"/>
    <col min="2" max="19" width="9" style="440"/>
    <col min="20" max="20" width="52.625" style="440" customWidth="1"/>
    <col min="21" max="21" width="2.125" style="440" customWidth="1"/>
    <col min="22" max="16384" width="9" style="440"/>
  </cols>
  <sheetData>
    <row r="1" spans="1:23">
      <c r="A1" s="437" t="s">
        <v>412</v>
      </c>
      <c r="U1" s="462"/>
    </row>
    <row r="2" spans="1:23" ht="21">
      <c r="C2" s="259" t="s">
        <v>413</v>
      </c>
      <c r="D2" s="259"/>
      <c r="E2" s="259"/>
      <c r="F2" s="259"/>
      <c r="G2" s="259"/>
      <c r="H2" s="259"/>
      <c r="I2" s="259"/>
      <c r="J2" s="259"/>
      <c r="K2" s="442"/>
      <c r="L2" s="442"/>
      <c r="U2" s="462"/>
      <c r="W2" s="457" t="s">
        <v>249</v>
      </c>
    </row>
    <row r="3" spans="1:23" s="444" customFormat="1" ht="21">
      <c r="A3" s="443"/>
      <c r="C3" s="445" t="s">
        <v>414</v>
      </c>
      <c r="D3" s="445"/>
      <c r="E3" s="445"/>
      <c r="F3" s="445"/>
      <c r="G3" s="445"/>
      <c r="H3" s="445"/>
      <c r="I3" s="445"/>
      <c r="J3" s="445"/>
      <c r="K3" s="446"/>
      <c r="L3" s="446"/>
      <c r="U3" s="462"/>
    </row>
    <row r="4" spans="1:23">
      <c r="U4" s="462"/>
    </row>
    <row r="5" spans="1:23" s="447" customFormat="1" ht="8.65" customHeight="1">
      <c r="A5" s="543"/>
      <c r="B5" s="544"/>
      <c r="C5" s="462"/>
      <c r="D5" s="462"/>
      <c r="E5" s="462"/>
      <c r="F5" s="462"/>
      <c r="G5" s="462"/>
      <c r="H5" s="462"/>
      <c r="I5" s="462"/>
      <c r="J5" s="462"/>
      <c r="K5" s="462"/>
      <c r="L5" s="462"/>
      <c r="M5" s="462"/>
      <c r="N5" s="462"/>
      <c r="O5" s="462"/>
      <c r="P5" s="462"/>
      <c r="Q5" s="462"/>
      <c r="R5" s="462"/>
      <c r="S5" s="462"/>
      <c r="T5" s="462"/>
      <c r="U5" s="462"/>
    </row>
    <row r="10" spans="1:23">
      <c r="H10" s="444"/>
    </row>
  </sheetData>
  <mergeCells count="1">
    <mergeCell ref="A5:B5"/>
  </mergeCells>
  <phoneticPr fontId="101" type="noConversion"/>
  <hyperlinks>
    <hyperlink ref="W2" location="汇总!A1" display="返回汇总页" xr:uid="{F7BCB299-E3BE-4288-A4BA-56D865D27D5C}"/>
  </hyperlinks>
  <pageMargins left="0.7" right="0.7" top="0.75" bottom="0.75" header="0.3" footer="0.3"/>
  <pageSetup paperSize="9" orientation="portrait" verticalDpi="0" r:id="rId1"/>
</worksheet>
</file>

<file path=customUI/_rels/customUI.xml.rels><?xml version="1.0" encoding="UTF-8" standalone="yes"?>
<Relationships xmlns="http://schemas.openxmlformats.org/package/2006/relationships"><Relationship Id="Extract" Type="http://schemas.openxmlformats.org/officeDocument/2006/relationships/image" Target="images/Extract.jpg"/><Relationship Id="DeleteRow" Type="http://schemas.openxmlformats.org/officeDocument/2006/relationships/image" Target="images/DeleteRow.jpg"/><Relationship Id="AddRow" Type="http://schemas.openxmlformats.org/officeDocument/2006/relationships/image" Target="images/AddRow.jpg"/></Relationships>
</file>

<file path=customUI/customUI.xml><?xml version="1.0" encoding="utf-8"?>
<customUI xmlns="http://schemas.microsoft.com/office/2009/07/customui">
  <ribbon>
    <tabs>
      <tab id="Enabler" label="AuditStandardization" visible="true">
        <group id="Func" label="ExcelFunction" visible="true">
          <button description="Extract Data for PPELead" enabled="true" id="Copy_Data" image="Extract" size="large" label="Extract Data For Lead" screentip="Extract Data For PPE Lead" showImage="true" showLabel="true" supertip="Extract Data For PPE Lead" visible="true" onAction="UploadPPEData"/>
          <button description="Extract CRA Data from Canvas" enabled="true" id="Extract_Data" image="Extract" size="large" label="Extract CRA Data From Canvas" screentip="Extract CRA Data From Canvas" showImage="true" showLabel="true" supertip="Extract CRA Data From Canvas" visible="true" onAction="UpdateCRA"/>
          <button description="Generate OSP" enabled="true" id="Generate_OSP" image="Extract" size="large" label="Generate OSP" screentip="Generate OSP Sheet" showImage="true" showLabel="true" supertip="Generate the OSP Sheet" visible="true" onAction="OSPforPPEButton"/>
          <button description="Goto PSP Selection" enabled="true" id="PSP_Selection" image="Extract" size="large" label="Goto PSP Selection" screentip="Goto PSP" showImage="true" showLabel="true" supertip="Goto PSP" visible="true" onAction="GotoPSPSelection"/>
          <button description="Generate New Macro" enabled="true" id="Generate_New" image="Extract" size="large" label="Generate New Macro" screentip="Generate New Macro" showImage="true" showLabel="true" supertip="Generate New Macro" visible="true" onAction="GenerateNewMacro"/>
          <button description="Extact Excel" enabled="true" id="Extract_Excel" image="Extract" size="large" label="Extract Excel" screentip="Saves workbook" showImage="true" showLabel="true" supertip="Save As Workbook" visible="true" onAction="ExtractExcel"/>
        </group>
      </tab>
    </tabs>
  </ribbon>
</customUI>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datasnipper xmlns="http://datasnipper" workbookId="785848a7-1dd8-4854-ac92-a5132d3fa059" dataSnipperSheetDeleted="false" guid="d26be828-5c0c-4467-b4da-779bdb45d773" revision="2">
  <settings xmlns="" guid="0d2873b5-59dc-42a7-91c4-6939206d4c58">
    <setting type="boolean" value="True" name="embed-documents" guid="18a24612-660f-4c46-855e-47fa32b81cb6"/>
  </settings>
</datasnipper>
</file>

<file path=customXml/item3.xml><?xml version="1.0" encoding="utf-8"?>
<ct:contentTypeSchema xmlns:ct="http://schemas.microsoft.com/office/2006/metadata/contentType" xmlns:ma="http://schemas.microsoft.com/office/2006/metadata/properties/metaAttributes" ct:_="" ma:_="" ma:contentTypeName="文档" ma:contentTypeID="0x01010062989BB664902542A04262E315E25772" ma:contentTypeVersion="2" ma:contentTypeDescription="新建文档。" ma:contentTypeScope="" ma:versionID="85a4095a0e7018796401923b38c9fe9c">
  <xsd:schema xmlns:xsd="http://www.w3.org/2001/XMLSchema" xmlns:xs="http://www.w3.org/2001/XMLSchema" xmlns:p="http://schemas.microsoft.com/office/2006/metadata/properties" xmlns:ns2="aa9bf47e-7d7d-4d70-9d97-7b2a84c9bd53" targetNamespace="http://schemas.microsoft.com/office/2006/metadata/properties" ma:root="true" ma:fieldsID="9554c9bd4e172567dfde44a844c1fe0f" ns2:_="">
    <xsd:import namespace="aa9bf47e-7d7d-4d70-9d97-7b2a84c9bd5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9bf47e-7d7d-4d70-9d97-7b2a84c9bd53"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D4589B-9C46-4D7A-8C6A-A8ABAC469149}"/>
</file>

<file path=customXml/itemProps2.xml><?xml version="1.0" encoding="utf-8"?>
<ds:datastoreItem xmlns:ds="http://schemas.openxmlformats.org/officeDocument/2006/customXml" ds:itemID="{5ECF047B-FE51-42A8-A400-501FAEE36562}"/>
</file>

<file path=customXml/itemProps3.xml><?xml version="1.0" encoding="utf-8"?>
<ds:datastoreItem xmlns:ds="http://schemas.openxmlformats.org/officeDocument/2006/customXml" ds:itemID="{64B60231-1ED3-4389-8EC7-1844124CDFFF}"/>
</file>

<file path=customXml/itemProps4.xml><?xml version="1.0" encoding="utf-8"?>
<ds:datastoreItem xmlns:ds="http://schemas.openxmlformats.org/officeDocument/2006/customXml" ds:itemID="{ADC6C196-B8C9-46B5-93E7-A892C1298C7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Skywind_L2_长期待摊费用_20191231_好孩子项目测试.xlsx</dc:title>
  <dc:subject/>
  <dc:creator>Jyothi Prakash A</dc:creator>
  <cp:keywords>Final Audit.V5.L2.1107</cp:keywords>
  <dc:description>2A5E66E6-5E76-4F04-90F0-810CFA05134A</dc:description>
  <cp:lastModifiedBy>Evelyn Z Zhao</cp:lastModifiedBy>
  <cp:revision/>
  <dcterms:created xsi:type="dcterms:W3CDTF">2006-09-16T00:00:00Z</dcterms:created>
  <dcterms:modified xsi:type="dcterms:W3CDTF">2025-08-21T06:44:10Z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0x01010062989BB664902542A04262E315E25772</vt:lpwstr>
  </property>
  <property fmtid="{D5CDD505-2E9C-101B-9397-08002B2CF9AE}" pid="3" name="ICV">
    <vt:lpwstr>161DA9C9F82648F5AE558EC28CFAC639</vt:lpwstr>
  </property>
  <property fmtid="{D5CDD505-2E9C-101B-9397-08002B2CF9AE}" pid="4" name="KSOProductBuildVer">
    <vt:lpwstr>2052-11.1.0.12358</vt:lpwstr>
  </property>
</Properties>
</file>
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C:\Users\EQ877NU\Desktop\GC knowledge center - 标准审计底稿模板第五版-使用版\"/>
    </mc:Choice>
  </mc:AlternateContent>
  <xr:revisionPtr revIDLastSave="0" documentId="13_ncr:1_{2E6D92F7-93D5-48A6-B4F0-00AB254F877E}" xr6:coauthVersionLast="47" xr6:coauthVersionMax="47" xr10:uidLastSave="{00000000-0000-0000-0000-000000000000}"/>
  <bookViews>
    <workbookView xWindow="-120" yWindow="-120" windowWidth="29040" windowHeight="15840" tabRatio="874" xr2:uid="{00000000-000D-0000-FFFF-FFFF00000000}"/>
  </bookViews>
  <sheets>
    <sheet name="汇总" sheetId="3" r:id="rId1"/>
    <sheet name="Uexp_Lead" sheetId="560" r:id="rId2"/>
    <sheet name="Uexp制造费用BKD" sheetId="583" r:id="rId3"/>
    <sheet name="Uexp研发费用BKD" sheetId="569" r:id="rId4"/>
    <sheet name="Uexp财务费用BKD" sheetId="578" r:id="rId5"/>
    <sheet name="Uexp利息测试" sheetId="613" r:id="rId6"/>
    <sheet name="Uexp其他收益BKD" sheetId="572" r:id="rId7"/>
    <sheet name="Uexp投资收益BKD" sheetId="563" r:id="rId8"/>
    <sheet name="Uexp公允价值变动损益BKD" sheetId="564" r:id="rId9"/>
    <sheet name="Uexp信用减值损失BKD" sheetId="570" r:id="rId10"/>
    <sheet name="Uexp资产减值损失BKD" sheetId="565" r:id="rId11"/>
    <sheet name="Uexp资产处置损益BKD" sheetId="573" r:id="rId12"/>
    <sheet name="Uexp营业外收入BKD" sheetId="566" r:id="rId13"/>
    <sheet name="Uexp营业外支出BKD" sheetId="568" r:id="rId14"/>
    <sheet name="Uexp债务重组利得和损失BKD" sheetId="571" r:id="rId15"/>
    <sheet name="Uexp_Cutoff" sheetId="585" r:id="rId16"/>
    <sheet name="Uexp_TOD" sheetId="614" r:id="rId17"/>
    <sheet name="SkywindSettingSheet" sheetId="551" state="veryHidden" r:id="rId18"/>
  </sheets>
  <definedNames>
    <definedName name="_____dod1" localSheetId="15" hidden="1">{#N/A,#N/A,TRUE,"CPRD";#N/A,#N/A,TRUE,"BCCPDR";#N/A,#N/A,TRUE,"EWRD";#N/A,#N/A,TRUE,"5100";#N/A,#N/A,TRUE,"5110"}</definedName>
    <definedName name="_____dod1" localSheetId="4" hidden="1">{#N/A,#N/A,TRUE,"CPRD";#N/A,#N/A,TRUE,"BCCPDR";#N/A,#N/A,TRUE,"EWRD";#N/A,#N/A,TRUE,"5100";#N/A,#N/A,TRUE,"5110"}</definedName>
    <definedName name="_____dod1" localSheetId="5" hidden="1">{#N/A,#N/A,TRUE,"CPRD";#N/A,#N/A,TRUE,"BCCPDR";#N/A,#N/A,TRUE,"EWRD";#N/A,#N/A,TRUE,"5100";#N/A,#N/A,TRUE,"5110"}</definedName>
    <definedName name="_____dod1" localSheetId="7" hidden="1">{#N/A,#N/A,TRUE,"CPRD";#N/A,#N/A,TRUE,"BCCPDR";#N/A,#N/A,TRUE,"EWRD";#N/A,#N/A,TRUE,"5100";#N/A,#N/A,TRUE,"5110"}</definedName>
    <definedName name="_____dod1" localSheetId="9" hidden="1">{#N/A,#N/A,TRUE,"CPRD";#N/A,#N/A,TRUE,"BCCPDR";#N/A,#N/A,TRUE,"EWRD";#N/A,#N/A,TRUE,"5100";#N/A,#N/A,TRUE,"5110"}</definedName>
    <definedName name="_____dod1" localSheetId="3" hidden="1">{#N/A,#N/A,TRUE,"CPRD";#N/A,#N/A,TRUE,"BCCPDR";#N/A,#N/A,TRUE,"EWRD";#N/A,#N/A,TRUE,"5100";#N/A,#N/A,TRUE,"5110"}</definedName>
    <definedName name="_____dod1" localSheetId="2" hidden="1">{#N/A,#N/A,TRUE,"CPRD";#N/A,#N/A,TRUE,"BCCPDR";#N/A,#N/A,TRUE,"EWRD";#N/A,#N/A,TRUE,"5100";#N/A,#N/A,TRUE,"5110"}</definedName>
    <definedName name="_____dod1" localSheetId="10" hidden="1">{#N/A,#N/A,TRUE,"CPRD";#N/A,#N/A,TRUE,"BCCPDR";#N/A,#N/A,TRUE,"EWRD";#N/A,#N/A,TRUE,"5100";#N/A,#N/A,TRUE,"5110"}</definedName>
    <definedName name="_____dod1" hidden="1">{#N/A,#N/A,TRUE,"CPRD";#N/A,#N/A,TRUE,"BCCPDR";#N/A,#N/A,TRUE,"EWRD";#N/A,#N/A,TRUE,"5100";#N/A,#N/A,TRUE,"5110"}</definedName>
    <definedName name="____dod1" localSheetId="15" hidden="1">{#N/A,#N/A,TRUE,"CPRD";#N/A,#N/A,TRUE,"BCCPDR";#N/A,#N/A,TRUE,"EWRD";#N/A,#N/A,TRUE,"5100";#N/A,#N/A,TRUE,"5110"}</definedName>
    <definedName name="____dod1" localSheetId="4" hidden="1">{#N/A,#N/A,TRUE,"CPRD";#N/A,#N/A,TRUE,"BCCPDR";#N/A,#N/A,TRUE,"EWRD";#N/A,#N/A,TRUE,"5100";#N/A,#N/A,TRUE,"5110"}</definedName>
    <definedName name="____dod1" localSheetId="5" hidden="1">{#N/A,#N/A,TRUE,"CPRD";#N/A,#N/A,TRUE,"BCCPDR";#N/A,#N/A,TRUE,"EWRD";#N/A,#N/A,TRUE,"5100";#N/A,#N/A,TRUE,"5110"}</definedName>
    <definedName name="____dod1" localSheetId="7" hidden="1">{#N/A,#N/A,TRUE,"CPRD";#N/A,#N/A,TRUE,"BCCPDR";#N/A,#N/A,TRUE,"EWRD";#N/A,#N/A,TRUE,"5100";#N/A,#N/A,TRUE,"5110"}</definedName>
    <definedName name="____dod1" localSheetId="9" hidden="1">{#N/A,#N/A,TRUE,"CPRD";#N/A,#N/A,TRUE,"BCCPDR";#N/A,#N/A,TRUE,"EWRD";#N/A,#N/A,TRUE,"5100";#N/A,#N/A,TRUE,"5110"}</definedName>
    <definedName name="____dod1" localSheetId="3" hidden="1">{#N/A,#N/A,TRUE,"CPRD";#N/A,#N/A,TRUE,"BCCPDR";#N/A,#N/A,TRUE,"EWRD";#N/A,#N/A,TRUE,"5100";#N/A,#N/A,TRUE,"5110"}</definedName>
    <definedName name="____dod1" localSheetId="2" hidden="1">{#N/A,#N/A,TRUE,"CPRD";#N/A,#N/A,TRUE,"BCCPDR";#N/A,#N/A,TRUE,"EWRD";#N/A,#N/A,TRUE,"5100";#N/A,#N/A,TRUE,"5110"}</definedName>
    <definedName name="____dod1" localSheetId="10" hidden="1">{#N/A,#N/A,TRUE,"CPRD";#N/A,#N/A,TRUE,"BCCPDR";#N/A,#N/A,TRUE,"EWRD";#N/A,#N/A,TRUE,"5100";#N/A,#N/A,TRUE,"5110"}</definedName>
    <definedName name="____dod1" hidden="1">{#N/A,#N/A,TRUE,"CPRD";#N/A,#N/A,TRUE,"BCCPDR";#N/A,#N/A,TRUE,"EWRD";#N/A,#N/A,TRUE,"5100";#N/A,#N/A,TRUE,"5110"}</definedName>
    <definedName name="___dod1" localSheetId="15" hidden="1">{#N/A,#N/A,TRUE,"CPRD";#N/A,#N/A,TRUE,"BCCPDR";#N/A,#N/A,TRUE,"EWRD";#N/A,#N/A,TRUE,"5100";#N/A,#N/A,TRUE,"5110"}</definedName>
    <definedName name="___dod1" localSheetId="4" hidden="1">{#N/A,#N/A,TRUE,"CPRD";#N/A,#N/A,TRUE,"BCCPDR";#N/A,#N/A,TRUE,"EWRD";#N/A,#N/A,TRUE,"5100";#N/A,#N/A,TRUE,"5110"}</definedName>
    <definedName name="___dod1" localSheetId="5" hidden="1">{#N/A,#N/A,TRUE,"CPRD";#N/A,#N/A,TRUE,"BCCPDR";#N/A,#N/A,TRUE,"EWRD";#N/A,#N/A,TRUE,"5100";#N/A,#N/A,TRUE,"5110"}</definedName>
    <definedName name="___dod1" localSheetId="7" hidden="1">{#N/A,#N/A,TRUE,"CPRD";#N/A,#N/A,TRUE,"BCCPDR";#N/A,#N/A,TRUE,"EWRD";#N/A,#N/A,TRUE,"5100";#N/A,#N/A,TRUE,"5110"}</definedName>
    <definedName name="___dod1" localSheetId="9" hidden="1">{#N/A,#N/A,TRUE,"CPRD";#N/A,#N/A,TRUE,"BCCPDR";#N/A,#N/A,TRUE,"EWRD";#N/A,#N/A,TRUE,"5100";#N/A,#N/A,TRUE,"5110"}</definedName>
    <definedName name="___dod1" localSheetId="3" hidden="1">{#N/A,#N/A,TRUE,"CPRD";#N/A,#N/A,TRUE,"BCCPDR";#N/A,#N/A,TRUE,"EWRD";#N/A,#N/A,TRUE,"5100";#N/A,#N/A,TRUE,"5110"}</definedName>
    <definedName name="___dod1" localSheetId="2" hidden="1">{#N/A,#N/A,TRUE,"CPRD";#N/A,#N/A,TRUE,"BCCPDR";#N/A,#N/A,TRUE,"EWRD";#N/A,#N/A,TRUE,"5100";#N/A,#N/A,TRUE,"5110"}</definedName>
    <definedName name="___dod1" localSheetId="10" hidden="1">{#N/A,#N/A,TRUE,"CPRD";#N/A,#N/A,TRUE,"BCCPDR";#N/A,#N/A,TRUE,"EWRD";#N/A,#N/A,TRUE,"5100";#N/A,#N/A,TRUE,"5110"}</definedName>
    <definedName name="___dod1" hidden="1">{#N/A,#N/A,TRUE,"CPRD";#N/A,#N/A,TRUE,"BCCPDR";#N/A,#N/A,TRUE,"EWRD";#N/A,#N/A,TRUE,"5100";#N/A,#N/A,TRUE,"5110"}</definedName>
    <definedName name="___dog1" localSheetId="15" hidden="1">{#N/A,#N/A,TRUE,"CPRD";#N/A,#N/A,TRUE,"BCCPDR";#N/A,#N/A,TRUE,"EWRD";#N/A,#N/A,TRUE,"5100";#N/A,#N/A,TRUE,"5110"}</definedName>
    <definedName name="___dog1" localSheetId="4" hidden="1">{#N/A,#N/A,TRUE,"CPRD";#N/A,#N/A,TRUE,"BCCPDR";#N/A,#N/A,TRUE,"EWRD";#N/A,#N/A,TRUE,"5100";#N/A,#N/A,TRUE,"5110"}</definedName>
    <definedName name="___dog1" localSheetId="5" hidden="1">{#N/A,#N/A,TRUE,"CPRD";#N/A,#N/A,TRUE,"BCCPDR";#N/A,#N/A,TRUE,"EWRD";#N/A,#N/A,TRUE,"5100";#N/A,#N/A,TRUE,"5110"}</definedName>
    <definedName name="___dog1" localSheetId="7" hidden="1">{#N/A,#N/A,TRUE,"CPRD";#N/A,#N/A,TRUE,"BCCPDR";#N/A,#N/A,TRUE,"EWRD";#N/A,#N/A,TRUE,"5100";#N/A,#N/A,TRUE,"5110"}</definedName>
    <definedName name="___dog1" localSheetId="9" hidden="1">{#N/A,#N/A,TRUE,"CPRD";#N/A,#N/A,TRUE,"BCCPDR";#N/A,#N/A,TRUE,"EWRD";#N/A,#N/A,TRUE,"5100";#N/A,#N/A,TRUE,"5110"}</definedName>
    <definedName name="___dog1" localSheetId="3" hidden="1">{#N/A,#N/A,TRUE,"CPRD";#N/A,#N/A,TRUE,"BCCPDR";#N/A,#N/A,TRUE,"EWRD";#N/A,#N/A,TRUE,"5100";#N/A,#N/A,TRUE,"5110"}</definedName>
    <definedName name="___dog1" localSheetId="2" hidden="1">{#N/A,#N/A,TRUE,"CPRD";#N/A,#N/A,TRUE,"BCCPDR";#N/A,#N/A,TRUE,"EWRD";#N/A,#N/A,TRUE,"5100";#N/A,#N/A,TRUE,"5110"}</definedName>
    <definedName name="___dog1" localSheetId="10" hidden="1">{#N/A,#N/A,TRUE,"CPRD";#N/A,#N/A,TRUE,"BCCPDR";#N/A,#N/A,TRUE,"EWRD";#N/A,#N/A,TRUE,"5100";#N/A,#N/A,TRUE,"5110"}</definedName>
    <definedName name="___dog1" hidden="1">{#N/A,#N/A,TRUE,"CPRD";#N/A,#N/A,TRUE,"BCCPDR";#N/A,#N/A,TRUE,"EWRD";#N/A,#N/A,TRUE,"5100";#N/A,#N/A,TRUE,"5110"}</definedName>
    <definedName name="__123Graph_A" localSheetId="15" hidden="1">#REF!</definedName>
    <definedName name="__123Graph_A" localSheetId="5" hidden="1">#REF!</definedName>
    <definedName name="__123Graph_A" hidden="1">#REF!</definedName>
    <definedName name="__123Graph_AGraph1" localSheetId="15" hidden="1">#REF!</definedName>
    <definedName name="__123Graph_AGraph1" localSheetId="5" hidden="1">#REF!</definedName>
    <definedName name="__123Graph_AGraph1" hidden="1">#REF!</definedName>
    <definedName name="__123Graph_B" localSheetId="15" hidden="1">#REF!</definedName>
    <definedName name="__123Graph_B" localSheetId="5" hidden="1">#REF!</definedName>
    <definedName name="__123Graph_B" hidden="1">#REF!</definedName>
    <definedName name="__123Graph_BGraph1" localSheetId="15" hidden="1">#REF!</definedName>
    <definedName name="__123Graph_BGraph1" localSheetId="5" hidden="1">#REF!</definedName>
    <definedName name="__123Graph_BGraph1" hidden="1">#REF!</definedName>
    <definedName name="__123Graph_C" localSheetId="15" hidden="1">#REF!</definedName>
    <definedName name="__123Graph_C" localSheetId="5" hidden="1">#REF!</definedName>
    <definedName name="__123Graph_C" hidden="1">#REF!</definedName>
    <definedName name="__123Graph_CGraph1" localSheetId="15" hidden="1">#REF!</definedName>
    <definedName name="__123Graph_CGraph1" localSheetId="5" hidden="1">#REF!</definedName>
    <definedName name="__123Graph_CGraph1" hidden="1">#REF!</definedName>
    <definedName name="__123Graph_D" localSheetId="5" hidden="1">#REF!</definedName>
    <definedName name="__123Graph_D" localSheetId="7" hidden="1">#REF!</definedName>
    <definedName name="__123Graph_D" localSheetId="9" hidden="1">#REF!</definedName>
    <definedName name="__123Graph_D" localSheetId="10" hidden="1">#REF!</definedName>
    <definedName name="__123Graph_D" hidden="1">#REF!</definedName>
    <definedName name="__123Graph_DGraph1" localSheetId="15" hidden="1">#REF!</definedName>
    <definedName name="__123Graph_DGraph1" localSheetId="5" hidden="1">#REF!</definedName>
    <definedName name="__123Graph_DGraph1" hidden="1">#REF!</definedName>
    <definedName name="__123Graph_E" localSheetId="15" hidden="1">#REF!</definedName>
    <definedName name="__123Graph_E" localSheetId="5" hidden="1">#REF!</definedName>
    <definedName name="__123Graph_E" hidden="1">#REF!</definedName>
    <definedName name="__123Graph_EGraph1" localSheetId="15" hidden="1">#REF!</definedName>
    <definedName name="__123Graph_EGraph1" localSheetId="5" hidden="1">#REF!</definedName>
    <definedName name="__123Graph_EGraph1" hidden="1">#REF!</definedName>
    <definedName name="__123Graph_X" localSheetId="15" hidden="1">#REF!</definedName>
    <definedName name="__123Graph_X" localSheetId="5" hidden="1">#REF!</definedName>
    <definedName name="__123Graph_X" hidden="1">#REF!</definedName>
    <definedName name="__123Graph_XGraph1" localSheetId="15" hidden="1">#REF!</definedName>
    <definedName name="__123Graph_XGraph1" localSheetId="5" hidden="1">#REF!</definedName>
    <definedName name="__123Graph_XGraph1" hidden="1">#REF!</definedName>
    <definedName name="__dod1" localSheetId="15" hidden="1">{#N/A,#N/A,TRUE,"CPRD";#N/A,#N/A,TRUE,"BCCPDR";#N/A,#N/A,TRUE,"EWRD";#N/A,#N/A,TRUE,"5100";#N/A,#N/A,TRUE,"5110"}</definedName>
    <definedName name="__dod1" localSheetId="4" hidden="1">{#N/A,#N/A,TRUE,"CPRD";#N/A,#N/A,TRUE,"BCCPDR";#N/A,#N/A,TRUE,"EWRD";#N/A,#N/A,TRUE,"5100";#N/A,#N/A,TRUE,"5110"}</definedName>
    <definedName name="__dod1" localSheetId="5" hidden="1">{#N/A,#N/A,TRUE,"CPRD";#N/A,#N/A,TRUE,"BCCPDR";#N/A,#N/A,TRUE,"EWRD";#N/A,#N/A,TRUE,"5100";#N/A,#N/A,TRUE,"5110"}</definedName>
    <definedName name="__dod1" localSheetId="7" hidden="1">{#N/A,#N/A,TRUE,"CPRD";#N/A,#N/A,TRUE,"BCCPDR";#N/A,#N/A,TRUE,"EWRD";#N/A,#N/A,TRUE,"5100";#N/A,#N/A,TRUE,"5110"}</definedName>
    <definedName name="__dod1" localSheetId="9" hidden="1">{#N/A,#N/A,TRUE,"CPRD";#N/A,#N/A,TRUE,"BCCPDR";#N/A,#N/A,TRUE,"EWRD";#N/A,#N/A,TRUE,"5100";#N/A,#N/A,TRUE,"5110"}</definedName>
    <definedName name="__dod1" localSheetId="3" hidden="1">{#N/A,#N/A,TRUE,"CPRD";#N/A,#N/A,TRUE,"BCCPDR";#N/A,#N/A,TRUE,"EWRD";#N/A,#N/A,TRUE,"5100";#N/A,#N/A,TRUE,"5110"}</definedName>
    <definedName name="__dod1" localSheetId="2" hidden="1">{#N/A,#N/A,TRUE,"CPRD";#N/A,#N/A,TRUE,"BCCPDR";#N/A,#N/A,TRUE,"EWRD";#N/A,#N/A,TRUE,"5100";#N/A,#N/A,TRUE,"5110"}</definedName>
    <definedName name="__dod1" localSheetId="10" hidden="1">{#N/A,#N/A,TRUE,"CPRD";#N/A,#N/A,TRUE,"BCCPDR";#N/A,#N/A,TRUE,"EWRD";#N/A,#N/A,TRUE,"5100";#N/A,#N/A,TRUE,"5110"}</definedName>
    <definedName name="__dod1" hidden="1">{#N/A,#N/A,TRUE,"CPRD";#N/A,#N/A,TRUE,"BCCPDR";#N/A,#N/A,TRUE,"EWRD";#N/A,#N/A,TRUE,"5100";#N/A,#N/A,TRUE,"5110"}</definedName>
    <definedName name="__dog1" localSheetId="15" hidden="1">{#N/A,#N/A,TRUE,"CPRD";#N/A,#N/A,TRUE,"BCCPDR";#N/A,#N/A,TRUE,"EWRD";#N/A,#N/A,TRUE,"5100";#N/A,#N/A,TRUE,"5110"}</definedName>
    <definedName name="__dog1" localSheetId="4" hidden="1">{#N/A,#N/A,TRUE,"CPRD";#N/A,#N/A,TRUE,"BCCPDR";#N/A,#N/A,TRUE,"EWRD";#N/A,#N/A,TRUE,"5100";#N/A,#N/A,TRUE,"5110"}</definedName>
    <definedName name="__dog1" localSheetId="5" hidden="1">{#N/A,#N/A,TRUE,"CPRD";#N/A,#N/A,TRUE,"BCCPDR";#N/A,#N/A,TRUE,"EWRD";#N/A,#N/A,TRUE,"5100";#N/A,#N/A,TRUE,"5110"}</definedName>
    <definedName name="__dog1" localSheetId="7" hidden="1">{#N/A,#N/A,TRUE,"CPRD";#N/A,#N/A,TRUE,"BCCPDR";#N/A,#N/A,TRUE,"EWRD";#N/A,#N/A,TRUE,"5100";#N/A,#N/A,TRUE,"5110"}</definedName>
    <definedName name="__dog1" localSheetId="9" hidden="1">{#N/A,#N/A,TRUE,"CPRD";#N/A,#N/A,TRUE,"BCCPDR";#N/A,#N/A,TRUE,"EWRD";#N/A,#N/A,TRUE,"5100";#N/A,#N/A,TRUE,"5110"}</definedName>
    <definedName name="__dog1" localSheetId="3" hidden="1">{#N/A,#N/A,TRUE,"CPRD";#N/A,#N/A,TRUE,"BCCPDR";#N/A,#N/A,TRUE,"EWRD";#N/A,#N/A,TRUE,"5100";#N/A,#N/A,TRUE,"5110"}</definedName>
    <definedName name="__dog1" localSheetId="2" hidden="1">{#N/A,#N/A,TRUE,"CPRD";#N/A,#N/A,TRUE,"BCCPDR";#N/A,#N/A,TRUE,"EWRD";#N/A,#N/A,TRUE,"5100";#N/A,#N/A,TRUE,"5110"}</definedName>
    <definedName name="__dog1" localSheetId="10" hidden="1">{#N/A,#N/A,TRUE,"CPRD";#N/A,#N/A,TRUE,"BCCPDR";#N/A,#N/A,TRUE,"EWRD";#N/A,#N/A,TRUE,"5100";#N/A,#N/A,TRUE,"5110"}</definedName>
    <definedName name="__dog1" hidden="1">{#N/A,#N/A,TRUE,"CPRD";#N/A,#N/A,TRUE,"BCCPDR";#N/A,#N/A,TRUE,"EWRD";#N/A,#N/A,TRUE,"5100";#N/A,#N/A,TRUE,"5110"}</definedName>
    <definedName name="__IntlFixup" hidden="1">TRUE</definedName>
    <definedName name="_dod1" localSheetId="15" hidden="1">{#N/A,#N/A,TRUE,"CPRD";#N/A,#N/A,TRUE,"BCCPDR";#N/A,#N/A,TRUE,"EWRD";#N/A,#N/A,TRUE,"5100";#N/A,#N/A,TRUE,"5110"}</definedName>
    <definedName name="_dod1" localSheetId="4" hidden="1">{#N/A,#N/A,TRUE,"CPRD";#N/A,#N/A,TRUE,"BCCPDR";#N/A,#N/A,TRUE,"EWRD";#N/A,#N/A,TRUE,"5100";#N/A,#N/A,TRUE,"5110"}</definedName>
    <definedName name="_dod1" localSheetId="5" hidden="1">{#N/A,#N/A,TRUE,"CPRD";#N/A,#N/A,TRUE,"BCCPDR";#N/A,#N/A,TRUE,"EWRD";#N/A,#N/A,TRUE,"5100";#N/A,#N/A,TRUE,"5110"}</definedName>
    <definedName name="_dod1" localSheetId="7" hidden="1">{#N/A,#N/A,TRUE,"CPRD";#N/A,#N/A,TRUE,"BCCPDR";#N/A,#N/A,TRUE,"EWRD";#N/A,#N/A,TRUE,"5100";#N/A,#N/A,TRUE,"5110"}</definedName>
    <definedName name="_dod1" localSheetId="9" hidden="1">{#N/A,#N/A,TRUE,"CPRD";#N/A,#N/A,TRUE,"BCCPDR";#N/A,#N/A,TRUE,"EWRD";#N/A,#N/A,TRUE,"5100";#N/A,#N/A,TRUE,"5110"}</definedName>
    <definedName name="_dod1" localSheetId="3" hidden="1">{#N/A,#N/A,TRUE,"CPRD";#N/A,#N/A,TRUE,"BCCPDR";#N/A,#N/A,TRUE,"EWRD";#N/A,#N/A,TRUE,"5100";#N/A,#N/A,TRUE,"5110"}</definedName>
    <definedName name="_dod1" localSheetId="2" hidden="1">{#N/A,#N/A,TRUE,"CPRD";#N/A,#N/A,TRUE,"BCCPDR";#N/A,#N/A,TRUE,"EWRD";#N/A,#N/A,TRUE,"5100";#N/A,#N/A,TRUE,"5110"}</definedName>
    <definedName name="_dod1" localSheetId="10" hidden="1">{#N/A,#N/A,TRUE,"CPRD";#N/A,#N/A,TRUE,"BCCPDR";#N/A,#N/A,TRUE,"EWRD";#N/A,#N/A,TRUE,"5100";#N/A,#N/A,TRUE,"5110"}</definedName>
    <definedName name="_dod1" hidden="1">{#N/A,#N/A,TRUE,"CPRD";#N/A,#N/A,TRUE,"BCCPDR";#N/A,#N/A,TRUE,"EWRD";#N/A,#N/A,TRUE,"5100";#N/A,#N/A,TRUE,"5110"}</definedName>
    <definedName name="_dog1" localSheetId="15" hidden="1">{#N/A,#N/A,TRUE,"CPRD";#N/A,#N/A,TRUE,"BCCPDR";#N/A,#N/A,TRUE,"EWRD";#N/A,#N/A,TRUE,"5100";#N/A,#N/A,TRUE,"5110"}</definedName>
    <definedName name="_dog1" localSheetId="4" hidden="1">{#N/A,#N/A,TRUE,"CPRD";#N/A,#N/A,TRUE,"BCCPDR";#N/A,#N/A,TRUE,"EWRD";#N/A,#N/A,TRUE,"5100";#N/A,#N/A,TRUE,"5110"}</definedName>
    <definedName name="_dog1" localSheetId="5" hidden="1">{#N/A,#N/A,TRUE,"CPRD";#N/A,#N/A,TRUE,"BCCPDR";#N/A,#N/A,TRUE,"EWRD";#N/A,#N/A,TRUE,"5100";#N/A,#N/A,TRUE,"5110"}</definedName>
    <definedName name="_dog1" localSheetId="7" hidden="1">{#N/A,#N/A,TRUE,"CPRD";#N/A,#N/A,TRUE,"BCCPDR";#N/A,#N/A,TRUE,"EWRD";#N/A,#N/A,TRUE,"5100";#N/A,#N/A,TRUE,"5110"}</definedName>
    <definedName name="_dog1" localSheetId="9" hidden="1">{#N/A,#N/A,TRUE,"CPRD";#N/A,#N/A,TRUE,"BCCPDR";#N/A,#N/A,TRUE,"EWRD";#N/A,#N/A,TRUE,"5100";#N/A,#N/A,TRUE,"5110"}</definedName>
    <definedName name="_dog1" localSheetId="3" hidden="1">{#N/A,#N/A,TRUE,"CPRD";#N/A,#N/A,TRUE,"BCCPDR";#N/A,#N/A,TRUE,"EWRD";#N/A,#N/A,TRUE,"5100";#N/A,#N/A,TRUE,"5110"}</definedName>
    <definedName name="_dog1" localSheetId="2" hidden="1">{#N/A,#N/A,TRUE,"CPRD";#N/A,#N/A,TRUE,"BCCPDR";#N/A,#N/A,TRUE,"EWRD";#N/A,#N/A,TRUE,"5100";#N/A,#N/A,TRUE,"5110"}</definedName>
    <definedName name="_dog1" localSheetId="10" hidden="1">{#N/A,#N/A,TRUE,"CPRD";#N/A,#N/A,TRUE,"BCCPDR";#N/A,#N/A,TRUE,"EWRD";#N/A,#N/A,TRUE,"5100";#N/A,#N/A,TRUE,"5110"}</definedName>
    <definedName name="_dog1" hidden="1">{#N/A,#N/A,TRUE,"CPRD";#N/A,#N/A,TRUE,"BCCPDR";#N/A,#N/A,TRUE,"EWRD";#N/A,#N/A,TRUE,"5100";#N/A,#N/A,TRUE,"5110"}</definedName>
    <definedName name="_Fill" localSheetId="15" hidden="1">#REF!</definedName>
    <definedName name="_Fill" localSheetId="5" hidden="1">#REF!</definedName>
    <definedName name="_Fill" localSheetId="2" hidden="1">#REF!</definedName>
    <definedName name="_Fill" hidden="1">#REF!</definedName>
    <definedName name="_xlnm._FilterDatabase" localSheetId="15" hidden="1">#REF!</definedName>
    <definedName name="_xlnm._FilterDatabase" localSheetId="5" hidden="1">#REF!</definedName>
    <definedName name="_xlnm._FilterDatabase" localSheetId="2" hidden="1">#REF!</definedName>
    <definedName name="_xlnm._FilterDatabase" hidden="1">#REF!</definedName>
    <definedName name="_Key1" localSheetId="15" hidden="1">#REF!</definedName>
    <definedName name="_Key1" localSheetId="5" hidden="1">#REF!</definedName>
    <definedName name="_Key1" localSheetId="2" hidden="1">#REF!</definedName>
    <definedName name="_Key1" hidden="1">#REF!</definedName>
    <definedName name="_Key2" localSheetId="15" hidden="1">#REF!</definedName>
    <definedName name="_Key2" localSheetId="5" hidden="1">#REF!</definedName>
    <definedName name="_Key2" localSheetId="2" hidden="1">#REF!</definedName>
    <definedName name="_Key2" hidden="1">#REF!</definedName>
    <definedName name="_Order1" hidden="1">255</definedName>
    <definedName name="_Order2" hidden="1">255</definedName>
    <definedName name="_Sort" localSheetId="15" hidden="1">#REF!</definedName>
    <definedName name="_Sort" localSheetId="5" hidden="1">#REF!</definedName>
    <definedName name="_Sort" localSheetId="2" hidden="1">#REF!</definedName>
    <definedName name="_Sort" hidden="1">#REF!</definedName>
    <definedName name="adas" localSheetId="15" hidden="1">{"M1Print",#N/A,TRUE,"M1";"M2Print",#N/A,TRUE,"M2";"M1sPrint",#N/A,TRUE,"M1s";"M2aPrint",#N/A,TRUE,"M2a";"M4Print",#N/A,TRUE,"M4";"M5Print",#N/A,TRUE,"M5";"M6Print",#N/A,TRUE,"M6";"M6_1Print",#N/A,TRUE,"M6_1";"M6_2Print",#N/A,TRUE,"M6_2";"M7_1Print",#N/A,TRUE,"M7_1";"M7_2Print",#N/A,TRUE,"M7_2"}</definedName>
    <definedName name="adas" localSheetId="4" hidden="1">{"M1Print",#N/A,TRUE,"M1";"M2Print",#N/A,TRUE,"M2";"M1sPrint",#N/A,TRUE,"M1s";"M2aPrint",#N/A,TRUE,"M2a";"M4Print",#N/A,TRUE,"M4";"M5Print",#N/A,TRUE,"M5";"M6Print",#N/A,TRUE,"M6";"M6_1Print",#N/A,TRUE,"M6_1";"M6_2Print",#N/A,TRUE,"M6_2";"M7_1Print",#N/A,TRUE,"M7_1";"M7_2Print",#N/A,TRUE,"M7_2"}</definedName>
    <definedName name="adas" localSheetId="5" hidden="1">{"M1Print",#N/A,TRUE,"M1";"M2Print",#N/A,TRUE,"M2";"M1sPrint",#N/A,TRUE,"M1s";"M2aPrint",#N/A,TRUE,"M2a";"M4Print",#N/A,TRUE,"M4";"M5Print",#N/A,TRUE,"M5";"M6Print",#N/A,TRUE,"M6";"M6_1Print",#N/A,TRUE,"M6_1";"M6_2Print",#N/A,TRUE,"M6_2";"M7_1Print",#N/A,TRUE,"M7_1";"M7_2Print",#N/A,TRUE,"M7_2"}</definedName>
    <definedName name="adas" localSheetId="7" hidden="1">{"M1Print",#N/A,TRUE,"M1";"M2Print",#N/A,TRUE,"M2";"M1sPrint",#N/A,TRUE,"M1s";"M2aPrint",#N/A,TRUE,"M2a";"M4Print",#N/A,TRUE,"M4";"M5Print",#N/A,TRUE,"M5";"M6Print",#N/A,TRUE,"M6";"M6_1Print",#N/A,TRUE,"M6_1";"M6_2Print",#N/A,TRUE,"M6_2";"M7_1Print",#N/A,TRUE,"M7_1";"M7_2Print",#N/A,TRUE,"M7_2"}</definedName>
    <definedName name="adas" localSheetId="9" hidden="1">{"M1Print",#N/A,TRUE,"M1";"M2Print",#N/A,TRUE,"M2";"M1sPrint",#N/A,TRUE,"M1s";"M2aPrint",#N/A,TRUE,"M2a";"M4Print",#N/A,TRUE,"M4";"M5Print",#N/A,TRUE,"M5";"M6Print",#N/A,TRUE,"M6";"M6_1Print",#N/A,TRUE,"M6_1";"M6_2Print",#N/A,TRUE,"M6_2";"M7_1Print",#N/A,TRUE,"M7_1";"M7_2Print",#N/A,TRUE,"M7_2"}</definedName>
    <definedName name="adas" localSheetId="3" hidden="1">{"M1Print",#N/A,TRUE,"M1";"M2Print",#N/A,TRUE,"M2";"M1sPrint",#N/A,TRUE,"M1s";"M2aPrint",#N/A,TRUE,"M2a";"M4Print",#N/A,TRUE,"M4";"M5Print",#N/A,TRUE,"M5";"M6Print",#N/A,TRUE,"M6";"M6_1Print",#N/A,TRUE,"M6_1";"M6_2Print",#N/A,TRUE,"M6_2";"M7_1Print",#N/A,TRUE,"M7_1";"M7_2Print",#N/A,TRUE,"M7_2"}</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10"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localSheetId="15" hidden="1">#REF!</definedName>
    <definedName name="AS2TickmarkLS" localSheetId="5" hidden="1">#REF!</definedName>
    <definedName name="AS2TickmarkLS" localSheetId="2" hidden="1">#REF!</definedName>
    <definedName name="AS2TickmarkLS" hidden="1">#REF!</definedName>
    <definedName name="AS2VersionLS" hidden="1">300</definedName>
    <definedName name="ass" localSheetId="15" hidden="1">{#N/A,#N/A,TRUE,"CPRD";#N/A,#N/A,TRUE,"BCCPDR";#N/A,#N/A,TRUE,"EWRD";#N/A,#N/A,TRUE,"5100";#N/A,#N/A,TRUE,"5110"}</definedName>
    <definedName name="ass" localSheetId="4" hidden="1">{#N/A,#N/A,TRUE,"CPRD";#N/A,#N/A,TRUE,"BCCPDR";#N/A,#N/A,TRUE,"EWRD";#N/A,#N/A,TRUE,"5100";#N/A,#N/A,TRUE,"5110"}</definedName>
    <definedName name="ass" localSheetId="5" hidden="1">{#N/A,#N/A,TRUE,"CPRD";#N/A,#N/A,TRUE,"BCCPDR";#N/A,#N/A,TRUE,"EWRD";#N/A,#N/A,TRUE,"5100";#N/A,#N/A,TRUE,"5110"}</definedName>
    <definedName name="ass" localSheetId="7" hidden="1">{#N/A,#N/A,TRUE,"CPRD";#N/A,#N/A,TRUE,"BCCPDR";#N/A,#N/A,TRUE,"EWRD";#N/A,#N/A,TRUE,"5100";#N/A,#N/A,TRUE,"5110"}</definedName>
    <definedName name="ass" localSheetId="9" hidden="1">{#N/A,#N/A,TRUE,"CPRD";#N/A,#N/A,TRUE,"BCCPDR";#N/A,#N/A,TRUE,"EWRD";#N/A,#N/A,TRUE,"5100";#N/A,#N/A,TRUE,"5110"}</definedName>
    <definedName name="ass" localSheetId="3" hidden="1">{#N/A,#N/A,TRUE,"CPRD";#N/A,#N/A,TRUE,"BCCPDR";#N/A,#N/A,TRUE,"EWRD";#N/A,#N/A,TRUE,"5100";#N/A,#N/A,TRUE,"5110"}</definedName>
    <definedName name="ass" localSheetId="2" hidden="1">{#N/A,#N/A,TRUE,"CPRD";#N/A,#N/A,TRUE,"BCCPDR";#N/A,#N/A,TRUE,"EWRD";#N/A,#N/A,TRUE,"5100";#N/A,#N/A,TRUE,"5110"}</definedName>
    <definedName name="ass" localSheetId="10" hidden="1">{#N/A,#N/A,TRUE,"CPRD";#N/A,#N/A,TRUE,"BCCPDR";#N/A,#N/A,TRUE,"EWRD";#N/A,#N/A,TRUE,"5100";#N/A,#N/A,TRUE,"5110"}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localSheetId="15" hidden="1">#REF!</definedName>
    <definedName name="BNE_MESSAGES_HIDDEN" localSheetId="5" hidden="1">#REF!</definedName>
    <definedName name="BNE_MESSAGES_HIDDEN" localSheetId="7" hidden="1">#REF!</definedName>
    <definedName name="BNE_MESSAGES_HIDDEN" localSheetId="9" hidden="1">#REF!</definedName>
    <definedName name="BNE_MESSAGES_HIDDEN" localSheetId="10" hidden="1">#REF!</definedName>
    <definedName name="BNE_MESSAGES_HIDDEN" hidden="1">#REF!</definedName>
    <definedName name="cashflow20030930" localSheetId="15" hidden="1">{"M1Print",#N/A,TRUE,"M1";"M2Print",#N/A,TRUE,"M2";"M1sPrint",#N/A,TRUE,"M1s";"M2aPrint",#N/A,TRUE,"M2a";"M4Print",#N/A,TRUE,"M4";"M5Print",#N/A,TRUE,"M5";"M6Print",#N/A,TRUE,"M6";"M6_1Print",#N/A,TRUE,"M6_1";"M6_2Print",#N/A,TRUE,"M6_2";"M7_1Print",#N/A,TRUE,"M7_1";"M7_2Print",#N/A,TRUE,"M7_2"}</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ashflow20030930" localSheetId="5" hidden="1">{"M1Print",#N/A,TRUE,"M1";"M2Print",#N/A,TRUE,"M2";"M1sPrint",#N/A,TRUE,"M1s";"M2aPrint",#N/A,TRUE,"M2a";"M4Print",#N/A,TRUE,"M4";"M5Print",#N/A,TRUE,"M5";"M6Print",#N/A,TRUE,"M6";"M6_1Print",#N/A,TRUE,"M6_1";"M6_2Print",#N/A,TRUE,"M6_2";"M7_1Print",#N/A,TRUE,"M7_1";"M7_2Print",#N/A,TRUE,"M7_2"}</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localSheetId="9" hidden="1">{"M1Print",#N/A,TRUE,"M1";"M2Print",#N/A,TRUE,"M2";"M1sPrint",#N/A,TRUE,"M1s";"M2aPrint",#N/A,TRUE,"M2a";"M4Print",#N/A,TRUE,"M4";"M5Print",#N/A,TRUE,"M5";"M6Print",#N/A,TRUE,"M6";"M6_1Print",#N/A,TRUE,"M6_1";"M6_2Print",#N/A,TRUE,"M6_2";"M7_1Print",#N/A,TRUE,"M7_1";"M7_2Print",#N/A,TRUE,"M7_2"}</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doddd" localSheetId="15" hidden="1">{#N/A,#N/A,TRUE,"CPRD";#N/A,#N/A,TRUE,"BCCPDR";#N/A,#N/A,TRUE,"EWRD";#N/A,#N/A,TRUE,"5100";#N/A,#N/A,TRUE,"5110"}</definedName>
    <definedName name="doddd" localSheetId="4" hidden="1">{#N/A,#N/A,TRUE,"CPRD";#N/A,#N/A,TRUE,"BCCPDR";#N/A,#N/A,TRUE,"EWRD";#N/A,#N/A,TRUE,"5100";#N/A,#N/A,TRUE,"5110"}</definedName>
    <definedName name="doddd" localSheetId="5" hidden="1">{#N/A,#N/A,TRUE,"CPRD";#N/A,#N/A,TRUE,"BCCPDR";#N/A,#N/A,TRUE,"EWRD";#N/A,#N/A,TRUE,"5100";#N/A,#N/A,TRUE,"5110"}</definedName>
    <definedName name="doddd" localSheetId="7" hidden="1">{#N/A,#N/A,TRUE,"CPRD";#N/A,#N/A,TRUE,"BCCPDR";#N/A,#N/A,TRUE,"EWRD";#N/A,#N/A,TRUE,"5100";#N/A,#N/A,TRUE,"5110"}</definedName>
    <definedName name="doddd" localSheetId="9" hidden="1">{#N/A,#N/A,TRUE,"CPRD";#N/A,#N/A,TRUE,"BCCPDR";#N/A,#N/A,TRUE,"EWRD";#N/A,#N/A,TRUE,"5100";#N/A,#N/A,TRUE,"5110"}</definedName>
    <definedName name="doddd" localSheetId="3" hidden="1">{#N/A,#N/A,TRUE,"CPRD";#N/A,#N/A,TRUE,"BCCPDR";#N/A,#N/A,TRUE,"EWRD";#N/A,#N/A,TRUE,"5100";#N/A,#N/A,TRUE,"5110"}</definedName>
    <definedName name="doddd" localSheetId="2" hidden="1">{#N/A,#N/A,TRUE,"CPRD";#N/A,#N/A,TRUE,"BCCPDR";#N/A,#N/A,TRUE,"EWRD";#N/A,#N/A,TRUE,"5100";#N/A,#N/A,TRUE,"5110"}</definedName>
    <definedName name="doddd" localSheetId="10" hidden="1">{#N/A,#N/A,TRUE,"CPRD";#N/A,#N/A,TRUE,"BCCPDR";#N/A,#N/A,TRUE,"EWRD";#N/A,#N/A,TRUE,"5100";#N/A,#N/A,TRUE,"5110"}</definedName>
    <definedName name="doddd" hidden="1">{#N/A,#N/A,TRUE,"CPRD";#N/A,#N/A,TRUE,"BCCPDR";#N/A,#N/A,TRUE,"EWRD";#N/A,#N/A,TRUE,"5100";#N/A,#N/A,TRUE,"5110"}</definedName>
    <definedName name="dog" localSheetId="15" hidden="1">{#N/A,#N/A,TRUE,"CPRD";#N/A,#N/A,TRUE,"BCCPDR";#N/A,#N/A,TRUE,"EWRD";#N/A,#N/A,TRUE,"5100";#N/A,#N/A,TRUE,"5110"}</definedName>
    <definedName name="dog" localSheetId="4" hidden="1">{#N/A,#N/A,TRUE,"CPRD";#N/A,#N/A,TRUE,"BCCPDR";#N/A,#N/A,TRUE,"EWRD";#N/A,#N/A,TRUE,"5100";#N/A,#N/A,TRUE,"5110"}</definedName>
    <definedName name="dog" localSheetId="5" hidden="1">{#N/A,#N/A,TRUE,"CPRD";#N/A,#N/A,TRUE,"BCCPDR";#N/A,#N/A,TRUE,"EWRD";#N/A,#N/A,TRUE,"5100";#N/A,#N/A,TRUE,"5110"}</definedName>
    <definedName name="dog" localSheetId="7" hidden="1">{#N/A,#N/A,TRUE,"CPRD";#N/A,#N/A,TRUE,"BCCPDR";#N/A,#N/A,TRUE,"EWRD";#N/A,#N/A,TRUE,"5100";#N/A,#N/A,TRUE,"5110"}</definedName>
    <definedName name="dog" localSheetId="9" hidden="1">{#N/A,#N/A,TRUE,"CPRD";#N/A,#N/A,TRUE,"BCCPDR";#N/A,#N/A,TRUE,"EWRD";#N/A,#N/A,TRUE,"5100";#N/A,#N/A,TRUE,"5110"}</definedName>
    <definedName name="dog" localSheetId="3" hidden="1">{#N/A,#N/A,TRUE,"CPRD";#N/A,#N/A,TRUE,"BCCPDR";#N/A,#N/A,TRUE,"EWRD";#N/A,#N/A,TRUE,"5100";#N/A,#N/A,TRUE,"5110"}</definedName>
    <definedName name="dog" localSheetId="2" hidden="1">{#N/A,#N/A,TRUE,"CPRD";#N/A,#N/A,TRUE,"BCCPDR";#N/A,#N/A,TRUE,"EWRD";#N/A,#N/A,TRUE,"5100";#N/A,#N/A,TRUE,"5110"}</definedName>
    <definedName name="dog" localSheetId="10" hidden="1">{#N/A,#N/A,TRUE,"CPRD";#N/A,#N/A,TRUE,"BCCPDR";#N/A,#N/A,TRUE,"EWRD";#N/A,#N/A,TRUE,"5100";#N/A,#N/A,TRUE,"5110"}</definedName>
    <definedName name="dog" hidden="1">{#N/A,#N/A,TRUE,"CPRD";#N/A,#N/A,TRUE,"BCCPDR";#N/A,#N/A,TRUE,"EWRD";#N/A,#N/A,TRUE,"5100";#N/A,#N/A,TRUE,"5110"}</definedName>
    <definedName name="ehdg" localSheetId="5" hidden="1">{#N/A,#N/A,FALSE,"Jan"}</definedName>
    <definedName name="ehdg" hidden="1">{#N/A,#N/A,FALSE,"Jan"}</definedName>
    <definedName name="EV__LASTREFTIME__" hidden="1">39274.4724884259</definedName>
    <definedName name="ExpenseUpload" localSheetId="15" hidden="1">{#N/A,#N/A,TRUE,"CPRD";#N/A,#N/A,TRUE,"BCCPDR";#N/A,#N/A,TRUE,"EWRD";#N/A,#N/A,TRUE,"5100";#N/A,#N/A,TRUE,"5110"}</definedName>
    <definedName name="ExpenseUpload" localSheetId="4" hidden="1">{#N/A,#N/A,TRUE,"CPRD";#N/A,#N/A,TRUE,"BCCPDR";#N/A,#N/A,TRUE,"EWRD";#N/A,#N/A,TRUE,"5100";#N/A,#N/A,TRUE,"5110"}</definedName>
    <definedName name="ExpenseUpload" localSheetId="5" hidden="1">{#N/A,#N/A,TRUE,"CPRD";#N/A,#N/A,TRUE,"BCCPDR";#N/A,#N/A,TRUE,"EWRD";#N/A,#N/A,TRUE,"5100";#N/A,#N/A,TRUE,"5110"}</definedName>
    <definedName name="ExpenseUpload" localSheetId="7" hidden="1">{#N/A,#N/A,TRUE,"CPRD";#N/A,#N/A,TRUE,"BCCPDR";#N/A,#N/A,TRUE,"EWRD";#N/A,#N/A,TRUE,"5100";#N/A,#N/A,TRUE,"5110"}</definedName>
    <definedName name="ExpenseUpload" localSheetId="9" hidden="1">{#N/A,#N/A,TRUE,"CPRD";#N/A,#N/A,TRUE,"BCCPDR";#N/A,#N/A,TRUE,"EWRD";#N/A,#N/A,TRUE,"5100";#N/A,#N/A,TRUE,"5110"}</definedName>
    <definedName name="ExpenseUpload" localSheetId="3" hidden="1">{#N/A,#N/A,TRUE,"CPRD";#N/A,#N/A,TRUE,"BCCPDR";#N/A,#N/A,TRUE,"EWRD";#N/A,#N/A,TRUE,"5100";#N/A,#N/A,TRUE,"5110"}</definedName>
    <definedName name="ExpenseUpload" localSheetId="2" hidden="1">{#N/A,#N/A,TRUE,"CPRD";#N/A,#N/A,TRUE,"BCCPDR";#N/A,#N/A,TRUE,"EWRD";#N/A,#N/A,TRUE,"5100";#N/A,#N/A,TRUE,"5110"}</definedName>
    <definedName name="ExpenseUpload" localSheetId="10" hidden="1">{#N/A,#N/A,TRUE,"CPRD";#N/A,#N/A,TRUE,"BCCPDR";#N/A,#N/A,TRUE,"EWRD";#N/A,#N/A,TRUE,"5100";#N/A,#N/A,TRUE,"5110"}</definedName>
    <definedName name="ExpenseUpload" hidden="1">{#N/A,#N/A,TRUE,"CPRD";#N/A,#N/A,TRUE,"BCCPDR";#N/A,#N/A,TRUE,"EWRD";#N/A,#N/A,TRUE,"5100";#N/A,#N/A,TRUE,"5110"}</definedName>
    <definedName name="feedback" hidden="1">{#N/A,#N/A,TRUE,"CPRD";#N/A,#N/A,TRUE,"BCCPDR";#N/A,#N/A,TRUE,"EWRD";#N/A,#N/A,TRUE,"5100";#N/A,#N/A,TRUE,"5110"}</definedName>
    <definedName name="HdctTrnd" localSheetId="15" hidden="1">{#N/A,#N/A,TRUE,"CPRD";#N/A,#N/A,TRUE,"BCCPDR";#N/A,#N/A,TRUE,"EWRD";#N/A,#N/A,TRUE,"5100";#N/A,#N/A,TRUE,"5110"}</definedName>
    <definedName name="HdctTrnd" localSheetId="4" hidden="1">{#N/A,#N/A,TRUE,"CPRD";#N/A,#N/A,TRUE,"BCCPDR";#N/A,#N/A,TRUE,"EWRD";#N/A,#N/A,TRUE,"5100";#N/A,#N/A,TRUE,"5110"}</definedName>
    <definedName name="HdctTrnd" localSheetId="5" hidden="1">{#N/A,#N/A,TRUE,"CPRD";#N/A,#N/A,TRUE,"BCCPDR";#N/A,#N/A,TRUE,"EWRD";#N/A,#N/A,TRUE,"5100";#N/A,#N/A,TRUE,"5110"}</definedName>
    <definedName name="HdctTrnd" localSheetId="7" hidden="1">{#N/A,#N/A,TRUE,"CPRD";#N/A,#N/A,TRUE,"BCCPDR";#N/A,#N/A,TRUE,"EWRD";#N/A,#N/A,TRUE,"5100";#N/A,#N/A,TRUE,"5110"}</definedName>
    <definedName name="HdctTrnd" localSheetId="9" hidden="1">{#N/A,#N/A,TRUE,"CPRD";#N/A,#N/A,TRUE,"BCCPDR";#N/A,#N/A,TRUE,"EWRD";#N/A,#N/A,TRUE,"5100";#N/A,#N/A,TRUE,"5110"}</definedName>
    <definedName name="HdctTrnd" localSheetId="3" hidden="1">{#N/A,#N/A,TRUE,"CPRD";#N/A,#N/A,TRUE,"BCCPDR";#N/A,#N/A,TRUE,"EWRD";#N/A,#N/A,TRUE,"5100";#N/A,#N/A,TRUE,"5110"}</definedName>
    <definedName name="HdctTrnd" localSheetId="2" hidden="1">{#N/A,#N/A,TRUE,"CPRD";#N/A,#N/A,TRUE,"BCCPDR";#N/A,#N/A,TRUE,"EWRD";#N/A,#N/A,TRUE,"5100";#N/A,#N/A,TRUE,"5110"}</definedName>
    <definedName name="HdctTrnd" localSheetId="10" hidden="1">{#N/A,#N/A,TRUE,"CPRD";#N/A,#N/A,TRUE,"BCCPDR";#N/A,#N/A,TRUE,"EWRD";#N/A,#N/A,TRUE,"5100";#N/A,#N/A,TRUE,"5110"}</definedName>
    <definedName name="HdctTrnd" hidden="1">{#N/A,#N/A,TRUE,"CPRD";#N/A,#N/A,TRUE,"BCCPDR";#N/A,#N/A,TRUE,"EWRD";#N/A,#N/A,TRUE,"5100";#N/A,#N/A,TRUE,"5110"}</definedName>
    <definedName name="HTML_CodePage" hidden="1">1252</definedName>
    <definedName name="HTML_Control" localSheetId="15" hidden="1">{"'Vxxe_times_J750 (2)'!$A$3:$E$14"}</definedName>
    <definedName name="HTML_Control" localSheetId="4" hidden="1">{"'Vxxe_times_J750 (2)'!$A$3:$E$14"}</definedName>
    <definedName name="HTML_Control" localSheetId="5" hidden="1">{"'Vxxe_times_J750 (2)'!$A$3:$E$14"}</definedName>
    <definedName name="HTML_Control" localSheetId="7" hidden="1">{"'Vxxe_times_J750 (2)'!$A$3:$E$14"}</definedName>
    <definedName name="HTML_Control" localSheetId="9" hidden="1">{"'Vxxe_times_J750 (2)'!$A$3:$E$14"}</definedName>
    <definedName name="HTML_Control" localSheetId="3" hidden="1">{"'Vxxe_times_J750 (2)'!$A$3:$E$14"}</definedName>
    <definedName name="HTML_Control" localSheetId="2" hidden="1">{"'Vxxe_times_J750 (2)'!$A$3:$E$14"}</definedName>
    <definedName name="HTML_Control" localSheetId="10"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localSheetId="5" hidden="1">#REF!</definedName>
    <definedName name="LotusGraphChart1" hidden="1">#REF!</definedName>
    <definedName name="lotusgraphchart1b" localSheetId="5" hidden="1">#REF!</definedName>
    <definedName name="lotusgraphchart1b" hidden="1">#REF!</definedName>
    <definedName name="lotusgraphchart1x" localSheetId="5" hidden="1">#REF!</definedName>
    <definedName name="lotusgraphchart1x" hidden="1">#REF!</definedName>
    <definedName name="notused" localSheetId="15" hidden="1">{#N/A,#N/A,TRUE,"CPRD";#N/A,#N/A,TRUE,"BCCPDR";#N/A,#N/A,TRUE,"EWRD";#N/A,#N/A,TRUE,"5100";#N/A,#N/A,TRUE,"5110"}</definedName>
    <definedName name="notused" localSheetId="4" hidden="1">{#N/A,#N/A,TRUE,"CPRD";#N/A,#N/A,TRUE,"BCCPDR";#N/A,#N/A,TRUE,"EWRD";#N/A,#N/A,TRUE,"5100";#N/A,#N/A,TRUE,"5110"}</definedName>
    <definedName name="notused" localSheetId="5" hidden="1">{#N/A,#N/A,TRUE,"CPRD";#N/A,#N/A,TRUE,"BCCPDR";#N/A,#N/A,TRUE,"EWRD";#N/A,#N/A,TRUE,"5100";#N/A,#N/A,TRUE,"5110"}</definedName>
    <definedName name="notused" localSheetId="7" hidden="1">{#N/A,#N/A,TRUE,"CPRD";#N/A,#N/A,TRUE,"BCCPDR";#N/A,#N/A,TRUE,"EWRD";#N/A,#N/A,TRUE,"5100";#N/A,#N/A,TRUE,"5110"}</definedName>
    <definedName name="notused" localSheetId="9" hidden="1">{#N/A,#N/A,TRUE,"CPRD";#N/A,#N/A,TRUE,"BCCPDR";#N/A,#N/A,TRUE,"EWRD";#N/A,#N/A,TRUE,"5100";#N/A,#N/A,TRUE,"5110"}</definedName>
    <definedName name="notused" localSheetId="3" hidden="1">{#N/A,#N/A,TRUE,"CPRD";#N/A,#N/A,TRUE,"BCCPDR";#N/A,#N/A,TRUE,"EWRD";#N/A,#N/A,TRUE,"5100";#N/A,#N/A,TRUE,"5110"}</definedName>
    <definedName name="notused" localSheetId="2" hidden="1">{#N/A,#N/A,TRUE,"CPRD";#N/A,#N/A,TRUE,"BCCPDR";#N/A,#N/A,TRUE,"EWRD";#N/A,#N/A,TRUE,"5100";#N/A,#N/A,TRUE,"5110"}</definedName>
    <definedName name="notused" localSheetId="10" hidden="1">{#N/A,#N/A,TRUE,"CPRD";#N/A,#N/A,TRUE,"BCCPDR";#N/A,#N/A,TRUE,"EWRD";#N/A,#N/A,TRUE,"5100";#N/A,#N/A,TRUE,"5110"}</definedName>
    <definedName name="notused" hidden="1">{#N/A,#N/A,TRUE,"CPRD";#N/A,#N/A,TRUE,"BCCPDR";#N/A,#N/A,TRUE,"EWRD";#N/A,#N/A,TRUE,"5100";#N/A,#N/A,TRUE,"5110"}</definedName>
    <definedName name="qwertyuiopasdfghjkl" localSheetId="15" hidden="1">{"M2aPrint",#N/A,FALSE,"M2a"}</definedName>
    <definedName name="qwertyuiopasdfghjkl" localSheetId="4" hidden="1">{"M2aPrint",#N/A,FALSE,"M2a"}</definedName>
    <definedName name="qwertyuiopasdfghjkl" localSheetId="5" hidden="1">{"M2aPrint",#N/A,FALSE,"M2a"}</definedName>
    <definedName name="qwertyuiopasdfghjkl" localSheetId="7" hidden="1">{"M2aPrint",#N/A,FALSE,"M2a"}</definedName>
    <definedName name="qwertyuiopasdfghjkl" localSheetId="9" hidden="1">{"M2aPrint",#N/A,FALSE,"M2a"}</definedName>
    <definedName name="qwertyuiopasdfghjkl" localSheetId="3" hidden="1">{"M2aPrint",#N/A,FALSE,"M2a"}</definedName>
    <definedName name="qwertyuiopasdfghjkl" localSheetId="2" hidden="1">{"M2aPrint",#N/A,FALSE,"M2a"}</definedName>
    <definedName name="qwertyuiopasdfghjkl" localSheetId="10" hidden="1">{"M2aPrint",#N/A,FALSE,"M2a"}</definedName>
    <definedName name="qwertyuiopasdfghjkl" hidden="1">{"M2aPrint",#N/A,FALSE,"M2a"}</definedName>
    <definedName name="qwwertyuiop" localSheetId="15" hidden="1">{"M2Print",#N/A,FALSE,"M2"}</definedName>
    <definedName name="qwwertyuiop" localSheetId="4" hidden="1">{"M2Print",#N/A,FALSE,"M2"}</definedName>
    <definedName name="qwwertyuiop" localSheetId="5" hidden="1">{"M2Print",#N/A,FALSE,"M2"}</definedName>
    <definedName name="qwwertyuiop" localSheetId="7" hidden="1">{"M2Print",#N/A,FALSE,"M2"}</definedName>
    <definedName name="qwwertyuiop" localSheetId="9" hidden="1">{"M2Print",#N/A,FALSE,"M2"}</definedName>
    <definedName name="qwwertyuiop" localSheetId="3" hidden="1">{"M2Print",#N/A,FALSE,"M2"}</definedName>
    <definedName name="qwwertyuiop" localSheetId="2" hidden="1">{"M2Print",#N/A,FALSE,"M2"}</definedName>
    <definedName name="qwwertyuiop" localSheetId="10" hidden="1">{"M2Print",#N/A,FALSE,"M2"}</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localSheetId="15" hidden="1">#REF!</definedName>
    <definedName name="Sheet1_BNE_MESSAGES" localSheetId="5" hidden="1">#REF!</definedName>
    <definedName name="Sheet1_BNE_MESSAGES" localSheetId="7" hidden="1">#REF!</definedName>
    <definedName name="Sheet1_BNE_MESSAGES" localSheetId="2" hidden="1">#REF!</definedName>
    <definedName name="Sheet1_BNE_MESSAGES" hidden="1">#REF!</definedName>
    <definedName name="Sheet1_BNE_MESSAGES_HIDDEN" localSheetId="15" hidden="1">#REF!</definedName>
    <definedName name="Sheet1_BNE_MESSAGES_HIDDEN" localSheetId="5" hidden="1">#REF!</definedName>
    <definedName name="Sheet1_BNE_MESSAGES_HIDDEN" localSheetId="7" hidden="1">#REF!</definedName>
    <definedName name="Sheet1_BNE_MESSAGES_HIDDEN" localSheetId="2" hidden="1">#REF!</definedName>
    <definedName name="Sheet1_BNE_MESSAGES_HIDDEN" hidden="1">#REF!</definedName>
    <definedName name="Sheet1_BNE_MESSAGES_LAMP" localSheetId="15" hidden="1">#REF!</definedName>
    <definedName name="Sheet1_BNE_MESSAGES_LAMP" localSheetId="5" hidden="1">#REF!</definedName>
    <definedName name="Sheet1_BNE_MESSAGES_LAMP" localSheetId="7" hidden="1">#REF!</definedName>
    <definedName name="Sheet1_BNE_MESSAGES_LAMP" localSheetId="2" hidden="1">#REF!</definedName>
    <definedName name="Sheet1_BNE_MESSAGES_LAMP" hidden="1">#REF!</definedName>
    <definedName name="Sheet1_BNE_UPLOAD" localSheetId="15" hidden="1">#REF!</definedName>
    <definedName name="Sheet1_BNE_UPLOAD" localSheetId="5" hidden="1">#REF!</definedName>
    <definedName name="Sheet1_BNE_UPLOAD" localSheetId="2" hidden="1">#REF!</definedName>
    <definedName name="Sheet1_BNE_UPLOAD" hidden="1">#REF!</definedName>
    <definedName name="Sheet1_GL_INTERFACE_ACCOUNTING_DATE" localSheetId="15" hidden="1">#REF!</definedName>
    <definedName name="Sheet1_GL_INTERFACE_ACCOUNTING_DATE" localSheetId="5" hidden="1">#REF!</definedName>
    <definedName name="Sheet1_GL_INTERFACE_ACCOUNTING_DATE" localSheetId="2" hidden="1">#REF!</definedName>
    <definedName name="Sheet1_GL_INTERFACE_ACCOUNTING_DATE" hidden="1">#REF!</definedName>
    <definedName name="Sheet1_GL_INTERFACE_ACTUAL_FLAG" localSheetId="15" hidden="1">#REF!</definedName>
    <definedName name="Sheet1_GL_INTERFACE_ACTUAL_FLAG" localSheetId="5" hidden="1">#REF!</definedName>
    <definedName name="Sheet1_GL_INTERFACE_ACTUAL_FLAG" localSheetId="2" hidden="1">#REF!</definedName>
    <definedName name="Sheet1_GL_INTERFACE_ACTUAL_FLAG" hidden="1">#REF!</definedName>
    <definedName name="Sheet1_GL_INTERFACE_CURRENCY_CODE" localSheetId="15" hidden="1">#REF!</definedName>
    <definedName name="Sheet1_GL_INTERFACE_CURRENCY_CODE" localSheetId="5" hidden="1">#REF!</definedName>
    <definedName name="Sheet1_GL_INTERFACE_CURRENCY_CODE" localSheetId="2" hidden="1">#REF!</definedName>
    <definedName name="Sheet1_GL_INTERFACE_CURRENCY_CODE" hidden="1">#REF!</definedName>
    <definedName name="Sheet1_GL_INTERFACE_DATABASE" localSheetId="15" hidden="1">#REF!</definedName>
    <definedName name="Sheet1_GL_INTERFACE_DATABASE" localSheetId="5" hidden="1">#REF!</definedName>
    <definedName name="Sheet1_GL_INTERFACE_DATABASE" localSheetId="2" hidden="1">#REF!</definedName>
    <definedName name="Sheet1_GL_INTERFACE_DATABASE" hidden="1">#REF!</definedName>
    <definedName name="Sheet1_GL_INTERFACE_ENTERED_CR" localSheetId="15" hidden="1">#REF!</definedName>
    <definedName name="Sheet1_GL_INTERFACE_ENTERED_CR" localSheetId="5" hidden="1">#REF!</definedName>
    <definedName name="Sheet1_GL_INTERFACE_ENTERED_CR" localSheetId="2" hidden="1">#REF!</definedName>
    <definedName name="Sheet1_GL_INTERFACE_ENTERED_CR" hidden="1">#REF!</definedName>
    <definedName name="Sheet1_GL_INTERFACE_ENTERED_DR" localSheetId="15" hidden="1">#REF!</definedName>
    <definedName name="Sheet1_GL_INTERFACE_ENTERED_DR" localSheetId="5" hidden="1">#REF!</definedName>
    <definedName name="Sheet1_GL_INTERFACE_ENTERED_DR" localSheetId="2" hidden="1">#REF!</definedName>
    <definedName name="Sheet1_GL_INTERFACE_ENTERED_DR" hidden="1">#REF!</definedName>
    <definedName name="Sheet1_GL_INTERFACE_REFERENCE1" localSheetId="15" hidden="1">#REF!</definedName>
    <definedName name="Sheet1_GL_INTERFACE_REFERENCE1" localSheetId="5" hidden="1">#REF!</definedName>
    <definedName name="Sheet1_GL_INTERFACE_REFERENCE1" localSheetId="2" hidden="1">#REF!</definedName>
    <definedName name="Sheet1_GL_INTERFACE_REFERENCE1" hidden="1">#REF!</definedName>
    <definedName name="Sheet1_GL_INTERFACE_REFERENCE10" localSheetId="15" hidden="1">#REF!</definedName>
    <definedName name="Sheet1_GL_INTERFACE_REFERENCE10" localSheetId="5" hidden="1">#REF!</definedName>
    <definedName name="Sheet1_GL_INTERFACE_REFERENCE10" localSheetId="2" hidden="1">#REF!</definedName>
    <definedName name="Sheet1_GL_INTERFACE_REFERENCE10" hidden="1">#REF!</definedName>
    <definedName name="Sheet1_GL_INTERFACE_REFERENCE4" localSheetId="15" hidden="1">#REF!</definedName>
    <definedName name="Sheet1_GL_INTERFACE_REFERENCE4" localSheetId="5" hidden="1">#REF!</definedName>
    <definedName name="Sheet1_GL_INTERFACE_REFERENCE4" localSheetId="2" hidden="1">#REF!</definedName>
    <definedName name="Sheet1_GL_INTERFACE_REFERENCE4" hidden="1">#REF!</definedName>
    <definedName name="Sheet1_GL_INTERFACE_REFERENCE5" localSheetId="15" hidden="1">#REF!</definedName>
    <definedName name="Sheet1_GL_INTERFACE_REFERENCE5" localSheetId="5" hidden="1">#REF!</definedName>
    <definedName name="Sheet1_GL_INTERFACE_REFERENCE5" localSheetId="2" hidden="1">#REF!</definedName>
    <definedName name="Sheet1_GL_INTERFACE_REFERENCE5" hidden="1">#REF!</definedName>
    <definedName name="Sheet1_GL_INTERFACE_REFERENCE6" localSheetId="5" hidden="1">#REF!</definedName>
    <definedName name="Sheet1_GL_INTERFACE_REFERENCE6" hidden="1">#REF!</definedName>
    <definedName name="Sheet1_GL_INTERFACE_REFERENCE7" localSheetId="15" hidden="1">#REF!</definedName>
    <definedName name="Sheet1_GL_INTERFACE_REFERENCE7" localSheetId="5" hidden="1">#REF!</definedName>
    <definedName name="Sheet1_GL_INTERFACE_REFERENCE7" localSheetId="2" hidden="1">#REF!</definedName>
    <definedName name="Sheet1_GL_INTERFACE_REFERENCE7" hidden="1">#REF!</definedName>
    <definedName name="Sheet1_GL_INTERFACE_REFERENCE8" localSheetId="15" hidden="1">#REF!</definedName>
    <definedName name="Sheet1_GL_INTERFACE_REFERENCE8" localSheetId="5" hidden="1">#REF!</definedName>
    <definedName name="Sheet1_GL_INTERFACE_REFERENCE8" localSheetId="2" hidden="1">#REF!</definedName>
    <definedName name="Sheet1_GL_INTERFACE_REFERENCE8" hidden="1">#REF!</definedName>
    <definedName name="Sheet1_GL_INTERFACE_SEGMENT1" localSheetId="15" hidden="1">#REF!</definedName>
    <definedName name="Sheet1_GL_INTERFACE_SEGMENT1" localSheetId="5" hidden="1">#REF!</definedName>
    <definedName name="Sheet1_GL_INTERFACE_SEGMENT1" localSheetId="2" hidden="1">#REF!</definedName>
    <definedName name="Sheet1_GL_INTERFACE_SEGMENT1" hidden="1">#REF!</definedName>
    <definedName name="Sheet1_GL_INTERFACE_SEGMENT2" localSheetId="15" hidden="1">#REF!</definedName>
    <definedName name="Sheet1_GL_INTERFACE_SEGMENT2" localSheetId="5" hidden="1">#REF!</definedName>
    <definedName name="Sheet1_GL_INTERFACE_SEGMENT2" localSheetId="2" hidden="1">#REF!</definedName>
    <definedName name="Sheet1_GL_INTERFACE_SEGMENT2" hidden="1">#REF!</definedName>
    <definedName name="Sheet1_GL_INTERFACE_SEGMENT3" localSheetId="15" hidden="1">#REF!</definedName>
    <definedName name="Sheet1_GL_INTERFACE_SEGMENT3" localSheetId="5" hidden="1">#REF!</definedName>
    <definedName name="Sheet1_GL_INTERFACE_SEGMENT3" localSheetId="2" hidden="1">#REF!</definedName>
    <definedName name="Sheet1_GL_INTERFACE_SEGMENT3" hidden="1">#REF!</definedName>
    <definedName name="Sheet1_GL_INTERFACE_SEGMENT4" localSheetId="15" hidden="1">#REF!</definedName>
    <definedName name="Sheet1_GL_INTERFACE_SEGMENT4" localSheetId="5" hidden="1">#REF!</definedName>
    <definedName name="Sheet1_GL_INTERFACE_SEGMENT4" localSheetId="2" hidden="1">#REF!</definedName>
    <definedName name="Sheet1_GL_INTERFACE_SEGMENT4" hidden="1">#REF!</definedName>
    <definedName name="Sheet1_GL_INTERFACE_SEGMENT5" localSheetId="15" hidden="1">#REF!</definedName>
    <definedName name="Sheet1_GL_INTERFACE_SEGMENT5" localSheetId="5" hidden="1">#REF!</definedName>
    <definedName name="Sheet1_GL_INTERFACE_SEGMENT5" localSheetId="2" hidden="1">#REF!</definedName>
    <definedName name="Sheet1_GL_INTERFACE_SEGMENT5" hidden="1">#REF!</definedName>
    <definedName name="Sheet1_GL_INTERFACE_SEGMENT6" localSheetId="15" hidden="1">#REF!</definedName>
    <definedName name="Sheet1_GL_INTERFACE_SEGMENT6" localSheetId="5" hidden="1">#REF!</definedName>
    <definedName name="Sheet1_GL_INTERFACE_SEGMENT6" localSheetId="2" hidden="1">#REF!</definedName>
    <definedName name="Sheet1_GL_INTERFACE_SEGMENT6" hidden="1">#REF!</definedName>
    <definedName name="Sheet1_GL_INTERFACE_SET_OF_BOOKS_ID" localSheetId="15" hidden="1">#REF!</definedName>
    <definedName name="Sheet1_GL_INTERFACE_SET_OF_BOOKS_ID" localSheetId="5" hidden="1">#REF!</definedName>
    <definedName name="Sheet1_GL_INTERFACE_SET_OF_BOOKS_ID" localSheetId="2" hidden="1">#REF!</definedName>
    <definedName name="Sheet1_GL_INTERFACE_SET_OF_BOOKS_ID" hidden="1">#REF!</definedName>
    <definedName name="Sheet1_GL_INTERFACE_USER_JE_CATEGORY_NAME" localSheetId="15" hidden="1">#REF!</definedName>
    <definedName name="Sheet1_GL_INTERFACE_USER_JE_CATEGORY_NAME" localSheetId="5" hidden="1">#REF!</definedName>
    <definedName name="Sheet1_GL_INTERFACE_USER_JE_CATEGORY_NAME" localSheetId="2" hidden="1">#REF!</definedName>
    <definedName name="Sheet1_GL_INTERFACE_USER_JE_CATEGORY_NAME" hidden="1">#REF!</definedName>
    <definedName name="Sheet1_GL_INTERFACE_USER_JE_SOURCE_NAME" localSheetId="15" hidden="1">#REF!</definedName>
    <definedName name="Sheet1_GL_INTERFACE_USER_JE_SOURCE_NAME" localSheetId="5" hidden="1">#REF!</definedName>
    <definedName name="Sheet1_GL_INTERFACE_USER_JE_SOURCE_NAME" localSheetId="2" hidden="1">#REF!</definedName>
    <definedName name="Sheet1_GL_INTERFACE_USER_JE_SOURCE_NAME" hidden="1">#REF!</definedName>
    <definedName name="TextRefCopyRangeCount" localSheetId="15" hidden="1">4</definedName>
    <definedName name="TextRefCopyRangeCount" hidden="1">5</definedName>
    <definedName name="wrn.Aging._.and._.Trend._.Analysis." localSheetId="15"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15" hidden="1">{#N/A,#N/A,FALSE,"SUM";#N/A,#N/A,FALSE,"SK_TOT";#N/A,#N/A,FALSE,"YM";#N/A,#N/A,FALSE,"TSMC";#N/A,#N/A,FALSE,"ICW";#N/A,#N/A,FALSE,"Sheet1"}</definedName>
    <definedName name="wrn.ALL." localSheetId="4" hidden="1">{#N/A,#N/A,FALSE,"SUM";#N/A,#N/A,FALSE,"SK_TOT";#N/A,#N/A,FALSE,"YM";#N/A,#N/A,FALSE,"TSMC";#N/A,#N/A,FALSE,"ICW";#N/A,#N/A,FALSE,"Sheet1"}</definedName>
    <definedName name="wrn.ALL." localSheetId="5" hidden="1">{#N/A,#N/A,FALSE,"SUM";#N/A,#N/A,FALSE,"SK_TOT";#N/A,#N/A,FALSE,"YM";#N/A,#N/A,FALSE,"TSMC";#N/A,#N/A,FALSE,"ICW";#N/A,#N/A,FALSE,"Sheet1"}</definedName>
    <definedName name="wrn.ALL." localSheetId="7" hidden="1">{#N/A,#N/A,FALSE,"SUM";#N/A,#N/A,FALSE,"SK_TOT";#N/A,#N/A,FALSE,"YM";#N/A,#N/A,FALSE,"TSMC";#N/A,#N/A,FALSE,"ICW";#N/A,#N/A,FALSE,"Sheet1"}</definedName>
    <definedName name="wrn.ALL." localSheetId="9" hidden="1">{#N/A,#N/A,FALSE,"SUM";#N/A,#N/A,FALSE,"SK_TOT";#N/A,#N/A,FALSE,"YM";#N/A,#N/A,FALSE,"TSMC";#N/A,#N/A,FALSE,"ICW";#N/A,#N/A,FALSE,"Sheet1"}</definedName>
    <definedName name="wrn.ALL." localSheetId="3" hidden="1">{#N/A,#N/A,FALSE,"SUM";#N/A,#N/A,FALSE,"SK_TOT";#N/A,#N/A,FALSE,"YM";#N/A,#N/A,FALSE,"TSMC";#N/A,#N/A,FALSE,"ICW";#N/A,#N/A,FALSE,"Sheet1"}</definedName>
    <definedName name="wrn.ALL." localSheetId="2" hidden="1">{#N/A,#N/A,FALSE,"SUM";#N/A,#N/A,FALSE,"SK_TOT";#N/A,#N/A,FALSE,"YM";#N/A,#N/A,FALSE,"TSMC";#N/A,#N/A,FALSE,"ICW";#N/A,#N/A,FALSE,"Sheet1"}</definedName>
    <definedName name="wrn.ALL." localSheetId="10" hidden="1">{#N/A,#N/A,FALSE,"SUM";#N/A,#N/A,FALSE,"SK_TOT";#N/A,#N/A,FALSE,"YM";#N/A,#N/A,FALSE,"TSMC";#N/A,#N/A,FALSE,"ICW";#N/A,#N/A,FALSE,"Sheet1"}</definedName>
    <definedName name="wrn.ALL." hidden="1">{#N/A,#N/A,FALSE,"SUM";#N/A,#N/A,FALSE,"SK_TOT";#N/A,#N/A,FALSE,"YM";#N/A,#N/A,FALSE,"TSMC";#N/A,#N/A,FALSE,"ICW";#N/A,#N/A,FALSE,"Sheet1"}</definedName>
    <definedName name="wrn.All._.M._.Schedules." localSheetId="15" hidden="1">{"M1Print",#N/A,TRUE,"M1";"M2Print",#N/A,TRUE,"M2";"M1sPrint",#N/A,TRUE,"M1s";"M2aPrint",#N/A,TRUE,"M2a";"M4Print",#N/A,TRUE,"M4";"M5Print",#N/A,TRUE,"M5";"M6Print",#N/A,TRUE,"M6";"M6_1Print",#N/A,TRUE,"M6_1";"M6_2Print",#N/A,TRUE,"M6_2";"M7_1Print",#N/A,TRUE,"M7_1";"M7_2Print",#N/A,TRUE,"M7_2"}</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5"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localSheetId="15" hidden="1">{#N/A,#N/A,FALSE,"M1s Board";#N/A,#N/A,FALSE,"M3 Board";#N/A,#N/A,FALSE,"M6 Board";#N/A,#N/A,FALSE,"M7";#N/A,#N/A,FALSE,"M7B";#N/A,#N/A,FALSE,"M8";#N/A,#N/A,FALSE,"M8A Board";#N/A,#N/A,FALSE,"AF1 Board"}</definedName>
    <definedName name="wrn.Board._.Reports." localSheetId="4" hidden="1">{#N/A,#N/A,FALSE,"M1s Board";#N/A,#N/A,FALSE,"M3 Board";#N/A,#N/A,FALSE,"M6 Board";#N/A,#N/A,FALSE,"M7";#N/A,#N/A,FALSE,"M7B";#N/A,#N/A,FALSE,"M8";#N/A,#N/A,FALSE,"M8A Board";#N/A,#N/A,FALSE,"AF1 Board"}</definedName>
    <definedName name="wrn.Board._.Reports." localSheetId="5" hidden="1">{#N/A,#N/A,FALSE,"M1s Board";#N/A,#N/A,FALSE,"M3 Board";#N/A,#N/A,FALSE,"M6 Board";#N/A,#N/A,FALSE,"M7";#N/A,#N/A,FALSE,"M7B";#N/A,#N/A,FALSE,"M8";#N/A,#N/A,FALSE,"M8A Board";#N/A,#N/A,FALSE,"AF1 Board"}</definedName>
    <definedName name="wrn.Board._.Reports." localSheetId="7" hidden="1">{#N/A,#N/A,FALSE,"M1s Board";#N/A,#N/A,FALSE,"M3 Board";#N/A,#N/A,FALSE,"M6 Board";#N/A,#N/A,FALSE,"M7";#N/A,#N/A,FALSE,"M7B";#N/A,#N/A,FALSE,"M8";#N/A,#N/A,FALSE,"M8A Board";#N/A,#N/A,FALSE,"AF1 Board"}</definedName>
    <definedName name="wrn.Board._.Reports." localSheetId="9" hidden="1">{#N/A,#N/A,FALSE,"M1s Board";#N/A,#N/A,FALSE,"M3 Board";#N/A,#N/A,FALSE,"M6 Board";#N/A,#N/A,FALSE,"M7";#N/A,#N/A,FALSE,"M7B";#N/A,#N/A,FALSE,"M8";#N/A,#N/A,FALSE,"M8A Board";#N/A,#N/A,FALSE,"AF1 Board"}</definedName>
    <definedName name="wrn.Board._.Reports." localSheetId="3" hidden="1">{#N/A,#N/A,FALSE,"M1s Board";#N/A,#N/A,FALSE,"M3 Board";#N/A,#N/A,FALSE,"M6 Board";#N/A,#N/A,FALSE,"M7";#N/A,#N/A,FALSE,"M7B";#N/A,#N/A,FALSE,"M8";#N/A,#N/A,FALSE,"M8A Board";#N/A,#N/A,FALSE,"AF1 Board"}</definedName>
    <definedName name="wrn.Board._.Reports." localSheetId="2" hidden="1">{#N/A,#N/A,FALSE,"M1s Board";#N/A,#N/A,FALSE,"M3 Board";#N/A,#N/A,FALSE,"M6 Board";#N/A,#N/A,FALSE,"M7";#N/A,#N/A,FALSE,"M7B";#N/A,#N/A,FALSE,"M8";#N/A,#N/A,FALSE,"M8A Board";#N/A,#N/A,FALSE,"AF1 Board"}</definedName>
    <definedName name="wrn.Board._.Reports." localSheetId="10"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Deposit._.By._.Day." localSheetId="5" hidden="1">{#N/A,#N/A,FALSE,"Deposits by day"}</definedName>
    <definedName name="wrn.Deposit._.By._.Day." hidden="1">{#N/A,#N/A,FALSE,"Deposits by day"}</definedName>
    <definedName name="wrn.Deptartment._.Expenses." localSheetId="15" hidden="1">{#N/A,#N/A,TRUE,"CPRD";#N/A,#N/A,TRUE,"BCCPDR";#N/A,#N/A,TRUE,"EWRD";#N/A,#N/A,TRUE,"5100";#N/A,#N/A,TRUE,"5110"}</definedName>
    <definedName name="wrn.Deptartment._.Expenses." localSheetId="4" hidden="1">{#N/A,#N/A,TRUE,"CPRD";#N/A,#N/A,TRUE,"BCCPDR";#N/A,#N/A,TRUE,"EWRD";#N/A,#N/A,TRUE,"5100";#N/A,#N/A,TRUE,"5110"}</definedName>
    <definedName name="wrn.Deptartment._.Expenses." localSheetId="5" hidden="1">{#N/A,#N/A,TRUE,"CPRD";#N/A,#N/A,TRUE,"BCCPDR";#N/A,#N/A,TRUE,"EWRD";#N/A,#N/A,TRUE,"5100";#N/A,#N/A,TRUE,"5110"}</definedName>
    <definedName name="wrn.Deptartment._.Expenses." localSheetId="7" hidden="1">{#N/A,#N/A,TRUE,"CPRD";#N/A,#N/A,TRUE,"BCCPDR";#N/A,#N/A,TRUE,"EWRD";#N/A,#N/A,TRUE,"5100";#N/A,#N/A,TRUE,"5110"}</definedName>
    <definedName name="wrn.Deptartment._.Expenses." localSheetId="9" hidden="1">{#N/A,#N/A,TRUE,"CPRD";#N/A,#N/A,TRUE,"BCCPDR";#N/A,#N/A,TRUE,"EWRD";#N/A,#N/A,TRUE,"5100";#N/A,#N/A,TRUE,"5110"}</definedName>
    <definedName name="wrn.Deptartment._.Expenses." localSheetId="3" hidden="1">{#N/A,#N/A,TRUE,"CPRD";#N/A,#N/A,TRUE,"BCCPDR";#N/A,#N/A,TRUE,"EWRD";#N/A,#N/A,TRUE,"5100";#N/A,#N/A,TRUE,"5110"}</definedName>
    <definedName name="wrn.Deptartment._.Expenses." localSheetId="2" hidden="1">{#N/A,#N/A,TRUE,"CPRD";#N/A,#N/A,TRUE,"BCCPDR";#N/A,#N/A,TRUE,"EWRD";#N/A,#N/A,TRUE,"5100";#N/A,#N/A,TRUE,"5110"}</definedName>
    <definedName name="wrn.Deptartment._.Expenses." localSheetId="10" hidden="1">{#N/A,#N/A,TRUE,"CPRD";#N/A,#N/A,TRUE,"BCCPDR";#N/A,#N/A,TRUE,"EWRD";#N/A,#N/A,TRUE,"5100";#N/A,#N/A,TRUE,"5110"}</definedName>
    <definedName name="wrn.Deptartment._.Expenses." hidden="1">{#N/A,#N/A,TRUE,"CPRD";#N/A,#N/A,TRUE,"BCCPDR";#N/A,#N/A,TRUE,"EWRD";#N/A,#N/A,TRUE,"5100";#N/A,#N/A,TRUE,"5110"}</definedName>
    <definedName name="wrn.jan." localSheetId="5" hidden="1">{#N/A,#N/A,FALSE,"Jan"}</definedName>
    <definedName name="wrn.jan." hidden="1">{#N/A,#N/A,FALSE,"Jan"}</definedName>
    <definedName name="wrn.M1._.Operating._.Statement." localSheetId="15" hidden="1">{"M1Print",#N/A,FALSE,"M1"}</definedName>
    <definedName name="wrn.M1._.Operating._.Statement." localSheetId="4" hidden="1">{"M1Print",#N/A,FALSE,"M1"}</definedName>
    <definedName name="wrn.M1._.Operating._.Statement." localSheetId="5" hidden="1">{"M1Print",#N/A,FALSE,"M1"}</definedName>
    <definedName name="wrn.M1._.Operating._.Statement." localSheetId="7" hidden="1">{"M1Print",#N/A,FALSE,"M1"}</definedName>
    <definedName name="wrn.M1._.Operating._.Statement." localSheetId="9" hidden="1">{"M1Print",#N/A,FALSE,"M1"}</definedName>
    <definedName name="wrn.M1._.Operating._.Statement." localSheetId="3" hidden="1">{"M1Print",#N/A,FALSE,"M1"}</definedName>
    <definedName name="wrn.M1._.Operating._.Statement." localSheetId="2" hidden="1">{"M1Print",#N/A,FALSE,"M1"}</definedName>
    <definedName name="wrn.M1._.Operating._.Statement." localSheetId="10" hidden="1">{"M1Print",#N/A,FALSE,"M1"}</definedName>
    <definedName name="wrn.M1._.Operating._.Statement." hidden="1">{"M1Print",#N/A,FALSE,"M1"}</definedName>
    <definedName name="wrn.M1s._.Statistics." localSheetId="15" hidden="1">{"M1sPrint",#N/A,FALSE,"M1s"}</definedName>
    <definedName name="wrn.M1s._.Statistics." localSheetId="4" hidden="1">{"M1sPrint",#N/A,FALSE,"M1s"}</definedName>
    <definedName name="wrn.M1s._.Statistics." localSheetId="5" hidden="1">{"M1sPrint",#N/A,FALSE,"M1s"}</definedName>
    <definedName name="wrn.M1s._.Statistics." localSheetId="7" hidden="1">{"M1sPrint",#N/A,FALSE,"M1s"}</definedName>
    <definedName name="wrn.M1s._.Statistics." localSheetId="9" hidden="1">{"M1sPrint",#N/A,FALSE,"M1s"}</definedName>
    <definedName name="wrn.M1s._.Statistics." localSheetId="3" hidden="1">{"M1sPrint",#N/A,FALSE,"M1s"}</definedName>
    <definedName name="wrn.M1s._.Statistics." localSheetId="2" hidden="1">{"M1sPrint",#N/A,FALSE,"M1s"}</definedName>
    <definedName name="wrn.M1s._.Statistics." localSheetId="10" hidden="1">{"M1sPrint",#N/A,FALSE,"M1s"}</definedName>
    <definedName name="wrn.M1s._.Statistics." hidden="1">{"M1sPrint",#N/A,FALSE,"M1s"}</definedName>
    <definedName name="wrn.M2._.Balance._.Sheet." localSheetId="15" hidden="1">{"M2Print",#N/A,FALSE,"M2"}</definedName>
    <definedName name="wrn.M2._.Balance._.Sheet." localSheetId="4" hidden="1">{"M2Print",#N/A,FALSE,"M2"}</definedName>
    <definedName name="wrn.M2._.Balance._.Sheet." localSheetId="5" hidden="1">{"M2Print",#N/A,FALSE,"M2"}</definedName>
    <definedName name="wrn.M2._.Balance._.Sheet." localSheetId="7" hidden="1">{"M2Print",#N/A,FALSE,"M2"}</definedName>
    <definedName name="wrn.M2._.Balance._.Sheet." localSheetId="9" hidden="1">{"M2Print",#N/A,FALSE,"M2"}</definedName>
    <definedName name="wrn.M2._.Balance._.Sheet." localSheetId="3" hidden="1">{"M2Print",#N/A,FALSE,"M2"}</definedName>
    <definedName name="wrn.M2._.Balance._.Sheet." localSheetId="2" hidden="1">{"M2Print",#N/A,FALSE,"M2"}</definedName>
    <definedName name="wrn.M2._.Balance._.Sheet." localSheetId="10" hidden="1">{"M2Print",#N/A,FALSE,"M2"}</definedName>
    <definedName name="wrn.M2._.Balance._.Sheet." hidden="1">{"M2Print",#N/A,FALSE,"M2"}</definedName>
    <definedName name="wrn.M2a._.Cashflow." localSheetId="15" hidden="1">{"M2aPrint",#N/A,FALSE,"M2a"}</definedName>
    <definedName name="wrn.M2a._.Cashflow." localSheetId="4" hidden="1">{"M2aPrint",#N/A,FALSE,"M2a"}</definedName>
    <definedName name="wrn.M2a._.Cashflow." localSheetId="5" hidden="1">{"M2aPrint",#N/A,FALSE,"M2a"}</definedName>
    <definedName name="wrn.M2a._.Cashflow." localSheetId="7" hidden="1">{"M2aPrint",#N/A,FALSE,"M2a"}</definedName>
    <definedName name="wrn.M2a._.Cashflow." localSheetId="9" hidden="1">{"M2aPrint",#N/A,FALSE,"M2a"}</definedName>
    <definedName name="wrn.M2a._.Cashflow." localSheetId="3" hidden="1">{"M2aPrint",#N/A,FALSE,"M2a"}</definedName>
    <definedName name="wrn.M2a._.Cashflow." localSheetId="2" hidden="1">{"M2aPrint",#N/A,FALSE,"M2a"}</definedName>
    <definedName name="wrn.M2a._.Cashflow." localSheetId="10" hidden="1">{"M2aPrint",#N/A,FALSE,"M2a"}</definedName>
    <definedName name="wrn.M2a._.Cashflow." hidden="1">{"M2aPrint",#N/A,FALSE,"M2a"}</definedName>
    <definedName name="wrn.M4._.Inventories." localSheetId="15" hidden="1">{"M4Print",#N/A,FALSE,"M4"}</definedName>
    <definedName name="wrn.M4._.Inventories." localSheetId="4" hidden="1">{"M4Print",#N/A,FALSE,"M4"}</definedName>
    <definedName name="wrn.M4._.Inventories." localSheetId="5" hidden="1">{"M4Print",#N/A,FALSE,"M4"}</definedName>
    <definedName name="wrn.M4._.Inventories." localSheetId="7" hidden="1">{"M4Print",#N/A,FALSE,"M4"}</definedName>
    <definedName name="wrn.M4._.Inventories." localSheetId="9" hidden="1">{"M4Print",#N/A,FALSE,"M4"}</definedName>
    <definedName name="wrn.M4._.Inventories." localSheetId="3" hidden="1">{"M4Print",#N/A,FALSE,"M4"}</definedName>
    <definedName name="wrn.M4._.Inventories." localSheetId="2" hidden="1">{"M4Print",#N/A,FALSE,"M4"}</definedName>
    <definedName name="wrn.M4._.Inventories." localSheetId="10" hidden="1">{"M4Print",#N/A,FALSE,"M4"}</definedName>
    <definedName name="wrn.M4._.Inventories." hidden="1">{"M4Print",#N/A,FALSE,"M4"}</definedName>
    <definedName name="wrn.M5._.Flash._.and._.Forecast." localSheetId="15" hidden="1">{"M5Print",#N/A,FALSE,"M5"}</definedName>
    <definedName name="wrn.M5._.Flash._.and._.Forecast." localSheetId="4" hidden="1">{"M5Print",#N/A,FALSE,"M5"}</definedName>
    <definedName name="wrn.M5._.Flash._.and._.Forecast." localSheetId="5" hidden="1">{"M5Print",#N/A,FALSE,"M5"}</definedName>
    <definedName name="wrn.M5._.Flash._.and._.Forecast." localSheetId="7" hidden="1">{"M5Print",#N/A,FALSE,"M5"}</definedName>
    <definedName name="wrn.M5._.Flash._.and._.Forecast." localSheetId="9" hidden="1">{"M5Print",#N/A,FALSE,"M5"}</definedName>
    <definedName name="wrn.M5._.Flash._.and._.Forecast." localSheetId="3" hidden="1">{"M5Print",#N/A,FALSE,"M5"}</definedName>
    <definedName name="wrn.M5._.Flash._.and._.Forecast." localSheetId="2" hidden="1">{"M5Print",#N/A,FALSE,"M5"}</definedName>
    <definedName name="wrn.M5._.Flash._.and._.Forecast." localSheetId="10" hidden="1">{"M5Print",#N/A,FALSE,"M5"}</definedName>
    <definedName name="wrn.M5._.Flash._.and._.Forecast." hidden="1">{"M5Print",#N/A,FALSE,"M5"}</definedName>
    <definedName name="wrn.M6._.Management._.Summary." localSheetId="15" hidden="1">{"M6Print",#N/A,FALSE,"M6";"M6_1Print",#N/A,FALSE,"M6_1";"M6_2Print",#N/A,FALSE,"M6_2"}</definedName>
    <definedName name="wrn.M6._.Management._.Summary." localSheetId="4" hidden="1">{"M6Print",#N/A,FALSE,"M6";"M6_1Print",#N/A,FALSE,"M6_1";"M6_2Print",#N/A,FALSE,"M6_2"}</definedName>
    <definedName name="wrn.M6._.Management._.Summary." localSheetId="5" hidden="1">{"M6Print",#N/A,FALSE,"M6";"M6_1Print",#N/A,FALSE,"M6_1";"M6_2Print",#N/A,FALSE,"M6_2"}</definedName>
    <definedName name="wrn.M6._.Management._.Summary." localSheetId="7" hidden="1">{"M6Print",#N/A,FALSE,"M6";"M6_1Print",#N/A,FALSE,"M6_1";"M6_2Print",#N/A,FALSE,"M6_2"}</definedName>
    <definedName name="wrn.M6._.Management._.Summary." localSheetId="9" hidden="1">{"M6Print",#N/A,FALSE,"M6";"M6_1Print",#N/A,FALSE,"M6_1";"M6_2Print",#N/A,FALSE,"M6_2"}</definedName>
    <definedName name="wrn.M6._.Management._.Summary." localSheetId="3" hidden="1">{"M6Print",#N/A,FALSE,"M6";"M6_1Print",#N/A,FALSE,"M6_1";"M6_2Print",#N/A,FALSE,"M6_2"}</definedName>
    <definedName name="wrn.M6._.Management._.Summary." localSheetId="2" hidden="1">{"M6Print",#N/A,FALSE,"M6";"M6_1Print",#N/A,FALSE,"M6_1";"M6_2Print",#N/A,FALSE,"M6_2"}</definedName>
    <definedName name="wrn.M6._.Management._.Summary." localSheetId="10" hidden="1">{"M6Print",#N/A,FALSE,"M6";"M6_1Print",#N/A,FALSE,"M6_1";"M6_2Print",#N/A,FALSE,"M6_2"}</definedName>
    <definedName name="wrn.M6._.Management._.Summary." hidden="1">{"M6Print",#N/A,FALSE,"M6";"M6_1Print",#N/A,FALSE,"M6_1";"M6_2Print",#N/A,FALSE,"M6_2"}</definedName>
    <definedName name="wrn.M7._.Financial._.Controllers._.report." localSheetId="15" hidden="1">{"M7_1Print",#N/A,TRUE,"M7_1";"M7_2Print",#N/A,TRUE,"M7_2"}</definedName>
    <definedName name="wrn.M7._.Financial._.Controllers._.report." localSheetId="4" hidden="1">{"M7_1Print",#N/A,TRUE,"M7_1";"M7_2Print",#N/A,TRUE,"M7_2"}</definedName>
    <definedName name="wrn.M7._.Financial._.Controllers._.report." localSheetId="5" hidden="1">{"M7_1Print",#N/A,TRUE,"M7_1";"M7_2Print",#N/A,TRUE,"M7_2"}</definedName>
    <definedName name="wrn.M7._.Financial._.Controllers._.report." localSheetId="7" hidden="1">{"M7_1Print",#N/A,TRUE,"M7_1";"M7_2Print",#N/A,TRUE,"M7_2"}</definedName>
    <definedName name="wrn.M7._.Financial._.Controllers._.report." localSheetId="9" hidden="1">{"M7_1Print",#N/A,TRUE,"M7_1";"M7_2Print",#N/A,TRUE,"M7_2"}</definedName>
    <definedName name="wrn.M7._.Financial._.Controllers._.report." localSheetId="3" hidden="1">{"M7_1Print",#N/A,TRUE,"M7_1";"M7_2Print",#N/A,TRUE,"M7_2"}</definedName>
    <definedName name="wrn.M7._.Financial._.Controllers._.report." localSheetId="2" hidden="1">{"M7_1Print",#N/A,TRUE,"M7_1";"M7_2Print",#N/A,TRUE,"M7_2"}</definedName>
    <definedName name="wrn.M7._.Financial._.Controllers._.report." localSheetId="10" hidden="1">{"M7_1Print",#N/A,TRUE,"M7_1";"M7_2Print",#N/A,TRUE,"M7_2"}</definedName>
    <definedName name="wrn.M7._.Financial._.Controllers._.report." hidden="1">{"M7_1Print",#N/A,TRUE,"M7_1";"M7_2Print",#N/A,TRUE,"M7_2"}</definedName>
    <definedName name="wrn.ytd." localSheetId="5" hidden="1">{#N/A,#N/A,FALSE,"YTD"}</definedName>
    <definedName name="wrn.ytd." hidden="1">{#N/A,#N/A,FALSE,"YTD"}</definedName>
    <definedName name="wrnn.all." localSheetId="15" hidden="1">{#N/A,#N/A,FALSE,"SUM";#N/A,#N/A,FALSE,"SK_TOT";#N/A,#N/A,FALSE,"YM";#N/A,#N/A,FALSE,"TSMC";#N/A,#N/A,FALSE,"ICW";#N/A,#N/A,FALSE,"Sheet1"}</definedName>
    <definedName name="wrnn.all." localSheetId="4" hidden="1">{#N/A,#N/A,FALSE,"SUM";#N/A,#N/A,FALSE,"SK_TOT";#N/A,#N/A,FALSE,"YM";#N/A,#N/A,FALSE,"TSMC";#N/A,#N/A,FALSE,"ICW";#N/A,#N/A,FALSE,"Sheet1"}</definedName>
    <definedName name="wrnn.all." localSheetId="5" hidden="1">{#N/A,#N/A,FALSE,"SUM";#N/A,#N/A,FALSE,"SK_TOT";#N/A,#N/A,FALSE,"YM";#N/A,#N/A,FALSE,"TSMC";#N/A,#N/A,FALSE,"ICW";#N/A,#N/A,FALSE,"Sheet1"}</definedName>
    <definedName name="wrnn.all." localSheetId="7" hidden="1">{#N/A,#N/A,FALSE,"SUM";#N/A,#N/A,FALSE,"SK_TOT";#N/A,#N/A,FALSE,"YM";#N/A,#N/A,FALSE,"TSMC";#N/A,#N/A,FALSE,"ICW";#N/A,#N/A,FALSE,"Sheet1"}</definedName>
    <definedName name="wrnn.all." localSheetId="9" hidden="1">{#N/A,#N/A,FALSE,"SUM";#N/A,#N/A,FALSE,"SK_TOT";#N/A,#N/A,FALSE,"YM";#N/A,#N/A,FALSE,"TSMC";#N/A,#N/A,FALSE,"ICW";#N/A,#N/A,FALSE,"Sheet1"}</definedName>
    <definedName name="wrnn.all." localSheetId="3" hidden="1">{#N/A,#N/A,FALSE,"SUM";#N/A,#N/A,FALSE,"SK_TOT";#N/A,#N/A,FALSE,"YM";#N/A,#N/A,FALSE,"TSMC";#N/A,#N/A,FALSE,"ICW";#N/A,#N/A,FALSE,"Sheet1"}</definedName>
    <definedName name="wrnn.all." localSheetId="2" hidden="1">{#N/A,#N/A,FALSE,"SUM";#N/A,#N/A,FALSE,"SK_TOT";#N/A,#N/A,FALSE,"YM";#N/A,#N/A,FALSE,"TSMC";#N/A,#N/A,FALSE,"ICW";#N/A,#N/A,FALSE,"Sheet1"}</definedName>
    <definedName name="wrnn.all." localSheetId="10" hidden="1">{#N/A,#N/A,FALSE,"SUM";#N/A,#N/A,FALSE,"SK_TOT";#N/A,#N/A,FALSE,"YM";#N/A,#N/A,FALSE,"TSMC";#N/A,#N/A,FALSE,"ICW";#N/A,#N/A,FALSE,"Sheet1"}</definedName>
    <definedName name="wrnn.all." hidden="1">{#N/A,#N/A,FALSE,"SUM";#N/A,#N/A,FALSE,"SK_TOT";#N/A,#N/A,FALSE,"YM";#N/A,#N/A,FALSE,"TSMC";#N/A,#N/A,FALSE,"ICW";#N/A,#N/A,FALSE,"Sheet1"}</definedName>
    <definedName name="XREF_COLUMN_1" hidden="1">#REF!</definedName>
    <definedName name="XREF_COLUMN_10" localSheetId="15" hidden="1">#REF!</definedName>
    <definedName name="XREF_COLUMN_10" localSheetId="4" hidden="1">#REF!</definedName>
    <definedName name="XREF_COLUMN_10" localSheetId="5" hidden="1">#REF!</definedName>
    <definedName name="XREF_COLUMN_10" localSheetId="7" hidden="1">#REF!</definedName>
    <definedName name="XREF_COLUMN_10" localSheetId="9" hidden="1">#REF!</definedName>
    <definedName name="XREF_COLUMN_10" localSheetId="3" hidden="1">#REF!</definedName>
    <definedName name="XREF_COLUMN_10" localSheetId="2" hidden="1">#REF!</definedName>
    <definedName name="XREF_COLUMN_10" localSheetId="10" hidden="1">#REF!</definedName>
    <definedName name="XREF_COLUMN_10" hidden="1">#REF!</definedName>
    <definedName name="XREF_COLUMN_11" localSheetId="15" hidden="1">#REF!</definedName>
    <definedName name="XREF_COLUMN_11" localSheetId="4" hidden="1">#REF!</definedName>
    <definedName name="XREF_COLUMN_11" localSheetId="5" hidden="1">#REF!</definedName>
    <definedName name="XREF_COLUMN_11" localSheetId="7" hidden="1">#REF!</definedName>
    <definedName name="XREF_COLUMN_11" localSheetId="9" hidden="1">#REF!</definedName>
    <definedName name="XREF_COLUMN_11" localSheetId="3" hidden="1">#REF!</definedName>
    <definedName name="XREF_COLUMN_11" localSheetId="2" hidden="1">#REF!</definedName>
    <definedName name="XREF_COLUMN_11" localSheetId="10" hidden="1">#REF!</definedName>
    <definedName name="XREF_COLUMN_11" hidden="1">#REF!</definedName>
    <definedName name="XREF_COLUMN_12" localSheetId="4" hidden="1">#REF!</definedName>
    <definedName name="XREF_COLUMN_12" localSheetId="5" hidden="1">#REF!</definedName>
    <definedName name="XREF_COLUMN_12" hidden="1">#REF!</definedName>
    <definedName name="XREF_COLUMN_19" localSheetId="15" hidden="1">#REF!</definedName>
    <definedName name="XREF_COLUMN_19" localSheetId="4" hidden="1">#REF!</definedName>
    <definedName name="XREF_COLUMN_19" localSheetId="5" hidden="1">#REF!</definedName>
    <definedName name="XREF_COLUMN_19" localSheetId="7" hidden="1">#REF!</definedName>
    <definedName name="XREF_COLUMN_19" localSheetId="9" hidden="1">#REF!</definedName>
    <definedName name="XREF_COLUMN_19" localSheetId="3" hidden="1">#REF!</definedName>
    <definedName name="XREF_COLUMN_19" localSheetId="2" hidden="1">#REF!</definedName>
    <definedName name="XREF_COLUMN_19" localSheetId="10" hidden="1">#REF!</definedName>
    <definedName name="XREF_COLUMN_19" hidden="1">#REF!</definedName>
    <definedName name="XREF_COLUMN_2" localSheetId="15" hidden="1">#REF!</definedName>
    <definedName name="XREF_COLUMN_2" localSheetId="4" hidden="1">#REF!</definedName>
    <definedName name="XREF_COLUMN_2" localSheetId="5" hidden="1">#REF!</definedName>
    <definedName name="XREF_COLUMN_2" localSheetId="7" hidden="1">#REF!</definedName>
    <definedName name="XREF_COLUMN_2" localSheetId="9" hidden="1">#REF!</definedName>
    <definedName name="XREF_COLUMN_2" localSheetId="3" hidden="1">#REF!</definedName>
    <definedName name="XREF_COLUMN_2" localSheetId="2" hidden="1">#REF!</definedName>
    <definedName name="XREF_COLUMN_2" localSheetId="10" hidden="1">#REF!</definedName>
    <definedName name="XREF_COLUMN_2" hidden="1">#REF!</definedName>
    <definedName name="XREF_COLUMN_20" localSheetId="15" hidden="1">#REF!</definedName>
    <definedName name="XREF_COLUMN_20" localSheetId="4" hidden="1">#REF!</definedName>
    <definedName name="XREF_COLUMN_20" localSheetId="5" hidden="1">#REF!</definedName>
    <definedName name="XREF_COLUMN_20" localSheetId="7" hidden="1">#REF!</definedName>
    <definedName name="XREF_COLUMN_20" localSheetId="9" hidden="1">#REF!</definedName>
    <definedName name="XREF_COLUMN_20" localSheetId="3" hidden="1">#REF!</definedName>
    <definedName name="XREF_COLUMN_20" localSheetId="2" hidden="1">#REF!</definedName>
    <definedName name="XREF_COLUMN_20" localSheetId="10" hidden="1">#REF!</definedName>
    <definedName name="XREF_COLUMN_20" hidden="1">#REF!</definedName>
    <definedName name="XREF_COLUMN_21" localSheetId="15" hidden="1">#REF!</definedName>
    <definedName name="XREF_COLUMN_21" localSheetId="4" hidden="1">#REF!</definedName>
    <definedName name="XREF_COLUMN_21" localSheetId="5" hidden="1">#REF!</definedName>
    <definedName name="XREF_COLUMN_21" localSheetId="7" hidden="1">#REF!</definedName>
    <definedName name="XREF_COLUMN_21" localSheetId="9" hidden="1">#REF!</definedName>
    <definedName name="XREF_COLUMN_21" localSheetId="3" hidden="1">#REF!</definedName>
    <definedName name="XREF_COLUMN_21" localSheetId="2" hidden="1">#REF!</definedName>
    <definedName name="XREF_COLUMN_21" localSheetId="10" hidden="1">#REF!</definedName>
    <definedName name="XREF_COLUMN_21" hidden="1">#REF!</definedName>
    <definedName name="XREF_COLUMN_3" localSheetId="15" hidden="1">#REF!</definedName>
    <definedName name="XREF_COLUMN_3" localSheetId="4" hidden="1">#REF!</definedName>
    <definedName name="XREF_COLUMN_3" localSheetId="5" hidden="1">#REF!</definedName>
    <definedName name="XREF_COLUMN_3" localSheetId="7" hidden="1">#REF!</definedName>
    <definedName name="XREF_COLUMN_3" localSheetId="9" hidden="1">#REF!</definedName>
    <definedName name="XREF_COLUMN_3" localSheetId="3" hidden="1">#REF!</definedName>
    <definedName name="XREF_COLUMN_3" localSheetId="10" hidden="1">#REF!</definedName>
    <definedName name="XREF_COLUMN_3" hidden="1">#REF!</definedName>
    <definedName name="XREF_COLUMN_4" localSheetId="15" hidden="1">#REF!</definedName>
    <definedName name="XREF_COLUMN_4" localSheetId="4" hidden="1">#REF!</definedName>
    <definedName name="XREF_COLUMN_4" localSheetId="5" hidden="1">#REF!</definedName>
    <definedName name="XREF_COLUMN_4" localSheetId="7" hidden="1">#REF!</definedName>
    <definedName name="XREF_COLUMN_4" localSheetId="9" hidden="1">#REF!</definedName>
    <definedName name="XREF_COLUMN_4" localSheetId="3" hidden="1">#REF!</definedName>
    <definedName name="XREF_COLUMN_4" localSheetId="2" hidden="1">#REF!</definedName>
    <definedName name="XREF_COLUMN_4" localSheetId="10" hidden="1">#REF!</definedName>
    <definedName name="XREF_COLUMN_4" hidden="1">#REF!</definedName>
    <definedName name="XREF_COLUMN_5" localSheetId="15" hidden="1">#REF!</definedName>
    <definedName name="XREF_COLUMN_5" localSheetId="4" hidden="1">#REF!</definedName>
    <definedName name="XREF_COLUMN_5" localSheetId="5" hidden="1">#REF!</definedName>
    <definedName name="XREF_COLUMN_5" localSheetId="7" hidden="1">#REF!</definedName>
    <definedName name="XREF_COLUMN_5" localSheetId="9" hidden="1">#REF!</definedName>
    <definedName name="XREF_COLUMN_5" localSheetId="3" hidden="1">#REF!</definedName>
    <definedName name="XREF_COLUMN_5" localSheetId="2" hidden="1">#REF!</definedName>
    <definedName name="XREF_COLUMN_5" localSheetId="10" hidden="1">#REF!</definedName>
    <definedName name="XREF_COLUMN_5" hidden="1">#REF!</definedName>
    <definedName name="XREF_COLUMN_6" localSheetId="4" hidden="1">#REF!</definedName>
    <definedName name="XREF_COLUMN_6" localSheetId="5" hidden="1">#REF!</definedName>
    <definedName name="XREF_COLUMN_6" localSheetId="7" hidden="1">#REF!</definedName>
    <definedName name="XREF_COLUMN_6" localSheetId="9" hidden="1">#REF!</definedName>
    <definedName name="XREF_COLUMN_6" localSheetId="3" hidden="1">#REF!</definedName>
    <definedName name="XREF_COLUMN_6" localSheetId="10" hidden="1">#REF!</definedName>
    <definedName name="XREF_COLUMN_6" hidden="1">#REF!</definedName>
    <definedName name="XREF_COLUMN_7" localSheetId="4" hidden="1">#REF!</definedName>
    <definedName name="XREF_COLUMN_7" localSheetId="5" hidden="1">#REF!</definedName>
    <definedName name="XREF_COLUMN_7" localSheetId="7" hidden="1">#REF!</definedName>
    <definedName name="XREF_COLUMN_7" localSheetId="9" hidden="1">#REF!</definedName>
    <definedName name="XREF_COLUMN_7" localSheetId="3" hidden="1">#REF!</definedName>
    <definedName name="XREF_COLUMN_7" localSheetId="10" hidden="1">#REF!</definedName>
    <definedName name="XREF_COLUMN_7" hidden="1">#REF!</definedName>
    <definedName name="XRefActiveRow" localSheetId="15" hidden="1">#REF!</definedName>
    <definedName name="XRefActiveRow" localSheetId="4" hidden="1">#REF!</definedName>
    <definedName name="XRefActiveRow" localSheetId="5" hidden="1">#REF!</definedName>
    <definedName name="XRefActiveRow" localSheetId="7" hidden="1">#REF!</definedName>
    <definedName name="XRefActiveRow" localSheetId="9" hidden="1">#REF!</definedName>
    <definedName name="XRefActiveRow" localSheetId="3" hidden="1">#REF!</definedName>
    <definedName name="XRefActiveRow" localSheetId="2" hidden="1">#REF!</definedName>
    <definedName name="XRefActiveRow" localSheetId="10" hidden="1">#REF!</definedName>
    <definedName name="XRefActiveRow" hidden="1">#REF!</definedName>
    <definedName name="XRefColumnsCount" hidden="1">2</definedName>
    <definedName name="XRefCopy1" localSheetId="15" hidden="1">#REF!</definedName>
    <definedName name="XRefCopy1" localSheetId="4" hidden="1">#REF!</definedName>
    <definedName name="XRefCopy1" localSheetId="5" hidden="1">#REF!</definedName>
    <definedName name="XRefCopy1" localSheetId="7" hidden="1">#REF!</definedName>
    <definedName name="XRefCopy1" localSheetId="9" hidden="1">#REF!</definedName>
    <definedName name="XRefCopy1" localSheetId="3" hidden="1">#REF!</definedName>
    <definedName name="XRefCopy1" localSheetId="2" hidden="1">#REF!</definedName>
    <definedName name="XRefCopy1" localSheetId="10" hidden="1">#REF!</definedName>
    <definedName name="XRefCopy1" hidden="1">#REF!</definedName>
    <definedName name="XRefCopy10" localSheetId="15" hidden="1">#REF!</definedName>
    <definedName name="XRefCopy10" localSheetId="4" hidden="1">#REF!</definedName>
    <definedName name="XRefCopy10" localSheetId="5" hidden="1">#REF!</definedName>
    <definedName name="XRefCopy10" localSheetId="7" hidden="1">#REF!</definedName>
    <definedName name="XRefCopy10" localSheetId="9" hidden="1">#REF!</definedName>
    <definedName name="XRefCopy10" localSheetId="3" hidden="1">#REF!</definedName>
    <definedName name="XRefCopy10" localSheetId="2" hidden="1">#REF!</definedName>
    <definedName name="XRefCopy10" localSheetId="10" hidden="1">#REF!</definedName>
    <definedName name="XRefCopy10" hidden="1">#REF!</definedName>
    <definedName name="XRefCopy10Row" localSheetId="15" hidden="1">#REF!</definedName>
    <definedName name="XRefCopy10Row" localSheetId="5" hidden="1">#REF!</definedName>
    <definedName name="XRefCopy10Row" localSheetId="2" hidden="1">#REF!</definedName>
    <definedName name="XRefCopy10Row" hidden="1">#REF!</definedName>
    <definedName name="XRefCopy11" localSheetId="15" hidden="1">#REF!</definedName>
    <definedName name="XRefCopy11" localSheetId="5" hidden="1">#REF!</definedName>
    <definedName name="XRefCopy11" localSheetId="2" hidden="1">#REF!</definedName>
    <definedName name="XRefCopy11" hidden="1">#REF!</definedName>
    <definedName name="XRefCopy11Row" localSheetId="15" hidden="1">#REF!</definedName>
    <definedName name="XRefCopy11Row" localSheetId="4" hidden="1">#REF!</definedName>
    <definedName name="XRefCopy11Row" localSheetId="5" hidden="1">#REF!</definedName>
    <definedName name="XRefCopy11Row" localSheetId="7" hidden="1">#REF!</definedName>
    <definedName name="XRefCopy11Row" localSheetId="9" hidden="1">#REF!</definedName>
    <definedName name="XRefCopy11Row" localSheetId="3" hidden="1">#REF!</definedName>
    <definedName name="XRefCopy11Row" localSheetId="2" hidden="1">#REF!</definedName>
    <definedName name="XRefCopy11Row" localSheetId="10" hidden="1">#REF!</definedName>
    <definedName name="XRefCopy11Row" hidden="1">#REF!</definedName>
    <definedName name="XRefCopy12" localSheetId="15" hidden="1">#REF!</definedName>
    <definedName name="XRefCopy12" localSheetId="4" hidden="1">#REF!</definedName>
    <definedName name="XRefCopy12" localSheetId="5" hidden="1">#REF!</definedName>
    <definedName name="XRefCopy12" localSheetId="7" hidden="1">#REF!</definedName>
    <definedName name="XRefCopy12" localSheetId="9" hidden="1">#REF!</definedName>
    <definedName name="XRefCopy12" localSheetId="3" hidden="1">#REF!</definedName>
    <definedName name="XRefCopy12" localSheetId="2" hidden="1">#REF!</definedName>
    <definedName name="XRefCopy12" localSheetId="10" hidden="1">#REF!</definedName>
    <definedName name="XRefCopy12" hidden="1">#REF!</definedName>
    <definedName name="XRefCopy13" localSheetId="15" hidden="1">#REF!</definedName>
    <definedName name="XRefCopy13" localSheetId="4" hidden="1">#REF!</definedName>
    <definedName name="XRefCopy13" localSheetId="5" hidden="1">#REF!</definedName>
    <definedName name="XRefCopy13" localSheetId="7" hidden="1">#REF!</definedName>
    <definedName name="XRefCopy13" localSheetId="9" hidden="1">#REF!</definedName>
    <definedName name="XRefCopy13" localSheetId="3" hidden="1">#REF!</definedName>
    <definedName name="XRefCopy13" localSheetId="2" hidden="1">#REF!</definedName>
    <definedName name="XRefCopy13" localSheetId="10" hidden="1">#REF!</definedName>
    <definedName name="XRefCopy13" hidden="1">#REF!</definedName>
    <definedName name="XRefCopy13Row" localSheetId="15" hidden="1">#REF!</definedName>
    <definedName name="XRefCopy13Row" localSheetId="4" hidden="1">#REF!</definedName>
    <definedName name="XRefCopy13Row" localSheetId="5" hidden="1">#REF!</definedName>
    <definedName name="XRefCopy13Row" localSheetId="7" hidden="1">#REF!</definedName>
    <definedName name="XRefCopy13Row" localSheetId="9" hidden="1">#REF!</definedName>
    <definedName name="XRefCopy13Row" localSheetId="3" hidden="1">#REF!</definedName>
    <definedName name="XRefCopy13Row" localSheetId="10" hidden="1">#REF!</definedName>
    <definedName name="XRefCopy13Row" hidden="1">#REF!</definedName>
    <definedName name="XRefCopy14" localSheetId="15" hidden="1">#REF!</definedName>
    <definedName name="XRefCopy14" localSheetId="4" hidden="1">#REF!</definedName>
    <definedName name="XRefCopy14" localSheetId="5" hidden="1">#REF!</definedName>
    <definedName name="XRefCopy14" localSheetId="7" hidden="1">#REF!</definedName>
    <definedName name="XRefCopy14" localSheetId="9" hidden="1">#REF!</definedName>
    <definedName name="XRefCopy14" localSheetId="3" hidden="1">#REF!</definedName>
    <definedName name="XRefCopy14" localSheetId="2" hidden="1">#REF!</definedName>
    <definedName name="XRefCopy14" localSheetId="10" hidden="1">#REF!</definedName>
    <definedName name="XRefCopy14" hidden="1">#REF!</definedName>
    <definedName name="XRefCopy15" localSheetId="15" hidden="1">#REF!</definedName>
    <definedName name="XRefCopy15" localSheetId="4" hidden="1">#REF!</definedName>
    <definedName name="XRefCopy15" localSheetId="5" hidden="1">#REF!</definedName>
    <definedName name="XRefCopy15" localSheetId="7" hidden="1">#REF!</definedName>
    <definedName name="XRefCopy15" localSheetId="9" hidden="1">#REF!</definedName>
    <definedName name="XRefCopy15" localSheetId="3" hidden="1">#REF!</definedName>
    <definedName name="XRefCopy15" localSheetId="2" hidden="1">#REF!</definedName>
    <definedName name="XRefCopy15" localSheetId="10" hidden="1">#REF!</definedName>
    <definedName name="XRefCopy15" hidden="1">#REF!</definedName>
    <definedName name="XRefCopy16Row" localSheetId="15" hidden="1">#REF!</definedName>
    <definedName name="XRefCopy16Row" localSheetId="4" hidden="1">#REF!</definedName>
    <definedName name="XRefCopy16Row" localSheetId="5" hidden="1">#REF!</definedName>
    <definedName name="XRefCopy16Row" localSheetId="7" hidden="1">#REF!</definedName>
    <definedName name="XRefCopy16Row" localSheetId="9" hidden="1">#REF!</definedName>
    <definedName name="XRefCopy16Row" localSheetId="3" hidden="1">#REF!</definedName>
    <definedName name="XRefCopy16Row" localSheetId="10" hidden="1">#REF!</definedName>
    <definedName name="XRefCopy16Row" hidden="1">#REF!</definedName>
    <definedName name="XRefCopy1Row" localSheetId="15" hidden="1">#REF!</definedName>
    <definedName name="XRefCopy1Row" localSheetId="4" hidden="1">#REF!</definedName>
    <definedName name="XRefCopy1Row" localSheetId="5" hidden="1">#REF!</definedName>
    <definedName name="XRefCopy1Row" localSheetId="7" hidden="1">#REF!</definedName>
    <definedName name="XRefCopy1Row" localSheetId="9" hidden="1">#REF!</definedName>
    <definedName name="XRefCopy1Row" localSheetId="3" hidden="1">#REF!</definedName>
    <definedName name="XRefCopy1Row" localSheetId="2" hidden="1">#REF!</definedName>
    <definedName name="XRefCopy1Row" localSheetId="10" hidden="1">#REF!</definedName>
    <definedName name="XRefCopy1Row" hidden="1">#REF!</definedName>
    <definedName name="XRefCopy2" localSheetId="15" hidden="1">#REF!</definedName>
    <definedName name="XRefCopy2" localSheetId="4" hidden="1">#REF!</definedName>
    <definedName name="XRefCopy2" localSheetId="5" hidden="1">#REF!</definedName>
    <definedName name="XRefCopy2" localSheetId="7" hidden="1">#REF!</definedName>
    <definedName name="XRefCopy2" localSheetId="9" hidden="1">#REF!</definedName>
    <definedName name="XRefCopy2" localSheetId="3" hidden="1">#REF!</definedName>
    <definedName name="XRefCopy2" localSheetId="2" hidden="1">#REF!</definedName>
    <definedName name="XRefCopy2" localSheetId="10" hidden="1">#REF!</definedName>
    <definedName name="XRefCopy2" hidden="1">#REF!</definedName>
    <definedName name="XRefCopy2Row" localSheetId="15" hidden="1">#REF!</definedName>
    <definedName name="XRefCopy2Row" localSheetId="4" hidden="1">#REF!</definedName>
    <definedName name="XRefCopy2Row" localSheetId="5" hidden="1">#REF!</definedName>
    <definedName name="XRefCopy2Row" localSheetId="7" hidden="1">#REF!</definedName>
    <definedName name="XRefCopy2Row" localSheetId="9" hidden="1">#REF!</definedName>
    <definedName name="XRefCopy2Row" localSheetId="3" hidden="1">#REF!</definedName>
    <definedName name="XRefCopy2Row" localSheetId="2" hidden="1">#REF!</definedName>
    <definedName name="XRefCopy2Row" localSheetId="10" hidden="1">#REF!</definedName>
    <definedName name="XRefCopy2Row" hidden="1">#REF!</definedName>
    <definedName name="XRefCopy3" localSheetId="15" hidden="1">#REF!</definedName>
    <definedName name="XRefCopy3" localSheetId="5" hidden="1">#REF!</definedName>
    <definedName name="XRefCopy3" localSheetId="2" hidden="1">#REF!</definedName>
    <definedName name="XRefCopy3" hidden="1">#REF!</definedName>
    <definedName name="XRefCopy3Row" localSheetId="15" hidden="1">#REF!</definedName>
    <definedName name="XRefCopy3Row" localSheetId="5" hidden="1">#REF!</definedName>
    <definedName name="XRefCopy3Row" localSheetId="2" hidden="1">#REF!</definedName>
    <definedName name="XRefCopy3Row" hidden="1">#REF!</definedName>
    <definedName name="XRefCopy4" localSheetId="15" hidden="1">#REF!</definedName>
    <definedName name="XRefCopy4" localSheetId="5" hidden="1">#REF!</definedName>
    <definedName name="XRefCopy4" localSheetId="2" hidden="1">#REF!</definedName>
    <definedName name="XRefCopy4" hidden="1">#REF!</definedName>
    <definedName name="XRefCopy46" localSheetId="15" hidden="1">#REF!</definedName>
    <definedName name="XRefCopy46" localSheetId="5" hidden="1">#REF!</definedName>
    <definedName name="XRefCopy46" localSheetId="2" hidden="1">#REF!</definedName>
    <definedName name="XRefCopy46" hidden="1">#REF!</definedName>
    <definedName name="XRefCopy47" localSheetId="15" hidden="1">#REF!</definedName>
    <definedName name="XRefCopy47" localSheetId="5" hidden="1">#REF!</definedName>
    <definedName name="XRefCopy47" localSheetId="2" hidden="1">#REF!</definedName>
    <definedName name="XRefCopy47" hidden="1">#REF!</definedName>
    <definedName name="XRefCopy47Row" localSheetId="15" hidden="1">#REF!</definedName>
    <definedName name="XRefCopy47Row" localSheetId="5" hidden="1">#REF!</definedName>
    <definedName name="XRefCopy47Row" localSheetId="2" hidden="1">#REF!</definedName>
    <definedName name="XRefCopy47Row" hidden="1">#REF!</definedName>
    <definedName name="XRefCopy48" localSheetId="15" hidden="1">#REF!</definedName>
    <definedName name="XRefCopy48" localSheetId="5" hidden="1">#REF!</definedName>
    <definedName name="XRefCopy48" localSheetId="2" hidden="1">#REF!</definedName>
    <definedName name="XRefCopy48" hidden="1">#REF!</definedName>
    <definedName name="XRefCopy48Row" localSheetId="15" hidden="1">#REF!</definedName>
    <definedName name="XRefCopy48Row" localSheetId="5" hidden="1">#REF!</definedName>
    <definedName name="XRefCopy48Row" localSheetId="2" hidden="1">#REF!</definedName>
    <definedName name="XRefCopy48Row" hidden="1">#REF!</definedName>
    <definedName name="XRefCopy49" localSheetId="15" hidden="1">#REF!</definedName>
    <definedName name="XRefCopy49" localSheetId="5" hidden="1">#REF!</definedName>
    <definedName name="XRefCopy49" localSheetId="2" hidden="1">#REF!</definedName>
    <definedName name="XRefCopy49" hidden="1">#REF!</definedName>
    <definedName name="XRefCopy49Row" localSheetId="15" hidden="1">#REF!</definedName>
    <definedName name="XRefCopy49Row" localSheetId="5" hidden="1">#REF!</definedName>
    <definedName name="XRefCopy49Row" localSheetId="2" hidden="1">#REF!</definedName>
    <definedName name="XRefCopy49Row" hidden="1">#REF!</definedName>
    <definedName name="XRefCopy4Row" localSheetId="15" hidden="1">#REF!</definedName>
    <definedName name="XRefCopy4Row" localSheetId="5" hidden="1">#REF!</definedName>
    <definedName name="XRefCopy4Row" localSheetId="2" hidden="1">#REF!</definedName>
    <definedName name="XRefCopy4Row" hidden="1">#REF!</definedName>
    <definedName name="XRefCopy5" localSheetId="15" hidden="1">#REF!</definedName>
    <definedName name="XRefCopy5" localSheetId="5" hidden="1">#REF!</definedName>
    <definedName name="XRefCopy5" localSheetId="2" hidden="1">#REF!</definedName>
    <definedName name="XRefCopy5" hidden="1">#REF!</definedName>
    <definedName name="XRefCopy50" localSheetId="15" hidden="1">#REF!</definedName>
    <definedName name="XRefCopy50" localSheetId="5" hidden="1">#REF!</definedName>
    <definedName name="XRefCopy50" localSheetId="2" hidden="1">#REF!</definedName>
    <definedName name="XRefCopy50" hidden="1">#REF!</definedName>
    <definedName name="XRefCopy50Row" localSheetId="15" hidden="1">#REF!</definedName>
    <definedName name="XRefCopy50Row" localSheetId="5" hidden="1">#REF!</definedName>
    <definedName name="XRefCopy50Row" localSheetId="2" hidden="1">#REF!</definedName>
    <definedName name="XRefCopy50Row" hidden="1">#REF!</definedName>
    <definedName name="XRefCopy51" localSheetId="15" hidden="1">#REF!</definedName>
    <definedName name="XRefCopy51" localSheetId="5" hidden="1">#REF!</definedName>
    <definedName name="XRefCopy51" localSheetId="2" hidden="1">#REF!</definedName>
    <definedName name="XRefCopy51" hidden="1">#REF!</definedName>
    <definedName name="XRefCopy52" localSheetId="15" hidden="1">#REF!</definedName>
    <definedName name="XRefCopy52" localSheetId="5" hidden="1">#REF!</definedName>
    <definedName name="XRefCopy52" localSheetId="2" hidden="1">#REF!</definedName>
    <definedName name="XRefCopy52" hidden="1">#REF!</definedName>
    <definedName name="XRefCopy52Row" localSheetId="15" hidden="1">#REF!</definedName>
    <definedName name="XRefCopy52Row" localSheetId="5" hidden="1">#REF!</definedName>
    <definedName name="XRefCopy52Row" localSheetId="2" hidden="1">#REF!</definedName>
    <definedName name="XRefCopy52Row" hidden="1">#REF!</definedName>
    <definedName name="XRefCopy53" localSheetId="15" hidden="1">#REF!</definedName>
    <definedName name="XRefCopy53" localSheetId="5" hidden="1">#REF!</definedName>
    <definedName name="XRefCopy53" localSheetId="2" hidden="1">#REF!</definedName>
    <definedName name="XRefCopy53" hidden="1">#REF!</definedName>
    <definedName name="XRefCopy53Row" localSheetId="15" hidden="1">#REF!</definedName>
    <definedName name="XRefCopy53Row" localSheetId="5" hidden="1">#REF!</definedName>
    <definedName name="XRefCopy53Row" localSheetId="2" hidden="1">#REF!</definedName>
    <definedName name="XRefCopy53Row" hidden="1">#REF!</definedName>
    <definedName name="XRefCopy54" localSheetId="15" hidden="1">#REF!</definedName>
    <definedName name="XRefCopy54" localSheetId="5" hidden="1">#REF!</definedName>
    <definedName name="XRefCopy54" localSheetId="2" hidden="1">#REF!</definedName>
    <definedName name="XRefCopy54" hidden="1">#REF!</definedName>
    <definedName name="XRefCopy54Row" localSheetId="15" hidden="1">#REF!</definedName>
    <definedName name="XRefCopy54Row" localSheetId="5" hidden="1">#REF!</definedName>
    <definedName name="XRefCopy54Row" localSheetId="2" hidden="1">#REF!</definedName>
    <definedName name="XRefCopy54Row" hidden="1">#REF!</definedName>
    <definedName name="XRefCopy55" localSheetId="15" hidden="1">#REF!</definedName>
    <definedName name="XRefCopy55" localSheetId="5" hidden="1">#REF!</definedName>
    <definedName name="XRefCopy55" localSheetId="2" hidden="1">#REF!</definedName>
    <definedName name="XRefCopy55" hidden="1">#REF!</definedName>
    <definedName name="XRefCopy55Row" localSheetId="15" hidden="1">#REF!</definedName>
    <definedName name="XRefCopy55Row" localSheetId="5" hidden="1">#REF!</definedName>
    <definedName name="XRefCopy55Row" localSheetId="2" hidden="1">#REF!</definedName>
    <definedName name="XRefCopy55Row" hidden="1">#REF!</definedName>
    <definedName name="XRefCopy56" localSheetId="15" hidden="1">#REF!</definedName>
    <definedName name="XRefCopy56" localSheetId="5" hidden="1">#REF!</definedName>
    <definedName name="XRefCopy56" localSheetId="2" hidden="1">#REF!</definedName>
    <definedName name="XRefCopy56" hidden="1">#REF!</definedName>
    <definedName name="XRefCopy56Row" localSheetId="15" hidden="1">#REF!</definedName>
    <definedName name="XRefCopy56Row" localSheetId="5" hidden="1">#REF!</definedName>
    <definedName name="XRefCopy56Row" localSheetId="2" hidden="1">#REF!</definedName>
    <definedName name="XRefCopy56Row" hidden="1">#REF!</definedName>
    <definedName name="XRefCopy57" localSheetId="15" hidden="1">#REF!</definedName>
    <definedName name="XRefCopy57" localSheetId="5" hidden="1">#REF!</definedName>
    <definedName name="XRefCopy57" localSheetId="2" hidden="1">#REF!</definedName>
    <definedName name="XRefCopy57" hidden="1">#REF!</definedName>
    <definedName name="XRefCopy57Row" localSheetId="15" hidden="1">#REF!</definedName>
    <definedName name="XRefCopy57Row" localSheetId="5" hidden="1">#REF!</definedName>
    <definedName name="XRefCopy57Row" localSheetId="2" hidden="1">#REF!</definedName>
    <definedName name="XRefCopy57Row" hidden="1">#REF!</definedName>
    <definedName name="XRefCopy5Row" localSheetId="15" hidden="1">#REF!</definedName>
    <definedName name="XRefCopy5Row" localSheetId="5" hidden="1">#REF!</definedName>
    <definedName name="XRefCopy5Row" localSheetId="2" hidden="1">#REF!</definedName>
    <definedName name="XRefCopy5Row" hidden="1">#REF!</definedName>
    <definedName name="XRefCopy6" localSheetId="15" hidden="1">#REF!</definedName>
    <definedName name="XRefCopy6" localSheetId="5" hidden="1">#REF!</definedName>
    <definedName name="XRefCopy6" localSheetId="2" hidden="1">#REF!</definedName>
    <definedName name="XRefCopy6" hidden="1">#REF!</definedName>
    <definedName name="XRefCopy6Row" localSheetId="15" hidden="1">#REF!</definedName>
    <definedName name="XRefCopy6Row" localSheetId="5" hidden="1">#REF!</definedName>
    <definedName name="XRefCopy6Row" localSheetId="2" hidden="1">#REF!</definedName>
    <definedName name="XRefCopy6Row" hidden="1">#REF!</definedName>
    <definedName name="XRefCopy7" localSheetId="15" hidden="1">#REF!</definedName>
    <definedName name="XRefCopy7" localSheetId="5" hidden="1">#REF!</definedName>
    <definedName name="XRefCopy7" localSheetId="2" hidden="1">#REF!</definedName>
    <definedName name="XRefCopy7" hidden="1">#REF!</definedName>
    <definedName name="XRefCopy7Row" localSheetId="15" hidden="1">#REF!</definedName>
    <definedName name="XRefCopy7Row" localSheetId="5" hidden="1">#REF!</definedName>
    <definedName name="XRefCopy7Row" localSheetId="2" hidden="1">#REF!</definedName>
    <definedName name="XRefCopy7Row" hidden="1">#REF!</definedName>
    <definedName name="XRefCopy8" localSheetId="15" hidden="1">#REF!</definedName>
    <definedName name="XRefCopy8" localSheetId="5" hidden="1">#REF!</definedName>
    <definedName name="XRefCopy8" localSheetId="2" hidden="1">#REF!</definedName>
    <definedName name="XRefCopy8" hidden="1">#REF!</definedName>
    <definedName name="XRefCopy8Row" localSheetId="15" hidden="1">#REF!</definedName>
    <definedName name="XRefCopy8Row" localSheetId="5" hidden="1">#REF!</definedName>
    <definedName name="XRefCopy8Row" localSheetId="2" hidden="1">#REF!</definedName>
    <definedName name="XRefCopy8Row" hidden="1">#REF!</definedName>
    <definedName name="XRefCopy9" localSheetId="15" hidden="1">#REF!</definedName>
    <definedName name="XRefCopy9" localSheetId="5" hidden="1">#REF!</definedName>
    <definedName name="XRefCopy9" localSheetId="2" hidden="1">#REF!</definedName>
    <definedName name="XRefCopy9" hidden="1">#REF!</definedName>
    <definedName name="XRefCopy9Row" localSheetId="15" hidden="1">#REF!</definedName>
    <definedName name="XRefCopy9Row" localSheetId="5" hidden="1">#REF!</definedName>
    <definedName name="XRefCopy9Row" localSheetId="2" hidden="1">#REF!</definedName>
    <definedName name="XRefCopy9Row" hidden="1">#REF!</definedName>
    <definedName name="XRefCopyRangeCount" hidden="1">3</definedName>
    <definedName name="XRefPaste1" localSheetId="15" hidden="1">#REF!</definedName>
    <definedName name="XRefPaste1" localSheetId="5" hidden="1">#REF!</definedName>
    <definedName name="XRefPaste1" localSheetId="2" hidden="1">#REF!</definedName>
    <definedName name="XRefPaste1" hidden="1">#REF!</definedName>
    <definedName name="XRefPaste10" localSheetId="15" hidden="1">#REF!</definedName>
    <definedName name="XRefPaste10" localSheetId="5" hidden="1">#REF!</definedName>
    <definedName name="XRefPaste10" localSheetId="2" hidden="1">#REF!</definedName>
    <definedName name="XRefPaste10" hidden="1">#REF!</definedName>
    <definedName name="XRefPaste11" localSheetId="15" hidden="1">#REF!</definedName>
    <definedName name="XRefPaste11" localSheetId="5" hidden="1">#REF!</definedName>
    <definedName name="XRefPaste11" localSheetId="2" hidden="1">#REF!</definedName>
    <definedName name="XRefPaste11" hidden="1">#REF!</definedName>
    <definedName name="XRefPaste1Row" localSheetId="15" hidden="1">#REF!</definedName>
    <definedName name="XRefPaste1Row" localSheetId="5" hidden="1">#REF!</definedName>
    <definedName name="XRefPaste1Row" localSheetId="2" hidden="1">#REF!</definedName>
    <definedName name="XRefPaste1Row" hidden="1">#REF!</definedName>
    <definedName name="XRefPaste2" localSheetId="15" hidden="1">#REF!</definedName>
    <definedName name="XRefPaste2" localSheetId="5" hidden="1">#REF!</definedName>
    <definedName name="XRefPaste2" localSheetId="2" hidden="1">#REF!</definedName>
    <definedName name="XRefPaste2" hidden="1">#REF!</definedName>
    <definedName name="XRefPaste24" localSheetId="15" hidden="1">#REF!</definedName>
    <definedName name="XRefPaste24" localSheetId="4" hidden="1">#REF!</definedName>
    <definedName name="XRefPaste24" localSheetId="5" hidden="1">#REF!</definedName>
    <definedName name="XRefPaste24" localSheetId="7" hidden="1">#REF!</definedName>
    <definedName name="XRefPaste24" localSheetId="9" hidden="1">#REF!</definedName>
    <definedName name="XRefPaste24" localSheetId="3" hidden="1">#REF!</definedName>
    <definedName name="XRefPaste24" localSheetId="2" hidden="1">#REF!</definedName>
    <definedName name="XRefPaste24" localSheetId="10" hidden="1">#REF!</definedName>
    <definedName name="XRefPaste24" hidden="1">#REF!</definedName>
    <definedName name="XRefPaste24Row" localSheetId="15" hidden="1">#REF!</definedName>
    <definedName name="XRefPaste24Row" localSheetId="4" hidden="1">#REF!</definedName>
    <definedName name="XRefPaste24Row" localSheetId="5" hidden="1">#REF!</definedName>
    <definedName name="XRefPaste24Row" localSheetId="7" hidden="1">#REF!</definedName>
    <definedName name="XRefPaste24Row" localSheetId="9" hidden="1">#REF!</definedName>
    <definedName name="XRefPaste24Row" localSheetId="3" hidden="1">#REF!</definedName>
    <definedName name="XRefPaste24Row" localSheetId="2" hidden="1">#REF!</definedName>
    <definedName name="XRefPaste24Row" localSheetId="10" hidden="1">#REF!</definedName>
    <definedName name="XRefPaste24Row" hidden="1">#REF!</definedName>
    <definedName name="XRefPaste25" localSheetId="15" hidden="1">#REF!</definedName>
    <definedName name="XRefPaste25" localSheetId="4" hidden="1">#REF!</definedName>
    <definedName name="XRefPaste25" localSheetId="5" hidden="1">#REF!</definedName>
    <definedName name="XRefPaste25" localSheetId="7" hidden="1">#REF!</definedName>
    <definedName name="XRefPaste25" localSheetId="9" hidden="1">#REF!</definedName>
    <definedName name="XRefPaste25" localSheetId="3" hidden="1">#REF!</definedName>
    <definedName name="XRefPaste25" localSheetId="2" hidden="1">#REF!</definedName>
    <definedName name="XRefPaste25" localSheetId="10" hidden="1">#REF!</definedName>
    <definedName name="XRefPaste25" hidden="1">#REF!</definedName>
    <definedName name="XRefPaste25Row" localSheetId="15" hidden="1">#REF!</definedName>
    <definedName name="XRefPaste25Row" localSheetId="5" hidden="1">#REF!</definedName>
    <definedName name="XRefPaste25Row" localSheetId="2" hidden="1">#REF!</definedName>
    <definedName name="XRefPaste25Row" hidden="1">#REF!</definedName>
    <definedName name="XRefPaste26" localSheetId="15" hidden="1">#REF!</definedName>
    <definedName name="XRefPaste26" localSheetId="5" hidden="1">#REF!</definedName>
    <definedName name="XRefPaste26" localSheetId="2" hidden="1">#REF!</definedName>
    <definedName name="XRefPaste26" hidden="1">#REF!</definedName>
    <definedName name="XRefPaste26Row" localSheetId="15" hidden="1">#REF!</definedName>
    <definedName name="XRefPaste26Row" localSheetId="5" hidden="1">#REF!</definedName>
    <definedName name="XRefPaste26Row" localSheetId="2" hidden="1">#REF!</definedName>
    <definedName name="XRefPaste26Row" hidden="1">#REF!</definedName>
    <definedName name="XRefPaste27" localSheetId="15" hidden="1">#REF!</definedName>
    <definedName name="XRefPaste27" localSheetId="5" hidden="1">#REF!</definedName>
    <definedName name="XRefPaste27" localSheetId="2" hidden="1">#REF!</definedName>
    <definedName name="XRefPaste27" hidden="1">#REF!</definedName>
    <definedName name="XRefPaste27Row" localSheetId="15" hidden="1">#REF!</definedName>
    <definedName name="XRefPaste27Row" localSheetId="5" hidden="1">#REF!</definedName>
    <definedName name="XRefPaste27Row" localSheetId="2" hidden="1">#REF!</definedName>
    <definedName name="XRefPaste27Row" hidden="1">#REF!</definedName>
    <definedName name="XRefPaste28" localSheetId="15" hidden="1">#REF!</definedName>
    <definedName name="XRefPaste28" localSheetId="5" hidden="1">#REF!</definedName>
    <definedName name="XRefPaste28" localSheetId="2" hidden="1">#REF!</definedName>
    <definedName name="XRefPaste28" hidden="1">#REF!</definedName>
    <definedName name="XRefPaste28Row" localSheetId="15" hidden="1">#REF!</definedName>
    <definedName name="XRefPaste28Row" localSheetId="5" hidden="1">#REF!</definedName>
    <definedName name="XRefPaste28Row" localSheetId="2" hidden="1">#REF!</definedName>
    <definedName name="XRefPaste28Row" hidden="1">#REF!</definedName>
    <definedName name="XRefPaste29" localSheetId="15" hidden="1">#REF!</definedName>
    <definedName name="XRefPaste29" localSheetId="5" hidden="1">#REF!</definedName>
    <definedName name="XRefPaste29" localSheetId="2" hidden="1">#REF!</definedName>
    <definedName name="XRefPaste29" hidden="1">#REF!</definedName>
    <definedName name="XRefPaste29Row" localSheetId="15" hidden="1">#REF!</definedName>
    <definedName name="XRefPaste29Row" localSheetId="5" hidden="1">#REF!</definedName>
    <definedName name="XRefPaste29Row" localSheetId="2" hidden="1">#REF!</definedName>
    <definedName name="XRefPaste29Row" hidden="1">#REF!</definedName>
    <definedName name="XRefPaste2Row" localSheetId="15" hidden="1">#REF!</definedName>
    <definedName name="XRefPaste2Row" localSheetId="5" hidden="1">#REF!</definedName>
    <definedName name="XRefPaste2Row" localSheetId="2" hidden="1">#REF!</definedName>
    <definedName name="XRefPaste2Row" hidden="1">#REF!</definedName>
    <definedName name="XRefPaste3" localSheetId="15" hidden="1">#REF!</definedName>
    <definedName name="XRefPaste3" localSheetId="4" hidden="1">#REF!</definedName>
    <definedName name="XRefPaste3" localSheetId="5" hidden="1">#REF!</definedName>
    <definedName name="XRefPaste3" localSheetId="7" hidden="1">#REF!</definedName>
    <definedName name="XRefPaste3" localSheetId="9" hidden="1">#REF!</definedName>
    <definedName name="XRefPaste3" localSheetId="3" hidden="1">#REF!</definedName>
    <definedName name="XRefPaste3" localSheetId="2" hidden="1">#REF!</definedName>
    <definedName name="XRefPaste3" localSheetId="10" hidden="1">#REF!</definedName>
    <definedName name="XRefPaste3" hidden="1">#REF!</definedName>
    <definedName name="XRefPaste3Row" localSheetId="15" hidden="1">#REF!</definedName>
    <definedName name="XRefPaste3Row" localSheetId="4" hidden="1">#REF!</definedName>
    <definedName name="XRefPaste3Row" localSheetId="5" hidden="1">#REF!</definedName>
    <definedName name="XRefPaste3Row" localSheetId="7" hidden="1">#REF!</definedName>
    <definedName name="XRefPaste3Row" localSheetId="9" hidden="1">#REF!</definedName>
    <definedName name="XRefPaste3Row" localSheetId="3" hidden="1">#REF!</definedName>
    <definedName name="XRefPaste3Row" localSheetId="2" hidden="1">#REF!</definedName>
    <definedName name="XRefPaste3Row" localSheetId="10" hidden="1">#REF!</definedName>
    <definedName name="XRefPaste3Row" hidden="1">#REF!</definedName>
    <definedName name="XRefPaste4" localSheetId="15" hidden="1">#REF!</definedName>
    <definedName name="XRefPaste4" localSheetId="4" hidden="1">#REF!</definedName>
    <definedName name="XRefPaste4" localSheetId="5" hidden="1">#REF!</definedName>
    <definedName name="XRefPaste4" localSheetId="7" hidden="1">#REF!</definedName>
    <definedName name="XRefPaste4" localSheetId="9" hidden="1">#REF!</definedName>
    <definedName name="XRefPaste4" localSheetId="3" hidden="1">#REF!</definedName>
    <definedName name="XRefPaste4" localSheetId="2" hidden="1">#REF!</definedName>
    <definedName name="XRefPaste4" localSheetId="10" hidden="1">#REF!</definedName>
    <definedName name="XRefPaste4" hidden="1">#REF!</definedName>
    <definedName name="XRefPaste4Row" localSheetId="15" hidden="1">#REF!</definedName>
    <definedName name="XRefPaste4Row" localSheetId="5" hidden="1">#REF!</definedName>
    <definedName name="XRefPaste4Row" localSheetId="2" hidden="1">#REF!</definedName>
    <definedName name="XRefPaste4Row" hidden="1">#REF!</definedName>
    <definedName name="XRefPaste5" localSheetId="15" hidden="1">#REF!</definedName>
    <definedName name="XRefPaste5" localSheetId="5" hidden="1">#REF!</definedName>
    <definedName name="XRefPaste5" localSheetId="2" hidden="1">#REF!</definedName>
    <definedName name="XRefPaste5" hidden="1">#REF!</definedName>
    <definedName name="XRefPaste6" localSheetId="15" hidden="1">#REF!</definedName>
    <definedName name="XRefPaste6" localSheetId="5" hidden="1">#REF!</definedName>
    <definedName name="XRefPaste6" localSheetId="2" hidden="1">#REF!</definedName>
    <definedName name="XRefPaste6" hidden="1">#REF!</definedName>
    <definedName name="XRefPaste6Row" localSheetId="15" hidden="1">#REF!</definedName>
    <definedName name="XRefPaste6Row" localSheetId="5" hidden="1">#REF!</definedName>
    <definedName name="XRefPaste6Row" localSheetId="2" hidden="1">#REF!</definedName>
    <definedName name="XRefPaste6Row" hidden="1">#REF!</definedName>
    <definedName name="XRefPaste7" localSheetId="15" hidden="1">#REF!</definedName>
    <definedName name="XRefPaste7" localSheetId="4" hidden="1">#REF!</definedName>
    <definedName name="XRefPaste7" localSheetId="5" hidden="1">#REF!</definedName>
    <definedName name="XRefPaste7" localSheetId="7" hidden="1">#REF!</definedName>
    <definedName name="XRefPaste7" localSheetId="9" hidden="1">#REF!</definedName>
    <definedName name="XRefPaste7" localSheetId="3" hidden="1">#REF!</definedName>
    <definedName name="XRefPaste7" localSheetId="2" hidden="1">#REF!</definedName>
    <definedName name="XRefPaste7" localSheetId="10" hidden="1">#REF!</definedName>
    <definedName name="XRefPaste7" hidden="1">#REF!</definedName>
    <definedName name="XRefPaste8" localSheetId="15" hidden="1">#REF!</definedName>
    <definedName name="XRefPaste8" localSheetId="4" hidden="1">#REF!</definedName>
    <definedName name="XRefPaste8" localSheetId="5" hidden="1">#REF!</definedName>
    <definedName name="XRefPaste8" localSheetId="7" hidden="1">#REF!</definedName>
    <definedName name="XRefPaste8" localSheetId="9" hidden="1">#REF!</definedName>
    <definedName name="XRefPaste8" localSheetId="3" hidden="1">#REF!</definedName>
    <definedName name="XRefPaste8" localSheetId="2" hidden="1">#REF!</definedName>
    <definedName name="XRefPaste8" localSheetId="10" hidden="1">#REF!</definedName>
    <definedName name="XRefPaste8" hidden="1">#REF!</definedName>
    <definedName name="XRefPaste9" localSheetId="15" hidden="1">#REF!</definedName>
    <definedName name="XRefPaste9" localSheetId="4" hidden="1">#REF!</definedName>
    <definedName name="XRefPaste9" localSheetId="5" hidden="1">#REF!</definedName>
    <definedName name="XRefPaste9" localSheetId="7" hidden="1">#REF!</definedName>
    <definedName name="XRefPaste9" localSheetId="9" hidden="1">#REF!</definedName>
    <definedName name="XRefPaste9" localSheetId="3" hidden="1">#REF!</definedName>
    <definedName name="XRefPaste9" localSheetId="2" hidden="1">#REF!</definedName>
    <definedName name="XRefPaste9" localSheetId="10" hidden="1">#REF!</definedName>
    <definedName name="XRefPaste9" hidden="1">#REF!</definedName>
    <definedName name="XRefPasteRangeCount" hidden="1">1</definedName>
    <definedName name="xzxsfd" localSheetId="15" hidden="1">{"M1Print",#N/A,FALSE,"M1"}</definedName>
    <definedName name="xzxsfd" localSheetId="4" hidden="1">{"M1Print",#N/A,FALSE,"M1"}</definedName>
    <definedName name="xzxsfd" localSheetId="5" hidden="1">{"M1Print",#N/A,FALSE,"M1"}</definedName>
    <definedName name="xzxsfd" localSheetId="7" hidden="1">{"M1Print",#N/A,FALSE,"M1"}</definedName>
    <definedName name="xzxsfd" localSheetId="9" hidden="1">{"M1Print",#N/A,FALSE,"M1"}</definedName>
    <definedName name="xzxsfd" localSheetId="3" hidden="1">{"M1Print",#N/A,FALSE,"M1"}</definedName>
    <definedName name="xzxsfd" localSheetId="2" hidden="1">{"M1Print",#N/A,FALSE,"M1"}</definedName>
    <definedName name="xzxsfd" localSheetId="10" hidden="1">{"M1Print",#N/A,FALSE,"M1"}</definedName>
    <definedName name="xzxsfd" hidden="1">{"M1Print",#N/A,FALSE,"M1"}</definedName>
    <definedName name="Z_1711050D_B2D8_42FB_A40D_E4BD90297684_.wvu.Cols" localSheetId="5" hidden="1">#REF!,#REF!,#REF!,#REF!,#REF!</definedName>
    <definedName name="Z_1711050D_B2D8_42FB_A40D_E4BD90297684_.wvu.Cols" hidden="1">#REF!,#REF!,#REF!,#REF!,#REF!</definedName>
    <definedName name="Z_E738B51C_56AE_4F9F_8D8A_36AD6137B90D_.wvu.Cols" localSheetId="15" hidden="1">#REF!</definedName>
    <definedName name="Z_E738B51C_56AE_4F9F_8D8A_36AD6137B90D_.wvu.Cols" localSheetId="5" hidden="1">#REF!</definedName>
    <definedName name="Z_E738B51C_56AE_4F9F_8D8A_36AD6137B90D_.wvu.Cols" localSheetId="2" hidden="1">#REF!</definedName>
    <definedName name="Z_E738B51C_56AE_4F9F_8D8A_36AD6137B90D_.wvu.Cols" hidden="1">#REF!</definedName>
    <definedName name="Z_E738B51C_56AE_4F9F_8D8A_36AD6137B90D_.wvu.PrintArea" localSheetId="15" hidden="1">#REF!</definedName>
    <definedName name="Z_E738B51C_56AE_4F9F_8D8A_36AD6137B90D_.wvu.PrintArea" localSheetId="5" hidden="1">#REF!</definedName>
    <definedName name="Z_E738B51C_56AE_4F9F_8D8A_36AD6137B90D_.wvu.PrintArea" localSheetId="2" hidden="1">#REF!</definedName>
    <definedName name="Z_E738B51C_56AE_4F9F_8D8A_36AD6137B90D_.wvu.PrintArea" hidden="1">#REF!</definedName>
    <definedName name="Z_E738B51C_56AE_4F9F_8D8A_36AD6137B90D_.wvu.PrintTitles" localSheetId="15" hidden="1">#REF!,#REF!</definedName>
    <definedName name="Z_E738B51C_56AE_4F9F_8D8A_36AD6137B90D_.wvu.PrintTitles" localSheetId="5" hidden="1">#REF!,#REF!</definedName>
    <definedName name="Z_E738B51C_56AE_4F9F_8D8A_36AD6137B90D_.wvu.PrintTitles" localSheetId="7" hidden="1">#REF!,#REF!</definedName>
    <definedName name="Z_E738B51C_56AE_4F9F_8D8A_36AD6137B90D_.wvu.PrintTitles" localSheetId="9" hidden="1">#REF!,#REF!</definedName>
    <definedName name="Z_E738B51C_56AE_4F9F_8D8A_36AD6137B90D_.wvu.PrintTitles" localSheetId="3" hidden="1">#REF!,#REF!</definedName>
    <definedName name="Z_E738B51C_56AE_4F9F_8D8A_36AD6137B90D_.wvu.PrintTitles" localSheetId="2" hidden="1">#REF!,#REF!</definedName>
    <definedName name="Z_E738B51C_56AE_4F9F_8D8A_36AD6137B90D_.wvu.PrintTitles" localSheetId="10" hidden="1">#REF!,#REF!</definedName>
    <definedName name="Z_E738B51C_56AE_4F9F_8D8A_36AD6137B90D_.wvu.PrintTitles" hidden="1">#REF!,#REF!</definedName>
    <definedName name="Z_E738B51C_56AE_4F9F_8D8A_36AD6137B90D_.wvu.Rows" localSheetId="15" hidden="1">#REF!</definedName>
    <definedName name="Z_E738B51C_56AE_4F9F_8D8A_36AD6137B90D_.wvu.Rows" localSheetId="5" hidden="1">#REF!</definedName>
    <definedName name="Z_E738B51C_56AE_4F9F_8D8A_36AD6137B90D_.wvu.Rows" localSheetId="7" hidden="1">#REF!</definedName>
    <definedName name="Z_E738B51C_56AE_4F9F_8D8A_36AD6137B90D_.wvu.Rows" localSheetId="9" hidden="1">#REF!</definedName>
    <definedName name="Z_E738B51C_56AE_4F9F_8D8A_36AD6137B90D_.wvu.Rows" localSheetId="3" hidden="1">#REF!</definedName>
    <definedName name="Z_E738B51C_56AE_4F9F_8D8A_36AD6137B90D_.wvu.Rows" localSheetId="2" hidden="1">#REF!</definedName>
    <definedName name="Z_E738B51C_56AE_4F9F_8D8A_36AD6137B90D_.wvu.Rows" localSheetId="10" hidden="1">#REF!</definedName>
    <definedName name="Z_E738B51C_56AE_4F9F_8D8A_36AD6137B90D_.wvu.Rows" hidden="1">#REF!</definedName>
    <definedName name="苛" localSheetId="15" hidden="1">{"M1sPrint",#N/A,FALSE,"M1s"}</definedName>
    <definedName name="苛" localSheetId="4" hidden="1">{"M1sPrint",#N/A,FALSE,"M1s"}</definedName>
    <definedName name="苛" localSheetId="5" hidden="1">{"M1sPrint",#N/A,FALSE,"M1s"}</definedName>
    <definedName name="苛" localSheetId="7" hidden="1">{"M1sPrint",#N/A,FALSE,"M1s"}</definedName>
    <definedName name="苛" localSheetId="9" hidden="1">{"M1sPrint",#N/A,FALSE,"M1s"}</definedName>
    <definedName name="苛" localSheetId="3" hidden="1">{"M1sPrint",#N/A,FALSE,"M1s"}</definedName>
    <definedName name="苛" localSheetId="2" hidden="1">{"M1sPrint",#N/A,FALSE,"M1s"}</definedName>
    <definedName name="苛" localSheetId="10" hidden="1">{"M1sPrint",#N/A,FALSE,"M1s"}</definedName>
    <definedName name="苛" hidden="1">{"M1sPrint",#N/A,FALSE,"M1s"}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4" i="3" l="1"/>
  <c r="E21" i="3"/>
  <c r="E23" i="3" l="1"/>
  <c r="E22" i="3"/>
  <c r="P37" i="571"/>
  <c r="P37" i="568"/>
  <c r="P36" i="566"/>
  <c r="P36" i="573"/>
  <c r="P36" i="565"/>
  <c r="P35" i="570"/>
  <c r="P36" i="564"/>
  <c r="P37" i="563"/>
  <c r="P37" i="572"/>
  <c r="P35" i="578"/>
  <c r="P41" i="569"/>
  <c r="P35" i="583"/>
  <c r="I30" i="571"/>
  <c r="M30" i="571" s="1"/>
  <c r="O30" i="571" s="1"/>
  <c r="P30" i="571"/>
  <c r="P35" i="571"/>
  <c r="P34" i="571"/>
  <c r="P33" i="571"/>
  <c r="P30" i="568"/>
  <c r="P35" i="568"/>
  <c r="P34" i="568"/>
  <c r="P33" i="568"/>
  <c r="P29" i="566"/>
  <c r="P34" i="566"/>
  <c r="P33" i="566"/>
  <c r="P32" i="566"/>
  <c r="P29" i="573"/>
  <c r="P34" i="573"/>
  <c r="P33" i="573"/>
  <c r="P32" i="573"/>
  <c r="P29" i="565"/>
  <c r="P34" i="565"/>
  <c r="P33" i="565"/>
  <c r="P32" i="565"/>
  <c r="P28" i="570"/>
  <c r="P33" i="570"/>
  <c r="P32" i="570"/>
  <c r="P31" i="570"/>
  <c r="P29" i="564"/>
  <c r="P34" i="564"/>
  <c r="P33" i="564"/>
  <c r="P32" i="564"/>
  <c r="P30" i="563"/>
  <c r="P35" i="563"/>
  <c r="P34" i="563"/>
  <c r="P33" i="563"/>
  <c r="P30" i="572"/>
  <c r="P35" i="572"/>
  <c r="P34" i="572"/>
  <c r="P33" i="572"/>
  <c r="P28" i="578"/>
  <c r="P33" i="578"/>
  <c r="P32" i="578"/>
  <c r="P31" i="578"/>
  <c r="P29" i="569"/>
  <c r="P39" i="569"/>
  <c r="P33" i="569"/>
  <c r="P34" i="569"/>
  <c r="P35" i="569"/>
  <c r="P36" i="569"/>
  <c r="P37" i="569"/>
  <c r="P38" i="569"/>
  <c r="P32" i="569"/>
  <c r="P28" i="583"/>
  <c r="P33" i="583"/>
  <c r="P32" i="583"/>
  <c r="P31" i="583"/>
  <c r="L23" i="560"/>
  <c r="L24" i="560"/>
  <c r="L25" i="560"/>
  <c r="L26" i="560"/>
  <c r="L27" i="560"/>
  <c r="L28" i="560"/>
  <c r="L29" i="560"/>
  <c r="L30" i="560"/>
  <c r="L31" i="560"/>
  <c r="L32" i="560"/>
  <c r="L22" i="560"/>
  <c r="F21" i="3" l="1"/>
  <c r="F35" i="583"/>
  <c r="F41" i="569"/>
  <c r="H35" i="578"/>
  <c r="F35" i="578"/>
  <c r="N50" i="613"/>
  <c r="H45" i="613"/>
  <c r="M31" i="613"/>
  <c r="H33" i="613"/>
  <c r="H31" i="613"/>
  <c r="M26" i="613"/>
  <c r="J26" i="613"/>
  <c r="F37" i="572"/>
  <c r="F37" i="563"/>
  <c r="F35" i="570"/>
  <c r="F36" i="565"/>
  <c r="G50" i="565"/>
  <c r="G47" i="573"/>
  <c r="H36" i="573"/>
  <c r="F36" i="573"/>
  <c r="F36" i="566"/>
  <c r="F37" i="568"/>
  <c r="H37" i="571"/>
  <c r="F37" i="571"/>
  <c r="I33" i="571"/>
  <c r="E17" i="585"/>
  <c r="M33" i="571" l="1"/>
  <c r="R82" i="551" l="1"/>
  <c r="R81" i="551"/>
  <c r="C17" i="560"/>
  <c r="O33" i="571"/>
  <c r="I32" i="569"/>
  <c r="M32" i="569" s="1"/>
  <c r="O32" i="569" s="1"/>
  <c r="I31" i="583"/>
  <c r="M31" i="583" s="1"/>
  <c r="O31" i="583" s="1"/>
  <c r="I33" i="568" l="1"/>
  <c r="M33" i="568" s="1"/>
  <c r="O33" i="568" s="1"/>
  <c r="I32" i="566"/>
  <c r="M32" i="566" s="1"/>
  <c r="O32" i="566" s="1"/>
  <c r="I32" i="573"/>
  <c r="I32" i="565"/>
  <c r="M32" i="565" s="1"/>
  <c r="O32" i="565" s="1"/>
  <c r="I31" i="570"/>
  <c r="M31" i="570" s="1"/>
  <c r="O31" i="570" s="1"/>
  <c r="F36" i="564"/>
  <c r="I32" i="564"/>
  <c r="M32" i="564" s="1"/>
  <c r="O32" i="564" s="1"/>
  <c r="I33" i="563"/>
  <c r="M33" i="563" s="1"/>
  <c r="I33" i="572"/>
  <c r="M33" i="572" s="1"/>
  <c r="O33" i="572" s="1"/>
  <c r="I31" i="578"/>
  <c r="E22" i="560"/>
  <c r="N31" i="571"/>
  <c r="N31" i="568"/>
  <c r="N30" i="566"/>
  <c r="N30" i="573"/>
  <c r="N30" i="565"/>
  <c r="N29" i="570"/>
  <c r="N30" i="564"/>
  <c r="N31" i="563"/>
  <c r="N31" i="572"/>
  <c r="N29" i="578"/>
  <c r="N30" i="569"/>
  <c r="N29" i="583"/>
  <c r="M32" i="573" l="1"/>
  <c r="O32" i="573" s="1"/>
  <c r="M31" i="578"/>
  <c r="D17" i="560"/>
  <c r="D24" i="568"/>
  <c r="D24" i="563"/>
  <c r="D23" i="573"/>
  <c r="D23" i="570"/>
  <c r="D23" i="578"/>
  <c r="D23" i="566"/>
  <c r="D24" i="572"/>
  <c r="D24" i="564"/>
  <c r="D23" i="565"/>
  <c r="D24" i="571"/>
  <c r="D23" i="569"/>
  <c r="D23" i="583"/>
  <c r="L37" i="613"/>
  <c r="C24" i="571"/>
  <c r="C24" i="568"/>
  <c r="C23" i="566"/>
  <c r="C23" i="573"/>
  <c r="C23" i="565"/>
  <c r="C23" i="570"/>
  <c r="C24" i="564"/>
  <c r="C24" i="563"/>
  <c r="C24" i="572"/>
  <c r="C23" i="578"/>
  <c r="C23" i="569"/>
  <c r="C23" i="583"/>
  <c r="H47" i="613"/>
  <c r="J29" i="613"/>
  <c r="M29" i="613" s="1"/>
  <c r="J28" i="613"/>
  <c r="M28" i="613" s="1"/>
  <c r="J27" i="613"/>
  <c r="M27" i="613" s="1"/>
  <c r="L39" i="613" l="1" a="1"/>
  <c r="L39" i="613" s="1"/>
  <c r="N39" i="613" s="1"/>
  <c r="L43" i="613" a="1"/>
  <c r="L43" i="613" s="1"/>
  <c r="N43" i="613" s="1"/>
  <c r="L42" i="613" a="1"/>
  <c r="L42" i="613" s="1"/>
  <c r="N42" i="613" s="1"/>
  <c r="L41" i="613" a="1"/>
  <c r="L41" i="613" s="1"/>
  <c r="N41" i="613" s="1"/>
  <c r="L40" i="613" a="1"/>
  <c r="L40" i="613" s="1"/>
  <c r="N40" i="613" s="1"/>
  <c r="N45" i="613" l="1"/>
  <c r="N52" i="613" s="1"/>
  <c r="F17" i="585"/>
  <c r="N41" i="569" l="1"/>
  <c r="N44" i="569" s="1"/>
  <c r="L41" i="569"/>
  <c r="H41" i="569"/>
  <c r="N35" i="583"/>
  <c r="L35" i="583"/>
  <c r="H35" i="583"/>
  <c r="R80" i="551" l="1"/>
  <c r="R79" i="551"/>
  <c r="R78" i="551"/>
  <c r="R77" i="551"/>
  <c r="R76" i="551"/>
  <c r="R75" i="551"/>
  <c r="R74" i="551"/>
  <c r="R73" i="551"/>
  <c r="R72" i="551"/>
  <c r="R71" i="551"/>
  <c r="R70" i="551"/>
  <c r="R69" i="551"/>
  <c r="R68" i="551"/>
  <c r="R67" i="551"/>
  <c r="R66" i="551"/>
  <c r="R65" i="551"/>
  <c r="R64" i="551"/>
  <c r="R63" i="551"/>
  <c r="R62" i="551"/>
  <c r="R61" i="551"/>
  <c r="R60" i="551"/>
  <c r="R59" i="551"/>
  <c r="R58" i="551"/>
  <c r="R57" i="551"/>
  <c r="R56" i="551"/>
  <c r="R55" i="551"/>
  <c r="R54" i="551"/>
  <c r="R53" i="551"/>
  <c r="R52" i="551"/>
  <c r="R51" i="551"/>
  <c r="R50" i="551"/>
  <c r="R49" i="551"/>
  <c r="R48" i="551"/>
  <c r="R47" i="551"/>
  <c r="R46" i="551"/>
  <c r="R45" i="551"/>
  <c r="R44" i="551"/>
  <c r="R43" i="551"/>
  <c r="R42" i="551"/>
  <c r="R41" i="551"/>
  <c r="R40" i="551"/>
  <c r="R39" i="551"/>
  <c r="R38" i="551"/>
  <c r="R37" i="551"/>
  <c r="R36" i="551"/>
  <c r="R35" i="551"/>
  <c r="R34" i="551"/>
  <c r="R33" i="551"/>
  <c r="R32" i="551"/>
  <c r="R31" i="551"/>
  <c r="R30" i="551"/>
  <c r="R29" i="551"/>
  <c r="R28" i="551"/>
  <c r="R27" i="551"/>
  <c r="R26" i="551"/>
  <c r="R25" i="551"/>
  <c r="R24" i="551"/>
  <c r="R23" i="551"/>
  <c r="R22" i="551"/>
  <c r="R21" i="551"/>
  <c r="R20" i="551"/>
  <c r="R19" i="551"/>
  <c r="R18" i="551"/>
  <c r="R17" i="551"/>
  <c r="R16" i="551"/>
  <c r="R15" i="551"/>
  <c r="F169" i="551"/>
  <c r="F168" i="551"/>
  <c r="F167" i="551"/>
  <c r="F166" i="551"/>
  <c r="F165" i="551"/>
  <c r="F164" i="551"/>
  <c r="F163" i="551"/>
  <c r="F162" i="551"/>
  <c r="F161" i="551"/>
  <c r="F160" i="551"/>
  <c r="I33" i="569" l="1"/>
  <c r="M33" i="569" s="1"/>
  <c r="O33" i="569" s="1"/>
  <c r="I34" i="569"/>
  <c r="M34" i="569" s="1"/>
  <c r="O34" i="569" s="1"/>
  <c r="I35" i="569"/>
  <c r="M35" i="569" s="1"/>
  <c r="O35" i="569" s="1"/>
  <c r="I36" i="569"/>
  <c r="M36" i="569" s="1"/>
  <c r="O36" i="569" s="1"/>
  <c r="I37" i="569"/>
  <c r="M37" i="569" s="1"/>
  <c r="O37" i="569" s="1"/>
  <c r="I38" i="569"/>
  <c r="M38" i="569" s="1"/>
  <c r="F159" i="551" l="1"/>
  <c r="F158" i="551"/>
  <c r="F157" i="551"/>
  <c r="F156" i="551"/>
  <c r="F155" i="551"/>
  <c r="F154" i="551"/>
  <c r="F153" i="551"/>
  <c r="F152" i="551"/>
  <c r="F151" i="551"/>
  <c r="F150" i="551"/>
  <c r="F149" i="551"/>
  <c r="F148" i="551"/>
  <c r="F147" i="551"/>
  <c r="F146" i="551"/>
  <c r="F145" i="551"/>
  <c r="F144" i="551"/>
  <c r="F143" i="551"/>
  <c r="F142" i="551"/>
  <c r="F141" i="551"/>
  <c r="F140" i="551"/>
  <c r="F139" i="551"/>
  <c r="F138" i="551"/>
  <c r="F137" i="551"/>
  <c r="F136" i="551"/>
  <c r="F135" i="551"/>
  <c r="F134" i="551"/>
  <c r="F133" i="551"/>
  <c r="F132" i="551"/>
  <c r="F131" i="551"/>
  <c r="F130" i="551"/>
  <c r="F129" i="551"/>
  <c r="F128" i="551"/>
  <c r="F127" i="551"/>
  <c r="F126" i="551"/>
  <c r="F125" i="551"/>
  <c r="F124" i="551"/>
  <c r="F123" i="551"/>
  <c r="F122" i="551"/>
  <c r="F121" i="551"/>
  <c r="F120" i="551"/>
  <c r="F119" i="551"/>
  <c r="F118" i="551"/>
  <c r="F117" i="551"/>
  <c r="F116" i="551"/>
  <c r="F115" i="551"/>
  <c r="F114" i="551"/>
  <c r="F113" i="551"/>
  <c r="F112" i="551"/>
  <c r="F111" i="551"/>
  <c r="F110" i="551"/>
  <c r="F109" i="551"/>
  <c r="F108" i="551"/>
  <c r="F107" i="551"/>
  <c r="F106" i="551"/>
  <c r="F105" i="551"/>
  <c r="F104" i="551"/>
  <c r="F103" i="551"/>
  <c r="F102" i="551"/>
  <c r="F101" i="551"/>
  <c r="F100" i="551"/>
  <c r="F99" i="551"/>
  <c r="F98" i="551"/>
  <c r="F97" i="551"/>
  <c r="F96" i="551"/>
  <c r="F95" i="551"/>
  <c r="F94" i="551"/>
  <c r="F93" i="551"/>
  <c r="F92" i="551"/>
  <c r="F91" i="551"/>
  <c r="F90" i="551"/>
  <c r="F89" i="551"/>
  <c r="F88" i="551"/>
  <c r="F87" i="551"/>
  <c r="F86" i="551"/>
  <c r="F85" i="551"/>
  <c r="F84" i="551"/>
  <c r="F83" i="551"/>
  <c r="F82" i="551"/>
  <c r="F81" i="551"/>
  <c r="F80" i="551"/>
  <c r="F79" i="551"/>
  <c r="F78" i="551"/>
  <c r="F77" i="551"/>
  <c r="F76" i="551"/>
  <c r="F75" i="551"/>
  <c r="F74" i="551"/>
  <c r="F73" i="551"/>
  <c r="F72" i="551"/>
  <c r="F71" i="551"/>
  <c r="F70" i="551"/>
  <c r="F69" i="551"/>
  <c r="F68" i="551"/>
  <c r="F67" i="551"/>
  <c r="F66" i="551"/>
  <c r="F65" i="551"/>
  <c r="F64" i="551"/>
  <c r="F63" i="551"/>
  <c r="F62" i="551"/>
  <c r="F61" i="551"/>
  <c r="F60" i="551"/>
  <c r="F59" i="551"/>
  <c r="F58" i="551"/>
  <c r="F57" i="551"/>
  <c r="F56" i="551"/>
  <c r="F55" i="551"/>
  <c r="F54" i="551"/>
  <c r="F53" i="551"/>
  <c r="F52" i="551"/>
  <c r="F51" i="551"/>
  <c r="F50" i="551"/>
  <c r="F49" i="551"/>
  <c r="F48" i="551"/>
  <c r="F47" i="551"/>
  <c r="F46" i="551"/>
  <c r="F45" i="551"/>
  <c r="F44" i="551"/>
  <c r="F43" i="551"/>
  <c r="F42" i="551"/>
  <c r="F41" i="551"/>
  <c r="F40" i="551"/>
  <c r="F39" i="551"/>
  <c r="F38" i="551"/>
  <c r="F37" i="551"/>
  <c r="F36" i="551"/>
  <c r="F35" i="551"/>
  <c r="F34" i="551"/>
  <c r="F33" i="551"/>
  <c r="F32" i="551"/>
  <c r="F31" i="551"/>
  <c r="F30" i="551"/>
  <c r="F29" i="551"/>
  <c r="F28" i="551"/>
  <c r="F27" i="551"/>
  <c r="F26" i="551"/>
  <c r="F25" i="551"/>
  <c r="F24" i="551"/>
  <c r="F23" i="551"/>
  <c r="F22" i="551"/>
  <c r="F21" i="551"/>
  <c r="F20" i="551"/>
  <c r="F19" i="551"/>
  <c r="F18" i="551"/>
  <c r="F17" i="551"/>
  <c r="F16" i="551"/>
  <c r="F15" i="551"/>
  <c r="F14" i="551"/>
  <c r="F13" i="551"/>
  <c r="F12" i="551"/>
  <c r="F11" i="551"/>
  <c r="F10" i="551"/>
  <c r="N37" i="571"/>
  <c r="N40" i="571" s="1"/>
  <c r="L37" i="571"/>
  <c r="H33" i="560" s="1"/>
  <c r="F33" i="560"/>
  <c r="E33" i="560"/>
  <c r="I35" i="571"/>
  <c r="M35" i="571" s="1"/>
  <c r="O35" i="571" s="1"/>
  <c r="I34" i="571"/>
  <c r="N37" i="568"/>
  <c r="J32" i="560" s="1"/>
  <c r="L37" i="568"/>
  <c r="H32" i="560" s="1"/>
  <c r="H37" i="568"/>
  <c r="F32" i="560" s="1"/>
  <c r="E32" i="560"/>
  <c r="I35" i="568"/>
  <c r="M35" i="568" s="1"/>
  <c r="O35" i="568" s="1"/>
  <c r="I34" i="568"/>
  <c r="I30" i="568"/>
  <c r="M30" i="568" s="1"/>
  <c r="O30" i="568" s="1"/>
  <c r="N36" i="566"/>
  <c r="N39" i="566" s="1"/>
  <c r="L36" i="566"/>
  <c r="H31" i="560" s="1"/>
  <c r="H36" i="566"/>
  <c r="F31" i="560" s="1"/>
  <c r="E31" i="560"/>
  <c r="I34" i="566"/>
  <c r="M34" i="566" s="1"/>
  <c r="O34" i="566" s="1"/>
  <c r="I33" i="566"/>
  <c r="M33" i="566" s="1"/>
  <c r="O33" i="566" s="1"/>
  <c r="I29" i="566"/>
  <c r="M29" i="566" s="1"/>
  <c r="O29" i="566" s="1"/>
  <c r="N36" i="573"/>
  <c r="N39" i="573" s="1"/>
  <c r="L36" i="573"/>
  <c r="H30" i="560" s="1"/>
  <c r="F30" i="560"/>
  <c r="E30" i="560"/>
  <c r="I34" i="573"/>
  <c r="I33" i="573"/>
  <c r="I29" i="573"/>
  <c r="M29" i="573" s="1"/>
  <c r="O29" i="573" s="1"/>
  <c r="N36" i="565"/>
  <c r="L36" i="565"/>
  <c r="H29" i="560" s="1"/>
  <c r="H36" i="565"/>
  <c r="F29" i="560" s="1"/>
  <c r="I34" i="565"/>
  <c r="I33" i="565"/>
  <c r="M33" i="565" s="1"/>
  <c r="O33" i="565" s="1"/>
  <c r="I29" i="565"/>
  <c r="M29" i="565" s="1"/>
  <c r="O29" i="565" s="1"/>
  <c r="N35" i="570"/>
  <c r="N38" i="570" s="1"/>
  <c r="L35" i="570"/>
  <c r="H28" i="560" s="1"/>
  <c r="H35" i="570"/>
  <c r="F28" i="560" s="1"/>
  <c r="E28" i="560"/>
  <c r="I33" i="570"/>
  <c r="I32" i="570"/>
  <c r="M32" i="570" s="1"/>
  <c r="O32" i="570" s="1"/>
  <c r="I28" i="570"/>
  <c r="M28" i="570" s="1"/>
  <c r="O28" i="570" s="1"/>
  <c r="N36" i="564"/>
  <c r="J27" i="560" s="1"/>
  <c r="L36" i="564"/>
  <c r="H27" i="560" s="1"/>
  <c r="H36" i="564"/>
  <c r="F27" i="560" s="1"/>
  <c r="E27" i="560"/>
  <c r="I34" i="564"/>
  <c r="M34" i="564" s="1"/>
  <c r="O34" i="564" s="1"/>
  <c r="I33" i="564"/>
  <c r="M33" i="564" s="1"/>
  <c r="O33" i="564" s="1"/>
  <c r="I29" i="564"/>
  <c r="M29" i="564" s="1"/>
  <c r="O29" i="564" s="1"/>
  <c r="N37" i="563"/>
  <c r="N40" i="563" s="1"/>
  <c r="L37" i="563"/>
  <c r="H26" i="560" s="1"/>
  <c r="H37" i="563"/>
  <c r="F26" i="560" s="1"/>
  <c r="E26" i="560"/>
  <c r="I35" i="563"/>
  <c r="I34" i="563"/>
  <c r="M34" i="563" s="1"/>
  <c r="O34" i="563" s="1"/>
  <c r="I30" i="563"/>
  <c r="M30" i="563" s="1"/>
  <c r="O30" i="563" s="1"/>
  <c r="N37" i="572"/>
  <c r="N40" i="572" s="1"/>
  <c r="L37" i="572"/>
  <c r="H25" i="560" s="1"/>
  <c r="H37" i="572"/>
  <c r="F25" i="560" s="1"/>
  <c r="E25" i="560"/>
  <c r="I35" i="572"/>
  <c r="M35" i="572" s="1"/>
  <c r="O35" i="572" s="1"/>
  <c r="I34" i="572"/>
  <c r="I30" i="572"/>
  <c r="M30" i="572" s="1"/>
  <c r="O30" i="572" s="1"/>
  <c r="N35" i="578"/>
  <c r="L35" i="578"/>
  <c r="H24" i="560" s="1"/>
  <c r="F24" i="560"/>
  <c r="E24" i="560"/>
  <c r="I33" i="578"/>
  <c r="M33" i="578" s="1"/>
  <c r="O33" i="578" s="1"/>
  <c r="I32" i="578"/>
  <c r="I35" i="578" s="1"/>
  <c r="J31" i="578" s="1"/>
  <c r="I28" i="578"/>
  <c r="M28" i="578" s="1"/>
  <c r="O28" i="578" s="1"/>
  <c r="H23" i="560"/>
  <c r="F23" i="560"/>
  <c r="E23" i="560"/>
  <c r="I39" i="569"/>
  <c r="M39" i="569" s="1"/>
  <c r="O39" i="569" s="1"/>
  <c r="O38" i="569"/>
  <c r="I29" i="569"/>
  <c r="M29" i="569" s="1"/>
  <c r="O29" i="569" s="1"/>
  <c r="H22" i="560"/>
  <c r="F22" i="560"/>
  <c r="I33" i="583"/>
  <c r="M33" i="583" s="1"/>
  <c r="O33" i="583" s="1"/>
  <c r="I32" i="583"/>
  <c r="M32" i="583" s="1"/>
  <c r="O32" i="583" s="1"/>
  <c r="I28" i="583"/>
  <c r="M28" i="583" s="1"/>
  <c r="O28" i="583" s="1"/>
  <c r="M34" i="571" l="1"/>
  <c r="O34" i="571" s="1"/>
  <c r="I37" i="571"/>
  <c r="J30" i="571" s="1"/>
  <c r="M33" i="573"/>
  <c r="O33" i="573" s="1"/>
  <c r="I36" i="573"/>
  <c r="G24" i="560"/>
  <c r="G22" i="560"/>
  <c r="I22" i="560" s="1"/>
  <c r="I35" i="583"/>
  <c r="N38" i="578"/>
  <c r="I41" i="569"/>
  <c r="J30" i="560"/>
  <c r="J29" i="560"/>
  <c r="J31" i="560"/>
  <c r="J25" i="560"/>
  <c r="G27" i="560"/>
  <c r="I27" i="560" s="1"/>
  <c r="K27" i="560" s="1"/>
  <c r="J28" i="560"/>
  <c r="J26" i="560"/>
  <c r="G26" i="560"/>
  <c r="I26" i="560" s="1"/>
  <c r="J22" i="560"/>
  <c r="G31" i="560"/>
  <c r="I31" i="560" s="1"/>
  <c r="J33" i="560"/>
  <c r="L33" i="560" s="1"/>
  <c r="I36" i="566"/>
  <c r="M34" i="573"/>
  <c r="O34" i="573" s="1"/>
  <c r="G33" i="560"/>
  <c r="I33" i="560" s="1"/>
  <c r="M33" i="570"/>
  <c r="O33" i="570" s="1"/>
  <c r="J24" i="560"/>
  <c r="I37" i="568"/>
  <c r="I36" i="565"/>
  <c r="G51" i="565" s="1"/>
  <c r="G53" i="565" s="1"/>
  <c r="M34" i="565"/>
  <c r="O34" i="565" s="1"/>
  <c r="N39" i="565"/>
  <c r="E29" i="560"/>
  <c r="G29" i="560" s="1"/>
  <c r="I29" i="560" s="1"/>
  <c r="I37" i="563"/>
  <c r="I24" i="560"/>
  <c r="G25" i="560"/>
  <c r="I25" i="560" s="1"/>
  <c r="G30" i="560"/>
  <c r="I30" i="560" s="1"/>
  <c r="G32" i="560"/>
  <c r="I32" i="560" s="1"/>
  <c r="K32" i="560" s="1"/>
  <c r="G23" i="560"/>
  <c r="I23" i="560" s="1"/>
  <c r="G28" i="560"/>
  <c r="I28" i="560" s="1"/>
  <c r="N40" i="568"/>
  <c r="N39" i="564"/>
  <c r="O31" i="578"/>
  <c r="M36" i="564"/>
  <c r="O36" i="564" s="1"/>
  <c r="M35" i="583"/>
  <c r="O35" i="583" s="1"/>
  <c r="M34" i="572"/>
  <c r="O34" i="572" s="1"/>
  <c r="M34" i="568"/>
  <c r="O34" i="568" s="1"/>
  <c r="M32" i="578"/>
  <c r="O32" i="578" s="1"/>
  <c r="I37" i="572"/>
  <c r="O33" i="563"/>
  <c r="I36" i="564"/>
  <c r="I39" i="564" s="1"/>
  <c r="M35" i="563"/>
  <c r="O35" i="563" s="1"/>
  <c r="J23" i="560"/>
  <c r="I38" i="578"/>
  <c r="I35" i="570"/>
  <c r="E52" i="570" s="1"/>
  <c r="J33" i="571" l="1"/>
  <c r="I40" i="571"/>
  <c r="I40" i="568"/>
  <c r="J33" i="568"/>
  <c r="J34" i="573"/>
  <c r="J33" i="573"/>
  <c r="J32" i="573"/>
  <c r="G48" i="573"/>
  <c r="G50" i="573" s="1"/>
  <c r="J30" i="563"/>
  <c r="J34" i="563"/>
  <c r="J35" i="563"/>
  <c r="J33" i="563"/>
  <c r="J33" i="572"/>
  <c r="I40" i="572"/>
  <c r="J29" i="569"/>
  <c r="J32" i="569"/>
  <c r="J28" i="583"/>
  <c r="J31" i="583"/>
  <c r="K24" i="560"/>
  <c r="K22" i="560"/>
  <c r="J29" i="566"/>
  <c r="J33" i="566"/>
  <c r="J32" i="566"/>
  <c r="J34" i="566"/>
  <c r="J33" i="565"/>
  <c r="J34" i="565"/>
  <c r="J32" i="565"/>
  <c r="J32" i="570"/>
  <c r="J31" i="570"/>
  <c r="J33" i="570"/>
  <c r="J33" i="564"/>
  <c r="J34" i="564"/>
  <c r="J32" i="564"/>
  <c r="I40" i="563"/>
  <c r="J34" i="572"/>
  <c r="J35" i="572"/>
  <c r="I44" i="569"/>
  <c r="J35" i="569"/>
  <c r="J39" i="569"/>
  <c r="J38" i="569"/>
  <c r="J33" i="569"/>
  <c r="J36" i="569"/>
  <c r="J37" i="569"/>
  <c r="J34" i="569"/>
  <c r="J32" i="578"/>
  <c r="J33" i="578"/>
  <c r="M41" i="569"/>
  <c r="O41" i="569" s="1"/>
  <c r="J34" i="568"/>
  <c r="J30" i="568"/>
  <c r="K30" i="560"/>
  <c r="K29" i="560"/>
  <c r="K31" i="560"/>
  <c r="K28" i="560"/>
  <c r="K26" i="560"/>
  <c r="J35" i="568"/>
  <c r="K25" i="560"/>
  <c r="I39" i="566"/>
  <c r="M36" i="573"/>
  <c r="M36" i="565"/>
  <c r="O36" i="565" s="1"/>
  <c r="K33" i="560"/>
  <c r="M37" i="571"/>
  <c r="J34" i="571"/>
  <c r="M35" i="570"/>
  <c r="J35" i="571"/>
  <c r="M36" i="566"/>
  <c r="O36" i="566" s="1"/>
  <c r="J29" i="573"/>
  <c r="I39" i="573"/>
  <c r="J29" i="565"/>
  <c r="I39" i="565"/>
  <c r="J28" i="570"/>
  <c r="I38" i="570"/>
  <c r="J29" i="564"/>
  <c r="J30" i="572"/>
  <c r="J28" i="578"/>
  <c r="J32" i="583"/>
  <c r="J33" i="583"/>
  <c r="M39" i="564"/>
  <c r="M37" i="568"/>
  <c r="O37" i="568" s="1"/>
  <c r="M37" i="563"/>
  <c r="O37" i="563" s="1"/>
  <c r="M37" i="572"/>
  <c r="M35" i="578"/>
  <c r="K23" i="560"/>
  <c r="O37" i="572" l="1"/>
  <c r="M40" i="572"/>
  <c r="J35" i="578"/>
  <c r="O37" i="571"/>
  <c r="M40" i="571"/>
  <c r="M39" i="573"/>
  <c r="O36" i="573"/>
  <c r="M38" i="570"/>
  <c r="O35" i="570"/>
  <c r="M38" i="578"/>
  <c r="O35" i="578"/>
  <c r="J37" i="563"/>
  <c r="J36" i="565"/>
  <c r="J35" i="570"/>
  <c r="J37" i="572"/>
  <c r="J36" i="573"/>
  <c r="J36" i="566"/>
  <c r="J36" i="564"/>
  <c r="J41" i="569"/>
  <c r="M44" i="569"/>
  <c r="J35" i="583"/>
  <c r="J37" i="568"/>
  <c r="M39" i="565"/>
  <c r="J37" i="571"/>
  <c r="M40" i="563"/>
  <c r="M40" i="568"/>
  <c r="M39" i="56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<sst xmlns="http://schemas.openxmlformats.org/spreadsheetml/2006/main" count="1627" uniqueCount="708">
  <si>
    <t>b1f3f80b-0552-4a3d-a30b-8b045766af91</t>
    <phoneticPr fontId="136" type="noConversion"/>
  </si>
  <si>
    <r>
      <rPr>
        <sz val="10"/>
        <color theme="1"/>
        <rFont val="微软雅黑"/>
        <family val="2"/>
        <charset val="134"/>
      </rPr>
      <t>客户名称</t>
    </r>
  </si>
  <si>
    <r>
      <rPr>
        <sz val="10"/>
        <color theme="1"/>
        <rFont val="微软雅黑"/>
        <family val="2"/>
        <charset val="134"/>
      </rPr>
      <t>重要性水平</t>
    </r>
    <r>
      <rPr>
        <sz val="10"/>
        <color theme="1"/>
        <rFont val="Arial"/>
        <family val="2"/>
      </rPr>
      <t>(PM)</t>
    </r>
  </si>
  <si>
    <r>
      <rPr>
        <sz val="10"/>
        <color theme="1"/>
        <rFont val="微软雅黑"/>
        <family val="2"/>
        <charset val="134"/>
      </rPr>
      <t>期末</t>
    </r>
  </si>
  <si>
    <r>
      <rPr>
        <sz val="10"/>
        <color theme="1"/>
        <rFont val="微软雅黑"/>
        <family val="2"/>
        <charset val="134"/>
      </rPr>
      <t>可容忍误差</t>
    </r>
    <r>
      <rPr>
        <sz val="10"/>
        <color theme="1"/>
        <rFont val="Arial"/>
        <family val="2"/>
      </rPr>
      <t>(TE)</t>
    </r>
  </si>
  <si>
    <r>
      <rPr>
        <sz val="10"/>
        <color theme="1"/>
        <rFont val="微软雅黑"/>
        <family val="2"/>
        <charset val="134"/>
      </rPr>
      <t>记账本位币</t>
    </r>
  </si>
  <si>
    <r>
      <rPr>
        <sz val="10"/>
        <color theme="1"/>
        <rFont val="微软雅黑"/>
        <family val="2"/>
        <charset val="134"/>
      </rPr>
      <t>名义金额</t>
    </r>
    <r>
      <rPr>
        <sz val="10"/>
        <color theme="1"/>
        <rFont val="Arial"/>
        <family val="2"/>
      </rPr>
      <t>(SAD)</t>
    </r>
  </si>
  <si>
    <r>
      <rPr>
        <sz val="10"/>
        <color theme="1"/>
        <rFont val="微软雅黑"/>
        <family val="2"/>
        <charset val="134"/>
      </rPr>
      <t>适用会计准则</t>
    </r>
  </si>
  <si>
    <t>CRA</t>
    <phoneticPr fontId="139" type="noConversion"/>
  </si>
  <si>
    <r>
      <t>%</t>
    </r>
    <r>
      <rPr>
        <b/>
        <sz val="10"/>
        <color rgb="FFFF0000"/>
        <rFont val="Arial"/>
        <family val="2"/>
      </rPr>
      <t>*</t>
    </r>
  </si>
  <si>
    <t>High</t>
    <phoneticPr fontId="139" type="noConversion"/>
  </si>
  <si>
    <t>Moderate</t>
    <phoneticPr fontId="139" type="noConversion"/>
  </si>
  <si>
    <t>Low</t>
    <phoneticPr fontId="139" type="noConversion"/>
  </si>
  <si>
    <t>Minimal</t>
    <phoneticPr fontId="139" type="noConversion"/>
  </si>
  <si>
    <t>N/A</t>
    <phoneticPr fontId="139" type="noConversion"/>
  </si>
  <si>
    <r>
      <t>*</t>
    </r>
    <r>
      <rPr>
        <i/>
        <sz val="10"/>
        <color rgb="FFFF0000"/>
        <rFont val="微软雅黑"/>
        <family val="2"/>
        <charset val="134"/>
      </rPr>
      <t>我们期望执行的基准实质性审计程序性质、时间和范围对应的</t>
    </r>
    <r>
      <rPr>
        <i/>
        <sz val="10"/>
        <color rgb="FFFF0000"/>
        <rFont val="Arial"/>
        <family val="2"/>
      </rPr>
      <t>CRA</t>
    </r>
    <r>
      <rPr>
        <i/>
        <sz val="10"/>
        <color rgb="FFFF0000"/>
        <rFont val="微软雅黑"/>
        <family val="2"/>
        <charset val="134"/>
      </rPr>
      <t>风险比例，此比例为上限，项目组</t>
    </r>
    <r>
      <rPr>
        <b/>
        <i/>
        <sz val="10"/>
        <color rgb="FFFF0000"/>
        <rFont val="微软雅黑"/>
        <family val="2"/>
        <charset val="134"/>
      </rPr>
      <t>应按照实际情况</t>
    </r>
    <r>
      <rPr>
        <i/>
        <sz val="10"/>
        <color rgb="FFFF0000"/>
        <rFont val="微软雅黑"/>
        <family val="2"/>
        <charset val="134"/>
      </rPr>
      <t>进行调整。</t>
    </r>
    <phoneticPr fontId="136" type="noConversion"/>
  </si>
  <si>
    <r>
      <rPr>
        <b/>
        <sz val="10"/>
        <rFont val="微软雅黑"/>
        <family val="2"/>
        <charset val="134"/>
      </rPr>
      <t>认定</t>
    </r>
  </si>
  <si>
    <t>Threshold</t>
    <phoneticPr fontId="140"/>
  </si>
  <si>
    <r>
      <rPr>
        <b/>
        <sz val="10"/>
        <color rgb="FF000000"/>
        <rFont val="微软雅黑"/>
        <family val="2"/>
        <charset val="134"/>
      </rPr>
      <t>所有相关认定</t>
    </r>
    <r>
      <rPr>
        <b/>
        <sz val="10"/>
        <color rgb="FFFF0000"/>
        <rFont val="Arial"/>
        <family val="2"/>
      </rPr>
      <t>*</t>
    </r>
  </si>
  <si>
    <r>
      <rPr>
        <sz val="10"/>
        <color rgb="FF000000"/>
        <rFont val="微软雅黑"/>
        <family val="2"/>
        <charset val="134"/>
      </rPr>
      <t>完整性（</t>
    </r>
    <r>
      <rPr>
        <sz val="10"/>
        <color rgb="FF000000"/>
        <rFont val="Arial"/>
        <family val="2"/>
      </rPr>
      <t>C</t>
    </r>
    <r>
      <rPr>
        <sz val="10"/>
        <color rgb="FF000000"/>
        <rFont val="微软雅黑"/>
        <family val="2"/>
        <charset val="134"/>
      </rPr>
      <t>）</t>
    </r>
  </si>
  <si>
    <r>
      <rPr>
        <sz val="10"/>
        <color rgb="FF000000"/>
        <rFont val="微软雅黑"/>
        <family val="2"/>
        <charset val="134"/>
      </rPr>
      <t>发生（</t>
    </r>
    <r>
      <rPr>
        <sz val="10"/>
        <color rgb="FF000000"/>
        <rFont val="Arial"/>
        <family val="2"/>
      </rPr>
      <t>O</t>
    </r>
    <r>
      <rPr>
        <sz val="10"/>
        <color rgb="FF000000"/>
        <rFont val="微软雅黑"/>
        <family val="2"/>
        <charset val="134"/>
      </rPr>
      <t>）</t>
    </r>
  </si>
  <si>
    <r>
      <rPr>
        <sz val="10"/>
        <color rgb="FF000000"/>
        <rFont val="微软雅黑"/>
        <family val="2"/>
        <charset val="134"/>
      </rPr>
      <t>计量（</t>
    </r>
    <r>
      <rPr>
        <sz val="10"/>
        <color rgb="FF000000"/>
        <rFont val="Arial"/>
        <family val="2"/>
      </rPr>
      <t>M</t>
    </r>
    <r>
      <rPr>
        <sz val="10"/>
        <color rgb="FF000000"/>
        <rFont val="微软雅黑"/>
        <family val="2"/>
        <charset val="134"/>
      </rPr>
      <t>）</t>
    </r>
  </si>
  <si>
    <r>
      <rPr>
        <sz val="10"/>
        <color rgb="FF000000"/>
        <rFont val="微软雅黑"/>
        <family val="2"/>
        <charset val="134"/>
      </rPr>
      <t>列报与披露（</t>
    </r>
    <r>
      <rPr>
        <sz val="10"/>
        <color rgb="FF000000"/>
        <rFont val="Arial"/>
        <family val="2"/>
      </rPr>
      <t>P&amp;D</t>
    </r>
    <r>
      <rPr>
        <sz val="10"/>
        <color rgb="FF000000"/>
        <rFont val="微软雅黑"/>
        <family val="2"/>
        <charset val="134"/>
      </rPr>
      <t>）</t>
    </r>
  </si>
  <si>
    <r>
      <t>*</t>
    </r>
    <r>
      <rPr>
        <i/>
        <sz val="10"/>
        <color rgb="FFFF0000"/>
        <rFont val="微软雅黑"/>
        <family val="2"/>
        <charset val="134"/>
      </rPr>
      <t>使用所有相关认定中的最低阈值来计算该阈值。</t>
    </r>
    <r>
      <rPr>
        <i/>
        <sz val="10"/>
        <color rgb="FFFF0000"/>
        <rFont val="Arial"/>
        <family val="2"/>
      </rPr>
      <t xml:space="preserve"> </t>
    </r>
  </si>
  <si>
    <r>
      <rPr>
        <b/>
        <sz val="14"/>
        <color rgb="FF000000"/>
        <rFont val="微软雅黑"/>
        <family val="2"/>
        <charset val="134"/>
      </rPr>
      <t>该科目涉及</t>
    </r>
    <r>
      <rPr>
        <b/>
        <sz val="14"/>
        <color rgb="FF000000"/>
        <rFont val="Arial"/>
        <family val="2"/>
      </rPr>
      <t>OSP</t>
    </r>
    <r>
      <rPr>
        <b/>
        <sz val="14"/>
        <color rgb="FF000000"/>
        <rFont val="微软雅黑"/>
        <family val="2"/>
        <charset val="134"/>
      </rPr>
      <t>底稿可参考此链接</t>
    </r>
  </si>
  <si>
    <r>
      <t xml:space="preserve">OSP SWP </t>
    </r>
    <r>
      <rPr>
        <u/>
        <sz val="10"/>
        <color theme="10"/>
        <rFont val="微软雅黑"/>
        <family val="2"/>
        <charset val="134"/>
      </rPr>
      <t>研发费用</t>
    </r>
    <r>
      <rPr>
        <u/>
        <sz val="10"/>
        <color theme="10"/>
        <rFont val="Arial"/>
        <family val="2"/>
      </rPr>
      <t xml:space="preserve"> 202YMMDD XYZ</t>
    </r>
    <r>
      <rPr>
        <u/>
        <sz val="10"/>
        <color theme="10"/>
        <rFont val="微软雅黑"/>
        <family val="2"/>
        <charset val="134"/>
      </rPr>
      <t>公司</t>
    </r>
    <r>
      <rPr>
        <u/>
        <sz val="10"/>
        <color theme="10"/>
        <rFont val="Arial"/>
        <family val="2"/>
      </rPr>
      <t>.xlsx</t>
    </r>
  </si>
  <si>
    <t>P1</t>
  </si>
  <si>
    <r>
      <rPr>
        <b/>
        <sz val="10"/>
        <rFont val="微软雅黑"/>
        <family val="2"/>
        <charset val="134"/>
      </rPr>
      <t>序号</t>
    </r>
  </si>
  <si>
    <r>
      <rPr>
        <b/>
        <sz val="10"/>
        <rFont val="微软雅黑"/>
        <family val="2"/>
        <charset val="134"/>
      </rPr>
      <t>报表科目</t>
    </r>
  </si>
  <si>
    <r>
      <rPr>
        <b/>
        <sz val="10"/>
        <rFont val="微软雅黑"/>
        <family val="2"/>
        <charset val="134"/>
      </rPr>
      <t>执行实质性程序</t>
    </r>
  </si>
  <si>
    <r>
      <rPr>
        <b/>
        <sz val="10"/>
        <rFont val="微软雅黑"/>
        <family val="2"/>
        <charset val="134"/>
      </rPr>
      <t>实质性程序类型</t>
    </r>
  </si>
  <si>
    <r>
      <rPr>
        <b/>
        <sz val="10"/>
        <rFont val="微软雅黑"/>
        <family val="2"/>
        <charset val="134"/>
      </rPr>
      <t>程序描述</t>
    </r>
  </si>
  <si>
    <r>
      <rPr>
        <b/>
        <sz val="10"/>
        <rFont val="微软雅黑"/>
        <family val="2"/>
        <charset val="134"/>
      </rPr>
      <t>执行</t>
    </r>
  </si>
  <si>
    <r>
      <rPr>
        <b/>
        <sz val="10"/>
        <rFont val="微软雅黑"/>
        <family val="2"/>
        <charset val="134"/>
      </rPr>
      <t>索引</t>
    </r>
  </si>
  <si>
    <r>
      <rPr>
        <b/>
        <sz val="10"/>
        <color rgb="FF000000"/>
        <rFont val="微软雅黑"/>
        <family val="2"/>
        <charset val="134"/>
      </rPr>
      <t>如不执行</t>
    </r>
    <r>
      <rPr>
        <b/>
        <sz val="10"/>
        <color rgb="FF000000"/>
        <rFont val="Arial"/>
        <family val="2"/>
      </rPr>
      <t>PSP</t>
    </r>
    <r>
      <rPr>
        <b/>
        <sz val="10"/>
        <color rgb="FF000000"/>
        <rFont val="微软雅黑"/>
        <family val="2"/>
        <charset val="134"/>
      </rPr>
      <t>，原因需记录文字多于</t>
    </r>
    <r>
      <rPr>
        <b/>
        <sz val="10"/>
        <color rgb="FF000000"/>
        <rFont val="Arial"/>
        <family val="2"/>
      </rPr>
      <t>5</t>
    </r>
    <r>
      <rPr>
        <b/>
        <sz val="10"/>
        <color rgb="FF000000"/>
        <rFont val="微软雅黑"/>
        <family val="2"/>
        <charset val="134"/>
      </rPr>
      <t>个文字</t>
    </r>
  </si>
  <si>
    <r>
      <rPr>
        <sz val="10"/>
        <rFont val="微软雅黑"/>
        <family val="2"/>
        <charset val="134"/>
      </rPr>
      <t>所有利润表科目（除收入和成本）</t>
    </r>
  </si>
  <si>
    <r>
      <t xml:space="preserve">VD-01.1-GL: </t>
    </r>
    <r>
      <rPr>
        <sz val="10"/>
        <rFont val="微软雅黑"/>
        <family val="2"/>
        <charset val="134"/>
      </rPr>
      <t>实质性程序</t>
    </r>
    <r>
      <rPr>
        <sz val="10"/>
        <rFont val="Arial"/>
        <family val="2"/>
      </rPr>
      <t>{</t>
    </r>
    <r>
      <rPr>
        <sz val="10"/>
        <rFont val="微软雅黑"/>
        <family val="2"/>
        <charset val="134"/>
      </rPr>
      <t>取得对账单并进行对比</t>
    </r>
    <r>
      <rPr>
        <sz val="10"/>
        <rFont val="Arial"/>
        <family val="2"/>
      </rPr>
      <t>}</t>
    </r>
  </si>
  <si>
    <t>PSP</t>
  </si>
  <si>
    <t>IS: O, M, C, P&amp;D</t>
  </si>
  <si>
    <r>
      <rPr>
        <sz val="10"/>
        <rFont val="微软雅黑"/>
        <family val="2"/>
        <charset val="134"/>
      </rPr>
      <t>取得所有利润表科目（除收入和成本外）金额。对比之前期间并调查异常或非预期变动或未发生预期变动的情况。调查任何异常交易，并基于综合风险评估和已确定的测试临界值测试交易。</t>
    </r>
    <phoneticPr fontId="136" type="noConversion"/>
  </si>
  <si>
    <t>Uexp_Lead</t>
    <phoneticPr fontId="136" type="noConversion"/>
  </si>
  <si>
    <r>
      <rPr>
        <sz val="10"/>
        <rFont val="微软雅黑"/>
        <family val="2"/>
        <charset val="134"/>
      </rPr>
      <t>制造费用</t>
    </r>
  </si>
  <si>
    <r>
      <t>1.</t>
    </r>
    <r>
      <rPr>
        <sz val="10"/>
        <rFont val="微软雅黑"/>
        <family val="2"/>
        <charset val="134"/>
      </rPr>
      <t xml:space="preserve">从管理层处取得各利润表类账户的明细账。
</t>
    </r>
    <r>
      <rPr>
        <sz val="10"/>
        <rFont val="Arial"/>
        <family val="2"/>
      </rPr>
      <t>2.</t>
    </r>
    <r>
      <rPr>
        <sz val="10"/>
        <rFont val="微软雅黑"/>
        <family val="2"/>
        <charset val="134"/>
      </rPr>
      <t xml:space="preserve">将明细账金额与总账及我们的导引表核对一致。对比当期金额和上期金额，调查异常或非预期变动或者预期变动不足的情况。
</t>
    </r>
    <r>
      <rPr>
        <sz val="10"/>
        <rFont val="Arial"/>
        <family val="2"/>
      </rPr>
      <t>3.</t>
    </r>
    <r>
      <rPr>
        <sz val="10"/>
        <rFont val="微软雅黑"/>
        <family val="2"/>
        <charset val="134"/>
      </rPr>
      <t xml:space="preserve">分析费用明细的变动，并就异常事项检查记账凭证、合同等支持性证据，评估其发生的合理性。
</t>
    </r>
    <r>
      <rPr>
        <sz val="10"/>
        <rFont val="Arial"/>
        <family val="2"/>
      </rPr>
      <t>4</t>
    </r>
    <r>
      <rPr>
        <sz val="10"/>
        <rFont val="微软雅黑"/>
        <family val="2"/>
        <charset val="134"/>
      </rPr>
      <t>调查任何异常交易，并基于综合风险评估和已确定的测试临界值测试交易。</t>
    </r>
  </si>
  <si>
    <r>
      <t>Uexp</t>
    </r>
    <r>
      <rPr>
        <u/>
        <sz val="10"/>
        <color theme="10"/>
        <rFont val="微软雅黑"/>
        <family val="2"/>
        <charset val="134"/>
      </rPr>
      <t>制造费用</t>
    </r>
    <r>
      <rPr>
        <u/>
        <sz val="10"/>
        <color theme="10"/>
        <rFont val="Arial"/>
        <family val="2"/>
      </rPr>
      <t>BKD</t>
    </r>
  </si>
  <si>
    <r>
      <rPr>
        <sz val="10"/>
        <rFont val="微软雅黑"/>
        <family val="2"/>
        <charset val="134"/>
      </rPr>
      <t>研发费用</t>
    </r>
  </si>
  <si>
    <r>
      <t>Uexp</t>
    </r>
    <r>
      <rPr>
        <u/>
        <sz val="10"/>
        <color theme="10"/>
        <rFont val="微软雅黑"/>
        <family val="2"/>
        <charset val="134"/>
      </rPr>
      <t>研发费用</t>
    </r>
    <r>
      <rPr>
        <u/>
        <sz val="10"/>
        <color theme="10"/>
        <rFont val="Arial"/>
        <family val="2"/>
      </rPr>
      <t>BKD</t>
    </r>
  </si>
  <si>
    <r>
      <rPr>
        <sz val="10"/>
        <rFont val="微软雅黑"/>
        <family val="2"/>
        <charset val="134"/>
      </rPr>
      <t>财务费用</t>
    </r>
  </si>
  <si>
    <r>
      <t>Uexp</t>
    </r>
    <r>
      <rPr>
        <u/>
        <sz val="10"/>
        <color theme="10"/>
        <rFont val="微软雅黑"/>
        <family val="2"/>
        <charset val="134"/>
      </rPr>
      <t>财务费用</t>
    </r>
    <r>
      <rPr>
        <u/>
        <sz val="10"/>
        <color theme="10"/>
        <rFont val="Arial"/>
        <family val="2"/>
      </rPr>
      <t>BKD</t>
    </r>
  </si>
  <si>
    <r>
      <rPr>
        <sz val="10"/>
        <rFont val="微软雅黑"/>
        <family val="2"/>
        <charset val="134"/>
      </rPr>
      <t>其他收益</t>
    </r>
  </si>
  <si>
    <r>
      <t>Uexp</t>
    </r>
    <r>
      <rPr>
        <u/>
        <sz val="10"/>
        <color theme="10"/>
        <rFont val="微软雅黑"/>
        <family val="2"/>
        <charset val="134"/>
      </rPr>
      <t>其他收益</t>
    </r>
    <r>
      <rPr>
        <u/>
        <sz val="10"/>
        <color theme="10"/>
        <rFont val="Arial"/>
        <family val="2"/>
      </rPr>
      <t>BKD</t>
    </r>
  </si>
  <si>
    <r>
      <rPr>
        <sz val="10"/>
        <rFont val="微软雅黑"/>
        <family val="2"/>
        <charset val="134"/>
      </rPr>
      <t>投资收益</t>
    </r>
  </si>
  <si>
    <r>
      <t>Uexp</t>
    </r>
    <r>
      <rPr>
        <u/>
        <sz val="10"/>
        <color theme="10"/>
        <rFont val="微软雅黑"/>
        <family val="2"/>
        <charset val="134"/>
      </rPr>
      <t>投资收益</t>
    </r>
    <r>
      <rPr>
        <u/>
        <sz val="10"/>
        <color theme="10"/>
        <rFont val="Arial"/>
        <family val="2"/>
      </rPr>
      <t>BKD</t>
    </r>
  </si>
  <si>
    <r>
      <rPr>
        <sz val="10"/>
        <rFont val="微软雅黑"/>
        <family val="2"/>
        <charset val="134"/>
      </rPr>
      <t>公允价值变动损益</t>
    </r>
  </si>
  <si>
    <r>
      <t>Uexp</t>
    </r>
    <r>
      <rPr>
        <u/>
        <sz val="10"/>
        <color theme="10"/>
        <rFont val="微软雅黑"/>
        <family val="2"/>
        <charset val="134"/>
      </rPr>
      <t>公允价值变动损益</t>
    </r>
    <r>
      <rPr>
        <u/>
        <sz val="10"/>
        <color theme="10"/>
        <rFont val="Arial"/>
        <family val="2"/>
      </rPr>
      <t>BKD</t>
    </r>
  </si>
  <si>
    <r>
      <rPr>
        <sz val="10"/>
        <rFont val="微软雅黑"/>
        <family val="2"/>
        <charset val="134"/>
      </rPr>
      <t>信用减值损失</t>
    </r>
  </si>
  <si>
    <r>
      <t>Uexp</t>
    </r>
    <r>
      <rPr>
        <u/>
        <sz val="10"/>
        <color theme="10"/>
        <rFont val="微软雅黑"/>
        <family val="2"/>
        <charset val="134"/>
      </rPr>
      <t>信用减值损失</t>
    </r>
    <r>
      <rPr>
        <u/>
        <sz val="10"/>
        <color theme="10"/>
        <rFont val="Arial"/>
        <family val="2"/>
      </rPr>
      <t>BKD</t>
    </r>
  </si>
  <si>
    <r>
      <rPr>
        <sz val="10"/>
        <rFont val="微软雅黑"/>
        <family val="2"/>
        <charset val="134"/>
      </rPr>
      <t>资产减值损失</t>
    </r>
  </si>
  <si>
    <r>
      <t>Uexp</t>
    </r>
    <r>
      <rPr>
        <u/>
        <sz val="10"/>
        <color theme="10"/>
        <rFont val="微软雅黑"/>
        <family val="2"/>
        <charset val="134"/>
      </rPr>
      <t>资产减值损失</t>
    </r>
    <r>
      <rPr>
        <u/>
        <sz val="10"/>
        <color theme="10"/>
        <rFont val="Arial"/>
        <family val="2"/>
      </rPr>
      <t>BKD</t>
    </r>
  </si>
  <si>
    <r>
      <rPr>
        <sz val="10"/>
        <rFont val="微软雅黑"/>
        <family val="2"/>
        <charset val="134"/>
      </rPr>
      <t>资产处置损益</t>
    </r>
  </si>
  <si>
    <r>
      <t>Uexp</t>
    </r>
    <r>
      <rPr>
        <u/>
        <sz val="10"/>
        <color theme="10"/>
        <rFont val="微软雅黑"/>
        <family val="2"/>
        <charset val="134"/>
      </rPr>
      <t>资产处置损益</t>
    </r>
    <r>
      <rPr>
        <u/>
        <sz val="10"/>
        <color theme="10"/>
        <rFont val="Arial"/>
        <family val="2"/>
      </rPr>
      <t>BKD</t>
    </r>
  </si>
  <si>
    <r>
      <rPr>
        <sz val="10"/>
        <rFont val="微软雅黑"/>
        <family val="2"/>
        <charset val="134"/>
      </rPr>
      <t>营业外收入</t>
    </r>
  </si>
  <si>
    <r>
      <t>Uexp</t>
    </r>
    <r>
      <rPr>
        <u/>
        <sz val="10"/>
        <color theme="10"/>
        <rFont val="微软雅黑"/>
        <family val="2"/>
        <charset val="134"/>
      </rPr>
      <t>营业外收入</t>
    </r>
    <r>
      <rPr>
        <u/>
        <sz val="10"/>
        <color theme="10"/>
        <rFont val="Arial"/>
        <family val="2"/>
      </rPr>
      <t>BKD</t>
    </r>
  </si>
  <si>
    <r>
      <rPr>
        <sz val="10"/>
        <rFont val="微软雅黑"/>
        <family val="2"/>
        <charset val="134"/>
      </rPr>
      <t>营业外支出</t>
    </r>
  </si>
  <si>
    <r>
      <t>Uexp</t>
    </r>
    <r>
      <rPr>
        <u/>
        <sz val="10"/>
        <color theme="10"/>
        <rFont val="微软雅黑"/>
        <family val="2"/>
        <charset val="134"/>
      </rPr>
      <t>营业外支出</t>
    </r>
    <r>
      <rPr>
        <u/>
        <sz val="10"/>
        <color theme="10"/>
        <rFont val="Arial"/>
        <family val="2"/>
      </rPr>
      <t>BKD</t>
    </r>
  </si>
  <si>
    <r>
      <rPr>
        <sz val="10"/>
        <rFont val="微软雅黑"/>
        <family val="2"/>
        <charset val="134"/>
      </rPr>
      <t>债务重组利得和损失</t>
    </r>
  </si>
  <si>
    <r>
      <t>Uexp</t>
    </r>
    <r>
      <rPr>
        <u/>
        <sz val="10"/>
        <color theme="10"/>
        <rFont val="微软雅黑"/>
        <family val="2"/>
        <charset val="134"/>
      </rPr>
      <t>债务重组利得和损失</t>
    </r>
    <r>
      <rPr>
        <u/>
        <sz val="10"/>
        <color theme="10"/>
        <rFont val="Arial"/>
        <family val="2"/>
      </rPr>
      <t>BKD</t>
    </r>
  </si>
  <si>
    <r>
      <rPr>
        <sz val="10"/>
        <color theme="1"/>
        <rFont val="微软雅黑"/>
        <family val="2"/>
        <charset val="134"/>
      </rPr>
      <t>财务费用</t>
    </r>
    <r>
      <rPr>
        <sz val="10"/>
        <color theme="1"/>
        <rFont val="Arial"/>
        <family val="2"/>
      </rPr>
      <t>/</t>
    </r>
    <r>
      <rPr>
        <sz val="10"/>
        <color theme="1"/>
        <rFont val="微软雅黑"/>
        <family val="2"/>
        <charset val="134"/>
      </rPr>
      <t>投资收益</t>
    </r>
  </si>
  <si>
    <r>
      <t xml:space="preserve">UC-01-GL: </t>
    </r>
    <r>
      <rPr>
        <sz val="10"/>
        <rFont val="微软雅黑"/>
        <family val="2"/>
        <charset val="134"/>
      </rPr>
      <t>利息和股息收入</t>
    </r>
  </si>
  <si>
    <r>
      <rPr>
        <sz val="10"/>
        <rFont val="微软雅黑"/>
        <family val="2"/>
        <charset val="134"/>
      </rPr>
      <t>测试重大投资的利息和股息收益，或通过与相关投资余额相比较来检查投资收益的合理性。</t>
    </r>
  </si>
  <si>
    <r>
      <t>Uexp</t>
    </r>
    <r>
      <rPr>
        <u/>
        <sz val="10"/>
        <color theme="10"/>
        <rFont val="微软雅黑"/>
        <family val="2"/>
        <charset val="134"/>
      </rPr>
      <t>利息测试</t>
    </r>
  </si>
  <si>
    <r>
      <t xml:space="preserve">
VD-01.2-GL: </t>
    </r>
    <r>
      <rPr>
        <sz val="10"/>
        <rFont val="微软雅黑"/>
        <family val="2"/>
        <charset val="134"/>
      </rPr>
      <t>实质性程序</t>
    </r>
    <r>
      <rPr>
        <sz val="10"/>
        <rFont val="Arial"/>
        <family val="2"/>
      </rPr>
      <t>{</t>
    </r>
    <r>
      <rPr>
        <sz val="10"/>
        <rFont val="微软雅黑"/>
        <family val="2"/>
        <charset val="134"/>
      </rPr>
      <t>执行分析程序</t>
    </r>
    <r>
      <rPr>
        <sz val="10"/>
        <rFont val="Arial"/>
        <family val="2"/>
      </rPr>
      <t xml:space="preserve">}            </t>
    </r>
  </si>
  <si>
    <r>
      <rPr>
        <sz val="10"/>
        <color rgb="FF000000"/>
        <rFont val="微软雅黑"/>
        <family val="2"/>
        <charset val="134"/>
      </rPr>
      <t>确定我们对按类型、月份或其他适用期间分解的管理和其他营业费用的预期，使其精确到足以根据我们对业务的了解，识别出错报。</t>
    </r>
    <r>
      <rPr>
        <sz val="10"/>
        <color rgb="FF000000"/>
        <rFont val="Arial"/>
        <family val="2"/>
      </rPr>
      <t xml:space="preserve"> </t>
    </r>
    <r>
      <rPr>
        <sz val="10"/>
        <color rgb="FF000000"/>
        <rFont val="微软雅黑"/>
        <family val="2"/>
        <charset val="134"/>
      </rPr>
      <t>结合我们的预期和已识别出的精确度，确定我们的差异临界值（已入账费用与我们的可接受但尚无进一步调查的预期之间的金额差异）。</t>
    </r>
    <r>
      <rPr>
        <sz val="10"/>
        <color rgb="FF000000"/>
        <rFont val="Arial"/>
        <family val="2"/>
      </rPr>
      <t xml:space="preserve"> </t>
    </r>
    <r>
      <rPr>
        <sz val="10"/>
        <color rgb="FF000000"/>
        <rFont val="微软雅黑"/>
        <family val="2"/>
        <charset val="134"/>
      </rPr>
      <t>结合我们的差异临界值，识别我们的预期的差异。取得充足证据证明差异是适当的。记录我们如何就实质分析性复核程序中使用的相关数据的可靠性满足自身要求。确定是否执行实质分析性复核程序来测试相关账户。如执行，则使用</t>
    </r>
    <r>
      <rPr>
        <sz val="10"/>
        <color rgb="FF000000"/>
        <rFont val="Arial"/>
        <family val="2"/>
      </rPr>
      <t>264GL</t>
    </r>
    <r>
      <rPr>
        <sz val="10"/>
        <color rgb="FF000000"/>
        <rFont val="微软雅黑"/>
        <family val="2"/>
        <charset val="134"/>
      </rPr>
      <t>完成相应记录。</t>
    </r>
  </si>
  <si>
    <r>
      <rPr>
        <b/>
        <sz val="10"/>
        <color rgb="FFFF0000"/>
        <rFont val="微软雅黑"/>
        <family val="2"/>
        <charset val="134"/>
      </rPr>
      <t>费用科目（包括制造费用）</t>
    </r>
  </si>
  <si>
    <r>
      <t>VD-01.8-GL:</t>
    </r>
    <r>
      <rPr>
        <sz val="10"/>
        <color rgb="FF000000"/>
        <rFont val="微软雅黑"/>
        <family val="2"/>
        <charset val="134"/>
      </rPr>
      <t>执行截止程序</t>
    </r>
  </si>
  <si>
    <t>IS: O, C</t>
  </si>
  <si>
    <r>
      <rPr>
        <sz val="10"/>
        <rFont val="微软雅黑"/>
        <family val="2"/>
        <charset val="134"/>
      </rPr>
      <t>记录在账面的费用交易是否记录于正确期间</t>
    </r>
  </si>
  <si>
    <t>Uexp_Cutoff</t>
    <phoneticPr fontId="136" type="noConversion"/>
  </si>
  <si>
    <r>
      <rPr>
        <b/>
        <sz val="10"/>
        <color rgb="FFFF0000"/>
        <rFont val="微软雅黑"/>
        <family val="2"/>
        <charset val="134"/>
      </rPr>
      <t>由审计团队确认执行</t>
    </r>
    <r>
      <rPr>
        <b/>
        <sz val="10"/>
        <color rgb="FFFF0000"/>
        <rFont val="Arial"/>
        <family val="2"/>
      </rPr>
      <t>TOD</t>
    </r>
    <r>
      <rPr>
        <b/>
        <sz val="10"/>
        <color rgb="FFFF0000"/>
        <rFont val="微软雅黑"/>
        <family val="2"/>
        <charset val="134"/>
      </rPr>
      <t>范围</t>
    </r>
    <phoneticPr fontId="136" type="noConversion"/>
  </si>
  <si>
    <r>
      <t xml:space="preserve">VC/VD-01.3-01.6-GL: </t>
    </r>
    <r>
      <rPr>
        <sz val="10"/>
        <color rgb="FF000000"/>
        <rFont val="微软雅黑"/>
        <family val="2"/>
        <charset val="134"/>
      </rPr>
      <t>实质性程序</t>
    </r>
    <r>
      <rPr>
        <sz val="10"/>
        <color rgb="FF000000"/>
        <rFont val="Arial"/>
        <family val="2"/>
      </rPr>
      <t xml:space="preserve"> </t>
    </r>
    <r>
      <rPr>
        <sz val="10"/>
        <color rgb="FF000000"/>
        <rFont val="微软雅黑"/>
        <family val="2"/>
        <charset val="134"/>
      </rPr>
      <t>详细测试</t>
    </r>
    <r>
      <rPr>
        <sz val="10"/>
        <color rgb="FF000000"/>
        <rFont val="Arial"/>
        <family val="2"/>
      </rPr>
      <t>(TOD</t>
    </r>
    <r>
      <rPr>
        <sz val="10"/>
        <color rgb="FF000000"/>
        <rFont val="微软雅黑"/>
        <family val="2"/>
        <charset val="134"/>
      </rPr>
      <t>）</t>
    </r>
    <phoneticPr fontId="136" type="noConversion"/>
  </si>
  <si>
    <t>IS: O, M, C, P&amp;D</t>
    <phoneticPr fontId="136" type="noConversion"/>
  </si>
  <si>
    <t>若通过实质分析性复核程序取得的证据不足以就账户余额得出结论，则执行详细测试。</t>
  </si>
  <si>
    <t>Uexp_TOD</t>
    <phoneticPr fontId="136" type="noConversion"/>
  </si>
  <si>
    <r>
      <t xml:space="preserve">IPE </t>
    </r>
    <r>
      <rPr>
        <b/>
        <sz val="10"/>
        <rFont val="微软雅黑"/>
        <family val="2"/>
        <charset val="134"/>
      </rPr>
      <t>考虑</t>
    </r>
  </si>
  <si>
    <t>/P1</t>
  </si>
  <si>
    <t xml:space="preserve"> IPE</t>
  </si>
  <si>
    <r>
      <rPr>
        <sz val="10"/>
        <color rgb="FF000000"/>
        <rFont val="微软雅黑"/>
        <family val="2"/>
        <charset val="134"/>
      </rPr>
      <t>执行</t>
    </r>
    <r>
      <rPr>
        <sz val="10"/>
        <color rgb="FF000000"/>
        <rFont val="Arial"/>
        <family val="2"/>
      </rPr>
      <t>IPE</t>
    </r>
    <r>
      <rPr>
        <sz val="10"/>
        <color rgb="FF000000"/>
        <rFont val="微软雅黑"/>
        <family val="2"/>
        <charset val="134"/>
      </rPr>
      <t>程序以评估客户提供的数据的准确性和完整性。可</t>
    </r>
    <r>
      <rPr>
        <b/>
        <u/>
        <sz val="10"/>
        <color rgb="FFFF0000"/>
        <rFont val="微软雅黑"/>
        <family val="2"/>
        <charset val="134"/>
      </rPr>
      <t>点击此处</t>
    </r>
    <r>
      <rPr>
        <sz val="10"/>
        <color rgb="FF000000"/>
        <rFont val="微软雅黑"/>
        <family val="2"/>
        <charset val="134"/>
      </rPr>
      <t>获取</t>
    </r>
    <r>
      <rPr>
        <sz val="10"/>
        <color rgb="FF000000"/>
        <rFont val="Arial"/>
        <family val="2"/>
      </rPr>
      <t>265 Form</t>
    </r>
    <r>
      <rPr>
        <sz val="10"/>
        <color rgb="FF000000"/>
        <rFont val="微软雅黑"/>
        <family val="2"/>
        <charset val="134"/>
      </rPr>
      <t>，获取后需更新链接至执行程序</t>
    </r>
    <r>
      <rPr>
        <sz val="10"/>
        <color rgb="FF000000"/>
        <rFont val="Arial"/>
        <family val="2"/>
      </rPr>
      <t xml:space="preserve">265GL </t>
    </r>
    <r>
      <rPr>
        <sz val="10"/>
        <color rgb="FF000000"/>
        <rFont val="微软雅黑"/>
        <family val="2"/>
        <charset val="134"/>
      </rPr>
      <t>。</t>
    </r>
  </si>
  <si>
    <r>
      <rPr>
        <b/>
        <sz val="10"/>
        <color rgb="FF000000"/>
        <rFont val="微软雅黑"/>
        <family val="2"/>
        <charset val="134"/>
      </rPr>
      <t>费用类账户总结陈述</t>
    </r>
  </si>
  <si>
    <r>
      <rPr>
        <sz val="10"/>
        <color theme="1"/>
        <rFont val="微软雅黑"/>
        <family val="2"/>
        <charset val="134"/>
      </rPr>
      <t>费用类程序的执行结果详见</t>
    </r>
    <r>
      <rPr>
        <sz val="10"/>
        <color theme="1"/>
        <rFont val="Arial"/>
        <family val="2"/>
      </rPr>
      <t>CanvasForm</t>
    </r>
  </si>
  <si>
    <r>
      <rPr>
        <b/>
        <sz val="10"/>
        <rFont val="微软雅黑"/>
        <family val="2"/>
        <charset val="134"/>
      </rPr>
      <t>安永标记</t>
    </r>
  </si>
  <si>
    <t>PY</t>
  </si>
  <si>
    <r>
      <rPr>
        <sz val="10"/>
        <rFont val="微软雅黑"/>
        <family val="2"/>
        <charset val="134"/>
      </rPr>
      <t>与上年审计底稿核对一致（需项目组自行核对或者由</t>
    </r>
    <r>
      <rPr>
        <sz val="10"/>
        <rFont val="Arial"/>
        <family val="2"/>
      </rPr>
      <t xml:space="preserve">GDS </t>
    </r>
    <r>
      <rPr>
        <sz val="10"/>
        <rFont val="微软雅黑"/>
        <family val="2"/>
        <charset val="134"/>
      </rPr>
      <t>提供服务核对）</t>
    </r>
  </si>
  <si>
    <t>A3</t>
  </si>
  <si>
    <r>
      <rPr>
        <sz val="10"/>
        <rFont val="微软雅黑"/>
        <family val="2"/>
        <charset val="134"/>
      </rPr>
      <t>与未审数、审定数核对一致</t>
    </r>
  </si>
  <si>
    <t>A5</t>
  </si>
  <si>
    <r>
      <rPr>
        <sz val="10"/>
        <rFont val="微软雅黑"/>
        <family val="2"/>
        <charset val="134"/>
      </rPr>
      <t>与审计调整核对一致</t>
    </r>
  </si>
  <si>
    <t>TB</t>
  </si>
  <si>
    <r>
      <rPr>
        <sz val="10"/>
        <rFont val="微软雅黑"/>
        <family val="2"/>
        <charset val="134"/>
      </rPr>
      <t>已与科目余额表核对无误</t>
    </r>
  </si>
  <si>
    <t>SL</t>
  </si>
  <si>
    <r>
      <rPr>
        <sz val="10"/>
        <rFont val="微软雅黑"/>
        <family val="2"/>
        <charset val="134"/>
      </rPr>
      <t>已与明细账核对无误</t>
    </r>
  </si>
  <si>
    <t>m</t>
  </si>
  <si>
    <r>
      <rPr>
        <sz val="10"/>
        <color rgb="FF000000"/>
        <rFont val="微软雅黑"/>
        <family val="2"/>
        <charset val="134"/>
      </rPr>
      <t>余额</t>
    </r>
    <r>
      <rPr>
        <sz val="10"/>
        <color rgb="FF000000"/>
        <rFont val="Arial"/>
        <family val="2"/>
      </rPr>
      <t>/</t>
    </r>
    <r>
      <rPr>
        <sz val="10"/>
        <color rgb="FF000000"/>
        <rFont val="微软雅黑"/>
        <family val="2"/>
        <charset val="134"/>
      </rPr>
      <t>活动不符合测试范围</t>
    </r>
    <r>
      <rPr>
        <sz val="10"/>
        <color rgb="FF000000"/>
        <rFont val="Arial"/>
        <family val="2"/>
      </rPr>
      <t>–</t>
    </r>
    <r>
      <rPr>
        <sz val="10"/>
        <color rgb="FF000000"/>
        <rFont val="微软雅黑"/>
        <family val="2"/>
        <charset val="134"/>
      </rPr>
      <t>无需进一步调查</t>
    </r>
  </si>
  <si>
    <t>FS</t>
  </si>
  <si>
    <r>
      <rPr>
        <sz val="10"/>
        <rFont val="微软雅黑"/>
        <family val="2"/>
        <charset val="134"/>
      </rPr>
      <t>与</t>
    </r>
    <r>
      <rPr>
        <sz val="10"/>
        <rFont val="Arial"/>
        <family val="2"/>
      </rPr>
      <t>FS.0x</t>
    </r>
    <r>
      <rPr>
        <sz val="10"/>
        <rFont val="微软雅黑"/>
        <family val="2"/>
        <charset val="134"/>
      </rPr>
      <t>与财务报表核对无误</t>
    </r>
  </si>
  <si>
    <t>w</t>
  </si>
  <si>
    <r>
      <rPr>
        <sz val="10"/>
        <color rgb="FF000000"/>
        <rFont val="微软雅黑"/>
        <family val="2"/>
        <charset val="134"/>
      </rPr>
      <t>低于</t>
    </r>
    <r>
      <rPr>
        <sz val="10"/>
        <color rgb="FF000000"/>
        <rFont val="Arial"/>
        <family val="2"/>
      </rPr>
      <t>SAD</t>
    </r>
    <r>
      <rPr>
        <sz val="10"/>
        <color rgb="FF000000"/>
        <rFont val="微软雅黑"/>
        <family val="2"/>
        <charset val="134"/>
      </rPr>
      <t>的金额</t>
    </r>
    <r>
      <rPr>
        <sz val="10"/>
        <color rgb="FF000000"/>
        <rFont val="Arial"/>
        <family val="2"/>
      </rPr>
      <t>——</t>
    </r>
    <r>
      <rPr>
        <sz val="10"/>
        <color rgb="FF000000"/>
        <rFont val="微软雅黑"/>
        <family val="2"/>
        <charset val="134"/>
      </rPr>
      <t>放弃进一步调查</t>
    </r>
  </si>
  <si>
    <t>Rx</t>
  </si>
  <si>
    <r>
      <rPr>
        <sz val="10"/>
        <rFont val="微软雅黑"/>
        <family val="2"/>
        <charset val="134"/>
      </rPr>
      <t>重新计算，无异常</t>
    </r>
  </si>
  <si>
    <t>c320deef-b651-4890-83c8-fa4b53e6fbdf</t>
    <phoneticPr fontId="136" type="noConversion"/>
  </si>
  <si>
    <r>
      <rPr>
        <u/>
        <sz val="10"/>
        <color rgb="FFFF0000"/>
        <rFont val="微软雅黑"/>
        <family val="2"/>
        <charset val="134"/>
      </rPr>
      <t>返回汇总页</t>
    </r>
  </si>
  <si>
    <r>
      <rPr>
        <b/>
        <u/>
        <sz val="14"/>
        <rFont val="微软雅黑"/>
        <family val="2"/>
        <charset val="134"/>
      </rPr>
      <t>目标</t>
    </r>
  </si>
  <si>
    <r>
      <rPr>
        <sz val="14"/>
        <rFont val="微软雅黑"/>
        <family val="2"/>
        <charset val="134"/>
      </rPr>
      <t>通过执行分析和调查两期的费用科目重大变动来确定费用科目是否合理。</t>
    </r>
  </si>
  <si>
    <r>
      <rPr>
        <b/>
        <sz val="14"/>
        <color indexed="8"/>
        <rFont val="微软雅黑"/>
        <family val="2"/>
        <charset val="134"/>
      </rPr>
      <t>序号</t>
    </r>
  </si>
  <si>
    <r>
      <rPr>
        <b/>
        <sz val="14"/>
        <rFont val="微软雅黑"/>
        <family val="2"/>
        <charset val="134"/>
      </rPr>
      <t>执行的程序</t>
    </r>
  </si>
  <si>
    <r>
      <rPr>
        <b/>
        <sz val="14"/>
        <rFont val="微软雅黑"/>
        <family val="2"/>
        <charset val="134"/>
      </rPr>
      <t>程序表</t>
    </r>
  </si>
  <si>
    <r>
      <rPr>
        <b/>
        <sz val="14"/>
        <rFont val="微软雅黑"/>
        <family val="2"/>
        <charset val="134"/>
      </rPr>
      <t>预审完成</t>
    </r>
    <phoneticPr fontId="147" type="noConversion"/>
  </si>
  <si>
    <r>
      <rPr>
        <b/>
        <sz val="14"/>
        <rFont val="微软雅黑"/>
        <family val="2"/>
        <charset val="134"/>
      </rPr>
      <t>年审完成</t>
    </r>
    <phoneticPr fontId="147" type="noConversion"/>
  </si>
  <si>
    <r>
      <rPr>
        <b/>
        <sz val="14"/>
        <color indexed="8"/>
        <rFont val="微软雅黑"/>
        <family val="2"/>
        <charset val="134"/>
      </rPr>
      <t>执行注意事项</t>
    </r>
  </si>
  <si>
    <r>
      <rPr>
        <sz val="14"/>
        <rFont val="微软雅黑"/>
        <family val="2"/>
        <charset val="134"/>
      </rPr>
      <t>我们获取费用科目余额表本期金额以及上年审定数。</t>
    </r>
  </si>
  <si>
    <r>
      <rPr>
        <b/>
        <sz val="14"/>
        <color rgb="FFFF0000"/>
        <rFont val="微软雅黑"/>
        <family val="2"/>
        <charset val="134"/>
      </rPr>
      <t>表</t>
    </r>
    <r>
      <rPr>
        <b/>
        <sz val="14"/>
        <color rgb="FFFF0000"/>
        <rFont val="Arial"/>
        <family val="2"/>
      </rPr>
      <t>1</t>
    </r>
  </si>
  <si>
    <r>
      <rPr>
        <sz val="14"/>
        <color theme="1"/>
        <rFont val="微软雅黑"/>
        <family val="2"/>
        <charset val="134"/>
      </rPr>
      <t>是</t>
    </r>
  </si>
  <si>
    <r>
      <rPr>
        <sz val="14"/>
        <rFont val="微软雅黑"/>
        <family val="2"/>
        <charset val="134"/>
      </rPr>
      <t>我们将两期审定金额进行比对，对那些变动大于范围的事项，获得管理层解释并对解释是否合理进行调查。</t>
    </r>
  </si>
  <si>
    <r>
      <rPr>
        <b/>
        <sz val="10"/>
        <rFont val="微软雅黑"/>
        <family val="2"/>
        <charset val="134"/>
      </rPr>
      <t>在下文中描述我们当期对账户波动的预期，以及这些预期的依据和理由。</t>
    </r>
    <phoneticPr fontId="136" type="noConversion"/>
  </si>
  <si>
    <r>
      <rPr>
        <b/>
        <sz val="10"/>
        <rFont val="微软雅黑"/>
        <family val="2"/>
        <charset val="134"/>
      </rPr>
      <t>波动幅度（</t>
    </r>
    <r>
      <rPr>
        <b/>
        <sz val="10"/>
        <rFont val="Arial"/>
        <family val="2"/>
      </rPr>
      <t>%</t>
    </r>
    <r>
      <rPr>
        <b/>
        <sz val="10"/>
        <rFont val="微软雅黑"/>
        <family val="2"/>
        <charset val="134"/>
      </rPr>
      <t>）：</t>
    </r>
  </si>
  <si>
    <t>AA</t>
    <phoneticPr fontId="136" type="noConversion"/>
  </si>
  <si>
    <t>BB</t>
    <phoneticPr fontId="136" type="noConversion"/>
  </si>
  <si>
    <t>CC=AA+BB</t>
    <phoneticPr fontId="136" type="noConversion"/>
  </si>
  <si>
    <t>DD</t>
    <phoneticPr fontId="136" type="noConversion"/>
  </si>
  <si>
    <t>EE=CC+DD</t>
    <phoneticPr fontId="136" type="noConversion"/>
  </si>
  <si>
    <t>FF</t>
    <phoneticPr fontId="136" type="noConversion"/>
  </si>
  <si>
    <t>GG=EE-FF</t>
    <phoneticPr fontId="136" type="noConversion"/>
  </si>
  <si>
    <t>HH=GG/FF</t>
    <phoneticPr fontId="136" type="noConversion"/>
  </si>
  <si>
    <r>
      <rPr>
        <sz val="10"/>
        <color indexed="8"/>
        <rFont val="微软雅黑"/>
        <family val="2"/>
        <charset val="134"/>
      </rPr>
      <t>本期审定数与上期审定数比较</t>
    </r>
  </si>
  <si>
    <r>
      <rPr>
        <b/>
        <sz val="10"/>
        <color rgb="FFFF0000"/>
        <rFont val="微软雅黑"/>
        <family val="2"/>
        <charset val="134"/>
      </rPr>
      <t>表</t>
    </r>
    <r>
      <rPr>
        <b/>
        <sz val="10"/>
        <color rgb="FFFF0000"/>
        <rFont val="Arial"/>
        <family val="2"/>
      </rPr>
      <t>1</t>
    </r>
  </si>
  <si>
    <r>
      <rPr>
        <sz val="10"/>
        <color theme="1"/>
        <rFont val="微软雅黑"/>
        <family val="2"/>
        <charset val="134"/>
      </rPr>
      <t>科目名称</t>
    </r>
  </si>
  <si>
    <r>
      <rPr>
        <sz val="10"/>
        <color rgb="FF000000"/>
        <rFont val="微软雅黑"/>
        <family val="2"/>
        <charset val="134"/>
      </rPr>
      <t>索引号</t>
    </r>
  </si>
  <si>
    <r>
      <rPr>
        <sz val="10"/>
        <color rgb="FF000000"/>
        <rFont val="微软雅黑"/>
        <family val="2"/>
        <charset val="134"/>
      </rPr>
      <t>本期账面数</t>
    </r>
  </si>
  <si>
    <r>
      <rPr>
        <sz val="10"/>
        <color rgb="FF000000"/>
        <rFont val="微软雅黑"/>
        <family val="2"/>
        <charset val="134"/>
      </rPr>
      <t>本期账表调整数</t>
    </r>
  </si>
  <si>
    <r>
      <rPr>
        <sz val="10"/>
        <color indexed="8"/>
        <rFont val="微软雅黑"/>
        <family val="2"/>
        <charset val="134"/>
      </rPr>
      <t>本期账面未审数</t>
    </r>
  </si>
  <si>
    <r>
      <rPr>
        <sz val="10"/>
        <color indexed="8"/>
        <rFont val="微软雅黑"/>
        <family val="2"/>
        <charset val="134"/>
      </rPr>
      <t>本期</t>
    </r>
    <r>
      <rPr>
        <sz val="10"/>
        <color rgb="FF000000"/>
        <rFont val="微软雅黑"/>
        <family val="2"/>
        <charset val="134"/>
      </rPr>
      <t>审计</t>
    </r>
    <r>
      <rPr>
        <sz val="10"/>
        <color indexed="8"/>
        <rFont val="微软雅黑"/>
        <family val="2"/>
        <charset val="134"/>
      </rPr>
      <t>调整金数</t>
    </r>
  </si>
  <si>
    <r>
      <rPr>
        <sz val="10"/>
        <color indexed="8"/>
        <rFont val="微软雅黑"/>
        <family val="2"/>
        <charset val="134"/>
      </rPr>
      <t>本期账面审定数</t>
    </r>
  </si>
  <si>
    <r>
      <rPr>
        <sz val="10"/>
        <color rgb="FF000000"/>
        <rFont val="微软雅黑"/>
        <family val="2"/>
        <charset val="134"/>
      </rPr>
      <t>上期末审定数</t>
    </r>
  </si>
  <si>
    <r>
      <rPr>
        <sz val="10"/>
        <color indexed="8"/>
        <rFont val="微软雅黑"/>
        <family val="2"/>
        <charset val="134"/>
      </rPr>
      <t>变动额</t>
    </r>
  </si>
  <si>
    <r>
      <rPr>
        <sz val="10"/>
        <color indexed="8"/>
        <rFont val="微软雅黑"/>
        <family val="2"/>
        <charset val="134"/>
      </rPr>
      <t>变动率</t>
    </r>
  </si>
  <si>
    <r>
      <rPr>
        <sz val="10"/>
        <color theme="1"/>
        <rFont val="微软雅黑"/>
        <family val="2"/>
        <charset val="134"/>
      </rPr>
      <t>制造费用</t>
    </r>
  </si>
  <si>
    <r>
      <rPr>
        <sz val="10"/>
        <color theme="1"/>
        <rFont val="微软雅黑"/>
        <family val="2"/>
        <charset val="134"/>
      </rPr>
      <t>研发费用</t>
    </r>
  </si>
  <si>
    <r>
      <rPr>
        <sz val="10"/>
        <color theme="1"/>
        <rFont val="微软雅黑"/>
        <family val="2"/>
        <charset val="134"/>
      </rPr>
      <t>财务费用</t>
    </r>
  </si>
  <si>
    <r>
      <rPr>
        <sz val="10"/>
        <color theme="1"/>
        <rFont val="微软雅黑"/>
        <family val="2"/>
        <charset val="134"/>
      </rPr>
      <t>其他收益</t>
    </r>
  </si>
  <si>
    <r>
      <rPr>
        <sz val="10"/>
        <color theme="1"/>
        <rFont val="微软雅黑"/>
        <family val="2"/>
        <charset val="134"/>
      </rPr>
      <t>投资收益</t>
    </r>
  </si>
  <si>
    <r>
      <rPr>
        <sz val="10"/>
        <color theme="1"/>
        <rFont val="微软雅黑"/>
        <family val="2"/>
        <charset val="134"/>
      </rPr>
      <t>公允价值变动损益</t>
    </r>
  </si>
  <si>
    <r>
      <rPr>
        <sz val="10"/>
        <color theme="1"/>
        <rFont val="微软雅黑"/>
        <family val="2"/>
        <charset val="134"/>
      </rPr>
      <t>信用减值损失</t>
    </r>
  </si>
  <si>
    <r>
      <rPr>
        <sz val="10"/>
        <color theme="1"/>
        <rFont val="微软雅黑"/>
        <family val="2"/>
        <charset val="134"/>
      </rPr>
      <t>资产减值损失</t>
    </r>
  </si>
  <si>
    <r>
      <rPr>
        <sz val="10"/>
        <color theme="1"/>
        <rFont val="微软雅黑"/>
        <family val="2"/>
        <charset val="134"/>
      </rPr>
      <t>资产处置损益</t>
    </r>
  </si>
  <si>
    <r>
      <rPr>
        <sz val="10"/>
        <color theme="1"/>
        <rFont val="微软雅黑"/>
        <family val="2"/>
        <charset val="134"/>
      </rPr>
      <t>营业外收入</t>
    </r>
  </si>
  <si>
    <r>
      <rPr>
        <sz val="10"/>
        <color theme="1"/>
        <rFont val="微软雅黑"/>
        <family val="2"/>
        <charset val="134"/>
      </rPr>
      <t>营业外支出</t>
    </r>
  </si>
  <si>
    <r>
      <rPr>
        <sz val="10"/>
        <color theme="1"/>
        <rFont val="微软雅黑"/>
        <family val="2"/>
        <charset val="134"/>
      </rPr>
      <t>债务重组利得和损失</t>
    </r>
  </si>
  <si>
    <t>Notes</t>
  </si>
  <si>
    <r>
      <rPr>
        <b/>
        <sz val="10"/>
        <rFont val="微软雅黑"/>
        <family val="2"/>
        <charset val="134"/>
      </rPr>
      <t>调整汇总表</t>
    </r>
  </si>
  <si>
    <r>
      <rPr>
        <b/>
        <sz val="10"/>
        <color rgb="FFFF0000"/>
        <rFont val="微软雅黑"/>
        <family val="2"/>
        <charset val="134"/>
      </rPr>
      <t>如不适用请删除</t>
    </r>
  </si>
  <si>
    <t>750d443c-76ce-4b04-9a77-da842ea2cc9b</t>
    <phoneticPr fontId="136" type="noConversion"/>
  </si>
  <si>
    <r>
      <rPr>
        <b/>
        <u/>
        <sz val="14"/>
        <color theme="1"/>
        <rFont val="微软雅黑"/>
        <family val="2"/>
        <charset val="134"/>
      </rPr>
      <t>目标</t>
    </r>
  </si>
  <si>
    <r>
      <t>1.</t>
    </r>
    <r>
      <rPr>
        <sz val="14"/>
        <rFont val="微软雅黑"/>
        <family val="2"/>
        <charset val="134"/>
      </rPr>
      <t>通过执行分析和调查两期的制造费用重大变动来确定其变动是否合理。</t>
    </r>
  </si>
  <si>
    <r>
      <t>2.</t>
    </r>
    <r>
      <rPr>
        <sz val="14"/>
        <rFont val="微软雅黑"/>
        <family val="2"/>
        <charset val="134"/>
      </rPr>
      <t>明细账金额、科目余额表中的金额是否一致，对重大不一致调查其调节项的性质及原因。</t>
    </r>
  </si>
  <si>
    <r>
      <rPr>
        <sz val="14"/>
        <rFont val="微软雅黑"/>
        <family val="2"/>
        <charset val="134"/>
      </rPr>
      <t>从管理层处取得本期制造费用账户的明细。</t>
    </r>
  </si>
  <si>
    <r>
      <rPr>
        <b/>
        <sz val="14"/>
        <color indexed="10"/>
        <rFont val="微软雅黑"/>
        <family val="2"/>
        <charset val="134"/>
      </rPr>
      <t>表</t>
    </r>
    <r>
      <rPr>
        <b/>
        <sz val="14"/>
        <color rgb="FFFF0000"/>
        <rFont val="Arial"/>
        <family val="2"/>
      </rPr>
      <t>1</t>
    </r>
    <phoneticPr fontId="136" type="noConversion"/>
  </si>
  <si>
    <r>
      <rPr>
        <sz val="14"/>
        <rFont val="微软雅黑"/>
        <family val="2"/>
        <charset val="134"/>
      </rPr>
      <t>对比当期金额和上期金额，调查变动大于范围或与预期不符的变动情况。并就异常事项检查记账凭证、合同等支持性证据，评估其发生的合理性。</t>
    </r>
  </si>
  <si>
    <r>
      <rPr>
        <sz val="14"/>
        <rFont val="微软雅黑"/>
        <family val="2"/>
        <charset val="134"/>
      </rPr>
      <t>将明细账与生产成本</t>
    </r>
    <r>
      <rPr>
        <sz val="14"/>
        <rFont val="Arial"/>
        <family val="2"/>
      </rPr>
      <t>-</t>
    </r>
    <r>
      <rPr>
        <sz val="14"/>
        <rFont val="微软雅黑"/>
        <family val="2"/>
        <charset val="134"/>
      </rPr>
      <t>制造费用进行核对，并对差异大于</t>
    </r>
    <r>
      <rPr>
        <sz val="14"/>
        <rFont val="Arial"/>
        <family val="2"/>
      </rPr>
      <t>SAD</t>
    </r>
    <r>
      <rPr>
        <sz val="14"/>
        <rFont val="微软雅黑"/>
        <family val="2"/>
        <charset val="134"/>
      </rPr>
      <t>的项目进行调查。</t>
    </r>
  </si>
  <si>
    <r>
      <rPr>
        <sz val="14"/>
        <rFont val="微软雅黑"/>
        <family val="2"/>
        <charset val="134"/>
      </rPr>
      <t>对于单项金额重大的制造费用，需要获取该单项费用的组成明细，需要获取支持性文件如合同等，在必要时进行费用测试。</t>
    </r>
  </si>
  <si>
    <r>
      <t>TOD SWP U_Exp_Uexp.01 TOD</t>
    </r>
    <r>
      <rPr>
        <b/>
        <sz val="14"/>
        <color rgb="FFFF0000"/>
        <rFont val="微软雅黑"/>
        <family val="2"/>
        <charset val="134"/>
      </rPr>
      <t>年审</t>
    </r>
  </si>
  <si>
    <r>
      <rPr>
        <sz val="14"/>
        <rFont val="微软雅黑"/>
        <family val="2"/>
        <charset val="134"/>
      </rPr>
      <t>对调查任何异常交易，并基于综合风险评估和已确定的测试临界值测试交易。</t>
    </r>
  </si>
  <si>
    <r>
      <rPr>
        <b/>
        <sz val="14"/>
        <color indexed="10"/>
        <rFont val="微软雅黑"/>
        <family val="2"/>
        <charset val="134"/>
      </rPr>
      <t>项目组自行设计</t>
    </r>
  </si>
  <si>
    <r>
      <rPr>
        <sz val="14"/>
        <rFont val="微软雅黑"/>
        <family val="2"/>
        <charset val="134"/>
      </rPr>
      <t>将费用科目中存在着勾稽关系的费用类型，同相应的其他科目金额进行核对</t>
    </r>
    <r>
      <rPr>
        <b/>
        <sz val="14"/>
        <color rgb="FFFF0000"/>
        <rFont val="Arial"/>
        <family val="2"/>
      </rPr>
      <t>X-ref</t>
    </r>
  </si>
  <si>
    <r>
      <rPr>
        <b/>
        <sz val="10"/>
        <rFont val="微软雅黑"/>
        <family val="2"/>
        <charset val="134"/>
      </rPr>
      <t>波动范围</t>
    </r>
    <r>
      <rPr>
        <b/>
        <sz val="10"/>
        <rFont val="Arial"/>
        <family val="2"/>
      </rPr>
      <t xml:space="preserve"> (%):</t>
    </r>
  </si>
  <si>
    <t>T1</t>
  </si>
  <si>
    <t>TB</t>
    <phoneticPr fontId="136" type="noConversion"/>
  </si>
  <si>
    <r>
      <rPr>
        <b/>
        <sz val="10"/>
        <color rgb="FFFF0000"/>
        <rFont val="微软雅黑"/>
        <family val="2"/>
        <charset val="134"/>
      </rPr>
      <t>表</t>
    </r>
    <r>
      <rPr>
        <b/>
        <sz val="10"/>
        <color rgb="FFFF0000"/>
        <rFont val="Arial"/>
        <family val="2"/>
      </rPr>
      <t>1</t>
    </r>
    <phoneticPr fontId="136" type="noConversion"/>
  </si>
  <si>
    <r>
      <rPr>
        <sz val="10"/>
        <color indexed="8"/>
        <rFont val="微软雅黑"/>
        <family val="2"/>
        <charset val="134"/>
      </rPr>
      <t>本期数</t>
    </r>
  </si>
  <si>
    <r>
      <rPr>
        <sz val="10"/>
        <color indexed="8"/>
        <rFont val="微软雅黑"/>
        <family val="2"/>
        <charset val="134"/>
      </rPr>
      <t>账套名称</t>
    </r>
    <r>
      <rPr>
        <sz val="10"/>
        <color rgb="FF000000"/>
        <rFont val="Arial"/>
        <family val="2"/>
      </rPr>
      <t>/</t>
    </r>
    <r>
      <rPr>
        <sz val="10"/>
        <color indexed="8"/>
        <rFont val="微软雅黑"/>
        <family val="2"/>
        <charset val="134"/>
      </rPr>
      <t>账套编码</t>
    </r>
    <r>
      <rPr>
        <sz val="10"/>
        <color rgb="FF000000"/>
        <rFont val="Arial"/>
        <family val="2"/>
      </rPr>
      <t xml:space="preserve"> </t>
    </r>
  </si>
  <si>
    <r>
      <rPr>
        <sz val="10"/>
        <color rgb="FF000000"/>
        <rFont val="微软雅黑"/>
        <family val="2"/>
        <charset val="134"/>
      </rPr>
      <t>科目编码</t>
    </r>
  </si>
  <si>
    <r>
      <rPr>
        <sz val="10"/>
        <color indexed="8"/>
        <rFont val="微软雅黑"/>
        <family val="2"/>
        <charset val="134"/>
      </rPr>
      <t>科目名称</t>
    </r>
  </si>
  <si>
    <r>
      <rPr>
        <sz val="10"/>
        <color rgb="FF000000"/>
        <rFont val="微软雅黑"/>
        <family val="2"/>
        <charset val="134"/>
      </rPr>
      <t>本期账表调整编号</t>
    </r>
  </si>
  <si>
    <r>
      <rPr>
        <sz val="10"/>
        <color indexed="8"/>
        <rFont val="微软雅黑"/>
        <family val="2"/>
        <charset val="134"/>
      </rPr>
      <t>结构比</t>
    </r>
  </si>
  <si>
    <r>
      <rPr>
        <sz val="10"/>
        <color rgb="FF000000"/>
        <rFont val="微软雅黑"/>
        <family val="2"/>
        <charset val="134"/>
      </rPr>
      <t>本期审计调整编号</t>
    </r>
  </si>
  <si>
    <r>
      <rPr>
        <sz val="10"/>
        <color rgb="FF000000"/>
        <rFont val="微软雅黑"/>
        <family val="2"/>
        <charset val="134"/>
      </rPr>
      <t xml:space="preserve">上期末审定数
</t>
    </r>
    <r>
      <rPr>
        <sz val="10"/>
        <color rgb="FF000000"/>
        <rFont val="Arial"/>
        <family val="2"/>
      </rPr>
      <t>(</t>
    </r>
    <r>
      <rPr>
        <b/>
        <sz val="10"/>
        <color rgb="FF0000FF"/>
        <rFont val="Arial"/>
        <family val="2"/>
      </rPr>
      <t>PY</t>
    </r>
    <r>
      <rPr>
        <sz val="10"/>
        <color rgb="FF000000"/>
        <rFont val="Arial"/>
        <family val="2"/>
      </rPr>
      <t>)</t>
    </r>
    <phoneticPr fontId="136" type="noConversion"/>
  </si>
  <si>
    <r>
      <rPr>
        <sz val="10"/>
        <color indexed="8"/>
        <rFont val="微软雅黑"/>
        <family val="2"/>
        <charset val="134"/>
      </rPr>
      <t>变动率</t>
    </r>
    <r>
      <rPr>
        <sz val="10"/>
        <color indexed="8"/>
        <rFont val="Arial"/>
        <family val="2"/>
      </rPr>
      <t>%</t>
    </r>
  </si>
  <si>
    <t>For X-ref</t>
  </si>
  <si>
    <t>/T1</t>
  </si>
  <si>
    <r>
      <rPr>
        <b/>
        <sz val="10"/>
        <rFont val="微软雅黑"/>
        <family val="2"/>
        <charset val="134"/>
      </rPr>
      <t>合计</t>
    </r>
  </si>
  <si>
    <r>
      <rPr>
        <sz val="10"/>
        <color theme="1"/>
        <rFont val="微软雅黑"/>
        <family val="2"/>
        <charset val="134"/>
      </rPr>
      <t>详细测试涵盖的总账账户</t>
    </r>
  </si>
  <si>
    <r>
      <t>&lt;Uexp.01 TOD</t>
    </r>
    <r>
      <rPr>
        <sz val="10"/>
        <color rgb="FFFF0000"/>
        <rFont val="微软雅黑"/>
        <family val="2"/>
        <charset val="134"/>
      </rPr>
      <t>预审</t>
    </r>
    <r>
      <rPr>
        <sz val="10"/>
        <color rgb="FFFF0000"/>
        <rFont val="Arial"/>
        <family val="2"/>
      </rPr>
      <t>+</t>
    </r>
    <r>
      <rPr>
        <sz val="10"/>
        <color rgb="FFFF0000"/>
        <rFont val="微软雅黑"/>
        <family val="2"/>
        <charset val="134"/>
      </rPr>
      <t>剩余期间</t>
    </r>
    <r>
      <rPr>
        <sz val="10"/>
        <color rgb="FFFF0000"/>
        <rFont val="Arial"/>
        <family val="2"/>
      </rPr>
      <t xml:space="preserve">&gt;/&lt;Uexp.01 TOD </t>
    </r>
    <r>
      <rPr>
        <sz val="10"/>
        <color rgb="FFFF0000"/>
        <rFont val="微软雅黑"/>
        <family val="2"/>
        <charset val="134"/>
      </rPr>
      <t>年审</t>
    </r>
    <r>
      <rPr>
        <sz val="10"/>
        <color rgb="FFFF0000"/>
        <rFont val="Arial"/>
        <family val="2"/>
      </rPr>
      <t>&gt;</t>
    </r>
  </si>
  <si>
    <r>
      <rPr>
        <sz val="10"/>
        <color theme="1"/>
        <rFont val="微软雅黑"/>
        <family val="2"/>
        <charset val="134"/>
      </rPr>
      <t>对变动不在范围内的项目进行调查，评估其合理性，并记录在</t>
    </r>
    <r>
      <rPr>
        <sz val="10"/>
        <color theme="1"/>
        <rFont val="Arial"/>
        <family val="2"/>
      </rPr>
      <t>“</t>
    </r>
    <r>
      <rPr>
        <sz val="10"/>
        <color theme="1"/>
        <rFont val="微软雅黑"/>
        <family val="2"/>
        <charset val="134"/>
      </rPr>
      <t>说明</t>
    </r>
    <r>
      <rPr>
        <sz val="10"/>
        <color theme="1"/>
        <rFont val="Arial"/>
        <family val="2"/>
      </rPr>
      <t>”</t>
    </r>
    <r>
      <rPr>
        <sz val="10"/>
        <color theme="1"/>
        <rFont val="微软雅黑"/>
        <family val="2"/>
        <charset val="134"/>
      </rPr>
      <t>中。对异常项目进行调查，并记录在</t>
    </r>
    <r>
      <rPr>
        <sz val="10"/>
        <color theme="1"/>
        <rFont val="Arial"/>
        <family val="2"/>
      </rPr>
      <t>“</t>
    </r>
    <r>
      <rPr>
        <sz val="10"/>
        <color theme="1"/>
        <rFont val="微软雅黑"/>
        <family val="2"/>
        <charset val="134"/>
      </rPr>
      <t>说明</t>
    </r>
    <r>
      <rPr>
        <sz val="10"/>
        <color theme="1"/>
        <rFont val="Arial"/>
        <family val="2"/>
      </rPr>
      <t>”</t>
    </r>
    <r>
      <rPr>
        <sz val="10"/>
        <color theme="1"/>
        <rFont val="微软雅黑"/>
        <family val="2"/>
        <charset val="134"/>
      </rPr>
      <t>中。</t>
    </r>
  </si>
  <si>
    <r>
      <rPr>
        <b/>
        <sz val="10"/>
        <color rgb="FFFF0000"/>
        <rFont val="微软雅黑"/>
        <family val="2"/>
        <charset val="134"/>
      </rPr>
      <t>表</t>
    </r>
    <r>
      <rPr>
        <b/>
        <sz val="10"/>
        <color rgb="FFFF0000"/>
        <rFont val="Arial"/>
        <family val="2"/>
      </rPr>
      <t>3</t>
    </r>
  </si>
  <si>
    <r>
      <rPr>
        <b/>
        <sz val="10"/>
        <rFont val="微软雅黑"/>
        <family val="2"/>
        <charset val="134"/>
      </rPr>
      <t>对于单项费用类别金额占整个制造费用比例达到一定比例查看</t>
    </r>
    <r>
      <rPr>
        <b/>
        <sz val="10"/>
        <rFont val="Arial"/>
        <family val="2"/>
      </rPr>
      <t>J</t>
    </r>
    <r>
      <rPr>
        <b/>
        <sz val="10"/>
        <rFont val="微软雅黑"/>
        <family val="2"/>
        <charset val="134"/>
      </rPr>
      <t>列，需要获取该单项费用的组成明细，需要获取支持性文件如合同等，在必要时进行费用测试。（</t>
    </r>
    <r>
      <rPr>
        <b/>
        <i/>
        <sz val="10"/>
        <color rgb="FFFF0000"/>
        <rFont val="微软雅黑"/>
        <family val="2"/>
        <charset val="134"/>
      </rPr>
      <t>表格请审计团队自行设计</t>
    </r>
    <r>
      <rPr>
        <b/>
        <sz val="10"/>
        <rFont val="微软雅黑"/>
        <family val="2"/>
        <charset val="134"/>
      </rPr>
      <t>）</t>
    </r>
  </si>
  <si>
    <t>4cdc28c4-ea8a-467e-9b39-ede0a6875638</t>
    <phoneticPr fontId="136" type="noConversion"/>
  </si>
  <si>
    <r>
      <t>1.</t>
    </r>
    <r>
      <rPr>
        <sz val="14"/>
        <rFont val="微软雅黑"/>
        <family val="2"/>
        <charset val="134"/>
      </rPr>
      <t>通过执行分析和调查两期的研发费用重大变动来确定其变动是否合理。</t>
    </r>
  </si>
  <si>
    <r>
      <t>2.</t>
    </r>
    <r>
      <rPr>
        <sz val="14"/>
        <rFont val="微软雅黑"/>
        <family val="2"/>
        <charset val="134"/>
      </rPr>
      <t>明细账金额、总账及报表金额是否一致，对重大不一致调查其调节项的性质及原因。</t>
    </r>
  </si>
  <si>
    <r>
      <rPr>
        <sz val="14"/>
        <rFont val="微软雅黑"/>
        <family val="2"/>
        <charset val="134"/>
      </rPr>
      <t>从管理层处取得本期研发费用账户的明细。</t>
    </r>
  </si>
  <si>
    <r>
      <rPr>
        <sz val="14"/>
        <rFont val="微软雅黑"/>
        <family val="2"/>
        <charset val="134"/>
      </rPr>
      <t>将明细账与管理层报表进行核对，并对差异大于</t>
    </r>
    <r>
      <rPr>
        <sz val="14"/>
        <rFont val="Arial"/>
        <family val="2"/>
      </rPr>
      <t>SAD</t>
    </r>
    <r>
      <rPr>
        <sz val="14"/>
        <rFont val="微软雅黑"/>
        <family val="2"/>
        <charset val="134"/>
      </rPr>
      <t>的项目进行调查。</t>
    </r>
  </si>
  <si>
    <r>
      <rPr>
        <sz val="14"/>
        <rFont val="微软雅黑"/>
        <family val="2"/>
        <charset val="134"/>
      </rPr>
      <t>对于单项金额重大的研发费用，需要获取该单项费用的组成明细，需要获取支持性文件如合同等，在必要时进行费用测试。</t>
    </r>
  </si>
  <si>
    <r>
      <rPr>
        <sz val="14"/>
        <rFont val="微软雅黑"/>
        <family val="2"/>
        <charset val="134"/>
      </rPr>
      <t>调查任何异常交易，并基于综合风险评估和已确定的测试临界值测试交易。</t>
    </r>
  </si>
  <si>
    <r>
      <rPr>
        <sz val="14"/>
        <rFont val="微软雅黑"/>
        <family val="2"/>
        <charset val="134"/>
      </rPr>
      <t>注意：研发费用中的资本化部分与研发支出金额的资本化时点应当进行核对并标记交叉索引
注意：在建工程或借款底稿中的利息测试应当注意是否包括形成研发费用的部分交叉索引</t>
    </r>
  </si>
  <si>
    <t>^</t>
  </si>
  <si>
    <t>Diff</t>
  </si>
  <si>
    <t>ef949b77-f54f-447e-9d50-7c9f48bd6215</t>
    <phoneticPr fontId="136" type="noConversion"/>
  </si>
  <si>
    <r>
      <t>1.</t>
    </r>
    <r>
      <rPr>
        <sz val="14"/>
        <rFont val="微软雅黑"/>
        <family val="2"/>
        <charset val="134"/>
      </rPr>
      <t>通过执行分析和调查两期的财务费用重大变动来确定其变动是否合理。</t>
    </r>
  </si>
  <si>
    <r>
      <rPr>
        <sz val="14"/>
        <rFont val="微软雅黑"/>
        <family val="2"/>
        <charset val="134"/>
      </rPr>
      <t>从管理层处取得本期财务费用账户的明细。</t>
    </r>
  </si>
  <si>
    <r>
      <rPr>
        <sz val="14"/>
        <rFont val="微软雅黑"/>
        <family val="2"/>
        <charset val="134"/>
      </rPr>
      <t>对于单项金额重大的财务费用，需要获取该单项费用的组成明细，需要获取支持性文件如合同等，在必要时进行费用测试。</t>
    </r>
  </si>
  <si>
    <r>
      <rPr>
        <sz val="14"/>
        <rFont val="微软雅黑"/>
        <family val="2"/>
        <charset val="134"/>
      </rPr>
      <t>我们对金额大于测试阈值或性质特殊的利息收入进行测试。</t>
    </r>
  </si>
  <si>
    <r>
      <t>&lt;Uexp</t>
    </r>
    <r>
      <rPr>
        <b/>
        <sz val="14"/>
        <color rgb="FFFF0000"/>
        <rFont val="微软雅黑"/>
        <family val="2"/>
        <charset val="134"/>
      </rPr>
      <t>利息测试</t>
    </r>
    <r>
      <rPr>
        <b/>
        <sz val="14"/>
        <color rgb="FFFF0000"/>
        <rFont val="Arial"/>
        <family val="2"/>
      </rPr>
      <t>&gt;</t>
    </r>
  </si>
  <si>
    <r>
      <rPr>
        <b/>
        <sz val="10"/>
        <color rgb="FF000000"/>
        <rFont val="微软雅黑"/>
        <family val="2"/>
        <charset val="134"/>
      </rPr>
      <t>合计</t>
    </r>
  </si>
  <si>
    <t>284a92ec-2ca6-4386-9d4e-e60c226247db</t>
    <phoneticPr fontId="136" type="noConversion"/>
  </si>
  <si>
    <r>
      <rPr>
        <b/>
        <sz val="16"/>
        <rFont val="微软雅黑"/>
        <family val="2"/>
        <charset val="134"/>
      </rPr>
      <t>必读！利息收入合理性测试适用范围：</t>
    </r>
  </si>
  <si>
    <r>
      <rPr>
        <b/>
        <u/>
        <sz val="14"/>
        <color indexed="8"/>
        <rFont val="微软雅黑"/>
        <family val="2"/>
        <charset val="134"/>
      </rPr>
      <t>目标</t>
    </r>
  </si>
  <si>
    <r>
      <rPr>
        <sz val="14"/>
        <color rgb="FF000000"/>
        <rFont val="微软雅黑"/>
        <family val="2"/>
        <charset val="134"/>
      </rPr>
      <t>测试货币资金的利息收入并通过与相关余额进行比较来检查合理性。</t>
    </r>
  </si>
  <si>
    <r>
      <rPr>
        <b/>
        <sz val="14"/>
        <color theme="1"/>
        <rFont val="微软雅黑"/>
        <family val="2"/>
        <charset val="134"/>
      </rPr>
      <t>序号</t>
    </r>
  </si>
  <si>
    <r>
      <rPr>
        <b/>
        <sz val="14"/>
        <color indexed="8"/>
        <rFont val="微软雅黑"/>
        <family val="2"/>
        <charset val="134"/>
      </rPr>
      <t>执行的测试</t>
    </r>
  </si>
  <si>
    <r>
      <rPr>
        <b/>
        <sz val="14"/>
        <color theme="1"/>
        <rFont val="微软雅黑"/>
        <family val="2"/>
        <charset val="134"/>
      </rPr>
      <t>程序表</t>
    </r>
  </si>
  <si>
    <r>
      <rPr>
        <b/>
        <sz val="14"/>
        <color theme="1"/>
        <rFont val="微软雅黑"/>
        <family val="2"/>
        <charset val="134"/>
      </rPr>
      <t>执行注意事项</t>
    </r>
  </si>
  <si>
    <r>
      <rPr>
        <sz val="14"/>
        <color rgb="FF000000"/>
        <rFont val="微软雅黑"/>
        <family val="2"/>
        <charset val="134"/>
      </rPr>
      <t>活期存款</t>
    </r>
  </si>
  <si>
    <r>
      <t>C_</t>
    </r>
    <r>
      <rPr>
        <b/>
        <sz val="14"/>
        <color rgb="FFFF0000"/>
        <rFont val="微软雅黑"/>
        <family val="2"/>
        <charset val="134"/>
      </rPr>
      <t>货币资金</t>
    </r>
  </si>
  <si>
    <r>
      <rPr>
        <sz val="14"/>
        <color rgb="FF000000"/>
        <rFont val="微软雅黑"/>
        <family val="2"/>
        <charset val="134"/>
      </rPr>
      <t>核对期末活期存款金额至公司期末银行存款明细清单。</t>
    </r>
  </si>
  <si>
    <r>
      <rPr>
        <sz val="14"/>
        <color rgb="FF000000"/>
        <rFont val="微软雅黑"/>
        <family val="2"/>
        <charset val="134"/>
      </rPr>
      <t>针对活期存款</t>
    </r>
    <r>
      <rPr>
        <sz val="14"/>
        <color rgb="FF000000"/>
        <rFont val="Arial"/>
        <family val="2"/>
      </rPr>
      <t>/</t>
    </r>
    <r>
      <rPr>
        <sz val="14"/>
        <color rgb="FF000000"/>
        <rFont val="微软雅黑"/>
        <family val="2"/>
        <charset val="134"/>
      </rPr>
      <t>协定存款</t>
    </r>
    <r>
      <rPr>
        <sz val="14"/>
        <color rgb="FF000000"/>
        <rFont val="Arial"/>
        <family val="2"/>
      </rPr>
      <t>/</t>
    </r>
    <r>
      <rPr>
        <sz val="14"/>
        <color rgb="FF000000"/>
        <rFont val="微软雅黑"/>
        <family val="2"/>
        <charset val="134"/>
      </rPr>
      <t>通知存款，使用期初、期末平均余额乘以适用的利率，测算本期利息收入。</t>
    </r>
  </si>
  <si>
    <r>
      <rPr>
        <sz val="14"/>
        <color rgb="FF000000"/>
        <rFont val="微软雅黑"/>
        <family val="2"/>
        <charset val="134"/>
      </rPr>
      <t>与财务费用底稿里的公司活期存款</t>
    </r>
    <r>
      <rPr>
        <sz val="14"/>
        <color rgb="FF000000"/>
        <rFont val="Arial"/>
        <family val="2"/>
      </rPr>
      <t>/</t>
    </r>
    <r>
      <rPr>
        <sz val="14"/>
        <color rgb="FF000000"/>
        <rFont val="微软雅黑"/>
        <family val="2"/>
        <charset val="134"/>
      </rPr>
      <t>协定存款</t>
    </r>
    <r>
      <rPr>
        <sz val="14"/>
        <color rgb="FF000000"/>
        <rFont val="Arial"/>
        <family val="2"/>
      </rPr>
      <t>/</t>
    </r>
    <r>
      <rPr>
        <sz val="14"/>
        <color rgb="FF000000"/>
        <rFont val="微软雅黑"/>
        <family val="2"/>
        <charset val="134"/>
      </rPr>
      <t>通知存款进行差异比较，若差异金额大于</t>
    </r>
    <r>
      <rPr>
        <sz val="14"/>
        <color rgb="FF000000"/>
        <rFont val="Arial"/>
        <family val="2"/>
      </rPr>
      <t>TT</t>
    </r>
    <r>
      <rPr>
        <sz val="14"/>
        <color rgb="FF000000"/>
        <rFont val="微软雅黑"/>
        <family val="2"/>
        <charset val="134"/>
      </rPr>
      <t>则调查原因及是否需要调整。必要时，采取月平均余额进行测算</t>
    </r>
  </si>
  <si>
    <r>
      <rPr>
        <sz val="14"/>
        <color rgb="FF000000"/>
        <rFont val="微软雅黑"/>
        <family val="2"/>
        <charset val="134"/>
      </rPr>
      <t>定期存款</t>
    </r>
  </si>
  <si>
    <r>
      <rPr>
        <sz val="14"/>
        <color rgb="FF000000"/>
        <rFont val="微软雅黑"/>
        <family val="2"/>
        <charset val="134"/>
      </rPr>
      <t>获取公司【</t>
    </r>
    <r>
      <rPr>
        <sz val="14"/>
        <color rgb="FF0070C0"/>
        <rFont val="Arial"/>
        <family val="2"/>
      </rPr>
      <t>20__</t>
    </r>
    <r>
      <rPr>
        <sz val="14"/>
        <color rgb="FF0070C0"/>
        <rFont val="微软雅黑"/>
        <family val="2"/>
        <charset val="134"/>
      </rPr>
      <t>年</t>
    </r>
    <r>
      <rPr>
        <sz val="14"/>
        <color rgb="FF0070C0"/>
        <rFont val="Arial"/>
        <family val="2"/>
      </rPr>
      <t>1</t>
    </r>
    <r>
      <rPr>
        <sz val="14"/>
        <color rgb="FF0070C0"/>
        <rFont val="微软雅黑"/>
        <family val="2"/>
        <charset val="134"/>
      </rPr>
      <t>月</t>
    </r>
    <r>
      <rPr>
        <sz val="14"/>
        <color rgb="FF0070C0"/>
        <rFont val="Arial"/>
        <family val="2"/>
      </rPr>
      <t>1</t>
    </r>
    <r>
      <rPr>
        <sz val="14"/>
        <color rgb="FF0070C0"/>
        <rFont val="微软雅黑"/>
        <family val="2"/>
        <charset val="134"/>
      </rPr>
      <t>日至</t>
    </r>
    <r>
      <rPr>
        <sz val="14"/>
        <color rgb="FF0070C0"/>
        <rFont val="Arial"/>
        <family val="2"/>
      </rPr>
      <t>20__</t>
    </r>
    <r>
      <rPr>
        <sz val="14"/>
        <color rgb="FF0070C0"/>
        <rFont val="微软雅黑"/>
        <family val="2"/>
        <charset val="134"/>
      </rPr>
      <t>年</t>
    </r>
    <r>
      <rPr>
        <sz val="14"/>
        <color rgb="FF0070C0"/>
        <rFont val="Arial"/>
        <family val="2"/>
      </rPr>
      <t>12</t>
    </r>
    <r>
      <rPr>
        <sz val="14"/>
        <color rgb="FF0070C0"/>
        <rFont val="微软雅黑"/>
        <family val="2"/>
        <charset val="134"/>
      </rPr>
      <t>月</t>
    </r>
    <r>
      <rPr>
        <sz val="14"/>
        <color rgb="FF0070C0"/>
        <rFont val="Arial"/>
        <family val="2"/>
      </rPr>
      <t>31</t>
    </r>
    <r>
      <rPr>
        <sz val="14"/>
        <color rgb="FF0070C0"/>
        <rFont val="微软雅黑"/>
        <family val="2"/>
        <charset val="134"/>
      </rPr>
      <t>日</t>
    </r>
    <r>
      <rPr>
        <sz val="14"/>
        <color rgb="FF000000"/>
        <rFont val="微软雅黑"/>
        <family val="2"/>
        <charset val="134"/>
      </rPr>
      <t>】的定期存款明细清单（包含期末已到期的定期存款）。</t>
    </r>
  </si>
  <si>
    <r>
      <rPr>
        <b/>
        <sz val="14"/>
        <color rgb="FFFF0000"/>
        <rFont val="微软雅黑"/>
        <family val="2"/>
        <charset val="134"/>
      </rPr>
      <t>表</t>
    </r>
    <r>
      <rPr>
        <b/>
        <sz val="14"/>
        <color rgb="FFFF0000"/>
        <rFont val="Arial"/>
        <family val="2"/>
      </rPr>
      <t>2</t>
    </r>
  </si>
  <si>
    <r>
      <rPr>
        <sz val="14"/>
        <color rgb="FF000000"/>
        <rFont val="微软雅黑"/>
        <family val="2"/>
        <charset val="134"/>
      </rPr>
      <t>核对期末尚未到期的定期存款金额至公司期末银行存款明细清单。</t>
    </r>
  </si>
  <si>
    <r>
      <rPr>
        <sz val="14"/>
        <color rgb="FF000000"/>
        <rFont val="微软雅黑"/>
        <family val="2"/>
        <charset val="134"/>
      </rPr>
      <t>针对定期存款，使用本金、利率、存款期限测算本期利息收入。</t>
    </r>
  </si>
  <si>
    <r>
      <rPr>
        <sz val="14"/>
        <color rgb="FF000000"/>
        <rFont val="微软雅黑"/>
        <family val="2"/>
        <charset val="134"/>
      </rPr>
      <t>与财务费用底稿里的公司定期存款利息收入进行差异比较，若差异金额大于</t>
    </r>
    <r>
      <rPr>
        <sz val="14"/>
        <color rgb="FF000000"/>
        <rFont val="Arial"/>
        <family val="2"/>
      </rPr>
      <t>TT</t>
    </r>
    <r>
      <rPr>
        <sz val="14"/>
        <color rgb="FF000000"/>
        <rFont val="微软雅黑"/>
        <family val="2"/>
        <charset val="134"/>
      </rPr>
      <t>则调查原因及是否需要调整。</t>
    </r>
  </si>
  <si>
    <r>
      <rPr>
        <sz val="14"/>
        <color rgb="FF000000"/>
        <rFont val="微软雅黑"/>
        <family val="2"/>
        <charset val="134"/>
      </rPr>
      <t>其他利息类型</t>
    </r>
  </si>
  <si>
    <r>
      <rPr>
        <b/>
        <sz val="14"/>
        <color rgb="FFFF0000"/>
        <rFont val="微软雅黑"/>
        <family val="2"/>
        <charset val="134"/>
      </rPr>
      <t>表</t>
    </r>
    <r>
      <rPr>
        <b/>
        <sz val="14"/>
        <color rgb="FFFF0000"/>
        <rFont val="Arial"/>
        <family val="2"/>
      </rPr>
      <t>3</t>
    </r>
  </si>
  <si>
    <r>
      <rPr>
        <b/>
        <sz val="10"/>
        <color indexed="8"/>
        <rFont val="微软雅黑"/>
        <family val="2"/>
        <charset val="134"/>
      </rPr>
      <t>对货币资金的利息收入进行测算</t>
    </r>
    <r>
      <rPr>
        <b/>
        <sz val="10"/>
        <color rgb="FF000000"/>
        <rFont val="Arial"/>
        <family val="2"/>
      </rPr>
      <t>——</t>
    </r>
    <r>
      <rPr>
        <b/>
        <sz val="10"/>
        <color indexed="8"/>
        <rFont val="微软雅黑"/>
        <family val="2"/>
        <charset val="134"/>
      </rPr>
      <t>活期存款：</t>
    </r>
  </si>
  <si>
    <t>|----------------------------------------C100 -----------------------------------------------------|</t>
  </si>
  <si>
    <t>CC=(AA+BB)/2</t>
    <phoneticPr fontId="136" type="noConversion"/>
  </si>
  <si>
    <t>EE</t>
    <phoneticPr fontId="136" type="noConversion"/>
  </si>
  <si>
    <t>FF=CC*DD*EE</t>
    <phoneticPr fontId="136" type="noConversion"/>
  </si>
  <si>
    <r>
      <rPr>
        <b/>
        <sz val="10"/>
        <color indexed="8"/>
        <rFont val="微软雅黑"/>
        <family val="2"/>
        <charset val="134"/>
      </rPr>
      <t>账套名称</t>
    </r>
    <r>
      <rPr>
        <b/>
        <sz val="10"/>
        <color rgb="FF000000"/>
        <rFont val="Arial"/>
        <family val="2"/>
      </rPr>
      <t>/</t>
    </r>
    <r>
      <rPr>
        <b/>
        <sz val="10"/>
        <color indexed="8"/>
        <rFont val="微软雅黑"/>
        <family val="2"/>
        <charset val="134"/>
      </rPr>
      <t>账套编码</t>
    </r>
    <r>
      <rPr>
        <b/>
        <sz val="10"/>
        <color rgb="FF000000"/>
        <rFont val="Arial"/>
        <family val="2"/>
      </rPr>
      <t xml:space="preserve"> </t>
    </r>
  </si>
  <si>
    <r>
      <rPr>
        <b/>
        <sz val="10"/>
        <rFont val="微软雅黑"/>
        <family val="2"/>
        <charset val="134"/>
      </rPr>
      <t>末级科目</t>
    </r>
  </si>
  <si>
    <r>
      <rPr>
        <b/>
        <sz val="10"/>
        <rFont val="微软雅黑"/>
        <family val="2"/>
        <charset val="134"/>
      </rPr>
      <t>账号</t>
    </r>
  </si>
  <si>
    <r>
      <rPr>
        <b/>
        <sz val="10"/>
        <rFont val="微软雅黑"/>
        <family val="2"/>
        <charset val="134"/>
      </rPr>
      <t>账户名称</t>
    </r>
  </si>
  <si>
    <r>
      <rPr>
        <b/>
        <sz val="10"/>
        <rFont val="微软雅黑"/>
        <family val="2"/>
        <charset val="134"/>
      </rPr>
      <t>原币币种</t>
    </r>
  </si>
  <si>
    <r>
      <rPr>
        <b/>
        <sz val="10"/>
        <rFont val="微软雅黑"/>
        <family val="2"/>
        <charset val="134"/>
      </rPr>
      <t>期末原币</t>
    </r>
  </si>
  <si>
    <r>
      <rPr>
        <b/>
        <sz val="10"/>
        <rFont val="微软雅黑"/>
        <family val="2"/>
        <charset val="134"/>
      </rPr>
      <t>期初原币金额</t>
    </r>
  </si>
  <si>
    <r>
      <rPr>
        <b/>
        <sz val="10"/>
        <rFont val="微软雅黑"/>
        <family val="2"/>
        <charset val="134"/>
      </rPr>
      <t>本期原币平均余额</t>
    </r>
  </si>
  <si>
    <r>
      <rPr>
        <b/>
        <sz val="10"/>
        <rFont val="微软雅黑"/>
        <family val="2"/>
        <charset val="134"/>
      </rPr>
      <t>适用活期利率</t>
    </r>
  </si>
  <si>
    <r>
      <rPr>
        <b/>
        <sz val="10"/>
        <rFont val="微软雅黑"/>
        <family val="2"/>
        <charset val="134"/>
      </rPr>
      <t>汇率（如适用）</t>
    </r>
  </si>
  <si>
    <r>
      <rPr>
        <b/>
        <sz val="10"/>
        <rFont val="微软雅黑"/>
        <family val="2"/>
        <charset val="134"/>
      </rPr>
      <t>安永测算本期利息收入</t>
    </r>
  </si>
  <si>
    <r>
      <rPr>
        <b/>
        <sz val="10"/>
        <color theme="1"/>
        <rFont val="微软雅黑"/>
        <family val="2"/>
        <charset val="134"/>
      </rPr>
      <t>合计</t>
    </r>
  </si>
  <si>
    <t>C.01.1</t>
  </si>
  <si>
    <r>
      <rPr>
        <sz val="10"/>
        <color theme="1"/>
        <rFont val="微软雅黑"/>
        <family val="2"/>
        <charset val="134"/>
      </rPr>
      <t>活期存款</t>
    </r>
  </si>
  <si>
    <r>
      <rPr>
        <b/>
        <sz val="10"/>
        <color rgb="FFFF0000"/>
        <rFont val="微软雅黑"/>
        <family val="2"/>
        <charset val="134"/>
      </rPr>
      <t>表</t>
    </r>
    <r>
      <rPr>
        <b/>
        <sz val="10"/>
        <color rgb="FFFF0000"/>
        <rFont val="Arial"/>
        <family val="2"/>
      </rPr>
      <t>2</t>
    </r>
  </si>
  <si>
    <r>
      <rPr>
        <b/>
        <sz val="10"/>
        <color indexed="8"/>
        <rFont val="微软雅黑"/>
        <family val="2"/>
        <charset val="134"/>
      </rPr>
      <t>对货币资金的利息收入进行测算</t>
    </r>
    <r>
      <rPr>
        <b/>
        <sz val="10"/>
        <color indexed="8"/>
        <rFont val="Arial"/>
        <family val="2"/>
      </rPr>
      <t>——</t>
    </r>
    <r>
      <rPr>
        <b/>
        <sz val="10"/>
        <color indexed="8"/>
        <rFont val="微软雅黑"/>
        <family val="2"/>
        <charset val="134"/>
      </rPr>
      <t>定期存款：</t>
    </r>
  </si>
  <si>
    <t>CC</t>
    <phoneticPr fontId="136" type="noConversion"/>
  </si>
  <si>
    <t>EE=(AA*BB*CC/360)*DD</t>
    <phoneticPr fontId="136" type="noConversion"/>
  </si>
  <si>
    <t xml:space="preserve"> </t>
  </si>
  <si>
    <r>
      <rPr>
        <b/>
        <sz val="10"/>
        <rFont val="微软雅黑"/>
        <family val="2"/>
        <charset val="134"/>
      </rPr>
      <t>年利率</t>
    </r>
  </si>
  <si>
    <r>
      <rPr>
        <b/>
        <sz val="10"/>
        <rFont val="微软雅黑"/>
        <family val="2"/>
        <charset val="134"/>
      </rPr>
      <t>起息日</t>
    </r>
  </si>
  <si>
    <r>
      <rPr>
        <b/>
        <sz val="10"/>
        <rFont val="微软雅黑"/>
        <family val="2"/>
        <charset val="134"/>
      </rPr>
      <t>到期日</t>
    </r>
  </si>
  <si>
    <r>
      <rPr>
        <b/>
        <sz val="10"/>
        <rFont val="微软雅黑"/>
        <family val="2"/>
        <charset val="134"/>
      </rPr>
      <t>本年计息日</t>
    </r>
  </si>
  <si>
    <r>
      <rPr>
        <sz val="10"/>
        <color theme="1"/>
        <rFont val="微软雅黑"/>
        <family val="2"/>
        <charset val="134"/>
      </rPr>
      <t>定期存款</t>
    </r>
  </si>
  <si>
    <t>Uexp</t>
  </si>
  <si>
    <r>
      <rPr>
        <sz val="10"/>
        <color indexed="8"/>
        <rFont val="微软雅黑"/>
        <family val="2"/>
        <charset val="134"/>
      </rPr>
      <t>财务费用</t>
    </r>
    <r>
      <rPr>
        <sz val="10"/>
        <color indexed="8"/>
        <rFont val="Arial"/>
        <family val="2"/>
      </rPr>
      <t>-</t>
    </r>
    <r>
      <rPr>
        <sz val="10"/>
        <color indexed="8"/>
        <rFont val="微软雅黑"/>
        <family val="2"/>
        <charset val="134"/>
      </rPr>
      <t>利息收入</t>
    </r>
    <r>
      <rPr>
        <sz val="10"/>
        <color indexed="8"/>
        <rFont val="Arial"/>
        <family val="2"/>
      </rPr>
      <t>-</t>
    </r>
    <r>
      <rPr>
        <sz val="10"/>
        <color indexed="8"/>
        <rFont val="微软雅黑"/>
        <family val="2"/>
        <charset val="134"/>
      </rPr>
      <t>活期</t>
    </r>
  </si>
  <si>
    <r>
      <rPr>
        <sz val="10"/>
        <color indexed="8"/>
        <rFont val="微软雅黑"/>
        <family val="2"/>
        <charset val="134"/>
      </rPr>
      <t>财务费用</t>
    </r>
    <r>
      <rPr>
        <sz val="10"/>
        <color indexed="8"/>
        <rFont val="Arial"/>
        <family val="2"/>
      </rPr>
      <t>-</t>
    </r>
    <r>
      <rPr>
        <sz val="10"/>
        <color indexed="8"/>
        <rFont val="微软雅黑"/>
        <family val="2"/>
        <charset val="134"/>
      </rPr>
      <t>利息收入</t>
    </r>
    <r>
      <rPr>
        <sz val="10"/>
        <color indexed="8"/>
        <rFont val="Arial"/>
        <family val="2"/>
      </rPr>
      <t>-</t>
    </r>
    <r>
      <rPr>
        <sz val="10"/>
        <color indexed="8"/>
        <rFont val="微软雅黑"/>
        <family val="2"/>
        <charset val="134"/>
      </rPr>
      <t>定期</t>
    </r>
  </si>
  <si>
    <r>
      <rPr>
        <sz val="10"/>
        <color indexed="8"/>
        <rFont val="微软雅黑"/>
        <family val="2"/>
        <charset val="134"/>
      </rPr>
      <t>财务费用</t>
    </r>
    <r>
      <rPr>
        <sz val="10"/>
        <color indexed="8"/>
        <rFont val="Arial"/>
        <family val="2"/>
      </rPr>
      <t>-</t>
    </r>
    <r>
      <rPr>
        <sz val="10"/>
        <color indexed="8"/>
        <rFont val="微软雅黑"/>
        <family val="2"/>
        <charset val="134"/>
      </rPr>
      <t>利息收入（其他）</t>
    </r>
  </si>
  <si>
    <r>
      <rPr>
        <sz val="10"/>
        <color theme="1"/>
        <rFont val="微软雅黑"/>
        <family val="2"/>
        <charset val="134"/>
      </rPr>
      <t>合计</t>
    </r>
  </si>
  <si>
    <t>Total Diff</t>
  </si>
  <si>
    <r>
      <rPr>
        <b/>
        <sz val="10"/>
        <color theme="1"/>
        <rFont val="微软雅黑"/>
        <family val="2"/>
        <charset val="134"/>
      </rPr>
      <t>其他利息测算，项目组自行设计</t>
    </r>
  </si>
  <si>
    <t>d5aed963-ff0a-445a-8114-fb83b79025eb</t>
    <phoneticPr fontId="136" type="noConversion"/>
  </si>
  <si>
    <r>
      <t>1.</t>
    </r>
    <r>
      <rPr>
        <sz val="14"/>
        <rFont val="微软雅黑"/>
        <family val="2"/>
        <charset val="134"/>
      </rPr>
      <t>通过执行分析和调查两期的其他收益重大变动来确定其变动是否合理。</t>
    </r>
  </si>
  <si>
    <r>
      <rPr>
        <sz val="14"/>
        <rFont val="微软雅黑"/>
        <family val="2"/>
        <charset val="134"/>
      </rPr>
      <t>获取本期其他收益的明细表，将本期金额与</t>
    </r>
    <r>
      <rPr>
        <sz val="14"/>
        <rFont val="Arial"/>
        <family val="2"/>
      </rPr>
      <t>TB</t>
    </r>
    <r>
      <rPr>
        <sz val="14"/>
        <rFont val="微软雅黑"/>
        <family val="2"/>
        <charset val="134"/>
      </rPr>
      <t>或报表数核对一致，上期数与上期管理层报表数或审计审定数核对一致。</t>
    </r>
  </si>
  <si>
    <r>
      <rPr>
        <sz val="14"/>
        <rFont val="微软雅黑"/>
        <family val="2"/>
        <charset val="134"/>
      </rPr>
      <t>对于当期收到政府补助款项一次性计入其他收益的大额政府补助项目，获取并查看支持性文件和银行水单。</t>
    </r>
  </si>
  <si>
    <r>
      <rPr>
        <b/>
        <sz val="14"/>
        <color indexed="10"/>
        <rFont val="微软雅黑"/>
        <family val="2"/>
        <charset val="134"/>
      </rPr>
      <t>表</t>
    </r>
    <r>
      <rPr>
        <b/>
        <sz val="14"/>
        <color rgb="FFFF0000"/>
        <rFont val="Arial"/>
        <family val="2"/>
      </rPr>
      <t>2</t>
    </r>
    <phoneticPr fontId="136" type="noConversion"/>
  </si>
  <si>
    <r>
      <rPr>
        <sz val="14"/>
        <rFont val="微软雅黑"/>
        <family val="2"/>
        <charset val="134"/>
      </rPr>
      <t>复核政府补助明细表（如有），对政府补助计入其他收益部分判断是否计入恰当的科目，管理层是否进行正确的会计处理。</t>
    </r>
  </si>
  <si>
    <r>
      <rPr>
        <b/>
        <sz val="10"/>
        <color rgb="FFFF0000"/>
        <rFont val="微软雅黑"/>
        <family val="2"/>
        <charset val="134"/>
      </rPr>
      <t>表</t>
    </r>
    <r>
      <rPr>
        <b/>
        <sz val="10"/>
        <color rgb="FFFF0000"/>
        <rFont val="Arial"/>
        <family val="2"/>
      </rPr>
      <t>2</t>
    </r>
    <phoneticPr fontId="136" type="noConversion"/>
  </si>
  <si>
    <t>对于当期收到政府补助款项一次性计入其他收益的大额政府补助项目，获取并查看支持性文件和银行水单。</t>
  </si>
  <si>
    <r>
      <rPr>
        <b/>
        <sz val="10"/>
        <rFont val="微软雅黑"/>
        <family val="2"/>
        <charset val="134"/>
      </rPr>
      <t>政府补助名称</t>
    </r>
  </si>
  <si>
    <r>
      <rPr>
        <b/>
        <sz val="10"/>
        <rFont val="微软雅黑"/>
        <family val="2"/>
        <charset val="134"/>
      </rPr>
      <t>金额</t>
    </r>
  </si>
  <si>
    <r>
      <rPr>
        <b/>
        <sz val="10"/>
        <rFont val="微软雅黑"/>
        <family val="2"/>
        <charset val="134"/>
      </rPr>
      <t>支持性文件</t>
    </r>
  </si>
  <si>
    <r>
      <rPr>
        <b/>
        <sz val="10"/>
        <rFont val="微软雅黑"/>
        <family val="2"/>
        <charset val="134"/>
      </rPr>
      <t>银行</t>
    </r>
  </si>
  <si>
    <r>
      <rPr>
        <b/>
        <sz val="10"/>
        <rFont val="微软雅黑"/>
        <family val="2"/>
        <charset val="134"/>
      </rPr>
      <t>检查的其他会计凭证（如有）</t>
    </r>
  </si>
  <si>
    <r>
      <rPr>
        <b/>
        <sz val="10"/>
        <rFont val="微软雅黑"/>
        <family val="2"/>
        <charset val="134"/>
      </rPr>
      <t>会计处理是否恰当</t>
    </r>
  </si>
  <si>
    <r>
      <rPr>
        <b/>
        <sz val="10"/>
        <rFont val="微软雅黑"/>
        <family val="2"/>
        <charset val="134"/>
      </rPr>
      <t>是否需要进行调整</t>
    </r>
  </si>
  <si>
    <r>
      <rPr>
        <b/>
        <sz val="10"/>
        <rFont val="微软雅黑"/>
        <family val="2"/>
        <charset val="134"/>
      </rPr>
      <t>调整金额</t>
    </r>
  </si>
  <si>
    <t>24c95553-06d4-415a-96fe-a3f6e73262de</t>
    <phoneticPr fontId="136" type="noConversion"/>
  </si>
  <si>
    <r>
      <t>1.</t>
    </r>
    <r>
      <rPr>
        <sz val="14"/>
        <rFont val="微软雅黑"/>
        <family val="2"/>
        <charset val="134"/>
      </rPr>
      <t>通过执行分析和调查两期的投资收益重大变动来确定其变动是否合理。</t>
    </r>
  </si>
  <si>
    <r>
      <rPr>
        <sz val="14"/>
        <rFont val="微软雅黑"/>
        <family val="2"/>
        <charset val="134"/>
      </rPr>
      <t>从管理层处取得本期投资收益账户的明细。</t>
    </r>
  </si>
  <si>
    <r>
      <rPr>
        <sz val="14"/>
        <rFont val="微软雅黑"/>
        <family val="2"/>
        <charset val="134"/>
      </rPr>
      <t>对于单项重大的投资收益，需要获取该单项收益的组成明细，需要获取支持性文件如合同等，在必要时进行收入测试。</t>
    </r>
  </si>
  <si>
    <r>
      <rPr>
        <b/>
        <sz val="10"/>
        <rFont val="微软雅黑"/>
        <family val="2"/>
        <charset val="134"/>
      </rPr>
      <t>对于单项收入类别金额占整个投资收益比例达到一定比例查看</t>
    </r>
    <r>
      <rPr>
        <b/>
        <sz val="10"/>
        <rFont val="Arial"/>
        <family val="2"/>
      </rPr>
      <t>J</t>
    </r>
    <r>
      <rPr>
        <b/>
        <sz val="10"/>
        <rFont val="微软雅黑"/>
        <family val="2"/>
        <charset val="134"/>
      </rPr>
      <t>列，需要获取该单项收入的组成明细，需要获取支持性文件如合同等，在必要时进行收入测试。（</t>
    </r>
    <r>
      <rPr>
        <b/>
        <i/>
        <sz val="10"/>
        <color rgb="FFFF0000"/>
        <rFont val="微软雅黑"/>
        <family val="2"/>
        <charset val="134"/>
      </rPr>
      <t>表格请审计团队自行设计</t>
    </r>
    <r>
      <rPr>
        <b/>
        <sz val="10"/>
        <rFont val="微软雅黑"/>
        <family val="2"/>
        <charset val="134"/>
      </rPr>
      <t>）</t>
    </r>
  </si>
  <si>
    <t>099b5e22-59e3-4498-8c64-7188848172a8</t>
    <phoneticPr fontId="136" type="noConversion"/>
  </si>
  <si>
    <r>
      <t>1.</t>
    </r>
    <r>
      <rPr>
        <sz val="14"/>
        <rFont val="微软雅黑"/>
        <family val="2"/>
        <charset val="134"/>
      </rPr>
      <t>通过执行分析和调查两期的公允价值变动损益重大变动来确定其变动是否合理。</t>
    </r>
  </si>
  <si>
    <r>
      <rPr>
        <sz val="14"/>
        <rFont val="微软雅黑"/>
        <family val="2"/>
        <charset val="134"/>
      </rPr>
      <t>从管理层处取得本期公允价值变动损益账户的明细。</t>
    </r>
  </si>
  <si>
    <r>
      <rPr>
        <sz val="14"/>
        <rFont val="微软雅黑"/>
        <family val="2"/>
        <charset val="134"/>
      </rPr>
      <t>对于单项重大的公允价值变动损益，需要获取该单项损益的组成明细，需要获取支持性文件如合同等，在必要时进行损益测试。</t>
    </r>
  </si>
  <si>
    <r>
      <rPr>
        <sz val="14"/>
        <rFont val="微软雅黑"/>
        <family val="2"/>
        <charset val="134"/>
      </rPr>
      <t>已经在表</t>
    </r>
    <r>
      <rPr>
        <sz val="14"/>
        <rFont val="Arial"/>
        <family val="2"/>
      </rPr>
      <t>1</t>
    </r>
    <r>
      <rPr>
        <sz val="14"/>
        <rFont val="微软雅黑"/>
        <family val="2"/>
        <charset val="134"/>
      </rPr>
      <t>中执行</t>
    </r>
    <r>
      <rPr>
        <sz val="14"/>
        <rFont val="Arial"/>
        <family val="2"/>
      </rPr>
      <t>X-REF</t>
    </r>
    <r>
      <rPr>
        <sz val="14"/>
        <rFont val="微软雅黑"/>
        <family val="2"/>
        <charset val="134"/>
      </rPr>
      <t>程序的费用类型，无需再执行表</t>
    </r>
    <r>
      <rPr>
        <sz val="14"/>
        <rFont val="Arial"/>
        <family val="2"/>
      </rPr>
      <t>3.</t>
    </r>
  </si>
  <si>
    <r>
      <rPr>
        <b/>
        <sz val="10"/>
        <color rgb="FFFF0000"/>
        <rFont val="微软雅黑"/>
        <family val="2"/>
        <charset val="134"/>
      </rPr>
      <t>表</t>
    </r>
    <r>
      <rPr>
        <b/>
        <sz val="10"/>
        <color rgb="FFFF0000"/>
        <rFont val="Arial"/>
        <family val="2"/>
      </rPr>
      <t xml:space="preserve">2 </t>
    </r>
    <phoneticPr fontId="136" type="noConversion"/>
  </si>
  <si>
    <r>
      <rPr>
        <b/>
        <sz val="10"/>
        <rFont val="微软雅黑"/>
        <family val="2"/>
        <charset val="134"/>
      </rPr>
      <t>对于单项收入类别金额占整个投资收益比例达到一定比例查看</t>
    </r>
    <r>
      <rPr>
        <b/>
        <sz val="10"/>
        <rFont val="Arial"/>
        <family val="2"/>
      </rPr>
      <t>J</t>
    </r>
    <r>
      <rPr>
        <b/>
        <sz val="10"/>
        <rFont val="微软雅黑"/>
        <family val="2"/>
        <charset val="134"/>
      </rPr>
      <t>列，需要获取该单项收入的组成明细，需要获取支持性文件如合同等，在必要时进行收入测试。（</t>
    </r>
    <r>
      <rPr>
        <b/>
        <sz val="10"/>
        <color rgb="FFFF0000"/>
        <rFont val="微软雅黑"/>
        <family val="2"/>
        <charset val="134"/>
      </rPr>
      <t>表格请审计团队自行设计</t>
    </r>
    <r>
      <rPr>
        <b/>
        <sz val="10"/>
        <rFont val="微软雅黑"/>
        <family val="2"/>
        <charset val="134"/>
      </rPr>
      <t>）</t>
    </r>
  </si>
  <si>
    <t>08d7c109-e271-44be-96d8-8a34f7c9239f</t>
    <phoneticPr fontId="136" type="noConversion"/>
  </si>
  <si>
    <r>
      <t>1.</t>
    </r>
    <r>
      <rPr>
        <sz val="14"/>
        <rFont val="微软雅黑"/>
        <family val="2"/>
        <charset val="134"/>
      </rPr>
      <t>通过执行分析和调查两期的信用减值损失重大变动来确定其变动是否合理。</t>
    </r>
  </si>
  <si>
    <r>
      <rPr>
        <sz val="14"/>
        <rFont val="微软雅黑"/>
        <family val="2"/>
        <charset val="134"/>
      </rPr>
      <t>从管理层处取得本期信用减值损失账户的明细。</t>
    </r>
  </si>
  <si>
    <r>
      <rPr>
        <sz val="14"/>
        <rFont val="微软雅黑"/>
        <family val="2"/>
        <charset val="134"/>
      </rPr>
      <t>对于单项重大的损失，需要获取该单项损失的组成明细，需要获取支持性文件如合同等，在必要时进行费用测试。</t>
    </r>
  </si>
  <si>
    <r>
      <rPr>
        <b/>
        <sz val="10"/>
        <rFont val="微软雅黑"/>
        <family val="2"/>
        <charset val="134"/>
      </rPr>
      <t>与财务报表核对如下：</t>
    </r>
  </si>
  <si>
    <r>
      <rPr>
        <sz val="10"/>
        <rFont val="微软雅黑"/>
        <family val="2"/>
        <charset val="134"/>
      </rPr>
      <t>交叉索引</t>
    </r>
  </si>
  <si>
    <r>
      <rPr>
        <sz val="10"/>
        <rFont val="微软雅黑"/>
        <family val="2"/>
        <charset val="134"/>
      </rPr>
      <t>金额</t>
    </r>
  </si>
  <si>
    <r>
      <rPr>
        <sz val="10"/>
        <color theme="1"/>
        <rFont val="微软雅黑"/>
        <family val="2"/>
        <charset val="134"/>
      </rPr>
      <t>应收票据坏账损失</t>
    </r>
  </si>
  <si>
    <r>
      <rPr>
        <sz val="10"/>
        <color theme="1"/>
        <rFont val="微软雅黑"/>
        <family val="2"/>
        <charset val="134"/>
      </rPr>
      <t>应收账款坏账损失</t>
    </r>
  </si>
  <si>
    <r>
      <rPr>
        <sz val="10"/>
        <color theme="1"/>
        <rFont val="微软雅黑"/>
        <family val="2"/>
        <charset val="134"/>
      </rPr>
      <t>其他应收款坏账损失</t>
    </r>
  </si>
  <si>
    <r>
      <rPr>
        <sz val="10"/>
        <color theme="1"/>
        <rFont val="微软雅黑"/>
        <family val="2"/>
        <charset val="134"/>
      </rPr>
      <t>债权投资减值损失</t>
    </r>
  </si>
  <si>
    <r>
      <rPr>
        <sz val="10"/>
        <color theme="1"/>
        <rFont val="微软雅黑"/>
        <family val="2"/>
        <charset val="134"/>
      </rPr>
      <t>其他债权投资减值损失</t>
    </r>
  </si>
  <si>
    <r>
      <rPr>
        <sz val="10"/>
        <color theme="1"/>
        <rFont val="微软雅黑"/>
        <family val="2"/>
        <charset val="134"/>
      </rPr>
      <t>财务担保合同减值损失</t>
    </r>
  </si>
  <si>
    <r>
      <rPr>
        <sz val="10"/>
        <rFont val="微软雅黑"/>
        <family val="2"/>
        <charset val="134"/>
      </rPr>
      <t>长期应收款坏账损失</t>
    </r>
  </si>
  <si>
    <r>
      <rPr>
        <sz val="10"/>
        <color theme="1"/>
        <rFont val="微软雅黑"/>
        <family val="2"/>
        <charset val="134"/>
      </rPr>
      <t>其他</t>
    </r>
  </si>
  <si>
    <r>
      <rPr>
        <sz val="10"/>
        <color theme="1"/>
        <rFont val="微软雅黑"/>
        <family val="2"/>
        <charset val="134"/>
      </rPr>
      <t>差异</t>
    </r>
  </si>
  <si>
    <r>
      <rPr>
        <b/>
        <sz val="10"/>
        <rFont val="微软雅黑"/>
        <family val="2"/>
        <charset val="134"/>
      </rPr>
      <t>对于单项费用类别金额占整个信用减值损失比例达到一定比例查看</t>
    </r>
    <r>
      <rPr>
        <b/>
        <sz val="10"/>
        <rFont val="Arial"/>
        <family val="2"/>
      </rPr>
      <t>J</t>
    </r>
    <r>
      <rPr>
        <b/>
        <sz val="10"/>
        <rFont val="微软雅黑"/>
        <family val="2"/>
        <charset val="134"/>
      </rPr>
      <t>列，需要获取该单项费用的组成明细，需要获取支持性文件如合同等，在必要时进行费用测试。（</t>
    </r>
    <r>
      <rPr>
        <b/>
        <sz val="10"/>
        <color rgb="FFFF0000"/>
        <rFont val="微软雅黑"/>
        <family val="2"/>
        <charset val="134"/>
      </rPr>
      <t>表格请审计团队自行设计</t>
    </r>
    <r>
      <rPr>
        <b/>
        <sz val="10"/>
        <rFont val="微软雅黑"/>
        <family val="2"/>
        <charset val="134"/>
      </rPr>
      <t>）</t>
    </r>
  </si>
  <si>
    <t>40930b5d-0c3d-401d-8bf3-e5a34e5d8fd5</t>
    <phoneticPr fontId="136" type="noConversion"/>
  </si>
  <si>
    <r>
      <t>1.</t>
    </r>
    <r>
      <rPr>
        <sz val="14"/>
        <rFont val="微软雅黑"/>
        <family val="2"/>
        <charset val="134"/>
      </rPr>
      <t>通过执行分析和调查两期的资产减值损失重大变动来确定其变动是否合理。</t>
    </r>
  </si>
  <si>
    <r>
      <rPr>
        <sz val="14"/>
        <rFont val="微软雅黑"/>
        <family val="2"/>
        <charset val="134"/>
      </rPr>
      <t>从管理层处取得本期资产减值损失账户的明细。</t>
    </r>
  </si>
  <si>
    <r>
      <rPr>
        <sz val="14"/>
        <rFont val="微软雅黑"/>
        <family val="2"/>
        <charset val="134"/>
      </rPr>
      <t>对于单项重大的减值损失，需要获取该单项费用的组成明细，需要获取支持性文件如合同等，在必要时进行费用测试。</t>
    </r>
  </si>
  <si>
    <r>
      <rPr>
        <b/>
        <sz val="10"/>
        <rFont val="微软雅黑"/>
        <family val="2"/>
        <charset val="134"/>
      </rPr>
      <t>与资产负债表核对如下：</t>
    </r>
  </si>
  <si>
    <r>
      <rPr>
        <b/>
        <sz val="10"/>
        <rFont val="微软雅黑"/>
        <family val="2"/>
        <charset val="134"/>
      </rPr>
      <t>交叉索引</t>
    </r>
  </si>
  <si>
    <r>
      <rPr>
        <b/>
        <sz val="10"/>
        <rFont val="微软雅黑"/>
        <family val="2"/>
        <charset val="134"/>
      </rPr>
      <t>账套名称</t>
    </r>
    <r>
      <rPr>
        <b/>
        <sz val="10"/>
        <rFont val="Arial"/>
        <family val="2"/>
      </rPr>
      <t>/</t>
    </r>
    <r>
      <rPr>
        <b/>
        <sz val="10"/>
        <rFont val="微软雅黑"/>
        <family val="2"/>
        <charset val="134"/>
      </rPr>
      <t>账套编码</t>
    </r>
  </si>
  <si>
    <r>
      <rPr>
        <b/>
        <sz val="10"/>
        <rFont val="微软雅黑"/>
        <family val="2"/>
        <charset val="134"/>
      </rPr>
      <t>科目编码</t>
    </r>
  </si>
  <si>
    <r>
      <rPr>
        <b/>
        <sz val="10"/>
        <rFont val="微软雅黑"/>
        <family val="2"/>
        <charset val="134"/>
      </rPr>
      <t>科目名称</t>
    </r>
  </si>
  <si>
    <r>
      <rPr>
        <sz val="10"/>
        <rFont val="微软雅黑"/>
        <family val="2"/>
        <charset val="134"/>
      </rPr>
      <t>本年变动金额</t>
    </r>
  </si>
  <si>
    <r>
      <rPr>
        <sz val="10"/>
        <rFont val="微软雅黑"/>
        <family val="2"/>
        <charset val="134"/>
      </rPr>
      <t>固定资产减值准备本年变动额</t>
    </r>
  </si>
  <si>
    <r>
      <rPr>
        <sz val="10"/>
        <rFont val="微软雅黑"/>
        <family val="2"/>
        <charset val="134"/>
      </rPr>
      <t>无形资产减值准备本年变动额</t>
    </r>
  </si>
  <si>
    <r>
      <rPr>
        <sz val="10"/>
        <rFont val="微软雅黑"/>
        <family val="2"/>
        <charset val="134"/>
      </rPr>
      <t>在建工程减值准备本年变动额</t>
    </r>
  </si>
  <si>
    <r>
      <rPr>
        <sz val="10"/>
        <rFont val="微软雅黑"/>
        <family val="2"/>
        <charset val="134"/>
      </rPr>
      <t>投资性房地产减值准备本年变动额</t>
    </r>
  </si>
  <si>
    <r>
      <rPr>
        <sz val="10"/>
        <rFont val="微软雅黑"/>
        <family val="2"/>
        <charset val="134"/>
      </rPr>
      <t>长期股权投资减值准备本年变动额</t>
    </r>
  </si>
  <si>
    <r>
      <rPr>
        <b/>
        <sz val="10"/>
        <rFont val="微软雅黑"/>
        <family val="2"/>
        <charset val="134"/>
      </rPr>
      <t>【其他</t>
    </r>
    <r>
      <rPr>
        <b/>
        <sz val="10"/>
        <rFont val="Arial"/>
        <family val="2"/>
      </rPr>
      <t>-</t>
    </r>
    <r>
      <rPr>
        <b/>
        <sz val="10"/>
        <rFont val="微软雅黑"/>
        <family val="2"/>
        <charset val="134"/>
      </rPr>
      <t>可加行】</t>
    </r>
  </si>
  <si>
    <r>
      <rPr>
        <sz val="10"/>
        <rFont val="微软雅黑"/>
        <family val="2"/>
        <charset val="134"/>
      </rPr>
      <t>资产负债表科目金额小计</t>
    </r>
  </si>
  <si>
    <r>
      <rPr>
        <sz val="10"/>
        <rFont val="微软雅黑"/>
        <family val="2"/>
        <charset val="134"/>
      </rPr>
      <t>利润表资产减值损失金额</t>
    </r>
  </si>
  <si>
    <r>
      <rPr>
        <sz val="10"/>
        <rFont val="微软雅黑"/>
        <family val="2"/>
        <charset val="134"/>
      </rPr>
      <t>差异</t>
    </r>
  </si>
  <si>
    <r>
      <rPr>
        <b/>
        <sz val="10"/>
        <rFont val="微软雅黑"/>
        <family val="2"/>
        <charset val="134"/>
      </rPr>
      <t>对于单项费用类别金额占整个资产减值损失比例达到一定比例查看</t>
    </r>
    <r>
      <rPr>
        <b/>
        <sz val="10"/>
        <rFont val="Arial"/>
        <family val="2"/>
      </rPr>
      <t>J</t>
    </r>
    <r>
      <rPr>
        <b/>
        <sz val="10"/>
        <rFont val="微软雅黑"/>
        <family val="2"/>
        <charset val="134"/>
      </rPr>
      <t>列，需要获取该单项费用的组成明细，需要获取支持性文件如合同等，在必要时进行费用测试。（</t>
    </r>
    <r>
      <rPr>
        <b/>
        <sz val="10"/>
        <color rgb="FFFF0000"/>
        <rFont val="微软雅黑"/>
        <family val="2"/>
        <charset val="134"/>
      </rPr>
      <t>表格请审计团队自行设计</t>
    </r>
    <r>
      <rPr>
        <b/>
        <sz val="10"/>
        <rFont val="微软雅黑"/>
        <family val="2"/>
        <charset val="134"/>
      </rPr>
      <t>）</t>
    </r>
  </si>
  <si>
    <t>9044ccd0-ddb8-4146-932f-064afb5425f6</t>
    <phoneticPr fontId="136" type="noConversion"/>
  </si>
  <si>
    <r>
      <t>1.</t>
    </r>
    <r>
      <rPr>
        <sz val="14"/>
        <rFont val="微软雅黑"/>
        <family val="2"/>
        <charset val="134"/>
      </rPr>
      <t>通过执行分析和调查两期的资产处置损益重大变动来确定其变动是否合理。</t>
    </r>
  </si>
  <si>
    <r>
      <rPr>
        <sz val="14"/>
        <rFont val="微软雅黑"/>
        <family val="2"/>
        <charset val="134"/>
      </rPr>
      <t>从管理层处取得本期资产处置损益账户的明细。</t>
    </r>
  </si>
  <si>
    <r>
      <rPr>
        <sz val="14"/>
        <rFont val="微软雅黑"/>
        <family val="2"/>
        <charset val="134"/>
      </rPr>
      <t>对于单项重大的资产处置损益，需要获取该单项费用的组成明细，需要获取支持性文件如合同等，在必要时进行费用测试。</t>
    </r>
  </si>
  <si>
    <r>
      <rPr>
        <sz val="10"/>
        <rFont val="微软雅黑"/>
        <family val="2"/>
        <charset val="134"/>
      </rPr>
      <t>处置损益</t>
    </r>
  </si>
  <si>
    <r>
      <rPr>
        <sz val="10"/>
        <rFont val="微软雅黑"/>
        <family val="2"/>
        <charset val="134"/>
      </rPr>
      <t>固定资产处置损益</t>
    </r>
  </si>
  <si>
    <r>
      <rPr>
        <sz val="10"/>
        <rFont val="微软雅黑"/>
        <family val="2"/>
        <charset val="134"/>
      </rPr>
      <t>无形资产处置损益</t>
    </r>
  </si>
  <si>
    <r>
      <rPr>
        <sz val="10"/>
        <rFont val="微软雅黑"/>
        <family val="2"/>
        <charset val="134"/>
      </rPr>
      <t>在建工程处置损益</t>
    </r>
  </si>
  <si>
    <r>
      <rPr>
        <sz val="10"/>
        <rFont val="微软雅黑"/>
        <family val="2"/>
        <charset val="134"/>
      </rPr>
      <t>【其他</t>
    </r>
    <r>
      <rPr>
        <sz val="10"/>
        <rFont val="Arial"/>
        <family val="2"/>
      </rPr>
      <t>-</t>
    </r>
    <r>
      <rPr>
        <sz val="10"/>
        <rFont val="微软雅黑"/>
        <family val="2"/>
        <charset val="134"/>
      </rPr>
      <t>可加行】</t>
    </r>
  </si>
  <si>
    <r>
      <rPr>
        <sz val="10"/>
        <rFont val="微软雅黑"/>
        <family val="2"/>
        <charset val="134"/>
      </rPr>
      <t>利润表资产处置损益金额</t>
    </r>
  </si>
  <si>
    <r>
      <rPr>
        <b/>
        <sz val="10"/>
        <rFont val="微软雅黑"/>
        <family val="2"/>
        <charset val="134"/>
      </rPr>
      <t>对于单项费用类别金额占整个资产处置损益比例达到一定比例查看</t>
    </r>
    <r>
      <rPr>
        <b/>
        <sz val="10"/>
        <rFont val="Arial"/>
        <family val="2"/>
      </rPr>
      <t>J</t>
    </r>
    <r>
      <rPr>
        <b/>
        <sz val="10"/>
        <rFont val="微软雅黑"/>
        <family val="2"/>
        <charset val="134"/>
      </rPr>
      <t>列，需要获取该单项费用的组成明细，需要获取支持性文件如合同等，在必要时进行费用测试。（</t>
    </r>
    <r>
      <rPr>
        <b/>
        <sz val="10"/>
        <color rgb="FFFF0000"/>
        <rFont val="微软雅黑"/>
        <family val="2"/>
        <charset val="134"/>
      </rPr>
      <t>表格请审计团队自行设计</t>
    </r>
    <r>
      <rPr>
        <b/>
        <sz val="10"/>
        <rFont val="微软雅黑"/>
        <family val="2"/>
        <charset val="134"/>
      </rPr>
      <t>）</t>
    </r>
  </si>
  <si>
    <t>91604a69-e836-47f0-8f3a-ad5c01fa9c1f</t>
    <phoneticPr fontId="136" type="noConversion"/>
  </si>
  <si>
    <r>
      <t>1.</t>
    </r>
    <r>
      <rPr>
        <sz val="14"/>
        <rFont val="微软雅黑"/>
        <family val="2"/>
        <charset val="134"/>
      </rPr>
      <t>通过执行分析和调查两期的营业外收入重大变动来确定其变动是否合理。</t>
    </r>
  </si>
  <si>
    <r>
      <rPr>
        <sz val="14"/>
        <rFont val="微软雅黑"/>
        <family val="2"/>
        <charset val="134"/>
      </rPr>
      <t>从管理层处取得本期营业外收入账户的明细。</t>
    </r>
  </si>
  <si>
    <r>
      <rPr>
        <sz val="14"/>
        <rFont val="微软雅黑"/>
        <family val="2"/>
        <charset val="134"/>
      </rPr>
      <t>对于单项重大的利得，需要获取该单项利得的组成明细，需要获取支持性文件如合同等，在必要时进行利得测试。</t>
    </r>
  </si>
  <si>
    <r>
      <rPr>
        <b/>
        <sz val="10"/>
        <rFont val="微软雅黑"/>
        <family val="2"/>
        <charset val="134"/>
      </rPr>
      <t>对于单项利得类别金额占整个营业外收入比例达到一定比例查看</t>
    </r>
    <r>
      <rPr>
        <b/>
        <sz val="10"/>
        <rFont val="Arial"/>
        <family val="2"/>
      </rPr>
      <t>J</t>
    </r>
    <r>
      <rPr>
        <b/>
        <sz val="10"/>
        <rFont val="微软雅黑"/>
        <family val="2"/>
        <charset val="134"/>
      </rPr>
      <t>列，需要获取该单项利得的组成明细，需要获取支持性文件如合同等，在必要时进行利得测试。（</t>
    </r>
    <r>
      <rPr>
        <b/>
        <sz val="10"/>
        <color rgb="FFFF0000"/>
        <rFont val="微软雅黑"/>
        <family val="2"/>
        <charset val="134"/>
      </rPr>
      <t>表格请审计团队自行设计</t>
    </r>
    <r>
      <rPr>
        <b/>
        <sz val="10"/>
        <rFont val="微软雅黑"/>
        <family val="2"/>
        <charset val="134"/>
      </rPr>
      <t>）</t>
    </r>
  </si>
  <si>
    <t>86864713-feda-4db1-b1c3-d36448fb3132</t>
    <phoneticPr fontId="136" type="noConversion"/>
  </si>
  <si>
    <r>
      <t>1.</t>
    </r>
    <r>
      <rPr>
        <sz val="14"/>
        <rFont val="微软雅黑"/>
        <family val="2"/>
        <charset val="134"/>
      </rPr>
      <t>通过执行分析和调查两期的营业外支出重大变动来确定其变动是否合理。</t>
    </r>
  </si>
  <si>
    <r>
      <rPr>
        <sz val="14"/>
        <rFont val="微软雅黑"/>
        <family val="2"/>
        <charset val="134"/>
      </rPr>
      <t>从管理层处取得本期营业外支出账户的明细。</t>
    </r>
  </si>
  <si>
    <r>
      <rPr>
        <sz val="14"/>
        <rFont val="微软雅黑"/>
        <family val="2"/>
        <charset val="134"/>
      </rPr>
      <t>对于单项重大损失，需要获取该单项损失的组成明细，需要获取支持性文件如合同等，在必要时进行损失测试。</t>
    </r>
  </si>
  <si>
    <r>
      <rPr>
        <b/>
        <sz val="10"/>
        <rFont val="微软雅黑"/>
        <family val="2"/>
        <charset val="134"/>
      </rPr>
      <t>对于单项损失类别金额占整个营业外支出达到一定比例查看</t>
    </r>
    <r>
      <rPr>
        <b/>
        <sz val="10"/>
        <rFont val="Arial"/>
        <family val="2"/>
      </rPr>
      <t>J</t>
    </r>
    <r>
      <rPr>
        <b/>
        <sz val="10"/>
        <rFont val="微软雅黑"/>
        <family val="2"/>
        <charset val="134"/>
      </rPr>
      <t>列，需要获取该单项损失的组成明细，需要获取支持性文件如合同等，在必要时进行损失测试。（</t>
    </r>
    <r>
      <rPr>
        <b/>
        <sz val="10"/>
        <color rgb="FFFF0000"/>
        <rFont val="微软雅黑"/>
        <family val="2"/>
        <charset val="134"/>
      </rPr>
      <t>表格请审计团队自行设计</t>
    </r>
    <r>
      <rPr>
        <b/>
        <sz val="10"/>
        <rFont val="微软雅黑"/>
        <family val="2"/>
        <charset val="134"/>
      </rPr>
      <t>）</t>
    </r>
  </si>
  <si>
    <t>28183d84-3dae-44d6-9b07-fad4d0edb8e4</t>
    <phoneticPr fontId="136" type="noConversion"/>
  </si>
  <si>
    <r>
      <t>1.</t>
    </r>
    <r>
      <rPr>
        <sz val="14"/>
        <rFont val="微软雅黑"/>
        <family val="2"/>
        <charset val="134"/>
      </rPr>
      <t>通过执行分析和调查两期的债务重组利得和损失重大变动来确定其变动是否合理。</t>
    </r>
  </si>
  <si>
    <r>
      <rPr>
        <sz val="14"/>
        <rFont val="微软雅黑"/>
        <family val="2"/>
        <charset val="134"/>
      </rPr>
      <t>从管理层处取得本期债务重组利得和损失账户的明细。</t>
    </r>
  </si>
  <si>
    <r>
      <rPr>
        <b/>
        <sz val="14"/>
        <color rgb="FFFF0000"/>
        <rFont val="微软雅黑"/>
        <family val="2"/>
        <charset val="134"/>
      </rPr>
      <t>表</t>
    </r>
    <r>
      <rPr>
        <b/>
        <sz val="14"/>
        <color rgb="FFFF0000"/>
        <rFont val="Arial"/>
        <family val="2"/>
      </rPr>
      <t>1</t>
    </r>
    <phoneticPr fontId="136" type="noConversion"/>
  </si>
  <si>
    <r>
      <rPr>
        <sz val="14"/>
        <rFont val="微软雅黑"/>
        <family val="2"/>
        <charset val="134"/>
      </rPr>
      <t>获取债务重组明细表，对当期确认债务重组利得</t>
    </r>
    <r>
      <rPr>
        <sz val="14"/>
        <rFont val="Arial"/>
        <family val="2"/>
      </rPr>
      <t>/</t>
    </r>
    <r>
      <rPr>
        <sz val="14"/>
        <rFont val="微软雅黑"/>
        <family val="2"/>
        <charset val="134"/>
      </rPr>
      <t>损益的时点进行判断，复核是否满足金融资产和金融负债终止确认条件，判断相关债务的现实义务已经解除的依据，包括但不限于查看债务重组协议的具体条款以及协议的执行情况，律师意见书、董事会决议、股东会决议等。</t>
    </r>
  </si>
  <si>
    <r>
      <rPr>
        <b/>
        <sz val="14"/>
        <color indexed="10"/>
        <rFont val="微软雅黑"/>
        <family val="2"/>
        <charset val="134"/>
      </rPr>
      <t>项目组自行设计</t>
    </r>
    <phoneticPr fontId="136" type="noConversion"/>
  </si>
  <si>
    <r>
      <rPr>
        <b/>
        <sz val="14"/>
        <color indexed="10"/>
        <rFont val="微软雅黑"/>
        <family val="2"/>
        <charset val="134"/>
      </rPr>
      <t>自行介绍</t>
    </r>
  </si>
  <si>
    <r>
      <rPr>
        <b/>
        <sz val="10"/>
        <rFont val="微软雅黑"/>
        <family val="2"/>
        <charset val="134"/>
      </rPr>
      <t>获取债务重组明细表，并检查相关支持性文件并记录检查结果，判断债务重组确认时点满足金融资产和金融负债终止确认的条件。</t>
    </r>
    <r>
      <rPr>
        <b/>
        <sz val="10"/>
        <color rgb="FFFF0000"/>
        <rFont val="微软雅黑"/>
        <family val="2"/>
        <charset val="134"/>
      </rPr>
      <t>（项目组请根据实际情况进行修改）</t>
    </r>
  </si>
  <si>
    <r>
      <rPr>
        <b/>
        <sz val="10"/>
        <color rgb="FFFF0000"/>
        <rFont val="微软雅黑"/>
        <family val="2"/>
        <charset val="134"/>
      </rPr>
      <t>【测试表格由项目组自行设计】</t>
    </r>
  </si>
  <si>
    <t>27072530-60da-4b5d-87b1-4357f8557a1f</t>
    <phoneticPr fontId="136" type="noConversion"/>
  </si>
  <si>
    <r>
      <rPr>
        <sz val="14"/>
        <rFont val="微软雅黑"/>
        <family val="2"/>
        <charset val="134"/>
      </rPr>
      <t>测试记录在账面的费用交易是否记录于正确期间</t>
    </r>
  </si>
  <si>
    <r>
      <rPr>
        <sz val="14"/>
        <rFont val="微软雅黑"/>
        <family val="2"/>
        <charset val="134"/>
      </rPr>
      <t>结合我们对于被审计单位费用确认时点的理解，考虑截止性测试的涵盖期间。</t>
    </r>
  </si>
  <si>
    <r>
      <rPr>
        <b/>
        <sz val="14"/>
        <color indexed="10"/>
        <rFont val="微软雅黑"/>
        <family val="2"/>
        <charset val="134"/>
      </rPr>
      <t>表</t>
    </r>
    <r>
      <rPr>
        <b/>
        <sz val="14"/>
        <color indexed="10"/>
        <rFont val="Arial"/>
        <family val="2"/>
      </rPr>
      <t>1</t>
    </r>
  </si>
  <si>
    <r>
      <rPr>
        <sz val="14"/>
        <color rgb="FF000000"/>
        <rFont val="微软雅黑"/>
        <family val="2"/>
        <charset val="134"/>
      </rPr>
      <t>考虑我们从其他审计程序中获取的审计证据（例如，已测试过的折旧、摊销、</t>
    </r>
    <r>
      <rPr>
        <sz val="14"/>
        <rFont val="微软雅黑"/>
        <family val="2"/>
        <charset val="134"/>
      </rPr>
      <t>职工薪酬</t>
    </r>
    <r>
      <rPr>
        <sz val="14"/>
        <color rgb="FF000000"/>
        <rFont val="微软雅黑"/>
        <family val="2"/>
        <charset val="134"/>
      </rPr>
      <t xml:space="preserve">、租赁费、保险费等），确认我们是否已经对全部期间费用的截止性执行了充分、适当的审计程序。
</t>
    </r>
    <phoneticPr fontId="136" type="noConversion"/>
  </si>
  <si>
    <r>
      <rPr>
        <sz val="14"/>
        <rFont val="微软雅黑"/>
        <family val="2"/>
        <charset val="134"/>
      </rPr>
      <t>获取截止测试涵盖期间内的期间费用明细账，并考虑</t>
    </r>
    <r>
      <rPr>
        <sz val="14"/>
        <rFont val="Arial"/>
        <family val="2"/>
      </rPr>
      <t>IPE</t>
    </r>
    <r>
      <rPr>
        <sz val="14"/>
        <rFont val="微软雅黑"/>
        <family val="2"/>
        <charset val="134"/>
      </rPr>
      <t>测试的结果。</t>
    </r>
  </si>
  <si>
    <t>【请项目组更新底稿索引】</t>
  </si>
  <si>
    <r>
      <rPr>
        <sz val="14"/>
        <rFont val="微软雅黑"/>
        <family val="2"/>
        <charset val="134"/>
      </rPr>
      <t>获得测试期间内所选交易的支持文件，并确定它们是否记录在适当的期间。项目组可以检查发生额大于</t>
    </r>
    <r>
      <rPr>
        <sz val="14"/>
        <rFont val="Arial"/>
        <family val="2"/>
      </rPr>
      <t>TE</t>
    </r>
    <r>
      <rPr>
        <sz val="14"/>
        <rFont val="微软雅黑"/>
        <family val="2"/>
        <charset val="134"/>
      </rPr>
      <t>的交易，或项目组发现符合其他特定标准的交易作为关键项（</t>
    </r>
    <r>
      <rPr>
        <sz val="14"/>
        <rFont val="Arial"/>
        <family val="2"/>
      </rPr>
      <t>key item</t>
    </r>
    <r>
      <rPr>
        <sz val="14"/>
        <rFont val="微软雅黑"/>
        <family val="2"/>
        <charset val="134"/>
      </rPr>
      <t>）。如果关键项（</t>
    </r>
    <r>
      <rPr>
        <sz val="14"/>
        <rFont val="Arial"/>
        <family val="2"/>
      </rPr>
      <t>key item</t>
    </r>
    <r>
      <rPr>
        <sz val="14"/>
        <rFont val="微软雅黑"/>
        <family val="2"/>
        <charset val="134"/>
      </rPr>
      <t>）的检查不足以应对</t>
    </r>
    <r>
      <rPr>
        <sz val="14"/>
        <rFont val="Arial"/>
        <family val="2"/>
      </rPr>
      <t>CRA</t>
    </r>
    <r>
      <rPr>
        <sz val="14"/>
        <rFont val="微软雅黑"/>
        <family val="2"/>
        <charset val="134"/>
      </rPr>
      <t>的风险水平，项目组应当采取安永审计抽样工具抽取代表性样本。</t>
    </r>
  </si>
  <si>
    <r>
      <rPr>
        <b/>
        <sz val="14"/>
        <color indexed="10"/>
        <rFont val="微软雅黑"/>
        <family val="2"/>
        <charset val="134"/>
      </rPr>
      <t>表</t>
    </r>
    <r>
      <rPr>
        <b/>
        <sz val="14"/>
        <color indexed="10"/>
        <rFont val="Arial"/>
        <family val="2"/>
      </rPr>
      <t>2</t>
    </r>
    <r>
      <rPr>
        <b/>
        <sz val="14"/>
        <color rgb="FFFF0000"/>
        <rFont val="微软雅黑"/>
        <family val="2"/>
        <charset val="134"/>
      </rPr>
      <t>及表</t>
    </r>
    <r>
      <rPr>
        <b/>
        <sz val="14"/>
        <color rgb="FFFF0000"/>
        <rFont val="Arial"/>
        <family val="2"/>
      </rPr>
      <t>3</t>
    </r>
    <phoneticPr fontId="136" type="noConversion"/>
  </si>
  <si>
    <r>
      <rPr>
        <b/>
        <sz val="10"/>
        <color indexed="10"/>
        <rFont val="微软雅黑"/>
        <family val="2"/>
        <charset val="134"/>
      </rPr>
      <t>表</t>
    </r>
    <r>
      <rPr>
        <b/>
        <sz val="10"/>
        <color indexed="10"/>
        <rFont val="Arial"/>
        <family val="2"/>
      </rPr>
      <t>1</t>
    </r>
  </si>
  <si>
    <r>
      <rPr>
        <b/>
        <sz val="10"/>
        <color theme="1"/>
        <rFont val="微软雅黑"/>
        <family val="2"/>
        <charset val="134"/>
      </rPr>
      <t>确定截止性测试的涵盖期间</t>
    </r>
  </si>
  <si>
    <r>
      <rPr>
        <sz val="10"/>
        <rFont val="微软雅黑"/>
        <family val="2"/>
        <charset val="134"/>
      </rPr>
      <t>测试期间（输入前后天数）</t>
    </r>
  </si>
  <si>
    <r>
      <rPr>
        <sz val="10"/>
        <rFont val="微软雅黑"/>
        <family val="2"/>
        <charset val="134"/>
      </rPr>
      <t>测试期间确定依据</t>
    </r>
    <r>
      <rPr>
        <sz val="10"/>
        <rFont val="Arial"/>
        <family val="2"/>
      </rPr>
      <t>/</t>
    </r>
    <r>
      <rPr>
        <sz val="10"/>
        <rFont val="微软雅黑"/>
        <family val="2"/>
        <charset val="134"/>
      </rPr>
      <t>原因</t>
    </r>
  </si>
  <si>
    <r>
      <rPr>
        <sz val="10"/>
        <rFont val="微软雅黑"/>
        <family val="2"/>
        <charset val="134"/>
      </rPr>
      <t>测试开始日期</t>
    </r>
  </si>
  <si>
    <r>
      <rPr>
        <sz val="10"/>
        <rFont val="微软雅黑"/>
        <family val="2"/>
        <charset val="134"/>
      </rPr>
      <t>测试结束日期</t>
    </r>
  </si>
  <si>
    <r>
      <rPr>
        <b/>
        <sz val="10"/>
        <color rgb="FFFF0000"/>
        <rFont val="微软雅黑"/>
        <family val="2"/>
        <charset val="134"/>
      </rPr>
      <t>（测试期间项目组要根据需要根据关账时间和发票入账频率进行判断，并在此记录。）</t>
    </r>
  </si>
  <si>
    <r>
      <rPr>
        <b/>
        <sz val="10"/>
        <color rgb="FF000000"/>
        <rFont val="微软雅黑"/>
        <family val="2"/>
        <charset val="134"/>
      </rPr>
      <t>记录确定截止性测试样本的策略</t>
    </r>
  </si>
  <si>
    <r>
      <rPr>
        <b/>
        <sz val="10"/>
        <color indexed="10"/>
        <rFont val="微软雅黑"/>
        <family val="2"/>
        <charset val="134"/>
      </rPr>
      <t>表</t>
    </r>
    <r>
      <rPr>
        <b/>
        <sz val="10"/>
        <color rgb="FFFF0000"/>
        <rFont val="Arial"/>
        <family val="2"/>
      </rPr>
      <t>3</t>
    </r>
    <phoneticPr fontId="136" type="noConversion"/>
  </si>
  <si>
    <r>
      <rPr>
        <b/>
        <sz val="10"/>
        <color theme="1"/>
        <rFont val="微软雅黑"/>
        <family val="2"/>
        <charset val="134"/>
      </rPr>
      <t>测试期间费用的截止性</t>
    </r>
  </si>
  <si>
    <r>
      <rPr>
        <sz val="10"/>
        <rFont val="微软雅黑"/>
        <family val="2"/>
        <charset val="134"/>
      </rPr>
      <t>记账日期</t>
    </r>
  </si>
  <si>
    <r>
      <rPr>
        <sz val="10"/>
        <rFont val="微软雅黑"/>
        <family val="2"/>
        <charset val="134"/>
      </rPr>
      <t>交易事项描述</t>
    </r>
  </si>
  <si>
    <r>
      <rPr>
        <sz val="10"/>
        <rFont val="微软雅黑"/>
        <family val="2"/>
        <charset val="134"/>
      </rPr>
      <t>发票日期</t>
    </r>
  </si>
  <si>
    <r>
      <rPr>
        <sz val="10"/>
        <rFont val="微软雅黑"/>
        <family val="2"/>
        <charset val="134"/>
      </rPr>
      <t>交易金额</t>
    </r>
  </si>
  <si>
    <r>
      <rPr>
        <sz val="10"/>
        <rFont val="微软雅黑"/>
        <family val="2"/>
        <charset val="134"/>
      </rPr>
      <t>发票号码</t>
    </r>
  </si>
  <si>
    <r>
      <rPr>
        <sz val="10"/>
        <rFont val="微软雅黑"/>
        <family val="2"/>
        <charset val="134"/>
      </rPr>
      <t>业务发生日期</t>
    </r>
  </si>
  <si>
    <r>
      <rPr>
        <sz val="10"/>
        <rFont val="微软雅黑"/>
        <family val="2"/>
        <charset val="134"/>
      </rPr>
      <t>交易是否被记录在正确的期间</t>
    </r>
  </si>
  <si>
    <r>
      <rPr>
        <sz val="10"/>
        <rFont val="微软雅黑"/>
        <family val="2"/>
        <charset val="134"/>
      </rPr>
      <t>说明我们所执行的工作以及检查的外部审计证据。</t>
    </r>
  </si>
  <si>
    <r>
      <rPr>
        <b/>
        <i/>
        <sz val="10"/>
        <rFont val="微软雅黑"/>
        <family val="2"/>
        <charset val="134"/>
      </rPr>
      <t>本期资产负债表日前记录的交易</t>
    </r>
  </si>
  <si>
    <r>
      <rPr>
        <b/>
        <i/>
        <sz val="10"/>
        <rFont val="微软雅黑"/>
        <family val="2"/>
        <charset val="134"/>
      </rPr>
      <t>本期资产负债表日后记录的交易</t>
    </r>
  </si>
  <si>
    <r>
      <rPr>
        <b/>
        <i/>
        <sz val="10"/>
        <color rgb="FFFF0000"/>
        <rFont val="微软雅黑"/>
        <family val="2"/>
        <charset val="134"/>
      </rPr>
      <t>已经在</t>
    </r>
    <r>
      <rPr>
        <b/>
        <i/>
        <sz val="10"/>
        <color rgb="FFFF0000"/>
        <rFont val="Arial"/>
        <family val="2"/>
      </rPr>
      <t>P_</t>
    </r>
    <r>
      <rPr>
        <b/>
        <i/>
        <sz val="10"/>
        <color rgb="FFFF0000"/>
        <rFont val="微软雅黑"/>
        <family val="2"/>
        <charset val="134"/>
      </rPr>
      <t>寻找未入账负债中包含期后费用入账时间是否合理的测试，此处不再赘述。</t>
    </r>
  </si>
  <si>
    <r>
      <t>*</t>
    </r>
    <r>
      <rPr>
        <sz val="10"/>
        <rFont val="微软雅黑"/>
        <family val="2"/>
        <charset val="134"/>
      </rPr>
      <t xml:space="preserve">我们在注释框中包括我们认为有必要的任何附加评论，以使以前与本项目没有联系的有经验的审计师清楚地理解
</t>
    </r>
    <r>
      <rPr>
        <sz val="10"/>
        <rFont val="Arial"/>
        <family val="2"/>
      </rPr>
      <t>1)</t>
    </r>
    <r>
      <rPr>
        <sz val="10"/>
        <rFont val="微软雅黑"/>
        <family val="2"/>
        <charset val="134"/>
      </rPr>
      <t>我们所执行程序的性质、时间和范围</t>
    </r>
    <r>
      <rPr>
        <sz val="10"/>
        <rFont val="Arial"/>
        <family val="2"/>
      </rPr>
      <t>;
2)</t>
    </r>
    <r>
      <rPr>
        <sz val="10"/>
        <rFont val="微软雅黑"/>
        <family val="2"/>
        <charset val="134"/>
      </rPr>
      <t>我们执行的程序的结果</t>
    </r>
    <r>
      <rPr>
        <sz val="10"/>
        <rFont val="Arial"/>
        <family val="2"/>
      </rPr>
      <t>;
3)</t>
    </r>
    <r>
      <rPr>
        <sz val="10"/>
        <rFont val="微软雅黑"/>
        <family val="2"/>
        <charset val="134"/>
      </rPr>
      <t>获得的证据和得出的结论，包括我们考虑的任何不一致或相反的信息以及与该信息相关的结论</t>
    </r>
    <r>
      <rPr>
        <sz val="10"/>
        <rFont val="Arial"/>
        <family val="2"/>
      </rPr>
      <t>;
4)</t>
    </r>
    <r>
      <rPr>
        <sz val="10"/>
        <rFont val="微软雅黑"/>
        <family val="2"/>
        <charset val="134"/>
      </rPr>
      <t>确定的例外情况的细节，如果适用，以及如何解决这些问题，包括执行的其他实质性程序。</t>
    </r>
  </si>
  <si>
    <r>
      <rPr>
        <b/>
        <sz val="14"/>
        <color rgb="FFFF0000"/>
        <rFont val="微软雅黑"/>
        <family val="2"/>
        <charset val="134"/>
      </rPr>
      <t>请项目组使用以下链接获取标准底稿执行费用</t>
    </r>
    <r>
      <rPr>
        <b/>
        <sz val="14"/>
        <color rgb="FFFF0000"/>
        <rFont val="Arial"/>
        <family val="2"/>
      </rPr>
      <t>TOD</t>
    </r>
    <r>
      <rPr>
        <b/>
        <sz val="14"/>
        <color rgb="FFFF0000"/>
        <rFont val="微软雅黑"/>
        <family val="2"/>
        <charset val="134"/>
      </rPr>
      <t>程序：</t>
    </r>
  </si>
  <si>
    <r>
      <t>TOD SWP U_Exp 202YXXDD XYZ</t>
    </r>
    <r>
      <rPr>
        <u/>
        <sz val="14"/>
        <color theme="10"/>
        <rFont val="微软雅黑"/>
        <family val="2"/>
        <charset val="134"/>
      </rPr>
      <t>公司</t>
    </r>
    <r>
      <rPr>
        <u/>
        <sz val="14"/>
        <color theme="10"/>
        <rFont val="Arial"/>
        <family val="2"/>
      </rPr>
      <t>.xlsx</t>
    </r>
  </si>
  <si>
    <t>4dc9ee5d-f2ce-45d3-9ab7-e53d6fd7e35c</t>
    <phoneticPr fontId="136" type="noConversion"/>
  </si>
  <si>
    <t>{"Id":"2120093264","IsProject":false,"ProjectId":"2006600230","TempProjectName":"测试上数","TempType":2}</t>
  </si>
  <si>
    <t>管理费用</t>
  </si>
  <si>
    <t>ABC7Z1bb2XHdeffA+Q7NBrzqCXUZdVl5U1qSYkQjd1jtTEYBAZRl1UOx2xSw2ZHEQYGbMCGDSWGkoFiBxMDtgb2WMEE9hiQHdvyjL+M2N15mq8wVaebbG6eGw/Fc7gPu/jQ6LN37et/VdWqqt9e6/99+oe/+OM/unXrv7Z/bt26/e+O3nuHb//Jrduv/6eX3/7ae+/u7ueX/+PB4dfuhnf48OU39995ePT2XzIfvXRrVoHbLz07zZu5nSPKoosXEYQxCjDoDEHXnz4KNM7aUEieHvL2w3jv4Cjsvb4f4h6340vYe8Dnd7+xy3uTk58eeO/P6s/9h3t7Jxu+EO5PHuHRL7/z6BufPr+nB29xmDrvmw9ePeTwtXzw7v75XV86ePfOwcP9o7rd4snGOwd7pxvdycbX9492j3b5Qd34F083nb7RuW/1zt4u7x+9PDn0vZe/GP8zp6PdspvC0e7B/stvHBzef7gXnu4dvOzBcScPN7nKs2PePgqHR/Xe39zP/Nf1olqcLfRn9R3w4dnd8uzuk4PvHZwWfG23lFpOnS325v4DXnCRt3YfHD27mzu8t9dey1fO7v8PD/nwvQdTm9/mvfoSOE80fn3/mY5npJ0udWdeqcktHB7cv3fwxl746vSl/vLg3VcPDusTvnJY5TxvFpMyT/e/ffTe3qwLPDVxkZWKLKphC/KAVE08Cq+qxSfKOlOJmW7PesF/+nB3cgLKwVvHDMk7U+tISRBLPZVOTpSUkNG5wQle389nDjfWeKWZwLNgQA4OqIgAiowp1jtfWA4OvxsOq/lMbn7qxZ4zHEXT1z3ZhzR1ZK0ZD+/vnxrEuWOHe+XA6O49rR1Tb3h/nw9PKvPwJbYmaI7wMw+419qUZggne+8O38pbXI7uhn3ea3Yx8wwPjg5f3+P79d09u9vbxz//6MnPP3r88d8c/+6D4+/+4MlHH885oNWEcHSBQ+prPHrYqkVtZe6/s8dHPNj95oPXeLLxma2e7Pr60/985bTd4vsHf8X5bKN0uu/th/fvh8P3Ju9jbkv7vMjE+Kdf9O1XvnT3CwdHPPMSdw8PvnoY7r+xu7d35/DgwYMvcfn3B3lw119/6eJ9zmtcwsO9FXqdpJXIzAWiNRLQkwCvk4cSMBrNtlbJssZe58v81+/sTHqaqY7n6PDhiv2OxJOKcrbjUSdt8e2ZArzg+mNOxGwyFJVqk2iyBgrRARudbcmOtUlr1P/Z7b3NR0e7+1+d3PaVuCDS0gxTkMJ0W5hvC8pLr7NH0DlUW8BsgaJwtS3ImAXn6BnX3BYcf+N3x+9/9G/f+d7jT791/N1/Pv6/Pzj+b3/76Hs/Ov7JL1/989dWMo2z7ccZyzB6lmEoeyO804HbOd87Hbgb097pYPcM7/T53sGr+Xyvp518lVf0rMLuhercTmrciRnde3XnS6/fnSr61KmZ+MpfOCnKk7Pu7Ob2n7L7vELMOOrO6VFPPvmfxz/9wWd/+OjRN38xdUBzm069VSpEqTmqbBBQBAFRaQSna1urLGfWduoEk/ddT/LMcRo44qdXeOXewavT3txz1ed7lwPLeG43Zwt8/aUbI/BX93ZCSq2S7+w/vB8vKPDjn/3943/6+ePff//4g39dKLDMruRQNCjXxhPNb4oKPdjI7IOImpzfhMDYBa4Ct00Xl/f47773+Gf/e6G8hWLtEZUDGWOp9ZcdeCJTB5/W1fEiJtJuqbzD3bdu6eGGK1DfvLDql4f7qd1D2Nvh/VwdyJ0Y9sJ+4p139IVM4dEP/+X4t5+0f3/zzUc//NGjH/6vhQYhvCjWWw/UajnW6g0hmgIu1ga+6OoleVrZINyVG4S9UQYx66FnGMPiYncWFTsrsTVVYksRuEQN6FQESpnBJVFQuohIOAKJXZf40hITK6etDqCQUm3WlQVvZW3bPUpWQYkSyggk9l3iS0usk0zeaAXSYu25kavE6Al8QBeD40AqjEDiwcRu13g1jaNWVKTNYHKOgMVLoCDq6IqDQydjSml172wNGquu8aU1DsWxdam6WVzaeg/GWoWdh+JKSuRFEkGtrLG5uMa3X5FTp5+l8Ys7wl7ggk/7SbNc8M9+8/4qLrgqmh1mV8fYiQC9rS179BZIVDMRRkfhpyW7Sot49WIWseqQ/PmPOWu/V2sxk/OuYCVv7O4d8eGfHh48fGfqbmbc0SXv6sxVLn5vk2tNrLieYlJn9/PMMsueYc5zbPpZpp7ni1OzVnMf6bzlnis497EXPPrnevzVn3yFp58UvXO4W6+zG1rRLxwcvf5fHoa9hQfcDYfhvlx19mD6FGoyIbC8nJ7dzc0ouPPm/rMZ9mXlv7wfDt/74jt8GI4ODk9W2G/PO+Drc0/VJV/QW02fYoskn73jK7M2zyg7qxlZ1oRcdcv5ORvNOZ3ApNxZA3pr92tTs8anBZ8bzrvvnMwzLy48MZEFi5iLj15iOKsYzQoGM7t92FI9F7YGZwTdCw+Odvb4r3hJ4Ymgj/5xaqFvWOqahJtRc89vOldmyrV97dVZnv9FXNP18odn72BqFNac8Hl3dUWoYkEiyUWAlC62tZ/YlvYsuKQkUUg685A0PI8qCpaJiC2gzRow6gSBhIHkUDnOxZk8GLqeQxWzYZtM8aAs1sO9ZojFZmAZo/FKpeAGa8dXhSpqM3XkSqji2VnL60AV710AVXz1z1/bufvW02XAJx99/OjHv9+59+oSfvGULNl5esRSenH5RU4Bxqn309HFC6FrKSflEwIHH2o1cwwUNQFnFsF6Z6w+XX1fE670+McfHn/w908++e3jDz++Kj7pFFcc8EmnONuo+aRhy3Jpen4JnzSgnDqfdGk+KXqJJCWDCKH2MdbXCqSzAEJHpdiQywVmVzfCJ8mBQ3JzZk/XzCdhkCKy1GBN4eqDBAGBJYJU9arCaWvL8pXOjfBJL4LAV84nUTIxlhhB24iAaAjIhABaKCsRXVZ69VXO6+CTbqr6m+aTlPcl65zA6tagywasFVugWolI3gmvbFrZIK6DT9omg9jsimiKUXmRLajUnF5VNATLAhLlRNYHm9wYyIblfFKXeK7ESRff/DApuPbahTREXQLk5LOgIIwtYwAblvNJXeJ5EmdSTrjaPCdTKzCyIAiKFaiiFNdmu5Bc/mXA+iW+AJ/UNZ6nMSd0dUyFIFRtn5Gbd4aUwaCTPnFUzoyhpb4An9Q1nqexzb54HxPEVoXRx9pUo6oaB+N9ckVZO+3ojZJP2iaNx8wnabQpZKuhlNZ5C5mqf6YJ6ggt5YDF5bL6JwLXwicNLeL5j84ndT6p80mdT1pQvvNJnU9aLPnsHZ1PmpRbN590dtVylFzLzFNsqYAdSFpY5uYAScMNr6jzJdS6kaUYLZK0EpwKGTCTA+JgIYtSMGrhYx7M/k8hS6lEW7KU9Vil29wyAjnngaNg53NE4cwCZKmeXxppHBRf6vW9URASRShcB8Ki3pgJl4+u5qevezpS+ZzR1a4OWbr9ZSPEzgAKOQU+zh7TUaaOMj070dOqy4WQoqtVx0y+V20oUzYCXKKCtV5ZJU9r3ppQpief/I/j9z+6UpTpTLitAcu0HZFAh03ONMskZrVXK7NMAyKqs0yXZplclmxNC9lQO7HGy1qglBCstxFLziji8kWzjbBMYuDL3JyZ1jWzTNUFsaiSAh9sVTl5D2QzQRFCShNjZrecbdgIy/QiCHzlLJPQOVAwDAJbHEpukX3JVF82aJlMNCLw6t/1XgfLdFPV3zTLVAcbnF1x4HJWdUTCAahoBbo4FTmSRTYrG8R1sEzbZBAbju5AwhurHKhoCFCzhOjbeFPnXBijID+GQDzLWaYu8TyJC/vitSdIORtAZR0QGg2OMJrYosGn1RfIr4Nl6hLPk1gl71wWAaJtMVqMMhAsZvDZS87WmqRX77mvhWXqGs/TOKNGVf9AYUyAEQMEJTxkllLmTI7FKHi15SxT13iexoTeF8kErmXIqMPoAF7mqjbH6pp7NDZN+/yjZJm2SeMxs0wiYPsIWYC1Gmut97XW61iqWRCWHJ0NcXl4489jEVfGMg0t4vmPzjJ1lqmzTJ1lWlC+s0ydZVos+ewdnWWalFs3y3R22XKUSMzMU2ypgJ1lWljm5rBM8+7qqkglX1xOqkBJjVSyHIF88pAjsg7FGymHsZHOk0rWFybM9QgUDlC1ryxiwjoycSIKFUoWA7fifHClErIpOoGi1KYztABKjkFGR+yN5XDu+quQSm76uqfjED115LWRSlaInQHz0UmlTiotJ5WyCZxp8n2TCC3mRJslkgglel1rj1CG45pJpeNv//qzT7//6MNfP/6n96+KVJKnTNIWRl3qWeGGVxs3qZSsZ4rUlkqybJ2frn2Xrj2gMtLHQiHEjQTleXFj1q+ZVIqaNamcIPnql6AUHnyQBiKilplCS00xDlLpRRD4ykmlBuNmlhakr34jemxV1xJkbTAKI6I0q8+K96xwV6f+pkklG0iXaDxYrRnQGQYSwoK21RnSKkYjela47V4bTZKEplzrfFAtom+p401dCFQ2KpM0mi8QSG/9EvescJeXOBRJEaOBlEN1y7TP4EuxYJRX1ggtjRoDxtKzwl1eYsXIznkEJ22txVEpiKI4EIJsriqjyGOA0XpWuM+hcR09iZhVaVmhWtj1Wo2jSgKSkk5ooXOUq2cM61nhRqVxTnV05WIGdtiG0aI21akwlEDV4QqJ/SVytPascEs0HjOpxJGRGpDolS7t65FqEcYicEGvhIxk/OofC/SscJ1Umvscm36WqefppNKCop1U6qRSJ5XO/3VS6Vqzwp1Zthwl8DLzFFsqYCeVFpbppNKtC5JKjoPQsaXI0RYwuwC1xgewVhaVBEltFqeBK8qKgHVQorOcoE4SYsgeirXaZaWMTcM8bkNSyXg2aK0CnISTbeGkgy/1bKRCwkTJpEGFuHlp4G5/2QmxM2A+OqnUSaXlpJKq1cMYo0HYjIDSBCBbuC3cWHZaWZVP+/g1kUqP3v+HJ7/61pWSSniKJA1ApZP61kGlDirNPOoSoJIovvZ8QoJ1KgF6qn1fdAUsU/EuofZm+TRrB5XGCyoFTtqQaMskVWWsDk1LUVultqK03BWi7u2g0taCSqirp0lKVFFdldf7COSiB5NlilQdWH+JpbAOKl2d+psGlVq+3GhjreUJHaCowxpvyIGtzblXRSocRUaaDirNl3wp4pB1kbK24ey5SpyKgaidgiKxDl5bTF4cw/J3B5UuL7GUNhRFtTFn32YUoqjjGhFAkY4qanKexpDksYNKl5dYoLO+Oti1oW49t7YJiDCAs0ULo2JyYWrBoYNK26Vx8V6gznV01RL/1dFVri21jqCjkR6tw4Kj0LiDSpfXOEufjYsK1IQM16XW44aHx1wd8GCzQLMlIZW2SeMxg0rJCUUOY+2tswd0wgMF48GRzZkLcZaru+AdVOqg0tzn2PSzTD1PB5UWFO2gUgeVOqh0/q+DStcJKp1dtRwl7zLzFFsqYAeVFpbpoNKti4FKxsvoQvHgsSVfK7rFG/AaTCLSxSXDuDj5GyMZkkmBFjICmnoWysFAigqDdFbhMBj/OVApam2yIwTnHLe4MAihKA0xCYHSMDMNBjY3EVTyQuwMkI8OKnVQaTmoJIiiYaXAEOtadahW4mTbV6ree/TSqXAaUGJtIZX+5fjb3/zs0389/sbvjz/4x+P3P370vR91aGlG6zMNLclZTdfK0NIAferQ0qWhpTZxbr13YEJjWpKVQC1dgbZaWDJZeL18AXQj0JIcOC03Z0p1zdASplxiC6+SgqiOjtEMnkv1U0QkgYiB9EiiK70IAl85tGSKLSGqCMoFBHRBQEBff0ZrvYqhOpVxqbznBxXXAS3dVPU3DS1FEbxAipCkbt5RqN4RZwaqQwpdTObktiMP3DYZxKZxB1HsJFO5U22Z1BJEZyOIULRVWcTAq8dzuA5oqUs8T+IoXRQYCRhbLZapLYKTg2wxeqckuzA1XzZKaKlLPE9iGUrOXntQpvXcrCwQlVqVvY+RYyQ3ilp8AWipazxPY2dlKlRa9rcWJM2kAITomgeeLIaSpBpDqMMLQEtd43kao1Mxt+koDm0mt1AdYKmSwFulQ6wGEN3qUdKuBVraJo3HDC0ZGWrjThpywACosI7JMlezkKWQ9CHYsCXRlYYW8fxHh5Y6tNShpQ4tLSjfoaUOLS2WfPaODi1Nyq0/utLsFcxRcjAzT7GlYnaAaWGZDjDduiDApJCMoQRkUdVBBiN4jgiStCwhU/E4jHR0HmAKsX0+ETJoUYcq6FpKHa8LOI6ZpPIinguVNASYOOrsS0xQ2uezyClBMInBtEAx5EX2adBdrQQw+enrno5JcOrIawOYaBJpaQ4K0mGmDjNdAGby2SUpCFi1T1cxMrTg+uCDxuISKU2nGOGaYKbP/vDR4w8/Pv7OB9WCq+0e/+SXV4Qx0UyM6TSo0cgxpkFDMY0xiVkN2MoY0wCG6hjTpTGmqILBoCKY+lc7s9oR+sC1b0MRRcg+hwuE6tgIxiQGrsvNmWRdM8ZUksRghQGazLJHI4FUWwJPgaXU5IxzmxB4+ZzpiyDwlWNMQntFikKtsC34YAgaQqn/c0qHxiGyNqsvolwHxnRT1d80xuRNQe+wQAxBAKZM4I23YDl5K5UqHMYQtWU5xrRNBrFhACImr6yUoIqmloREgI/RAzmKiMlo4ceQXmo5xtQlnidxKVZl5RS4QK6F1DMQtCGQHpPzJZLUq9Op14ExdYnnSZxSCkmyhyhbqkeKoX1IF8DoZEUdwyJ6OwKJL4AxdY3naSxSrb61RQYjkgJEWb0zDAhslK4dtTKKx8AUXwBj6hrP09jV0ZSKwYArVtZ6LCPUcbMDa5mTValQ3BKMaZs0HjPGJIoqLToiSBtr560FQjTVIjzJkmu7nlNcb9rAK8OYhhbx/EfHmDrG1DGmjjEtKN8xpo4xLZZ89o6OMU3KrRtjml67HCUHM/MUWypjB5gWlukA062LAUze5+JCQ49aQFcMdcBJtjigohyhzcxmEHliCmAypZVkC66OVusJWAGRaJ++SxTGtQWlYa65IcBUZIkyZQ9BRFWHN2YysiGIyqKO2iqpBr7JSgCTm77u6WhETx15bQCTFELszOA/OrvU2aXl7BIK0iKaDCLpDChkBh+LBjZBI5vsSz6dFlwTu/TkV9/67Hc/WwO7JE8nmobw0sk08sjhpR6DaXC1ccNLwQjvZFsITZRbR4YQE0qom0jnEnXAjYToeXG/EF0zvBQDcUKTIFkiwLZQ5qurAo4NE8sQJJdNCNxjMK0FXtKodCrZATfkEI0mCC0PpEGtar3WLHD1tBU9BtPVqb/xxHGRjMYkgH0U1SB8Ac+OwWnHykQOGMYQ9qHHYJov+bLlUqOlkEogmEilSlxrv9fegAmyVvkgNKkxBOjpMZguL3EJzvsYHDgjseUGDBCc8rX/DmglK5fT9ALlGOGlLvE8iYMjxpQVhJyqsKUOXkPEDNFlDtLGYtSWwEtd43ka197XFm89kG2B2qm6aCEJBdkYm6UpisSWwEtd43kay0BWpeBBWplqA22p9sbk2sewQlAK0efVm+oeg2mJxmOGl+rAKzPnDDyp9ZYaVy5K9c9stQiO5Mrq6SJ7DKYOL819jk0/y9TzdHhpQdEOL3V4qcNL5/86vHSd8NL04uUoGZiZp9hSGTu8tLBMh5duXQxeQpHqkEIwCO9cmxtkCKwS+GS8C0IJjUP26Dy8pGU0OZUEDmOblVASgrcaikylFEtRuUEPcg5eyvW6ih2BtsECIgsgwR4KoVfKUwhx8GHlTYy+JKUQOzMAkA4vdXhpObzUkh+llAXkHNucPlogrQqIFpc9GlSmnE79rhde+sm3Hv+fn19p/jgpTtZ6O7x00qZ0eGk98JJBQ8FICzm42BKZSvCq/tTeliJESDkvX+vu8NJ44SUTyaXADjK1htJq9zQ0j/YZWcYYJG4ktFaHl9YCL0V2zghKIF2snqSyFqKtP5Oy0pmiio+rB9rp8NLVqb/xyEsl5TqGMRCDzdUgRB2ZUFZgvK6DmihzoO2IvLRNBrFh7EGohJYjRFUaj5oExOgy6Dp8tKSLCX55k75+iTu8dHmJrc1CS/TAWFq8RDYQRK3FKpFHUlHaUSCIHV66vMQmiSKcrf52ybUWo4otWF7tyINF8hQL59WXuDu8NCqNkX3WxWogl9ssheaW3jcARy8xcXXP4hiqcYeXPofGmlkQSQNonG3/1N5YogaZEluVhI1idZS4w0tLNB4zvESmeDJ1jM0FBWBt5iGSUtVd48gUtDd+9Q9KOrzU4aW5z7HpZ5l6ng4vLSja4aUOL3V46fxfh5dGAC+dWbwcJQMz8xRbKmOHlxaW6fDSrQumjhMGpcp1UGGSBvQiQYzta5kSUWBhnXhx6jiZDEb2EUrR7bM5o4CSyRCsEb6OZFOUg1mJc/BSslpzqiMbk6xoS8YBvChcr0+UMUtiOfgi60bCS+o5vHQWAOnwUoeXLgAvSSswWAL22gK6ljqj6AAhmyRkCZTkurPGPfm7n372m/9+/JPvP/rw18ff/ukVkUt4Use2MmVcB5cGVxs3uMReOp85Q0GtAIVJEEopoKOVTlnLaTNBeV7cadV1p4wLEWtzGMDmbBvhWYCQDKTqvRTiUJTt4NL2gkuuoE+UFKTYEs+E4iEklSEpFbRpETzl6rmFOrh0depvGlyyVXmFVoHQqjborJo/xAxFO8FJc4lp9XwVHVxabBAbRh6YzARoYUTbsoAyeNQMyopgRVHK5THE8ujg0uUlJsschSYw0cfqljXcWCGCCoYKWa2KGwOb1sGly0uckRSjzLWNZgmo2qc3kgW0qm21Ngr1GAjTDi59Do1ddbdT9ARKtuRRFiNQNBooe9baW6vyGKpxB5c+h8bJorZoMsjsPSD5Fjgt1nqsSq3fCUXJq9fjDi4t0XjM4FKRMVtTIrB1WFv2FllPiQyZqa0woIhl9Xh6HVzq4NLc59j0s0w9TweXFhTt4FIHlzq4dP6vg0vXCi4NFy5HCb/MPMWWatippYVlOrV064LUkvTB65DABp8As2TwUbflHwrFsSwpDUMenaeWojEuBcxAiAzoVYYg2syiCiHJtkag/AJqqY5rNBmp60A313+cYaBJJpfgbcqZZfA3n1rSjVo6R350ZKkjS8uRJW+9RVerT+EcavWNEqJMGrK2iL5ELfVpusf1I0u/OP7O764KWTqhfgbI0mmNHjeydEpWTQpNI0tqVqu1MrI02N2RpUsjS9GTROMZBDIBFq5dkNIWWHhRpMKc4/TK+rUgS2rgr9ycCdU1I0uOXPLZeFAmVBclUIHIVWVHMQfpWdEFZtQ3giy9CAJfPbKUUKFzCBbJAWJAoFgkBGZKtmSXxHbEWrqp6m8cWRKMyddaLmQpgCIaiFYilEJOmcQupTFkEVuOLG2TQWwYdrAxaIwEMogIaFjXOq8NkCkoTHQK03LMeP0SL0eWusTzJA6RPCUTgZKsbhnFAD67CEoVG1m3OM1uBBIvR5a6xPMk5pgLiTpmFdkIwNZGx6AyVK+MdW23a1e+3PNev8QXQJa6xvM0RsuyqJxbvRVthoJqZ2yqs5YwMBlB0o4CS1uOLHWN52mso07KKAtJ19qLLkQIQSsw0eaQycgQVv9o4FqQpW3SeMzIkqmDMsqGIStuEda4Drk1EbhEjJp8dHr1CGvXgiwNLeL5j44sdWSpI0sdWVpQviNLHVlaLPnsHR1ZmpTbILLUFi5HSb7MPMWWatiRpYVlOrJ066JZ4ooOUbS0Gi7V0aY0QJQdlBYmKUfiGIfI0HlkiSepqmVoIV4QMEgJMVoD1kQSbCkkHnxPcT5LXIjF6hRAWceASRvwzhGoErMIyudoh3GaVkGWaPq6p0MRM3Xk9SFLOESWJuRHR5Y6srQcWVIeAylOoFJLsqi9BcrIwFYkpaxCl08ni9aELB1/958fffMXj371N09+8Q8rwUqDXWdoJXtS9Qa00snkwu2ZOrzoZuCEU0YLsKKRa9Hk2opGWQ3CuOKNcWHtwbZ27jw8OijlSiwA7SwLkLabwHwTcEZkRJ3A2dSyqQgECs5BDh4VB5USrb8l+PW/fePHTz757eMPP76yNJE4yxS2BF0cMtPT6OKAbLw0ujiI2dbRxUuji4pNdpwFkHKlZRXLEGVhiKUklchYHUcSbU0Mxi0v3RiB14wuBh3RK63AoY7t84gE0XrTvtZAi7b4MpZoay+CwFeOLgbjqrzJgZGyYUzaQcSWvjx7ayS7kNPqyaauA128qepvGl3UZDxqDKBVSzDXUs2FIBw4kiIaEl6FMUBPy9HFbTKIDcfwMTHKLBPYkicRFiMEn2OLp+kKu2xTGUNAveXoYpd4nsRBahuIHXjfJE6mQLAUwHmdVLHFBDsGrm05utglnidxkSwzxwIyGwLMHGotFgWECNJLK4pNY5D4Auhi13iexk7LnJwzUHvlFurYIvhgPOisUmZjvTBbEm2tazxPY6/Ze1s01OpsAFtmwChre11S4rrPZOu2JNraNmk8ZnQxRU6xBVUsLEUbcgfwXH+iNKkOyIyWcb0w65Whi0OLeP6jo4sdXezoYkcXF5Tv6GJHFxdLPntHRxcn5daNLp5dthwl/jbzFFsqYOcWF5bp3OKti3GLhZQq3jmILQk9oogQOQYga4zGyI7kYLF2ilvMLKWzLoDyLgOS5HqqSKB0IW65tYIbYnRDblESCYdJ16vKCXFTrx+43gmhwSKQolGDw1fhFt30dWcHKrpObvH8UVfHJnYMccvgo7O3uSa67N4XV+OJ5qFlJ6uvZ3Gik+q2tVzZH//RV/4/</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</si>
  <si>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</si>
  <si>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</si>
  <si>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</si>
  <si>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</si>
  <si>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</si>
  <si>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</si>
  <si>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</si>
  <si>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</si>
  <si>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</si>
  <si>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</si>
  <si>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</si>
  <si>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</si>
  <si>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</si>
  <si>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</si>
  <si>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</si>
  <si>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</si>
  <si>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</si>
  <si>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</si>
  <si>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</si>
  <si>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</si>
  <si>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</si>
  <si>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</si>
  <si>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</si>
  <si>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</si>
  <si>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</si>
  <si>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</si>
  <si>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</si>
  <si>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</si>
  <si>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</si>
  <si>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</si>
  <si>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</si>
  <si>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</si>
  <si>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</si>
  <si>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</si>
  <si>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</si>
  <si>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</si>
  <si>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</si>
  <si>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</si>
  <si>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</si>
  <si>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</si>
  <si>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</si>
  <si>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</si>
  <si>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</si>
  <si>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</si>
  <si>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</si>
  <si>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</si>
  <si>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</si>
  <si>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</si>
  <si>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</si>
  <si>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</si>
  <si>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</si>
  <si>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</si>
  <si>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</si>
  <si>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</si>
  <si>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</si>
  <si>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</si>
  <si>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</si>
  <si>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</si>
  <si>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</si>
  <si>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</si>
  <si>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</si>
  <si>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</si>
  <si>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</si>
  <si>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</si>
  <si>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</si>
  <si>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</si>
  <si>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</si>
  <si>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</si>
  <si>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</si>
  <si>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</si>
  <si>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</si>
  <si>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</si>
  <si>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</si>
  <si>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</si>
  <si>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</si>
  <si>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</si>
  <si>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</si>
  <si>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</si>
  <si>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</si>
  <si>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</si>
  <si>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</si>
  <si>
    <t>{"MD5":"0612EBC579C6FC4DD5D4FF0491A62716","FullPath":"C:\\SkyWind\\Files\\Template\\WPT\\EY底稿模板\\Skywind_U4_管理费用_202YMMDD_XYZ公司1130.xlsx","Length":131281,"LastWriteTime":"2020-11-27T17:52:08+08:00"}</t>
  </si>
  <si>
    <t>2e5d7ed0-927f-420d-b1fe-bffc2c9563bf</t>
  </si>
  <si>
    <t>a3b48232-743b-475c-b685-6a84646f8f6a</t>
  </si>
  <si>
    <t>a57482c7-511b-4537-b4fc-7d8651e7adc0</t>
  </si>
  <si>
    <t>3958434a-32fe-4148-aa07-7910b59082a7</t>
  </si>
  <si>
    <t>75bb1d1c-6fd6-4afb-a8db-6dd7fe7d6cf4</t>
  </si>
  <si>
    <t>a136a9e7-88d6-4c5f-a69a-783c2f6f5a63</t>
  </si>
  <si>
    <t>9da867ee-c875-4afc-bf98-3c70fcc4e477</t>
  </si>
  <si>
    <t>f1e1debf-1d59-4dea-a80f-00a18160f6c3</t>
  </si>
  <si>
    <t>565823e9-8e0e-4ea7-9f0a-2955f6878fe1</t>
  </si>
  <si>
    <t>731dc775-3956-4164-8a58-3d2cde56805a</t>
  </si>
  <si>
    <t>a62d30e0-4c87-424d-8929-2cb9079dbc6a</t>
  </si>
  <si>
    <t>83e886f3-e1d5-4f40-b15f-fcce83e5d67c</t>
  </si>
  <si>
    <t>fa3fb33c-82ce-4161-a2e8-390c7cd8f93b</t>
  </si>
  <si>
    <t>cbecbb53-fe10-475a-8e53-415c7ad531bb</t>
  </si>
  <si>
    <t>9835fcd3-9381-4d04-98b0-29bb6734d218</t>
  </si>
  <si>
    <t>4bdda62f-71ff-439d-a694-df7c321be0a4</t>
  </si>
  <si>
    <t>a863e8db-b5e3-4e46-983d-f5db130bcc09</t>
  </si>
  <si>
    <t>b17c9dad-b470-4b68-8b68-84b46418b266</t>
  </si>
  <si>
    <t>afe299b9-3f80-41f3-b124-7ee41ddcbd19</t>
  </si>
  <si>
    <t>904c86a6-f18d-46a4-a312-fbfe141be706</t>
  </si>
  <si>
    <t>d5fddef2-be13-4ec7-b0ee-40ffb0e973db</t>
  </si>
  <si>
    <t>779e1864-d030-449f-a366-6cd2ab355b55</t>
  </si>
  <si>
    <t>48402b64-c4c6-4cce-b1b0-afe4866ff0f1</t>
  </si>
  <si>
    <t>8b024812-465a-4caa-8947-8035c0751bd1</t>
  </si>
  <si>
    <t>773d6068-3ef9-4d9d-8720-f926a0ba0a0b</t>
  </si>
  <si>
    <t>127e0daa-2250-4495-aa9b-56cc092546ff</t>
  </si>
  <si>
    <t>0e1c99e6-46d3-4b3c-a905-c7427edf75d2</t>
  </si>
  <si>
    <t>4c73fe8c-eda1-4e10-a01c-7e4c86457f33</t>
  </si>
  <si>
    <t>d5e6c5f8-2643-483e-bf6d-e1bb5822ca76</t>
  </si>
  <si>
    <t>b8813cd7-bf40-49f0-a4ea-04b6480d2e3d</t>
  </si>
  <si>
    <t>97a719e3-7a40-4579-9bd4-4adc164ed130</t>
  </si>
  <si>
    <t>38e6291c-14c1-4667-8589-617f961070c0</t>
  </si>
  <si>
    <t>5f775f0a-2fbd-44c8-9ee9-8a93a87d8ec9</t>
  </si>
  <si>
    <t>48767849-cc17-45fc-aa67-44348ceab0ec</t>
  </si>
  <si>
    <t>93947255-1890-4cdb-a6a0-94b4804ad6f7</t>
  </si>
  <si>
    <t>8ea2e96b-7bcb-4fb6-b47d-2be3377b2b59</t>
  </si>
  <si>
    <t>6bba4393-c698-4388-b43d-ec243c6779c3</t>
  </si>
  <si>
    <t>65802f6d-9145-4965-afff-dca84a2cb561</t>
  </si>
  <si>
    <t>7d840842-5c5b-4389-9a92-87e3b87140f2</t>
  </si>
  <si>
    <t>d91aff65-3c94-4247-82ce-88a24bafcaa8</t>
  </si>
  <si>
    <t>89438705-293f-4ac4-898c-24b245e57dcf</t>
  </si>
  <si>
    <t>7f1dacfd-14d4-4ba7-b915-018599444db2</t>
  </si>
  <si>
    <t>cfb6fd11-4d23-42f4-9778-eb0e78db4075</t>
  </si>
  <si>
    <t>c9bbb7ff-b986-4234-9347-ad886a469108</t>
  </si>
  <si>
    <t>8bd15157-f8fd-4852-ac9b-fe7f201615a1</t>
  </si>
  <si>
    <t>7dbbe21e-6eae-4da7-895d-1ebd63d9dff3</t>
  </si>
  <si>
    <t>53876337-3df1-42b5-88d3-f8ff5c2079e3</t>
  </si>
  <si>
    <t>bc724959-aebc-46af-a320-57675bad5af5</t>
  </si>
  <si>
    <t>6d1df293-8014-44c5-9772-5c03c7d0e32b</t>
  </si>
  <si>
    <t>b5a0ba96-6ce2-4eb6-be91-f2fd0079826c</t>
  </si>
  <si>
    <t>68fe94d8-d407-421c-abc4-8170b02afd03</t>
  </si>
  <si>
    <t>a256fd90-b0b9-43ba-a44e-a9bb06f425f0</t>
  </si>
  <si>
    <t>dfad5f3c-29cc-4b30-9c7e-1b79e856ea12</t>
  </si>
  <si>
    <t>38850cab-033c-46c0-83c2-ad46d529a764</t>
  </si>
  <si>
    <t>978bda39-d29e-4222-85c7-beb04c8e1bd1</t>
  </si>
  <si>
    <t>b814911e-0aa3-468e-93d0-9479ff6adfa2</t>
  </si>
  <si>
    <t>06f31434-81e6-4cf3-b8f0-14b854a5c218</t>
  </si>
  <si>
    <t>4a10be13-65fe-4ba0-ae14-12acc07366ff</t>
  </si>
  <si>
    <t>f260a43f-3d1d-46e1-bad8-f6637d2256c6</t>
  </si>
  <si>
    <t>9c5bbfbb-36b4-4459-95aa-30261447d23a</t>
  </si>
  <si>
    <t>58e54662-4fee-4684-a8ff-392ac4c9c5cd</t>
  </si>
  <si>
    <t>288fd3dc-63a3-41e7-8f6f-bbf0c870826c</t>
  </si>
  <si>
    <t>e09c044f-ffde-4c23-8b10-43b2f4c04156</t>
  </si>
  <si>
    <t>cbb280d6-2c8a-42f3-a6e0-c9dc968a6c7a</t>
  </si>
  <si>
    <t>4d362527-3a94-4c12-8325-42b7ad025ef6</t>
  </si>
  <si>
    <t>cc3f83d0-10ee-4f93-b3fa-dc8d09a056f7</t>
  </si>
  <si>
    <t>e49591c2-301b-45fd-9da5-cb24a176248f</t>
  </si>
  <si>
    <t>d92707e7-c5f3-4e09-a2e2-2f22e1e7f916</t>
  </si>
  <si>
    <t>b335d794-777e-4454-af23-bc00415eee9a</t>
  </si>
  <si>
    <t>ec474684-02e0-4e59-949d-54718ceb275a</t>
  </si>
  <si>
    <t>60207863-9e43-41c1-839b-7df6d1c907fc</t>
  </si>
  <si>
    <t>6d8f88bc-be09-48b3-b42d-5a588c7f2663</t>
  </si>
  <si>
    <t>fbefcb6a-b20c-4f5b-a253-ee77e74e8f37</t>
  </si>
  <si>
    <t>346cad63-ffee-401c-a639-6b4cda4f7df9</t>
  </si>
  <si>
    <t>abf9edad-3093-473b-983f-7ebd91280bcd</t>
  </si>
  <si>
    <t>7d1e65b3-4fb6-4836-9cc4-686b4fdd40b7</t>
  </si>
  <si>
    <t>eb3d8fbc-f10c-4ecc-a5ce-5262d980d8c4</t>
  </si>
  <si>
    <t>0e7642c2-8a63-4c88-96d9-f00115bbde7c</t>
  </si>
  <si>
    <t>2305edf0-c4f6-4e1e-9e62-c2f275c2bffc</t>
  </si>
  <si>
    <t>03da9a5e-04ce-4efc-b951-7a31c5b50ae1</t>
  </si>
  <si>
    <t>b67a9f4a-d9f7-41c6-8331-9081b29ad0a0</t>
  </si>
  <si>
    <t>407ed7f7-7dd2-4dea-9f32-3f72beb964e5</t>
  </si>
  <si>
    <t>5ff279e6-7491-4ae2-990b-2b1405782927</t>
  </si>
  <si>
    <t>a9085627-2b59-43e1-b878-e3ddfe4b098f</t>
  </si>
  <si>
    <t>f1fb1cd8-a0b2-4357-8919-b2643b362123</t>
  </si>
  <si>
    <t>fe8f8389-cdd5-4267-9453-794b5b22bec3</t>
  </si>
  <si>
    <t>4026dca4-5a35-4e52-9dbb-fdd143026d79</t>
  </si>
  <si>
    <t>2c877d0a-b6f5-4525-a64d-8d81ed665c31</t>
  </si>
  <si>
    <t>afcd1915-8d56-4788-9865-a43d1fb9f912</t>
  </si>
  <si>
    <t>d4342222-24bc-4b4a-a208-de111dd97e06</t>
  </si>
  <si>
    <t>31b5dcfc-74bb-4921-a863-f1cfff69b270</t>
  </si>
  <si>
    <t>9488f1e9-73e9-4fba-81dc-4ebda98456ce</t>
  </si>
  <si>
    <t>d0872e79-36a6-44e0-90e8-f9482289aabb</t>
  </si>
  <si>
    <t>0a4e6c50-6634-4b8a-a3bf-8194fdb76ab8</t>
  </si>
  <si>
    <t>18718e2e-56f8-4f0f-8124-a3040378f47b</t>
  </si>
  <si>
    <t>c68e9b95-45d1-46e3-ab3b-92518bf9aabf</t>
  </si>
  <si>
    <t>aeb0d24c-a4d3-4ded-a771-784d43b601bb</t>
  </si>
  <si>
    <t>b3e392dc-c81c-4108-8a15-b4431d9a1bcc</t>
  </si>
  <si>
    <t>1c54be8b-ff38-4f52-9c5d-a6508915cb19</t>
  </si>
  <si>
    <t>d621de16-1830-484b-9269-d354b050b158</t>
  </si>
  <si>
    <t>c633ec40-5c60-445a-80fe-1f99d4d19e15</t>
  </si>
  <si>
    <t>6a93fb58-633e-475e-9006-3625e32bb509</t>
  </si>
  <si>
    <t>62ddb3ec-d7d9-459b-881f-f635ae742503</t>
  </si>
  <si>
    <t>c19039d6-1a26-46fc-a3f9-2d52d9153eff</t>
  </si>
  <si>
    <t>c785bf84-7957-454e-ae6e-01a46badf02d</t>
  </si>
  <si>
    <t>af19b4b5-cda1-438d-8ff6-528265031521</t>
  </si>
  <si>
    <t>b557ca4d-944e-482d-a044-22aac170ec28</t>
  </si>
  <si>
    <t>2e4e7784-7166-4b22-b0f7-0096d82640d3</t>
  </si>
  <si>
    <t>65f39513-49d3-475e-9126-8a86cdde1a85</t>
  </si>
  <si>
    <t>aab0bd2f-8b83-4b8d-b2c0-c2170303db12</t>
  </si>
  <si>
    <t>f8bef442-2bee-4474-b108-62eba0c077f3</t>
  </si>
  <si>
    <t>dc2dc7bd-e745-450d-8cfe-fa95e3ace894</t>
  </si>
  <si>
    <t>a277c8a4-cdec-4980-befa-6f9864c61cd1</t>
  </si>
  <si>
    <t>ebe49208-823f-4efd-8564-ef48201b9585</t>
  </si>
  <si>
    <t>e09eb91a-47f4-4a11-bb65-65b90e69ace6</t>
  </si>
  <si>
    <t>0f83be01-672c-489a-ab7f-6e9f87c43854</t>
  </si>
  <si>
    <t>dabf63ca-267e-4c35-8779-2fbd0a28db69</t>
  </si>
  <si>
    <t>aec35903-4b01-4f2c-a90c-460f47460359</t>
  </si>
  <si>
    <t>73694999-0d85-42d2-9a8e-094598ead8bd</t>
  </si>
  <si>
    <t>43bad920-a971-488b-97b8-5d1cb961f812</t>
  </si>
  <si>
    <t>cbf4a0df-8431-4ec0-8b52-6babb4ea5462</t>
  </si>
  <si>
    <t>cdc2b6bc-ac47-40be-8597-6f8782f1245a</t>
  </si>
  <si>
    <t>b3307cbb-2dc6-48e6-92df-ff077099e333</t>
  </si>
  <si>
    <t>2d3f110c-e8e7-4cf5-b372-f144d7485242</t>
  </si>
  <si>
    <t>1337ac35-7750-4024-9741-0d419832ec4f</t>
  </si>
  <si>
    <t>116af29b-9e8d-46b0-960a-293b2b39789c</t>
  </si>
  <si>
    <t>7b67d732-3e5a-457e-a6c2-f5d5cce467df</t>
  </si>
  <si>
    <t>04768c43-ac71-436c-994a-76f3052bc7a0</t>
  </si>
  <si>
    <t>408b6819-90ba-4fcb-ac8d-09dc34234103</t>
  </si>
  <si>
    <t>f88043d1-62e2-489d-b33b-3b5184674f40</t>
  </si>
  <si>
    <t>3f16a684-9412-4bf5-bcdd-366a7cc9a7fc</t>
  </si>
  <si>
    <t>d18d57b2-233e-43fc-975e-bdcb9a6d045e</t>
  </si>
  <si>
    <t>cf288d2e-19b9-4997-a7e4-752b9893ef73</t>
  </si>
  <si>
    <t>c702974b-29d8-4708-9a58-796ddef9ed1a</t>
  </si>
  <si>
    <t>8de145d5-aeba-4a2e-8a80-d6e2fce8659b</t>
  </si>
  <si>
    <t>674f6887-5a01-4c61-9b4a-3630695d0832</t>
  </si>
  <si>
    <t>4dfe9a6a-4a4e-4cfa-8afa-8df434cf5b0e</t>
  </si>
  <si>
    <t>4cdfb006-ca0d-453e-8ef5-c0b90444a93c</t>
  </si>
  <si>
    <t>de11767a-287d-491e-b5b9-23f9e266ea71</t>
  </si>
  <si>
    <t>5f6fab2b-27a4-47a0-a48b-2b6682baaf2b</t>
  </si>
  <si>
    <t>199074c3-be1a-4b5b-bae4-49454f049b52</t>
  </si>
  <si>
    <t>b0a8049b-c133-44a8-8ede-9eee3f5dec75</t>
  </si>
  <si>
    <t>040f6ea6-d72e-4369-b76b-0af362d0bae4</t>
  </si>
  <si>
    <t>b17b04b9-e433-41ce-bd97-d64b8721e7ad</t>
  </si>
  <si>
    <t>1afdd838-25a4-4e26-99f9-b88bbebb97e4</t>
  </si>
  <si>
    <t>761cf9fa-a2a1-45ca-9447-8efc64afc129</t>
  </si>
  <si>
    <t>472bde22-ea7e-4f9e-82fc-8623ab61cb73</t>
  </si>
  <si>
    <t>51a1af93-da4a-4240-adee-81ff918aa6a5</t>
  </si>
  <si>
    <t>b2a54a2b-5555-47b4-8aed-340b0ad8da5a</t>
  </si>
  <si>
    <t>fc14a605-9a7e-4b51-92a6-dcae11397577</t>
  </si>
  <si>
    <t>0382929a-34d4-4aa3-afd4-723a0695e353</t>
  </si>
  <si>
    <t>85f4874f-baa0-4cd9-8586-6ec86122feac</t>
  </si>
  <si>
    <t>1bc82611-2f39-4ef0-8bb8-979b44c53083</t>
  </si>
  <si>
    <t>ff62d272-7a97-4885-a359-184c78fb913b</t>
  </si>
  <si>
    <t>cccac1e8-b126-49ba-b48a-53c6034f4486</t>
  </si>
  <si>
    <t>0ca974c5-50c2-4413-a4a4-e52385f252e5</t>
  </si>
  <si>
    <t>72a62ba5-7f61-491b-ad87-66eec62cf9b3</t>
  </si>
  <si>
    <t>0f2f9789-16b7-4304-b587-891fdf44dcb4</t>
  </si>
  <si>
    <t>a5087111-2c9d-4ae4-bc41-11193dfb3a4c</t>
  </si>
  <si>
    <t>ba9ec45c-c699-4126-8990-7e5e9e1aa1ef</t>
  </si>
  <si>
    <t>3423cfd7-eaed-4539-ae01-54327113e04e</t>
  </si>
  <si>
    <t>cb9534c0-e8b0-458f-8e7e-737e25bea4a9</t>
  </si>
  <si>
    <t>53101204-5b9f-45d7-8385-5a1711a0392d</t>
  </si>
  <si>
    <t>fa788ba7-7514-4cfa-a728-41a461e27dc1</t>
  </si>
  <si>
    <t>a79e4cd2-adc8-4ff3-ab4d-b7dea16bf526</t>
  </si>
  <si>
    <t>58f6f868-961b-49ed-ac02-d556d15f2905</t>
  </si>
  <si>
    <t>1a962ca8-161c-4169-8397-193009cab8d1</t>
  </si>
  <si>
    <t>271deedd-e61b-4698-970f-5a6009eb97f0</t>
  </si>
  <si>
    <t>5459a516-da7b-4451-8216-386ff00acdd9</t>
  </si>
  <si>
    <t>5b97cae7-d9b8-4637-afd4-38d4e1bba14a</t>
  </si>
  <si>
    <t>be77509c-17b6-4266-b69c-c26175f2f8bc</t>
  </si>
  <si>
    <t>8fcd87a5-ba6d-4201-a9d2-583347b1da9c</t>
  </si>
  <si>
    <t>a02c46eb-b2f9-41c0-bb7d-3f94693f5a8a</t>
  </si>
  <si>
    <t>66d03148-e4fe-4be5-a0d2-2c98492b16a9</t>
  </si>
  <si>
    <t>5c0f0761-8fd9-442b-baac-1a64989bfed0</t>
  </si>
  <si>
    <t>4e8d3f63-97d8-413e-a48a-eb814cef2fb9</t>
  </si>
  <si>
    <t>3ee09915-4576-4570-b143-1cce62c06b0d</t>
  </si>
  <si>
    <t>95f895d4-ef40-40f0-b922-b2ebe9a3858e</t>
  </si>
  <si>
    <t>e8178ded-f432-405c-afff-3b617266ecef</t>
  </si>
  <si>
    <t>fab45c0a-6dd6-414f-9495-cc54f9eaf26a</t>
  </si>
  <si>
    <t>7f48c9c2-cb26-4af8-ac2d-c22a353b361b</t>
  </si>
  <si>
    <t>6c222462-0322-4e2a-adee-f370ec3efbc4</t>
  </si>
  <si>
    <t>5e95e4fe-e446-4b5e-843e-260a60f227d5</t>
  </si>
  <si>
    <t>96eeb039-5b8b-4037-a244-2a59f9632f7a</t>
  </si>
  <si>
    <t>d492e41d-4ee1-4246-91e0-5e4f6335243c</t>
  </si>
  <si>
    <t>714fcb89-21b7-464b-9b53-9d8e338662da</t>
  </si>
  <si>
    <t>c643645d-1d88-498d-b7b0-52f2e4c40fdc</t>
  </si>
  <si>
    <t>f1bd65fb-e674-42d2-a20d-de9bb9740bf6</t>
  </si>
  <si>
    <t>b891458e-04e9-4fee-9236-e080f124ddb3</t>
  </si>
  <si>
    <t>797c8d58-25ae-4a9f-beee-79bda18e29dc</t>
  </si>
  <si>
    <t>7c424774-6497-44a4-9bf1-aee9c6fd7c0c</t>
  </si>
  <si>
    <t>60e4c89f-01ff-40b5-b614-ff9725ce7ccd</t>
  </si>
  <si>
    <t>d6ba34b9-1a0b-45e3-9b35-95f405b724cf</t>
  </si>
  <si>
    <t>ab989c5b-9c19-49ba-8d7b-22f6be32e797</t>
  </si>
  <si>
    <t>ebdf90b1-0d50-4614-ba2d-da1e340b4a43</t>
  </si>
  <si>
    <t>46e1f2dd-22f0-4db9-b654-6c4ae950916c</t>
  </si>
  <si>
    <t>3b3c2526-c32d-47ab-aa32-5b6dad951aab</t>
  </si>
  <si>
    <t>57c49d5e-d2e8-41ef-b399-7c9e4398b739</t>
  </si>
  <si>
    <t>99f99c75-4e54-40a0-b234-732ce26ede36</t>
  </si>
  <si>
    <t>1d7fdaf3-270e-43c8-b248-6bee8a0b3978</t>
  </si>
  <si>
    <t>f9b81827-1bbf-40e7-8995-c8675f64c937</t>
  </si>
  <si>
    <t>080f6868-9248-4397-ab5f-7be54f3d4d89</t>
  </si>
  <si>
    <t>650f669b-efb3-472b-9cde-7c0f417b4494</t>
  </si>
  <si>
    <t>9e27363a-249c-4026-8617-8841e2a20faf</t>
  </si>
  <si>
    <t>3c1c8532-164f-44e6-8489-8a47ba7ea92a</t>
  </si>
  <si>
    <t>b329f16d-5ddb-4f81-9a04-7ea7471bccc7</t>
  </si>
  <si>
    <t>af7e67c7-aef5-4a4b-8a78-f7fcc980c0a2</t>
  </si>
  <si>
    <t>2f3e74d7-6bc9-4866-8b86-907c7053b081</t>
  </si>
  <si>
    <t>d167b3fc-58c2-4c96-aca7-a856916a237a</t>
  </si>
  <si>
    <t>f217a4cb-e263-42a5-a44e-ee264181d093</t>
  </si>
  <si>
    <t>a45fe681-52f1-442f-a477-93a866bc2061</t>
  </si>
  <si>
    <t>fa854dae-7fe8-412a-96f6-1867c45de8e5</t>
  </si>
  <si>
    <t>5d7742d0-2919-4ae9-aafb-d85e31b258b8</t>
  </si>
  <si>
    <t>66115a82-d8ad-430a-a9a3-8d1b77d5a241</t>
  </si>
  <si>
    <t>d0bb491e-b34b-4f76-bc0e-fdffda64bfb2</t>
  </si>
  <si>
    <t>e13b7b39-a985-48c5-8da3-049ba019c75f</t>
  </si>
  <si>
    <t>466e3619-da9c-498b-b902-85f8d139214d</t>
  </si>
  <si>
    <t>60f687e2-f195-467e-8c04-7f77f36a119f</t>
  </si>
  <si>
    <t>c63c9d79-2683-4b42-8bae-a73d85ab3125</t>
  </si>
  <si>
    <t>d0c58209-17b6-4f1c-8e04-f1407e221f46</t>
  </si>
  <si>
    <t>14981665-9050-4daf-9086-7ee87767996c</t>
  </si>
  <si>
    <t>6ea506e1-e7ad-4e3a-a872-cf3cd9058c60</t>
  </si>
  <si>
    <t>9af32cb9-51e6-4872-9dab-2f00ec97ec74</t>
  </si>
  <si>
    <t>d0b1df97-1024-41a3-83fa-47edf3fd65b6</t>
  </si>
  <si>
    <t>75c35215-598b-4781-b0e4-48d447d0d338</t>
  </si>
  <si>
    <t>982c0ba2-d425-43eb-81b2-776bb9ca21ae</t>
  </si>
  <si>
    <t>29df1df1-a1e5-4cd3-9f83-a41d9540ffbb</t>
  </si>
  <si>
    <t>ae16226f-6f33-4ddc-aa95-16d4eb29287f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</si>
</sst>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1">
    <numFmt numFmtId="41" formatCode="_ * #,##0_ ;_ * \-#,##0_ ;_ * &quot;-&quot;_ ;_ @_ "/>
    <numFmt numFmtId="43" formatCode="_ * #,##0.00_ ;_ * \-#,##0.00_ ;_ * &quot;-&quot;??_ ;_ @_ "/>
    <numFmt numFmtId="164" formatCode="_(* #,##0.00_);_(* \(#,##0.00\);_(* &quot;-&quot;??_);_(@_)"/>
    <numFmt numFmtId="165" formatCode="_(* #,##0_);_(* \(#,##0\);_(* &quot;-&quot;_);_(@_)"/>
    <numFmt numFmtId="166" formatCode="* #,##0.00;[Red]\(#,##0.00\);&quot;-&quot;;\ @"/>
    <numFmt numFmtId="167" formatCode="0_);[Red]\(0\)"/>
    <numFmt numFmtId="168" formatCode="#,##0.00_ ;[Red]\-#,##0.00\ "/>
    <numFmt numFmtId="169" formatCode="_(* #,##0_);_(* \(#,##0\);_(* &quot;-&quot;??_);_(@_)"/>
    <numFmt numFmtId="170" formatCode="#,##0;\(#,##0\);\-#,##0"/>
    <numFmt numFmtId="171" formatCode="0_);\(0\)"/>
    <numFmt numFmtId="172" formatCode="_(* #,##0.00_);_(* \(#,##0.00\);_(* &quot;-&quot;??_)"/>
    <numFmt numFmtId="173" formatCode="0.0%"/>
    <numFmt numFmtId="174" formatCode="_([$€-2]* #,##0.00_);_([$€-2]* \(#,##0.00\);_([$€-2]* &quot;-&quot;??_)"/>
    <numFmt numFmtId="175" formatCode="_-* #,##0.0000000000_-;\-* #,##0.0000000000_-;_-* &quot;-&quot;??_-;_-@_-"/>
    <numFmt numFmtId="176" formatCode="\¥#,##0;\-\¥#,##0"/>
    <numFmt numFmtId="177" formatCode="#,##0;\-#,##0;&quot;-&quot;"/>
    <numFmt numFmtId="178" formatCode="&quot;$&quot;#,##0;[Red]&quot;$&quot;&quot;$&quot;&quot;$&quot;&quot;$&quot;&quot;$&quot;&quot;$&quot;&quot;$&quot;\-#,##0"/>
    <numFmt numFmtId="179" formatCode="#,##0;\(#,##0\)"/>
    <numFmt numFmtId="180" formatCode="#,##0.0_);\(#,##0.0\)"/>
    <numFmt numFmtId="181" formatCode="&quot;$&quot;#,##0_);\(&quot;$&quot;#,##0\)"/>
    <numFmt numFmtId="182" formatCode="&quot;$&quot;#,##0.00_);\(&quot;$&quot;#,##0.00\)"/>
    <numFmt numFmtId="183" formatCode="\$#,##0.00;\(\$#,##0.00\)"/>
    <numFmt numFmtId="184" formatCode="\$#,##0;\(\$#,##0\)"/>
    <numFmt numFmtId="185" formatCode="_ [$€-2]* #,##0.00_ ;_ [$€-2]* \-#,##0.00_ ;_ [$€-2]* &quot;-&quot;??_ "/>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 #,##0.00_-;\-* #,##0.00_-;_-* &quot;-&quot;??_-;_-@_-"/>
    <numFmt numFmtId="192" formatCode="_([$€-2]* #,##0.00000_);_([$€-2]* \(#,##0.00000\);_([$€-2]* &quot;-&quot;??_)"/>
    <numFmt numFmtId="193" formatCode="_(\¥* #,##0.00_);_(\¥* \(#,##0.00\);_(\¥* &quot;-&quot;??_);_(@_)"/>
    <numFmt numFmtId="194" formatCode="_-&quot;$&quot;* #,##0_-;\-&quot;$&quot;* #,##0_-;_-&quot;$&quot;* &quot;-&quot;_-;_-@_-"/>
    <numFmt numFmtId="195" formatCode="_-&quot;$&quot;* #,##0.00_-;\-&quot;$&quot;* #,##0.00_-;_-&quot;$&quot;* &quot;-&quot;??_-;_-@_-"/>
    <numFmt numFmtId="196" formatCode="&quot;\&quot;#,##0;[Red]&quot;\&quot;&quot;\&quot;\-#,##0"/>
    <numFmt numFmtId="197" formatCode="&quot;\&quot;#,##0.00;[Red]&quot;\&quot;&quot;\&quot;&quot;\&quot;&quot;\&quot;&quot;\&quot;&quot;\&quot;\-#,##0.00"/>
    <numFmt numFmtId="198" formatCode="&quot;\&quot;#,##0.00;[Red]&quot;\&quot;\-#,##0.00"/>
    <numFmt numFmtId="199" formatCode="&quot;\&quot;#,##0;[Red]&quot;\&quot;\-#,##0"/>
    <numFmt numFmtId="200" formatCode="_(&quot;$&quot;* #,##0.00_);_(&quot;$&quot;* \(#,##0.00\);_(&quot;$&quot;* &quot;-&quot;??_);_(@_)"/>
    <numFmt numFmtId="201"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2" formatCode="#,##0;\(#,##0\);0"/>
  </numFmts>
  <fonts count="164">
    <font>
      <sz val="10"/>
      <name val="宋体"/>
      <family val="2"/>
      <charset val="134"/>
    </font>
    <font>
      <sz val="10"/>
      <name val="Arial"/>
      <family val="2"/>
    </font>
    <font>
      <sz val="10"/>
      <color theme="1"/>
      <name val="Arial"/>
      <family val="2"/>
    </font>
    <font>
      <sz val="10"/>
      <name val="微软雅黑"/>
      <family val="2"/>
      <charset val="134"/>
    </font>
    <font>
      <sz val="10"/>
      <color theme="1"/>
      <name val="微软雅黑"/>
      <family val="2"/>
      <charset val="134"/>
    </font>
    <font>
      <sz val="10"/>
      <color rgb="FF000000"/>
      <name val="Arial"/>
      <family val="2"/>
    </font>
    <font>
      <b/>
      <sz val="10"/>
      <color rgb="FFFF0000"/>
      <name val="Arial"/>
      <family val="2"/>
    </font>
    <font>
      <b/>
      <sz val="10"/>
      <color theme="0"/>
      <name val="Arial"/>
      <family val="2"/>
    </font>
    <font>
      <u/>
      <sz val="10"/>
      <color theme="10"/>
      <name val="Arial"/>
      <family val="2"/>
    </font>
    <font>
      <b/>
      <sz val="10"/>
      <name val="Arial"/>
      <family val="2"/>
    </font>
    <font>
      <b/>
      <sz val="10"/>
      <name val="微软雅黑"/>
      <family val="2"/>
      <charset val="134"/>
    </font>
    <font>
      <u/>
      <sz val="10"/>
      <color rgb="FF0563C1"/>
      <name val="Arial"/>
      <family val="2"/>
    </font>
    <font>
      <b/>
      <sz val="10"/>
      <color rgb="FF000000"/>
      <name val="Arial"/>
      <family val="2"/>
    </font>
    <font>
      <b/>
      <sz val="10"/>
      <color indexed="10"/>
      <name val="Arial"/>
      <family val="2"/>
    </font>
    <font>
      <u/>
      <sz val="10"/>
      <color rgb="FFFF0000"/>
      <name val="Arial"/>
      <family val="2"/>
    </font>
    <font>
      <b/>
      <u/>
      <sz val="14"/>
      <name val="Arial"/>
      <family val="2"/>
    </font>
    <font>
      <sz val="14"/>
      <color theme="1"/>
      <name val="Arial"/>
      <family val="2"/>
    </font>
    <font>
      <b/>
      <sz val="14"/>
      <name val="Arial"/>
      <family val="2"/>
    </font>
    <font>
      <sz val="14"/>
      <name val="Arial"/>
      <family val="2"/>
    </font>
    <font>
      <b/>
      <sz val="14"/>
      <color rgb="FFFF0000"/>
      <name val="Arial"/>
      <family val="2"/>
    </font>
    <font>
      <b/>
      <sz val="14"/>
      <color indexed="8"/>
      <name val="Arial"/>
      <family val="2"/>
    </font>
    <font>
      <sz val="14"/>
      <name val="微软雅黑"/>
      <family val="2"/>
      <charset val="134"/>
    </font>
    <font>
      <b/>
      <sz val="14"/>
      <color rgb="FFFF0000"/>
      <name val="微软雅黑"/>
      <family val="2"/>
      <charset val="134"/>
    </font>
    <font>
      <b/>
      <sz val="10"/>
      <color rgb="FFFF0000"/>
      <name val="微软雅黑"/>
      <family val="2"/>
      <charset val="134"/>
    </font>
    <font>
      <sz val="10"/>
      <color indexed="8"/>
      <name val="微软雅黑"/>
      <family val="2"/>
      <charset val="134"/>
    </font>
    <font>
      <sz val="11"/>
      <color theme="1"/>
      <name val="等线"/>
      <family val="3"/>
      <charset val="134"/>
      <scheme val="minor"/>
    </font>
    <font>
      <b/>
      <strike/>
      <sz val="10"/>
      <color rgb="FF0000FF"/>
      <name val="Arial"/>
      <family val="2"/>
    </font>
    <font>
      <sz val="10"/>
      <color rgb="FF000000"/>
      <name val="微软雅黑"/>
      <family val="2"/>
      <charset val="134"/>
    </font>
    <font>
      <b/>
      <sz val="10"/>
      <color theme="1"/>
      <name val="Arial"/>
      <family val="2"/>
    </font>
    <font>
      <b/>
      <sz val="14"/>
      <color indexed="10"/>
      <name val="Arial"/>
      <family val="2"/>
    </font>
    <font>
      <b/>
      <sz val="10"/>
      <color rgb="FF0000FF"/>
      <name val="Arial"/>
      <family val="2"/>
    </font>
    <font>
      <sz val="10"/>
      <color indexed="8"/>
      <name val="Arial"/>
      <family val="2"/>
    </font>
    <font>
      <u val="doubleAccounting"/>
      <sz val="10"/>
      <name val="Arial"/>
      <family val="2"/>
    </font>
    <font>
      <strike/>
      <sz val="10"/>
      <name val="Arial"/>
      <family val="2"/>
    </font>
    <font>
      <strike/>
      <sz val="10"/>
      <color theme="1"/>
      <name val="Arial"/>
      <family val="2"/>
    </font>
    <font>
      <sz val="10"/>
      <color rgb="FFFF0000"/>
      <name val="Arial"/>
      <family val="2"/>
    </font>
    <font>
      <sz val="10"/>
      <color indexed="10"/>
      <name val="Arial"/>
      <family val="2"/>
    </font>
    <font>
      <b/>
      <sz val="16"/>
      <name val="微软雅黑"/>
      <family val="2"/>
      <charset val="134"/>
    </font>
    <font>
      <b/>
      <u/>
      <sz val="14"/>
      <color theme="1"/>
      <name val="Arial"/>
      <family val="2"/>
    </font>
    <font>
      <sz val="14"/>
      <color rgb="FF000000"/>
      <name val="Arial"/>
      <family val="2"/>
    </font>
    <font>
      <b/>
      <sz val="14"/>
      <color theme="1"/>
      <name val="Arial"/>
      <family val="2"/>
    </font>
    <font>
      <sz val="14"/>
      <color indexed="8"/>
      <name val="Arial"/>
      <family val="2"/>
    </font>
    <font>
      <b/>
      <sz val="10"/>
      <color indexed="8"/>
      <name val="Arial"/>
      <family val="2"/>
    </font>
    <font>
      <b/>
      <strike/>
      <sz val="10"/>
      <color indexed="12"/>
      <name val="Arial"/>
      <family val="2"/>
    </font>
    <font>
      <b/>
      <sz val="9"/>
      <color theme="1"/>
      <name val="Arial"/>
      <family val="2"/>
    </font>
    <font>
      <sz val="12"/>
      <color theme="1"/>
      <name val="Arial"/>
      <family val="2"/>
    </font>
    <font>
      <sz val="9"/>
      <color theme="1"/>
      <name val="Arial"/>
      <family val="2"/>
    </font>
    <font>
      <b/>
      <strike/>
      <sz val="10"/>
      <color rgb="FFFF0000"/>
      <name val="Arial"/>
      <family val="2"/>
    </font>
    <font>
      <b/>
      <strike/>
      <sz val="10"/>
      <name val="Arial"/>
      <family val="2"/>
    </font>
    <font>
      <u/>
      <sz val="14"/>
      <name val="Arial"/>
      <family val="2"/>
    </font>
    <font>
      <b/>
      <i/>
      <sz val="10"/>
      <name val="Arial"/>
      <family val="2"/>
    </font>
    <font>
      <i/>
      <sz val="10"/>
      <color theme="0"/>
      <name val="Arial"/>
      <family val="2"/>
    </font>
    <font>
      <b/>
      <i/>
      <sz val="10"/>
      <color rgb="FFFF0000"/>
      <name val="Arial"/>
      <family val="2"/>
    </font>
    <font>
      <sz val="10"/>
      <name val="宋体"/>
      <family val="3"/>
      <charset val="134"/>
    </font>
    <font>
      <sz val="11"/>
      <color theme="1"/>
      <name val="宋体"/>
      <family val="3"/>
      <charset val="134"/>
    </font>
    <font>
      <sz val="12"/>
      <name val="宋体"/>
      <family val="3"/>
      <charset val="134"/>
    </font>
    <font>
      <sz val="11"/>
      <color theme="1"/>
      <name val="等线"/>
      <family val="3"/>
      <charset val="134"/>
      <scheme val="minor"/>
    </font>
    <font>
      <sz val="9"/>
      <color theme="1"/>
      <name val="Arial"/>
      <family val="2"/>
    </font>
    <font>
      <u/>
      <sz val="11"/>
      <color theme="10"/>
      <name val="等线"/>
      <family val="3"/>
      <charset val="134"/>
      <scheme val="minor"/>
    </font>
    <font>
      <u/>
      <sz val="10"/>
      <color indexed="12"/>
      <name val="宋体"/>
      <family val="3"/>
      <charset val="134"/>
    </font>
    <font>
      <sz val="8"/>
      <name val="EYInterstate Light"/>
    </font>
    <font>
      <sz val="11"/>
      <color indexed="8"/>
      <name val="Calibri"/>
      <family val="2"/>
    </font>
    <font>
      <sz val="10"/>
      <name val="Invensys Andale"/>
      <family val="1"/>
    </font>
    <font>
      <sz val="10"/>
      <name val="Helv"/>
    </font>
    <font>
      <sz val="13"/>
      <name val="Tms Rmn"/>
      <family val="1"/>
    </font>
    <font>
      <sz val="12"/>
      <color indexed="9"/>
      <name val="宋体"/>
      <family val="3"/>
      <charset val="134"/>
    </font>
    <font>
      <sz val="12"/>
      <color indexed="8"/>
      <name val="宋体"/>
      <family val="3"/>
      <charset val="134"/>
    </font>
    <font>
      <sz val="11"/>
      <color theme="0"/>
      <name val="等线"/>
      <family val="3"/>
      <charset val="134"/>
      <scheme val="minor"/>
    </font>
    <font>
      <b/>
      <sz val="10"/>
      <name val="Helv"/>
    </font>
    <font>
      <b/>
      <sz val="11"/>
      <color theme="0"/>
      <name val="等线"/>
      <family val="3"/>
      <charset val="134"/>
      <scheme val="minor"/>
    </font>
    <font>
      <b/>
      <sz val="11"/>
      <color theme="0"/>
      <name val="宋体"/>
      <family val="3"/>
      <charset val="134"/>
    </font>
    <font>
      <b/>
      <sz val="13"/>
      <name val="Tms Rmn"/>
      <family val="1"/>
    </font>
    <font>
      <sz val="11"/>
      <color indexed="8"/>
      <name val="宋体"/>
      <family val="3"/>
      <charset val="134"/>
    </font>
    <font>
      <sz val="11"/>
      <color theme="1"/>
      <name val="等线"/>
      <family val="3"/>
      <charset val="134"/>
      <scheme val="minor"/>
    </font>
    <font>
      <sz val="12"/>
      <name val="Times New Roman"/>
      <family val="1"/>
    </font>
    <font>
      <sz val="10"/>
      <name val="Times New Roman"/>
      <family val="1"/>
    </font>
    <font>
      <sz val="9"/>
      <name val="Times New Roman"/>
      <family val="1"/>
    </font>
    <font>
      <sz val="8"/>
      <name val="Arial"/>
      <family val="2"/>
    </font>
    <font>
      <sz val="11"/>
      <color rgb="FF006100"/>
      <name val="等线"/>
      <family val="3"/>
      <charset val="134"/>
      <scheme val="minor"/>
    </font>
    <font>
      <sz val="11"/>
      <color rgb="FF006100"/>
      <name val="宋体"/>
      <family val="3"/>
      <charset val="134"/>
    </font>
    <font>
      <b/>
      <sz val="12"/>
      <name val="Helv"/>
    </font>
    <font>
      <b/>
      <sz val="12"/>
      <name val="Arial"/>
      <family val="2"/>
    </font>
    <font>
      <u/>
      <sz val="11"/>
      <color theme="10"/>
      <name val="宋体"/>
      <family val="3"/>
      <charset val="134"/>
    </font>
    <font>
      <b/>
      <sz val="11"/>
      <name val="Helv"/>
    </font>
    <font>
      <sz val="10"/>
      <name val="Tahoma"/>
      <family val="2"/>
    </font>
    <font>
      <sz val="9"/>
      <color theme="1"/>
      <name val="Arial Unicode MS"/>
      <family val="2"/>
    </font>
    <font>
      <sz val="10"/>
      <color indexed="8"/>
      <name val="MS Sans Serif"/>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1"/>
      <charset val="255"/>
    </font>
    <font>
      <sz val="10"/>
      <name val="Arial Narrow"/>
      <family val="2"/>
    </font>
    <font>
      <sz val="14"/>
      <name val="柧挬"/>
      <family val="3"/>
      <charset val="134"/>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等线"/>
      <family val="3"/>
      <charset val="134"/>
      <scheme val="minor"/>
    </font>
    <font>
      <u/>
      <sz val="12"/>
      <color indexed="12"/>
      <name val="宋体"/>
      <family val="3"/>
      <charset val="134"/>
    </font>
    <font>
      <u/>
      <sz val="11"/>
      <color theme="10"/>
      <name val="等线"/>
      <family val="3"/>
      <charset val="134"/>
      <scheme val="minor"/>
    </font>
    <font>
      <u/>
      <sz val="11"/>
      <color theme="10"/>
      <name val="等线"/>
      <family val="3"/>
      <charset val="134"/>
      <scheme val="minor"/>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ont>
    <font>
      <sz val="12"/>
      <name val="新細明體"/>
      <family val="1"/>
    </font>
    <font>
      <sz val="12"/>
      <name val="官帕眉"/>
      <family val="3"/>
      <charset val="134"/>
    </font>
    <font>
      <sz val="10"/>
      <name val="奔覆眉"/>
      <family val="3"/>
      <charset val="134"/>
    </font>
    <font>
      <b/>
      <sz val="12"/>
      <color indexed="8"/>
      <name val="宋体"/>
      <family val="3"/>
      <charset val="134"/>
    </font>
    <font>
      <sz val="12"/>
      <name val="柧挬"/>
      <family val="3"/>
      <charset val="134"/>
    </font>
    <font>
      <sz val="11"/>
      <name val="ＭＳ Ｐゴシック"/>
      <family val="3"/>
      <charset val="134"/>
    </font>
    <font>
      <sz val="12"/>
      <name val="바탕체"/>
      <family val="3"/>
    </font>
    <font>
      <b/>
      <sz val="10"/>
      <color rgb="FF000000"/>
      <name val="微软雅黑"/>
      <family val="2"/>
      <charset val="134"/>
    </font>
    <font>
      <u/>
      <sz val="10"/>
      <color rgb="FFFF0000"/>
      <name val="微软雅黑"/>
      <family val="2"/>
      <charset val="134"/>
    </font>
    <font>
      <b/>
      <sz val="14"/>
      <color indexed="8"/>
      <name val="微软雅黑"/>
      <family val="2"/>
      <charset val="134"/>
    </font>
    <font>
      <b/>
      <sz val="14"/>
      <name val="微软雅黑"/>
      <family val="2"/>
      <charset val="134"/>
    </font>
    <font>
      <b/>
      <u/>
      <sz val="14"/>
      <color theme="1"/>
      <name val="微软雅黑"/>
      <family val="2"/>
      <charset val="134"/>
    </font>
    <font>
      <b/>
      <sz val="14"/>
      <color indexed="10"/>
      <name val="微软雅黑"/>
      <family val="2"/>
      <charset val="134"/>
    </font>
    <font>
      <b/>
      <i/>
      <sz val="10"/>
      <color rgb="FFFF0000"/>
      <name val="微软雅黑"/>
      <family val="2"/>
      <charset val="134"/>
    </font>
    <font>
      <b/>
      <u/>
      <sz val="14"/>
      <color indexed="8"/>
      <name val="微软雅黑"/>
      <family val="2"/>
      <charset val="134"/>
    </font>
    <font>
      <sz val="14"/>
      <color rgb="FF000000"/>
      <name val="微软雅黑"/>
      <family val="2"/>
      <charset val="134"/>
    </font>
    <font>
      <b/>
      <sz val="14"/>
      <color theme="1"/>
      <name val="微软雅黑"/>
      <family val="2"/>
      <charset val="134"/>
    </font>
    <font>
      <sz val="14"/>
      <color rgb="FF0070C0"/>
      <name val="Arial"/>
      <family val="2"/>
    </font>
    <font>
      <sz val="14"/>
      <color rgb="FF0070C0"/>
      <name val="微软雅黑"/>
      <family val="2"/>
      <charset val="134"/>
    </font>
    <font>
      <b/>
      <sz val="10"/>
      <color indexed="8"/>
      <name val="微软雅黑"/>
      <family val="2"/>
      <charset val="134"/>
    </font>
    <font>
      <b/>
      <sz val="10"/>
      <color theme="1"/>
      <name val="微软雅黑"/>
      <family val="2"/>
      <charset val="134"/>
    </font>
    <font>
      <b/>
      <sz val="10"/>
      <color indexed="10"/>
      <name val="微软雅黑"/>
      <family val="2"/>
      <charset val="134"/>
    </font>
    <font>
      <b/>
      <i/>
      <sz val="10"/>
      <name val="微软雅黑"/>
      <family val="2"/>
      <charset val="134"/>
    </font>
    <font>
      <sz val="9"/>
      <name val="宋体"/>
      <family val="2"/>
      <charset val="134"/>
    </font>
    <font>
      <sz val="11"/>
      <color theme="1"/>
      <name val="等线"/>
      <family val="2"/>
      <charset val="134"/>
      <scheme val="minor"/>
    </font>
    <font>
      <sz val="10"/>
      <name val="宋体"/>
      <family val="3"/>
      <charset val="134"/>
    </font>
    <font>
      <sz val="9"/>
      <name val="等线"/>
      <family val="2"/>
      <charset val="134"/>
      <scheme val="minor"/>
    </font>
    <font>
      <sz val="6"/>
      <name val="等线"/>
      <family val="3"/>
      <charset val="128"/>
      <scheme val="minor"/>
    </font>
    <font>
      <sz val="10"/>
      <color theme="0"/>
      <name val="Arial"/>
      <family val="2"/>
    </font>
    <font>
      <i/>
      <sz val="10"/>
      <color rgb="FFFF0000"/>
      <name val="Arial"/>
      <family val="2"/>
    </font>
    <font>
      <u/>
      <sz val="14"/>
      <color rgb="FFFFFFFF"/>
      <name val="Arial"/>
      <family val="2"/>
    </font>
    <font>
      <b/>
      <sz val="18"/>
      <name val="Arial"/>
      <family val="2"/>
    </font>
    <font>
      <sz val="11"/>
      <color theme="1"/>
      <name val="Arial"/>
      <family val="2"/>
    </font>
    <font>
      <u/>
      <sz val="10"/>
      <color theme="10"/>
      <name val="宋体"/>
      <family val="2"/>
      <charset val="134"/>
    </font>
    <font>
      <sz val="9"/>
      <name val="宋体"/>
      <family val="3"/>
      <charset val="134"/>
    </font>
    <font>
      <i/>
      <sz val="10"/>
      <color rgb="FFFF0000"/>
      <name val="微软雅黑"/>
      <family val="2"/>
      <charset val="134"/>
    </font>
    <font>
      <b/>
      <sz val="10"/>
      <color rgb="FFFFFFFF"/>
      <name val="Arial"/>
      <family val="2"/>
    </font>
    <font>
      <u/>
      <sz val="10"/>
      <color theme="10"/>
      <name val="微软雅黑"/>
      <family val="2"/>
      <charset val="134"/>
    </font>
    <font>
      <sz val="10"/>
      <color rgb="FFFF0000"/>
      <name val="微软雅黑"/>
      <family val="2"/>
      <charset val="134"/>
    </font>
    <font>
      <b/>
      <u/>
      <sz val="10"/>
      <color rgb="FFFF0000"/>
      <name val="微软雅黑"/>
      <family val="2"/>
      <charset val="134"/>
    </font>
    <font>
      <sz val="14"/>
      <color theme="1"/>
      <name val="微软雅黑"/>
      <family val="2"/>
      <charset val="134"/>
    </font>
    <font>
      <b/>
      <u/>
      <sz val="14"/>
      <name val="微软雅黑"/>
      <family val="2"/>
      <charset val="134"/>
    </font>
    <font>
      <sz val="11"/>
      <color rgb="FF000000"/>
      <name val="Arial"/>
      <family val="2"/>
    </font>
    <font>
      <b/>
      <sz val="16"/>
      <name val="Arial"/>
      <family val="2"/>
    </font>
    <font>
      <b/>
      <sz val="14"/>
      <color rgb="FF000000"/>
      <name val="Arial"/>
      <family val="2"/>
    </font>
    <font>
      <b/>
      <sz val="14"/>
      <color rgb="FF000000"/>
      <name val="微软雅黑"/>
      <family val="2"/>
      <charset val="134"/>
    </font>
    <font>
      <b/>
      <sz val="11"/>
      <color rgb="FFFFFFFF"/>
      <name val="Arial"/>
      <family val="2"/>
    </font>
    <font>
      <b/>
      <sz val="10"/>
      <color rgb="FFFF0000"/>
      <name val="Arial"/>
      <family val="2"/>
      <charset val="134"/>
    </font>
    <font>
      <u/>
      <sz val="14"/>
      <color theme="10"/>
      <name val="Arial"/>
      <family val="2"/>
    </font>
    <font>
      <sz val="14"/>
      <name val="宋体"/>
      <family val="2"/>
      <charset val="134"/>
    </font>
    <font>
      <u/>
      <sz val="14"/>
      <color theme="10"/>
      <name val="微软雅黑"/>
      <family val="2"/>
      <charset val="134"/>
    </font>
  </fonts>
  <fills count="52">
    <fill>
      <patternFill patternType="none"/>
    </fill>
    <fill>
      <patternFill patternType="gray125"/>
    </fill>
    <fill>
      <patternFill patternType="solid">
        <fgColor theme="0"/>
        <bgColor indexed="64"/>
      </patternFill>
    </fill>
    <fill>
      <patternFill patternType="solid">
        <fgColor theme="4" tint="0.79995117038483843"/>
        <bgColor indexed="64"/>
      </patternFill>
    </fill>
    <fill>
      <patternFill patternType="solid">
        <fgColor theme="0" tint="-0.3499252296517838"/>
        <bgColor indexed="64"/>
      </patternFill>
    </fill>
    <fill>
      <patternFill patternType="solid">
        <fgColor rgb="FFFFFFFF"/>
        <bgColor indexed="64"/>
      </patternFill>
    </fill>
    <fill>
      <patternFill patternType="solid">
        <fgColor theme="6"/>
        <bgColor indexed="64"/>
      </patternFill>
    </fill>
    <fill>
      <patternFill patternType="solid">
        <fgColor theme="0" tint="-0.34998626667073579"/>
        <bgColor indexed="64"/>
      </patternFill>
    </fill>
    <fill>
      <patternFill patternType="solid">
        <fgColor theme="0" tint="-0.34995574816125979"/>
        <bgColor indexed="64"/>
      </patternFill>
    </fill>
    <fill>
      <patternFill patternType="solid">
        <fgColor rgb="FFA6A6A6"/>
        <bgColor rgb="FF000000"/>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34998626667073579"/>
        <bgColor rgb="FF000000"/>
      </patternFill>
    </fill>
    <fill>
      <patternFill patternType="solid">
        <fgColor theme="4" tint="0.79998168889431442"/>
        <bgColor indexed="64"/>
      </patternFill>
    </fill>
  </fills>
  <borders count="96">
    <border>
      <left/>
      <right/>
      <top/>
      <bottom/>
      <diagonal/>
    </border>
    <border>
      <left style="thin">
        <color indexed="64"/>
      </left>
      <right style="thin">
        <color auto="1"/>
      </right>
      <top style="thin">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style="medium">
        <color auto="1"/>
      </right>
      <top style="thin">
        <color auto="1"/>
      </top>
      <bottom/>
      <diagonal/>
    </border>
    <border>
      <left style="thin">
        <color indexed="64"/>
      </left>
      <right style="medium">
        <color indexed="64"/>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medium">
        <color auto="1"/>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right style="thin">
        <color theme="1"/>
      </right>
      <top style="thin">
        <color theme="1"/>
      </top>
      <bottom style="thin">
        <color theme="1"/>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medium">
        <color auto="1"/>
      </left>
      <right style="thin">
        <color auto="1"/>
      </right>
      <top/>
      <bottom/>
      <diagonal/>
    </border>
    <border>
      <left/>
      <right/>
      <top style="thin">
        <color auto="1"/>
      </top>
      <bottom/>
      <diagonal/>
    </border>
    <border>
      <left/>
      <right/>
      <top/>
      <bottom style="thin">
        <color auto="1"/>
      </bottom>
      <diagonal/>
    </border>
    <border>
      <left style="thin">
        <color theme="1"/>
      </left>
      <right style="medium">
        <color theme="1"/>
      </right>
      <top style="thin">
        <color theme="1"/>
      </top>
      <bottom style="thin">
        <color theme="1"/>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style="double">
        <color auto="1"/>
      </bottom>
      <diagonal/>
    </border>
    <border>
      <left style="thin">
        <color auto="1"/>
      </left>
      <right style="medium">
        <color rgb="FF000000"/>
      </right>
      <top style="medium">
        <color rgb="FF000000"/>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rgb="FF000000"/>
      </top>
      <bottom style="thin">
        <color auto="1"/>
      </bottom>
      <diagonal/>
    </border>
    <border>
      <left style="medium">
        <color rgb="FF000000"/>
      </left>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medium">
        <color indexed="64"/>
      </left>
      <right/>
      <top style="medium">
        <color indexed="64"/>
      </top>
      <bottom style="thin">
        <color auto="1"/>
      </bottom>
      <diagonal/>
    </border>
    <border>
      <left style="medium">
        <color rgb="FF000000"/>
      </left>
      <right style="thin">
        <color auto="1"/>
      </right>
      <top style="medium">
        <color rgb="FF000000"/>
      </top>
      <bottom style="thin">
        <color auto="1"/>
      </bottom>
      <diagonal/>
    </border>
    <border>
      <left style="thin">
        <color indexed="64"/>
      </left>
      <right style="thin">
        <color auto="1"/>
      </right>
      <top style="medium">
        <color rgb="FF000000"/>
      </top>
      <bottom style="thin">
        <color auto="1"/>
      </bottom>
      <diagonal/>
    </border>
    <border>
      <left style="medium">
        <color rgb="FF000000"/>
      </left>
      <right/>
      <top style="thin">
        <color indexed="64"/>
      </top>
      <bottom/>
      <diagonal/>
    </border>
    <border>
      <left style="thin">
        <color indexed="64"/>
      </left>
      <right style="thin">
        <color auto="1"/>
      </right>
      <top style="thin">
        <color indexed="64"/>
      </top>
      <bottom style="medium">
        <color rgb="FF000000"/>
      </bottom>
      <diagonal/>
    </border>
    <border>
      <left style="medium">
        <color rgb="FF000000"/>
      </left>
      <right/>
      <top style="medium">
        <color rgb="FF000000"/>
      </top>
      <bottom/>
      <diagonal/>
    </border>
    <border>
      <left style="medium">
        <color rgb="FF000000"/>
      </left>
      <right style="thin">
        <color auto="1"/>
      </right>
      <top style="thin">
        <color auto="1"/>
      </top>
      <bottom style="medium">
        <color rgb="FF000000"/>
      </bottom>
      <diagonal/>
    </border>
    <border>
      <left style="thin">
        <color auto="1"/>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auto="1"/>
      </bottom>
      <diagonal/>
    </border>
    <border>
      <left/>
      <right/>
      <top style="thin">
        <color indexed="64"/>
      </top>
      <bottom style="medium">
        <color rgb="FF000000"/>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auto="1"/>
      </left>
      <right/>
      <top style="thin">
        <color auto="1"/>
      </top>
      <bottom style="thin">
        <color auto="1"/>
      </bottom>
      <diagonal/>
    </border>
    <border>
      <left style="medium">
        <color rgb="FF000000"/>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auto="1"/>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indexed="64"/>
      </right>
      <top style="thin">
        <color auto="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auto="1"/>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2633">
    <xf numFmtId="0" fontId="0" fillId="0" borderId="0"/>
    <xf numFmtId="0" fontId="53" fillId="0" borderId="0"/>
    <xf numFmtId="0" fontId="25" fillId="0" borderId="0">
      <alignment vertical="center"/>
    </xf>
    <xf numFmtId="0" fontId="53" fillId="0" borderId="0"/>
    <xf numFmtId="164" fontId="25" fillId="0" borderId="0" applyFont="0" applyFill="0" applyBorder="0" applyProtection="0"/>
    <xf numFmtId="0" fontId="54" fillId="0" borderId="0"/>
    <xf numFmtId="0" fontId="53" fillId="0" borderId="0"/>
    <xf numFmtId="164" fontId="25" fillId="0" borderId="0" applyFont="0" applyFill="0" applyBorder="0" applyProtection="0"/>
    <xf numFmtId="0" fontId="53" fillId="0" borderId="0"/>
    <xf numFmtId="164" fontId="53" fillId="0" borderId="0" applyFont="0" applyFill="0" applyBorder="0" applyProtection="0"/>
    <xf numFmtId="0" fontId="25" fillId="0" borderId="0"/>
    <xf numFmtId="166" fontId="53" fillId="0" borderId="0" applyFont="0" applyFill="0" applyBorder="0" applyProtection="0"/>
    <xf numFmtId="164" fontId="55" fillId="0" borderId="0" applyFont="0" applyFill="0" applyBorder="0" applyAlignment="0" applyProtection="0"/>
    <xf numFmtId="164" fontId="55" fillId="0" borderId="0" applyFont="0" applyFill="0" applyBorder="0" applyAlignment="0" applyProtection="0"/>
    <xf numFmtId="0" fontId="25" fillId="0" borderId="0"/>
    <xf numFmtId="0" fontId="56" fillId="0" borderId="0">
      <alignment vertical="center"/>
    </xf>
    <xf numFmtId="0" fontId="53" fillId="0" borderId="0"/>
    <xf numFmtId="0" fontId="53" fillId="0" borderId="0"/>
    <xf numFmtId="0" fontId="56" fillId="0" borderId="0">
      <alignment vertical="center"/>
    </xf>
    <xf numFmtId="0" fontId="57" fillId="0" borderId="0"/>
    <xf numFmtId="0" fontId="58" fillId="0" borderId="0" applyNumberFormat="0" applyFill="0" applyBorder="0" applyProtection="0"/>
    <xf numFmtId="0" fontId="1" fillId="0" borderId="0"/>
    <xf numFmtId="0" fontId="58" fillId="0" borderId="0" applyNumberFormat="0" applyFill="0" applyBorder="0" applyProtection="0"/>
    <xf numFmtId="0" fontId="58" fillId="0" borderId="0" applyNumberFormat="0" applyFill="0" applyBorder="0" applyAlignment="0" applyProtection="0"/>
    <xf numFmtId="0" fontId="25" fillId="0" borderId="0"/>
    <xf numFmtId="0" fontId="1" fillId="0" borderId="0"/>
    <xf numFmtId="0" fontId="56" fillId="0" borderId="0"/>
    <xf numFmtId="164" fontId="56" fillId="0" borderId="0" applyFont="0" applyFill="0" applyBorder="0" applyAlignment="0" applyProtection="0"/>
    <xf numFmtId="9" fontId="56" fillId="0" borderId="0" applyFont="0" applyFill="0" applyBorder="0" applyAlignment="0" applyProtection="0"/>
    <xf numFmtId="0" fontId="25" fillId="0" borderId="0"/>
    <xf numFmtId="0" fontId="60" fillId="0" borderId="0">
      <alignment vertical="center"/>
    </xf>
    <xf numFmtId="0" fontId="53" fillId="0" borderId="0"/>
    <xf numFmtId="9" fontId="53" fillId="0" borderId="0" applyFont="0" applyFill="0" applyBorder="0" applyProtection="0"/>
    <xf numFmtId="0" fontId="53" fillId="0" borderId="0"/>
    <xf numFmtId="0" fontId="56" fillId="0" borderId="0"/>
    <xf numFmtId="0" fontId="56" fillId="0" borderId="0"/>
    <xf numFmtId="0" fontId="61" fillId="0" borderId="0"/>
    <xf numFmtId="0" fontId="25" fillId="0" borderId="0"/>
    <xf numFmtId="0" fontId="25" fillId="0" borderId="0"/>
    <xf numFmtId="0" fontId="25" fillId="0" borderId="0"/>
    <xf numFmtId="9" fontId="25" fillId="0" borderId="0" applyFont="0" applyFill="0" applyBorder="0" applyProtection="0"/>
    <xf numFmtId="0" fontId="53" fillId="0" borderId="0"/>
    <xf numFmtId="0" fontId="25" fillId="0" borderId="0" applyAlignment="0"/>
    <xf numFmtId="0" fontId="25" fillId="0" borderId="0"/>
    <xf numFmtId="0" fontId="33" fillId="0" borderId="0"/>
    <xf numFmtId="0" fontId="1" fillId="0" borderId="0"/>
    <xf numFmtId="0" fontId="60" fillId="0" borderId="0">
      <alignment vertical="center"/>
    </xf>
    <xf numFmtId="0" fontId="25" fillId="0" borderId="0"/>
    <xf numFmtId="9" fontId="25" fillId="0" borderId="0" applyFont="0" applyFill="0" applyBorder="0" applyProtection="0"/>
    <xf numFmtId="0" fontId="25" fillId="0" borderId="0" applyAlignment="0"/>
    <xf numFmtId="0" fontId="25" fillId="0" borderId="0">
      <alignment vertical="center"/>
    </xf>
    <xf numFmtId="9" fontId="25" fillId="0" borderId="0" applyFont="0" applyFill="0" applyBorder="0" applyProtection="0"/>
    <xf numFmtId="0" fontId="53" fillId="0" borderId="0"/>
    <xf numFmtId="164" fontId="53" fillId="0" borderId="0" applyFont="0" applyFill="0" applyBorder="0" applyProtection="0"/>
    <xf numFmtId="0" fontId="25" fillId="0" borderId="0"/>
    <xf numFmtId="173" fontId="25" fillId="0" borderId="0" applyFont="0" applyFill="0" applyBorder="0" applyAlignment="0" applyProtection="0"/>
    <xf numFmtId="0" fontId="8" fillId="0" borderId="0" applyNumberFormat="0" applyFill="0" applyBorder="0" applyAlignment="0" applyProtection="0"/>
    <xf numFmtId="0" fontId="58" fillId="0" borderId="0" applyNumberFormat="0" applyFill="0" applyBorder="0" applyProtection="0"/>
    <xf numFmtId="0" fontId="25" fillId="0" borderId="0">
      <alignment vertical="center"/>
    </xf>
    <xf numFmtId="164" fontId="25" fillId="0" borderId="0" applyFont="0" applyFill="0" applyBorder="0" applyProtection="0"/>
    <xf numFmtId="165" fontId="25" fillId="0" borderId="0" applyFont="0" applyFill="0" applyBorder="0" applyAlignment="0" applyProtection="0"/>
    <xf numFmtId="0" fontId="55" fillId="0" borderId="0"/>
    <xf numFmtId="37" fontId="62" fillId="0" borderId="0"/>
    <xf numFmtId="0" fontId="25" fillId="0" borderId="0"/>
    <xf numFmtId="0" fontId="54" fillId="0" borderId="0"/>
    <xf numFmtId="0" fontId="53" fillId="0" borderId="0"/>
    <xf numFmtId="0" fontId="53" fillId="0" borderId="0"/>
    <xf numFmtId="0" fontId="59" fillId="0" borderId="0" applyNumberFormat="0" applyFill="0" applyBorder="0">
      <protection locked="0"/>
    </xf>
    <xf numFmtId="0" fontId="25" fillId="0" borderId="0"/>
    <xf numFmtId="0" fontId="53" fillId="0" borderId="0"/>
    <xf numFmtId="0" fontId="1" fillId="0" borderId="0"/>
    <xf numFmtId="0" fontId="25" fillId="0" borderId="0"/>
    <xf numFmtId="0" fontId="25" fillId="0" borderId="0"/>
    <xf numFmtId="0" fontId="1" fillId="0" borderId="0"/>
    <xf numFmtId="174" fontId="63" fillId="0" borderId="0">
      <protection locked="0"/>
    </xf>
    <xf numFmtId="175" fontId="55" fillId="0" borderId="0" applyFont="0" applyFill="0" applyBorder="0" applyAlignment="0" applyProtection="0"/>
    <xf numFmtId="173" fontId="64" fillId="0" borderId="0" applyFont="0" applyFill="0" applyBorder="0" applyAlignment="0" applyProtection="0"/>
    <xf numFmtId="10" fontId="64" fillId="0" borderId="0" applyFont="0" applyFill="0" applyBorder="0" applyAlignment="0" applyProtection="0"/>
    <xf numFmtId="176" fontId="55" fillId="0" borderId="0" applyFont="0" applyFill="0" applyBorder="0" applyAlignment="0" applyProtection="0"/>
    <xf numFmtId="0" fontId="65" fillId="11"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5" fillId="13" borderId="0" applyNumberFormat="0" applyBorder="0" applyAlignment="0" applyProtection="0"/>
    <xf numFmtId="0" fontId="67" fillId="14" borderId="0" applyNumberFormat="0" applyBorder="0" applyAlignment="0" applyProtection="0">
      <alignment vertical="center"/>
    </xf>
    <xf numFmtId="0" fontId="65" fillId="15" borderId="0" applyNumberFormat="0" applyBorder="0" applyAlignment="0" applyProtection="0"/>
    <xf numFmtId="0" fontId="66" fillId="16" borderId="0" applyNumberFormat="0" applyBorder="0" applyAlignment="0" applyProtection="0"/>
    <xf numFmtId="0" fontId="66" fillId="17" borderId="0" applyNumberFormat="0" applyBorder="0" applyAlignment="0" applyProtection="0"/>
    <xf numFmtId="0" fontId="65" fillId="18" borderId="0" applyNumberFormat="0" applyBorder="0" applyAlignment="0" applyProtection="0"/>
    <xf numFmtId="0" fontId="67" fillId="19" borderId="0" applyNumberFormat="0" applyBorder="0" applyAlignment="0" applyProtection="0">
      <alignment vertical="center"/>
    </xf>
    <xf numFmtId="0" fontId="65" fillId="18" borderId="0" applyNumberFormat="0" applyBorder="0" applyAlignment="0" applyProtection="0"/>
    <xf numFmtId="0" fontId="66" fillId="16" borderId="0" applyNumberFormat="0" applyBorder="0" applyAlignment="0" applyProtection="0"/>
    <xf numFmtId="0" fontId="66" fillId="20" borderId="0" applyNumberFormat="0" applyBorder="0" applyAlignment="0" applyProtection="0"/>
    <xf numFmtId="0" fontId="65" fillId="17" borderId="0" applyNumberFormat="0" applyBorder="0" applyAlignment="0" applyProtection="0"/>
    <xf numFmtId="0" fontId="67" fillId="6" borderId="0" applyNumberFormat="0" applyBorder="0" applyAlignment="0" applyProtection="0">
      <alignment vertical="center"/>
    </xf>
    <xf numFmtId="0" fontId="65" fillId="11" borderId="0" applyNumberFormat="0" applyBorder="0" applyAlignment="0" applyProtection="0"/>
    <xf numFmtId="0" fontId="66" fillId="12" borderId="0" applyNumberFormat="0" applyBorder="0" applyAlignment="0" applyProtection="0"/>
    <xf numFmtId="0" fontId="66" fillId="17" borderId="0" applyNumberFormat="0" applyBorder="0" applyAlignment="0" applyProtection="0"/>
    <xf numFmtId="0" fontId="65" fillId="17" borderId="0" applyNumberFormat="0" applyBorder="0" applyAlignment="0" applyProtection="0"/>
    <xf numFmtId="0" fontId="67" fillId="21" borderId="0" applyNumberFormat="0" applyBorder="0" applyAlignment="0" applyProtection="0">
      <alignment vertical="center"/>
    </xf>
    <xf numFmtId="0" fontId="65" fillId="22" borderId="0" applyNumberFormat="0" applyBorder="0" applyAlignment="0" applyProtection="0"/>
    <xf numFmtId="0" fontId="66" fillId="23" borderId="0" applyNumberFormat="0" applyBorder="0" applyAlignment="0" applyProtection="0"/>
    <xf numFmtId="0" fontId="66" fillId="12" borderId="0" applyNumberFormat="0" applyBorder="0" applyAlignment="0" applyProtection="0"/>
    <xf numFmtId="0" fontId="65" fillId="13" borderId="0" applyNumberFormat="0" applyBorder="0" applyAlignment="0" applyProtection="0"/>
    <xf numFmtId="0" fontId="67" fillId="24" borderId="0" applyNumberFormat="0" applyBorder="0" applyAlignment="0" applyProtection="0">
      <alignment vertical="center"/>
    </xf>
    <xf numFmtId="0" fontId="65" fillId="25" borderId="0" applyNumberFormat="0" applyBorder="0" applyAlignment="0" applyProtection="0"/>
    <xf numFmtId="0" fontId="66" fillId="16" borderId="0" applyNumberFormat="0" applyBorder="0" applyAlignment="0" applyProtection="0"/>
    <xf numFmtId="0" fontId="66" fillId="26" borderId="0" applyNumberFormat="0" applyBorder="0" applyAlignment="0" applyProtection="0"/>
    <xf numFmtId="0" fontId="65" fillId="26" borderId="0" applyNumberFormat="0" applyBorder="0" applyAlignment="0" applyProtection="0"/>
    <xf numFmtId="0" fontId="67" fillId="27" borderId="0" applyNumberFormat="0" applyBorder="0" applyAlignment="0" applyProtection="0">
      <alignment vertical="center"/>
    </xf>
    <xf numFmtId="177" fontId="31" fillId="0" borderId="0" applyFill="0" applyBorder="0" applyAlignment="0"/>
    <xf numFmtId="0" fontId="68" fillId="0" borderId="0"/>
    <xf numFmtId="4" fontId="25" fillId="0" borderId="29">
      <alignment horizontal="right"/>
    </xf>
    <xf numFmtId="4" fontId="25" fillId="0" borderId="29">
      <alignment horizontal="right"/>
    </xf>
    <xf numFmtId="4" fontId="25" fillId="0" borderId="1">
      <alignment horizontal="right"/>
    </xf>
    <xf numFmtId="4" fontId="25" fillId="0" borderId="30">
      <alignment horizontal="right"/>
    </xf>
    <xf numFmtId="4" fontId="25" fillId="0" borderId="1">
      <alignment horizontal="right"/>
    </xf>
    <xf numFmtId="4" fontId="25" fillId="0" borderId="1">
      <alignment horizontal="right"/>
    </xf>
    <xf numFmtId="4" fontId="25" fillId="0" borderId="30">
      <alignment horizontal="right"/>
    </xf>
    <xf numFmtId="4" fontId="25" fillId="0" borderId="1">
      <alignment horizontal="right"/>
    </xf>
    <xf numFmtId="0" fontId="69" fillId="28" borderId="31" applyNumberFormat="0" applyAlignment="0" applyProtection="0"/>
    <xf numFmtId="0" fontId="70" fillId="29" borderId="32" applyNumberFormat="0" applyAlignment="0" applyProtection="0"/>
    <xf numFmtId="0" fontId="69" fillId="28" borderId="31" applyNumberFormat="0" applyAlignment="0" applyProtection="0"/>
    <xf numFmtId="0" fontId="71" fillId="0" borderId="26" applyNumberFormat="0" applyFill="0" applyProtection="0">
      <alignment horizontal="center"/>
    </xf>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78" fontId="1" fillId="0" borderId="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25"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Protection="0"/>
    <xf numFmtId="166" fontId="53" fillId="0" borderId="0" applyFont="0" applyFill="0" applyBorder="0" applyProtection="0"/>
    <xf numFmtId="164" fontId="53" fillId="0" borderId="0" applyFont="0" applyFill="0" applyBorder="0" applyProtection="0"/>
    <xf numFmtId="164" fontId="53" fillId="0" borderId="0" applyFont="0" applyFill="0" applyBorder="0" applyProtection="0"/>
    <xf numFmtId="164" fontId="53" fillId="0" borderId="0" applyFont="0" applyFill="0" applyBorder="0" applyProtection="0"/>
    <xf numFmtId="164" fontId="1" fillId="0" borderId="0" applyFont="0" applyFill="0" applyBorder="0" applyAlignment="0" applyProtection="0"/>
    <xf numFmtId="164" fontId="1" fillId="0" borderId="0" applyFont="0" applyFill="0" applyBorder="0" applyAlignment="0" applyProtection="0"/>
    <xf numFmtId="165" fontId="25"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25" fillId="0" borderId="0" applyFont="0" applyFill="0" applyBorder="0" applyAlignment="0" applyProtection="0"/>
    <xf numFmtId="165" fontId="72" fillId="0" borderId="0" applyFont="0" applyFill="0" applyBorder="0" applyAlignment="0" applyProtection="0"/>
    <xf numFmtId="165" fontId="72" fillId="0" borderId="0" applyFont="0" applyFill="0" applyBorder="0" applyAlignment="0" applyProtection="0"/>
    <xf numFmtId="164"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5" fontId="25" fillId="0" borderId="0" applyFont="0" applyFill="0" applyBorder="0" applyAlignment="0" applyProtection="0"/>
    <xf numFmtId="166" fontId="55" fillId="0" borderId="0" applyFont="0" applyFill="0" applyBorder="0" applyAlignment="0" applyProtection="0"/>
    <xf numFmtId="164" fontId="5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5" fillId="0" borderId="0" applyFont="0" applyFill="0" applyBorder="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73" fillId="0" borderId="0" applyFont="0" applyFill="0" applyBorder="0" applyProtection="0"/>
    <xf numFmtId="164" fontId="73" fillId="0" borderId="0" applyFont="0" applyFill="0" applyBorder="0" applyProtection="0"/>
    <xf numFmtId="164" fontId="73" fillId="0" borderId="0" applyFont="0" applyFill="0" applyBorder="0" applyProtection="0"/>
    <xf numFmtId="164" fontId="73" fillId="0" borderId="0" applyFont="0" applyFill="0" applyBorder="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53" fillId="0" borderId="0" applyFont="0" applyFill="0" applyBorder="0" applyProtection="0"/>
    <xf numFmtId="165" fontId="1" fillId="0" borderId="0" applyFont="0" applyFill="0" applyBorder="0" applyAlignment="0" applyProtection="0"/>
    <xf numFmtId="165" fontId="1" fillId="0" borderId="0" applyFont="0" applyFill="0" applyBorder="0" applyAlignment="0" applyProtection="0"/>
    <xf numFmtId="164" fontId="53" fillId="0" borderId="0" applyFont="0" applyFill="0" applyBorder="0" applyProtection="0"/>
    <xf numFmtId="164" fontId="25" fillId="0" borderId="0" applyFont="0" applyFill="0" applyBorder="0" applyAlignment="0" applyProtection="0"/>
    <xf numFmtId="164" fontId="25" fillId="0" borderId="0" applyFont="0" applyFill="0" applyBorder="0" applyAlignment="0" applyProtection="0"/>
    <xf numFmtId="166" fontId="5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Protection="0"/>
    <xf numFmtId="164" fontId="1" fillId="0" borderId="0" applyFont="0" applyFill="0" applyBorder="0" applyAlignment="0" applyProtection="0"/>
    <xf numFmtId="164" fontId="1"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1" fillId="0" borderId="0" applyFont="0" applyFill="0" applyBorder="0" applyAlignment="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1"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74" fillId="0" borderId="0" applyFont="0" applyFill="0" applyBorder="0" applyProtection="0"/>
    <xf numFmtId="164" fontId="55" fillId="0" borderId="0" applyFont="0" applyFill="0" applyBorder="0" applyAlignment="0" applyProtection="0"/>
    <xf numFmtId="164" fontId="55" fillId="0" borderId="0" applyFont="0" applyFill="0" applyBorder="0" applyAlignment="0" applyProtection="0"/>
    <xf numFmtId="164" fontId="74" fillId="0" borderId="0" applyFont="0" applyFill="0" applyBorder="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74" fillId="0" borderId="0" applyFont="0" applyFill="0" applyBorder="0" applyAlignment="0" applyProtection="0"/>
    <xf numFmtId="164" fontId="74" fillId="0" borderId="0" applyFont="0" applyFill="0" applyBorder="0" applyAlignment="0" applyProtection="0"/>
    <xf numFmtId="164" fontId="25" fillId="0" borderId="0" applyFont="0" applyFill="0" applyBorder="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Protection="0"/>
    <xf numFmtId="179" fontId="75" fillId="0" borderId="0"/>
    <xf numFmtId="37" fontId="64" fillId="0" borderId="0" applyFont="0" applyFill="0" applyBorder="0" applyAlignment="0" applyProtection="0"/>
    <xf numFmtId="180" fontId="64" fillId="0" borderId="0" applyFont="0" applyFill="0" applyBorder="0" applyAlignment="0" applyProtection="0"/>
    <xf numFmtId="39" fontId="64" fillId="0" borderId="0" applyFont="0" applyFill="0" applyBorder="0" applyAlignment="0" applyProtection="0"/>
    <xf numFmtId="181" fontId="64" fillId="0" borderId="0" applyFont="0" applyFill="0" applyBorder="0" applyAlignment="0" applyProtection="0"/>
    <xf numFmtId="182" fontId="64" fillId="0" borderId="0" applyFont="0" applyFill="0" applyBorder="0" applyAlignment="0" applyProtection="0"/>
    <xf numFmtId="183" fontId="75" fillId="0" borderId="0"/>
    <xf numFmtId="0" fontId="25" fillId="0" borderId="29" applyAlignment="0"/>
    <xf numFmtId="0" fontId="25" fillId="0" borderId="29" applyAlignment="0"/>
    <xf numFmtId="0" fontId="25" fillId="0" borderId="1" applyAlignment="0"/>
    <xf numFmtId="0" fontId="25" fillId="0" borderId="30" applyAlignment="0"/>
    <xf numFmtId="0" fontId="25" fillId="0" borderId="1" applyAlignment="0"/>
    <xf numFmtId="0" fontId="25" fillId="0" borderId="1" applyAlignment="0"/>
    <xf numFmtId="0" fontId="25" fillId="0" borderId="30" applyAlignment="0"/>
    <xf numFmtId="0" fontId="25" fillId="0" borderId="1" applyAlignment="0"/>
    <xf numFmtId="0" fontId="25" fillId="0" borderId="29" applyAlignment="0"/>
    <xf numFmtId="0" fontId="25" fillId="0" borderId="29" applyAlignment="0"/>
    <xf numFmtId="0" fontId="25" fillId="0" borderId="1" applyAlignment="0"/>
    <xf numFmtId="0" fontId="25" fillId="0" borderId="30" applyAlignment="0"/>
    <xf numFmtId="0" fontId="25" fillId="0" borderId="1" applyAlignment="0"/>
    <xf numFmtId="0" fontId="25" fillId="0" borderId="1" applyAlignment="0"/>
    <xf numFmtId="0" fontId="25" fillId="0" borderId="30" applyAlignment="0"/>
    <xf numFmtId="0" fontId="25" fillId="0" borderId="1" applyAlignment="0"/>
    <xf numFmtId="184" fontId="75" fillId="0" borderId="0"/>
    <xf numFmtId="0" fontId="76" fillId="0" borderId="0">
      <alignment horizontal="left"/>
    </xf>
    <xf numFmtId="0" fontId="77" fillId="30" borderId="1"/>
    <xf numFmtId="0" fontId="77" fillId="30" borderId="1"/>
    <xf numFmtId="0" fontId="77" fillId="30" borderId="30"/>
    <xf numFmtId="0" fontId="77" fillId="30" borderId="1"/>
    <xf numFmtId="0" fontId="77" fillId="30" borderId="29"/>
    <xf numFmtId="0" fontId="77" fillId="30" borderId="29"/>
    <xf numFmtId="0" fontId="77" fillId="30" borderId="1"/>
    <xf numFmtId="185" fontId="53" fillId="0" borderId="0" applyFont="0" applyFill="0" applyBorder="0" applyAlignment="0" applyProtection="0"/>
    <xf numFmtId="185" fontId="53" fillId="0" borderId="0" applyFont="0" applyFill="0" applyBorder="0" applyAlignment="0" applyProtection="0"/>
    <xf numFmtId="185" fontId="53" fillId="0" borderId="0" applyFont="0" applyFill="0" applyBorder="0" applyAlignment="0" applyProtection="0"/>
    <xf numFmtId="185" fontId="53" fillId="0" borderId="0" applyFont="0" applyFill="0" applyBorder="0" applyAlignment="0" applyProtection="0"/>
    <xf numFmtId="0" fontId="78" fillId="31" borderId="0" applyNumberFormat="0" applyBorder="0" applyAlignment="0" applyProtection="0"/>
    <xf numFmtId="0" fontId="79" fillId="32" borderId="0" applyNumberFormat="0" applyBorder="0" applyAlignment="0" applyProtection="0"/>
    <xf numFmtId="0" fontId="78" fillId="31" borderId="0" applyNumberFormat="0" applyBorder="0" applyAlignment="0" applyProtection="0"/>
    <xf numFmtId="0" fontId="77" fillId="17" borderId="0" applyNumberFormat="0" applyBorder="0" applyAlignment="0" applyProtection="0"/>
    <xf numFmtId="0" fontId="80" fillId="0" borderId="0">
      <alignment horizontal="left"/>
    </xf>
    <xf numFmtId="0" fontId="81" fillId="0" borderId="15" applyNumberFormat="0" applyProtection="0"/>
    <xf numFmtId="0" fontId="81" fillId="0" borderId="15" applyNumberFormat="0" applyProtection="0"/>
    <xf numFmtId="0" fontId="81" fillId="0" borderId="15" applyNumberFormat="0" applyProtection="0"/>
    <xf numFmtId="0" fontId="81" fillId="0" borderId="15" applyNumberFormat="0" applyProtection="0"/>
    <xf numFmtId="0" fontId="81" fillId="0" borderId="18">
      <alignment horizontal="left" vertical="center"/>
    </xf>
    <xf numFmtId="0" fontId="58" fillId="0" borderId="0" applyNumberFormat="0" applyFill="0" applyBorder="0" applyAlignment="0" applyProtection="0"/>
    <xf numFmtId="0" fontId="82"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9" fillId="0" borderId="0" applyNumberFormat="0" applyFill="0" applyBorder="0">
      <protection locked="0"/>
    </xf>
    <xf numFmtId="0" fontId="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2" fillId="0" borderId="0" applyNumberFormat="0" applyFill="0" applyBorder="0" applyAlignment="0" applyProtection="0"/>
    <xf numFmtId="0" fontId="58" fillId="0" borderId="0" applyNumberFormat="0" applyFill="0" applyBorder="0" applyAlignment="0" applyProtection="0"/>
    <xf numFmtId="0" fontId="77" fillId="16" borderId="1" applyNumberFormat="0" applyBorder="0" applyAlignment="0" applyProtection="0"/>
    <xf numFmtId="0" fontId="77" fillId="16" borderId="1" applyNumberFormat="0" applyBorder="0" applyAlignment="0" applyProtection="0"/>
    <xf numFmtId="0" fontId="77" fillId="16" borderId="30" applyNumberFormat="0" applyBorder="0" applyAlignment="0" applyProtection="0"/>
    <xf numFmtId="0" fontId="77" fillId="16" borderId="1" applyNumberFormat="0" applyBorder="0" applyAlignment="0" applyProtection="0"/>
    <xf numFmtId="0" fontId="77" fillId="16" borderId="29" applyNumberFormat="0" applyBorder="0" applyAlignment="0" applyProtection="0"/>
    <xf numFmtId="0" fontId="77" fillId="16" borderId="29" applyNumberFormat="0" applyBorder="0" applyAlignment="0" applyProtection="0"/>
    <xf numFmtId="0" fontId="77" fillId="16" borderId="1" applyNumberFormat="0" applyBorder="0" applyAlignment="0" applyProtection="0"/>
    <xf numFmtId="0" fontId="83" fillId="0" borderId="5"/>
    <xf numFmtId="0" fontId="83" fillId="0" borderId="5"/>
    <xf numFmtId="173" fontId="55" fillId="0" borderId="0"/>
    <xf numFmtId="0" fontId="25" fillId="0" borderId="0" applyAlignment="0"/>
    <xf numFmtId="0" fontId="25" fillId="0" borderId="0" applyAlignment="0"/>
    <xf numFmtId="0" fontId="56" fillId="0" borderId="0" applyAlignment="0"/>
    <xf numFmtId="0" fontId="1" fillId="0" borderId="0"/>
    <xf numFmtId="0" fontId="25" fillId="0" borderId="0" applyAlignment="0"/>
    <xf numFmtId="0" fontId="25" fillId="0" borderId="0"/>
    <xf numFmtId="0" fontId="25" fillId="0" borderId="0" applyAlignment="0"/>
    <xf numFmtId="0" fontId="25" fillId="0" borderId="0"/>
    <xf numFmtId="0" fontId="25" fillId="0" borderId="0"/>
    <xf numFmtId="0" fontId="25" fillId="0" borderId="0"/>
    <xf numFmtId="0" fontId="25" fillId="0" borderId="0"/>
    <xf numFmtId="0" fontId="25" fillId="0" borderId="0"/>
    <xf numFmtId="0" fontId="25" fillId="0" borderId="0" applyAlignment="0"/>
    <xf numFmtId="0" fontId="25" fillId="0" borderId="0" applyAlignment="0"/>
    <xf numFmtId="0" fontId="25" fillId="0" borderId="0"/>
    <xf numFmtId="0" fontId="25" fillId="0" borderId="0"/>
    <xf numFmtId="0" fontId="56" fillId="0" borderId="0"/>
    <xf numFmtId="0" fontId="5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53" fillId="0" borderId="0"/>
    <xf numFmtId="0" fontId="73" fillId="0" borderId="0"/>
    <xf numFmtId="0" fontId="73" fillId="0" borderId="0"/>
    <xf numFmtId="0" fontId="73" fillId="0" borderId="0"/>
    <xf numFmtId="0" fontId="73" fillId="0" borderId="0"/>
    <xf numFmtId="0" fontId="56" fillId="0" borderId="0">
      <alignment vertical="center"/>
    </xf>
    <xf numFmtId="0" fontId="25" fillId="0" borderId="0"/>
    <xf numFmtId="0" fontId="25" fillId="0" borderId="0"/>
    <xf numFmtId="0" fontId="60" fillId="0" borderId="0">
      <alignment vertical="center"/>
    </xf>
    <xf numFmtId="0" fontId="60" fillId="0" borderId="0">
      <alignment vertical="center"/>
    </xf>
    <xf numFmtId="0" fontId="1" fillId="0" borderId="0"/>
    <xf numFmtId="0" fontId="60" fillId="0" borderId="0">
      <alignment vertical="center"/>
    </xf>
    <xf numFmtId="0" fontId="84" fillId="0" borderId="0"/>
    <xf numFmtId="0" fontId="25" fillId="0" borderId="0"/>
    <xf numFmtId="0" fontId="25" fillId="0" borderId="0"/>
    <xf numFmtId="0" fontId="25" fillId="0" borderId="0"/>
    <xf numFmtId="0" fontId="5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56" fillId="0" borderId="0"/>
    <xf numFmtId="0" fontId="25" fillId="0" borderId="0"/>
    <xf numFmtId="0" fontId="2" fillId="0" borderId="0"/>
    <xf numFmtId="0" fontId="25" fillId="0" borderId="0"/>
    <xf numFmtId="0" fontId="60" fillId="0" borderId="0">
      <alignment vertical="center"/>
    </xf>
    <xf numFmtId="0" fontId="53" fillId="0" borderId="0"/>
    <xf numFmtId="0" fontId="54" fillId="0" borderId="0"/>
    <xf numFmtId="0" fontId="53" fillId="0" borderId="0"/>
    <xf numFmtId="0" fontId="25" fillId="0" borderId="0"/>
    <xf numFmtId="0" fontId="53" fillId="0" borderId="0"/>
    <xf numFmtId="174" fontId="63" fillId="0" borderId="0">
      <protection locked="0"/>
    </xf>
    <xf numFmtId="0" fontId="25" fillId="0" borderId="0" applyAlignment="0"/>
    <xf numFmtId="0" fontId="53" fillId="0" borderId="0"/>
    <xf numFmtId="0" fontId="53" fillId="0" borderId="0"/>
    <xf numFmtId="0" fontId="25" fillId="0" borderId="0" applyAlignment="0"/>
    <xf numFmtId="0" fontId="25" fillId="0" borderId="0" applyAlignment="0"/>
    <xf numFmtId="0" fontId="53" fillId="0" borderId="0"/>
    <xf numFmtId="0" fontId="53" fillId="0" borderId="0"/>
    <xf numFmtId="0" fontId="85" fillId="0" borderId="0"/>
    <xf numFmtId="0" fontId="53" fillId="0" borderId="0"/>
    <xf numFmtId="0" fontId="25" fillId="0" borderId="0"/>
    <xf numFmtId="174" fontId="63" fillId="0" borderId="0">
      <protection locked="0"/>
    </xf>
    <xf numFmtId="0" fontId="53" fillId="0" borderId="0"/>
    <xf numFmtId="0" fontId="25" fillId="0" borderId="0">
      <alignment vertical="center"/>
    </xf>
    <xf numFmtId="0" fontId="53" fillId="0" borderId="0"/>
    <xf numFmtId="0" fontId="53" fillId="0" borderId="0"/>
    <xf numFmtId="0" fontId="53" fillId="0" borderId="0"/>
    <xf numFmtId="0" fontId="53" fillId="0" borderId="0"/>
    <xf numFmtId="0" fontId="25" fillId="0" borderId="0">
      <alignment vertical="center"/>
    </xf>
    <xf numFmtId="0" fontId="25" fillId="0" borderId="0"/>
    <xf numFmtId="0" fontId="53" fillId="0" borderId="0"/>
    <xf numFmtId="0" fontId="55" fillId="0" borderId="0"/>
    <xf numFmtId="0" fontId="53" fillId="0" borderId="0"/>
    <xf numFmtId="0" fontId="53" fillId="0" borderId="0"/>
    <xf numFmtId="0" fontId="1" fillId="0" borderId="0"/>
    <xf numFmtId="0" fontId="55" fillId="0" borderId="0"/>
    <xf numFmtId="0" fontId="25" fillId="0" borderId="0"/>
    <xf numFmtId="0" fontId="25" fillId="0" borderId="0"/>
    <xf numFmtId="0" fontId="54" fillId="0" borderId="0"/>
    <xf numFmtId="0" fontId="25" fillId="0" borderId="0"/>
    <xf numFmtId="0" fontId="1" fillId="0" borderId="0"/>
    <xf numFmtId="0" fontId="25" fillId="0" borderId="0"/>
    <xf numFmtId="0" fontId="25" fillId="0" borderId="0"/>
    <xf numFmtId="0" fontId="25" fillId="0" borderId="0"/>
    <xf numFmtId="0" fontId="53" fillId="0" borderId="0"/>
    <xf numFmtId="0" fontId="25" fillId="0" borderId="0"/>
    <xf numFmtId="0" fontId="53" fillId="0" borderId="0"/>
    <xf numFmtId="0" fontId="53" fillId="0" borderId="0"/>
    <xf numFmtId="0" fontId="53" fillId="0" borderId="0"/>
    <xf numFmtId="0" fontId="25" fillId="0" borderId="0">
      <alignment vertical="center"/>
    </xf>
    <xf numFmtId="0" fontId="25" fillId="0" borderId="0">
      <alignment vertical="center"/>
    </xf>
    <xf numFmtId="0" fontId="86" fillId="0" borderId="0"/>
    <xf numFmtId="10" fontId="1" fillId="0" borderId="0" applyFont="0" applyFill="0" applyBorder="0" applyAlignment="0" applyProtection="0"/>
    <xf numFmtId="173" fontId="25" fillId="0" borderId="0" applyFont="0" applyFill="0" applyBorder="0" applyAlignment="0" applyProtection="0"/>
    <xf numFmtId="9" fontId="25" fillId="0" borderId="0" applyFont="0" applyFill="0" applyBorder="0" applyAlignment="0" applyProtection="0"/>
    <xf numFmtId="173" fontId="25" fillId="0" borderId="0" applyFont="0" applyFill="0" applyBorder="0" applyAlignment="0" applyProtection="0"/>
    <xf numFmtId="9" fontId="1"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Protection="0"/>
    <xf numFmtId="9" fontId="25" fillId="0" borderId="0" applyFont="0" applyFill="0" applyBorder="0" applyProtection="0"/>
    <xf numFmtId="0" fontId="77" fillId="17" borderId="1"/>
    <xf numFmtId="0" fontId="77" fillId="17" borderId="1"/>
    <xf numFmtId="0" fontId="77" fillId="17" borderId="30"/>
    <xf numFmtId="0" fontId="77" fillId="17" borderId="1"/>
    <xf numFmtId="0" fontId="77" fillId="17" borderId="29"/>
    <xf numFmtId="0" fontId="77" fillId="17" borderId="29"/>
    <xf numFmtId="0" fontId="77" fillId="17" borderId="1"/>
    <xf numFmtId="4" fontId="76" fillId="0" borderId="0">
      <alignment horizontal="right"/>
    </xf>
    <xf numFmtId="4" fontId="87" fillId="0" borderId="0">
      <alignment horizontal="right"/>
    </xf>
    <xf numFmtId="165" fontId="75" fillId="0" borderId="0" applyFont="0" applyFill="0" applyBorder="0" applyAlignment="0" applyProtection="0"/>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42"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88" fillId="33" borderId="33" applyNumberFormat="0" applyProtection="0">
      <alignment vertical="center"/>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center"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3" borderId="33" applyNumberFormat="0" applyProtection="0">
      <alignment horizontal="left" vertical="top" indent="1"/>
    </xf>
    <xf numFmtId="0" fontId="42" fillId="34" borderId="0" applyNumberFormat="0" applyProtection="0">
      <alignment horizontal="left" vertical="center" indent="1"/>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5"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6"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7"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38"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25"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39"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0"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1"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31" fillId="42" borderId="33" applyNumberFormat="0" applyProtection="0">
      <alignment horizontal="right" vertical="center"/>
    </xf>
    <xf numFmtId="0" fontId="42" fillId="43" borderId="34" applyNumberFormat="0" applyProtection="0">
      <alignment horizontal="left" vertical="center" indent="1"/>
    </xf>
    <xf numFmtId="0" fontId="42" fillId="43" borderId="34" applyNumberFormat="0" applyProtection="0">
      <alignment horizontal="left" vertical="center" indent="1"/>
    </xf>
    <xf numFmtId="0" fontId="42" fillId="43" borderId="34" applyNumberFormat="0" applyProtection="0">
      <alignment horizontal="left" vertical="center" indent="1"/>
    </xf>
    <xf numFmtId="0" fontId="42" fillId="43" borderId="34" applyNumberFormat="0" applyProtection="0">
      <alignment horizontal="left" vertical="center" indent="1"/>
    </xf>
    <xf numFmtId="0" fontId="42" fillId="43" borderId="34" applyNumberFormat="0" applyProtection="0">
      <alignment horizontal="left" vertical="center" indent="1"/>
    </xf>
    <xf numFmtId="0" fontId="42" fillId="43" borderId="34" applyNumberFormat="0" applyProtection="0">
      <alignment horizontal="left" vertical="center" indent="1"/>
    </xf>
    <xf numFmtId="0" fontId="31" fillId="44" borderId="0" applyNumberFormat="0" applyProtection="0">
      <alignment horizontal="left" vertical="center" indent="1"/>
    </xf>
    <xf numFmtId="0" fontId="89" fillId="11" borderId="0" applyNumberFormat="0" applyProtection="0">
      <alignment horizontal="left" vertical="center" indent="1"/>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34" borderId="33" applyNumberFormat="0" applyProtection="0">
      <alignment horizontal="right" vertical="center"/>
    </xf>
    <xf numFmtId="0" fontId="31" fillId="44" borderId="0" applyNumberFormat="0" applyProtection="0">
      <alignment horizontal="left" vertical="center" indent="1"/>
    </xf>
    <xf numFmtId="0" fontId="31" fillId="34" borderId="0"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center"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11" borderId="33" applyNumberFormat="0" applyProtection="0">
      <alignment horizontal="left" vertical="top"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center"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34" borderId="33" applyNumberFormat="0" applyProtection="0">
      <alignment horizontal="left" vertical="top"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center"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13" borderId="33" applyNumberFormat="0" applyProtection="0">
      <alignment horizontal="left" vertical="top"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center"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1" fillId="44" borderId="33" applyNumberFormat="0" applyProtection="0">
      <alignment horizontal="left" vertical="top" indent="1"/>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31"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90" fillId="16" borderId="33" applyNumberFormat="0" applyProtection="0">
      <alignment vertical="center"/>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center"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16" borderId="33" applyNumberFormat="0" applyProtection="0">
      <alignment horizontal="left" vertical="top" indent="1"/>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31"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90" fillId="44" borderId="33" applyNumberFormat="0" applyProtection="0">
      <alignment horizontal="right" vertical="center"/>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center"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31" fillId="34" borderId="33" applyNumberFormat="0" applyProtection="0">
      <alignment horizontal="left" vertical="top" indent="1"/>
    </xf>
    <xf numFmtId="0" fontId="91" fillId="45" borderId="0" applyNumberFormat="0" applyProtection="0">
      <alignment horizontal="left" vertical="center" indent="1"/>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36" fillId="44" borderId="33" applyNumberFormat="0" applyProtection="0">
      <alignment horizontal="right" vertical="center"/>
    </xf>
    <xf numFmtId="0" fontId="92" fillId="0" borderId="0">
      <alignment horizontal="left"/>
    </xf>
    <xf numFmtId="164" fontId="77" fillId="0" borderId="35"/>
    <xf numFmtId="164" fontId="77" fillId="0" borderId="35"/>
    <xf numFmtId="164" fontId="77" fillId="0" borderId="35"/>
    <xf numFmtId="164" fontId="77" fillId="0" borderId="35"/>
    <xf numFmtId="164" fontId="77" fillId="0" borderId="35"/>
    <xf numFmtId="164" fontId="77" fillId="0" borderId="35"/>
    <xf numFmtId="164" fontId="77" fillId="0" borderId="35"/>
    <xf numFmtId="164" fontId="77" fillId="0" borderId="35"/>
    <xf numFmtId="0" fontId="83" fillId="0" borderId="0"/>
    <xf numFmtId="0" fontId="93" fillId="0" borderId="0">
      <alignment horizontal="center"/>
    </xf>
    <xf numFmtId="186" fontId="1" fillId="0" borderId="0" applyFont="0" applyFill="0" applyBorder="0" applyAlignment="0" applyProtection="0"/>
    <xf numFmtId="187" fontId="1" fillId="0" borderId="0" applyFont="0" applyFill="0" applyBorder="0" applyAlignment="0" applyProtection="0"/>
    <xf numFmtId="188" fontId="55" fillId="0" borderId="0" applyFont="0" applyFill="0" applyBorder="0" applyAlignment="0" applyProtection="0"/>
    <xf numFmtId="189" fontId="55" fillId="0" borderId="0" applyFont="0" applyFill="0" applyBorder="0" applyAlignment="0" applyProtection="0"/>
    <xf numFmtId="9" fontId="94" fillId="0" borderId="0" applyFont="0" applyFill="0" applyBorder="0" applyAlignment="0" applyProtection="0"/>
    <xf numFmtId="0" fontId="74" fillId="0" borderId="0"/>
    <xf numFmtId="0" fontId="95" fillId="0" borderId="0"/>
    <xf numFmtId="190" fontId="74" fillId="0" borderId="0" applyFont="0" applyFill="0" applyBorder="0" applyAlignment="0" applyProtection="0"/>
    <xf numFmtId="191" fontId="74" fillId="0" borderId="0" applyFont="0" applyFill="0" applyBorder="0" applyAlignment="0" applyProtection="0"/>
    <xf numFmtId="165" fontId="1" fillId="0" borderId="0" applyFont="0" applyFill="0" applyBorder="0" applyAlignment="0" applyProtection="0"/>
    <xf numFmtId="9" fontId="74"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53" fillId="0" borderId="0" applyFont="0" applyFill="0" applyBorder="0" applyProtection="0"/>
    <xf numFmtId="9" fontId="53" fillId="0" borderId="0" applyFont="0" applyFill="0" applyBorder="0" applyProtection="0"/>
    <xf numFmtId="9" fontId="53" fillId="0" borderId="0" applyFont="0" applyFill="0" applyBorder="0" applyProtection="0"/>
    <xf numFmtId="9" fontId="55" fillId="0" borderId="0" applyFont="0" applyFill="0" applyBorder="0" applyAlignment="0" applyProtection="0"/>
    <xf numFmtId="9" fontId="25" fillId="0" borderId="0" applyFont="0" applyFill="0" applyBorder="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Protection="0"/>
    <xf numFmtId="9" fontId="53" fillId="0" borderId="0" applyFont="0" applyFill="0" applyBorder="0" applyProtection="0"/>
    <xf numFmtId="0" fontId="96" fillId="0" borderId="0" applyFont="0" applyFill="0" applyBorder="0" applyAlignment="0" applyProtection="0"/>
    <xf numFmtId="0" fontId="96" fillId="0" borderId="0" applyFont="0" applyFill="0" applyBorder="0" applyAlignment="0" applyProtection="0"/>
    <xf numFmtId="0" fontId="97" fillId="0" borderId="0" applyNumberFormat="0" applyFill="0" applyBorder="0" applyProtection="0"/>
    <xf numFmtId="4" fontId="98" fillId="0" borderId="0">
      <alignment horizontal="right"/>
    </xf>
    <xf numFmtId="0" fontId="99" fillId="0" borderId="0" applyNumberFormat="0" applyFill="0" applyBorder="0" applyAlignment="0" applyProtection="0"/>
    <xf numFmtId="0" fontId="100" fillId="38" borderId="0" applyNumberFormat="0" applyBorder="0" applyProtection="0"/>
    <xf numFmtId="0" fontId="101" fillId="35" borderId="0" applyNumberFormat="0" applyBorder="0" applyProtection="0"/>
    <xf numFmtId="0" fontId="101" fillId="35" borderId="0" applyNumberFormat="0" applyBorder="0" applyProtection="0"/>
    <xf numFmtId="0" fontId="102" fillId="35" borderId="0" applyNumberFormat="0" applyBorder="0" applyAlignment="0" applyProtection="0"/>
    <xf numFmtId="0" fontId="101" fillId="35" borderId="0" applyNumberFormat="0" applyBorder="0" applyProtection="0"/>
    <xf numFmtId="0" fontId="101" fillId="35" borderId="0" applyNumberFormat="0" applyBorder="0" applyProtection="0"/>
    <xf numFmtId="0" fontId="101" fillId="35" borderId="0" applyNumberFormat="0" applyBorder="0" applyProtection="0"/>
    <xf numFmtId="0" fontId="101" fillId="35" borderId="0" applyNumberFormat="0" applyBorder="0" applyProtection="0"/>
    <xf numFmtId="0" fontId="101" fillId="35" borderId="0" applyNumberFormat="0" applyBorder="0" applyProtection="0"/>
    <xf numFmtId="0" fontId="101" fillId="35" borderId="0" applyNumberFormat="0" applyBorder="0" applyProtection="0"/>
    <xf numFmtId="0" fontId="101" fillId="35" borderId="0" applyNumberFormat="0" applyBorder="0" applyProtection="0"/>
    <xf numFmtId="0" fontId="100" fillId="38" borderId="0" applyNumberFormat="0" applyBorder="0" applyProtection="0"/>
    <xf numFmtId="0" fontId="100" fillId="38" borderId="0" applyNumberFormat="0" applyBorder="0" applyProtection="0"/>
    <xf numFmtId="0" fontId="103" fillId="30" borderId="0" applyNumberFormat="0" applyBorder="0" applyProtection="0"/>
    <xf numFmtId="0" fontId="101" fillId="35" borderId="0" applyNumberFormat="0" applyBorder="0" applyProtection="0"/>
    <xf numFmtId="0" fontId="100" fillId="38" borderId="0" applyNumberFormat="0" applyBorder="0" applyProtection="0"/>
    <xf numFmtId="0" fontId="100" fillId="38" borderId="0" applyNumberFormat="0" applyBorder="0" applyProtection="0"/>
    <xf numFmtId="0" fontId="103" fillId="30" borderId="0" applyNumberFormat="0" applyBorder="0" applyProtection="0"/>
    <xf numFmtId="0" fontId="100" fillId="38" borderId="0" applyNumberFormat="0" applyBorder="0" applyProtection="0"/>
    <xf numFmtId="0" fontId="100" fillId="38" borderId="0" applyNumberFormat="0" applyBorder="0" applyProtection="0"/>
    <xf numFmtId="0" fontId="100" fillId="38" borderId="0" applyNumberFormat="0" applyBorder="0" applyProtection="0"/>
    <xf numFmtId="0" fontId="101" fillId="35" borderId="0" applyNumberFormat="0" applyBorder="0" applyProtection="0"/>
    <xf numFmtId="0" fontId="100" fillId="38" borderId="0" applyNumberFormat="0" applyBorder="0" applyProtection="0"/>
    <xf numFmtId="0" fontId="100" fillId="38" borderId="0" applyNumberFormat="0" applyBorder="0" applyProtection="0"/>
    <xf numFmtId="0" fontId="100" fillId="38" borderId="0" applyNumberFormat="0" applyBorder="0" applyProtection="0"/>
    <xf numFmtId="0" fontId="100" fillId="38" borderId="0" applyNumberFormat="0" applyBorder="0" applyProtection="0"/>
    <xf numFmtId="0" fontId="25" fillId="0" borderId="0"/>
    <xf numFmtId="0" fontId="56" fillId="0" borderId="0"/>
    <xf numFmtId="0" fontId="53" fillId="0" borderId="0"/>
    <xf numFmtId="192" fontId="53" fillId="0" borderId="0"/>
    <xf numFmtId="192" fontId="104" fillId="0" borderId="0"/>
    <xf numFmtId="0" fontId="55" fillId="0" borderId="0"/>
    <xf numFmtId="0" fontId="55" fillId="0" borderId="0"/>
    <xf numFmtId="0" fontId="55" fillId="0" borderId="0"/>
    <xf numFmtId="0" fontId="55" fillId="0" borderId="0"/>
    <xf numFmtId="0" fontId="53" fillId="0" borderId="0"/>
    <xf numFmtId="0" fontId="55" fillId="0" borderId="0"/>
    <xf numFmtId="0" fontId="61" fillId="0" borderId="0">
      <protection locked="0"/>
    </xf>
    <xf numFmtId="0" fontId="53" fillId="0" borderId="0"/>
    <xf numFmtId="0" fontId="55" fillId="0" borderId="0"/>
    <xf numFmtId="0" fontId="1" fillId="0" borderId="0">
      <protection locked="0"/>
    </xf>
    <xf numFmtId="0" fontId="55" fillId="0" borderId="0"/>
    <xf numFmtId="0" fontId="55" fillId="0" borderId="0"/>
    <xf numFmtId="0" fontId="55" fillId="0" borderId="0"/>
    <xf numFmtId="0" fontId="1" fillId="0" borderId="0">
      <protection locked="0"/>
    </xf>
    <xf numFmtId="0" fontId="56" fillId="0" borderId="0">
      <alignment vertical="center"/>
    </xf>
    <xf numFmtId="0" fontId="53" fillId="0" borderId="0"/>
    <xf numFmtId="0" fontId="56" fillId="0" borderId="0">
      <alignment vertical="center"/>
    </xf>
    <xf numFmtId="0" fontId="56" fillId="0" borderId="0">
      <alignment vertical="center"/>
    </xf>
    <xf numFmtId="0" fontId="53" fillId="0" borderId="0"/>
    <xf numFmtId="174" fontId="1" fillId="0" borderId="0"/>
    <xf numFmtId="0" fontId="55" fillId="0" borderId="0">
      <alignment vertical="top"/>
    </xf>
    <xf numFmtId="0" fontId="61" fillId="0" borderId="0">
      <protection locked="0"/>
    </xf>
    <xf numFmtId="192" fontId="53" fillId="0" borderId="0"/>
    <xf numFmtId="0" fontId="55" fillId="0" borderId="0"/>
    <xf numFmtId="0" fontId="55" fillId="0" borderId="0"/>
    <xf numFmtId="192" fontId="53" fillId="0" borderId="0"/>
    <xf numFmtId="192" fontId="53" fillId="0" borderId="0"/>
    <xf numFmtId="0" fontId="55" fillId="0" borderId="0"/>
    <xf numFmtId="0" fontId="55" fillId="0" borderId="0"/>
    <xf numFmtId="0" fontId="1" fillId="0" borderId="0">
      <protection locked="0"/>
    </xf>
    <xf numFmtId="0" fontId="25" fillId="0" borderId="0">
      <alignment vertical="center"/>
      <protection locked="0"/>
    </xf>
    <xf numFmtId="0" fontId="53" fillId="0" borderId="0"/>
    <xf numFmtId="0" fontId="25" fillId="0" borderId="0">
      <alignment vertical="center"/>
      <protection locked="0"/>
    </xf>
    <xf numFmtId="0" fontId="1" fillId="0" borderId="0">
      <protection locked="0"/>
    </xf>
    <xf numFmtId="0" fontId="53" fillId="0" borderId="0"/>
    <xf numFmtId="0" fontId="1" fillId="0" borderId="0">
      <protection locked="0"/>
    </xf>
    <xf numFmtId="0" fontId="1" fillId="0" borderId="0">
      <protection locked="0"/>
    </xf>
    <xf numFmtId="0" fontId="53" fillId="0" borderId="0"/>
    <xf numFmtId="0" fontId="53" fillId="0" borderId="0"/>
    <xf numFmtId="0" fontId="55" fillId="0" borderId="0"/>
    <xf numFmtId="0" fontId="25" fillId="0" borderId="0">
      <alignment vertical="center"/>
    </xf>
    <xf numFmtId="0" fontId="56" fillId="0" borderId="0">
      <alignment vertical="center"/>
    </xf>
    <xf numFmtId="0" fontId="56" fillId="0" borderId="0">
      <alignment vertical="center"/>
    </xf>
    <xf numFmtId="0" fontId="53" fillId="0" borderId="0"/>
    <xf numFmtId="0" fontId="25" fillId="0" borderId="0"/>
    <xf numFmtId="0" fontId="53" fillId="0" borderId="0"/>
    <xf numFmtId="0" fontId="55" fillId="0" borderId="0"/>
    <xf numFmtId="0" fontId="53" fillId="0" borderId="0"/>
    <xf numFmtId="0" fontId="55" fillId="0" borderId="0">
      <alignment vertical="center"/>
    </xf>
    <xf numFmtId="0" fontId="25" fillId="0" borderId="0">
      <alignment vertical="center"/>
    </xf>
    <xf numFmtId="0" fontId="53" fillId="0" borderId="0"/>
    <xf numFmtId="0" fontId="25" fillId="0" borderId="0">
      <alignment vertical="center"/>
    </xf>
    <xf numFmtId="0" fontId="53" fillId="0" borderId="0"/>
    <xf numFmtId="0" fontId="53" fillId="0" borderId="0"/>
    <xf numFmtId="0" fontId="53" fillId="0" borderId="0"/>
    <xf numFmtId="0" fontId="25" fillId="0" borderId="0"/>
    <xf numFmtId="0" fontId="53" fillId="0" borderId="0"/>
    <xf numFmtId="0" fontId="105" fillId="0" borderId="0" applyNumberFormat="0" applyFill="0" applyBorder="0">
      <protection locked="0"/>
    </xf>
    <xf numFmtId="0" fontId="106" fillId="0" borderId="0" applyNumberFormat="0" applyFill="0" applyBorder="0" applyAlignment="0" applyProtection="0"/>
    <xf numFmtId="0" fontId="105" fillId="0" borderId="0" applyNumberFormat="0" applyFill="0" applyBorder="0">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58" fillId="0" borderId="0" applyNumberFormat="0" applyFill="0" applyBorder="0" applyProtection="0"/>
    <xf numFmtId="0" fontId="107" fillId="0" borderId="0" applyNumberFormat="0" applyFill="0" applyBorder="0" applyAlignment="0" applyProtection="0">
      <alignment vertical="center"/>
    </xf>
    <xf numFmtId="0" fontId="105" fillId="0" borderId="0" applyNumberFormat="0" applyFill="0" applyBorder="0">
      <protection locked="0"/>
    </xf>
    <xf numFmtId="0" fontId="107" fillId="0" borderId="0" applyNumberFormat="0" applyFill="0" applyBorder="0" applyAlignment="0" applyProtection="0">
      <alignment vertical="center"/>
    </xf>
    <xf numFmtId="0" fontId="108" fillId="32" borderId="0" applyNumberFormat="0" applyBorder="0" applyProtection="0"/>
    <xf numFmtId="0" fontId="109" fillId="20" borderId="0" applyNumberFormat="0" applyBorder="0" applyProtection="0"/>
    <xf numFmtId="0" fontId="109" fillId="32" borderId="0" applyNumberFormat="0" applyBorder="0" applyProtection="0"/>
    <xf numFmtId="0" fontId="109" fillId="32" borderId="0" applyNumberFormat="0" applyBorder="0" applyProtection="0"/>
    <xf numFmtId="0" fontId="109" fillId="32" borderId="0" applyNumberFormat="0" applyBorder="0" applyProtection="0"/>
    <xf numFmtId="0" fontId="109" fillId="20" borderId="0" applyNumberFormat="0" applyBorder="0" applyProtection="0"/>
    <xf numFmtId="0" fontId="110" fillId="20" borderId="0" applyNumberFormat="0" applyBorder="0" applyAlignment="0" applyProtection="0"/>
    <xf numFmtId="0" fontId="109" fillId="20" borderId="0" applyNumberFormat="0" applyBorder="0" applyProtection="0"/>
    <xf numFmtId="0" fontId="109" fillId="20" borderId="0" applyNumberFormat="0" applyBorder="0" applyProtection="0"/>
    <xf numFmtId="0" fontId="109" fillId="20" borderId="0" applyNumberFormat="0" applyBorder="0" applyProtection="0"/>
    <xf numFmtId="0" fontId="109" fillId="20" borderId="0" applyNumberFormat="0" applyBorder="0" applyProtection="0"/>
    <xf numFmtId="0" fontId="109" fillId="20" borderId="0" applyNumberFormat="0" applyBorder="0" applyProtection="0"/>
    <xf numFmtId="0" fontId="109" fillId="20" borderId="0" applyNumberFormat="0" applyBorder="0" applyProtection="0"/>
    <xf numFmtId="0" fontId="109" fillId="20" borderId="0" applyNumberFormat="0" applyBorder="0" applyProtection="0"/>
    <xf numFmtId="0" fontId="109" fillId="32" borderId="0" applyNumberFormat="0" applyBorder="0" applyProtection="0"/>
    <xf numFmtId="0" fontId="108" fillId="32" borderId="0" applyNumberFormat="0" applyBorder="0" applyProtection="0"/>
    <xf numFmtId="0" fontId="109" fillId="20" borderId="0" applyNumberFormat="0" applyBorder="0" applyProtection="0"/>
    <xf numFmtId="0" fontId="108" fillId="32" borderId="0" applyNumberFormat="0" applyBorder="0" applyProtection="0"/>
    <xf numFmtId="0" fontId="109" fillId="32" borderId="0" applyNumberFormat="0" applyBorder="0" applyProtection="0"/>
    <xf numFmtId="0" fontId="108" fillId="32" borderId="0" applyNumberFormat="0" applyBorder="0" applyProtection="0"/>
    <xf numFmtId="0" fontId="108" fillId="32" borderId="0" applyNumberFormat="0" applyBorder="0" applyProtection="0"/>
    <xf numFmtId="0" fontId="111" fillId="46" borderId="0" applyNumberFormat="0" applyBorder="0" applyProtection="0"/>
    <xf numFmtId="0" fontId="108" fillId="32" borderId="0" applyNumberFormat="0" applyBorder="0" applyProtection="0"/>
    <xf numFmtId="0" fontId="111" fillId="46" borderId="0" applyNumberFormat="0" applyBorder="0" applyProtection="0"/>
    <xf numFmtId="0" fontId="108" fillId="32" borderId="0" applyNumberFormat="0" applyBorder="0" applyProtection="0"/>
    <xf numFmtId="0" fontId="108" fillId="32" borderId="0" applyNumberFormat="0" applyBorder="0" applyProtection="0"/>
    <xf numFmtId="0" fontId="109" fillId="20" borderId="0" applyNumberFormat="0" applyBorder="0" applyProtection="0"/>
    <xf numFmtId="0" fontId="109" fillId="32" borderId="0" applyNumberFormat="0" applyBorder="0" applyProtection="0"/>
    <xf numFmtId="0" fontId="109" fillId="32" borderId="0" applyNumberFormat="0" applyBorder="0" applyProtection="0"/>
    <xf numFmtId="0" fontId="108" fillId="32" borderId="0" applyNumberFormat="0" applyBorder="0" applyProtection="0"/>
    <xf numFmtId="0" fontId="108" fillId="32" borderId="0" applyNumberFormat="0" applyBorder="0" applyProtection="0"/>
    <xf numFmtId="0" fontId="109" fillId="32" borderId="0" applyNumberFormat="0" applyBorder="0" applyProtection="0"/>
    <xf numFmtId="0" fontId="108" fillId="32" borderId="0" applyNumberFormat="0" applyBorder="0" applyProtection="0"/>
    <xf numFmtId="0" fontId="109" fillId="32" borderId="0" applyNumberFormat="0" applyBorder="0" applyProtection="0"/>
    <xf numFmtId="0" fontId="108" fillId="32" borderId="0" applyNumberFormat="0" applyBorder="0" applyProtection="0"/>
    <xf numFmtId="0" fontId="108" fillId="32" borderId="0" applyNumberFormat="0" applyBorder="0" applyProtection="0"/>
    <xf numFmtId="0" fontId="111" fillId="46" borderId="0" applyNumberFormat="0" applyBorder="0" applyProtection="0"/>
    <xf numFmtId="0" fontId="108" fillId="32" borderId="0" applyNumberFormat="0" applyBorder="0" applyProtection="0"/>
    <xf numFmtId="0" fontId="111" fillId="46" borderId="0" applyNumberFormat="0" applyBorder="0" applyProtection="0"/>
    <xf numFmtId="0" fontId="109" fillId="32" borderId="0" applyNumberFormat="0" applyBorder="0" applyProtection="0"/>
    <xf numFmtId="4" fontId="112" fillId="0" borderId="0" applyFont="0" applyFill="0" applyBorder="0" applyAlignment="0" applyProtection="0"/>
    <xf numFmtId="165" fontId="1" fillId="0" borderId="0" applyFont="0" applyFill="0" applyBorder="0" applyAlignment="0" applyProtection="0"/>
    <xf numFmtId="193" fontId="25" fillId="0" borderId="0" applyFont="0" applyFill="0" applyBorder="0" applyProtection="0"/>
    <xf numFmtId="193" fontId="25" fillId="0" borderId="0" applyFont="0" applyFill="0" applyBorder="0" applyProtection="0"/>
    <xf numFmtId="194" fontId="113" fillId="0" borderId="0" applyFont="0" applyFill="0" applyBorder="0" applyAlignment="0" applyProtection="0"/>
    <xf numFmtId="195" fontId="113" fillId="0" borderId="0" applyFont="0" applyFill="0" applyBorder="0" applyAlignment="0" applyProtection="0"/>
    <xf numFmtId="196" fontId="1" fillId="0" borderId="0" applyFont="0" applyFill="0" applyBorder="0" applyAlignment="0" applyProtection="0"/>
    <xf numFmtId="197" fontId="1" fillId="0" borderId="0" applyFont="0" applyFill="0" applyBorder="0" applyAlignment="0" applyProtection="0"/>
    <xf numFmtId="198" fontId="114" fillId="0" borderId="0" applyFont="0" applyFill="0" applyBorder="0" applyAlignment="0" applyProtection="0"/>
    <xf numFmtId="199" fontId="114" fillId="0" borderId="0" applyFont="0" applyFill="0" applyBorder="0" applyAlignment="0" applyProtection="0"/>
    <xf numFmtId="194" fontId="74" fillId="0" borderId="0" applyFont="0" applyFill="0" applyBorder="0" applyAlignment="0" applyProtection="0"/>
    <xf numFmtId="195" fontId="74" fillId="0" borderId="0" applyFont="0" applyFill="0" applyBorder="0" applyAlignment="0" applyProtection="0"/>
    <xf numFmtId="0" fontId="75" fillId="0" borderId="0"/>
    <xf numFmtId="165" fontId="75" fillId="0" borderId="0" applyFont="0" applyFill="0" applyBorder="0" applyAlignment="0" applyProtection="0"/>
    <xf numFmtId="164" fontId="75" fillId="0" borderId="0" applyFont="0" applyFill="0" applyBorder="0" applyAlignment="0" applyProtection="0"/>
    <xf numFmtId="165" fontId="55" fillId="0" borderId="0" applyFont="0" applyFill="0" applyBorder="0" applyAlignment="0" applyProtection="0"/>
    <xf numFmtId="164" fontId="55" fillId="0" borderId="0" applyFont="0" applyFill="0" applyBorder="0" applyAlignment="0" applyProtection="0"/>
    <xf numFmtId="164" fontId="56"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53" fillId="0" borderId="0" applyFont="0" applyFill="0" applyBorder="0" applyProtection="0"/>
    <xf numFmtId="164" fontId="1" fillId="0" borderId="0" applyFont="0" applyFill="0" applyBorder="0" applyAlignment="0" applyProtection="0"/>
    <xf numFmtId="0" fontId="25" fillId="0" borderId="0" applyFont="0" applyFill="0" applyBorder="0" applyProtection="0"/>
    <xf numFmtId="164" fontId="61" fillId="0" borderId="0" applyFont="0" applyAlignment="0" applyProtection="0"/>
    <xf numFmtId="164" fontId="61" fillId="0" borderId="0" applyFont="0" applyAlignment="0" applyProtection="0"/>
    <xf numFmtId="164" fontId="61" fillId="0" borderId="0" applyFont="0" applyAlignment="0" applyProtection="0"/>
    <xf numFmtId="164" fontId="55" fillId="0" borderId="0" applyFont="0" applyFill="0" applyBorder="0" applyAlignment="0" applyProtection="0"/>
    <xf numFmtId="164" fontId="55" fillId="0" borderId="0" applyFont="0" applyFill="0" applyBorder="0" applyAlignment="0" applyProtection="0"/>
    <xf numFmtId="164" fontId="61" fillId="0" borderId="0" applyFont="0" applyAlignment="0" applyProtection="0"/>
    <xf numFmtId="164" fontId="1" fillId="0" borderId="0" applyFont="0" applyFill="0" applyBorder="0" applyAlignment="0" applyProtection="0"/>
    <xf numFmtId="164" fontId="1"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0" fontId="25" fillId="0" borderId="0" applyFont="0" applyFill="0" applyBorder="0" applyProtection="0"/>
    <xf numFmtId="164" fontId="1"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25"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25" fillId="0" borderId="0" applyFont="0" applyFill="0" applyBorder="0" applyAlignment="0" applyProtection="0"/>
    <xf numFmtId="164" fontId="25" fillId="0" borderId="0" applyFont="0" applyFill="0" applyBorder="0" applyProtection="0"/>
    <xf numFmtId="164" fontId="53" fillId="0" borderId="0" applyFont="0" applyFill="0" applyBorder="0" applyAlignment="0" applyProtection="0"/>
    <xf numFmtId="164" fontId="53" fillId="0" borderId="0" applyFont="0" applyFill="0" applyBorder="0" applyAlignment="0" applyProtection="0"/>
    <xf numFmtId="164" fontId="25" fillId="0" borderId="0" applyFont="0" applyFill="0" applyBorder="0" applyProtection="0"/>
    <xf numFmtId="164" fontId="25" fillId="0" borderId="0" applyFont="0" applyFill="0" applyBorder="0" applyProtection="0"/>
    <xf numFmtId="164" fontId="25" fillId="0" borderId="0" applyFont="0" applyFill="0" applyBorder="0" applyProtection="0"/>
    <xf numFmtId="164" fontId="53" fillId="0" borderId="0" applyFont="0" applyFill="0" applyBorder="0" applyAlignment="0" applyProtection="0"/>
    <xf numFmtId="164" fontId="53" fillId="0" borderId="0" applyFont="0" applyFill="0" applyBorder="0" applyAlignment="0" applyProtection="0"/>
    <xf numFmtId="164" fontId="53" fillId="0" borderId="0" applyFont="0" applyFill="0" applyBorder="0" applyAlignment="0" applyProtection="0"/>
    <xf numFmtId="164" fontId="25" fillId="0" borderId="0" applyFont="0" applyFill="0" applyBorder="0" applyProtection="0"/>
    <xf numFmtId="164" fontId="25" fillId="0" borderId="0" applyFont="0" applyFill="0" applyBorder="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25" fillId="0" borderId="0" applyFont="0" applyFill="0" applyBorder="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25" fillId="0" borderId="0" applyFont="0" applyFill="0" applyBorder="0" applyProtection="0"/>
    <xf numFmtId="164" fontId="53" fillId="0" borderId="0" applyFont="0" applyFill="0" applyBorder="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53" fillId="0" borderId="0" applyFont="0" applyFill="0" applyBorder="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4" fontId="2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165" fontId="55" fillId="0" borderId="0" applyFont="0" applyFill="0" applyBorder="0" applyAlignment="0" applyProtection="0"/>
    <xf numFmtId="0" fontId="115" fillId="0" borderId="0"/>
    <xf numFmtId="0" fontId="116" fillId="47" borderId="0" applyNumberFormat="0" applyBorder="0" applyAlignment="0" applyProtection="0"/>
    <xf numFmtId="0" fontId="116" fillId="48" borderId="0" applyNumberFormat="0" applyBorder="0" applyAlignment="0" applyProtection="0"/>
    <xf numFmtId="0" fontId="116" fillId="49" borderId="0" applyNumberFormat="0" applyBorder="0" applyAlignment="0" applyProtection="0"/>
    <xf numFmtId="200" fontId="1" fillId="0" borderId="0" applyFont="0" applyFill="0" applyBorder="0" applyAlignment="0" applyProtection="0"/>
    <xf numFmtId="201" fontId="112" fillId="0" borderId="0" applyFont="0" applyFill="0" applyBorder="0" applyAlignment="0" applyProtection="0"/>
    <xf numFmtId="0" fontId="74" fillId="0" borderId="0"/>
    <xf numFmtId="0" fontId="73" fillId="0" borderId="0"/>
    <xf numFmtId="0" fontId="73" fillId="0" borderId="0"/>
    <xf numFmtId="0" fontId="55" fillId="0" borderId="0"/>
    <xf numFmtId="0" fontId="117" fillId="0" borderId="0"/>
    <xf numFmtId="40" fontId="96" fillId="0" borderId="0" applyFont="0" applyFill="0" applyBorder="0" applyAlignment="0" applyProtection="0"/>
    <xf numFmtId="38" fontId="96" fillId="0" borderId="0" applyFont="0" applyFill="0" applyBorder="0" applyAlignment="0" applyProtection="0"/>
    <xf numFmtId="0" fontId="1" fillId="0" borderId="1" applyNumberFormat="0"/>
    <xf numFmtId="0" fontId="1" fillId="0" borderId="1" applyNumberFormat="0"/>
    <xf numFmtId="0" fontId="1" fillId="0" borderId="30" applyNumberFormat="0"/>
    <xf numFmtId="0" fontId="1" fillId="0" borderId="1" applyNumberFormat="0"/>
    <xf numFmtId="0" fontId="1" fillId="0" borderId="29" applyNumberFormat="0"/>
    <xf numFmtId="0" fontId="1" fillId="0" borderId="29" applyNumberFormat="0"/>
    <xf numFmtId="0" fontId="1" fillId="0" borderId="1" applyNumberFormat="0"/>
    <xf numFmtId="38" fontId="118" fillId="0" borderId="0" applyFont="0" applyFill="0" applyBorder="0" applyAlignment="0" applyProtection="0"/>
    <xf numFmtId="40" fontId="118" fillId="0" borderId="0" applyFont="0" applyFill="0" applyBorder="0" applyAlignment="0" applyProtection="0"/>
    <xf numFmtId="0" fontId="118" fillId="0" borderId="0" applyFont="0" applyFill="0" applyBorder="0" applyAlignment="0" applyProtection="0"/>
    <xf numFmtId="0" fontId="118" fillId="0" borderId="0" applyFont="0" applyFill="0" applyBorder="0" applyAlignment="0" applyProtection="0"/>
    <xf numFmtId="0" fontId="119" fillId="0" borderId="0"/>
    <xf numFmtId="0" fontId="138" fillId="0" borderId="0"/>
    <xf numFmtId="0" fontId="137" fillId="0" borderId="0">
      <alignment vertical="center"/>
    </xf>
    <xf numFmtId="0" fontId="146" fillId="0" borderId="0" applyNumberFormat="0" applyFill="0" applyBorder="0" applyAlignment="0" applyProtection="0"/>
    <xf numFmtId="0" fontId="1" fillId="34" borderId="69" applyNumberFormat="0" applyProtection="0">
      <alignment horizontal="left" vertical="center" indent="1"/>
    </xf>
    <xf numFmtId="0" fontId="1" fillId="11" borderId="69" applyNumberFormat="0" applyProtection="0">
      <alignment horizontal="left" vertical="center" indent="1"/>
    </xf>
    <xf numFmtId="0" fontId="31" fillId="25" borderId="69" applyNumberFormat="0" applyProtection="0">
      <alignment horizontal="right" vertical="center"/>
    </xf>
    <xf numFmtId="0" fontId="1" fillId="44" borderId="71" applyNumberFormat="0" applyProtection="0">
      <alignment horizontal="left" vertical="center" indent="1"/>
    </xf>
    <xf numFmtId="43" fontId="25" fillId="0" borderId="0" applyFont="0" applyFill="0" applyBorder="0" applyProtection="0"/>
    <xf numFmtId="0" fontId="31" fillId="25" borderId="69" applyNumberFormat="0" applyProtection="0">
      <alignment horizontal="right" vertical="center"/>
    </xf>
    <xf numFmtId="0" fontId="1" fillId="44" borderId="71" applyNumberFormat="0" applyProtection="0">
      <alignment horizontal="left" vertical="center" indent="1"/>
    </xf>
    <xf numFmtId="43" fontId="25" fillId="0" borderId="0" applyFont="0" applyFill="0" applyBorder="0" applyProtection="0"/>
    <xf numFmtId="0" fontId="1" fillId="44" borderId="71" applyNumberFormat="0" applyProtection="0">
      <alignment horizontal="left" vertical="center" indent="1"/>
    </xf>
    <xf numFmtId="43" fontId="53" fillId="0" borderId="0" applyFont="0" applyFill="0" applyBorder="0" applyProtection="0"/>
    <xf numFmtId="0" fontId="31" fillId="34" borderId="69" applyNumberFormat="0" applyProtection="0">
      <alignment horizontal="right" vertical="center"/>
    </xf>
    <xf numFmtId="0" fontId="1" fillId="13" borderId="69" applyNumberFormat="0" applyProtection="0">
      <alignment horizontal="left" vertical="top" indent="1"/>
    </xf>
    <xf numFmtId="43" fontId="55" fillId="0" borderId="0" applyFont="0" applyFill="0" applyBorder="0" applyAlignment="0" applyProtection="0"/>
    <xf numFmtId="43" fontId="55" fillId="0" borderId="0" applyFont="0" applyFill="0" applyBorder="0" applyAlignment="0" applyProtection="0"/>
    <xf numFmtId="0" fontId="31" fillId="40" borderId="69" applyNumberFormat="0" applyProtection="0">
      <alignment horizontal="right" vertical="center"/>
    </xf>
    <xf numFmtId="0" fontId="25" fillId="0" borderId="0">
      <alignment vertical="center"/>
    </xf>
    <xf numFmtId="0" fontId="31" fillId="41" borderId="69" applyNumberFormat="0" applyProtection="0">
      <alignment horizontal="right" vertical="center"/>
    </xf>
    <xf numFmtId="0" fontId="1" fillId="13" borderId="71" applyNumberFormat="0" applyProtection="0">
      <alignment horizontal="left" vertical="top" indent="1"/>
    </xf>
    <xf numFmtId="0" fontId="25" fillId="0" borderId="0">
      <alignment vertical="center"/>
    </xf>
    <xf numFmtId="0" fontId="46" fillId="0" borderId="0"/>
    <xf numFmtId="0" fontId="1" fillId="34" borderId="69" applyNumberFormat="0" applyProtection="0">
      <alignment horizontal="left" vertical="center" indent="1"/>
    </xf>
    <xf numFmtId="0" fontId="1" fillId="34" borderId="69" applyNumberFormat="0" applyProtection="0">
      <alignment horizontal="left" vertical="top" indent="1"/>
    </xf>
    <xf numFmtId="0" fontId="1" fillId="34" borderId="69" applyNumberFormat="0" applyProtection="0">
      <alignment horizontal="left" vertical="center" indent="1"/>
    </xf>
    <xf numFmtId="0" fontId="31" fillId="16" borderId="71" applyNumberFormat="0" applyProtection="0">
      <alignment vertical="center"/>
    </xf>
    <xf numFmtId="0" fontId="1" fillId="11" borderId="69" applyNumberFormat="0" applyProtection="0">
      <alignment horizontal="left" vertical="center" indent="1"/>
    </xf>
    <xf numFmtId="0" fontId="31" fillId="34" borderId="69" applyNumberFormat="0" applyProtection="0">
      <alignment horizontal="right" vertical="center"/>
    </xf>
    <xf numFmtId="0" fontId="25" fillId="0" borderId="0"/>
    <xf numFmtId="43" fontId="25" fillId="0" borderId="0" applyFont="0" applyFill="0" applyBorder="0" applyAlignment="0" applyProtection="0"/>
    <xf numFmtId="9" fontId="25" fillId="0" borderId="0" applyFont="0" applyFill="0" applyBorder="0" applyAlignment="0" applyProtection="0"/>
    <xf numFmtId="0" fontId="1" fillId="11" borderId="69" applyNumberFormat="0" applyProtection="0">
      <alignment horizontal="left" vertical="top" indent="1"/>
    </xf>
    <xf numFmtId="0" fontId="31" fillId="34" borderId="69" applyNumberFormat="0" applyProtection="0">
      <alignment horizontal="right" vertical="center"/>
    </xf>
    <xf numFmtId="0" fontId="31" fillId="34" borderId="69" applyNumberFormat="0" applyProtection="0">
      <alignment horizontal="right" vertical="center"/>
    </xf>
    <xf numFmtId="0" fontId="31" fillId="38" borderId="69" applyNumberFormat="0" applyProtection="0">
      <alignment horizontal="right" vertical="center"/>
    </xf>
    <xf numFmtId="0" fontId="31" fillId="16" borderId="71" applyNumberFormat="0" applyProtection="0">
      <alignment vertical="center"/>
    </xf>
    <xf numFmtId="0" fontId="25" fillId="0" borderId="0"/>
    <xf numFmtId="0" fontId="25" fillId="0" borderId="0"/>
    <xf numFmtId="0" fontId="31" fillId="41" borderId="69" applyNumberFormat="0" applyProtection="0">
      <alignment horizontal="right" vertical="center"/>
    </xf>
    <xf numFmtId="0" fontId="1" fillId="13" borderId="71" applyNumberFormat="0" applyProtection="0">
      <alignment horizontal="left" vertical="center" indent="1"/>
    </xf>
    <xf numFmtId="0" fontId="1" fillId="11" borderId="69" applyNumberFormat="0" applyProtection="0">
      <alignment horizontal="left" vertical="center" indent="1"/>
    </xf>
    <xf numFmtId="0" fontId="31" fillId="42" borderId="69" applyNumberFormat="0" applyProtection="0">
      <alignment horizontal="right" vertical="center"/>
    </xf>
    <xf numFmtId="0" fontId="31" fillId="37" borderId="69" applyNumberFormat="0" applyProtection="0">
      <alignment horizontal="right" vertical="center"/>
    </xf>
    <xf numFmtId="0" fontId="31" fillId="42" borderId="69" applyNumberFormat="0" applyProtection="0">
      <alignment horizontal="right" vertical="center"/>
    </xf>
    <xf numFmtId="0" fontId="31" fillId="41" borderId="69" applyNumberFormat="0" applyProtection="0">
      <alignment horizontal="right" vertical="center"/>
    </xf>
    <xf numFmtId="0" fontId="1" fillId="11" borderId="69" applyNumberFormat="0" applyProtection="0">
      <alignment horizontal="left" vertical="top" indent="1"/>
    </xf>
    <xf numFmtId="0" fontId="31" fillId="38" borderId="69" applyNumberFormat="0" applyProtection="0">
      <alignment horizontal="right" vertical="center"/>
    </xf>
    <xf numFmtId="0" fontId="31" fillId="38" borderId="69" applyNumberFormat="0" applyProtection="0">
      <alignment horizontal="right" vertical="center"/>
    </xf>
    <xf numFmtId="0" fontId="31" fillId="41" borderId="69" applyNumberFormat="0" applyProtection="0">
      <alignment horizontal="right" vertical="center"/>
    </xf>
    <xf numFmtId="0" fontId="31" fillId="25" borderId="69" applyNumberFormat="0" applyProtection="0">
      <alignment horizontal="right" vertical="center"/>
    </xf>
    <xf numFmtId="0" fontId="31" fillId="38" borderId="69" applyNumberFormat="0" applyProtection="0">
      <alignment horizontal="right" vertical="center"/>
    </xf>
    <xf numFmtId="0" fontId="31" fillId="40" borderId="69" applyNumberFormat="0" applyProtection="0">
      <alignment horizontal="right" vertical="center"/>
    </xf>
    <xf numFmtId="43" fontId="53" fillId="0" borderId="0" applyFont="0" applyFill="0" applyBorder="0" applyProtection="0"/>
    <xf numFmtId="0" fontId="31" fillId="42" borderId="69" applyNumberFormat="0" applyProtection="0">
      <alignment horizontal="right" vertical="center"/>
    </xf>
    <xf numFmtId="0" fontId="31" fillId="38" borderId="69" applyNumberFormat="0" applyProtection="0">
      <alignment horizontal="right" vertical="center"/>
    </xf>
    <xf numFmtId="0" fontId="1" fillId="34" borderId="69" applyNumberFormat="0" applyProtection="0">
      <alignment horizontal="left" vertical="top" indent="1"/>
    </xf>
    <xf numFmtId="0" fontId="1" fillId="34" borderId="69" applyNumberFormat="0" applyProtection="0">
      <alignment horizontal="left" vertical="top" indent="1"/>
    </xf>
    <xf numFmtId="43" fontId="25" fillId="0" borderId="0" applyFont="0" applyFill="0" applyBorder="0" applyProtection="0"/>
    <xf numFmtId="41" fontId="25" fillId="0" borderId="0" applyFont="0" applyFill="0" applyBorder="0" applyAlignment="0" applyProtection="0"/>
    <xf numFmtId="0" fontId="1" fillId="44" borderId="71" applyNumberFormat="0" applyProtection="0">
      <alignment horizontal="left" vertical="top" indent="1"/>
    </xf>
    <xf numFmtId="0" fontId="1" fillId="34" borderId="69" applyNumberFormat="0" applyProtection="0">
      <alignment horizontal="left" vertical="center" indent="1"/>
    </xf>
    <xf numFmtId="0" fontId="31" fillId="39" borderId="69" applyNumberFormat="0" applyProtection="0">
      <alignment horizontal="right" vertical="center"/>
    </xf>
    <xf numFmtId="0" fontId="1" fillId="44" borderId="71" applyNumberFormat="0" applyProtection="0">
      <alignment horizontal="left" vertical="center" indent="1"/>
    </xf>
    <xf numFmtId="0" fontId="1" fillId="11" borderId="69" applyNumberFormat="0" applyProtection="0">
      <alignment horizontal="left" vertical="center" indent="1"/>
    </xf>
    <xf numFmtId="0" fontId="31" fillId="34" borderId="69" applyNumberFormat="0" applyProtection="0">
      <alignment horizontal="right" vertical="center"/>
    </xf>
    <xf numFmtId="0" fontId="31" fillId="34" borderId="69" applyNumberFormat="0" applyProtection="0">
      <alignment horizontal="right" vertical="center"/>
    </xf>
    <xf numFmtId="0" fontId="1" fillId="44" borderId="71" applyNumberFormat="0" applyProtection="0">
      <alignment horizontal="left" vertical="top" indent="1"/>
    </xf>
    <xf numFmtId="0" fontId="31" fillId="34" borderId="69" applyNumberFormat="0" applyProtection="0">
      <alignment horizontal="righ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31" fillId="16" borderId="69" applyNumberFormat="0" applyProtection="0">
      <alignment vertical="center"/>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top"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4" fontId="25" fillId="0" borderId="37">
      <alignment horizontal="right"/>
    </xf>
    <xf numFmtId="4" fontId="25" fillId="0" borderId="37">
      <alignment horizontal="right"/>
    </xf>
    <xf numFmtId="4" fontId="25" fillId="0" borderId="37">
      <alignment horizontal="right"/>
    </xf>
    <xf numFmtId="4" fontId="25" fillId="0" borderId="37">
      <alignment horizontal="right"/>
    </xf>
    <xf numFmtId="4" fontId="25" fillId="0" borderId="37">
      <alignment horizontal="right"/>
    </xf>
    <xf numFmtId="4" fontId="25" fillId="0" borderId="37">
      <alignment horizontal="right"/>
    </xf>
    <xf numFmtId="4" fontId="25" fillId="0" borderId="37">
      <alignment horizontal="right"/>
    </xf>
    <xf numFmtId="4" fontId="25" fillId="0" borderId="37">
      <alignment horizontal="right"/>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44" borderId="69" applyNumberFormat="0" applyProtection="0">
      <alignment horizontal="left" vertical="center" indent="1"/>
    </xf>
    <xf numFmtId="0" fontId="1" fillId="13" borderId="69" applyNumberFormat="0" applyProtection="0">
      <alignment horizontal="left" vertical="top" indent="1"/>
    </xf>
    <xf numFmtId="0" fontId="1" fillId="13" borderId="69" applyNumberFormat="0" applyProtection="0">
      <alignment horizontal="left" vertical="top" indent="1"/>
    </xf>
    <xf numFmtId="0" fontId="1" fillId="13" borderId="69" applyNumberFormat="0" applyProtection="0">
      <alignment horizontal="left" vertical="top" indent="1"/>
    </xf>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25"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0" fontId="1" fillId="13" borderId="69" applyNumberFormat="0" applyProtection="0">
      <alignment horizontal="left" vertical="top" indent="1"/>
    </xf>
    <xf numFmtId="43" fontId="53" fillId="0" borderId="0" applyFont="0" applyFill="0" applyBorder="0" applyProtection="0"/>
    <xf numFmtId="43" fontId="53" fillId="0" borderId="0" applyFont="0" applyFill="0" applyBorder="0" applyProtection="0"/>
    <xf numFmtId="43" fontId="53"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1" fontId="25"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25" fillId="0" borderId="0" applyFont="0" applyFill="0" applyBorder="0" applyAlignment="0" applyProtection="0"/>
    <xf numFmtId="41" fontId="72" fillId="0" borderId="0" applyFont="0" applyFill="0" applyBorder="0" applyAlignment="0" applyProtection="0"/>
    <xf numFmtId="41" fontId="72" fillId="0" borderId="0" applyFont="0" applyFill="0" applyBorder="0" applyAlignment="0" applyProtection="0"/>
    <xf numFmtId="43" fontId="1"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41" fontId="25" fillId="0" borderId="0" applyFont="0" applyFill="0" applyBorder="0" applyAlignment="0" applyProtection="0"/>
    <xf numFmtId="0" fontId="1" fillId="13" borderId="69" applyNumberFormat="0" applyProtection="0">
      <alignment horizontal="left" vertical="top" indent="1"/>
    </xf>
    <xf numFmtId="43" fontId="5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Protection="0"/>
    <xf numFmtId="41" fontId="1" fillId="0" borderId="0" applyFont="0" applyFill="0" applyBorder="0" applyAlignment="0" applyProtection="0"/>
    <xf numFmtId="41" fontId="1" fillId="0" borderId="0" applyFont="0" applyFill="0" applyBorder="0" applyAlignment="0" applyProtection="0"/>
    <xf numFmtId="43" fontId="53"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0" fontId="1" fillId="13" borderId="69" applyNumberFormat="0" applyProtection="0">
      <alignment horizontal="left" vertical="top" indent="1"/>
    </xf>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Protection="0"/>
    <xf numFmtId="43" fontId="1" fillId="0" borderId="0" applyFont="0" applyFill="0" applyBorder="0" applyAlignment="0" applyProtection="0"/>
    <xf numFmtId="43" fontId="1"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1"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74" fillId="0" borderId="0" applyFont="0" applyFill="0" applyBorder="0" applyProtection="0"/>
    <xf numFmtId="43" fontId="55" fillId="0" borderId="0" applyFont="0" applyFill="0" applyBorder="0" applyAlignment="0" applyProtection="0"/>
    <xf numFmtId="43" fontId="55" fillId="0" borderId="0" applyFont="0" applyFill="0" applyBorder="0" applyAlignment="0" applyProtection="0"/>
    <xf numFmtId="43" fontId="74" fillId="0" borderId="0" applyFont="0" applyFill="0" applyBorder="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25"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0" fontId="1" fillId="13" borderId="69" applyNumberFormat="0" applyProtection="0">
      <alignment horizontal="left" vertical="top" indent="1"/>
    </xf>
    <xf numFmtId="0" fontId="1" fillId="13" borderId="69" applyNumberFormat="0" applyProtection="0">
      <alignment horizontal="left" vertical="top" indent="1"/>
    </xf>
    <xf numFmtId="0" fontId="1" fillId="13" borderId="69" applyNumberFormat="0" applyProtection="0">
      <alignment horizontal="left" vertical="top" indent="1"/>
    </xf>
    <xf numFmtId="0" fontId="1" fillId="13" borderId="69" applyNumberFormat="0" applyProtection="0">
      <alignment horizontal="left" vertical="top" indent="1"/>
    </xf>
    <xf numFmtId="0" fontId="1" fillId="13" borderId="69" applyNumberFormat="0" applyProtection="0">
      <alignment horizontal="left" vertical="top" indent="1"/>
    </xf>
    <xf numFmtId="0" fontId="1" fillId="13" borderId="69" applyNumberFormat="0" applyProtection="0">
      <alignment horizontal="left" vertical="top" indent="1"/>
    </xf>
    <xf numFmtId="0" fontId="1" fillId="13" borderId="69" applyNumberFormat="0" applyProtection="0">
      <alignment horizontal="left" vertical="top" indent="1"/>
    </xf>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25" fillId="0" borderId="37" applyAlignment="0"/>
    <xf numFmtId="0" fontId="1" fillId="13" borderId="69" applyNumberFormat="0" applyProtection="0">
      <alignment horizontal="left" vertical="center" indent="1"/>
    </xf>
    <xf numFmtId="0" fontId="1" fillId="13" borderId="69" applyNumberFormat="0" applyProtection="0">
      <alignment horizontal="left" vertical="center" indent="1"/>
    </xf>
    <xf numFmtId="0" fontId="77" fillId="30" borderId="37"/>
    <xf numFmtId="0" fontId="77" fillId="30" borderId="37"/>
    <xf numFmtId="0" fontId="77" fillId="30" borderId="37"/>
    <xf numFmtId="0" fontId="77" fillId="30" borderId="37"/>
    <xf numFmtId="0" fontId="77" fillId="30" borderId="37"/>
    <xf numFmtId="0" fontId="77" fillId="30" borderId="37"/>
    <xf numFmtId="0" fontId="77" fillId="30" borderId="37"/>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13" borderId="69" applyNumberFormat="0" applyProtection="0">
      <alignment horizontal="left" vertical="center"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top" indent="1"/>
    </xf>
    <xf numFmtId="0" fontId="1" fillId="34" borderId="69" applyNumberFormat="0" applyProtection="0">
      <alignment horizontal="left" vertical="center" indent="1"/>
    </xf>
    <xf numFmtId="0" fontId="77" fillId="16" borderId="37" applyNumberFormat="0" applyBorder="0" applyAlignment="0" applyProtection="0"/>
    <xf numFmtId="0" fontId="77" fillId="16" borderId="37" applyNumberFormat="0" applyBorder="0" applyAlignment="0" applyProtection="0"/>
    <xf numFmtId="0" fontId="77" fillId="16" borderId="37" applyNumberFormat="0" applyBorder="0" applyAlignment="0" applyProtection="0"/>
    <xf numFmtId="0" fontId="77" fillId="16" borderId="37" applyNumberFormat="0" applyBorder="0" applyAlignment="0" applyProtection="0"/>
    <xf numFmtId="0" fontId="77" fillId="16" borderId="37" applyNumberFormat="0" applyBorder="0" applyAlignment="0" applyProtection="0"/>
    <xf numFmtId="0" fontId="77" fillId="16" borderId="37" applyNumberFormat="0" applyBorder="0" applyAlignment="0" applyProtection="0"/>
    <xf numFmtId="0" fontId="77" fillId="16" borderId="37" applyNumberFormat="0" applyBorder="0" applyAlignment="0" applyProtection="0"/>
    <xf numFmtId="0" fontId="1" fillId="34" borderId="69" applyNumberFormat="0" applyProtection="0">
      <alignment horizontal="left" vertical="center" indent="1"/>
    </xf>
    <xf numFmtId="0" fontId="1" fillId="34" borderId="69" applyNumberFormat="0" applyProtection="0">
      <alignment horizontal="left" vertical="center" indent="1"/>
    </xf>
    <xf numFmtId="0" fontId="1" fillId="34" borderId="69" applyNumberFormat="0" applyProtection="0">
      <alignment horizontal="left" vertical="center" indent="1"/>
    </xf>
    <xf numFmtId="0" fontId="1" fillId="34" borderId="69" applyNumberFormat="0" applyProtection="0">
      <alignment horizontal="left" vertical="center" indent="1"/>
    </xf>
    <xf numFmtId="0" fontId="1" fillId="34" borderId="69" applyNumberFormat="0" applyProtection="0">
      <alignment horizontal="left" vertical="center" indent="1"/>
    </xf>
    <xf numFmtId="0" fontId="25" fillId="0" borderId="0" applyAlignment="0"/>
    <xf numFmtId="0" fontId="1" fillId="34" borderId="69" applyNumberFormat="0" applyProtection="0">
      <alignment horizontal="left" vertical="center" indent="1"/>
    </xf>
    <xf numFmtId="0" fontId="1" fillId="34" borderId="69" applyNumberFormat="0" applyProtection="0">
      <alignment horizontal="left" vertical="center" indent="1"/>
    </xf>
    <xf numFmtId="0" fontId="1" fillId="34" borderId="69" applyNumberFormat="0" applyProtection="0">
      <alignment horizontal="left" vertical="center" indent="1"/>
    </xf>
    <xf numFmtId="0" fontId="1" fillId="34" borderId="69" applyNumberFormat="0" applyProtection="0">
      <alignment horizontal="left" vertical="center"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25" fillId="0" borderId="0"/>
    <xf numFmtId="0" fontId="25" fillId="0" borderId="0"/>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top"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1" fillId="11" borderId="69" applyNumberFormat="0" applyProtection="0">
      <alignment horizontal="left" vertical="center" indent="1"/>
    </xf>
    <xf numFmtId="0" fontId="31" fillId="34" borderId="69" applyNumberFormat="0" applyProtection="0">
      <alignment horizontal="right" vertical="center"/>
    </xf>
    <xf numFmtId="0" fontId="31" fillId="34" borderId="69" applyNumberFormat="0" applyProtection="0">
      <alignment horizontal="right" vertical="center"/>
    </xf>
    <xf numFmtId="0" fontId="25" fillId="0" borderId="0"/>
    <xf numFmtId="0" fontId="25" fillId="0" borderId="0"/>
    <xf numFmtId="0" fontId="25" fillId="0" borderId="0">
      <alignment vertical="center"/>
    </xf>
    <xf numFmtId="0" fontId="31" fillId="34" borderId="69" applyNumberFormat="0" applyProtection="0">
      <alignment horizontal="right" vertical="center"/>
    </xf>
    <xf numFmtId="0" fontId="31" fillId="34" borderId="69" applyNumberFormat="0" applyProtection="0">
      <alignment horizontal="right" vertical="center"/>
    </xf>
    <xf numFmtId="0" fontId="31" fillId="34" borderId="69" applyNumberFormat="0" applyProtection="0">
      <alignment horizontal="right" vertical="center"/>
    </xf>
    <xf numFmtId="0" fontId="31" fillId="34" borderId="69" applyNumberFormat="0" applyProtection="0">
      <alignment horizontal="right" vertical="center"/>
    </xf>
    <xf numFmtId="0" fontId="31" fillId="42" borderId="69" applyNumberFormat="0" applyProtection="0">
      <alignment horizontal="right" vertical="center"/>
    </xf>
    <xf numFmtId="0" fontId="25" fillId="0" borderId="0"/>
    <xf numFmtId="0" fontId="31" fillId="42" borderId="69" applyNumberFormat="0" applyProtection="0">
      <alignment horizontal="right" vertical="center"/>
    </xf>
    <xf numFmtId="0" fontId="31" fillId="42" borderId="69" applyNumberFormat="0" applyProtection="0">
      <alignment horizontal="right" vertical="center"/>
    </xf>
    <xf numFmtId="0" fontId="31" fillId="42" borderId="69" applyNumberFormat="0" applyProtection="0">
      <alignment horizontal="right" vertical="center"/>
    </xf>
    <xf numFmtId="0" fontId="31" fillId="42" borderId="69" applyNumberFormat="0" applyProtection="0">
      <alignment horizontal="right" vertical="center"/>
    </xf>
    <xf numFmtId="0" fontId="31" fillId="42" borderId="69" applyNumberFormat="0" applyProtection="0">
      <alignment horizontal="right" vertical="center"/>
    </xf>
    <xf numFmtId="0" fontId="31" fillId="42" borderId="69" applyNumberFormat="0" applyProtection="0">
      <alignment horizontal="right" vertical="center"/>
    </xf>
    <xf numFmtId="0" fontId="31" fillId="42" borderId="69" applyNumberFormat="0" applyProtection="0">
      <alignment horizontal="right" vertical="center"/>
    </xf>
    <xf numFmtId="0" fontId="25" fillId="0" borderId="0"/>
    <xf numFmtId="0" fontId="31" fillId="42" borderId="69" applyNumberFormat="0" applyProtection="0">
      <alignment horizontal="right" vertical="center"/>
    </xf>
    <xf numFmtId="0" fontId="31" fillId="42" borderId="69" applyNumberFormat="0" applyProtection="0">
      <alignment horizontal="right" vertical="center"/>
    </xf>
    <xf numFmtId="0" fontId="31" fillId="42"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1"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40"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39"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25" borderId="69" applyNumberFormat="0" applyProtection="0">
      <alignment horizontal="right" vertical="center"/>
    </xf>
    <xf numFmtId="0" fontId="31" fillId="38" borderId="69" applyNumberFormat="0" applyProtection="0">
      <alignment horizontal="right" vertical="center"/>
    </xf>
    <xf numFmtId="0" fontId="31" fillId="38" borderId="69" applyNumberFormat="0" applyProtection="0">
      <alignment horizontal="right" vertical="center"/>
    </xf>
    <xf numFmtId="0" fontId="31" fillId="38" borderId="69" applyNumberFormat="0" applyProtection="0">
      <alignment horizontal="right" vertical="center"/>
    </xf>
    <xf numFmtId="0" fontId="31" fillId="38" borderId="69" applyNumberFormat="0" applyProtection="0">
      <alignment horizontal="right" vertical="center"/>
    </xf>
    <xf numFmtId="0" fontId="31" fillId="38" borderId="69" applyNumberFormat="0" applyProtection="0">
      <alignment horizontal="right" vertical="center"/>
    </xf>
    <xf numFmtId="0" fontId="31" fillId="38" borderId="69" applyNumberFormat="0" applyProtection="0">
      <alignment horizontal="right" vertical="center"/>
    </xf>
    <xf numFmtId="0" fontId="31" fillId="38" borderId="69" applyNumberFormat="0" applyProtection="0">
      <alignment horizontal="right" vertical="center"/>
    </xf>
    <xf numFmtId="0" fontId="31" fillId="38" borderId="69" applyNumberFormat="0" applyProtection="0">
      <alignment horizontal="right" vertical="center"/>
    </xf>
    <xf numFmtId="0" fontId="31" fillId="38"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77" fillId="17" borderId="37"/>
    <xf numFmtId="0" fontId="77" fillId="17" borderId="37"/>
    <xf numFmtId="0" fontId="77" fillId="17" borderId="37"/>
    <xf numFmtId="0" fontId="77" fillId="17" borderId="37"/>
    <xf numFmtId="0" fontId="77" fillId="17" borderId="37"/>
    <xf numFmtId="0" fontId="77" fillId="17" borderId="37"/>
    <xf numFmtId="0" fontId="77" fillId="17" borderId="37"/>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7"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6"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31" fillId="35" borderId="69" applyNumberFormat="0" applyProtection="0">
      <alignment horizontal="right" vertical="center"/>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top"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42" fillId="33" borderId="69" applyNumberFormat="0" applyProtection="0">
      <alignment horizontal="left" vertical="center" indent="1"/>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88"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42" fillId="33" borderId="69" applyNumberFormat="0" applyProtection="0">
      <alignment vertical="center"/>
    </xf>
    <xf numFmtId="0" fontId="81" fillId="0" borderId="70">
      <alignment horizontal="left" vertical="center"/>
    </xf>
    <xf numFmtId="0" fontId="81" fillId="0" borderId="68">
      <alignment horizontal="lef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42"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88" fillId="33" borderId="71" applyNumberFormat="0" applyProtection="0">
      <alignment vertical="center"/>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center"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42" fillId="33" borderId="71" applyNumberFormat="0" applyProtection="0">
      <alignment horizontal="left" vertical="top" indent="1"/>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5"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6"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7"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38"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25"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39"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0"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1"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31" fillId="42" borderId="71" applyNumberFormat="0" applyProtection="0">
      <alignment horizontal="right" vertical="center"/>
    </xf>
    <xf numFmtId="0" fontId="42" fillId="43" borderId="72" applyNumberFormat="0" applyProtection="0">
      <alignment horizontal="left" vertical="center" indent="1"/>
    </xf>
    <xf numFmtId="0" fontId="42" fillId="43" borderId="72" applyNumberFormat="0" applyProtection="0">
      <alignment horizontal="left" vertical="center" indent="1"/>
    </xf>
    <xf numFmtId="0" fontId="42" fillId="43" borderId="72" applyNumberFormat="0" applyProtection="0">
      <alignment horizontal="left" vertical="center" indent="1"/>
    </xf>
    <xf numFmtId="0" fontId="42" fillId="43" borderId="72" applyNumberFormat="0" applyProtection="0">
      <alignment horizontal="left" vertical="center" indent="1"/>
    </xf>
    <xf numFmtId="0" fontId="42" fillId="43" borderId="72" applyNumberFormat="0" applyProtection="0">
      <alignment horizontal="left" vertical="center" indent="1"/>
    </xf>
    <xf numFmtId="0" fontId="42" fillId="43" borderId="72" applyNumberFormat="0" applyProtection="0">
      <alignment horizontal="left" vertical="center" indent="1"/>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0" fontId="31" fillId="34" borderId="71" applyNumberFormat="0" applyProtection="0">
      <alignment horizontal="right" vertical="center"/>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center"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11" borderId="71" applyNumberFormat="0" applyProtection="0">
      <alignment horizontal="left" vertical="top"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center"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1" fillId="34" borderId="71" applyNumberFormat="0" applyProtection="0">
      <alignment horizontal="left" vertical="top" indent="1"/>
    </xf>
    <xf numFmtId="0" fontId="25" fillId="0" borderId="0"/>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center"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25" fillId="0" borderId="0">
      <alignment vertical="center"/>
    </xf>
    <xf numFmtId="0" fontId="1" fillId="13" borderId="71" applyNumberFormat="0" applyProtection="0">
      <alignment horizontal="left" vertical="top" indent="1"/>
    </xf>
    <xf numFmtId="0" fontId="25" fillId="0" borderId="0">
      <alignment vertical="center"/>
    </xf>
    <xf numFmtId="0" fontId="25" fillId="0" borderId="0">
      <alignment vertical="center"/>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13" borderId="71" applyNumberFormat="0" applyProtection="0">
      <alignment horizontal="left" vertical="top"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center"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25" fillId="0" borderId="0">
      <alignment vertical="center"/>
    </xf>
    <xf numFmtId="0" fontId="25" fillId="0" borderId="0">
      <alignment vertical="center"/>
    </xf>
    <xf numFmtId="0" fontId="1" fillId="44" borderId="71" applyNumberFormat="0" applyProtection="0">
      <alignment horizontal="left" vertical="top"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1" fillId="44" borderId="71" applyNumberFormat="0" applyProtection="0">
      <alignment horizontal="left" vertical="top" indent="1"/>
    </xf>
    <xf numFmtId="0" fontId="31" fillId="16" borderId="71" applyNumberFormat="0" applyProtection="0">
      <alignment vertical="center"/>
    </xf>
    <xf numFmtId="0" fontId="31" fillId="16" borderId="71" applyNumberFormat="0" applyProtection="0">
      <alignment vertical="center"/>
    </xf>
    <xf numFmtId="0" fontId="31" fillId="16" borderId="71" applyNumberFormat="0" applyProtection="0">
      <alignment vertical="center"/>
    </xf>
    <xf numFmtId="0" fontId="31" fillId="16" borderId="71" applyNumberFormat="0" applyProtection="0">
      <alignment vertical="center"/>
    </xf>
    <xf numFmtId="0" fontId="31" fillId="16" borderId="71" applyNumberFormat="0" applyProtection="0">
      <alignment vertical="center"/>
    </xf>
    <xf numFmtId="0" fontId="31" fillId="16" borderId="71" applyNumberFormat="0" applyProtection="0">
      <alignment vertical="center"/>
    </xf>
    <xf numFmtId="0" fontId="31" fillId="16" borderId="71" applyNumberFormat="0" applyProtection="0">
      <alignment vertical="center"/>
    </xf>
    <xf numFmtId="0" fontId="31" fillId="16" borderId="71" applyNumberFormat="0" applyProtection="0">
      <alignment vertical="center"/>
    </xf>
    <xf numFmtId="0" fontId="31" fillId="16" borderId="71" applyNumberFormat="0" applyProtection="0">
      <alignment vertical="center"/>
    </xf>
    <xf numFmtId="0" fontId="58" fillId="0" borderId="0" applyNumberFormat="0" applyFill="0" applyBorder="0" applyAlignment="0" applyProtection="0"/>
    <xf numFmtId="0" fontId="31" fillId="16" borderId="71" applyNumberFormat="0" applyProtection="0">
      <alignment vertical="center"/>
    </xf>
    <xf numFmtId="0" fontId="31" fillId="16" borderId="71" applyNumberFormat="0" applyProtection="0">
      <alignment vertical="center"/>
    </xf>
    <xf numFmtId="0" fontId="31"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58"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1" fillId="13" borderId="71" applyNumberFormat="0" applyProtection="0">
      <alignment horizontal="left" vertical="center" indent="1"/>
    </xf>
    <xf numFmtId="0" fontId="31" fillId="34" borderId="71" applyNumberFormat="0" applyProtection="0">
      <alignment horizontal="right" vertical="center"/>
    </xf>
    <xf numFmtId="0" fontId="31" fillId="41" borderId="71" applyNumberFormat="0" applyProtection="0">
      <alignment horizontal="right" vertical="center"/>
    </xf>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3" fillId="0" borderId="0" applyFont="0" applyFill="0" applyBorder="0" applyProtection="0"/>
    <xf numFmtId="43" fontId="1" fillId="0" borderId="0" applyFont="0" applyFill="0" applyBorder="0" applyAlignment="0" applyProtection="0"/>
    <xf numFmtId="43" fontId="61" fillId="0" borderId="0" applyFont="0" applyAlignment="0" applyProtection="0"/>
    <xf numFmtId="43" fontId="61" fillId="0" borderId="0" applyFont="0" applyAlignment="0" applyProtection="0"/>
    <xf numFmtId="43" fontId="61" fillId="0" borderId="0" applyFont="0" applyAlignment="0" applyProtection="0"/>
    <xf numFmtId="43" fontId="55" fillId="0" borderId="0" applyFont="0" applyFill="0" applyBorder="0" applyAlignment="0" applyProtection="0"/>
    <xf numFmtId="43" fontId="55" fillId="0" borderId="0" applyFont="0" applyFill="0" applyBorder="0" applyAlignment="0" applyProtection="0"/>
    <xf numFmtId="43" fontId="61" fillId="0" borderId="0" applyFont="0" applyAlignment="0" applyProtection="0"/>
    <xf numFmtId="43" fontId="1" fillId="0" borderId="0" applyFont="0" applyFill="0" applyBorder="0" applyAlignment="0" applyProtection="0"/>
    <xf numFmtId="43" fontId="1"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1"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1"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1"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5" fillId="0" borderId="0" applyFont="0" applyFill="0" applyBorder="0" applyAlignment="0" applyProtection="0"/>
    <xf numFmtId="43" fontId="25" fillId="0" borderId="0" applyFont="0" applyFill="0" applyBorder="0" applyProtection="0"/>
    <xf numFmtId="43" fontId="53" fillId="0" borderId="0" applyFont="0" applyFill="0" applyBorder="0" applyAlignment="0" applyProtection="0"/>
    <xf numFmtId="43" fontId="53" fillId="0" borderId="0" applyFont="0" applyFill="0" applyBorder="0" applyAlignment="0" applyProtection="0"/>
    <xf numFmtId="43" fontId="25" fillId="0" borderId="0" applyFont="0" applyFill="0" applyBorder="0" applyProtection="0"/>
    <xf numFmtId="43" fontId="25" fillId="0" borderId="0" applyFont="0" applyFill="0" applyBorder="0" applyProtection="0"/>
    <xf numFmtId="43" fontId="25" fillId="0" borderId="0" applyFont="0" applyFill="0" applyBorder="0" applyProtection="0"/>
    <xf numFmtId="43"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xf numFmtId="43" fontId="25" fillId="0" borderId="0" applyFont="0" applyFill="0" applyBorder="0" applyProtection="0"/>
    <xf numFmtId="43" fontId="25" fillId="0" borderId="0" applyFont="0" applyFill="0" applyBorder="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25" fillId="0" borderId="0" applyFont="0" applyFill="0" applyBorder="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25" fillId="0" borderId="0" applyFont="0" applyFill="0" applyBorder="0" applyProtection="0"/>
    <xf numFmtId="43" fontId="53" fillId="0" borderId="0" applyFont="0" applyFill="0" applyBorder="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3" fillId="0" borderId="0" applyFont="0" applyFill="0" applyBorder="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41" fontId="55" fillId="0" borderId="0" applyFont="0" applyFill="0" applyBorder="0" applyAlignment="0" applyProtection="0"/>
    <xf numFmtId="0" fontId="31" fillId="36" borderId="71" applyNumberFormat="0" applyProtection="0">
      <alignment horizontal="right" vertical="center"/>
    </xf>
    <xf numFmtId="0" fontId="31" fillId="25" borderId="71" applyNumberFormat="0" applyProtection="0">
      <alignment horizontal="right" vertical="center"/>
    </xf>
    <xf numFmtId="0" fontId="31" fillId="41" borderId="71" applyNumberFormat="0" applyProtection="0">
      <alignment horizontal="right" vertical="center"/>
    </xf>
    <xf numFmtId="43" fontId="53" fillId="0" borderId="0" applyFont="0" applyFill="0" applyBorder="0" applyProtection="0"/>
    <xf numFmtId="0" fontId="25" fillId="0" borderId="0"/>
    <xf numFmtId="0" fontId="25" fillId="0" borderId="0"/>
    <xf numFmtId="0" fontId="31" fillId="42" borderId="71" applyNumberFormat="0" applyProtection="0">
      <alignment horizontal="right" vertical="center"/>
    </xf>
    <xf numFmtId="0" fontId="1" fillId="0" borderId="37" applyNumberFormat="0"/>
    <xf numFmtId="0" fontId="1" fillId="0" borderId="37" applyNumberFormat="0"/>
    <xf numFmtId="0" fontId="1" fillId="0" borderId="37" applyNumberFormat="0"/>
    <xf numFmtId="0" fontId="1" fillId="0" borderId="37" applyNumberFormat="0"/>
    <xf numFmtId="0" fontId="1" fillId="0" borderId="37" applyNumberFormat="0"/>
    <xf numFmtId="0" fontId="1" fillId="0" borderId="37" applyNumberFormat="0"/>
    <xf numFmtId="0" fontId="1" fillId="0" borderId="37" applyNumberFormat="0"/>
    <xf numFmtId="0" fontId="31" fillId="42" borderId="71" applyNumberFormat="0" applyProtection="0">
      <alignment horizontal="right" vertical="center"/>
    </xf>
    <xf numFmtId="0" fontId="53" fillId="0" borderId="0"/>
    <xf numFmtId="0" fontId="31" fillId="34" borderId="69" applyNumberFormat="0" applyProtection="0">
      <alignment horizontal="righ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90" fillId="16" borderId="69" applyNumberFormat="0" applyProtection="0">
      <alignment vertical="center"/>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center"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16" borderId="69" applyNumberFormat="0" applyProtection="0">
      <alignment horizontal="left" vertical="top" indent="1"/>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31"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90" fillId="44" borderId="69" applyNumberFormat="0" applyProtection="0">
      <alignment horizontal="right" vertical="center"/>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center"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1" fillId="34" borderId="69" applyNumberFormat="0" applyProtection="0">
      <alignment horizontal="left" vertical="top" indent="1"/>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0" fontId="36" fillId="44" borderId="69" applyNumberFormat="0" applyProtection="0">
      <alignment horizontal="right" vertical="center"/>
    </xf>
    <xf numFmtId="43" fontId="53" fillId="0" borderId="0" applyFont="0" applyFill="0" applyBorder="0" applyProtection="0"/>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90" fillId="16" borderId="71" applyNumberFormat="0" applyProtection="0">
      <alignment vertical="center"/>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center"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16" borderId="71" applyNumberFormat="0" applyProtection="0">
      <alignment horizontal="left" vertical="top" indent="1"/>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31"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90" fillId="44" borderId="71" applyNumberFormat="0" applyProtection="0">
      <alignment horizontal="right" vertical="center"/>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center"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1" fillId="34" borderId="71" applyNumberFormat="0" applyProtection="0">
      <alignment horizontal="left" vertical="top" indent="1"/>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36" fillId="44" borderId="71" applyNumberFormat="0" applyProtection="0">
      <alignment horizontal="right" vertical="center"/>
    </xf>
    <xf numFmtId="0" fontId="146" fillId="0" borderId="0" applyNumberFormat="0" applyFill="0" applyBorder="0" applyAlignment="0" applyProtection="0"/>
  </cellStyleXfs>
  <cellXfs count="887">
    <xf numFmtId="0" fontId="0" fillId="0" borderId="0" xfId="0"/>
    <xf numFmtId="0" fontId="1" fillId="0" borderId="0" xfId="1" applyFont="1"/>
    <xf numFmtId="0" fontId="2" fillId="2" borderId="0" xfId="0" applyFont="1" applyFill="1" applyAlignment="1" applyProtection="1">
      <alignment vertical="center"/>
      <protection locked="0"/>
    </xf>
    <xf numFmtId="0" fontId="1" fillId="0" borderId="0" xfId="0" applyFont="1" applyAlignment="1" applyProtection="1">
      <alignment horizontal="center" vertical="center" wrapText="1"/>
      <protection locked="0"/>
    </xf>
    <xf numFmtId="0" fontId="1" fillId="0" borderId="0" xfId="0" applyFont="1" applyAlignment="1" applyProtection="1">
      <alignment vertical="center"/>
      <protection locked="0"/>
    </xf>
    <xf numFmtId="0" fontId="2" fillId="0" borderId="0" xfId="0" applyFont="1" applyAlignment="1" applyProtection="1">
      <alignment vertical="center"/>
      <protection locked="0"/>
    </xf>
    <xf numFmtId="0" fontId="2" fillId="0" borderId="0" xfId="2" applyFont="1">
      <alignment vertical="center"/>
    </xf>
    <xf numFmtId="0" fontId="2" fillId="0" borderId="0" xfId="2" applyFont="1" applyAlignment="1">
      <alignment vertical="center" shrinkToFit="1"/>
    </xf>
    <xf numFmtId="164" fontId="1" fillId="0" borderId="0" xfId="2" applyNumberFormat="1" applyFont="1" applyAlignment="1">
      <alignment vertical="center" shrinkToFit="1"/>
    </xf>
    <xf numFmtId="0" fontId="1" fillId="0" borderId="0" xfId="2" applyFont="1">
      <alignment vertical="center"/>
    </xf>
    <xf numFmtId="0" fontId="1" fillId="0" borderId="0" xfId="3" applyFont="1" applyAlignment="1" applyProtection="1">
      <alignment horizontal="center" vertical="center" wrapText="1"/>
      <protection locked="0"/>
    </xf>
    <xf numFmtId="164" fontId="1" fillId="0" borderId="0" xfId="3" applyNumberFormat="1" applyFont="1" applyAlignment="1" applyProtection="1">
      <alignment horizontal="right" vertical="center" shrinkToFit="1"/>
      <protection locked="0"/>
    </xf>
    <xf numFmtId="164" fontId="1" fillId="0" borderId="0" xfId="4" applyFont="1" applyFill="1" applyAlignment="1" applyProtection="1">
      <alignment horizontal="right" vertical="center" shrinkToFit="1"/>
      <protection locked="0"/>
    </xf>
    <xf numFmtId="0" fontId="2" fillId="0" borderId="0" xfId="5" applyFont="1" applyAlignment="1">
      <alignment vertical="center"/>
    </xf>
    <xf numFmtId="0" fontId="1" fillId="0" borderId="0" xfId="6" applyFont="1" applyAlignment="1" applyProtection="1">
      <alignment horizontal="center" vertical="center" wrapText="1"/>
      <protection locked="0"/>
    </xf>
    <xf numFmtId="164" fontId="1" fillId="0" borderId="0" xfId="6" applyNumberFormat="1" applyFont="1" applyAlignment="1" applyProtection="1">
      <alignment horizontal="right" vertical="center" shrinkToFit="1"/>
      <protection locked="0"/>
    </xf>
    <xf numFmtId="164" fontId="1" fillId="0" borderId="0" xfId="7" applyFont="1" applyFill="1" applyAlignment="1" applyProtection="1">
      <alignment horizontal="right" vertical="center" shrinkToFit="1"/>
      <protection locked="0"/>
    </xf>
    <xf numFmtId="0" fontId="1" fillId="0" borderId="0" xfId="3" applyFont="1" applyAlignment="1" applyProtection="1">
      <alignment horizontal="center" vertical="center"/>
      <protection locked="0"/>
    </xf>
    <xf numFmtId="0" fontId="1" fillId="0" borderId="0" xfId="8" applyFont="1" applyAlignment="1" applyProtection="1">
      <alignment horizontal="center" vertical="center"/>
      <protection locked="0"/>
    </xf>
    <xf numFmtId="0" fontId="1" fillId="0" borderId="0" xfId="6" applyFont="1" applyAlignment="1" applyProtection="1">
      <alignment horizontal="center" vertical="center"/>
      <protection locked="0"/>
    </xf>
    <xf numFmtId="0" fontId="2" fillId="0" borderId="0" xfId="0" applyFont="1" applyAlignment="1">
      <alignment vertical="center"/>
    </xf>
    <xf numFmtId="0" fontId="1" fillId="0" borderId="0" xfId="0" applyFont="1"/>
    <xf numFmtId="164" fontId="2" fillId="0" borderId="0" xfId="7" applyFont="1" applyBorder="1" applyAlignment="1">
      <alignment vertical="center"/>
    </xf>
    <xf numFmtId="0" fontId="2" fillId="2" borderId="0" xfId="10" applyFont="1" applyFill="1" applyAlignment="1">
      <alignment vertical="center"/>
    </xf>
    <xf numFmtId="0" fontId="2" fillId="0" borderId="0" xfId="10" applyFont="1" applyAlignment="1" applyProtection="1">
      <alignment vertical="center"/>
      <protection locked="0"/>
    </xf>
    <xf numFmtId="0" fontId="2" fillId="2" borderId="0" xfId="10" applyFont="1" applyFill="1" applyAlignment="1">
      <alignment horizontal="left" vertical="center" wrapText="1"/>
    </xf>
    <xf numFmtId="0" fontId="2" fillId="2" borderId="0" xfId="10" applyFont="1" applyFill="1" applyAlignment="1">
      <alignment vertical="center" wrapText="1"/>
    </xf>
    <xf numFmtId="166" fontId="2" fillId="0" borderId="0" xfId="11" applyFont="1" applyBorder="1" applyAlignment="1">
      <alignment vertical="center"/>
    </xf>
    <xf numFmtId="164" fontId="1" fillId="0" borderId="0" xfId="7" applyFont="1" applyAlignment="1" applyProtection="1">
      <alignment horizontal="right" vertical="center" shrinkToFit="1"/>
      <protection locked="0"/>
    </xf>
    <xf numFmtId="164" fontId="2" fillId="0" borderId="0" xfId="7" applyFont="1" applyAlignment="1">
      <alignment vertical="center"/>
    </xf>
    <xf numFmtId="164" fontId="2" fillId="0" borderId="0" xfId="12" applyFont="1" applyAlignment="1">
      <alignment vertical="center"/>
    </xf>
    <xf numFmtId="164" fontId="2" fillId="0" borderId="0" xfId="13" applyFont="1" applyAlignment="1">
      <alignment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protection locked="0"/>
    </xf>
    <xf numFmtId="0" fontId="2" fillId="0" borderId="0" xfId="0" applyFont="1" applyAlignment="1" applyProtection="1">
      <alignment horizontal="left"/>
      <protection locked="0"/>
    </xf>
    <xf numFmtId="0" fontId="6" fillId="0" borderId="0" xfId="0" applyFont="1" applyAlignment="1" applyProtection="1">
      <alignment horizontal="left" vertical="center"/>
      <protection locked="0"/>
    </xf>
    <xf numFmtId="0" fontId="8" fillId="0" borderId="0" xfId="20" applyFont="1" applyBorder="1" applyAlignment="1" applyProtection="1">
      <alignment horizontal="center" vertical="center"/>
      <protection locked="0"/>
    </xf>
    <xf numFmtId="0" fontId="2" fillId="0" borderId="0" xfId="0" applyFont="1" applyProtection="1">
      <protection locked="0"/>
    </xf>
    <xf numFmtId="0" fontId="8" fillId="0" borderId="0" xfId="1326" applyFont="1" applyBorder="1" applyAlignment="1" applyProtection="1">
      <protection locked="0"/>
    </xf>
    <xf numFmtId="0" fontId="8" fillId="0" borderId="0" xfId="1326" applyFont="1" applyBorder="1" applyAlignment="1" applyProtection="1">
      <alignment vertical="center" wrapText="1"/>
      <protection locked="0"/>
    </xf>
    <xf numFmtId="0" fontId="2" fillId="4" borderId="5" xfId="0" applyFont="1" applyFill="1" applyBorder="1" applyAlignment="1" applyProtection="1">
      <alignment vertical="center"/>
      <protection locked="0"/>
    </xf>
    <xf numFmtId="0" fontId="2" fillId="4" borderId="6" xfId="0" applyFont="1" applyFill="1" applyBorder="1" applyAlignment="1" applyProtection="1">
      <alignment horizontal="left" vertical="center"/>
      <protection locked="0"/>
    </xf>
    <xf numFmtId="0" fontId="2" fillId="2" borderId="0" xfId="0" applyFont="1" applyFill="1" applyAlignment="1" applyProtection="1">
      <alignment horizontal="center" vertical="center"/>
      <protection locked="0"/>
    </xf>
    <xf numFmtId="0" fontId="2" fillId="2" borderId="0" xfId="0" applyFont="1" applyFill="1" applyAlignment="1" applyProtection="1">
      <alignment horizontal="left" vertical="center"/>
      <protection locked="0"/>
    </xf>
    <xf numFmtId="0" fontId="2" fillId="2" borderId="0" xfId="0" applyFont="1" applyFill="1" applyAlignment="1" applyProtection="1">
      <alignment horizontal="left"/>
      <protection locked="0"/>
    </xf>
    <xf numFmtId="0" fontId="2" fillId="0" borderId="0" xfId="0" applyFont="1" applyAlignment="1" applyProtection="1">
      <alignment horizontal="center" vertical="center" wrapText="1"/>
      <protection locked="0"/>
    </xf>
    <xf numFmtId="0" fontId="2" fillId="0" borderId="5" xfId="0" applyFont="1" applyBorder="1" applyAlignment="1" applyProtection="1">
      <alignment horizontal="left" vertical="center"/>
      <protection locked="0"/>
    </xf>
    <xf numFmtId="0" fontId="2" fillId="0" borderId="16" xfId="0" applyFont="1" applyBorder="1" applyAlignment="1" applyProtection="1">
      <alignment horizontal="center" vertical="center"/>
      <protection locked="0"/>
    </xf>
    <xf numFmtId="0" fontId="14" fillId="4" borderId="0" xfId="1326" applyFont="1" applyFill="1" applyAlignment="1" applyProtection="1">
      <alignment vertical="center"/>
    </xf>
    <xf numFmtId="0" fontId="18" fillId="0" borderId="2" xfId="0" applyFont="1" applyBorder="1" applyAlignment="1">
      <alignment vertical="center"/>
    </xf>
    <xf numFmtId="0" fontId="16" fillId="0" borderId="0" xfId="29" applyFont="1" applyAlignment="1">
      <alignment vertical="center"/>
    </xf>
    <xf numFmtId="0" fontId="18" fillId="0" borderId="3" xfId="2" applyFont="1" applyBorder="1">
      <alignment vertical="center"/>
    </xf>
    <xf numFmtId="0" fontId="7" fillId="0" borderId="0" xfId="2" applyFont="1" applyAlignment="1">
      <alignment horizontal="left" vertical="center"/>
    </xf>
    <xf numFmtId="0" fontId="6" fillId="0" borderId="0" xfId="2" applyFont="1" applyAlignment="1">
      <alignment horizontal="center" vertical="center"/>
    </xf>
    <xf numFmtId="0" fontId="13" fillId="0" borderId="0" xfId="0" applyFont="1" applyAlignment="1">
      <alignment vertical="center"/>
    </xf>
    <xf numFmtId="164" fontId="1" fillId="0" borderId="0" xfId="33" applyNumberFormat="1" applyFont="1" applyAlignment="1" applyProtection="1">
      <alignment horizontal="center" vertical="center" shrinkToFit="1"/>
      <protection locked="0"/>
    </xf>
    <xf numFmtId="164" fontId="2" fillId="0" borderId="0" xfId="6" applyNumberFormat="1" applyFont="1" applyAlignment="1" applyProtection="1">
      <alignment horizontal="right" vertical="center" shrinkToFit="1"/>
      <protection locked="0"/>
    </xf>
    <xf numFmtId="0" fontId="1" fillId="0" borderId="0" xfId="38" applyFont="1" applyAlignment="1">
      <alignment vertical="center"/>
    </xf>
    <xf numFmtId="0" fontId="9" fillId="0" borderId="0" xfId="6" applyFont="1" applyAlignment="1" applyProtection="1">
      <alignment horizontal="left" vertical="center"/>
      <protection locked="0"/>
    </xf>
    <xf numFmtId="0" fontId="6" fillId="0" borderId="0" xfId="6" applyFont="1" applyAlignment="1" applyProtection="1">
      <alignment horizontal="left" vertical="center"/>
      <protection locked="0"/>
    </xf>
    <xf numFmtId="0" fontId="28" fillId="0" borderId="0" xfId="39" applyFont="1" applyAlignment="1" applyProtection="1">
      <alignment vertical="center"/>
      <protection locked="0"/>
    </xf>
    <xf numFmtId="0" fontId="2" fillId="0" borderId="0" xfId="3" applyFont="1" applyAlignment="1">
      <alignment vertical="center"/>
    </xf>
    <xf numFmtId="0" fontId="2" fillId="0" borderId="0" xfId="3" applyFont="1" applyAlignment="1" applyProtection="1">
      <alignment vertical="center"/>
      <protection locked="0"/>
    </xf>
    <xf numFmtId="0" fontId="2" fillId="0" borderId="0" xfId="5" applyFont="1" applyAlignment="1">
      <alignment horizontal="left" vertical="center" wrapText="1"/>
    </xf>
    <xf numFmtId="0" fontId="2" fillId="0" borderId="0" xfId="5" applyFont="1" applyAlignment="1">
      <alignment horizontal="left" vertical="center"/>
    </xf>
    <xf numFmtId="9" fontId="2" fillId="0" borderId="0" xfId="5" applyNumberFormat="1" applyFont="1" applyAlignment="1">
      <alignment horizontal="left" vertical="center"/>
    </xf>
    <xf numFmtId="9" fontId="2" fillId="0" borderId="0" xfId="3" applyNumberFormat="1" applyFont="1" applyAlignment="1" applyProtection="1">
      <alignment vertical="center"/>
      <protection locked="0"/>
    </xf>
    <xf numFmtId="9" fontId="2" fillId="0" borderId="0" xfId="40" applyFont="1" applyAlignment="1" applyProtection="1">
      <alignment vertical="center"/>
      <protection locked="0"/>
    </xf>
    <xf numFmtId="0" fontId="1" fillId="0" borderId="0" xfId="3" applyFont="1" applyAlignment="1" applyProtection="1">
      <alignment vertical="center"/>
      <protection locked="0"/>
    </xf>
    <xf numFmtId="9" fontId="2" fillId="0" borderId="0" xfId="40" applyFont="1" applyAlignment="1">
      <alignment vertical="center"/>
    </xf>
    <xf numFmtId="0" fontId="1" fillId="0" borderId="0" xfId="41" applyFont="1" applyAlignment="1">
      <alignment horizontal="left" vertical="center"/>
    </xf>
    <xf numFmtId="0" fontId="18" fillId="0" borderId="2" xfId="1" applyFont="1" applyBorder="1" applyAlignment="1">
      <alignment vertical="center"/>
    </xf>
    <xf numFmtId="0" fontId="18" fillId="0" borderId="0" xfId="1" applyFont="1" applyAlignment="1">
      <alignment vertical="center"/>
    </xf>
    <xf numFmtId="0" fontId="18" fillId="0" borderId="3" xfId="1" applyFont="1" applyBorder="1" applyAlignment="1">
      <alignment vertical="center"/>
    </xf>
    <xf numFmtId="164" fontId="2" fillId="0" borderId="0" xfId="5" applyNumberFormat="1" applyFont="1" applyAlignment="1">
      <alignment vertical="center" shrinkToFit="1"/>
    </xf>
    <xf numFmtId="9" fontId="2" fillId="0" borderId="0" xfId="40" applyFont="1" applyAlignment="1">
      <alignment vertical="center" shrinkToFit="1"/>
    </xf>
    <xf numFmtId="0" fontId="2" fillId="0" borderId="0" xfId="1" applyFont="1" applyAlignment="1">
      <alignment horizontal="center" vertical="center" wrapText="1"/>
    </xf>
    <xf numFmtId="0" fontId="2" fillId="0" borderId="0" xfId="1" applyFont="1" applyAlignment="1">
      <alignment horizontal="center" vertical="center"/>
    </xf>
    <xf numFmtId="0" fontId="1" fillId="0" borderId="0" xfId="1" applyFont="1" applyAlignment="1">
      <alignment vertical="center"/>
    </xf>
    <xf numFmtId="0" fontId="2" fillId="0" borderId="0" xfId="5" applyFont="1" applyAlignment="1">
      <alignment vertical="center" shrinkToFit="1"/>
    </xf>
    <xf numFmtId="0" fontId="1" fillId="0" borderId="0" xfId="5" applyFont="1" applyAlignment="1">
      <alignment vertical="center" shrinkToFit="1"/>
    </xf>
    <xf numFmtId="0" fontId="1" fillId="0" borderId="0" xfId="41" applyFont="1" applyAlignment="1">
      <alignment horizontal="left" vertical="center" wrapText="1"/>
    </xf>
    <xf numFmtId="164" fontId="1" fillId="0" borderId="0" xfId="5" applyNumberFormat="1" applyFont="1" applyAlignment="1">
      <alignment vertical="center" shrinkToFit="1"/>
    </xf>
    <xf numFmtId="0" fontId="2" fillId="0" borderId="0" xfId="42" applyFont="1" applyAlignment="1">
      <alignment vertical="center"/>
    </xf>
    <xf numFmtId="0" fontId="18" fillId="0" borderId="4" xfId="1" applyFont="1" applyBorder="1" applyAlignment="1">
      <alignment vertical="center"/>
    </xf>
    <xf numFmtId="0" fontId="18" fillId="0" borderId="5" xfId="1" applyFont="1" applyBorder="1" applyAlignment="1">
      <alignment vertical="center"/>
    </xf>
    <xf numFmtId="0" fontId="18" fillId="0" borderId="6" xfId="1" applyFont="1" applyBorder="1" applyAlignment="1">
      <alignment vertical="center"/>
    </xf>
    <xf numFmtId="0" fontId="6" fillId="0" borderId="0" xfId="1" applyFont="1" applyAlignment="1">
      <alignment vertical="center"/>
    </xf>
    <xf numFmtId="0" fontId="6" fillId="0" borderId="0" xfId="3" applyFont="1" applyAlignment="1" applyProtection="1">
      <alignment horizontal="center" vertical="center"/>
      <protection locked="0"/>
    </xf>
    <xf numFmtId="49" fontId="6" fillId="0" borderId="0" xfId="3" applyNumberFormat="1" applyFont="1" applyAlignment="1" applyProtection="1">
      <alignment horizontal="center" vertical="center" shrinkToFit="1"/>
      <protection locked="0"/>
    </xf>
    <xf numFmtId="49" fontId="6" fillId="0" borderId="0" xfId="3" applyNumberFormat="1" applyFont="1" applyAlignment="1" applyProtection="1">
      <alignment horizontal="center" vertical="center" wrapText="1"/>
      <protection locked="0"/>
    </xf>
    <xf numFmtId="164" fontId="6" fillId="0" borderId="0" xfId="3" applyNumberFormat="1" applyFont="1" applyAlignment="1" applyProtection="1">
      <alignment horizontal="center" vertical="center" shrinkToFit="1"/>
      <protection locked="0"/>
    </xf>
    <xf numFmtId="164" fontId="6" fillId="0" borderId="0" xfId="3" applyNumberFormat="1" applyFont="1" applyAlignment="1" applyProtection="1">
      <alignment horizontal="right" vertical="center" wrapText="1"/>
      <protection locked="0"/>
    </xf>
    <xf numFmtId="164" fontId="6" fillId="0" borderId="0" xfId="3" applyNumberFormat="1" applyFont="1" applyAlignment="1" applyProtection="1">
      <alignment horizontal="right" vertical="center" shrinkToFit="1"/>
      <protection locked="0"/>
    </xf>
    <xf numFmtId="10" fontId="6" fillId="0" borderId="0" xfId="3" applyNumberFormat="1" applyFont="1" applyAlignment="1" applyProtection="1">
      <alignment horizontal="right" vertical="center" shrinkToFit="1"/>
      <protection locked="0"/>
    </xf>
    <xf numFmtId="10" fontId="6" fillId="0" borderId="0" xfId="40" applyNumberFormat="1" applyFont="1" applyFill="1" applyBorder="1" applyAlignment="1" applyProtection="1">
      <alignment horizontal="center" vertical="center" shrinkToFit="1"/>
      <protection locked="0"/>
    </xf>
    <xf numFmtId="9" fontId="6" fillId="0" borderId="0" xfId="40" applyFont="1" applyFill="1" applyBorder="1" applyAlignment="1" applyProtection="1">
      <alignment horizontal="center" vertical="center" shrinkToFit="1"/>
      <protection locked="0"/>
    </xf>
    <xf numFmtId="0" fontId="6" fillId="0" borderId="0" xfId="3" applyFont="1" applyAlignment="1" applyProtection="1">
      <alignment horizontal="center" vertical="center" shrinkToFit="1"/>
      <protection locked="0"/>
    </xf>
    <xf numFmtId="49" fontId="1" fillId="0" borderId="13" xfId="3" applyNumberFormat="1" applyFont="1" applyBorder="1" applyAlignment="1">
      <alignment horizontal="left" vertical="center" shrinkToFit="1"/>
    </xf>
    <xf numFmtId="49" fontId="1" fillId="0" borderId="8" xfId="3" applyNumberFormat="1" applyFont="1" applyBorder="1" applyAlignment="1">
      <alignment horizontal="left" vertical="center" shrinkToFit="1"/>
    </xf>
    <xf numFmtId="49" fontId="1" fillId="0" borderId="14" xfId="3" applyNumberFormat="1" applyFont="1" applyBorder="1" applyAlignment="1">
      <alignment horizontal="left" vertical="center" shrinkToFit="1"/>
    </xf>
    <xf numFmtId="164" fontId="1" fillId="0" borderId="13" xfId="3" applyNumberFormat="1" applyFont="1" applyBorder="1" applyAlignment="1">
      <alignment horizontal="right" vertical="center" shrinkToFit="1"/>
    </xf>
    <xf numFmtId="164" fontId="1" fillId="0" borderId="8" xfId="3" applyNumberFormat="1" applyFont="1" applyBorder="1" applyAlignment="1">
      <alignment horizontal="right" vertical="center" shrinkToFit="1"/>
    </xf>
    <xf numFmtId="10" fontId="1" fillId="0" borderId="8" xfId="3" applyNumberFormat="1" applyFont="1" applyBorder="1" applyAlignment="1">
      <alignment horizontal="right" vertical="center" shrinkToFit="1"/>
    </xf>
    <xf numFmtId="164" fontId="1" fillId="0" borderId="11" xfId="3" applyNumberFormat="1" applyFont="1" applyBorder="1" applyAlignment="1">
      <alignment horizontal="right" vertical="center" shrinkToFit="1"/>
    </xf>
    <xf numFmtId="49" fontId="1" fillId="0" borderId="11" xfId="3" applyNumberFormat="1" applyFont="1" applyBorder="1" applyAlignment="1">
      <alignment horizontal="left" vertical="center" shrinkToFit="1"/>
    </xf>
    <xf numFmtId="0" fontId="1" fillId="0" borderId="2" xfId="3" applyFont="1" applyBorder="1" applyAlignment="1" applyProtection="1">
      <alignment horizontal="center" vertical="center"/>
      <protection locked="0"/>
    </xf>
    <xf numFmtId="9" fontId="2" fillId="0" borderId="0" xfId="40" applyFont="1" applyFill="1" applyAlignment="1">
      <alignment vertical="center"/>
    </xf>
    <xf numFmtId="0" fontId="31" fillId="5" borderId="7" xfId="3" applyFont="1" applyFill="1" applyBorder="1" applyAlignment="1" applyProtection="1">
      <alignment horizontal="center" vertical="top" wrapText="1"/>
      <protection locked="0"/>
    </xf>
    <xf numFmtId="0" fontId="31" fillId="5" borderId="10" xfId="3" applyFont="1" applyFill="1" applyBorder="1" applyAlignment="1" applyProtection="1">
      <alignment horizontal="center" vertical="top" wrapText="1"/>
      <protection locked="0"/>
    </xf>
    <xf numFmtId="0" fontId="31" fillId="0" borderId="9" xfId="3" applyFont="1" applyBorder="1" applyAlignment="1" applyProtection="1">
      <alignment horizontal="center" vertical="center" wrapText="1"/>
      <protection locked="0"/>
    </xf>
    <xf numFmtId="49" fontId="31" fillId="4" borderId="9" xfId="3" applyNumberFormat="1" applyFont="1" applyFill="1" applyBorder="1" applyAlignment="1" applyProtection="1">
      <alignment horizontal="center" vertical="center" wrapText="1"/>
      <protection locked="0"/>
    </xf>
    <xf numFmtId="49" fontId="31" fillId="0" borderId="22" xfId="3" applyNumberFormat="1" applyFont="1" applyBorder="1" applyAlignment="1" applyProtection="1">
      <alignment horizontal="center" vertical="center" wrapText="1"/>
      <protection locked="0"/>
    </xf>
    <xf numFmtId="0" fontId="31" fillId="0" borderId="24" xfId="3" applyFont="1" applyBorder="1" applyAlignment="1" applyProtection="1">
      <alignment horizontal="center" vertical="center" wrapText="1"/>
      <protection locked="0"/>
    </xf>
    <xf numFmtId="0" fontId="6" fillId="4" borderId="12" xfId="3" applyFont="1" applyFill="1" applyBorder="1" applyAlignment="1" applyProtection="1">
      <alignment horizontal="center" vertical="top" wrapText="1"/>
      <protection locked="0"/>
    </xf>
    <xf numFmtId="0" fontId="1" fillId="0" borderId="2" xfId="3" applyFont="1" applyBorder="1" applyAlignment="1" applyProtection="1">
      <alignment horizontal="center" vertical="center" wrapText="1"/>
      <protection locked="0"/>
    </xf>
    <xf numFmtId="0" fontId="2" fillId="0" borderId="0" xfId="5" applyFont="1" applyAlignment="1">
      <alignment horizontal="center" vertical="center" wrapText="1"/>
    </xf>
    <xf numFmtId="0" fontId="2" fillId="0" borderId="0" xfId="3" applyFont="1" applyAlignment="1" applyProtection="1">
      <alignment horizontal="center" vertical="center" wrapText="1"/>
      <protection locked="0"/>
    </xf>
    <xf numFmtId="9" fontId="2" fillId="0" borderId="0" xfId="40" applyFont="1" applyFill="1" applyAlignment="1">
      <alignment horizontal="center" vertical="center" wrapText="1"/>
    </xf>
    <xf numFmtId="49" fontId="1" fillId="0" borderId="24" xfId="3" applyNumberFormat="1" applyFont="1" applyBorder="1" applyAlignment="1">
      <alignment horizontal="left" vertical="center" shrinkToFit="1"/>
    </xf>
    <xf numFmtId="164" fontId="1" fillId="0" borderId="25" xfId="3" applyNumberFormat="1" applyFont="1" applyBorder="1" applyAlignment="1">
      <alignment horizontal="right" vertical="center" shrinkToFit="1"/>
    </xf>
    <xf numFmtId="49" fontId="1" fillId="0" borderId="22" xfId="3" applyNumberFormat="1" applyFont="1" applyBorder="1" applyAlignment="1">
      <alignment horizontal="left" vertical="center" shrinkToFit="1"/>
    </xf>
    <xf numFmtId="164" fontId="1" fillId="0" borderId="2" xfId="3" applyNumberFormat="1" applyFont="1" applyBorder="1" applyAlignment="1" applyProtection="1">
      <alignment horizontal="right" vertical="center" shrinkToFit="1"/>
      <protection locked="0"/>
    </xf>
    <xf numFmtId="0" fontId="2" fillId="0" borderId="0" xfId="3" applyFont="1" applyAlignment="1" applyProtection="1">
      <alignment vertical="center" shrinkToFit="1"/>
      <protection locked="0"/>
    </xf>
    <xf numFmtId="164" fontId="1" fillId="0" borderId="0" xfId="4" applyFont="1" applyFill="1" applyBorder="1" applyAlignment="1" applyProtection="1">
      <alignment horizontal="right" vertical="center" shrinkToFit="1"/>
      <protection locked="0"/>
    </xf>
    <xf numFmtId="164" fontId="1" fillId="0" borderId="0" xfId="4" applyFont="1" applyFill="1" applyBorder="1" applyAlignment="1" applyProtection="1">
      <alignment horizontal="center" vertical="center" shrinkToFit="1"/>
      <protection locked="0"/>
    </xf>
    <xf numFmtId="49" fontId="9" fillId="0" borderId="0" xfId="3" applyNumberFormat="1" applyFont="1" applyAlignment="1" applyProtection="1">
      <alignment horizontal="center" vertical="center" shrinkToFit="1"/>
      <protection locked="0"/>
    </xf>
    <xf numFmtId="10" fontId="1" fillId="0" borderId="0" xfId="40" applyNumberFormat="1" applyFont="1" applyFill="1" applyBorder="1" applyAlignment="1" applyProtection="1">
      <alignment horizontal="right" vertical="center" shrinkToFit="1"/>
    </xf>
    <xf numFmtId="0" fontId="1" fillId="0" borderId="0" xfId="5" applyFont="1" applyAlignment="1">
      <alignment vertical="center"/>
    </xf>
    <xf numFmtId="9" fontId="1" fillId="0" borderId="0" xfId="40" applyFont="1" applyAlignment="1">
      <alignment vertical="center"/>
    </xf>
    <xf numFmtId="164" fontId="31" fillId="0" borderId="0" xfId="4" applyFont="1" applyFill="1" applyBorder="1" applyAlignment="1" applyProtection="1">
      <alignment horizontal="center" vertical="center" shrinkToFit="1"/>
      <protection locked="0"/>
    </xf>
    <xf numFmtId="0" fontId="6" fillId="0" borderId="0" xfId="5" applyFont="1" applyAlignment="1">
      <alignment horizontal="center" vertical="center"/>
    </xf>
    <xf numFmtId="9" fontId="31" fillId="0" borderId="0" xfId="40" applyFont="1" applyFill="1" applyBorder="1" applyAlignment="1" applyProtection="1">
      <alignment horizontal="right" vertical="center" shrinkToFit="1"/>
      <protection locked="0"/>
    </xf>
    <xf numFmtId="164" fontId="2" fillId="0" borderId="0" xfId="4" applyFont="1" applyFill="1" applyBorder="1" applyAlignment="1">
      <alignment horizontal="right" vertical="center" shrinkToFit="1"/>
    </xf>
    <xf numFmtId="10" fontId="32" fillId="0" borderId="0" xfId="40" applyNumberFormat="1" applyFont="1" applyFill="1" applyBorder="1" applyAlignment="1" applyProtection="1">
      <alignment horizontal="right" vertical="center" shrinkToFit="1"/>
    </xf>
    <xf numFmtId="9" fontId="32" fillId="0" borderId="0" xfId="40" applyFont="1" applyFill="1" applyBorder="1" applyAlignment="1" applyProtection="1">
      <alignment horizontal="right" vertical="center" shrinkToFit="1"/>
    </xf>
    <xf numFmtId="164" fontId="31" fillId="0" borderId="0" xfId="4" applyFont="1" applyFill="1" applyBorder="1" applyAlignment="1" applyProtection="1">
      <alignment horizontal="right" vertical="center" shrinkToFit="1"/>
      <protection locked="0"/>
    </xf>
    <xf numFmtId="0" fontId="6" fillId="0" borderId="0" xfId="5" applyFont="1" applyAlignment="1">
      <alignment vertical="center"/>
    </xf>
    <xf numFmtId="164" fontId="2" fillId="0" borderId="0" xfId="4" applyFont="1" applyFill="1" applyBorder="1" applyAlignment="1">
      <alignment vertical="center"/>
    </xf>
    <xf numFmtId="0" fontId="1" fillId="2" borderId="0" xfId="3" applyFont="1" applyFill="1" applyAlignment="1" applyProtection="1">
      <alignment horizontal="center" vertical="center"/>
      <protection locked="0"/>
    </xf>
    <xf numFmtId="0" fontId="9" fillId="0" borderId="0" xfId="3" applyFont="1" applyAlignment="1" applyProtection="1">
      <alignment horizontal="left" vertical="center"/>
      <protection locked="0"/>
    </xf>
    <xf numFmtId="0" fontId="28" fillId="0" borderId="0" xfId="47" applyFont="1" applyAlignment="1" applyProtection="1">
      <alignment vertical="center"/>
      <protection locked="0"/>
    </xf>
    <xf numFmtId="0" fontId="2" fillId="0" borderId="0" xfId="6" applyFont="1" applyAlignment="1">
      <alignment vertical="center"/>
    </xf>
    <xf numFmtId="0" fontId="2" fillId="0" borderId="0" xfId="6" applyFont="1" applyAlignment="1" applyProtection="1">
      <alignment vertical="center"/>
      <protection locked="0"/>
    </xf>
    <xf numFmtId="0" fontId="2" fillId="0" borderId="0" xfId="2" applyFont="1" applyAlignment="1">
      <alignment horizontal="left" vertical="center" wrapText="1"/>
    </xf>
    <xf numFmtId="0" fontId="2" fillId="0" borderId="0" xfId="2" applyFont="1" applyAlignment="1">
      <alignment horizontal="left" vertical="center"/>
    </xf>
    <xf numFmtId="9" fontId="2" fillId="0" borderId="0" xfId="2" applyNumberFormat="1" applyFont="1" applyAlignment="1">
      <alignment horizontal="left" vertical="center"/>
    </xf>
    <xf numFmtId="9" fontId="2" fillId="0" borderId="0" xfId="6" applyNumberFormat="1" applyFont="1" applyAlignment="1" applyProtection="1">
      <alignment vertical="center"/>
      <protection locked="0"/>
    </xf>
    <xf numFmtId="9" fontId="2" fillId="0" borderId="0" xfId="48" applyFont="1" applyAlignment="1" applyProtection="1">
      <alignment vertical="center"/>
      <protection locked="0"/>
    </xf>
    <xf numFmtId="0" fontId="1" fillId="0" borderId="0" xfId="6" applyFont="1" applyAlignment="1" applyProtection="1">
      <alignment vertical="center"/>
      <protection locked="0"/>
    </xf>
    <xf numFmtId="9" fontId="2" fillId="0" borderId="0" xfId="48" applyFont="1" applyAlignment="1">
      <alignment vertical="center"/>
    </xf>
    <xf numFmtId="0" fontId="1" fillId="0" borderId="0" xfId="31" applyFont="1" applyAlignment="1">
      <alignment horizontal="left" vertical="center"/>
    </xf>
    <xf numFmtId="0" fontId="18" fillId="0" borderId="0" xfId="0" applyFont="1" applyAlignment="1">
      <alignment vertical="center"/>
    </xf>
    <xf numFmtId="0" fontId="18" fillId="0" borderId="3" xfId="0" applyFont="1" applyBorder="1" applyAlignment="1">
      <alignment vertical="center"/>
    </xf>
    <xf numFmtId="164" fontId="2" fillId="0" borderId="0" xfId="2" applyNumberFormat="1" applyFont="1" applyAlignment="1">
      <alignment vertical="center" shrinkToFit="1"/>
    </xf>
    <xf numFmtId="9" fontId="2" fillId="0" borderId="0" xfId="48" applyFont="1" applyAlignment="1">
      <alignment vertical="center" shrinkToFit="1"/>
    </xf>
    <xf numFmtId="0" fontId="2" fillId="0" borderId="0" xfId="0" applyFont="1" applyAlignment="1">
      <alignment horizontal="center" vertical="center"/>
    </xf>
    <xf numFmtId="0" fontId="17" fillId="3" borderId="19" xfId="0" applyFont="1" applyFill="1" applyBorder="1" applyAlignment="1" applyProtection="1">
      <alignment horizontal="left" vertical="center" wrapText="1"/>
      <protection locked="0"/>
    </xf>
    <xf numFmtId="0" fontId="1" fillId="0" borderId="0" xfId="0" applyFont="1" applyAlignment="1">
      <alignment vertical="center"/>
    </xf>
    <xf numFmtId="0" fontId="1" fillId="0" borderId="0" xfId="2" applyFont="1" applyAlignment="1">
      <alignment vertical="center" shrinkToFit="1"/>
    </xf>
    <xf numFmtId="0" fontId="1" fillId="0" borderId="0" xfId="31" applyFont="1" applyAlignment="1">
      <alignment horizontal="left" vertical="center" wrapText="1"/>
    </xf>
    <xf numFmtId="0" fontId="29" fillId="0" borderId="21" xfId="0" applyFont="1" applyBorder="1" applyAlignment="1" applyProtection="1">
      <alignment vertical="center" wrapText="1"/>
      <protection locked="0"/>
    </xf>
    <xf numFmtId="0" fontId="2" fillId="0" borderId="0" xfId="49" applyFont="1" applyAlignment="1">
      <alignment vertical="center"/>
    </xf>
    <xf numFmtId="0" fontId="6" fillId="0" borderId="0" xfId="0" applyFont="1" applyAlignment="1">
      <alignment vertical="center"/>
    </xf>
    <xf numFmtId="0" fontId="6" fillId="0" borderId="0" xfId="6" applyFont="1" applyAlignment="1" applyProtection="1">
      <alignment horizontal="center" vertical="center"/>
      <protection locked="0"/>
    </xf>
    <xf numFmtId="0" fontId="30" fillId="0" borderId="0" xfId="0" applyFont="1" applyAlignment="1">
      <alignment horizontal="center" vertical="center"/>
    </xf>
    <xf numFmtId="49" fontId="1" fillId="0" borderId="19" xfId="3" applyNumberFormat="1" applyFont="1" applyBorder="1" applyAlignment="1">
      <alignment horizontal="left" vertical="center" shrinkToFit="1"/>
    </xf>
    <xf numFmtId="9" fontId="2" fillId="0" borderId="0" xfId="48" applyFont="1" applyFill="1" applyAlignment="1">
      <alignment vertical="center"/>
    </xf>
    <xf numFmtId="0" fontId="31" fillId="5" borderId="12" xfId="3" applyFont="1" applyFill="1" applyBorder="1" applyAlignment="1" applyProtection="1">
      <alignment horizontal="center" vertical="top" wrapText="1"/>
      <protection locked="0"/>
    </xf>
    <xf numFmtId="0" fontId="31" fillId="0" borderId="8" xfId="3" applyFont="1" applyBorder="1" applyAlignment="1" applyProtection="1">
      <alignment horizontal="center" vertical="center" wrapText="1"/>
      <protection locked="0"/>
    </xf>
    <xf numFmtId="49" fontId="31" fillId="4" borderId="8" xfId="3" applyNumberFormat="1" applyFont="1" applyFill="1" applyBorder="1" applyAlignment="1" applyProtection="1">
      <alignment horizontal="center" vertical="center" wrapText="1"/>
      <protection locked="0"/>
    </xf>
    <xf numFmtId="49" fontId="31" fillId="0" borderId="11" xfId="3" applyNumberFormat="1" applyFont="1" applyBorder="1" applyAlignment="1" applyProtection="1">
      <alignment horizontal="center" vertical="center" wrapText="1"/>
      <protection locked="0"/>
    </xf>
    <xf numFmtId="0" fontId="31" fillId="0" borderId="13" xfId="3" applyFont="1" applyBorder="1" applyAlignment="1" applyProtection="1">
      <alignment horizontal="center" vertical="center" wrapText="1"/>
      <protection locked="0"/>
    </xf>
    <xf numFmtId="0" fontId="1" fillId="0" borderId="0" xfId="6" applyFont="1" applyAlignment="1" applyProtection="1">
      <alignment horizontal="right" vertical="center" shrinkToFit="1"/>
      <protection locked="0"/>
    </xf>
    <xf numFmtId="164" fontId="1" fillId="0" borderId="0" xfId="7" applyFont="1" applyFill="1" applyBorder="1" applyAlignment="1" applyProtection="1">
      <alignment horizontal="right" vertical="center" shrinkToFit="1"/>
      <protection locked="0"/>
    </xf>
    <xf numFmtId="164" fontId="1" fillId="0" borderId="0" xfId="7" applyFont="1" applyFill="1" applyBorder="1" applyAlignment="1" applyProtection="1">
      <alignment horizontal="center" vertical="center" shrinkToFit="1"/>
      <protection locked="0"/>
    </xf>
    <xf numFmtId="49" fontId="9" fillId="0" borderId="0" xfId="6" applyNumberFormat="1" applyFont="1" applyAlignment="1" applyProtection="1">
      <alignment horizontal="center" vertical="center" shrinkToFit="1"/>
      <protection locked="0"/>
    </xf>
    <xf numFmtId="10" fontId="1" fillId="0" borderId="0" xfId="48" applyNumberFormat="1" applyFont="1" applyFill="1" applyBorder="1" applyAlignment="1" applyProtection="1">
      <alignment horizontal="right" vertical="center" shrinkToFit="1"/>
    </xf>
    <xf numFmtId="9" fontId="1" fillId="0" borderId="0" xfId="48" applyFont="1" applyAlignment="1">
      <alignment vertical="center"/>
    </xf>
    <xf numFmtId="164" fontId="31" fillId="0" borderId="0" xfId="7" applyFont="1" applyFill="1" applyBorder="1" applyAlignment="1" applyProtection="1">
      <alignment horizontal="center" vertical="center" shrinkToFit="1"/>
      <protection locked="0"/>
    </xf>
    <xf numFmtId="9" fontId="31" fillId="0" borderId="0" xfId="48" applyFont="1" applyFill="1" applyBorder="1" applyAlignment="1" applyProtection="1">
      <alignment horizontal="right" vertical="center" shrinkToFit="1"/>
      <protection locked="0"/>
    </xf>
    <xf numFmtId="164" fontId="2" fillId="0" borderId="0" xfId="7" applyFont="1" applyFill="1" applyBorder="1" applyAlignment="1">
      <alignment horizontal="right" vertical="center" shrinkToFit="1"/>
    </xf>
    <xf numFmtId="10" fontId="32" fillId="0" borderId="0" xfId="48" applyNumberFormat="1" applyFont="1" applyFill="1" applyBorder="1" applyAlignment="1" applyProtection="1">
      <alignment horizontal="right" vertical="center" shrinkToFit="1"/>
    </xf>
    <xf numFmtId="9" fontId="32" fillId="0" borderId="0" xfId="48" applyFont="1" applyFill="1" applyBorder="1" applyAlignment="1" applyProtection="1">
      <alignment horizontal="right" vertical="center" shrinkToFit="1"/>
    </xf>
    <xf numFmtId="164" fontId="31" fillId="0" borderId="0" xfId="7" applyFont="1" applyFill="1" applyBorder="1" applyAlignment="1" applyProtection="1">
      <alignment horizontal="right" vertical="center" shrinkToFit="1"/>
      <protection locked="0"/>
    </xf>
    <xf numFmtId="164" fontId="6" fillId="0" borderId="0" xfId="6" applyNumberFormat="1" applyFont="1" applyAlignment="1" applyProtection="1">
      <alignment horizontal="center" vertical="center" shrinkToFit="1"/>
      <protection locked="0"/>
    </xf>
    <xf numFmtId="10" fontId="13" fillId="0" borderId="0" xfId="6" applyNumberFormat="1" applyFont="1" applyAlignment="1" applyProtection="1">
      <alignment horizontal="right" vertical="center" shrinkToFit="1"/>
      <protection locked="0"/>
    </xf>
    <xf numFmtId="164" fontId="13" fillId="0" borderId="0" xfId="6" applyNumberFormat="1" applyFont="1" applyAlignment="1" applyProtection="1">
      <alignment horizontal="center" vertical="center" shrinkToFit="1"/>
      <protection locked="0"/>
    </xf>
    <xf numFmtId="164" fontId="2" fillId="0" borderId="0" xfId="9" applyFont="1" applyFill="1" applyBorder="1" applyAlignment="1">
      <alignment horizontal="right" vertical="center" shrinkToFit="1"/>
    </xf>
    <xf numFmtId="10" fontId="9" fillId="0" borderId="0" xfId="6" applyNumberFormat="1" applyFont="1" applyAlignment="1" applyProtection="1">
      <alignment horizontal="right" vertical="center" shrinkToFit="1"/>
      <protection locked="0"/>
    </xf>
    <xf numFmtId="164" fontId="2" fillId="0" borderId="0" xfId="7" applyFont="1" applyFill="1" applyBorder="1" applyAlignment="1">
      <alignment vertical="center"/>
    </xf>
    <xf numFmtId="0" fontId="18" fillId="0" borderId="0" xfId="0" applyFont="1" applyAlignment="1">
      <alignment vertical="center" wrapText="1"/>
    </xf>
    <xf numFmtId="0" fontId="6" fillId="0" borderId="0" xfId="0" applyFont="1" applyAlignment="1">
      <alignment horizontal="center" vertical="center"/>
    </xf>
    <xf numFmtId="164" fontId="2" fillId="0" borderId="0" xfId="7" applyFont="1" applyBorder="1" applyAlignment="1">
      <alignment horizontal="right" vertical="center" shrinkToFit="1"/>
    </xf>
    <xf numFmtId="164" fontId="6" fillId="0" borderId="0" xfId="53" applyFont="1" applyFill="1" applyBorder="1" applyAlignment="1">
      <alignment horizontal="center" vertical="center" shrinkToFit="1"/>
    </xf>
    <xf numFmtId="164" fontId="1" fillId="0" borderId="0" xfId="53" applyFont="1" applyFill="1" applyAlignment="1" applyProtection="1">
      <alignment horizontal="center" vertical="center" shrinkToFit="1"/>
      <protection locked="0"/>
    </xf>
    <xf numFmtId="0" fontId="2" fillId="0" borderId="0" xfId="0" applyFont="1" applyAlignment="1">
      <alignment horizontal="left" vertical="center" wrapText="1"/>
    </xf>
    <xf numFmtId="0" fontId="2" fillId="0" borderId="0" xfId="0" applyFont="1" applyAlignment="1">
      <alignment horizontal="left" vertical="center"/>
    </xf>
    <xf numFmtId="9" fontId="2" fillId="0" borderId="0" xfId="0" applyNumberFormat="1" applyFont="1" applyAlignment="1">
      <alignment horizontal="left" vertical="center"/>
    </xf>
    <xf numFmtId="9" fontId="2" fillId="0" borderId="0" xfId="32" applyFont="1" applyAlignment="1" applyProtection="1">
      <alignment vertical="center"/>
      <protection locked="0"/>
    </xf>
    <xf numFmtId="9" fontId="2" fillId="0" borderId="0" xfId="48" applyFont="1" applyBorder="1" applyAlignment="1">
      <alignment vertical="center"/>
    </xf>
    <xf numFmtId="164" fontId="13" fillId="0" borderId="0" xfId="6" applyNumberFormat="1" applyFont="1" applyAlignment="1" applyProtection="1">
      <alignment horizontal="right" vertical="center" shrinkToFit="1"/>
      <protection locked="0"/>
    </xf>
    <xf numFmtId="164" fontId="2" fillId="0" borderId="0" xfId="9" applyFont="1" applyAlignment="1">
      <alignment vertical="center"/>
    </xf>
    <xf numFmtId="9" fontId="2" fillId="0" borderId="0" xfId="32" applyFont="1" applyAlignment="1">
      <alignment vertical="center"/>
    </xf>
    <xf numFmtId="0" fontId="33" fillId="0" borderId="0" xfId="6" applyFont="1" applyAlignment="1" applyProtection="1">
      <alignment horizontal="center" vertical="center"/>
      <protection locked="0"/>
    </xf>
    <xf numFmtId="0" fontId="34" fillId="0" borderId="0" xfId="0" applyFont="1" applyAlignment="1">
      <alignment horizontal="left" vertical="center"/>
    </xf>
    <xf numFmtId="164" fontId="34" fillId="0" borderId="0" xfId="0" applyNumberFormat="1" applyFont="1" applyAlignment="1">
      <alignment horizontal="right" vertical="center"/>
    </xf>
    <xf numFmtId="0" fontId="18" fillId="0" borderId="11" xfId="0" applyFont="1" applyBorder="1" applyAlignment="1">
      <alignment vertical="center" wrapText="1"/>
    </xf>
    <xf numFmtId="0" fontId="18" fillId="0" borderId="5" xfId="0" applyFont="1" applyBorder="1" applyAlignment="1">
      <alignment vertical="center"/>
    </xf>
    <xf numFmtId="0" fontId="35" fillId="0" borderId="0" xfId="0" applyFont="1" applyAlignment="1">
      <alignment vertical="center"/>
    </xf>
    <xf numFmtId="0" fontId="1" fillId="0" borderId="0" xfId="49" applyFont="1" applyAlignment="1">
      <alignment vertical="center"/>
    </xf>
    <xf numFmtId="0" fontId="36" fillId="0" borderId="0" xfId="0" applyFont="1" applyAlignment="1">
      <alignment vertical="center"/>
    </xf>
    <xf numFmtId="49" fontId="12" fillId="0" borderId="0" xfId="6" applyNumberFormat="1" applyFont="1" applyAlignment="1" applyProtection="1">
      <alignment horizontal="center" vertical="center" shrinkToFit="1"/>
      <protection locked="0"/>
    </xf>
    <xf numFmtId="164" fontId="35" fillId="0" borderId="0" xfId="7" applyFont="1" applyFill="1" applyBorder="1" applyAlignment="1" applyProtection="1">
      <alignment horizontal="right" vertical="center" shrinkToFit="1"/>
      <protection locked="0"/>
    </xf>
    <xf numFmtId="164" fontId="1" fillId="2" borderId="0" xfId="7" applyFont="1" applyFill="1" applyBorder="1" applyAlignment="1" applyProtection="1">
      <alignment horizontal="center" vertical="center" shrinkToFit="1"/>
      <protection locked="0"/>
    </xf>
    <xf numFmtId="0" fontId="6" fillId="0" borderId="0" xfId="2" applyFont="1">
      <alignment vertical="center"/>
    </xf>
    <xf numFmtId="164" fontId="2" fillId="0" borderId="0" xfId="7" applyFont="1" applyFill="1" applyAlignment="1">
      <alignment vertical="center"/>
    </xf>
    <xf numFmtId="0" fontId="2" fillId="0" borderId="0" xfId="10" applyFont="1" applyAlignment="1">
      <alignment vertical="center"/>
    </xf>
    <xf numFmtId="0" fontId="14" fillId="8" borderId="0" xfId="57" applyFont="1" applyFill="1" applyBorder="1" applyAlignment="1" applyProtection="1">
      <alignment vertical="center"/>
      <protection locked="0"/>
    </xf>
    <xf numFmtId="0" fontId="6" fillId="2" borderId="0" xfId="10" applyFont="1" applyFill="1" applyAlignment="1">
      <alignment vertical="center"/>
    </xf>
    <xf numFmtId="0" fontId="39" fillId="0" borderId="2" xfId="10" applyFont="1" applyBorder="1" applyAlignment="1">
      <alignment vertical="center"/>
    </xf>
    <xf numFmtId="0" fontId="16" fillId="0" borderId="3" xfId="10" applyFont="1" applyBorder="1" applyAlignment="1">
      <alignment vertical="center"/>
    </xf>
    <xf numFmtId="0" fontId="16" fillId="0" borderId="2" xfId="10" applyFont="1" applyBorder="1" applyAlignment="1">
      <alignment horizontal="left" vertical="center" wrapText="1"/>
    </xf>
    <xf numFmtId="0" fontId="40" fillId="3" borderId="19" xfId="10" applyFont="1" applyFill="1" applyBorder="1" applyAlignment="1" applyProtection="1">
      <alignment vertical="center"/>
      <protection locked="0"/>
    </xf>
    <xf numFmtId="0" fontId="19" fillId="0" borderId="19" xfId="10" applyFont="1" applyBorder="1" applyAlignment="1">
      <alignment vertical="center" wrapText="1"/>
    </xf>
    <xf numFmtId="0" fontId="19" fillId="0" borderId="19" xfId="10" applyFont="1" applyBorder="1" applyAlignment="1">
      <alignment vertical="center"/>
    </xf>
    <xf numFmtId="0" fontId="38" fillId="0" borderId="4" xfId="10" applyFont="1" applyBorder="1" applyAlignment="1" applyProtection="1">
      <alignment horizontal="left" vertical="center"/>
      <protection locked="0"/>
    </xf>
    <xf numFmtId="0" fontId="16" fillId="0" borderId="5" xfId="58" applyFont="1" applyBorder="1" applyAlignment="1">
      <alignment horizontal="left" vertical="center" wrapText="1"/>
    </xf>
    <xf numFmtId="0" fontId="16" fillId="0" borderId="6" xfId="58" applyFont="1" applyBorder="1" applyAlignment="1">
      <alignment horizontal="left" vertical="center" wrapText="1"/>
    </xf>
    <xf numFmtId="0" fontId="6" fillId="0" borderId="0" xfId="10" applyFont="1" applyAlignment="1">
      <alignment horizontal="center" vertical="center"/>
    </xf>
    <xf numFmtId="164" fontId="2" fillId="0" borderId="0" xfId="59" applyFont="1" applyFill="1" applyBorder="1" applyAlignment="1">
      <alignment vertical="center"/>
    </xf>
    <xf numFmtId="164" fontId="9" fillId="0" borderId="0" xfId="59" applyFont="1" applyFill="1" applyBorder="1" applyAlignment="1">
      <alignment horizontal="center" vertical="center"/>
    </xf>
    <xf numFmtId="0" fontId="28" fillId="2" borderId="0" xfId="10" applyFont="1" applyFill="1" applyAlignment="1">
      <alignment horizontal="right" vertical="center"/>
    </xf>
    <xf numFmtId="165" fontId="2" fillId="2" borderId="0" xfId="60" applyFont="1" applyFill="1" applyBorder="1" applyAlignment="1">
      <alignment horizontal="right" vertical="center"/>
    </xf>
    <xf numFmtId="164" fontId="2" fillId="2" borderId="0" xfId="59" applyFont="1" applyFill="1" applyBorder="1" applyAlignment="1">
      <alignment vertical="center"/>
    </xf>
    <xf numFmtId="0" fontId="6" fillId="2" borderId="0" xfId="10" applyFont="1" applyFill="1" applyAlignment="1">
      <alignment horizontal="right" vertical="center"/>
    </xf>
    <xf numFmtId="0" fontId="2" fillId="2" borderId="0" xfId="10" applyFont="1" applyFill="1" applyAlignment="1">
      <alignment horizontal="right" vertical="center"/>
    </xf>
    <xf numFmtId="164" fontId="2" fillId="2" borderId="0" xfId="60" applyNumberFormat="1" applyFont="1" applyFill="1" applyBorder="1" applyAlignment="1">
      <alignment horizontal="right" vertical="center" shrinkToFit="1"/>
    </xf>
    <xf numFmtId="0" fontId="31" fillId="2" borderId="0" xfId="10" applyFont="1" applyFill="1" applyAlignment="1">
      <alignment horizontal="right" vertical="center" wrapText="1"/>
    </xf>
    <xf numFmtId="164" fontId="2" fillId="0" borderId="0" xfId="59" applyFont="1" applyFill="1" applyBorder="1" applyAlignment="1" applyProtection="1">
      <alignment horizontal="right" vertical="center" shrinkToFit="1"/>
      <protection locked="0"/>
    </xf>
    <xf numFmtId="165" fontId="2" fillId="2" borderId="0" xfId="60" applyFont="1" applyFill="1" applyBorder="1" applyAlignment="1">
      <alignment vertical="center"/>
    </xf>
    <xf numFmtId="165" fontId="2" fillId="2" borderId="0" xfId="10" applyNumberFormat="1" applyFont="1" applyFill="1" applyAlignment="1">
      <alignment vertical="center"/>
    </xf>
    <xf numFmtId="14" fontId="2" fillId="2" borderId="0" xfId="10" applyNumberFormat="1" applyFont="1" applyFill="1" applyAlignment="1">
      <alignment horizontal="center" vertical="center"/>
    </xf>
    <xf numFmtId="0" fontId="2" fillId="2" borderId="0" xfId="10" applyFont="1" applyFill="1" applyAlignment="1">
      <alignment horizontal="center" vertical="center"/>
    </xf>
    <xf numFmtId="0" fontId="28" fillId="0" borderId="0" xfId="10" applyFont="1" applyAlignment="1">
      <alignment horizontal="right" vertical="center"/>
    </xf>
    <xf numFmtId="0" fontId="6" fillId="0" borderId="0" xfId="10" applyFont="1" applyAlignment="1">
      <alignment horizontal="right" vertical="center"/>
    </xf>
    <xf numFmtId="0" fontId="2" fillId="0" borderId="0" xfId="10" applyFont="1" applyAlignment="1">
      <alignment horizontal="right" vertical="center"/>
    </xf>
    <xf numFmtId="164" fontId="2" fillId="0" borderId="0" xfId="60" applyNumberFormat="1" applyFont="1" applyFill="1" applyBorder="1" applyAlignment="1">
      <alignment horizontal="right" vertical="center" shrinkToFit="1"/>
    </xf>
    <xf numFmtId="0" fontId="31" fillId="2" borderId="0" xfId="10" applyFont="1" applyFill="1" applyAlignment="1">
      <alignment horizontal="right" vertical="center"/>
    </xf>
    <xf numFmtId="0" fontId="28" fillId="0" borderId="0" xfId="10" applyFont="1" applyAlignment="1">
      <alignment vertical="center"/>
    </xf>
    <xf numFmtId="0" fontId="43" fillId="2" borderId="0" xfId="10" applyFont="1" applyFill="1" applyAlignment="1">
      <alignment horizontal="left" vertical="center"/>
    </xf>
    <xf numFmtId="164" fontId="13" fillId="0" borderId="0" xfId="7" applyFont="1" applyFill="1" applyBorder="1" applyAlignment="1" applyProtection="1">
      <alignment horizontal="right" vertical="center" shrinkToFit="1"/>
      <protection locked="0"/>
    </xf>
    <xf numFmtId="9" fontId="2" fillId="0" borderId="0" xfId="48" applyFont="1" applyFill="1" applyAlignment="1" applyProtection="1">
      <alignment vertical="center"/>
      <protection locked="0"/>
    </xf>
    <xf numFmtId="0" fontId="18" fillId="0" borderId="4" xfId="0" applyFont="1" applyBorder="1" applyAlignment="1">
      <alignment vertical="center"/>
    </xf>
    <xf numFmtId="0" fontId="18" fillId="0" borderId="6" xfId="0" applyFont="1" applyBorder="1" applyAlignment="1">
      <alignment vertical="center"/>
    </xf>
    <xf numFmtId="164" fontId="1" fillId="0" borderId="0" xfId="6" applyNumberFormat="1" applyFont="1" applyAlignment="1" applyProtection="1">
      <alignment horizontal="right" vertical="center"/>
      <protection locked="0"/>
    </xf>
    <xf numFmtId="166" fontId="1" fillId="2" borderId="0" xfId="11" applyFont="1" applyFill="1" applyBorder="1" applyAlignment="1" applyProtection="1">
      <alignment horizontal="center" vertical="center" shrinkToFit="1"/>
      <protection locked="0"/>
    </xf>
    <xf numFmtId="166" fontId="1" fillId="0" borderId="0" xfId="11" applyFont="1" applyFill="1" applyBorder="1" applyAlignment="1" applyProtection="1">
      <alignment horizontal="center" vertical="center" shrinkToFit="1"/>
      <protection locked="0"/>
    </xf>
    <xf numFmtId="164" fontId="2" fillId="0" borderId="0" xfId="9" applyFont="1" applyBorder="1" applyAlignment="1">
      <alignment horizontal="right" vertical="center" shrinkToFit="1"/>
    </xf>
    <xf numFmtId="10" fontId="31" fillId="0" borderId="0" xfId="48" applyNumberFormat="1" applyFont="1" applyFill="1" applyBorder="1" applyAlignment="1" applyProtection="1">
      <alignment horizontal="right" vertical="center" shrinkToFit="1"/>
      <protection locked="0"/>
    </xf>
    <xf numFmtId="0" fontId="13" fillId="0" borderId="0" xfId="0" applyFont="1" applyAlignment="1">
      <alignment horizontal="left" vertical="center"/>
    </xf>
    <xf numFmtId="164" fontId="1" fillId="0" borderId="0" xfId="6" applyNumberFormat="1" applyFont="1" applyAlignment="1" applyProtection="1">
      <alignment horizontal="center" vertical="center"/>
      <protection locked="0"/>
    </xf>
    <xf numFmtId="164" fontId="6" fillId="0" borderId="0" xfId="7" applyFont="1" applyBorder="1" applyAlignment="1">
      <alignment vertical="center"/>
    </xf>
    <xf numFmtId="164" fontId="1" fillId="0" borderId="0" xfId="7" applyFont="1" applyBorder="1" applyAlignment="1" applyProtection="1">
      <alignment horizontal="right" vertical="center" shrinkToFit="1"/>
      <protection locked="0"/>
    </xf>
    <xf numFmtId="164" fontId="31" fillId="0" borderId="0" xfId="7" applyFont="1" applyBorder="1" applyAlignment="1" applyProtection="1">
      <alignment horizontal="center" vertical="center" shrinkToFit="1"/>
      <protection locked="0"/>
    </xf>
    <xf numFmtId="9" fontId="31" fillId="0" borderId="0" xfId="48" applyFont="1" applyBorder="1" applyAlignment="1" applyProtection="1">
      <alignment horizontal="right" vertical="center" shrinkToFit="1"/>
      <protection locked="0"/>
    </xf>
    <xf numFmtId="9" fontId="32" fillId="0" borderId="0" xfId="48" applyFont="1" applyBorder="1" applyAlignment="1">
      <alignment horizontal="right" vertical="center" shrinkToFit="1"/>
    </xf>
    <xf numFmtId="164" fontId="31" fillId="0" borderId="0" xfId="7" applyFont="1" applyBorder="1" applyAlignment="1" applyProtection="1">
      <alignment horizontal="right" vertical="center" shrinkToFit="1"/>
      <protection locked="0"/>
    </xf>
    <xf numFmtId="164" fontId="6" fillId="0" borderId="0" xfId="7" applyFont="1" applyAlignment="1">
      <alignment vertical="center"/>
    </xf>
    <xf numFmtId="164" fontId="13" fillId="0" borderId="0" xfId="7" applyFont="1" applyAlignment="1" applyProtection="1">
      <alignment horizontal="right" vertical="center" shrinkToFit="1"/>
      <protection locked="0"/>
    </xf>
    <xf numFmtId="164" fontId="1" fillId="2" borderId="0" xfId="7" applyFont="1" applyFill="1" applyAlignment="1" applyProtection="1">
      <alignment horizontal="center" vertical="center" shrinkToFit="1"/>
      <protection locked="0"/>
    </xf>
    <xf numFmtId="164" fontId="1" fillId="0" borderId="0" xfId="7" applyFont="1" applyAlignment="1" applyProtection="1">
      <alignment horizontal="center" vertical="center" shrinkToFit="1"/>
      <protection locked="0"/>
    </xf>
    <xf numFmtId="0" fontId="1" fillId="0" borderId="0" xfId="61" applyFont="1" applyAlignment="1" applyProtection="1">
      <alignment vertical="center"/>
      <protection locked="0"/>
    </xf>
    <xf numFmtId="0" fontId="1" fillId="0" borderId="2" xfId="2" applyFont="1" applyBorder="1">
      <alignment vertical="center"/>
    </xf>
    <xf numFmtId="0" fontId="9" fillId="0" borderId="0" xfId="64" applyFont="1" applyAlignment="1">
      <alignment vertical="center"/>
    </xf>
    <xf numFmtId="0" fontId="1" fillId="0" borderId="0" xfId="2" applyFont="1" applyAlignment="1">
      <alignment horizontal="center" vertical="center"/>
    </xf>
    <xf numFmtId="164" fontId="2" fillId="0" borderId="3" xfId="63" applyNumberFormat="1" applyFont="1" applyBorder="1" applyAlignment="1">
      <alignment vertical="center" shrinkToFit="1"/>
    </xf>
    <xf numFmtId="164" fontId="35" fillId="0" borderId="2" xfId="7" applyFont="1" applyBorder="1" applyAlignment="1" applyProtection="1">
      <alignment vertical="center"/>
      <protection locked="0"/>
    </xf>
    <xf numFmtId="164" fontId="2" fillId="0" borderId="0" xfId="7" applyFont="1" applyBorder="1" applyAlignment="1" applyProtection="1">
      <alignment vertical="center"/>
      <protection locked="0"/>
    </xf>
    <xf numFmtId="0" fontId="2" fillId="0" borderId="3" xfId="63" applyFont="1" applyBorder="1" applyAlignment="1">
      <alignment vertical="center"/>
    </xf>
    <xf numFmtId="164" fontId="35" fillId="0" borderId="2" xfId="7" applyFont="1" applyBorder="1" applyAlignment="1">
      <alignment vertical="center"/>
    </xf>
    <xf numFmtId="164" fontId="2" fillId="0" borderId="28" xfId="7" applyFont="1" applyBorder="1" applyAlignment="1">
      <alignment horizontal="right" vertical="center" shrinkToFit="1"/>
    </xf>
    <xf numFmtId="0" fontId="1" fillId="0" borderId="0" xfId="2" applyFont="1" applyAlignment="1">
      <alignment horizontal="left" vertical="center"/>
    </xf>
    <xf numFmtId="0" fontId="2" fillId="2" borderId="4" xfId="63" applyFont="1" applyFill="1" applyBorder="1" applyAlignment="1" applyProtection="1">
      <alignment vertical="center"/>
      <protection locked="0"/>
    </xf>
    <xf numFmtId="0" fontId="2" fillId="2" borderId="5" xfId="63" applyFont="1" applyFill="1" applyBorder="1" applyAlignment="1" applyProtection="1">
      <alignment vertical="center"/>
      <protection locked="0"/>
    </xf>
    <xf numFmtId="0" fontId="2" fillId="2" borderId="6" xfId="63" applyFont="1" applyFill="1" applyBorder="1" applyAlignment="1" applyProtection="1">
      <alignment vertical="center"/>
      <protection locked="0"/>
    </xf>
    <xf numFmtId="0" fontId="9" fillId="2" borderId="2" xfId="0" applyFont="1" applyFill="1" applyBorder="1" applyAlignment="1">
      <alignment vertical="center"/>
    </xf>
    <xf numFmtId="0" fontId="9" fillId="2" borderId="0" xfId="0" applyFont="1" applyFill="1" applyAlignment="1">
      <alignment vertical="center"/>
    </xf>
    <xf numFmtId="164" fontId="31" fillId="0" borderId="3" xfId="7" applyFont="1" applyFill="1" applyBorder="1" applyAlignment="1" applyProtection="1">
      <alignment horizontal="center" vertical="center" shrinkToFit="1"/>
      <protection locked="0"/>
    </xf>
    <xf numFmtId="0" fontId="2" fillId="0" borderId="2" xfId="2" applyFont="1" applyBorder="1" applyAlignment="1"/>
    <xf numFmtId="0" fontId="2" fillId="0" borderId="0" xfId="2" applyFont="1" applyAlignment="1"/>
    <xf numFmtId="164" fontId="1" fillId="0" borderId="0" xfId="0" applyNumberFormat="1" applyFont="1" applyAlignment="1">
      <alignment horizontal="right" vertical="center" shrinkToFit="1"/>
    </xf>
    <xf numFmtId="0" fontId="2" fillId="2" borderId="2" xfId="2" applyFont="1" applyFill="1" applyBorder="1" applyAlignment="1"/>
    <xf numFmtId="0" fontId="2" fillId="2" borderId="0" xfId="2" applyFont="1" applyFill="1" applyAlignment="1"/>
    <xf numFmtId="0" fontId="1" fillId="2" borderId="0" xfId="2" applyFont="1" applyFill="1">
      <alignment vertical="center"/>
    </xf>
    <xf numFmtId="0" fontId="1" fillId="2" borderId="2" xfId="6" applyFont="1" applyFill="1" applyBorder="1" applyAlignment="1" applyProtection="1">
      <alignment horizontal="center" vertical="center"/>
      <protection locked="0"/>
    </xf>
    <xf numFmtId="0" fontId="9" fillId="0" borderId="0" xfId="2" applyFont="1" applyAlignment="1">
      <alignment horizontal="left" vertical="center"/>
    </xf>
    <xf numFmtId="164" fontId="1" fillId="2" borderId="26" xfId="13" applyFont="1" applyFill="1" applyBorder="1" applyAlignment="1">
      <alignment horizontal="right" vertical="center" shrinkToFit="1"/>
    </xf>
    <xf numFmtId="164" fontId="1" fillId="2" borderId="0" xfId="13" applyFont="1" applyFill="1" applyBorder="1" applyAlignment="1">
      <alignment horizontal="right" vertical="center" shrinkToFit="1"/>
    </xf>
    <xf numFmtId="164" fontId="1" fillId="2" borderId="28" xfId="13" applyFont="1" applyFill="1" applyBorder="1" applyAlignment="1">
      <alignment horizontal="right" vertical="center" shrinkToFit="1"/>
    </xf>
    <xf numFmtId="0" fontId="1" fillId="2" borderId="0" xfId="2" applyFont="1" applyFill="1" applyAlignment="1">
      <alignment horizontal="center" vertical="center"/>
    </xf>
    <xf numFmtId="164" fontId="31" fillId="0" borderId="4" xfId="7" applyFont="1" applyFill="1" applyBorder="1" applyAlignment="1" applyProtection="1">
      <alignment horizontal="center" vertical="center" shrinkToFit="1"/>
      <protection locked="0"/>
    </xf>
    <xf numFmtId="164" fontId="31" fillId="0" borderId="5" xfId="7" applyFont="1" applyFill="1" applyBorder="1" applyAlignment="1" applyProtection="1">
      <alignment horizontal="center" vertical="center" shrinkToFit="1"/>
      <protection locked="0"/>
    </xf>
    <xf numFmtId="164" fontId="31" fillId="0" borderId="6" xfId="7" applyFont="1" applyFill="1" applyBorder="1" applyAlignment="1" applyProtection="1">
      <alignment horizontal="center" vertical="center" shrinkToFit="1"/>
      <protection locked="0"/>
    </xf>
    <xf numFmtId="164" fontId="2" fillId="0" borderId="0" xfId="12" applyFont="1" applyBorder="1" applyAlignment="1">
      <alignment vertical="center"/>
    </xf>
    <xf numFmtId="164" fontId="6" fillId="0" borderId="0" xfId="12" applyFont="1" applyBorder="1" applyAlignment="1">
      <alignment vertical="center"/>
    </xf>
    <xf numFmtId="164" fontId="13" fillId="0" borderId="0" xfId="12" applyFont="1" applyBorder="1" applyAlignment="1" applyProtection="1">
      <alignment horizontal="right" vertical="center" shrinkToFit="1"/>
      <protection locked="0"/>
    </xf>
    <xf numFmtId="164" fontId="13" fillId="0" borderId="0" xfId="12" applyFont="1" applyAlignment="1" applyProtection="1">
      <alignment horizontal="right" vertical="center" shrinkToFit="1"/>
      <protection locked="0"/>
    </xf>
    <xf numFmtId="164" fontId="1" fillId="2" borderId="0" xfId="12" applyFont="1" applyFill="1" applyAlignment="1" applyProtection="1">
      <alignment horizontal="center" vertical="center" shrinkToFit="1"/>
      <protection locked="0"/>
    </xf>
    <xf numFmtId="164" fontId="1" fillId="0" borderId="0" xfId="12" applyFont="1" applyAlignment="1" applyProtection="1">
      <alignment horizontal="center" vertical="center" shrinkToFit="1"/>
      <protection locked="0"/>
    </xf>
    <xf numFmtId="0" fontId="1" fillId="0" borderId="3" xfId="6" applyFont="1" applyBorder="1" applyAlignment="1" applyProtection="1">
      <alignment horizontal="center" vertical="center"/>
      <protection locked="0"/>
    </xf>
    <xf numFmtId="49" fontId="2" fillId="0" borderId="2" xfId="2" applyNumberFormat="1" applyFont="1" applyBorder="1" applyAlignment="1">
      <alignment horizontal="left" shrinkToFit="1"/>
    </xf>
    <xf numFmtId="49" fontId="2" fillId="0" borderId="0" xfId="2" applyNumberFormat="1" applyFont="1" applyAlignment="1">
      <alignment horizontal="left" shrinkToFit="1"/>
    </xf>
    <xf numFmtId="164" fontId="1" fillId="0" borderId="0" xfId="12" applyFont="1" applyFill="1" applyBorder="1" applyAlignment="1">
      <alignment horizontal="center" vertical="center" shrinkToFit="1"/>
    </xf>
    <xf numFmtId="164" fontId="1" fillId="0" borderId="26" xfId="12" applyFont="1" applyFill="1" applyBorder="1" applyAlignment="1">
      <alignment horizontal="center" vertical="center" shrinkToFit="1"/>
    </xf>
    <xf numFmtId="164" fontId="1" fillId="0" borderId="0" xfId="2" applyNumberFormat="1" applyFont="1" applyAlignment="1">
      <alignment horizontal="center" vertical="center" shrinkToFit="1"/>
    </xf>
    <xf numFmtId="0" fontId="2" fillId="0" borderId="4" xfId="2" applyFont="1" applyBorder="1" applyAlignment="1"/>
    <xf numFmtId="0" fontId="2" fillId="0" borderId="5" xfId="2" applyFont="1" applyBorder="1" applyAlignment="1"/>
    <xf numFmtId="0" fontId="1" fillId="0" borderId="5" xfId="2" applyFont="1" applyBorder="1">
      <alignment vertical="center"/>
    </xf>
    <xf numFmtId="0" fontId="1" fillId="0" borderId="5" xfId="2" applyFont="1" applyBorder="1" applyAlignment="1">
      <alignment horizontal="center" vertical="center"/>
    </xf>
    <xf numFmtId="0" fontId="1" fillId="0" borderId="6" xfId="6" applyFont="1" applyBorder="1" applyAlignment="1" applyProtection="1">
      <alignment horizontal="center" vertical="center"/>
      <protection locked="0"/>
    </xf>
    <xf numFmtId="0" fontId="44" fillId="0" borderId="0" xfId="47" applyFont="1" applyAlignment="1" applyProtection="1">
      <alignment vertical="center"/>
      <protection locked="0"/>
    </xf>
    <xf numFmtId="0" fontId="45" fillId="0" borderId="0" xfId="2" applyFont="1" applyAlignment="1">
      <alignment horizontal="left" vertical="center" wrapText="1"/>
    </xf>
    <xf numFmtId="0" fontId="46" fillId="0" borderId="0" xfId="2" applyFont="1" applyAlignment="1">
      <alignment horizontal="left" vertical="center"/>
    </xf>
    <xf numFmtId="9" fontId="46" fillId="0" borderId="0" xfId="2" applyNumberFormat="1" applyFont="1" applyAlignment="1">
      <alignment horizontal="left" vertical="center"/>
    </xf>
    <xf numFmtId="0" fontId="18" fillId="0" borderId="4" xfId="6" applyFont="1" applyBorder="1" applyAlignment="1" applyProtection="1">
      <alignment horizontal="center" vertical="center"/>
      <protection locked="0"/>
    </xf>
    <xf numFmtId="164" fontId="6" fillId="0" borderId="0" xfId="13" applyFont="1" applyAlignment="1">
      <alignment vertical="center"/>
    </xf>
    <xf numFmtId="164" fontId="13" fillId="0" borderId="0" xfId="13" applyFont="1" applyAlignment="1" applyProtection="1">
      <alignment horizontal="right" vertical="center" shrinkToFit="1"/>
      <protection locked="0"/>
    </xf>
    <xf numFmtId="164" fontId="1" fillId="2" borderId="0" xfId="13" applyFont="1" applyFill="1" applyAlignment="1" applyProtection="1">
      <alignment horizontal="center" vertical="center" shrinkToFit="1"/>
      <protection locked="0"/>
    </xf>
    <xf numFmtId="164" fontId="1" fillId="0" borderId="0" xfId="13" applyFont="1" applyAlignment="1" applyProtection="1">
      <alignment horizontal="center" vertical="center" shrinkToFit="1"/>
      <protection locked="0"/>
    </xf>
    <xf numFmtId="164" fontId="2" fillId="0" borderId="0" xfId="0" applyNumberFormat="1" applyFont="1" applyAlignment="1">
      <alignment horizontal="right" vertical="center" shrinkToFit="1"/>
    </xf>
    <xf numFmtId="0" fontId="47" fillId="0" borderId="0" xfId="66" applyFont="1" applyAlignment="1" applyProtection="1">
      <alignment horizontal="center" vertical="center"/>
      <protection locked="0"/>
    </xf>
    <xf numFmtId="0" fontId="48" fillId="0" borderId="0" xfId="66" applyFont="1" applyAlignment="1" applyProtection="1">
      <alignment horizontal="left" vertical="center"/>
      <protection locked="0"/>
    </xf>
    <xf numFmtId="0" fontId="33" fillId="0" borderId="0" xfId="8" applyFont="1" applyAlignment="1" applyProtection="1">
      <alignment horizontal="center" vertical="center"/>
      <protection locked="0"/>
    </xf>
    <xf numFmtId="0" fontId="9" fillId="0" borderId="0" xfId="66" applyFont="1" applyAlignment="1" applyProtection="1">
      <alignment horizontal="left" vertical="center"/>
      <protection locked="0"/>
    </xf>
    <xf numFmtId="0" fontId="6" fillId="0" borderId="0" xfId="66" applyFont="1" applyAlignment="1" applyProtection="1">
      <alignment horizontal="center" vertical="center"/>
      <protection locked="0"/>
    </xf>
    <xf numFmtId="0" fontId="6" fillId="0" borderId="0" xfId="8" applyFont="1" applyAlignment="1" applyProtection="1">
      <alignment horizontal="center" vertical="center"/>
      <protection locked="0"/>
    </xf>
    <xf numFmtId="0" fontId="6" fillId="0" borderId="0" xfId="65" applyFont="1" applyAlignment="1">
      <alignment horizontal="center" vertical="center" shrinkToFit="1"/>
    </xf>
    <xf numFmtId="0" fontId="2" fillId="0" borderId="0" xfId="65" applyFont="1" applyAlignment="1">
      <alignment horizontal="center" vertical="center" shrinkToFit="1"/>
    </xf>
    <xf numFmtId="0" fontId="6" fillId="0" borderId="0" xfId="66" applyFont="1" applyAlignment="1" applyProtection="1">
      <alignment horizontal="left" vertical="center"/>
      <protection locked="0"/>
    </xf>
    <xf numFmtId="0" fontId="2" fillId="2" borderId="0" xfId="58" applyFont="1" applyFill="1">
      <alignment vertical="center"/>
    </xf>
    <xf numFmtId="0" fontId="18" fillId="0" borderId="3" xfId="6" applyFont="1" applyBorder="1" applyAlignment="1" applyProtection="1">
      <alignment horizontal="center" vertical="center"/>
      <protection locked="0"/>
    </xf>
    <xf numFmtId="0" fontId="18" fillId="0" borderId="20" xfId="0" applyFont="1" applyBorder="1" applyAlignment="1">
      <alignment vertical="center"/>
    </xf>
    <xf numFmtId="0" fontId="13" fillId="0" borderId="0" xfId="0" applyFont="1" applyAlignment="1" applyProtection="1">
      <alignment vertical="center" wrapText="1"/>
      <protection locked="0"/>
    </xf>
    <xf numFmtId="0" fontId="28" fillId="2" borderId="0" xfId="58" applyFont="1" applyFill="1">
      <alignment vertical="center"/>
    </xf>
    <xf numFmtId="14" fontId="50" fillId="0" borderId="2" xfId="0" applyNumberFormat="1" applyFont="1" applyBorder="1" applyAlignment="1" applyProtection="1">
      <alignment vertical="center"/>
      <protection locked="0"/>
    </xf>
    <xf numFmtId="0" fontId="9" fillId="0" borderId="0" xfId="0" applyFont="1" applyAlignment="1">
      <alignment horizontal="center" vertical="center" wrapText="1"/>
    </xf>
    <xf numFmtId="0" fontId="9" fillId="0" borderId="3" xfId="0" applyFont="1" applyBorder="1" applyAlignment="1">
      <alignment horizontal="center" vertical="center" wrapText="1"/>
    </xf>
    <xf numFmtId="14" fontId="51" fillId="0" borderId="0" xfId="0" applyNumberFormat="1" applyFont="1" applyAlignment="1" applyProtection="1">
      <alignment vertical="center"/>
      <protection locked="0"/>
    </xf>
    <xf numFmtId="14" fontId="51" fillId="0" borderId="3" xfId="0" applyNumberFormat="1" applyFont="1" applyBorder="1" applyAlignment="1" applyProtection="1">
      <alignment vertical="center"/>
      <protection locked="0"/>
    </xf>
    <xf numFmtId="0" fontId="6" fillId="2" borderId="0" xfId="58" applyFont="1" applyFill="1" applyAlignment="1">
      <alignment horizontal="right" vertical="center"/>
    </xf>
    <xf numFmtId="0" fontId="2" fillId="2" borderId="0" xfId="58" applyFont="1" applyFill="1" applyAlignment="1">
      <alignment vertical="center" wrapText="1"/>
    </xf>
    <xf numFmtId="49" fontId="0" fillId="0" borderId="0" xfId="0" applyNumberFormat="1"/>
    <xf numFmtId="0" fontId="2" fillId="0" borderId="0" xfId="0" applyFont="1" applyAlignment="1">
      <alignment horizontal="center" vertical="center" wrapText="1"/>
    </xf>
    <xf numFmtId="0" fontId="5" fillId="0" borderId="0" xfId="0" applyFont="1" applyAlignment="1" applyProtection="1">
      <alignment horizontal="left" vertical="center"/>
      <protection locked="0"/>
    </xf>
    <xf numFmtId="0" fontId="5" fillId="0" borderId="0" xfId="0" applyFont="1" applyAlignment="1" applyProtection="1">
      <alignment vertical="center" wrapText="1"/>
      <protection locked="0"/>
    </xf>
    <xf numFmtId="0" fontId="5" fillId="0" borderId="0" xfId="0" applyFont="1" applyProtection="1">
      <protection locked="0"/>
    </xf>
    <xf numFmtId="0" fontId="5" fillId="0" borderId="5" xfId="0" applyFont="1" applyBorder="1" applyAlignment="1" applyProtection="1">
      <alignment horizontal="left" vertical="center"/>
      <protection locked="0"/>
    </xf>
    <xf numFmtId="0" fontId="5" fillId="0" borderId="5" xfId="0" applyFont="1" applyBorder="1" applyAlignment="1" applyProtection="1">
      <alignment horizontal="center" vertical="center" wrapText="1"/>
      <protection locked="0"/>
    </xf>
    <xf numFmtId="0" fontId="5" fillId="0" borderId="5" xfId="0" applyFont="1" applyBorder="1" applyAlignment="1" applyProtection="1">
      <alignment horizontal="left" vertical="center" wrapText="1"/>
      <protection locked="0"/>
    </xf>
    <xf numFmtId="0" fontId="5" fillId="0" borderId="0" xfId="0" applyFont="1" applyAlignment="1" applyProtection="1">
      <alignment horizontal="center" vertical="center" wrapText="1"/>
      <protection locked="0"/>
    </xf>
    <xf numFmtId="0" fontId="5" fillId="0" borderId="0" xfId="0" applyFont="1" applyAlignment="1" applyProtection="1">
      <alignment horizontal="left" vertical="center" wrapText="1"/>
      <protection locked="0"/>
    </xf>
    <xf numFmtId="0" fontId="5" fillId="0" borderId="17" xfId="0" applyFont="1" applyBorder="1" applyAlignment="1" applyProtection="1">
      <alignment vertical="center" wrapText="1"/>
      <protection locked="0"/>
    </xf>
    <xf numFmtId="0" fontId="5" fillId="0" borderId="24" xfId="3" applyFont="1" applyBorder="1" applyAlignment="1" applyProtection="1">
      <alignment horizontal="center" vertical="center" wrapText="1"/>
      <protection locked="0"/>
    </xf>
    <xf numFmtId="0" fontId="5" fillId="4" borderId="9" xfId="3" applyFont="1" applyFill="1" applyBorder="1" applyAlignment="1" applyProtection="1">
      <alignment horizontal="center" vertical="center" wrapText="1"/>
      <protection locked="0"/>
    </xf>
    <xf numFmtId="49" fontId="1" fillId="0" borderId="36" xfId="3" applyNumberFormat="1" applyFont="1" applyBorder="1" applyAlignment="1">
      <alignment horizontal="left" vertical="center" shrinkToFit="1"/>
    </xf>
    <xf numFmtId="0" fontId="5" fillId="0" borderId="13" xfId="3" applyFont="1" applyBorder="1" applyAlignment="1" applyProtection="1">
      <alignment horizontal="center" vertical="center" wrapText="1"/>
      <protection locked="0"/>
    </xf>
    <xf numFmtId="0" fontId="5" fillId="4" borderId="8" xfId="3" applyFont="1" applyFill="1" applyBorder="1" applyAlignment="1" applyProtection="1">
      <alignment horizontal="center" vertical="center" wrapText="1"/>
      <protection locked="0"/>
    </xf>
    <xf numFmtId="0" fontId="18" fillId="0" borderId="27" xfId="0" applyFont="1" applyBorder="1" applyAlignment="1">
      <alignment vertical="center" wrapText="1"/>
    </xf>
    <xf numFmtId="0" fontId="35" fillId="0" borderId="0" xfId="5" applyFont="1" applyAlignment="1">
      <alignment vertical="center"/>
    </xf>
    <xf numFmtId="17" fontId="18" fillId="0" borderId="41" xfId="0" applyNumberFormat="1" applyFont="1" applyBorder="1" applyAlignment="1">
      <alignment horizontal="center" vertical="center"/>
    </xf>
    <xf numFmtId="49" fontId="1" fillId="0" borderId="38" xfId="3" applyNumberFormat="1" applyFont="1" applyBorder="1" applyAlignment="1" applyProtection="1">
      <alignment horizontal="left" vertical="center" shrinkToFit="1"/>
      <protection locked="0"/>
    </xf>
    <xf numFmtId="49" fontId="31" fillId="0" borderId="39" xfId="3" applyNumberFormat="1" applyFont="1" applyBorder="1" applyAlignment="1" applyProtection="1">
      <alignment horizontal="left" vertical="center" shrinkToFit="1"/>
      <protection locked="0"/>
    </xf>
    <xf numFmtId="49" fontId="31" fillId="0" borderId="40" xfId="3" applyNumberFormat="1" applyFont="1" applyBorder="1" applyAlignment="1" applyProtection="1">
      <alignment horizontal="left" vertical="center" shrinkToFit="1"/>
      <protection locked="0"/>
    </xf>
    <xf numFmtId="164" fontId="31" fillId="0" borderId="38" xfId="3" applyNumberFormat="1" applyFont="1" applyBorder="1" applyAlignment="1" applyProtection="1">
      <alignment horizontal="right" vertical="center" shrinkToFit="1"/>
      <protection locked="0"/>
    </xf>
    <xf numFmtId="164" fontId="31" fillId="0" borderId="39" xfId="3" applyNumberFormat="1" applyFont="1" applyBorder="1" applyAlignment="1" applyProtection="1">
      <alignment horizontal="right" vertical="center" shrinkToFit="1"/>
      <protection locked="0"/>
    </xf>
    <xf numFmtId="164" fontId="1" fillId="0" borderId="39" xfId="3" applyNumberFormat="1" applyFont="1" applyBorder="1" applyAlignment="1">
      <alignment horizontal="right" vertical="center" shrinkToFit="1"/>
    </xf>
    <xf numFmtId="10" fontId="1" fillId="0" borderId="39" xfId="3" applyNumberFormat="1" applyFont="1" applyBorder="1" applyAlignment="1">
      <alignment horizontal="right" vertical="center" shrinkToFit="1"/>
    </xf>
    <xf numFmtId="49" fontId="31" fillId="0" borderId="39" xfId="40" applyNumberFormat="1" applyFont="1" applyFill="1" applyBorder="1" applyAlignment="1" applyProtection="1">
      <alignment horizontal="left" vertical="center" shrinkToFit="1"/>
      <protection locked="0"/>
    </xf>
    <xf numFmtId="164" fontId="31" fillId="0" borderId="39" xfId="4" applyFont="1" applyFill="1" applyBorder="1" applyAlignment="1" applyProtection="1">
      <alignment horizontal="right" vertical="center" shrinkToFit="1"/>
      <protection locked="0"/>
    </xf>
    <xf numFmtId="164" fontId="1" fillId="0" borderId="40" xfId="3" applyNumberFormat="1" applyFont="1" applyBorder="1" applyAlignment="1">
      <alignment horizontal="right" vertical="center" shrinkToFit="1"/>
    </xf>
    <xf numFmtId="164" fontId="1" fillId="0" borderId="38" xfId="3" applyNumberFormat="1" applyFont="1" applyBorder="1" applyAlignment="1">
      <alignment horizontal="right" vertical="center" shrinkToFit="1"/>
    </xf>
    <xf numFmtId="164" fontId="1" fillId="0" borderId="43" xfId="4" applyFont="1" applyFill="1" applyBorder="1" applyAlignment="1">
      <alignment horizontal="right" vertical="center" shrinkToFit="1"/>
    </xf>
    <xf numFmtId="10" fontId="1" fillId="0" borderId="43" xfId="4" applyNumberFormat="1" applyFont="1" applyFill="1" applyBorder="1" applyAlignment="1">
      <alignment horizontal="right" vertical="center" shrinkToFit="1"/>
    </xf>
    <xf numFmtId="0" fontId="18" fillId="0" borderId="41" xfId="0" applyFont="1" applyBorder="1" applyAlignment="1">
      <alignment vertical="center"/>
    </xf>
    <xf numFmtId="49" fontId="31" fillId="0" borderId="42" xfId="3" applyNumberFormat="1" applyFont="1" applyBorder="1" applyAlignment="1" applyProtection="1">
      <alignment horizontal="left" vertical="center" shrinkToFit="1"/>
      <protection locked="0"/>
    </xf>
    <xf numFmtId="164" fontId="1" fillId="0" borderId="43" xfId="7" applyFont="1" applyFill="1" applyBorder="1" applyAlignment="1">
      <alignment horizontal="right" vertical="center" shrinkToFit="1"/>
    </xf>
    <xf numFmtId="10" fontId="1" fillId="0" borderId="43" xfId="7" applyNumberFormat="1" applyFont="1" applyFill="1" applyBorder="1" applyAlignment="1">
      <alignment horizontal="right" vertical="center" shrinkToFit="1"/>
    </xf>
    <xf numFmtId="164" fontId="2" fillId="0" borderId="43" xfId="7" applyFont="1" applyFill="1" applyBorder="1" applyAlignment="1">
      <alignment horizontal="right" vertical="center" shrinkToFit="1"/>
    </xf>
    <xf numFmtId="10" fontId="2" fillId="0" borderId="43" xfId="7" applyNumberFormat="1" applyFont="1" applyFill="1" applyBorder="1" applyAlignment="1">
      <alignment horizontal="right" vertical="center" shrinkToFit="1"/>
    </xf>
    <xf numFmtId="49" fontId="2" fillId="0" borderId="38" xfId="10" applyNumberFormat="1" applyFont="1" applyBorder="1" applyAlignment="1">
      <alignment horizontal="left" vertical="center"/>
    </xf>
    <xf numFmtId="49" fontId="2" fillId="0" borderId="39" xfId="10" applyNumberFormat="1" applyFont="1" applyBorder="1" applyAlignment="1">
      <alignment horizontal="left" vertical="center"/>
    </xf>
    <xf numFmtId="164" fontId="2" fillId="0" borderId="39" xfId="59" applyFont="1" applyFill="1" applyBorder="1" applyAlignment="1">
      <alignment horizontal="right" vertical="center"/>
    </xf>
    <xf numFmtId="164" fontId="1" fillId="2" borderId="39" xfId="59" applyFont="1" applyFill="1" applyBorder="1" applyAlignment="1">
      <alignment horizontal="right" vertical="center"/>
    </xf>
    <xf numFmtId="10" fontId="2" fillId="0" borderId="39" xfId="10" applyNumberFormat="1" applyFont="1" applyBorder="1" applyAlignment="1">
      <alignment horizontal="right" vertical="center"/>
    </xf>
    <xf numFmtId="0" fontId="2" fillId="0" borderId="39" xfId="10" applyFont="1" applyBorder="1" applyAlignment="1">
      <alignment horizontal="right" vertical="center"/>
    </xf>
    <xf numFmtId="164" fontId="2" fillId="2" borderId="40" xfId="59" applyFont="1" applyFill="1" applyBorder="1" applyAlignment="1">
      <alignment horizontal="right" vertical="center"/>
    </xf>
    <xf numFmtId="164" fontId="2" fillId="2" borderId="43" xfId="59" applyFont="1" applyFill="1" applyBorder="1" applyAlignment="1">
      <alignment vertical="center"/>
    </xf>
    <xf numFmtId="164" fontId="2" fillId="0" borderId="43" xfId="59" applyFont="1" applyFill="1" applyBorder="1" applyAlignment="1">
      <alignment vertical="center"/>
    </xf>
    <xf numFmtId="164" fontId="2" fillId="2" borderId="43" xfId="59" applyFont="1" applyFill="1" applyBorder="1" applyAlignment="1">
      <alignment horizontal="right" vertical="center"/>
    </xf>
    <xf numFmtId="49" fontId="1" fillId="0" borderId="38" xfId="6" applyNumberFormat="1" applyFont="1" applyBorder="1" applyAlignment="1" applyProtection="1">
      <alignment horizontal="left" vertical="center" shrinkToFit="1"/>
      <protection locked="0"/>
    </xf>
    <xf numFmtId="164" fontId="1" fillId="0" borderId="39" xfId="6" applyNumberFormat="1" applyFont="1" applyBorder="1" applyAlignment="1" applyProtection="1">
      <alignment horizontal="right" vertical="center" shrinkToFit="1"/>
      <protection locked="0"/>
    </xf>
    <xf numFmtId="49" fontId="1" fillId="0" borderId="39" xfId="6" applyNumberFormat="1" applyFont="1" applyBorder="1" applyAlignment="1" applyProtection="1">
      <alignment horizontal="left" vertical="center" shrinkToFit="1"/>
      <protection locked="0"/>
    </xf>
    <xf numFmtId="0" fontId="1" fillId="0" borderId="39" xfId="8" applyFont="1" applyBorder="1" applyAlignment="1" applyProtection="1">
      <alignment horizontal="center" vertical="center"/>
      <protection locked="0"/>
    </xf>
    <xf numFmtId="0" fontId="1" fillId="0" borderId="40" xfId="8" applyFont="1" applyBorder="1" applyAlignment="1" applyProtection="1">
      <alignment horizontal="center" vertical="center"/>
      <protection locked="0"/>
    </xf>
    <xf numFmtId="164" fontId="1" fillId="0" borderId="43" xfId="12" applyFont="1" applyFill="1" applyBorder="1" applyAlignment="1">
      <alignment horizontal="center" vertical="center" shrinkToFit="1"/>
    </xf>
    <xf numFmtId="165" fontId="1" fillId="0" borderId="38" xfId="0" applyNumberFormat="1" applyFont="1" applyBorder="1" applyAlignment="1" applyProtection="1">
      <alignment vertical="center"/>
      <protection locked="0"/>
    </xf>
    <xf numFmtId="165" fontId="1" fillId="0" borderId="39" xfId="0" applyNumberFormat="1" applyFont="1" applyBorder="1" applyAlignment="1" applyProtection="1">
      <alignment vertical="center"/>
      <protection locked="0"/>
    </xf>
    <xf numFmtId="1" fontId="1" fillId="0" borderId="39" xfId="0" applyNumberFormat="1" applyFont="1" applyBorder="1" applyAlignment="1" applyProtection="1">
      <alignment horizontal="right"/>
      <protection locked="0"/>
    </xf>
    <xf numFmtId="165" fontId="1" fillId="0" borderId="40" xfId="0" applyNumberFormat="1" applyFont="1" applyBorder="1" applyAlignment="1" applyProtection="1">
      <alignment vertical="center"/>
      <protection locked="0"/>
    </xf>
    <xf numFmtId="0" fontId="2" fillId="2" borderId="2" xfId="0" applyFont="1" applyFill="1" applyBorder="1" applyAlignment="1" applyProtection="1">
      <alignment horizontal="left" vertical="center"/>
      <protection locked="0"/>
    </xf>
    <xf numFmtId="49" fontId="2" fillId="5" borderId="0" xfId="0" applyNumberFormat="1" applyFont="1" applyFill="1" applyAlignment="1" applyProtection="1">
      <alignment horizontal="center" vertical="center" shrinkToFit="1"/>
      <protection locked="0"/>
    </xf>
    <xf numFmtId="0" fontId="2" fillId="4" borderId="0" xfId="0" applyFont="1" applyFill="1" applyAlignment="1" applyProtection="1">
      <alignment vertical="center"/>
      <protection locked="0"/>
    </xf>
    <xf numFmtId="164" fontId="2" fillId="2" borderId="3" xfId="0" applyNumberFormat="1" applyFont="1" applyFill="1" applyBorder="1" applyAlignment="1" applyProtection="1">
      <alignment horizontal="left" vertical="center" shrinkToFit="1"/>
      <protection locked="0"/>
    </xf>
    <xf numFmtId="0" fontId="2" fillId="4" borderId="2" xfId="0" applyFont="1" applyFill="1" applyBorder="1" applyAlignment="1" applyProtection="1">
      <alignment vertical="center"/>
      <protection locked="0"/>
    </xf>
    <xf numFmtId="0" fontId="2" fillId="4" borderId="0" xfId="0" applyFont="1" applyFill="1" applyAlignment="1" applyProtection="1">
      <alignment horizontal="left" vertical="center"/>
      <protection locked="0"/>
    </xf>
    <xf numFmtId="0" fontId="2" fillId="4" borderId="3" xfId="0" applyFont="1" applyFill="1" applyBorder="1" applyAlignment="1" applyProtection="1">
      <alignment horizontal="left" vertical="center"/>
      <protection locked="0"/>
    </xf>
    <xf numFmtId="14" fontId="2" fillId="5" borderId="0" xfId="0" applyNumberFormat="1" applyFont="1" applyFill="1" applyAlignment="1" applyProtection="1">
      <alignment horizontal="center" vertical="center" shrinkToFit="1"/>
      <protection locked="0"/>
    </xf>
    <xf numFmtId="0" fontId="35" fillId="4" borderId="0" xfId="0" applyFont="1" applyFill="1" applyAlignment="1" applyProtection="1">
      <alignment vertical="center"/>
      <protection locked="0"/>
    </xf>
    <xf numFmtId="0" fontId="2" fillId="7" borderId="0" xfId="0" applyFont="1" applyFill="1" applyAlignment="1" applyProtection="1">
      <alignment horizontal="left" vertical="center"/>
      <protection locked="0"/>
    </xf>
    <xf numFmtId="0" fontId="2" fillId="7" borderId="3" xfId="0" applyFont="1" applyFill="1" applyBorder="1" applyAlignment="1" applyProtection="1">
      <alignment horizontal="left" vertical="center"/>
      <protection locked="0"/>
    </xf>
    <xf numFmtId="0" fontId="2" fillId="4" borderId="4" xfId="0" applyFont="1" applyFill="1" applyBorder="1" applyAlignment="1" applyProtection="1">
      <alignment vertical="center"/>
      <protection locked="0"/>
    </xf>
    <xf numFmtId="0" fontId="1" fillId="0" borderId="0" xfId="0" applyFont="1" applyAlignment="1" applyProtection="1">
      <alignment horizontal="right" vertical="center"/>
      <protection locked="0"/>
    </xf>
    <xf numFmtId="0" fontId="6" fillId="0" borderId="0" xfId="0" applyFont="1" applyAlignment="1">
      <alignment horizontal="left" vertical="center"/>
    </xf>
    <xf numFmtId="0" fontId="9" fillId="0" borderId="0" xfId="43" applyFont="1" applyAlignment="1">
      <alignment vertical="center"/>
    </xf>
    <xf numFmtId="0" fontId="141" fillId="0" borderId="0" xfId="43" applyFont="1" applyAlignment="1">
      <alignment vertical="center"/>
    </xf>
    <xf numFmtId="0" fontId="7" fillId="0" borderId="0" xfId="0" applyFont="1" applyAlignment="1">
      <alignment horizontal="center" vertical="center"/>
    </xf>
    <xf numFmtId="0" fontId="5" fillId="0" borderId="36" xfId="0" applyFont="1" applyBorder="1" applyAlignment="1">
      <alignment horizontal="center" vertical="center"/>
    </xf>
    <xf numFmtId="0" fontId="9" fillId="7" borderId="38" xfId="0" applyFont="1" applyFill="1" applyBorder="1" applyAlignment="1">
      <alignment horizontal="center" vertical="center"/>
    </xf>
    <xf numFmtId="0" fontId="9" fillId="7" borderId="40" xfId="0" applyFont="1" applyFill="1" applyBorder="1" applyAlignment="1">
      <alignment horizontal="center" vertical="center"/>
    </xf>
    <xf numFmtId="0" fontId="142" fillId="0" borderId="0" xfId="0" applyFont="1" applyAlignment="1" applyProtection="1">
      <alignment vertical="center"/>
      <protection locked="0"/>
    </xf>
    <xf numFmtId="0" fontId="5" fillId="2" borderId="0" xfId="0" applyFont="1" applyFill="1" applyAlignment="1">
      <alignment horizontal="center" vertical="center" wrapText="1"/>
    </xf>
    <xf numFmtId="169" fontId="5" fillId="0" borderId="0" xfId="1236" applyNumberFormat="1" applyFont="1" applyFill="1" applyBorder="1" applyAlignment="1" applyProtection="1">
      <alignment horizontal="right" vertical="center"/>
      <protection locked="0"/>
    </xf>
    <xf numFmtId="169" fontId="2" fillId="0" borderId="0" xfId="1236" applyNumberFormat="1" applyFont="1" applyFill="1" applyBorder="1" applyAlignment="1" applyProtection="1">
      <alignment vertical="center"/>
      <protection locked="0"/>
    </xf>
    <xf numFmtId="0" fontId="6" fillId="0" borderId="7" xfId="452" applyFont="1" applyBorder="1" applyAlignment="1">
      <alignment horizontal="left" vertical="center"/>
    </xf>
    <xf numFmtId="0" fontId="1" fillId="0" borderId="12" xfId="452" applyFont="1" applyBorder="1" applyAlignment="1">
      <alignment vertical="center" wrapText="1"/>
    </xf>
    <xf numFmtId="0" fontId="6" fillId="0" borderId="38" xfId="452" applyFont="1" applyBorder="1" applyAlignment="1">
      <alignment horizontal="left" vertical="center"/>
    </xf>
    <xf numFmtId="0" fontId="1" fillId="0" borderId="40" xfId="452" applyFont="1" applyBorder="1" applyAlignment="1">
      <alignment vertical="center" wrapText="1"/>
    </xf>
    <xf numFmtId="202" fontId="18" fillId="0" borderId="0" xfId="29" applyNumberFormat="1" applyFont="1" applyAlignment="1">
      <alignment horizontal="left" vertical="center"/>
    </xf>
    <xf numFmtId="202" fontId="6" fillId="0" borderId="0" xfId="29" applyNumberFormat="1" applyFont="1" applyAlignment="1">
      <alignment horizontal="center" vertical="center"/>
    </xf>
    <xf numFmtId="0" fontId="6" fillId="2" borderId="0" xfId="10" applyFont="1" applyFill="1" applyAlignment="1">
      <alignment horizontal="center" vertical="center"/>
    </xf>
    <xf numFmtId="0" fontId="6" fillId="2" borderId="0" xfId="6" applyFont="1" applyFill="1" applyAlignment="1" applyProtection="1">
      <alignment horizontal="center" vertical="center"/>
      <protection locked="0"/>
    </xf>
    <xf numFmtId="202" fontId="143" fillId="0" borderId="0" xfId="43" applyNumberFormat="1" applyFont="1" applyAlignment="1">
      <alignment horizontal="center" vertical="center"/>
    </xf>
    <xf numFmtId="169" fontId="2" fillId="0" borderId="11" xfId="1236" applyNumberFormat="1" applyFont="1" applyBorder="1" applyAlignment="1" applyProtection="1">
      <alignment horizontal="center" vertical="center"/>
      <protection locked="0"/>
    </xf>
    <xf numFmtId="169" fontId="2" fillId="0" borderId="22" xfId="1236" applyNumberFormat="1" applyFont="1" applyBorder="1" applyAlignment="1" applyProtection="1">
      <alignment horizontal="center" vertical="center"/>
      <protection locked="0"/>
    </xf>
    <xf numFmtId="169" fontId="2" fillId="0" borderId="23" xfId="1236" applyNumberFormat="1" applyFont="1" applyBorder="1" applyAlignment="1" applyProtection="1">
      <alignment horizontal="center" vertical="center"/>
      <protection locked="0"/>
    </xf>
    <xf numFmtId="0" fontId="1" fillId="0" borderId="0" xfId="31" applyFont="1" applyAlignment="1" applyProtection="1">
      <alignment vertical="center"/>
      <protection locked="0"/>
    </xf>
    <xf numFmtId="0" fontId="2" fillId="0" borderId="4" xfId="24" applyFont="1" applyBorder="1" applyAlignment="1" applyProtection="1">
      <alignment vertical="center"/>
      <protection locked="0"/>
    </xf>
    <xf numFmtId="0" fontId="2" fillId="0" borderId="5" xfId="24" applyFont="1" applyBorder="1" applyAlignment="1" applyProtection="1">
      <alignment vertical="center"/>
      <protection locked="0"/>
    </xf>
    <xf numFmtId="0" fontId="6" fillId="0" borderId="5" xfId="24" applyFont="1" applyBorder="1" applyAlignment="1" applyProtection="1">
      <alignment vertical="center"/>
      <protection locked="0"/>
    </xf>
    <xf numFmtId="0" fontId="2" fillId="0" borderId="6" xfId="24" applyFont="1" applyBorder="1" applyAlignment="1" applyProtection="1">
      <alignment horizontal="left" vertical="center"/>
      <protection locked="0"/>
    </xf>
    <xf numFmtId="10" fontId="2" fillId="0" borderId="46" xfId="32" applyNumberFormat="1" applyFont="1" applyBorder="1" applyAlignment="1" applyProtection="1">
      <alignment horizontal="right" vertical="center" shrinkToFit="1"/>
    </xf>
    <xf numFmtId="164" fontId="2" fillId="0" borderId="47" xfId="9" applyFont="1" applyBorder="1" applyAlignment="1" applyProtection="1">
      <alignment horizontal="right" vertical="center" shrinkToFit="1"/>
    </xf>
    <xf numFmtId="10" fontId="2" fillId="0" borderId="48" xfId="32" applyNumberFormat="1" applyFont="1" applyBorder="1" applyAlignment="1">
      <alignment horizontal="right" vertical="center" shrinkToFit="1"/>
    </xf>
    <xf numFmtId="0" fontId="1" fillId="5" borderId="49" xfId="21" applyFill="1" applyBorder="1" applyAlignment="1" applyProtection="1">
      <alignment horizontal="center" vertical="center"/>
      <protection locked="0"/>
    </xf>
    <xf numFmtId="0" fontId="5" fillId="0" borderId="50" xfId="0" applyFont="1" applyBorder="1" applyAlignment="1" applyProtection="1">
      <alignment horizontal="center" vertical="center" wrapText="1"/>
      <protection locked="0"/>
    </xf>
    <xf numFmtId="0" fontId="5" fillId="0" borderId="51" xfId="0" applyFont="1" applyBorder="1" applyAlignment="1" applyProtection="1">
      <alignment horizontal="left" vertical="center" wrapText="1"/>
      <protection locked="0"/>
    </xf>
    <xf numFmtId="0" fontId="1" fillId="0" borderId="52" xfId="23" applyFont="1" applyBorder="1" applyAlignment="1" applyProtection="1">
      <alignment horizontal="left" vertical="center" wrapText="1"/>
      <protection locked="0"/>
    </xf>
    <xf numFmtId="0" fontId="1" fillId="9" borderId="53" xfId="0" applyFont="1" applyFill="1" applyBorder="1" applyAlignment="1">
      <alignment horizontal="center" vertical="center" wrapText="1"/>
    </xf>
    <xf numFmtId="0" fontId="1" fillId="9" borderId="54" xfId="0" applyFont="1" applyFill="1" applyBorder="1" applyAlignment="1">
      <alignment horizontal="center" vertical="center" wrapText="1"/>
    </xf>
    <xf numFmtId="0" fontId="6" fillId="7" borderId="12" xfId="3" applyFont="1" applyFill="1" applyBorder="1" applyAlignment="1" applyProtection="1">
      <alignment horizontal="center" vertical="top" wrapText="1"/>
      <protection locked="0"/>
    </xf>
    <xf numFmtId="0" fontId="1" fillId="9" borderId="15" xfId="0" applyFont="1" applyFill="1" applyBorder="1" applyAlignment="1">
      <alignment horizontal="center" vertical="center" wrapText="1"/>
    </xf>
    <xf numFmtId="0" fontId="31" fillId="0" borderId="55" xfId="3" applyFont="1" applyBorder="1" applyAlignment="1" applyProtection="1">
      <alignment horizontal="center" vertical="center" wrapText="1"/>
      <protection locked="0"/>
    </xf>
    <xf numFmtId="10" fontId="1" fillId="0" borderId="14" xfId="3" applyNumberFormat="1" applyFont="1" applyBorder="1" applyAlignment="1">
      <alignment horizontal="right" vertical="center" shrinkToFit="1"/>
    </xf>
    <xf numFmtId="0" fontId="6" fillId="4" borderId="10" xfId="3" applyFont="1" applyFill="1" applyBorder="1" applyAlignment="1" applyProtection="1">
      <alignment horizontal="center" vertical="top" wrapText="1"/>
      <protection locked="0"/>
    </xf>
    <xf numFmtId="0" fontId="31" fillId="0" borderId="14" xfId="3" applyFont="1" applyBorder="1" applyAlignment="1" applyProtection="1">
      <alignment horizontal="center" vertical="center" wrapText="1"/>
      <protection locked="0"/>
    </xf>
    <xf numFmtId="10" fontId="1" fillId="0" borderId="36" xfId="3" applyNumberFormat="1" applyFont="1" applyBorder="1" applyAlignment="1">
      <alignment horizontal="right" vertical="center" shrinkToFit="1"/>
    </xf>
    <xf numFmtId="0" fontId="42" fillId="0" borderId="0" xfId="10" applyFont="1" applyAlignment="1">
      <alignment vertical="center"/>
    </xf>
    <xf numFmtId="0" fontId="5" fillId="0" borderId="0" xfId="0" applyFont="1" applyAlignment="1">
      <alignment horizontal="center" vertical="center"/>
    </xf>
    <xf numFmtId="0" fontId="9" fillId="7" borderId="56" xfId="0" applyFont="1" applyFill="1" applyBorder="1" applyAlignment="1">
      <alignment horizontal="center" vertical="center"/>
    </xf>
    <xf numFmtId="0" fontId="5" fillId="2" borderId="41" xfId="0" applyFont="1" applyFill="1" applyBorder="1" applyAlignment="1">
      <alignment horizontal="center" vertical="center" wrapText="1"/>
    </xf>
    <xf numFmtId="0" fontId="5" fillId="0" borderId="42" xfId="0" applyFont="1" applyBorder="1" applyAlignment="1">
      <alignment horizontal="center" vertical="center"/>
    </xf>
    <xf numFmtId="169" fontId="5" fillId="0" borderId="39" xfId="1236" applyNumberFormat="1" applyFont="1" applyFill="1" applyBorder="1" applyAlignment="1" applyProtection="1">
      <alignment horizontal="right" vertical="center"/>
      <protection locked="0"/>
    </xf>
    <xf numFmtId="0" fontId="144" fillId="0" borderId="0" xfId="0" applyFont="1" applyAlignment="1">
      <alignment vertical="center"/>
    </xf>
    <xf numFmtId="0" fontId="9" fillId="0" borderId="0" xfId="0" applyFont="1" applyAlignment="1">
      <alignment vertical="center"/>
    </xf>
    <xf numFmtId="0" fontId="9" fillId="50" borderId="38" xfId="0" applyFont="1" applyFill="1" applyBorder="1" applyAlignment="1">
      <alignment horizontal="left" vertical="center"/>
    </xf>
    <xf numFmtId="9" fontId="1" fillId="0" borderId="40" xfId="0" applyNumberFormat="1" applyFont="1" applyBorder="1" applyAlignment="1">
      <alignment horizontal="right" vertical="center" wrapText="1"/>
    </xf>
    <xf numFmtId="0" fontId="6" fillId="0" borderId="0" xfId="34" applyFont="1" applyAlignment="1">
      <alignment horizontal="right"/>
    </xf>
    <xf numFmtId="168" fontId="31" fillId="0" borderId="0" xfId="36" applyNumberFormat="1" applyFont="1" applyAlignment="1">
      <alignment vertical="center"/>
    </xf>
    <xf numFmtId="0" fontId="145" fillId="0" borderId="0" xfId="37" applyFont="1"/>
    <xf numFmtId="0" fontId="31" fillId="0" borderId="0" xfId="36" applyFont="1" applyAlignment="1">
      <alignment vertical="center"/>
    </xf>
    <xf numFmtId="0" fontId="9" fillId="0" borderId="56" xfId="452" applyFont="1" applyBorder="1" applyAlignment="1">
      <alignment vertical="center"/>
    </xf>
    <xf numFmtId="0" fontId="31" fillId="0" borderId="56" xfId="3" applyFont="1" applyBorder="1" applyAlignment="1">
      <alignment vertical="center" wrapText="1"/>
    </xf>
    <xf numFmtId="0" fontId="31" fillId="2" borderId="56" xfId="3" applyFont="1" applyFill="1" applyBorder="1" applyAlignment="1" applyProtection="1">
      <alignment vertical="center"/>
      <protection locked="0"/>
    </xf>
    <xf numFmtId="0" fontId="142" fillId="0" borderId="0" xfId="0" applyFont="1" applyAlignment="1">
      <alignment vertical="center"/>
    </xf>
    <xf numFmtId="0" fontId="11" fillId="0" borderId="51" xfId="57" quotePrefix="1" applyFont="1" applyBorder="1" applyAlignment="1" applyProtection="1">
      <alignment horizontal="center" vertical="center" wrapText="1"/>
      <protection locked="0"/>
    </xf>
    <xf numFmtId="0" fontId="2" fillId="0" borderId="57" xfId="31" applyFont="1" applyBorder="1" applyAlignment="1" applyProtection="1">
      <alignment horizontal="center" vertical="center"/>
      <protection locked="0"/>
    </xf>
    <xf numFmtId="0" fontId="2" fillId="0" borderId="58" xfId="31" applyFont="1" applyBorder="1" applyAlignment="1" applyProtection="1">
      <alignment horizontal="center" vertical="center" wrapText="1"/>
      <protection locked="0"/>
    </xf>
    <xf numFmtId="0" fontId="2" fillId="0" borderId="57" xfId="31" applyFont="1" applyBorder="1" applyAlignment="1" applyProtection="1">
      <alignment horizontal="center" vertical="center" wrapText="1"/>
      <protection locked="0"/>
    </xf>
    <xf numFmtId="0" fontId="2" fillId="0" borderId="44" xfId="31" applyFont="1" applyBorder="1" applyAlignment="1" applyProtection="1">
      <alignment horizontal="center" vertical="center" wrapText="1"/>
      <protection locked="0"/>
    </xf>
    <xf numFmtId="167" fontId="2" fillId="0" borderId="59" xfId="6" applyNumberFormat="1" applyFont="1" applyBorder="1" applyAlignment="1" applyProtection="1">
      <alignment horizontal="left" vertical="center" shrinkToFit="1"/>
      <protection locked="0"/>
    </xf>
    <xf numFmtId="167" fontId="2" fillId="0" borderId="47" xfId="6" applyNumberFormat="1" applyFont="1" applyBorder="1" applyAlignment="1" applyProtection="1">
      <alignment horizontal="left" vertical="center" shrinkToFit="1"/>
      <protection locked="0"/>
    </xf>
    <xf numFmtId="164" fontId="2" fillId="0" borderId="60" xfId="6" applyNumberFormat="1" applyFont="1" applyBorder="1" applyAlignment="1">
      <alignment horizontal="right" vertical="center" shrinkToFit="1"/>
    </xf>
    <xf numFmtId="0" fontId="6" fillId="0" borderId="0" xfId="0" applyFont="1" applyAlignment="1">
      <alignment vertical="center" wrapText="1"/>
    </xf>
    <xf numFmtId="0" fontId="2" fillId="0" borderId="61" xfId="31" applyFont="1" applyBorder="1" applyAlignment="1" applyProtection="1">
      <alignment vertical="center"/>
      <protection locked="0"/>
    </xf>
    <xf numFmtId="0" fontId="2" fillId="0" borderId="44" xfId="31" applyFont="1" applyBorder="1" applyAlignment="1" applyProtection="1">
      <alignment vertical="center"/>
      <protection locked="0"/>
    </xf>
    <xf numFmtId="0" fontId="2" fillId="0" borderId="45" xfId="31" applyFont="1" applyBorder="1" applyAlignment="1" applyProtection="1">
      <alignment horizontal="center" vertical="center" wrapText="1"/>
      <protection locked="0"/>
    </xf>
    <xf numFmtId="164" fontId="2" fillId="0" borderId="62" xfId="6" applyNumberFormat="1" applyFont="1" applyBorder="1" applyAlignment="1">
      <alignment horizontal="right" vertical="center" shrinkToFit="1"/>
    </xf>
    <xf numFmtId="164" fontId="2" fillId="0" borderId="48" xfId="6" applyNumberFormat="1" applyFont="1" applyBorder="1" applyAlignment="1">
      <alignment horizontal="right" vertical="center" shrinkToFit="1"/>
    </xf>
    <xf numFmtId="0" fontId="2" fillId="0" borderId="63" xfId="31" applyFont="1" applyBorder="1" applyAlignment="1" applyProtection="1">
      <alignment horizontal="center" vertical="center"/>
      <protection locked="0"/>
    </xf>
    <xf numFmtId="0" fontId="8" fillId="2" borderId="64" xfId="0" applyFont="1" applyFill="1" applyBorder="1" applyAlignment="1" applyProtection="1">
      <alignment horizontal="center" vertical="center" wrapText="1"/>
      <protection locked="0"/>
    </xf>
    <xf numFmtId="0" fontId="8" fillId="2" borderId="65" xfId="0" applyFont="1" applyFill="1" applyBorder="1" applyAlignment="1" applyProtection="1">
      <alignment horizontal="center" vertical="center" wrapText="1"/>
      <protection locked="0"/>
    </xf>
    <xf numFmtId="49" fontId="5" fillId="0" borderId="66" xfId="6" applyNumberFormat="1" applyFont="1" applyBorder="1" applyAlignment="1" applyProtection="1">
      <alignment horizontal="center" vertical="center" wrapText="1"/>
      <protection locked="0"/>
    </xf>
    <xf numFmtId="164" fontId="2" fillId="0" borderId="67" xfId="9" applyFont="1" applyBorder="1" applyAlignment="1" applyProtection="1">
      <alignment horizontal="right" vertical="center" shrinkToFit="1"/>
    </xf>
    <xf numFmtId="0" fontId="5" fillId="10" borderId="0" xfId="0" applyFont="1" applyFill="1" applyAlignment="1">
      <alignment vertical="center"/>
    </xf>
    <xf numFmtId="0" fontId="17" fillId="3" borderId="73" xfId="0" applyFont="1" applyFill="1" applyBorder="1" applyAlignment="1" applyProtection="1">
      <alignment horizontal="left" vertical="center" wrapText="1"/>
      <protection locked="0"/>
    </xf>
    <xf numFmtId="0" fontId="17" fillId="0" borderId="74" xfId="0" applyFont="1" applyBorder="1" applyAlignment="1">
      <alignment vertical="center"/>
    </xf>
    <xf numFmtId="0" fontId="17" fillId="51" borderId="73" xfId="0" applyFont="1" applyFill="1" applyBorder="1" applyAlignment="1" applyProtection="1">
      <alignment horizontal="left" vertical="center" wrapText="1"/>
      <protection locked="0"/>
    </xf>
    <xf numFmtId="164" fontId="16" fillId="0" borderId="73" xfId="4" applyFont="1" applyFill="1" applyBorder="1" applyAlignment="1">
      <alignment horizontal="left" vertical="center" shrinkToFit="1"/>
    </xf>
    <xf numFmtId="164" fontId="16" fillId="0" borderId="73" xfId="4" applyFont="1" applyFill="1" applyBorder="1" applyAlignment="1">
      <alignment horizontal="right" vertical="center" shrinkToFit="1"/>
    </xf>
    <xf numFmtId="0" fontId="19" fillId="0" borderId="73" xfId="0" applyFont="1" applyBorder="1" applyAlignment="1" applyProtection="1">
      <alignment horizontal="left" vertical="center" wrapText="1"/>
      <protection locked="0"/>
    </xf>
    <xf numFmtId="0" fontId="18" fillId="0" borderId="74" xfId="0" applyFont="1" applyBorder="1" applyAlignment="1">
      <alignment vertical="center"/>
    </xf>
    <xf numFmtId="0" fontId="16" fillId="0" borderId="73" xfId="10" applyFont="1" applyBorder="1" applyAlignment="1">
      <alignment vertical="center"/>
    </xf>
    <xf numFmtId="0" fontId="20" fillId="3" borderId="75" xfId="0" applyFont="1" applyFill="1" applyBorder="1" applyAlignment="1">
      <alignment vertical="center"/>
    </xf>
    <xf numFmtId="0" fontId="20" fillId="3" borderId="76" xfId="0" applyFont="1" applyFill="1" applyBorder="1" applyAlignment="1" applyProtection="1">
      <alignment vertical="center"/>
      <protection locked="0"/>
    </xf>
    <xf numFmtId="0" fontId="18" fillId="0" borderId="75" xfId="2" applyFont="1" applyBorder="1" applyAlignment="1">
      <alignment horizontal="left" vertical="top"/>
    </xf>
    <xf numFmtId="0" fontId="18" fillId="0" borderId="76" xfId="0" applyFont="1" applyBorder="1" applyAlignment="1">
      <alignment vertical="center" wrapText="1"/>
    </xf>
    <xf numFmtId="0" fontId="29" fillId="0" borderId="73" xfId="0" applyFont="1" applyBorder="1" applyAlignment="1" applyProtection="1">
      <alignment vertical="center" wrapText="1"/>
      <protection locked="0"/>
    </xf>
    <xf numFmtId="0" fontId="18" fillId="0" borderId="77" xfId="0" applyFont="1" applyBorder="1" applyAlignment="1">
      <alignment vertical="center"/>
    </xf>
    <xf numFmtId="0" fontId="2" fillId="2" borderId="73" xfId="10" applyFont="1" applyFill="1" applyBorder="1" applyAlignment="1">
      <alignment horizontal="left" vertical="center"/>
    </xf>
    <xf numFmtId="164" fontId="42" fillId="8" borderId="57" xfId="59" applyFont="1" applyFill="1" applyBorder="1" applyAlignment="1" applyProtection="1">
      <alignment horizontal="center" vertical="center" wrapText="1"/>
      <protection locked="0"/>
    </xf>
    <xf numFmtId="0" fontId="9" fillId="8" borderId="58" xfId="10" applyFont="1" applyFill="1" applyBorder="1" applyAlignment="1" applyProtection="1">
      <alignment horizontal="center" vertical="center" wrapText="1"/>
      <protection locked="0"/>
    </xf>
    <xf numFmtId="0" fontId="9" fillId="8" borderId="58" xfId="10" applyFont="1" applyFill="1" applyBorder="1" applyAlignment="1">
      <alignment horizontal="center" vertical="center" wrapText="1"/>
    </xf>
    <xf numFmtId="0" fontId="9" fillId="7" borderId="58" xfId="10" applyFont="1" applyFill="1" applyBorder="1" applyAlignment="1">
      <alignment horizontal="center" vertical="center" wrapText="1"/>
    </xf>
    <xf numFmtId="49" fontId="2" fillId="2" borderId="78" xfId="10" applyNumberFormat="1" applyFont="1" applyFill="1" applyBorder="1" applyAlignment="1">
      <alignment horizontal="left" vertical="center"/>
    </xf>
    <xf numFmtId="49" fontId="2" fillId="2" borderId="73" xfId="10" applyNumberFormat="1" applyFont="1" applyFill="1" applyBorder="1" applyAlignment="1">
      <alignment horizontal="left" vertical="center"/>
    </xf>
    <xf numFmtId="164" fontId="2" fillId="2" borderId="73" xfId="59" applyFont="1" applyFill="1" applyBorder="1" applyAlignment="1">
      <alignment horizontal="right" vertical="center"/>
    </xf>
    <xf numFmtId="10" fontId="2" fillId="2" borderId="73" xfId="51" applyNumberFormat="1" applyFont="1" applyFill="1" applyBorder="1" applyAlignment="1">
      <alignment horizontal="right" vertical="center"/>
    </xf>
    <xf numFmtId="14" fontId="2" fillId="2" borderId="73" xfId="10" applyNumberFormat="1" applyFont="1" applyFill="1" applyBorder="1" applyAlignment="1">
      <alignment vertical="center"/>
    </xf>
    <xf numFmtId="0" fontId="2" fillId="0" borderId="73" xfId="10" applyFont="1" applyBorder="1" applyAlignment="1">
      <alignment horizontal="right" vertical="center"/>
    </xf>
    <xf numFmtId="164" fontId="2" fillId="0" borderId="79" xfId="59" applyFont="1" applyFill="1" applyBorder="1" applyAlignment="1">
      <alignment horizontal="right" vertical="center"/>
    </xf>
    <xf numFmtId="49" fontId="2" fillId="0" borderId="62" xfId="10" applyNumberFormat="1" applyFont="1" applyBorder="1" applyAlignment="1">
      <alignment horizontal="left" vertical="center"/>
    </xf>
    <xf numFmtId="49" fontId="2" fillId="0" borderId="60" xfId="10" applyNumberFormat="1" applyFont="1" applyBorder="1" applyAlignment="1">
      <alignment horizontal="left" vertical="center"/>
    </xf>
    <xf numFmtId="164" fontId="2" fillId="0" borderId="60" xfId="59" applyFont="1" applyFill="1" applyBorder="1" applyAlignment="1">
      <alignment horizontal="right" vertical="center"/>
    </xf>
    <xf numFmtId="10" fontId="2" fillId="0" borderId="60" xfId="51" applyNumberFormat="1" applyFont="1" applyFill="1" applyBorder="1" applyAlignment="1">
      <alignment horizontal="right" vertical="center"/>
    </xf>
    <xf numFmtId="14" fontId="2" fillId="0" borderId="60" xfId="10" applyNumberFormat="1" applyFont="1" applyBorder="1" applyAlignment="1">
      <alignment vertical="center"/>
    </xf>
    <xf numFmtId="0" fontId="2" fillId="2" borderId="60" xfId="10" applyFont="1" applyFill="1" applyBorder="1" applyAlignment="1">
      <alignment horizontal="left" vertical="center"/>
    </xf>
    <xf numFmtId="164" fontId="2" fillId="0" borderId="48" xfId="59" applyFont="1" applyFill="1" applyBorder="1" applyAlignment="1">
      <alignment horizontal="right" vertical="center"/>
    </xf>
    <xf numFmtId="0" fontId="9" fillId="5" borderId="0" xfId="21" applyFont="1" applyFill="1" applyAlignment="1" applyProtection="1">
      <alignment horizontal="left" vertical="center"/>
      <protection locked="0"/>
    </xf>
    <xf numFmtId="0" fontId="149" fillId="0" borderId="0" xfId="2" applyFont="1">
      <alignment vertical="center"/>
    </xf>
    <xf numFmtId="0" fontId="149" fillId="0" borderId="0" xfId="6" applyFont="1" applyAlignment="1" applyProtection="1">
      <alignment horizontal="center" vertical="center"/>
      <protection locked="0"/>
    </xf>
    <xf numFmtId="0" fontId="149" fillId="0" borderId="0" xfId="6" applyFont="1" applyAlignment="1" applyProtection="1">
      <alignment vertical="center"/>
      <protection locked="0"/>
    </xf>
    <xf numFmtId="0" fontId="149" fillId="0" borderId="0" xfId="10" applyFont="1" applyAlignment="1">
      <alignment vertical="center"/>
    </xf>
    <xf numFmtId="0" fontId="149" fillId="2" borderId="0" xfId="58" applyFont="1" applyFill="1" applyAlignment="1">
      <alignment vertical="center" shrinkToFit="1"/>
    </xf>
    <xf numFmtId="0" fontId="149" fillId="0" borderId="0" xfId="3" applyFont="1" applyAlignment="1" applyProtection="1">
      <alignment horizontal="center" vertical="center"/>
      <protection locked="0"/>
    </xf>
    <xf numFmtId="0" fontId="149" fillId="0" borderId="0" xfId="0" applyFont="1" applyAlignment="1" applyProtection="1">
      <alignment vertical="center"/>
      <protection locked="0"/>
    </xf>
    <xf numFmtId="0" fontId="6" fillId="0" borderId="0" xfId="0" applyFont="1" applyAlignment="1" applyProtection="1">
      <alignment vertical="center"/>
      <protection locked="0"/>
    </xf>
    <xf numFmtId="0" fontId="12" fillId="10" borderId="0" xfId="0" applyFont="1" applyFill="1" applyAlignment="1">
      <alignment vertical="center"/>
    </xf>
    <xf numFmtId="0" fontId="155" fillId="0" borderId="0" xfId="0" applyFont="1" applyAlignment="1">
      <alignment vertical="center"/>
    </xf>
    <xf numFmtId="0" fontId="6" fillId="2" borderId="0" xfId="58" applyFont="1" applyFill="1" applyAlignment="1">
      <alignment vertical="center" shrinkToFit="1"/>
    </xf>
    <xf numFmtId="170" fontId="9" fillId="0" borderId="0" xfId="44" applyNumberFormat="1" applyFont="1" applyAlignment="1" applyProtection="1">
      <alignment horizontal="right" vertical="center"/>
      <protection locked="0"/>
    </xf>
    <xf numFmtId="170" fontId="9" fillId="0" borderId="0" xfId="44" applyNumberFormat="1" applyFont="1" applyAlignment="1" applyProtection="1">
      <alignment vertical="center" wrapText="1"/>
      <protection locked="0"/>
    </xf>
    <xf numFmtId="0" fontId="2" fillId="2" borderId="0" xfId="0" applyFont="1" applyFill="1" applyAlignment="1">
      <alignment vertical="center"/>
    </xf>
    <xf numFmtId="0" fontId="1" fillId="0" borderId="0" xfId="46" applyFont="1" applyAlignment="1" applyProtection="1">
      <alignment horizontal="center" vertical="center" wrapText="1"/>
      <protection locked="0"/>
    </xf>
    <xf numFmtId="0" fontId="9" fillId="7" borderId="38" xfId="45" applyFont="1" applyFill="1" applyBorder="1" applyAlignment="1">
      <alignment horizontal="left" vertical="center"/>
    </xf>
    <xf numFmtId="49" fontId="5" fillId="0" borderId="11" xfId="3" applyNumberFormat="1" applyFont="1" applyBorder="1" applyAlignment="1" applyProtection="1">
      <alignment horizontal="center" vertical="center" wrapText="1"/>
      <protection locked="0"/>
    </xf>
    <xf numFmtId="0" fontId="6" fillId="0" borderId="0" xfId="6" applyFont="1" applyAlignment="1" applyProtection="1">
      <alignment vertical="center"/>
      <protection locked="0"/>
    </xf>
    <xf numFmtId="0" fontId="6" fillId="0" borderId="0" xfId="10" applyFont="1" applyAlignment="1">
      <alignment vertical="center"/>
    </xf>
    <xf numFmtId="0" fontId="156" fillId="5" borderId="0" xfId="10" applyFont="1" applyFill="1" applyAlignment="1" applyProtection="1">
      <alignment vertical="center"/>
      <protection locked="0"/>
    </xf>
    <xf numFmtId="0" fontId="9" fillId="8" borderId="45" xfId="10" applyFont="1" applyFill="1" applyBorder="1" applyAlignment="1">
      <alignment horizontal="center" vertical="center" wrapText="1"/>
    </xf>
    <xf numFmtId="0" fontId="1" fillId="0" borderId="73" xfId="0" applyFont="1" applyBorder="1"/>
    <xf numFmtId="0" fontId="1" fillId="0" borderId="73" xfId="0" applyFont="1" applyBorder="1" applyAlignment="1">
      <alignment vertical="center"/>
    </xf>
    <xf numFmtId="49" fontId="5" fillId="0" borderId="25" xfId="3" applyNumberFormat="1" applyFont="1" applyBorder="1" applyAlignment="1" applyProtection="1">
      <alignment horizontal="center" vertical="center" wrapText="1"/>
      <protection locked="0"/>
    </xf>
    <xf numFmtId="0" fontId="157" fillId="0" borderId="0" xfId="0" applyFont="1" applyAlignment="1">
      <alignment vertical="center"/>
    </xf>
    <xf numFmtId="164" fontId="19" fillId="0" borderId="73" xfId="9" applyFont="1" applyFill="1" applyBorder="1" applyAlignment="1">
      <alignment horizontal="left" vertical="center" wrapText="1"/>
    </xf>
    <xf numFmtId="0" fontId="9" fillId="7" borderId="75" xfId="0" applyFont="1" applyFill="1" applyBorder="1" applyAlignment="1">
      <alignment horizontal="center" vertical="center"/>
    </xf>
    <xf numFmtId="9" fontId="9" fillId="7" borderId="76" xfId="1030" applyFont="1" applyFill="1" applyBorder="1" applyAlignment="1">
      <alignment horizontal="center" vertical="center"/>
    </xf>
    <xf numFmtId="0" fontId="5" fillId="2" borderId="80" xfId="0" applyFont="1" applyFill="1" applyBorder="1" applyAlignment="1">
      <alignment horizontal="center" vertical="center" wrapText="1"/>
    </xf>
    <xf numFmtId="169" fontId="5" fillId="0" borderId="73" xfId="1236" applyNumberFormat="1" applyFont="1" applyFill="1" applyBorder="1" applyAlignment="1" applyProtection="1">
      <alignment horizontal="right" vertical="center"/>
      <protection locked="0"/>
    </xf>
    <xf numFmtId="0" fontId="6" fillId="0" borderId="75" xfId="452" applyFont="1" applyBorder="1" applyAlignment="1">
      <alignment horizontal="left" vertical="center"/>
    </xf>
    <xf numFmtId="0" fontId="1" fillId="0" borderId="76" xfId="452" applyFont="1" applyBorder="1" applyAlignment="1">
      <alignment vertical="center" wrapText="1"/>
    </xf>
    <xf numFmtId="0" fontId="1" fillId="0" borderId="76" xfId="452" applyFont="1" applyBorder="1" applyAlignment="1">
      <alignment horizontal="left" vertical="center" wrapText="1"/>
    </xf>
    <xf numFmtId="0" fontId="26" fillId="0" borderId="75" xfId="0" applyFont="1" applyBorder="1" applyAlignment="1">
      <alignment horizontal="left" vertical="center"/>
    </xf>
    <xf numFmtId="0" fontId="5" fillId="0" borderId="76" xfId="0" applyFont="1" applyBorder="1" applyAlignment="1">
      <alignment vertical="center" wrapText="1"/>
    </xf>
    <xf numFmtId="0" fontId="5" fillId="0" borderId="76" xfId="0" applyFont="1" applyBorder="1" applyAlignment="1">
      <alignment horizontal="left" vertical="center" wrapText="1"/>
    </xf>
    <xf numFmtId="0" fontId="19" fillId="0" borderId="73" xfId="0" applyFont="1" applyBorder="1" applyAlignment="1">
      <alignment vertical="center" wrapText="1"/>
    </xf>
    <xf numFmtId="17" fontId="18" fillId="0" borderId="74" xfId="0" applyNumberFormat="1" applyFont="1" applyBorder="1" applyAlignment="1">
      <alignment horizontal="center" vertical="center"/>
    </xf>
    <xf numFmtId="0" fontId="18" fillId="0" borderId="77" xfId="2" applyFont="1" applyBorder="1">
      <alignment vertical="center"/>
    </xf>
    <xf numFmtId="167" fontId="2" fillId="0" borderId="81" xfId="6" applyNumberFormat="1" applyFont="1" applyBorder="1" applyAlignment="1" applyProtection="1">
      <alignment horizontal="left" vertical="center" shrinkToFit="1"/>
      <protection locked="0"/>
    </xf>
    <xf numFmtId="164" fontId="2" fillId="0" borderId="78" xfId="6" applyNumberFormat="1" applyFont="1" applyBorder="1" applyAlignment="1">
      <alignment horizontal="right" vertical="center" shrinkToFit="1"/>
    </xf>
    <xf numFmtId="164" fontId="2" fillId="0" borderId="73" xfId="6" applyNumberFormat="1" applyFont="1" applyBorder="1" applyAlignment="1">
      <alignment horizontal="right" vertical="center" shrinkToFit="1"/>
    </xf>
    <xf numFmtId="164" fontId="2" fillId="0" borderId="79" xfId="6" applyNumberFormat="1" applyFont="1" applyBorder="1" applyAlignment="1">
      <alignment horizontal="right" vertical="center" shrinkToFit="1"/>
    </xf>
    <xf numFmtId="164" fontId="2" fillId="0" borderId="70" xfId="9" applyFont="1" applyBorder="1" applyAlignment="1" applyProtection="1">
      <alignment horizontal="right" vertical="center" shrinkToFit="1"/>
    </xf>
    <xf numFmtId="164" fontId="2" fillId="0" borderId="81" xfId="9" applyFont="1" applyBorder="1" applyAlignment="1" applyProtection="1">
      <alignment horizontal="right" vertical="center" shrinkToFit="1"/>
    </xf>
    <xf numFmtId="0" fontId="18" fillId="0" borderId="76" xfId="1" applyFont="1" applyBorder="1" applyAlignment="1">
      <alignment vertical="center" wrapText="1"/>
    </xf>
    <xf numFmtId="49" fontId="1" fillId="0" borderId="75" xfId="3" applyNumberFormat="1" applyFont="1" applyBorder="1" applyAlignment="1">
      <alignment horizontal="left" vertical="center" shrinkToFit="1"/>
    </xf>
    <xf numFmtId="49" fontId="1" fillId="0" borderId="73" xfId="3" applyNumberFormat="1" applyFont="1" applyBorder="1" applyAlignment="1">
      <alignment horizontal="left" vertical="center" shrinkToFit="1"/>
    </xf>
    <xf numFmtId="164" fontId="1" fillId="0" borderId="75" xfId="3" applyNumberFormat="1" applyFont="1" applyBorder="1" applyAlignment="1">
      <alignment horizontal="right" vertical="center" shrinkToFit="1"/>
    </xf>
    <xf numFmtId="164" fontId="1" fillId="0" borderId="73" xfId="3" applyNumberFormat="1" applyFont="1" applyBorder="1" applyAlignment="1">
      <alignment horizontal="right" vertical="center" shrinkToFit="1"/>
    </xf>
    <xf numFmtId="10" fontId="1" fillId="0" borderId="73" xfId="3" applyNumberFormat="1" applyFont="1" applyBorder="1" applyAlignment="1">
      <alignment horizontal="right" vertical="center" shrinkToFit="1"/>
    </xf>
    <xf numFmtId="164" fontId="1" fillId="0" borderId="76" xfId="3" applyNumberFormat="1" applyFont="1" applyBorder="1" applyAlignment="1">
      <alignment horizontal="right" vertical="center" shrinkToFit="1"/>
    </xf>
    <xf numFmtId="49" fontId="1" fillId="0" borderId="76" xfId="3" applyNumberFormat="1" applyFont="1" applyBorder="1" applyAlignment="1">
      <alignment horizontal="left" vertical="center" shrinkToFit="1"/>
    </xf>
    <xf numFmtId="0" fontId="1" fillId="0" borderId="82" xfId="3" applyFont="1" applyBorder="1" applyAlignment="1" applyProtection="1">
      <alignment horizontal="center" vertical="center"/>
      <protection locked="0"/>
    </xf>
    <xf numFmtId="0" fontId="1" fillId="0" borderId="83" xfId="3" applyFont="1" applyBorder="1" applyAlignment="1" applyProtection="1">
      <alignment horizontal="center" vertical="center"/>
      <protection locked="0"/>
    </xf>
    <xf numFmtId="0" fontId="31" fillId="0" borderId="84" xfId="3" applyFont="1" applyBorder="1" applyAlignment="1">
      <alignment vertical="center" wrapText="1"/>
    </xf>
    <xf numFmtId="0" fontId="31" fillId="0" borderId="84" xfId="3" applyFont="1" applyBorder="1" applyAlignment="1">
      <alignment horizontal="center" vertical="center" wrapText="1"/>
    </xf>
    <xf numFmtId="0" fontId="31" fillId="0" borderId="85" xfId="3" applyFont="1" applyBorder="1" applyAlignment="1">
      <alignment vertical="center" wrapText="1"/>
    </xf>
    <xf numFmtId="14" fontId="31" fillId="0" borderId="84" xfId="3" applyNumberFormat="1" applyFont="1" applyBorder="1" applyAlignment="1">
      <alignment horizontal="center" vertical="center" wrapText="1"/>
    </xf>
    <xf numFmtId="0" fontId="31" fillId="2" borderId="84" xfId="3" applyFont="1" applyFill="1" applyBorder="1" applyAlignment="1" applyProtection="1">
      <alignment vertical="center"/>
      <protection locked="0"/>
    </xf>
    <xf numFmtId="0" fontId="6" fillId="7" borderId="83" xfId="3" applyFont="1" applyFill="1" applyBorder="1" applyAlignment="1" applyProtection="1">
      <alignment vertical="center" wrapText="1"/>
      <protection locked="0"/>
    </xf>
    <xf numFmtId="164" fontId="1" fillId="0" borderId="74" xfId="3" applyNumberFormat="1" applyFont="1" applyBorder="1" applyAlignment="1">
      <alignment horizontal="right" vertical="center" shrinkToFit="1"/>
    </xf>
    <xf numFmtId="0" fontId="31" fillId="2" borderId="87" xfId="3" applyFont="1" applyFill="1" applyBorder="1" applyAlignment="1" applyProtection="1">
      <alignment vertical="center"/>
      <protection locked="0"/>
    </xf>
    <xf numFmtId="0" fontId="6" fillId="4" borderId="83" xfId="3" applyFont="1" applyFill="1" applyBorder="1" applyAlignment="1" applyProtection="1">
      <alignment vertical="center" wrapText="1"/>
      <protection locked="0"/>
    </xf>
    <xf numFmtId="0" fontId="31" fillId="0" borderId="73" xfId="3" applyFont="1" applyBorder="1" applyAlignment="1" applyProtection="1">
      <alignment horizontal="center" vertical="center" wrapText="1"/>
      <protection locked="0"/>
    </xf>
    <xf numFmtId="0" fontId="18" fillId="0" borderId="88" xfId="0" applyFont="1" applyBorder="1" applyAlignment="1">
      <alignment vertical="center" wrapText="1"/>
    </xf>
    <xf numFmtId="0" fontId="40" fillId="3" borderId="80" xfId="10" applyFont="1" applyFill="1" applyBorder="1" applyAlignment="1">
      <alignment vertical="center"/>
    </xf>
    <xf numFmtId="0" fontId="40" fillId="3" borderId="76" xfId="10" applyFont="1" applyFill="1" applyBorder="1" applyAlignment="1" applyProtection="1">
      <alignment vertical="center"/>
      <protection locked="0"/>
    </xf>
    <xf numFmtId="0" fontId="16" fillId="0" borderId="80" xfId="10" applyFont="1" applyBorder="1" applyAlignment="1">
      <alignment horizontal="left" vertical="center"/>
    </xf>
    <xf numFmtId="0" fontId="16" fillId="0" borderId="76" xfId="10" applyFont="1" applyBorder="1" applyAlignment="1">
      <alignment horizontal="left" vertical="center" wrapText="1"/>
    </xf>
    <xf numFmtId="0" fontId="16" fillId="0" borderId="76" xfId="10" applyFont="1" applyBorder="1" applyAlignment="1">
      <alignment vertical="center" wrapText="1"/>
    </xf>
    <xf numFmtId="49" fontId="2" fillId="2" borderId="75" xfId="10" applyNumberFormat="1" applyFont="1" applyFill="1" applyBorder="1" applyAlignment="1">
      <alignment horizontal="left" vertical="center"/>
    </xf>
    <xf numFmtId="164" fontId="1" fillId="2" borderId="73" xfId="59" applyFont="1" applyFill="1" applyBorder="1" applyAlignment="1">
      <alignment horizontal="right" vertical="center"/>
    </xf>
    <xf numFmtId="10" fontId="28" fillId="2" borderId="73" xfId="10" applyNumberFormat="1" applyFont="1" applyFill="1" applyBorder="1" applyAlignment="1">
      <alignment horizontal="right" vertical="center"/>
    </xf>
    <xf numFmtId="164" fontId="2" fillId="2" borderId="76" xfId="59" applyFont="1" applyFill="1" applyBorder="1" applyAlignment="1">
      <alignment horizontal="right" vertical="center"/>
    </xf>
    <xf numFmtId="10" fontId="2" fillId="2" borderId="73" xfId="10" applyNumberFormat="1" applyFont="1" applyFill="1" applyBorder="1" applyAlignment="1">
      <alignment horizontal="right" vertical="center"/>
    </xf>
    <xf numFmtId="49" fontId="1" fillId="0" borderId="75" xfId="6" applyNumberFormat="1" applyFont="1" applyBorder="1" applyAlignment="1" applyProtection="1">
      <alignment horizontal="left" vertical="center" shrinkToFit="1"/>
      <protection locked="0"/>
    </xf>
    <xf numFmtId="164" fontId="1" fillId="0" borderId="73" xfId="6" applyNumberFormat="1" applyFont="1" applyBorder="1" applyAlignment="1" applyProtection="1">
      <alignment horizontal="right" vertical="center" shrinkToFit="1"/>
      <protection locked="0"/>
    </xf>
    <xf numFmtId="49" fontId="1" fillId="0" borderId="73" xfId="6" applyNumberFormat="1" applyFont="1" applyBorder="1" applyAlignment="1" applyProtection="1">
      <alignment horizontal="left" vertical="center" shrinkToFit="1"/>
      <protection locked="0"/>
    </xf>
    <xf numFmtId="0" fontId="1" fillId="0" borderId="73" xfId="8" applyFont="1" applyBorder="1" applyAlignment="1" applyProtection="1">
      <alignment horizontal="center" vertical="center"/>
      <protection locked="0"/>
    </xf>
    <xf numFmtId="0" fontId="1" fillId="0" borderId="76" xfId="8" applyFont="1" applyBorder="1" applyAlignment="1" applyProtection="1">
      <alignment horizontal="center" vertical="center"/>
      <protection locked="0"/>
    </xf>
    <xf numFmtId="0" fontId="18" fillId="0" borderId="76" xfId="65" applyFont="1" applyBorder="1" applyAlignment="1">
      <alignment vertical="center" wrapText="1"/>
    </xf>
    <xf numFmtId="0" fontId="1" fillId="9" borderId="82" xfId="0" applyFont="1" applyFill="1" applyBorder="1" applyAlignment="1">
      <alignment horizontal="center" vertical="center" wrapText="1"/>
    </xf>
    <xf numFmtId="0" fontId="1" fillId="9" borderId="87" xfId="0" applyFont="1" applyFill="1" applyBorder="1" applyAlignment="1">
      <alignment horizontal="center" vertical="center" wrapText="1"/>
    </xf>
    <xf numFmtId="165" fontId="1" fillId="0" borderId="75" xfId="0" applyNumberFormat="1" applyFont="1" applyBorder="1" applyAlignment="1" applyProtection="1">
      <alignment vertical="center"/>
      <protection locked="0"/>
    </xf>
    <xf numFmtId="165" fontId="1" fillId="0" borderId="73" xfId="0" applyNumberFormat="1" applyFont="1" applyBorder="1" applyAlignment="1" applyProtection="1">
      <alignment vertical="center"/>
      <protection locked="0"/>
    </xf>
    <xf numFmtId="1" fontId="1" fillId="0" borderId="73" xfId="0" applyNumberFormat="1" applyFont="1" applyBorder="1" applyAlignment="1" applyProtection="1">
      <alignment horizontal="right"/>
      <protection locked="0"/>
    </xf>
    <xf numFmtId="165" fontId="1" fillId="0" borderId="76" xfId="0" applyNumberFormat="1" applyFont="1" applyBorder="1" applyAlignment="1" applyProtection="1">
      <alignment vertical="center"/>
      <protection locked="0"/>
    </xf>
    <xf numFmtId="165" fontId="52" fillId="0" borderId="75" xfId="0" applyNumberFormat="1" applyFont="1" applyBorder="1" applyAlignment="1" applyProtection="1">
      <alignment vertical="center"/>
      <protection locked="0"/>
    </xf>
    <xf numFmtId="0" fontId="38" fillId="0" borderId="89" xfId="10" applyFont="1" applyBorder="1" applyAlignment="1">
      <alignment horizontal="left" vertical="center" wrapText="1"/>
    </xf>
    <xf numFmtId="0" fontId="16" fillId="0" borderId="90" xfId="10" applyFont="1" applyBorder="1" applyAlignment="1">
      <alignment horizontal="left" vertical="center" wrapText="1"/>
    </xf>
    <xf numFmtId="0" fontId="16" fillId="0" borderId="91" xfId="10" applyFont="1" applyBorder="1" applyAlignment="1">
      <alignment vertical="center"/>
    </xf>
    <xf numFmtId="0" fontId="16" fillId="0" borderId="0" xfId="10" applyFont="1" applyAlignment="1">
      <alignment vertical="center"/>
    </xf>
    <xf numFmtId="0" fontId="16" fillId="0" borderId="0" xfId="10" applyFont="1" applyAlignment="1">
      <alignment horizontal="left" vertical="center" wrapText="1"/>
    </xf>
    <xf numFmtId="0" fontId="2" fillId="2" borderId="5" xfId="10" applyFont="1" applyFill="1" applyBorder="1" applyAlignment="1">
      <alignment vertical="center"/>
    </xf>
    <xf numFmtId="0" fontId="10" fillId="0" borderId="0" xfId="6" applyFont="1" applyAlignment="1" applyProtection="1">
      <alignment horizontal="left" vertical="center"/>
      <protection locked="0"/>
    </xf>
    <xf numFmtId="0" fontId="9" fillId="2" borderId="89" xfId="6" applyFont="1" applyFill="1" applyBorder="1" applyAlignment="1" applyProtection="1">
      <alignment horizontal="left" vertical="center"/>
      <protection locked="0"/>
    </xf>
    <xf numFmtId="0" fontId="9" fillId="2" borderId="90" xfId="6" applyFont="1" applyFill="1" applyBorder="1" applyAlignment="1" applyProtection="1">
      <alignment horizontal="left" vertical="center"/>
      <protection locked="0"/>
    </xf>
    <xf numFmtId="0" fontId="1" fillId="2" borderId="90" xfId="6" applyFont="1" applyFill="1" applyBorder="1" applyAlignment="1" applyProtection="1">
      <alignment horizontal="center" vertical="center"/>
      <protection locked="0"/>
    </xf>
    <xf numFmtId="164" fontId="31" fillId="0" borderId="90" xfId="7" applyFont="1" applyFill="1" applyBorder="1" applyAlignment="1" applyProtection="1">
      <alignment horizontal="center" vertical="center" shrinkToFit="1"/>
      <protection locked="0"/>
    </xf>
    <xf numFmtId="164" fontId="31" fillId="0" borderId="91" xfId="7" applyFont="1" applyFill="1" applyBorder="1" applyAlignment="1" applyProtection="1">
      <alignment horizontal="center" vertical="center" shrinkToFit="1"/>
      <protection locked="0"/>
    </xf>
    <xf numFmtId="0" fontId="1" fillId="2" borderId="0" xfId="0" applyFont="1" applyFill="1" applyAlignment="1">
      <alignment horizontal="center" vertical="center"/>
    </xf>
    <xf numFmtId="9" fontId="31" fillId="0" borderId="5" xfId="48" applyFont="1" applyFill="1" applyBorder="1" applyAlignment="1" applyProtection="1">
      <alignment horizontal="right" vertical="center" shrinkToFit="1"/>
      <protection locked="0"/>
    </xf>
    <xf numFmtId="0" fontId="6" fillId="0" borderId="86" xfId="0" applyFont="1" applyBorder="1" applyAlignment="1">
      <alignment vertical="center" wrapText="1"/>
    </xf>
    <xf numFmtId="14" fontId="1" fillId="0" borderId="39" xfId="0" applyNumberFormat="1" applyFont="1" applyBorder="1" applyAlignment="1">
      <alignment vertical="center"/>
    </xf>
    <xf numFmtId="14" fontId="1" fillId="0" borderId="40" xfId="0" applyNumberFormat="1" applyFont="1" applyBorder="1" applyAlignment="1">
      <alignment vertical="center"/>
    </xf>
    <xf numFmtId="0" fontId="19" fillId="0" borderId="19" xfId="0" applyFont="1" applyBorder="1" applyAlignment="1">
      <alignment vertical="center" wrapText="1"/>
    </xf>
    <xf numFmtId="0" fontId="1" fillId="0" borderId="38" xfId="0" applyFont="1" applyBorder="1" applyAlignment="1">
      <alignment vertical="center"/>
    </xf>
    <xf numFmtId="0" fontId="6" fillId="7" borderId="92" xfId="3" applyFont="1" applyFill="1" applyBorder="1" applyAlignment="1" applyProtection="1">
      <alignment vertical="center" wrapText="1"/>
      <protection locked="0"/>
    </xf>
    <xf numFmtId="0" fontId="6" fillId="7" borderId="10" xfId="3" applyFont="1" applyFill="1" applyBorder="1" applyAlignment="1" applyProtection="1">
      <alignment horizontal="center" vertical="top" wrapText="1"/>
      <protection locked="0"/>
    </xf>
    <xf numFmtId="49" fontId="1" fillId="0" borderId="9" xfId="3" applyNumberFormat="1" applyFont="1" applyBorder="1" applyAlignment="1">
      <alignment horizontal="left" vertical="center" shrinkToFit="1"/>
    </xf>
    <xf numFmtId="0" fontId="6" fillId="4" borderId="92" xfId="3" applyFont="1" applyFill="1" applyBorder="1" applyAlignment="1" applyProtection="1">
      <alignment vertical="center" wrapText="1"/>
      <protection locked="0"/>
    </xf>
    <xf numFmtId="0" fontId="149" fillId="2" borderId="0" xfId="0" applyFont="1" applyFill="1" applyAlignment="1" applyProtection="1">
      <alignment vertical="center"/>
      <protection locked="0"/>
    </xf>
    <xf numFmtId="0" fontId="149" fillId="0" borderId="0" xfId="0" applyFont="1" applyAlignment="1" applyProtection="1">
      <alignment horizontal="left" vertical="center" wrapText="1"/>
      <protection locked="0"/>
    </xf>
    <xf numFmtId="0" fontId="149" fillId="0" borderId="0" xfId="0" applyFont="1" applyAlignment="1" applyProtection="1">
      <alignment horizontal="left" vertical="center"/>
      <protection locked="0"/>
    </xf>
    <xf numFmtId="0" fontId="149" fillId="0" borderId="0" xfId="31" applyFont="1" applyAlignment="1" applyProtection="1">
      <alignment vertical="center" shrinkToFit="1"/>
      <protection locked="0"/>
    </xf>
    <xf numFmtId="0" fontId="149" fillId="0" borderId="0" xfId="2" applyFont="1" applyAlignment="1">
      <alignment horizontal="left" vertical="center"/>
    </xf>
    <xf numFmtId="0" fontId="149" fillId="0" borderId="0" xfId="0" applyFont="1" applyAlignment="1">
      <alignment vertical="center"/>
    </xf>
    <xf numFmtId="0" fontId="149" fillId="0" borderId="0" xfId="2" applyFont="1" applyAlignment="1">
      <alignment horizontal="left" vertical="center" shrinkToFit="1"/>
    </xf>
    <xf numFmtId="164" fontId="149" fillId="0" borderId="0" xfId="2" applyNumberFormat="1" applyFont="1" applyAlignment="1">
      <alignment horizontal="left" vertical="center" shrinkToFit="1"/>
    </xf>
    <xf numFmtId="49" fontId="149" fillId="0" borderId="0" xfId="2" applyNumberFormat="1" applyFont="1">
      <alignment vertical="center"/>
    </xf>
    <xf numFmtId="0" fontId="149" fillId="0" borderId="0" xfId="6" applyFont="1" applyAlignment="1" applyProtection="1">
      <alignment horizontal="left" vertical="center"/>
      <protection locked="0"/>
    </xf>
    <xf numFmtId="164" fontId="149" fillId="0" borderId="0" xfId="7" applyFont="1" applyFill="1" applyBorder="1" applyAlignment="1" applyProtection="1">
      <alignment horizontal="left" vertical="center" shrinkToFit="1"/>
      <protection locked="0"/>
    </xf>
    <xf numFmtId="164" fontId="149" fillId="0" borderId="0" xfId="7" applyFont="1" applyAlignment="1">
      <alignment vertical="center"/>
    </xf>
    <xf numFmtId="0" fontId="149" fillId="0" borderId="0" xfId="5" applyFont="1" applyAlignment="1">
      <alignment horizontal="left" vertical="center"/>
    </xf>
    <xf numFmtId="0" fontId="149" fillId="0" borderId="0" xfId="3" applyFont="1" applyAlignment="1" applyProtection="1">
      <alignment vertical="center"/>
      <protection locked="0"/>
    </xf>
    <xf numFmtId="0" fontId="149" fillId="0" borderId="0" xfId="3" applyFont="1" applyAlignment="1" applyProtection="1">
      <alignment horizontal="left" vertical="center"/>
      <protection locked="0"/>
    </xf>
    <xf numFmtId="0" fontId="149" fillId="0" borderId="0" xfId="8" applyFont="1" applyAlignment="1" applyProtection="1">
      <alignment horizontal="center" vertical="center"/>
      <protection locked="0"/>
    </xf>
    <xf numFmtId="164" fontId="149" fillId="0" borderId="0" xfId="7" applyFont="1" applyBorder="1" applyAlignment="1">
      <alignment horizontal="left" vertical="center"/>
    </xf>
    <xf numFmtId="164" fontId="149" fillId="0" borderId="0" xfId="7" applyFont="1" applyFill="1" applyBorder="1" applyAlignment="1" applyProtection="1">
      <alignment vertical="center" shrinkToFit="1"/>
      <protection locked="0"/>
    </xf>
    <xf numFmtId="164" fontId="149" fillId="0" borderId="0" xfId="7" applyFont="1" applyFill="1" applyBorder="1" applyAlignment="1" applyProtection="1">
      <alignment horizontal="right" vertical="center" shrinkToFit="1"/>
      <protection locked="0"/>
    </xf>
    <xf numFmtId="166" fontId="149" fillId="0" borderId="0" xfId="11" applyFont="1" applyBorder="1" applyAlignment="1">
      <alignment horizontal="left" vertical="center"/>
    </xf>
    <xf numFmtId="164" fontId="149" fillId="0" borderId="0" xfId="7" applyFont="1" applyBorder="1" applyAlignment="1" applyProtection="1">
      <alignment horizontal="left" vertical="center" shrinkToFit="1"/>
      <protection locked="0"/>
    </xf>
    <xf numFmtId="164" fontId="149" fillId="0" borderId="0" xfId="12" applyFont="1" applyAlignment="1">
      <alignment horizontal="left" vertical="center"/>
    </xf>
    <xf numFmtId="164" fontId="149" fillId="0" borderId="0" xfId="7" applyFont="1" applyAlignment="1">
      <alignment horizontal="left" vertical="center"/>
    </xf>
    <xf numFmtId="164" fontId="149" fillId="0" borderId="0" xfId="13" applyFont="1" applyAlignment="1">
      <alignment vertical="center"/>
    </xf>
    <xf numFmtId="0" fontId="149" fillId="2" borderId="0" xfId="10" applyFont="1" applyFill="1" applyAlignment="1">
      <alignment vertical="center"/>
    </xf>
    <xf numFmtId="0" fontId="149" fillId="0" borderId="0" xfId="10" applyFont="1" applyAlignment="1" applyProtection="1">
      <alignment vertical="center"/>
      <protection locked="0"/>
    </xf>
    <xf numFmtId="0" fontId="149" fillId="2" borderId="0" xfId="10" applyFont="1" applyFill="1" applyAlignment="1">
      <alignment horizontal="left" vertical="center" wrapText="1"/>
    </xf>
    <xf numFmtId="0" fontId="149" fillId="2" borderId="0" xfId="10" applyFont="1" applyFill="1" applyAlignment="1">
      <alignment vertical="center" wrapText="1"/>
    </xf>
    <xf numFmtId="49" fontId="149" fillId="2" borderId="0" xfId="58" applyNumberFormat="1" applyFont="1" applyFill="1" applyAlignment="1">
      <alignment vertical="center" shrinkToFit="1"/>
    </xf>
    <xf numFmtId="49" fontId="149" fillId="2" borderId="0" xfId="58" applyNumberFormat="1" applyFont="1" applyFill="1" applyAlignment="1">
      <alignment horizontal="left" vertical="center" shrinkToFit="1"/>
    </xf>
    <xf numFmtId="0" fontId="149" fillId="2" borderId="0" xfId="58" applyFont="1" applyFill="1" applyAlignment="1">
      <alignment horizontal="left" vertical="center" shrinkToFit="1"/>
    </xf>
    <xf numFmtId="0" fontId="159" fillId="0" borderId="0" xfId="0" applyFont="1" applyAlignment="1">
      <alignment vertical="center"/>
    </xf>
    <xf numFmtId="0" fontId="149" fillId="0" borderId="0" xfId="3" applyFont="1" applyAlignment="1" applyProtection="1">
      <alignment horizontal="left" vertical="center" wrapText="1"/>
      <protection locked="0"/>
    </xf>
    <xf numFmtId="164" fontId="149" fillId="0" borderId="0" xfId="3" applyNumberFormat="1" applyFont="1" applyAlignment="1" applyProtection="1">
      <alignment horizontal="left" vertical="center" shrinkToFit="1"/>
      <protection locked="0"/>
    </xf>
    <xf numFmtId="164" fontId="149" fillId="0" borderId="0" xfId="4" applyFont="1" applyFill="1" applyBorder="1" applyAlignment="1" applyProtection="1">
      <alignment horizontal="left" vertical="center" shrinkToFit="1"/>
      <protection locked="0"/>
    </xf>
    <xf numFmtId="0" fontId="8" fillId="0" borderId="0" xfId="2632" applyFont="1"/>
    <xf numFmtId="0" fontId="1" fillId="0" borderId="73" xfId="0" applyFont="1" applyBorder="1" applyAlignment="1" applyProtection="1">
      <alignment horizontal="left" vertical="center"/>
      <protection locked="0"/>
    </xf>
    <xf numFmtId="0" fontId="1" fillId="0" borderId="73" xfId="0" applyFont="1" applyBorder="1" applyAlignment="1" applyProtection="1">
      <alignment vertical="top" wrapText="1"/>
      <protection locked="0"/>
    </xf>
    <xf numFmtId="0" fontId="2" fillId="0" borderId="73" xfId="0" applyFont="1" applyBorder="1" applyAlignment="1" applyProtection="1">
      <alignment horizontal="center" vertical="center"/>
      <protection locked="0"/>
    </xf>
    <xf numFmtId="0" fontId="8" fillId="2" borderId="73" xfId="0" applyFont="1" applyFill="1" applyBorder="1" applyAlignment="1" applyProtection="1">
      <alignment horizontal="center" vertical="center" wrapText="1"/>
      <protection locked="0"/>
    </xf>
    <xf numFmtId="0" fontId="2" fillId="0" borderId="73" xfId="0" applyFont="1" applyBorder="1" applyAlignment="1" applyProtection="1">
      <alignment horizontal="left" vertical="center" wrapText="1"/>
      <protection locked="0"/>
    </xf>
    <xf numFmtId="0" fontId="1" fillId="2" borderId="73" xfId="0" applyFont="1" applyFill="1" applyBorder="1" applyAlignment="1" applyProtection="1">
      <alignment vertical="center" wrapText="1"/>
      <protection locked="0"/>
    </xf>
    <xf numFmtId="0" fontId="8" fillId="2" borderId="73" xfId="1326" applyFont="1" applyFill="1" applyBorder="1" applyAlignment="1" applyProtection="1">
      <alignment horizontal="center" vertical="center" wrapText="1"/>
      <protection locked="0"/>
    </xf>
    <xf numFmtId="0" fontId="5" fillId="0" borderId="73" xfId="0" applyFont="1" applyBorder="1" applyAlignment="1">
      <alignment horizontal="left" vertical="center" wrapText="1"/>
    </xf>
    <xf numFmtId="0" fontId="11" fillId="0" borderId="73" xfId="57" quotePrefix="1" applyFont="1" applyBorder="1" applyAlignment="1" applyProtection="1">
      <alignment horizontal="center" vertical="center" wrapText="1"/>
      <protection locked="0"/>
    </xf>
    <xf numFmtId="0" fontId="1" fillId="0" borderId="73" xfId="0" applyFont="1" applyBorder="1" applyAlignment="1" applyProtection="1">
      <alignment vertical="center" wrapText="1"/>
      <protection locked="0"/>
    </xf>
    <xf numFmtId="0" fontId="6" fillId="0" borderId="73" xfId="0" applyFont="1" applyBorder="1" applyAlignment="1" applyProtection="1">
      <alignment horizontal="left" vertical="center" wrapText="1"/>
      <protection locked="0"/>
    </xf>
    <xf numFmtId="0" fontId="5" fillId="0" borderId="73" xfId="0" applyFont="1" applyBorder="1" applyAlignment="1" applyProtection="1">
      <alignment vertical="center" wrapText="1"/>
      <protection locked="0"/>
    </xf>
    <xf numFmtId="0" fontId="1" fillId="0" borderId="73" xfId="0" applyFont="1" applyBorder="1" applyAlignment="1" applyProtection="1">
      <alignment horizontal="center" vertical="center" wrapText="1"/>
      <protection locked="0"/>
    </xf>
    <xf numFmtId="0" fontId="9" fillId="4" borderId="93" xfId="0" applyFont="1" applyFill="1" applyBorder="1" applyAlignment="1">
      <alignment horizontal="center" vertical="center" wrapText="1"/>
    </xf>
    <xf numFmtId="0" fontId="9" fillId="4" borderId="94" xfId="0" applyFont="1" applyFill="1" applyBorder="1" applyAlignment="1">
      <alignment horizontal="center" vertical="center" wrapText="1"/>
    </xf>
    <xf numFmtId="0" fontId="12" fillId="7" borderId="95" xfId="0" applyFont="1" applyFill="1" applyBorder="1" applyAlignment="1">
      <alignment horizontal="center" vertical="center" wrapText="1"/>
    </xf>
    <xf numFmtId="0" fontId="1" fillId="2" borderId="75" xfId="0" applyFont="1" applyFill="1" applyBorder="1" applyAlignment="1" applyProtection="1">
      <alignment horizontal="center" vertical="center" wrapText="1"/>
      <protection locked="0"/>
    </xf>
    <xf numFmtId="0" fontId="1" fillId="2" borderId="76" xfId="1326" applyFont="1" applyFill="1" applyBorder="1" applyAlignment="1" applyProtection="1">
      <alignment horizontal="center" vertical="center" wrapText="1"/>
      <protection locked="0"/>
    </xf>
    <xf numFmtId="0" fontId="1" fillId="0" borderId="76" xfId="0" applyFont="1" applyBorder="1" applyAlignment="1" applyProtection="1">
      <alignment vertical="center"/>
      <protection locked="0"/>
    </xf>
    <xf numFmtId="0" fontId="1" fillId="2" borderId="76" xfId="1326" applyFont="1" applyFill="1" applyBorder="1" applyAlignment="1" applyProtection="1">
      <alignment horizontal="left" vertical="center" wrapText="1"/>
      <protection locked="0"/>
    </xf>
    <xf numFmtId="0" fontId="1" fillId="2" borderId="76" xfId="1326" applyFont="1" applyFill="1" applyBorder="1" applyAlignment="1" applyProtection="1">
      <alignment vertical="center" wrapText="1"/>
      <protection locked="0"/>
    </xf>
    <xf numFmtId="0" fontId="1" fillId="0" borderId="76" xfId="0" applyFont="1" applyBorder="1" applyAlignment="1" applyProtection="1">
      <alignment vertical="center" wrapText="1"/>
      <protection locked="0"/>
    </xf>
    <xf numFmtId="0" fontId="1" fillId="2" borderId="38" xfId="0" applyFont="1" applyFill="1" applyBorder="1" applyAlignment="1" applyProtection="1">
      <alignment horizontal="center" vertical="center" wrapText="1"/>
      <protection locked="0"/>
    </xf>
    <xf numFmtId="0" fontId="5" fillId="0" borderId="39" xfId="0" applyFont="1" applyBorder="1" applyAlignment="1" applyProtection="1">
      <alignment vertical="center" wrapText="1"/>
      <protection locked="0"/>
    </xf>
    <xf numFmtId="0" fontId="1" fillId="0" borderId="39" xfId="0" applyFont="1" applyBorder="1" applyAlignment="1" applyProtection="1">
      <alignment horizontal="center" vertical="center" wrapText="1"/>
      <protection locked="0"/>
    </xf>
    <xf numFmtId="0" fontId="1" fillId="0" borderId="39" xfId="0" applyFont="1" applyBorder="1" applyAlignment="1" applyProtection="1">
      <alignment horizontal="left" vertical="center" wrapText="1"/>
      <protection locked="0"/>
    </xf>
    <xf numFmtId="0" fontId="2" fillId="0" borderId="39" xfId="0" applyFont="1" applyBorder="1" applyAlignment="1" applyProtection="1">
      <alignment horizontal="center" vertical="center"/>
      <protection locked="0"/>
    </xf>
    <xf numFmtId="0" fontId="8" fillId="2" borderId="39" xfId="0" applyFont="1" applyFill="1" applyBorder="1" applyAlignment="1" applyProtection="1">
      <alignment horizontal="center" vertical="center" wrapText="1"/>
      <protection locked="0"/>
    </xf>
    <xf numFmtId="0" fontId="1" fillId="0" borderId="40" xfId="0" applyFont="1" applyBorder="1" applyAlignment="1" applyProtection="1">
      <alignment vertical="center" wrapText="1"/>
      <protection locked="0"/>
    </xf>
    <xf numFmtId="0" fontId="160" fillId="0" borderId="39" xfId="0" applyFont="1" applyBorder="1" applyAlignment="1" applyProtection="1">
      <alignment horizontal="left" vertical="center" wrapText="1"/>
      <protection locked="0"/>
    </xf>
    <xf numFmtId="0" fontId="3" fillId="0" borderId="39" xfId="0" applyFont="1" applyBorder="1" applyAlignment="1" applyProtection="1">
      <alignment vertical="center" wrapText="1"/>
      <protection locked="0"/>
    </xf>
    <xf numFmtId="0" fontId="19" fillId="0" borderId="0" xfId="0" applyFont="1"/>
    <xf numFmtId="0" fontId="161" fillId="0" borderId="0" xfId="2632" applyFont="1"/>
    <xf numFmtId="0" fontId="162" fillId="0" borderId="0" xfId="0" applyFont="1"/>
    <xf numFmtId="0" fontId="1" fillId="0" borderId="73" xfId="0" applyFont="1" applyBorder="1" applyAlignment="1" applyProtection="1">
      <alignment horizontal="left" vertical="center" wrapText="1"/>
      <protection locked="0"/>
    </xf>
    <xf numFmtId="0" fontId="1" fillId="2" borderId="73" xfId="0" applyFont="1" applyFill="1" applyBorder="1" applyAlignment="1" applyProtection="1">
      <alignment horizontal="left" vertical="center" wrapText="1"/>
      <protection locked="0"/>
    </xf>
    <xf numFmtId="0" fontId="1" fillId="2" borderId="73" xfId="0" applyFont="1" applyFill="1" applyBorder="1" applyAlignment="1" applyProtection="1">
      <alignment horizontal="center" vertical="center" wrapText="1"/>
      <protection locked="0"/>
    </xf>
    <xf numFmtId="0" fontId="13" fillId="2" borderId="0" xfId="10" applyFont="1" applyFill="1" applyAlignment="1">
      <alignment horizontal="center" vertical="center"/>
    </xf>
    <xf numFmtId="0" fontId="2" fillId="4" borderId="89" xfId="0" applyFont="1" applyFill="1" applyBorder="1" applyAlignment="1" applyProtection="1">
      <alignment vertical="center"/>
      <protection locked="0"/>
    </xf>
    <xf numFmtId="0" fontId="2" fillId="4" borderId="90" xfId="0" applyFont="1" applyFill="1" applyBorder="1" applyAlignment="1" applyProtection="1">
      <alignment vertical="center"/>
      <protection locked="0"/>
    </xf>
    <xf numFmtId="0" fontId="2" fillId="4" borderId="91" xfId="0" applyFont="1" applyFill="1" applyBorder="1" applyAlignment="1" applyProtection="1">
      <alignment horizontal="left" vertical="center"/>
      <protection locked="0"/>
    </xf>
    <xf numFmtId="0" fontId="9" fillId="7" borderId="93" xfId="0" applyFont="1" applyFill="1" applyBorder="1" applyAlignment="1">
      <alignment horizontal="center" vertical="center"/>
    </xf>
    <xf numFmtId="0" fontId="12" fillId="7" borderId="95" xfId="0" applyFont="1" applyFill="1" applyBorder="1" applyAlignment="1">
      <alignment horizontal="center" vertical="center"/>
    </xf>
    <xf numFmtId="0" fontId="9" fillId="7" borderId="94" xfId="0" applyFont="1" applyFill="1" applyBorder="1" applyAlignment="1">
      <alignment horizontal="center" vertical="center"/>
    </xf>
    <xf numFmtId="0" fontId="12" fillId="6" borderId="89" xfId="24" applyFont="1" applyFill="1" applyBorder="1" applyAlignment="1" applyProtection="1">
      <alignment horizontal="left" vertical="center"/>
      <protection locked="0"/>
    </xf>
    <xf numFmtId="0" fontId="2" fillId="6" borderId="90" xfId="24" applyFont="1" applyFill="1" applyBorder="1" applyAlignment="1" applyProtection="1">
      <alignment vertical="center"/>
      <protection locked="0"/>
    </xf>
    <xf numFmtId="0" fontId="6" fillId="6" borderId="90" xfId="24" applyFont="1" applyFill="1" applyBorder="1" applyAlignment="1" applyProtection="1">
      <alignment vertical="center"/>
      <protection locked="0"/>
    </xf>
    <xf numFmtId="0" fontId="2" fillId="6" borderId="91" xfId="24" applyFont="1" applyFill="1" applyBorder="1" applyAlignment="1" applyProtection="1">
      <alignment vertical="center"/>
      <protection locked="0"/>
    </xf>
    <xf numFmtId="0" fontId="1" fillId="0" borderId="95" xfId="452" applyFont="1" applyBorder="1" applyAlignment="1">
      <alignment vertical="center"/>
    </xf>
    <xf numFmtId="0" fontId="15" fillId="0" borderId="89" xfId="0" applyFont="1" applyBorder="1" applyAlignment="1">
      <alignment vertical="center"/>
    </xf>
    <xf numFmtId="0" fontId="16" fillId="0" borderId="90" xfId="29" applyFont="1" applyBorder="1" applyAlignment="1">
      <alignment vertical="center"/>
    </xf>
    <xf numFmtId="0" fontId="18" fillId="0" borderId="91" xfId="2" applyFont="1" applyBorder="1">
      <alignment vertical="center"/>
    </xf>
    <xf numFmtId="202" fontId="143" fillId="0" borderId="90" xfId="43" applyNumberFormat="1" applyFont="1" applyBorder="1" applyAlignment="1">
      <alignment horizontal="center" vertical="center"/>
    </xf>
    <xf numFmtId="0" fontId="9" fillId="50" borderId="93" xfId="0" applyFont="1" applyFill="1" applyBorder="1" applyAlignment="1">
      <alignment horizontal="left" vertical="center"/>
    </xf>
    <xf numFmtId="164" fontId="1" fillId="0" borderId="95" xfId="9" applyFont="1" applyBorder="1"/>
    <xf numFmtId="0" fontId="18" fillId="0" borderId="89" xfId="1" applyFont="1" applyBorder="1" applyAlignment="1">
      <alignment vertical="center"/>
    </xf>
    <xf numFmtId="0" fontId="18" fillId="0" borderId="90" xfId="1" applyFont="1" applyBorder="1" applyAlignment="1">
      <alignment vertical="center"/>
    </xf>
    <xf numFmtId="0" fontId="18" fillId="0" borderId="91" xfId="1" applyFont="1" applyBorder="1" applyAlignment="1">
      <alignment vertical="center"/>
    </xf>
    <xf numFmtId="0" fontId="9" fillId="7" borderId="93" xfId="45" applyFont="1" applyFill="1" applyBorder="1" applyAlignment="1">
      <alignment horizontal="left" vertical="center" wrapText="1"/>
    </xf>
    <xf numFmtId="169" fontId="1" fillId="0" borderId="95" xfId="9" applyNumberFormat="1" applyFont="1" applyFill="1" applyBorder="1" applyAlignment="1" applyProtection="1">
      <alignment vertical="center" wrapText="1"/>
      <protection locked="0"/>
    </xf>
    <xf numFmtId="0" fontId="1" fillId="0" borderId="92" xfId="3" applyFont="1" applyBorder="1" applyAlignment="1" applyProtection="1">
      <alignment horizontal="center" vertical="center"/>
      <protection locked="0"/>
    </xf>
    <xf numFmtId="171" fontId="1" fillId="0" borderId="90" xfId="3" applyNumberFormat="1" applyFont="1" applyBorder="1" applyAlignment="1" applyProtection="1">
      <alignment horizontal="left" vertical="center" shrinkToFit="1"/>
      <protection locked="0"/>
    </xf>
    <xf numFmtId="0" fontId="31" fillId="0" borderId="90" xfId="3" applyFont="1" applyBorder="1" applyAlignment="1" applyProtection="1">
      <alignment horizontal="center" vertical="center" wrapText="1"/>
      <protection locked="0"/>
    </xf>
    <xf numFmtId="172" fontId="31" fillId="0" borderId="90" xfId="3" applyNumberFormat="1" applyFont="1" applyBorder="1" applyAlignment="1" applyProtection="1">
      <alignment horizontal="right" vertical="center" wrapText="1"/>
      <protection locked="0"/>
    </xf>
    <xf numFmtId="164" fontId="31" fillId="0" borderId="90" xfId="4" applyFont="1" applyFill="1" applyBorder="1" applyAlignment="1" applyProtection="1">
      <alignment horizontal="right" vertical="center" shrinkToFit="1"/>
      <protection locked="0"/>
    </xf>
    <xf numFmtId="9" fontId="31" fillId="0" borderId="90" xfId="40" applyFont="1" applyFill="1" applyBorder="1" applyAlignment="1" applyProtection="1">
      <alignment horizontal="right" vertical="center" shrinkToFit="1"/>
      <protection locked="0"/>
    </xf>
    <xf numFmtId="164" fontId="31" fillId="0" borderId="90" xfId="13" applyFont="1" applyFill="1" applyBorder="1" applyAlignment="1" applyProtection="1">
      <alignment horizontal="center" vertical="center" shrinkToFit="1"/>
      <protection locked="0"/>
    </xf>
    <xf numFmtId="10" fontId="31" fillId="0" borderId="90" xfId="40" applyNumberFormat="1" applyFont="1" applyFill="1" applyBorder="1" applyAlignment="1" applyProtection="1">
      <alignment horizontal="center" vertical="center" shrinkToFit="1"/>
      <protection locked="0"/>
    </xf>
    <xf numFmtId="9" fontId="31" fillId="0" borderId="90" xfId="40" applyFont="1" applyFill="1" applyBorder="1" applyAlignment="1" applyProtection="1">
      <alignment horizontal="center" vertical="center" shrinkToFit="1"/>
      <protection locked="0"/>
    </xf>
    <xf numFmtId="0" fontId="31" fillId="0" borderId="90" xfId="3" applyFont="1" applyBorder="1" applyAlignment="1" applyProtection="1">
      <alignment horizontal="center" vertical="center" shrinkToFit="1"/>
      <protection locked="0"/>
    </xf>
    <xf numFmtId="0" fontId="18" fillId="0" borderId="89" xfId="0" applyFont="1" applyBorder="1" applyAlignment="1">
      <alignment vertical="center"/>
    </xf>
    <xf numFmtId="0" fontId="18" fillId="0" borderId="90" xfId="0" applyFont="1" applyBorder="1" applyAlignment="1">
      <alignment vertical="center"/>
    </xf>
    <xf numFmtId="0" fontId="18" fillId="0" borderId="91" xfId="0" applyFont="1" applyBorder="1" applyAlignment="1">
      <alignment vertical="center"/>
    </xf>
    <xf numFmtId="171" fontId="1" fillId="0" borderId="90" xfId="6" applyNumberFormat="1" applyFont="1" applyBorder="1" applyAlignment="1" applyProtection="1">
      <alignment horizontal="left" vertical="center" shrinkToFit="1"/>
      <protection locked="0"/>
    </xf>
    <xf numFmtId="0" fontId="31" fillId="0" borderId="90" xfId="6" applyFont="1" applyBorder="1" applyAlignment="1" applyProtection="1">
      <alignment horizontal="center" vertical="center" wrapText="1"/>
      <protection locked="0"/>
    </xf>
    <xf numFmtId="172" fontId="31" fillId="0" borderId="90" xfId="6" applyNumberFormat="1" applyFont="1" applyBorder="1" applyAlignment="1" applyProtection="1">
      <alignment horizontal="right" vertical="center" wrapText="1"/>
      <protection locked="0"/>
    </xf>
    <xf numFmtId="164" fontId="31" fillId="0" borderId="90" xfId="7" applyFont="1" applyFill="1" applyBorder="1" applyAlignment="1" applyProtection="1">
      <alignment horizontal="right" vertical="center" shrinkToFit="1"/>
      <protection locked="0"/>
    </xf>
    <xf numFmtId="10" fontId="31" fillId="0" borderId="90" xfId="48" applyNumberFormat="1" applyFont="1" applyFill="1" applyBorder="1" applyAlignment="1" applyProtection="1">
      <alignment horizontal="right" vertical="center" shrinkToFit="1"/>
      <protection locked="0"/>
    </xf>
    <xf numFmtId="9" fontId="31" fillId="0" borderId="90" xfId="48" applyFont="1" applyFill="1" applyBorder="1" applyAlignment="1" applyProtection="1">
      <alignment horizontal="right" vertical="center" shrinkToFit="1"/>
      <protection locked="0"/>
    </xf>
    <xf numFmtId="10" fontId="31" fillId="0" borderId="90" xfId="48" applyNumberFormat="1" applyFont="1" applyFill="1" applyBorder="1" applyAlignment="1" applyProtection="1">
      <alignment horizontal="center" vertical="center" shrinkToFit="1"/>
      <protection locked="0"/>
    </xf>
    <xf numFmtId="9" fontId="31" fillId="0" borderId="90" xfId="48" applyFont="1" applyFill="1" applyBorder="1" applyAlignment="1" applyProtection="1">
      <alignment horizontal="center" vertical="center" shrinkToFit="1"/>
      <protection locked="0"/>
    </xf>
    <xf numFmtId="0" fontId="31" fillId="0" borderId="90" xfId="6" applyFont="1" applyBorder="1" applyAlignment="1" applyProtection="1">
      <alignment horizontal="center" vertical="center" shrinkToFit="1"/>
      <protection locked="0"/>
    </xf>
    <xf numFmtId="164" fontId="42" fillId="8" borderId="93" xfId="59" applyFont="1" applyFill="1" applyBorder="1" applyAlignment="1" applyProtection="1">
      <alignment horizontal="center" vertical="center" wrapText="1"/>
      <protection locked="0"/>
    </xf>
    <xf numFmtId="0" fontId="9" fillId="8" borderId="94" xfId="10" applyFont="1" applyFill="1" applyBorder="1" applyAlignment="1" applyProtection="1">
      <alignment horizontal="center" vertical="center" wrapText="1"/>
      <protection locked="0"/>
    </xf>
    <xf numFmtId="0" fontId="9" fillId="8" borderId="94" xfId="10" applyFont="1" applyFill="1" applyBorder="1" applyAlignment="1">
      <alignment horizontal="center" vertical="center" wrapText="1"/>
    </xf>
    <xf numFmtId="0" fontId="9" fillId="7" borderId="94" xfId="10" applyFont="1" applyFill="1" applyBorder="1" applyAlignment="1">
      <alignment horizontal="center" vertical="center" wrapText="1"/>
    </xf>
    <xf numFmtId="0" fontId="9" fillId="8" borderId="95" xfId="10" applyFont="1" applyFill="1" applyBorder="1" applyAlignment="1">
      <alignment horizontal="center" vertical="center" wrapText="1"/>
    </xf>
    <xf numFmtId="0" fontId="9" fillId="7" borderId="93" xfId="6" applyFont="1" applyFill="1" applyBorder="1" applyAlignment="1" applyProtection="1">
      <alignment horizontal="center" vertical="center"/>
      <protection locked="0"/>
    </xf>
    <xf numFmtId="0" fontId="9" fillId="7" borderId="94" xfId="6" applyFont="1" applyFill="1" applyBorder="1" applyAlignment="1" applyProtection="1">
      <alignment horizontal="center" vertical="center"/>
      <protection locked="0"/>
    </xf>
    <xf numFmtId="0" fontId="9" fillId="7" borderId="94" xfId="6" applyFont="1" applyFill="1" applyBorder="1" applyAlignment="1" applyProtection="1">
      <alignment horizontal="center" vertical="center" wrapText="1"/>
      <protection locked="0"/>
    </xf>
    <xf numFmtId="0" fontId="9" fillId="7" borderId="95" xfId="8" applyFont="1" applyFill="1" applyBorder="1" applyAlignment="1" applyProtection="1">
      <alignment horizontal="center" vertical="center" wrapText="1"/>
      <protection locked="0"/>
    </xf>
    <xf numFmtId="37" fontId="9" fillId="0" borderId="89" xfId="62" applyFont="1" applyBorder="1" applyAlignment="1">
      <alignment vertical="center"/>
    </xf>
    <xf numFmtId="0" fontId="2" fillId="0" borderId="90" xfId="2" applyFont="1" applyBorder="1" applyAlignment="1"/>
    <xf numFmtId="0" fontId="36" fillId="0" borderId="90" xfId="2" applyFont="1" applyBorder="1">
      <alignment vertical="center"/>
    </xf>
    <xf numFmtId="164" fontId="2" fillId="0" borderId="91" xfId="63" applyNumberFormat="1" applyFont="1" applyBorder="1" applyAlignment="1">
      <alignment vertical="center" shrinkToFit="1"/>
    </xf>
    <xf numFmtId="0" fontId="9" fillId="0" borderId="89" xfId="6" applyFont="1" applyBorder="1" applyAlignment="1" applyProtection="1">
      <alignment horizontal="left" vertical="center"/>
      <protection locked="0"/>
    </xf>
    <xf numFmtId="0" fontId="9" fillId="0" borderId="90" xfId="6" applyFont="1" applyBorder="1" applyAlignment="1" applyProtection="1">
      <alignment horizontal="left" vertical="center"/>
      <protection locked="0"/>
    </xf>
    <xf numFmtId="0" fontId="1" fillId="0" borderId="90" xfId="6" applyFont="1" applyBorder="1" applyAlignment="1" applyProtection="1">
      <alignment horizontal="center" vertical="center"/>
      <protection locked="0"/>
    </xf>
    <xf numFmtId="0" fontId="1" fillId="0" borderId="91" xfId="6" applyFont="1" applyBorder="1" applyAlignment="1" applyProtection="1">
      <alignment horizontal="center" vertical="center"/>
      <protection locked="0"/>
    </xf>
    <xf numFmtId="0" fontId="49" fillId="0" borderId="89" xfId="0" applyFont="1" applyBorder="1" applyAlignment="1">
      <alignment vertical="center"/>
    </xf>
    <xf numFmtId="0" fontId="1" fillId="9" borderId="94" xfId="0" applyFont="1" applyFill="1" applyBorder="1" applyAlignment="1">
      <alignment horizontal="center" vertical="center" wrapText="1"/>
    </xf>
    <xf numFmtId="0" fontId="1" fillId="9" borderId="95" xfId="0" applyFont="1" applyFill="1" applyBorder="1" applyAlignment="1">
      <alignment horizontal="center" vertical="center" wrapText="1"/>
    </xf>
    <xf numFmtId="0" fontId="1" fillId="0" borderId="73" xfId="0" applyFont="1" applyBorder="1" applyAlignment="1" applyProtection="1">
      <alignment horizontal="left" vertical="center" wrapText="1"/>
      <protection locked="0"/>
    </xf>
    <xf numFmtId="0" fontId="5" fillId="0" borderId="15" xfId="0" applyFont="1" applyBorder="1" applyAlignment="1" applyProtection="1">
      <alignment horizontal="left" vertical="center"/>
      <protection locked="0"/>
    </xf>
    <xf numFmtId="0" fontId="5" fillId="0" borderId="50" xfId="0" applyFont="1" applyBorder="1" applyAlignment="1" applyProtection="1">
      <alignment horizontal="left" vertical="center"/>
      <protection locked="0"/>
    </xf>
    <xf numFmtId="0" fontId="1" fillId="2" borderId="73" xfId="0" applyFont="1" applyFill="1" applyBorder="1" applyAlignment="1" applyProtection="1">
      <alignment horizontal="left" vertical="center" wrapText="1"/>
      <protection locked="0"/>
    </xf>
    <xf numFmtId="0" fontId="1" fillId="2" borderId="73" xfId="0" applyFont="1" applyFill="1" applyBorder="1" applyAlignment="1" applyProtection="1">
      <alignment horizontal="center" vertical="center" wrapText="1"/>
      <protection locked="0"/>
    </xf>
    <xf numFmtId="0" fontId="1" fillId="5" borderId="73" xfId="21" applyFill="1" applyBorder="1" applyAlignment="1" applyProtection="1">
      <alignment horizontal="left" vertical="center" wrapText="1"/>
      <protection locked="0"/>
    </xf>
    <xf numFmtId="0" fontId="18" fillId="0" borderId="36" xfId="0" applyFont="1" applyBorder="1" applyAlignment="1">
      <alignment horizontal="left" vertical="center" wrapText="1"/>
    </xf>
    <xf numFmtId="0" fontId="18" fillId="0" borderId="70" xfId="0" applyFont="1" applyBorder="1" applyAlignment="1">
      <alignment horizontal="left" vertical="center" wrapText="1"/>
    </xf>
    <xf numFmtId="0" fontId="18" fillId="0" borderId="19" xfId="0" applyFont="1" applyBorder="1" applyAlignment="1">
      <alignment horizontal="left" vertical="center" wrapText="1"/>
    </xf>
    <xf numFmtId="0" fontId="17" fillId="3" borderId="36" xfId="0" applyFont="1" applyFill="1" applyBorder="1" applyAlignment="1">
      <alignment horizontal="left" vertical="center"/>
    </xf>
    <xf numFmtId="0" fontId="17" fillId="3" borderId="70" xfId="0" applyFont="1" applyFill="1" applyBorder="1" applyAlignment="1">
      <alignment horizontal="left" vertical="center"/>
    </xf>
    <xf numFmtId="0" fontId="17" fillId="3" borderId="19" xfId="0" applyFont="1" applyFill="1" applyBorder="1" applyAlignment="1">
      <alignment horizontal="left" vertical="center"/>
    </xf>
    <xf numFmtId="0" fontId="1" fillId="0" borderId="89" xfId="35" applyFont="1" applyBorder="1" applyAlignment="1" applyProtection="1">
      <alignment horizontal="left" vertical="center" wrapText="1"/>
      <protection locked="0"/>
    </xf>
    <xf numFmtId="0" fontId="1" fillId="0" borderId="90" xfId="35" applyFont="1" applyBorder="1" applyAlignment="1" applyProtection="1">
      <alignment horizontal="left" vertical="center" wrapText="1"/>
      <protection locked="0"/>
    </xf>
    <xf numFmtId="0" fontId="1" fillId="0" borderId="91" xfId="35" applyFont="1" applyBorder="1" applyAlignment="1" applyProtection="1">
      <alignment horizontal="left" vertical="center" wrapText="1"/>
      <protection locked="0"/>
    </xf>
    <xf numFmtId="0" fontId="1" fillId="0" borderId="2" xfId="35" applyFont="1" applyBorder="1" applyAlignment="1" applyProtection="1">
      <alignment horizontal="left" vertical="center" wrapText="1"/>
      <protection locked="0"/>
    </xf>
    <xf numFmtId="0" fontId="1" fillId="0" borderId="0" xfId="35" applyFont="1" applyAlignment="1" applyProtection="1">
      <alignment horizontal="left" vertical="center" wrapText="1"/>
      <protection locked="0"/>
    </xf>
    <xf numFmtId="0" fontId="1" fillId="0" borderId="3" xfId="35" applyFont="1" applyBorder="1" applyAlignment="1" applyProtection="1">
      <alignment horizontal="left" vertical="center" wrapText="1"/>
      <protection locked="0"/>
    </xf>
    <xf numFmtId="0" fontId="1" fillId="0" borderId="4" xfId="35" applyFont="1" applyBorder="1" applyAlignment="1" applyProtection="1">
      <alignment horizontal="left" vertical="center" wrapText="1"/>
      <protection locked="0"/>
    </xf>
    <xf numFmtId="0" fontId="1" fillId="0" borderId="5" xfId="35" applyFont="1" applyBorder="1" applyAlignment="1" applyProtection="1">
      <alignment horizontal="left" vertical="center" wrapText="1"/>
      <protection locked="0"/>
    </xf>
    <xf numFmtId="0" fontId="1" fillId="0" borderId="6" xfId="35" applyFont="1" applyBorder="1" applyAlignment="1" applyProtection="1">
      <alignment horizontal="left" vertical="center" wrapText="1"/>
      <protection locked="0"/>
    </xf>
    <xf numFmtId="0" fontId="1" fillId="0" borderId="89" xfId="6" applyFont="1" applyBorder="1" applyAlignment="1" applyProtection="1">
      <alignment horizontal="left" vertical="center" wrapText="1"/>
      <protection locked="0"/>
    </xf>
    <xf numFmtId="0" fontId="1" fillId="0" borderId="90" xfId="6" applyFont="1" applyBorder="1" applyAlignment="1" applyProtection="1">
      <alignment horizontal="left" vertical="center" wrapText="1"/>
      <protection locked="0"/>
    </xf>
    <xf numFmtId="0" fontId="1" fillId="0" borderId="91" xfId="6" applyFont="1" applyBorder="1" applyAlignment="1" applyProtection="1">
      <alignment horizontal="left" vertical="center" wrapText="1"/>
      <protection locked="0"/>
    </xf>
    <xf numFmtId="0" fontId="1" fillId="0" borderId="2" xfId="6" applyFont="1" applyBorder="1" applyAlignment="1" applyProtection="1">
      <alignment horizontal="left" vertical="center" wrapText="1"/>
      <protection locked="0"/>
    </xf>
    <xf numFmtId="0" fontId="1" fillId="0" borderId="0" xfId="6" applyFont="1" applyAlignment="1" applyProtection="1">
      <alignment horizontal="left" vertical="center" wrapText="1"/>
      <protection locked="0"/>
    </xf>
    <xf numFmtId="0" fontId="1" fillId="0" borderId="3" xfId="6" applyFont="1" applyBorder="1" applyAlignment="1" applyProtection="1">
      <alignment horizontal="left" vertical="center" wrapText="1"/>
      <protection locked="0"/>
    </xf>
    <xf numFmtId="0" fontId="1" fillId="0" borderId="4" xfId="6" applyFont="1" applyBorder="1" applyAlignment="1" applyProtection="1">
      <alignment horizontal="left" vertical="center" wrapText="1"/>
      <protection locked="0"/>
    </xf>
    <xf numFmtId="0" fontId="1" fillId="0" borderId="5" xfId="6" applyFont="1" applyBorder="1" applyAlignment="1" applyProtection="1">
      <alignment horizontal="left" vertical="center" wrapText="1"/>
      <protection locked="0"/>
    </xf>
    <xf numFmtId="0" fontId="1" fillId="0" borderId="6" xfId="6" applyFont="1" applyBorder="1" applyAlignment="1" applyProtection="1">
      <alignment horizontal="left" vertical="center" wrapText="1"/>
      <protection locked="0"/>
    </xf>
    <xf numFmtId="202" fontId="18" fillId="0" borderId="89" xfId="43" applyNumberFormat="1" applyFont="1" applyBorder="1" applyAlignment="1">
      <alignment horizontal="left" vertical="center" wrapText="1"/>
    </xf>
    <xf numFmtId="202" fontId="18" fillId="0" borderId="90" xfId="43" applyNumberFormat="1" applyFont="1" applyBorder="1" applyAlignment="1">
      <alignment horizontal="left" vertical="center" wrapText="1"/>
    </xf>
    <xf numFmtId="202" fontId="18" fillId="0" borderId="91" xfId="43" applyNumberFormat="1" applyFont="1" applyBorder="1" applyAlignment="1">
      <alignment horizontal="left" vertical="center" wrapText="1"/>
    </xf>
    <xf numFmtId="202" fontId="18" fillId="0" borderId="2" xfId="43" applyNumberFormat="1" applyFont="1" applyBorder="1" applyAlignment="1">
      <alignment horizontal="left" vertical="center" wrapText="1"/>
    </xf>
    <xf numFmtId="202" fontId="18" fillId="0" borderId="0" xfId="43" applyNumberFormat="1" applyFont="1" applyAlignment="1">
      <alignment horizontal="left" vertical="center" wrapText="1"/>
    </xf>
    <xf numFmtId="202" fontId="18" fillId="0" borderId="3" xfId="43" applyNumberFormat="1" applyFont="1" applyBorder="1" applyAlignment="1">
      <alignment horizontal="left" vertical="center" wrapText="1"/>
    </xf>
    <xf numFmtId="202" fontId="18" fillId="0" borderId="4" xfId="43" applyNumberFormat="1" applyFont="1" applyBorder="1" applyAlignment="1">
      <alignment horizontal="left" vertical="center" wrapText="1"/>
    </xf>
    <xf numFmtId="202" fontId="18" fillId="0" borderId="5" xfId="43" applyNumberFormat="1" applyFont="1" applyBorder="1" applyAlignment="1">
      <alignment horizontal="left" vertical="center" wrapText="1"/>
    </xf>
    <xf numFmtId="202" fontId="18" fillId="0" borderId="6" xfId="43" applyNumberFormat="1" applyFont="1" applyBorder="1" applyAlignment="1">
      <alignment horizontal="left" vertical="center" wrapText="1"/>
    </xf>
    <xf numFmtId="0" fontId="1" fillId="0" borderId="89" xfId="3" applyFont="1" applyBorder="1" applyAlignment="1" applyProtection="1">
      <alignment horizontal="left" vertical="center" wrapText="1"/>
      <protection locked="0"/>
    </xf>
    <xf numFmtId="0" fontId="1" fillId="0" borderId="90" xfId="3" applyFont="1" applyBorder="1" applyAlignment="1" applyProtection="1">
      <alignment horizontal="left" vertical="center" wrapText="1"/>
      <protection locked="0"/>
    </xf>
    <xf numFmtId="0" fontId="1" fillId="0" borderId="91" xfId="3" applyFont="1" applyBorder="1" applyAlignment="1" applyProtection="1">
      <alignment horizontal="left" vertical="center" wrapText="1"/>
      <protection locked="0"/>
    </xf>
    <xf numFmtId="0" fontId="1" fillId="0" borderId="2" xfId="3" applyFont="1" applyBorder="1" applyAlignment="1" applyProtection="1">
      <alignment horizontal="left" vertical="center" wrapText="1"/>
      <protection locked="0"/>
    </xf>
    <xf numFmtId="0" fontId="1" fillId="0" borderId="0" xfId="3" applyFont="1" applyAlignment="1" applyProtection="1">
      <alignment horizontal="left" vertical="center" wrapText="1"/>
      <protection locked="0"/>
    </xf>
    <xf numFmtId="0" fontId="1" fillId="0" borderId="3" xfId="3" applyFont="1" applyBorder="1" applyAlignment="1" applyProtection="1">
      <alignment horizontal="left" vertical="center" wrapText="1"/>
      <protection locked="0"/>
    </xf>
    <xf numFmtId="0" fontId="1" fillId="0" borderId="4" xfId="3" applyFont="1" applyBorder="1" applyAlignment="1" applyProtection="1">
      <alignment horizontal="left" vertical="center" wrapText="1"/>
      <protection locked="0"/>
    </xf>
    <xf numFmtId="0" fontId="1" fillId="0" borderId="5" xfId="3" applyFont="1" applyBorder="1" applyAlignment="1" applyProtection="1">
      <alignment horizontal="left" vertical="center" wrapText="1"/>
      <protection locked="0"/>
    </xf>
    <xf numFmtId="0" fontId="1" fillId="0" borderId="6" xfId="3" applyFont="1" applyBorder="1" applyAlignment="1" applyProtection="1">
      <alignment horizontal="left" vertical="center" wrapText="1"/>
      <protection locked="0"/>
    </xf>
    <xf numFmtId="0" fontId="28" fillId="0" borderId="0" xfId="1" applyFont="1" applyAlignment="1">
      <alignment horizontal="center" vertical="center" wrapText="1"/>
    </xf>
    <xf numFmtId="0" fontId="28" fillId="0" borderId="0" xfId="1" applyFont="1" applyAlignment="1">
      <alignment horizontal="center" vertical="center"/>
    </xf>
    <xf numFmtId="0" fontId="18" fillId="0" borderId="36" xfId="1" applyFont="1" applyBorder="1" applyAlignment="1">
      <alignment horizontal="left" vertical="center" wrapText="1"/>
    </xf>
    <xf numFmtId="0" fontId="18" fillId="0" borderId="70" xfId="1" applyFont="1" applyBorder="1" applyAlignment="1">
      <alignment horizontal="left" vertical="center" wrapText="1"/>
    </xf>
    <xf numFmtId="0" fontId="18" fillId="0" borderId="19" xfId="1" applyFont="1" applyBorder="1" applyAlignment="1">
      <alignment horizontal="left" vertical="center" wrapText="1"/>
    </xf>
    <xf numFmtId="0" fontId="28" fillId="0" borderId="0" xfId="0" applyFont="1" applyAlignment="1">
      <alignment horizontal="center" vertical="center" wrapText="1"/>
    </xf>
    <xf numFmtId="0" fontId="28" fillId="0" borderId="0" xfId="0" applyFont="1" applyAlignment="1">
      <alignment horizontal="center" vertical="center"/>
    </xf>
    <xf numFmtId="0" fontId="18" fillId="0" borderId="73" xfId="0" applyFont="1" applyBorder="1" applyAlignment="1">
      <alignment horizontal="left" vertical="center" wrapText="1"/>
    </xf>
    <xf numFmtId="0" fontId="17" fillId="3" borderId="73" xfId="0" applyFont="1" applyFill="1" applyBorder="1" applyAlignment="1">
      <alignment horizontal="left" vertical="center"/>
    </xf>
    <xf numFmtId="0" fontId="18" fillId="0" borderId="73" xfId="1" applyFont="1" applyBorder="1" applyAlignment="1">
      <alignment horizontal="left" vertical="center" wrapText="1"/>
    </xf>
    <xf numFmtId="0" fontId="1" fillId="0" borderId="89" xfId="58" applyFont="1" applyBorder="1" applyAlignment="1">
      <alignment horizontal="left" vertical="center" wrapText="1"/>
    </xf>
    <xf numFmtId="0" fontId="1" fillId="0" borderId="90" xfId="58" applyFont="1" applyBorder="1" applyAlignment="1">
      <alignment horizontal="left" vertical="center" wrapText="1"/>
    </xf>
    <xf numFmtId="0" fontId="1" fillId="0" borderId="91" xfId="58" applyFont="1" applyBorder="1" applyAlignment="1">
      <alignment horizontal="left" vertical="center" wrapText="1"/>
    </xf>
    <xf numFmtId="0" fontId="1" fillId="0" borderId="2" xfId="58" applyFont="1" applyBorder="1" applyAlignment="1">
      <alignment horizontal="left" vertical="center" wrapText="1"/>
    </xf>
    <xf numFmtId="0" fontId="1" fillId="0" borderId="0" xfId="58" applyFont="1" applyAlignment="1">
      <alignment horizontal="left" vertical="center" wrapText="1"/>
    </xf>
    <xf numFmtId="0" fontId="1" fillId="0" borderId="3" xfId="58" applyFont="1" applyBorder="1" applyAlignment="1">
      <alignment horizontal="left" vertical="center" wrapText="1"/>
    </xf>
    <xf numFmtId="0" fontId="1" fillId="0" borderId="4" xfId="58" applyFont="1" applyBorder="1" applyAlignment="1">
      <alignment horizontal="left" vertical="center" wrapText="1"/>
    </xf>
    <xf numFmtId="0" fontId="1" fillId="0" borderId="5" xfId="58" applyFont="1" applyBorder="1" applyAlignment="1">
      <alignment horizontal="left" vertical="center" wrapText="1"/>
    </xf>
    <xf numFmtId="0" fontId="1" fillId="0" borderId="6" xfId="58" applyFont="1" applyBorder="1" applyAlignment="1">
      <alignment horizontal="left" vertical="center" wrapText="1"/>
    </xf>
    <xf numFmtId="0" fontId="13" fillId="2" borderId="0" xfId="10" applyFont="1" applyFill="1" applyAlignment="1">
      <alignment horizontal="center" vertical="center"/>
    </xf>
    <xf numFmtId="0" fontId="40" fillId="3" borderId="36" xfId="10" applyFont="1" applyFill="1" applyBorder="1" applyAlignment="1">
      <alignment horizontal="left" vertical="center"/>
    </xf>
    <xf numFmtId="0" fontId="40" fillId="3" borderId="70" xfId="10" applyFont="1" applyFill="1" applyBorder="1" applyAlignment="1">
      <alignment horizontal="left" vertical="center"/>
    </xf>
    <xf numFmtId="0" fontId="40" fillId="3" borderId="19" xfId="10" applyFont="1" applyFill="1" applyBorder="1" applyAlignment="1">
      <alignment horizontal="left" vertical="center"/>
    </xf>
    <xf numFmtId="0" fontId="39" fillId="0" borderId="36" xfId="10" applyFont="1" applyBorder="1" applyAlignment="1">
      <alignment horizontal="left" vertical="center"/>
    </xf>
    <xf numFmtId="0" fontId="39" fillId="0" borderId="70" xfId="10" applyFont="1" applyBorder="1" applyAlignment="1">
      <alignment horizontal="left" vertical="center"/>
    </xf>
    <xf numFmtId="0" fontId="39" fillId="0" borderId="19" xfId="10" applyFont="1" applyBorder="1" applyAlignment="1">
      <alignment horizontal="left" vertical="center"/>
    </xf>
    <xf numFmtId="0" fontId="39" fillId="0" borderId="36" xfId="10" applyFont="1" applyBorder="1" applyAlignment="1">
      <alignment horizontal="left" vertical="center" wrapText="1"/>
    </xf>
    <xf numFmtId="0" fontId="39" fillId="0" borderId="70" xfId="10" applyFont="1" applyBorder="1" applyAlignment="1">
      <alignment horizontal="left" vertical="center" wrapText="1"/>
    </xf>
    <xf numFmtId="0" fontId="39" fillId="0" borderId="19" xfId="10" applyFont="1" applyBorder="1" applyAlignment="1">
      <alignment horizontal="left" vertical="center" wrapText="1"/>
    </xf>
    <xf numFmtId="0" fontId="41" fillId="0" borderId="36" xfId="10" applyFont="1" applyBorder="1" applyAlignment="1">
      <alignment horizontal="left" vertical="center" wrapText="1"/>
    </xf>
    <xf numFmtId="0" fontId="41" fillId="0" borderId="70" xfId="10" applyFont="1" applyBorder="1" applyAlignment="1">
      <alignment horizontal="left" vertical="center" wrapText="1"/>
    </xf>
    <xf numFmtId="0" fontId="41" fillId="0" borderId="19" xfId="10" applyFont="1" applyBorder="1" applyAlignment="1">
      <alignment horizontal="left" vertical="center" wrapText="1"/>
    </xf>
    <xf numFmtId="0" fontId="18" fillId="0" borderId="73" xfId="65" applyFont="1" applyBorder="1" applyAlignment="1">
      <alignment horizontal="left" vertical="center" wrapText="1"/>
    </xf>
    <xf numFmtId="0" fontId="1" fillId="0" borderId="90" xfId="6" applyFont="1" applyBorder="1" applyAlignment="1" applyProtection="1">
      <alignment horizontal="left" vertical="center"/>
      <protection locked="0"/>
    </xf>
    <xf numFmtId="0" fontId="1" fillId="0" borderId="91" xfId="6" applyFont="1" applyBorder="1" applyAlignment="1" applyProtection="1">
      <alignment horizontal="left" vertical="center"/>
      <protection locked="0"/>
    </xf>
    <xf numFmtId="0" fontId="1" fillId="0" borderId="2" xfId="6" applyFont="1" applyBorder="1" applyAlignment="1" applyProtection="1">
      <alignment horizontal="left" vertical="center"/>
      <protection locked="0"/>
    </xf>
    <xf numFmtId="0" fontId="1" fillId="0" borderId="0" xfId="6" applyFont="1" applyAlignment="1" applyProtection="1">
      <alignment horizontal="left" vertical="center"/>
      <protection locked="0"/>
    </xf>
    <xf numFmtId="0" fontId="1" fillId="0" borderId="3" xfId="6" applyFont="1" applyBorder="1" applyAlignment="1" applyProtection="1">
      <alignment horizontal="left" vertical="center"/>
      <protection locked="0"/>
    </xf>
    <xf numFmtId="0" fontId="1" fillId="0" borderId="4" xfId="6" applyFont="1" applyBorder="1" applyAlignment="1" applyProtection="1">
      <alignment horizontal="left" vertical="center"/>
      <protection locked="0"/>
    </xf>
    <xf numFmtId="0" fontId="1" fillId="0" borderId="5" xfId="6" applyFont="1" applyBorder="1" applyAlignment="1" applyProtection="1">
      <alignment horizontal="left" vertical="center"/>
      <protection locked="0"/>
    </xf>
    <xf numFmtId="0" fontId="1" fillId="0" borderId="6" xfId="6" applyFont="1" applyBorder="1" applyAlignment="1" applyProtection="1">
      <alignment horizontal="left" vertical="center"/>
      <protection locked="0"/>
    </xf>
    <xf numFmtId="0" fontId="18" fillId="0" borderId="11" xfId="0" applyFont="1" applyBorder="1" applyAlignment="1">
      <alignment horizontal="left" vertical="top" wrapText="1"/>
    </xf>
    <xf numFmtId="0" fontId="18" fillId="0" borderId="22" xfId="0" applyFont="1" applyBorder="1" applyAlignment="1">
      <alignment horizontal="left" vertical="top" wrapText="1"/>
    </xf>
    <xf numFmtId="0" fontId="18" fillId="0" borderId="12" xfId="0" applyFont="1" applyBorder="1" applyAlignment="1">
      <alignment horizontal="left" vertical="top" wrapText="1"/>
    </xf>
    <xf numFmtId="0" fontId="1" fillId="0" borderId="89" xfId="0" applyFont="1" applyBorder="1" applyAlignment="1">
      <alignment horizontal="left" vertical="center" wrapText="1"/>
    </xf>
    <xf numFmtId="0" fontId="1" fillId="0" borderId="90" xfId="0" applyFont="1" applyBorder="1" applyAlignment="1">
      <alignment horizontal="left" vertical="center" wrapText="1"/>
    </xf>
    <xf numFmtId="0" fontId="1" fillId="0" borderId="91"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cellXfs>
  <cellStyles count="2633">
    <cellStyle name="_x000a_mouse.drv=lm" xfId="73" xr:uid="{00000000-0005-0000-0000-00004A000000}"/>
    <cellStyle name="?鹎%U龡&amp;H?_x0008__x001c__x001c_?_x0007__x0001__x0001_" xfId="74" xr:uid="{00000000-0005-0000-0000-00004B000000}"/>
    <cellStyle name="0%" xfId="75" xr:uid="{00000000-0005-0000-0000-00004C000000}"/>
    <cellStyle name="0.0%" xfId="76" xr:uid="{00000000-0005-0000-0000-00004D000000}"/>
    <cellStyle name="0.00%" xfId="77" xr:uid="{00000000-0005-0000-0000-00004E000000}"/>
    <cellStyle name="00" xfId="78" xr:uid="{00000000-0005-0000-0000-00004F000000}"/>
    <cellStyle name="Accent1" xfId="79" xr:uid="{00000000-0005-0000-0000-000050000000}"/>
    <cellStyle name="Accent1 - 20%" xfId="80" xr:uid="{00000000-0005-0000-0000-000051000000}"/>
    <cellStyle name="Accent1 - 40%" xfId="81" xr:uid="{00000000-0005-0000-0000-000052000000}"/>
    <cellStyle name="Accent1 - 60%" xfId="82" xr:uid="{00000000-0005-0000-0000-000053000000}"/>
    <cellStyle name="Accent1_RESULTS" xfId="83" xr:uid="{00000000-0005-0000-0000-000054000000}"/>
    <cellStyle name="Accent2" xfId="84" xr:uid="{00000000-0005-0000-0000-000055000000}"/>
    <cellStyle name="Accent2 - 20%" xfId="85" xr:uid="{00000000-0005-0000-0000-000056000000}"/>
    <cellStyle name="Accent2 - 40%" xfId="86" xr:uid="{00000000-0005-0000-0000-000057000000}"/>
    <cellStyle name="Accent2 - 60%" xfId="87" xr:uid="{00000000-0005-0000-0000-000058000000}"/>
    <cellStyle name="Accent2_RESULTS" xfId="88" xr:uid="{00000000-0005-0000-0000-000059000000}"/>
    <cellStyle name="Accent3" xfId="89" xr:uid="{00000000-0005-0000-0000-00005A000000}"/>
    <cellStyle name="Accent3 - 20%" xfId="90" xr:uid="{00000000-0005-0000-0000-00005B000000}"/>
    <cellStyle name="Accent3 - 40%" xfId="91" xr:uid="{00000000-0005-0000-0000-00005C000000}"/>
    <cellStyle name="Accent3 - 60%" xfId="92" xr:uid="{00000000-0005-0000-0000-00005D000000}"/>
    <cellStyle name="Accent3_RESULTS" xfId="93" xr:uid="{00000000-0005-0000-0000-00005E000000}"/>
    <cellStyle name="Accent4" xfId="94" xr:uid="{00000000-0005-0000-0000-00005F000000}"/>
    <cellStyle name="Accent4 - 20%" xfId="95" xr:uid="{00000000-0005-0000-0000-000060000000}"/>
    <cellStyle name="Accent4 - 40%" xfId="96" xr:uid="{00000000-0005-0000-0000-000061000000}"/>
    <cellStyle name="Accent4 - 60%" xfId="97" xr:uid="{00000000-0005-0000-0000-000062000000}"/>
    <cellStyle name="Accent4_RESULTS" xfId="98" xr:uid="{00000000-0005-0000-0000-000063000000}"/>
    <cellStyle name="Accent5" xfId="99" xr:uid="{00000000-0005-0000-0000-000064000000}"/>
    <cellStyle name="Accent5 - 20%" xfId="100" xr:uid="{00000000-0005-0000-0000-000065000000}"/>
    <cellStyle name="Accent5 - 40%" xfId="101" xr:uid="{00000000-0005-0000-0000-000066000000}"/>
    <cellStyle name="Accent5 - 60%" xfId="102" xr:uid="{00000000-0005-0000-0000-000067000000}"/>
    <cellStyle name="Accent5_RESULTS" xfId="103" xr:uid="{00000000-0005-0000-0000-000068000000}"/>
    <cellStyle name="Accent6" xfId="104" xr:uid="{00000000-0005-0000-0000-000069000000}"/>
    <cellStyle name="Accent6 - 20%" xfId="105" xr:uid="{00000000-0005-0000-0000-00006A000000}"/>
    <cellStyle name="Accent6 - 40%" xfId="106" xr:uid="{00000000-0005-0000-0000-00006B000000}"/>
    <cellStyle name="Accent6 - 60%" xfId="107" xr:uid="{00000000-0005-0000-0000-00006C000000}"/>
    <cellStyle name="Accent6_RESULTS" xfId="108" xr:uid="{00000000-0005-0000-0000-00006D000000}"/>
    <cellStyle name="Calc Currency (0)" xfId="109" xr:uid="{00000000-0005-0000-0000-00006E000000}"/>
    <cellStyle name="category" xfId="110" xr:uid="{00000000-0005-0000-0000-00006F000000}"/>
    <cellStyle name="cellStyleNum 2" xfId="111" xr:uid="{00000000-0005-0000-0000-000070000000}"/>
    <cellStyle name="cellStyleNum 2 2" xfId="112" xr:uid="{00000000-0005-0000-0000-000071000000}"/>
    <cellStyle name="cellStyleNum 2 2 2" xfId="113" xr:uid="{00000000-0005-0000-0000-000072000000}"/>
    <cellStyle name="cellStyleNum 2 2 2 2" xfId="1433" xr:uid="{D3B39D24-4DDF-408F-8B53-7C33A82D074F}"/>
    <cellStyle name="cellStyleNum 2 2 3" xfId="114" xr:uid="{00000000-0005-0000-0000-000073000000}"/>
    <cellStyle name="cellStyleNum 2 2 3 2" xfId="1434" xr:uid="{26707107-AD3A-4C4A-AE4A-B8216DB2E960}"/>
    <cellStyle name="cellStyleNum 2 2 4" xfId="115" xr:uid="{00000000-0005-0000-0000-000074000000}"/>
    <cellStyle name="cellStyleNum 2 2 4 2" xfId="1435" xr:uid="{07497E2A-3CEE-441C-9F5A-04C489AAA9A6}"/>
    <cellStyle name="cellStyleNum 2 2 5" xfId="1432" xr:uid="{EF4702A8-F07E-4110-A20F-580469D3240A}"/>
    <cellStyle name="cellStyleNum 2 3" xfId="116" xr:uid="{00000000-0005-0000-0000-000075000000}"/>
    <cellStyle name="cellStyleNum 2 3 2" xfId="1436" xr:uid="{D914E067-12AF-40BA-B098-39276DEBF0F3}"/>
    <cellStyle name="cellStyleNum 2 4" xfId="117" xr:uid="{00000000-0005-0000-0000-000076000000}"/>
    <cellStyle name="cellStyleNum 2 4 2" xfId="1437" xr:uid="{7B5843F7-7253-4EE0-8F4C-A09ED94B12EF}"/>
    <cellStyle name="cellStyleNum 2 5" xfId="118" xr:uid="{00000000-0005-0000-0000-000077000000}"/>
    <cellStyle name="cellStyleNum 2 5 2" xfId="1438" xr:uid="{C8612365-23C0-4B3D-9899-841D0256428E}"/>
    <cellStyle name="cellStyleNum 2 6" xfId="1431" xr:uid="{6A28E335-6E76-45E4-91B8-869C612B7942}"/>
    <cellStyle name="Check Cell 2" xfId="119" xr:uid="{00000000-0005-0000-0000-000078000000}"/>
    <cellStyle name="Check Cell 2 2" xfId="120" xr:uid="{00000000-0005-0000-0000-000079000000}"/>
    <cellStyle name="Check Cell 2 3" xfId="121" xr:uid="{00000000-0005-0000-0000-00007A000000}"/>
    <cellStyle name="Col Heads" xfId="122" xr:uid="{00000000-0005-0000-0000-00007B000000}"/>
    <cellStyle name="Comma  - Style1" xfId="123" xr:uid="{00000000-0005-0000-0000-00007C000000}"/>
    <cellStyle name="Comma  - Style2" xfId="124" xr:uid="{00000000-0005-0000-0000-00007D000000}"/>
    <cellStyle name="Comma  - Style3" xfId="125" xr:uid="{00000000-0005-0000-0000-00007E000000}"/>
    <cellStyle name="Comma  - Style4" xfId="126" xr:uid="{00000000-0005-0000-0000-00007F000000}"/>
    <cellStyle name="Comma  - Style5" xfId="127" xr:uid="{00000000-0005-0000-0000-000080000000}"/>
    <cellStyle name="Comma  - Style6" xfId="128" xr:uid="{00000000-0005-0000-0000-000081000000}"/>
    <cellStyle name="Comma  - Style7" xfId="129" xr:uid="{00000000-0005-0000-0000-000082000000}"/>
    <cellStyle name="Comma  - Style8" xfId="130" xr:uid="{00000000-0005-0000-0000-000083000000}"/>
    <cellStyle name="Comma [0] 2" xfId="60" xr:uid="{00000000-0005-0000-0000-00003D000000}"/>
    <cellStyle name="Comma [0] 2 2" xfId="131" xr:uid="{00000000-0005-0000-0000-000084000000}"/>
    <cellStyle name="Comma [0] 2 2 2" xfId="132" xr:uid="{00000000-0005-0000-0000-000085000000}"/>
    <cellStyle name="Comma [0] 2 2 2 2" xfId="133" xr:uid="{00000000-0005-0000-0000-000086000000}"/>
    <cellStyle name="Comma [0] 2 2 2 2 2" xfId="134" xr:uid="{00000000-0005-0000-0000-000087000000}"/>
    <cellStyle name="Comma [0] 2 2 2 2 2 2" xfId="135" xr:uid="{00000000-0005-0000-0000-000088000000}"/>
    <cellStyle name="Comma [0] 2 2 2 2 2 2 2" xfId="136" xr:uid="{00000000-0005-0000-0000-000089000000}"/>
    <cellStyle name="Comma [0] 2 2 2 2 2 2 2 2" xfId="1456" xr:uid="{E69703F7-59D4-4DF7-8338-FF095B20CFF4}"/>
    <cellStyle name="Comma [0] 2 2 2 2 2 2 3" xfId="1455" xr:uid="{D65DEB15-51C5-464F-9F34-03392591DBEE}"/>
    <cellStyle name="Comma [0] 2 2 2 2 2 3" xfId="137" xr:uid="{00000000-0005-0000-0000-00008A000000}"/>
    <cellStyle name="Comma [0] 2 2 2 2 2 3 2" xfId="138" xr:uid="{00000000-0005-0000-0000-00008B000000}"/>
    <cellStyle name="Comma [0] 2 2 2 2 2 3 2 2" xfId="1458" xr:uid="{FF5688B2-5BFA-4B99-82F1-11A6790F78E0}"/>
    <cellStyle name="Comma [0] 2 2 2 2 2 3 3" xfId="1457" xr:uid="{945A1F2F-B5F3-4F06-91AA-D84AEDC6A7F2}"/>
    <cellStyle name="Comma [0] 2 2 2 2 2 4" xfId="139" xr:uid="{00000000-0005-0000-0000-00008C000000}"/>
    <cellStyle name="Comma [0] 2 2 2 2 2 4 2" xfId="1459" xr:uid="{7C962328-44AC-4A4A-979C-9438AE8CD06E}"/>
    <cellStyle name="Comma [0] 2 2 2 2 2 5" xfId="1454" xr:uid="{CE9A3F09-5AB1-40CE-9A73-E0E97D8D6056}"/>
    <cellStyle name="Comma [0] 2 2 2 2 3" xfId="140" xr:uid="{00000000-0005-0000-0000-00008D000000}"/>
    <cellStyle name="Comma [0] 2 2 2 2 3 2" xfId="141" xr:uid="{00000000-0005-0000-0000-00008E000000}"/>
    <cellStyle name="Comma [0] 2 2 2 2 3 2 2" xfId="142" xr:uid="{00000000-0005-0000-0000-00008F000000}"/>
    <cellStyle name="Comma [0] 2 2 2 2 3 2 2 2" xfId="1462" xr:uid="{3721E5D1-33BB-4909-92C2-D9D9F4BA7212}"/>
    <cellStyle name="Comma [0] 2 2 2 2 3 2 3" xfId="1461" xr:uid="{9F752C1A-EEB2-451D-BCAA-1E202C26DEA8}"/>
    <cellStyle name="Comma [0] 2 2 2 2 3 3" xfId="143" xr:uid="{00000000-0005-0000-0000-000090000000}"/>
    <cellStyle name="Comma [0] 2 2 2 2 3 3 2" xfId="1463" xr:uid="{9EEFB4DD-4153-4FF4-BE0B-EEE7DAB9CB1B}"/>
    <cellStyle name="Comma [0] 2 2 2 2 3 4" xfId="1460" xr:uid="{CD06646B-E9FF-4CF1-96F5-FC3C2412CF9B}"/>
    <cellStyle name="Comma [0] 2 2 2 2 4" xfId="144" xr:uid="{00000000-0005-0000-0000-000091000000}"/>
    <cellStyle name="Comma [0] 2 2 2 2 4 2" xfId="145" xr:uid="{00000000-0005-0000-0000-000092000000}"/>
    <cellStyle name="Comma [0] 2 2 2 2 4 2 2" xfId="1465" xr:uid="{DBE60DEA-2AD3-451A-B04F-CE4320242C9E}"/>
    <cellStyle name="Comma [0] 2 2 2 2 4 3" xfId="1464" xr:uid="{0938366C-9B76-4D6A-AB7A-BE2A40D92DBF}"/>
    <cellStyle name="Comma [0] 2 2 2 2 5" xfId="146" xr:uid="{00000000-0005-0000-0000-000093000000}"/>
    <cellStyle name="Comma [0] 2 2 2 2 5 2" xfId="1466" xr:uid="{B44CB8E2-FD99-447E-8821-2FFC7D6FFBE6}"/>
    <cellStyle name="Comma [0] 2 2 2 2 6" xfId="1453" xr:uid="{6562DCD5-31B8-4104-A40D-34265E1BBDF0}"/>
    <cellStyle name="Comma [0] 2 2 2 3" xfId="147" xr:uid="{00000000-0005-0000-0000-000094000000}"/>
    <cellStyle name="Comma [0] 2 2 2 3 2" xfId="148" xr:uid="{00000000-0005-0000-0000-000095000000}"/>
    <cellStyle name="Comma [0] 2 2 2 3 2 2" xfId="149" xr:uid="{00000000-0005-0000-0000-000096000000}"/>
    <cellStyle name="Comma [0] 2 2 2 3 2 2 2" xfId="1469" xr:uid="{A37CAD84-AA69-46D6-A89C-6AD1BA50F017}"/>
    <cellStyle name="Comma [0] 2 2 2 3 2 3" xfId="1468" xr:uid="{D47EB164-ADA1-4907-ABCA-6CFFFFBB351D}"/>
    <cellStyle name="Comma [0] 2 2 2 3 3" xfId="150" xr:uid="{00000000-0005-0000-0000-000097000000}"/>
    <cellStyle name="Comma [0] 2 2 2 3 3 2" xfId="151" xr:uid="{00000000-0005-0000-0000-000098000000}"/>
    <cellStyle name="Comma [0] 2 2 2 3 3 2 2" xfId="1471" xr:uid="{10A1060F-8C51-4483-9984-7943B10E89C9}"/>
    <cellStyle name="Comma [0] 2 2 2 3 3 3" xfId="1470" xr:uid="{FF4DEF2B-2520-44C8-BB2B-AEBBC58174FD}"/>
    <cellStyle name="Comma [0] 2 2 2 3 4" xfId="152" xr:uid="{00000000-0005-0000-0000-000099000000}"/>
    <cellStyle name="Comma [0] 2 2 2 3 4 2" xfId="1472" xr:uid="{493128C9-AC88-44DE-BF90-F2A31B13B6C6}"/>
    <cellStyle name="Comma [0] 2 2 2 3 5" xfId="1467" xr:uid="{5411FAED-601F-40E4-9972-2742EC115B09}"/>
    <cellStyle name="Comma [0] 2 2 2 4" xfId="153" xr:uid="{00000000-0005-0000-0000-00009A000000}"/>
    <cellStyle name="Comma [0] 2 2 2 4 2" xfId="154" xr:uid="{00000000-0005-0000-0000-00009B000000}"/>
    <cellStyle name="Comma [0] 2 2 2 4 2 2" xfId="155" xr:uid="{00000000-0005-0000-0000-00009C000000}"/>
    <cellStyle name="Comma [0] 2 2 2 4 2 2 2" xfId="1475" xr:uid="{1B456D16-D520-4C89-95D5-D5C338F5CBB4}"/>
    <cellStyle name="Comma [0] 2 2 2 4 2 3" xfId="1474" xr:uid="{029BF6B6-8200-4683-9B68-6F8F43B7F9A5}"/>
    <cellStyle name="Comma [0] 2 2 2 4 3" xfId="156" xr:uid="{00000000-0005-0000-0000-00009D000000}"/>
    <cellStyle name="Comma [0] 2 2 2 4 3 2" xfId="1476" xr:uid="{E2DFBAFB-4497-4194-A74F-720941CCCDDE}"/>
    <cellStyle name="Comma [0] 2 2 2 4 4" xfId="1473" xr:uid="{4F391B40-C009-4B3A-9CCF-FFE538BAC105}"/>
    <cellStyle name="Comma [0] 2 2 2 5" xfId="157" xr:uid="{00000000-0005-0000-0000-00009E000000}"/>
    <cellStyle name="Comma [0] 2 2 2 5 2" xfId="158" xr:uid="{00000000-0005-0000-0000-00009F000000}"/>
    <cellStyle name="Comma [0] 2 2 2 5 2 2" xfId="1478" xr:uid="{A3C56947-0255-4B65-8403-B2E432241E15}"/>
    <cellStyle name="Comma [0] 2 2 2 5 3" xfId="1477" xr:uid="{4367CEB9-33AF-4E3B-925D-FEAA45A03ADE}"/>
    <cellStyle name="Comma [0] 2 2 2 6" xfId="159" xr:uid="{00000000-0005-0000-0000-0000A0000000}"/>
    <cellStyle name="Comma [0] 2 2 2 6 2" xfId="1479" xr:uid="{7BD27860-89D4-4293-BD9D-00BDA8ED8AD3}"/>
    <cellStyle name="Comma [0] 2 2 2 7" xfId="1452" xr:uid="{760661FC-3258-40BE-A25E-0C67AB612265}"/>
    <cellStyle name="Comma [0] 2 2 3" xfId="160" xr:uid="{00000000-0005-0000-0000-0000A1000000}"/>
    <cellStyle name="Comma [0] 2 2 3 2" xfId="161" xr:uid="{00000000-0005-0000-0000-0000A2000000}"/>
    <cellStyle name="Comma [0] 2 2 3 2 2" xfId="162" xr:uid="{00000000-0005-0000-0000-0000A3000000}"/>
    <cellStyle name="Comma [0] 2 2 3 2 2 2" xfId="1482" xr:uid="{955A00C0-E1D3-471D-9B8C-7F53581D7CDA}"/>
    <cellStyle name="Comma [0] 2 2 3 2 3" xfId="1481" xr:uid="{C1324A32-7EA9-407F-BB3C-5FB5E5BFF95D}"/>
    <cellStyle name="Comma [0] 2 2 3 3" xfId="163" xr:uid="{00000000-0005-0000-0000-0000A4000000}"/>
    <cellStyle name="Comma [0] 2 2 3 3 2" xfId="164" xr:uid="{00000000-0005-0000-0000-0000A5000000}"/>
    <cellStyle name="Comma [0] 2 2 3 3 2 2" xfId="1484" xr:uid="{E2CE93CA-2088-4C66-B93F-AA6DEAF26787}"/>
    <cellStyle name="Comma [0] 2 2 3 3 3" xfId="1483" xr:uid="{2DA3DFC5-FD7B-4DA4-B561-8A67FBD086D9}"/>
    <cellStyle name="Comma [0] 2 2 3 4" xfId="165" xr:uid="{00000000-0005-0000-0000-0000A6000000}"/>
    <cellStyle name="Comma [0] 2 2 3 4 2" xfId="1485" xr:uid="{C7DBAE3C-502E-4765-B3CA-2C3044F14781}"/>
    <cellStyle name="Comma [0] 2 2 3 5" xfId="1480" xr:uid="{488CAF4A-FA25-4481-8D6D-482D11D0D43F}"/>
    <cellStyle name="Comma [0] 2 2 4" xfId="166" xr:uid="{00000000-0005-0000-0000-0000A7000000}"/>
    <cellStyle name="Comma [0] 2 2 4 2" xfId="167" xr:uid="{00000000-0005-0000-0000-0000A8000000}"/>
    <cellStyle name="Comma [0] 2 2 4 2 2" xfId="168" xr:uid="{00000000-0005-0000-0000-0000A9000000}"/>
    <cellStyle name="Comma [0] 2 2 4 2 2 2" xfId="1488" xr:uid="{6C817D7C-841C-4BCF-A3E3-523CD8F25F51}"/>
    <cellStyle name="Comma [0] 2 2 4 2 3" xfId="1487" xr:uid="{C9E6C744-3860-40CF-A89B-5216D628960E}"/>
    <cellStyle name="Comma [0] 2 2 4 3" xfId="169" xr:uid="{00000000-0005-0000-0000-0000AA000000}"/>
    <cellStyle name="Comma [0] 2 2 4 3 2" xfId="1489" xr:uid="{05B00578-86DA-431E-8353-3F368125A3DC}"/>
    <cellStyle name="Comma [0] 2 2 4 4" xfId="1486" xr:uid="{93A8BCFC-C038-4D02-B6DC-6EC4614CCEA8}"/>
    <cellStyle name="Comma [0] 2 2 5" xfId="170" xr:uid="{00000000-0005-0000-0000-0000AB000000}"/>
    <cellStyle name="Comma [0] 2 2 5 2" xfId="171" xr:uid="{00000000-0005-0000-0000-0000AC000000}"/>
    <cellStyle name="Comma [0] 2 2 5 2 2" xfId="1491" xr:uid="{E595F037-9CAB-4CAD-AE8A-CBA18FC41E0D}"/>
    <cellStyle name="Comma [0] 2 2 5 3" xfId="1490" xr:uid="{960165D9-7BCA-44D9-A4A9-55D7B9B00C89}"/>
    <cellStyle name="Comma [0] 2 2 6" xfId="172" xr:uid="{00000000-0005-0000-0000-0000AD000000}"/>
    <cellStyle name="Comma [0] 2 2 6 2" xfId="1492" xr:uid="{994F1192-3EDB-4585-9E42-69FE6AEBC6F5}"/>
    <cellStyle name="Comma [0] 2 2 7" xfId="1451" xr:uid="{C344B50A-EC27-42A7-B1A3-963FDD16E470}"/>
    <cellStyle name="Comma [0] 2 3" xfId="173" xr:uid="{00000000-0005-0000-0000-0000AE000000}"/>
    <cellStyle name="Comma [0] 2 3 2" xfId="174" xr:uid="{00000000-0005-0000-0000-0000AF000000}"/>
    <cellStyle name="Comma [0] 2 3 2 2" xfId="175" xr:uid="{00000000-0005-0000-0000-0000B0000000}"/>
    <cellStyle name="Comma [0] 2 3 2 2 2" xfId="176" xr:uid="{00000000-0005-0000-0000-0000B1000000}"/>
    <cellStyle name="Comma [0] 2 3 2 2 2 2" xfId="1496" xr:uid="{9CBF4A99-D3B4-4738-8C79-2D40F7E8E9DD}"/>
    <cellStyle name="Comma [0] 2 3 2 2 3" xfId="1495" xr:uid="{E0B19F84-5C6A-438E-B3DB-D92F071C4B51}"/>
    <cellStyle name="Comma [0] 2 3 2 3" xfId="177" xr:uid="{00000000-0005-0000-0000-0000B2000000}"/>
    <cellStyle name="Comma [0] 2 3 2 3 2" xfId="1497" xr:uid="{569C680F-5C5F-405C-8D22-3024D26E4658}"/>
    <cellStyle name="Comma [0] 2 3 2 4" xfId="1494" xr:uid="{28FD923C-8F3F-4A74-AA57-CC0950D46274}"/>
    <cellStyle name="Comma [0] 2 3 3" xfId="178" xr:uid="{00000000-0005-0000-0000-0000B3000000}"/>
    <cellStyle name="Comma [0] 2 3 3 2" xfId="179" xr:uid="{00000000-0005-0000-0000-0000B4000000}"/>
    <cellStyle name="Comma [0] 2 3 3 2 2" xfId="1499" xr:uid="{CF327B43-F3E6-4DC3-AC0F-428F7D766235}"/>
    <cellStyle name="Comma [0] 2 3 3 3" xfId="1498" xr:uid="{F126947C-5994-4140-9C1E-B4009E1CD84C}"/>
    <cellStyle name="Comma [0] 2 3 4" xfId="180" xr:uid="{00000000-0005-0000-0000-0000B5000000}"/>
    <cellStyle name="Comma [0] 2 3 4 2" xfId="1500" xr:uid="{64672EBB-177F-45E5-A02C-79E252343EFE}"/>
    <cellStyle name="Comma [0] 2 3 5" xfId="1493" xr:uid="{F25996EC-B6B2-45CB-8D4B-4E2F985B8D77}"/>
    <cellStyle name="Comma [0] 2 4" xfId="181" xr:uid="{00000000-0005-0000-0000-0000B6000000}"/>
    <cellStyle name="Comma [0] 2 4 2" xfId="182" xr:uid="{00000000-0005-0000-0000-0000B7000000}"/>
    <cellStyle name="Comma [0] 2 4 2 2" xfId="183" xr:uid="{00000000-0005-0000-0000-0000B8000000}"/>
    <cellStyle name="Comma [0] 2 4 2 2 2" xfId="1503" xr:uid="{A39C1D40-31A7-4F9E-ABD5-ADE742ACEB2F}"/>
    <cellStyle name="Comma [0] 2 4 2 3" xfId="1502" xr:uid="{2EDDEBBA-88F2-4177-9D22-4AFD206D71AF}"/>
    <cellStyle name="Comma [0] 2 4 3" xfId="184" xr:uid="{00000000-0005-0000-0000-0000B9000000}"/>
    <cellStyle name="Comma [0] 2 4 3 2" xfId="185" xr:uid="{00000000-0005-0000-0000-0000BA000000}"/>
    <cellStyle name="Comma [0] 2 4 3 2 2" xfId="1505" xr:uid="{08BE4A79-71F6-4CB1-A8CC-6921BAFD23B1}"/>
    <cellStyle name="Comma [0] 2 4 3 3" xfId="1504" xr:uid="{C8E4B495-5BF3-44C6-A0F9-B66214CDC237}"/>
    <cellStyle name="Comma [0] 2 4 4" xfId="186" xr:uid="{00000000-0005-0000-0000-0000BB000000}"/>
    <cellStyle name="Comma [0] 2 4 4 2" xfId="1506" xr:uid="{9D181C43-10CE-446F-97B6-2A57985EA552}"/>
    <cellStyle name="Comma [0] 2 4 5" xfId="1501" xr:uid="{D47590E2-FC17-4B90-943A-835A8DB73915}"/>
    <cellStyle name="Comma [0] 2 5" xfId="187" xr:uid="{00000000-0005-0000-0000-0000BC000000}"/>
    <cellStyle name="Comma [0] 2 5 2" xfId="188" xr:uid="{00000000-0005-0000-0000-0000BD000000}"/>
    <cellStyle name="Comma [0] 2 5 2 2" xfId="1508" xr:uid="{A99FCD21-82DB-4C2B-9765-3791A430AF67}"/>
    <cellStyle name="Comma [0] 2 5 3" xfId="1507" xr:uid="{BBAE6C33-F47D-40C0-8FE0-0A38C75BE817}"/>
    <cellStyle name="Comma [0] 2 6" xfId="189" xr:uid="{00000000-0005-0000-0000-0000BE000000}"/>
    <cellStyle name="Comma [0] 2 6 2" xfId="190" xr:uid="{00000000-0005-0000-0000-0000BF000000}"/>
    <cellStyle name="Comma [0] 2 6 2 2" xfId="1510" xr:uid="{2C7E3FA3-A592-426E-B378-48C6C05A818B}"/>
    <cellStyle name="Comma [0] 2 6 3" xfId="1509" xr:uid="{9034A1DC-D5E7-4F60-8C8A-92057CC84B20}"/>
    <cellStyle name="Comma [0] 2 7" xfId="191" xr:uid="{00000000-0005-0000-0000-0000C0000000}"/>
    <cellStyle name="Comma [0] 2 7 2" xfId="1511" xr:uid="{BF6DA507-B749-4EAC-A52F-5F9A24D88CE4}"/>
    <cellStyle name="Comma [0] 2 8" xfId="1383" xr:uid="{253A04ED-283C-4A42-A4B9-F2641924ADF7}"/>
    <cellStyle name="Comma [0] 3" xfId="192" xr:uid="{00000000-0005-0000-0000-0000C1000000}"/>
    <cellStyle name="Comma [0] 3 2" xfId="193" xr:uid="{00000000-0005-0000-0000-0000C2000000}"/>
    <cellStyle name="Comma [0] 3 2 2" xfId="194" xr:uid="{00000000-0005-0000-0000-0000C3000000}"/>
    <cellStyle name="Comma [0] 3 2 2 2" xfId="195" xr:uid="{00000000-0005-0000-0000-0000C4000000}"/>
    <cellStyle name="Comma [0] 3 2 2 2 2" xfId="196" xr:uid="{00000000-0005-0000-0000-0000C5000000}"/>
    <cellStyle name="Comma [0] 3 2 2 2 2 2" xfId="1516" xr:uid="{755B5FDD-E6EB-4E1F-86A5-5A9C432A8E77}"/>
    <cellStyle name="Comma [0] 3 2 2 2 3" xfId="1515" xr:uid="{26A0477D-CC44-44B6-BB41-3061FFFB3F86}"/>
    <cellStyle name="Comma [0] 3 2 2 3" xfId="197" xr:uid="{00000000-0005-0000-0000-0000C6000000}"/>
    <cellStyle name="Comma [0] 3 2 2 3 2" xfId="198" xr:uid="{00000000-0005-0000-0000-0000C7000000}"/>
    <cellStyle name="Comma [0] 3 2 2 3 2 2" xfId="1518" xr:uid="{8EF4D1D1-7DC1-452B-AFE4-6902B1BEB89C}"/>
    <cellStyle name="Comma [0] 3 2 2 3 3" xfId="1517" xr:uid="{8766B806-565B-44AB-8EA3-7317676FB7F3}"/>
    <cellStyle name="Comma [0] 3 2 2 4" xfId="199" xr:uid="{00000000-0005-0000-0000-0000C8000000}"/>
    <cellStyle name="Comma [0] 3 2 2 4 2" xfId="1519" xr:uid="{EFEA776E-A672-4A8A-A797-BE5656F7FF48}"/>
    <cellStyle name="Comma [0] 3 2 2 5" xfId="1514" xr:uid="{61796EF1-72D7-40BD-A894-33CE9E90FFC9}"/>
    <cellStyle name="Comma [0] 3 2 3" xfId="200" xr:uid="{00000000-0005-0000-0000-0000C9000000}"/>
    <cellStyle name="Comma [0] 3 2 3 2" xfId="201" xr:uid="{00000000-0005-0000-0000-0000CA000000}"/>
    <cellStyle name="Comma [0] 3 2 3 2 2" xfId="1521" xr:uid="{C2AF51F3-F135-4A6F-A15D-984CF049B4E7}"/>
    <cellStyle name="Comma [0] 3 2 3 3" xfId="1520" xr:uid="{548E1985-2159-44CA-AFB1-2332BD4DC2AC}"/>
    <cellStyle name="Comma [0] 3 2 4" xfId="202" xr:uid="{00000000-0005-0000-0000-0000CB000000}"/>
    <cellStyle name="Comma [0] 3 2 4 2" xfId="203" xr:uid="{00000000-0005-0000-0000-0000CC000000}"/>
    <cellStyle name="Comma [0] 3 2 4 2 2" xfId="1523" xr:uid="{58EFB5EB-CABD-46BB-A3B3-7CF03AF7792E}"/>
    <cellStyle name="Comma [0] 3 2 4 3" xfId="1522" xr:uid="{7A03C06B-DD40-4BE7-873D-9E82B00570CD}"/>
    <cellStyle name="Comma [0] 3 2 5" xfId="204" xr:uid="{00000000-0005-0000-0000-0000CD000000}"/>
    <cellStyle name="Comma [0] 3 2 5 2" xfId="1524" xr:uid="{09FB63D0-9D87-4DE1-B00D-3D735DDD462C}"/>
    <cellStyle name="Comma [0] 3 2 6" xfId="1513" xr:uid="{D5D9B972-F33B-483F-9032-990C38C8437C}"/>
    <cellStyle name="Comma [0] 3 3" xfId="205" xr:uid="{00000000-0005-0000-0000-0000CE000000}"/>
    <cellStyle name="Comma [0] 3 3 2" xfId="206" xr:uid="{00000000-0005-0000-0000-0000CF000000}"/>
    <cellStyle name="Comma [0] 3 3 2 2" xfId="1526" xr:uid="{2F055E29-6DF2-45EB-AD1A-631D95F70082}"/>
    <cellStyle name="Comma [0] 3 3 3" xfId="1525" xr:uid="{6A554756-8393-4B2C-85DB-33924A18763D}"/>
    <cellStyle name="Comma [0] 3 4" xfId="207" xr:uid="{00000000-0005-0000-0000-0000D0000000}"/>
    <cellStyle name="Comma [0] 3 4 2" xfId="208" xr:uid="{00000000-0005-0000-0000-0000D1000000}"/>
    <cellStyle name="Comma [0] 3 4 2 2" xfId="1528" xr:uid="{F1697799-8D4C-43A3-96E5-5FFEAD72A5BC}"/>
    <cellStyle name="Comma [0] 3 4 3" xfId="1527" xr:uid="{8E2E81C1-BB8B-47E7-AC8B-0309412020C0}"/>
    <cellStyle name="Comma [0] 3 5" xfId="209" xr:uid="{00000000-0005-0000-0000-0000D2000000}"/>
    <cellStyle name="Comma [0] 3 5 2" xfId="1529" xr:uid="{0BEC85ED-2FF3-40AA-A914-BDE27EDEA8CC}"/>
    <cellStyle name="Comma [0] 3 6" xfId="1512" xr:uid="{296570C1-CFF8-48A4-A618-322C58035036}"/>
    <cellStyle name="Comma 10" xfId="59" xr:uid="{00000000-0005-0000-0000-00003C000000}"/>
    <cellStyle name="Comma 10 2" xfId="210" xr:uid="{00000000-0005-0000-0000-0000D3000000}"/>
    <cellStyle name="Comma 10 2 2" xfId="211" xr:uid="{00000000-0005-0000-0000-0000D4000000}"/>
    <cellStyle name="Comma 10 2 2 2" xfId="212" xr:uid="{00000000-0005-0000-0000-0000D5000000}"/>
    <cellStyle name="Comma 10 2 2 2 2" xfId="213" xr:uid="{00000000-0005-0000-0000-0000D6000000}"/>
    <cellStyle name="Comma 10 2 2 2 2 2" xfId="1533" xr:uid="{E9DCB43D-80F1-49FA-84D4-A3249629CAD2}"/>
    <cellStyle name="Comma 10 2 2 2 3" xfId="1532" xr:uid="{C9737F0D-DF45-4A38-BB06-84210B3CE6E5}"/>
    <cellStyle name="Comma 10 2 2 3" xfId="214" xr:uid="{00000000-0005-0000-0000-0000D7000000}"/>
    <cellStyle name="Comma 10 2 2 3 2" xfId="1534" xr:uid="{69E4D528-3350-4A64-AEFB-DCDBBAA7E00F}"/>
    <cellStyle name="Comma 10 2 2 4" xfId="1531" xr:uid="{77AA8EDD-9160-488B-9824-D2C88C6895F5}"/>
    <cellStyle name="Comma 10 2 3" xfId="215" xr:uid="{00000000-0005-0000-0000-0000D8000000}"/>
    <cellStyle name="Comma 10 2 3 2" xfId="216" xr:uid="{00000000-0005-0000-0000-0000D9000000}"/>
    <cellStyle name="Comma 10 2 3 2 2" xfId="1536" xr:uid="{ACE0394B-BD4A-48A3-9E56-81C930D9575E}"/>
    <cellStyle name="Comma 10 2 3 3" xfId="1535" xr:uid="{424996CF-C87E-43E5-8520-8D9856813C4A}"/>
    <cellStyle name="Comma 10 2 4" xfId="217" xr:uid="{00000000-0005-0000-0000-0000DA000000}"/>
    <cellStyle name="Comma 10 2 4 2" xfId="218" xr:uid="{00000000-0005-0000-0000-0000DB000000}"/>
    <cellStyle name="Comma 10 2 4 2 2" xfId="1538" xr:uid="{3810C5AF-CE9D-4B41-9A9E-607A98334FA6}"/>
    <cellStyle name="Comma 10 2 4 3" xfId="1537" xr:uid="{352AA922-CC67-400A-9743-7096662987CE}"/>
    <cellStyle name="Comma 10 2 5" xfId="219" xr:uid="{00000000-0005-0000-0000-0000DC000000}"/>
    <cellStyle name="Comma 10 2 5 2" xfId="220" xr:uid="{00000000-0005-0000-0000-0000DD000000}"/>
    <cellStyle name="Comma 10 2 5 2 2" xfId="1540" xr:uid="{4A6C91CE-732A-4E21-ACCE-CE866770DE9A}"/>
    <cellStyle name="Comma 10 2 5 3" xfId="1539" xr:uid="{B0D3A386-176A-491A-A762-F918BB29E5D0}"/>
    <cellStyle name="Comma 10 2 6" xfId="221" xr:uid="{00000000-0005-0000-0000-0000DE000000}"/>
    <cellStyle name="Comma 10 2 6 2" xfId="222" xr:uid="{00000000-0005-0000-0000-0000DF000000}"/>
    <cellStyle name="Comma 10 2 6 2 2" xfId="1542" xr:uid="{598344EE-54F7-4077-902D-65A588CB05A2}"/>
    <cellStyle name="Comma 10 2 6 3" xfId="1541" xr:uid="{5343F863-1028-495B-BEC2-7334036B246E}"/>
    <cellStyle name="Comma 10 2 7" xfId="223" xr:uid="{00000000-0005-0000-0000-0000E0000000}"/>
    <cellStyle name="Comma 10 2 7 2" xfId="1543" xr:uid="{9F2B6FDF-4868-4220-B1CB-4F4C9ADD6C1B}"/>
    <cellStyle name="Comma 10 2 8" xfId="1530" xr:uid="{F5B6D80E-1EB4-4A66-B746-95D332B2FAEA}"/>
    <cellStyle name="Comma 10 3" xfId="224" xr:uid="{00000000-0005-0000-0000-0000E1000000}"/>
    <cellStyle name="Comma 10 3 2" xfId="225" xr:uid="{00000000-0005-0000-0000-0000E2000000}"/>
    <cellStyle name="Comma 10 3 2 2" xfId="1545" xr:uid="{21E770E4-2C93-487F-986C-EBA0DDBCFE03}"/>
    <cellStyle name="Comma 10 3 3" xfId="1544" xr:uid="{218EF0B8-40CB-40F5-96F2-5C8435A5246C}"/>
    <cellStyle name="Comma 10 4" xfId="226" xr:uid="{00000000-0005-0000-0000-0000E3000000}"/>
    <cellStyle name="Comma 10 4 2" xfId="1546" xr:uid="{BFD4BF28-1FE2-49E4-BD62-27BDB0D78D8B}"/>
    <cellStyle name="Comma 10 5" xfId="1382" xr:uid="{C2AF6B48-1527-4987-BE4D-D8CE1C8CC292}"/>
    <cellStyle name="Comma 11" xfId="227" xr:uid="{00000000-0005-0000-0000-0000E4000000}"/>
    <cellStyle name="Comma 11 2" xfId="228" xr:uid="{00000000-0005-0000-0000-0000E5000000}"/>
    <cellStyle name="Comma 11 2 2" xfId="229" xr:uid="{00000000-0005-0000-0000-0000E6000000}"/>
    <cellStyle name="Comma 11 2 2 2" xfId="1549" xr:uid="{9E144DA1-4D96-4762-A915-504EF66827EF}"/>
    <cellStyle name="Comma 11 2 3" xfId="1548" xr:uid="{CDD569AD-915B-46C1-B946-B81923034085}"/>
    <cellStyle name="Comma 11 3" xfId="230" xr:uid="{00000000-0005-0000-0000-0000E7000000}"/>
    <cellStyle name="Comma 11 3 2" xfId="1550" xr:uid="{947926CB-16F8-42C1-A87C-4E5C7ED5AFC7}"/>
    <cellStyle name="Comma 11 4" xfId="1547" xr:uid="{982A40F7-439E-4A44-9653-022396BE5280}"/>
    <cellStyle name="Comma 12" xfId="7" xr:uid="{00000000-0005-0000-0000-000007000000}"/>
    <cellStyle name="Comma 12 2" xfId="4" xr:uid="{00000000-0005-0000-0000-000004000000}"/>
    <cellStyle name="Comma 12 2 2" xfId="231" xr:uid="{00000000-0005-0000-0000-0000E8000000}"/>
    <cellStyle name="Comma 12 2 2 2" xfId="232" xr:uid="{00000000-0005-0000-0000-0000E9000000}"/>
    <cellStyle name="Comma 12 2 2 2 2" xfId="1552" xr:uid="{3689FDB7-4D4D-405E-AF80-DFB610264348}"/>
    <cellStyle name="Comma 12 2 2 3" xfId="1551" xr:uid="{E00E93BC-BF21-4865-85A2-54A6868E8E7E}"/>
    <cellStyle name="Comma 12 2 3" xfId="233" xr:uid="{00000000-0005-0000-0000-0000EA000000}"/>
    <cellStyle name="Comma 12 2 3 2" xfId="1553" xr:uid="{A0F95BB1-9790-4685-B36E-A4B8E5F03ABE}"/>
    <cellStyle name="Comma 12 2 4" xfId="1331" xr:uid="{872CD002-4FF6-4D98-8F23-9CCD0FDC7F7E}"/>
    <cellStyle name="Comma 12 3" xfId="234" xr:uid="{00000000-0005-0000-0000-0000EB000000}"/>
    <cellStyle name="Comma 12 3 2" xfId="1554" xr:uid="{F9ADBCA2-7158-4394-886E-4CA6AAF57051}"/>
    <cellStyle name="Comma 12 4" xfId="1334" xr:uid="{0BFE611E-B884-4798-9742-DB22895D4936}"/>
    <cellStyle name="Comma 13" xfId="11" xr:uid="{00000000-0005-0000-0000-00000B000000}"/>
    <cellStyle name="Comma 13 2" xfId="235" xr:uid="{00000000-0005-0000-0000-0000EC000000}"/>
    <cellStyle name="Comma 14" xfId="53" xr:uid="{00000000-0005-0000-0000-000036000000}"/>
    <cellStyle name="Comma 14 2" xfId="236" xr:uid="{00000000-0005-0000-0000-0000ED000000}"/>
    <cellStyle name="Comma 14 2 2" xfId="1556" xr:uid="{51085FB9-AAF2-4B36-97D0-F9F76B045402}"/>
    <cellStyle name="Comma 14 3" xfId="1377" xr:uid="{515725D8-DA63-442D-9CA2-806946E75EC5}"/>
    <cellStyle name="Comma 15" xfId="1336" xr:uid="{7CAFA6A5-4A99-4EB1-8579-4D0134D6CB4D}"/>
    <cellStyle name="Comma 16" xfId="237" xr:uid="{00000000-0005-0000-0000-0000EE000000}"/>
    <cellStyle name="Comma 16 2" xfId="238" xr:uid="{00000000-0005-0000-0000-0000EF000000}"/>
    <cellStyle name="Comma 16 2 2" xfId="1558" xr:uid="{10749AA3-E4F4-41CA-89FC-3EDCF2E37D8C}"/>
    <cellStyle name="Comma 16 3" xfId="1557" xr:uid="{40174D82-98FF-4504-89A7-DDA490441F67}"/>
    <cellStyle name="Comma 17" xfId="2400" xr:uid="{55323D80-06AE-4E16-AADC-5978889C3760}"/>
    <cellStyle name="Comma 18" xfId="2521" xr:uid="{A044012A-0F9A-4899-B088-11DB59AD6FEB}"/>
    <cellStyle name="Comma 2" xfId="239" xr:uid="{00000000-0005-0000-0000-0000F0000000}"/>
    <cellStyle name="Comma 2 10" xfId="1559" xr:uid="{50700C29-31D3-450A-865B-46F319AD3D16}"/>
    <cellStyle name="Comma 2 2" xfId="240" xr:uid="{00000000-0005-0000-0000-0000F1000000}"/>
    <cellStyle name="Comma 2 2 2" xfId="241" xr:uid="{00000000-0005-0000-0000-0000F2000000}"/>
    <cellStyle name="Comma 2 2 2 2" xfId="242" xr:uid="{00000000-0005-0000-0000-0000F3000000}"/>
    <cellStyle name="Comma 2 2 2 2 2" xfId="243" xr:uid="{00000000-0005-0000-0000-0000F4000000}"/>
    <cellStyle name="Comma 2 2 2 2 2 2" xfId="1563" xr:uid="{C4AEB362-7AB0-474B-8F35-E9DF6AD2A5CA}"/>
    <cellStyle name="Comma 2 2 2 2 3" xfId="1562" xr:uid="{E1007C01-0147-4E04-931A-613A5B67BF4B}"/>
    <cellStyle name="Comma 2 2 2 3" xfId="244" xr:uid="{00000000-0005-0000-0000-0000F5000000}"/>
    <cellStyle name="Comma 2 2 2 3 2" xfId="245" xr:uid="{00000000-0005-0000-0000-0000F6000000}"/>
    <cellStyle name="Comma 2 2 2 3 2 2" xfId="1565" xr:uid="{3F77F50E-C0E0-4D6D-BE5A-A60770CF1CB0}"/>
    <cellStyle name="Comma 2 2 2 3 3" xfId="1564" xr:uid="{FB683A4C-13A5-41DC-9C40-E608ACBFD750}"/>
    <cellStyle name="Comma 2 2 2 4" xfId="246" xr:uid="{00000000-0005-0000-0000-0000F7000000}"/>
    <cellStyle name="Comma 2 2 2 4 2" xfId="1566" xr:uid="{3CA737A7-F0A2-43D6-B6F1-93B7BD1E1443}"/>
    <cellStyle name="Comma 2 2 2 5" xfId="1561" xr:uid="{0F7D612B-2954-4619-A91C-8C2E3D1742BE}"/>
    <cellStyle name="Comma 2 2 3" xfId="247" xr:uid="{00000000-0005-0000-0000-0000F8000000}"/>
    <cellStyle name="Comma 2 2 3 2" xfId="248" xr:uid="{00000000-0005-0000-0000-0000F9000000}"/>
    <cellStyle name="Comma 2 2 3 2 2" xfId="249" xr:uid="{00000000-0005-0000-0000-0000FA000000}"/>
    <cellStyle name="Comma 2 2 3 2 2 2" xfId="1569" xr:uid="{098FF081-ABC4-4407-839C-6F0B17E2649E}"/>
    <cellStyle name="Comma 2 2 3 2 3" xfId="1568" xr:uid="{BE713584-B964-4036-B170-A5EF58C020DF}"/>
    <cellStyle name="Comma 2 2 3 3" xfId="250" xr:uid="{00000000-0005-0000-0000-0000FB000000}"/>
    <cellStyle name="Comma 2 2 3 3 2" xfId="1570" xr:uid="{61670B1A-D62F-4F95-B21C-980E3614629A}"/>
    <cellStyle name="Comma 2 2 3 4" xfId="1567" xr:uid="{7AE4AF2F-4FAE-45AA-B868-71E814FAB6FC}"/>
    <cellStyle name="Comma 2 2 4" xfId="251" xr:uid="{00000000-0005-0000-0000-0000FC000000}"/>
    <cellStyle name="Comma 2 2 4 2" xfId="252" xr:uid="{00000000-0005-0000-0000-0000FD000000}"/>
    <cellStyle name="Comma 2 2 4 2 2" xfId="253" xr:uid="{00000000-0005-0000-0000-0000FE000000}"/>
    <cellStyle name="Comma 2 2 4 2 2 2" xfId="1573" xr:uid="{FF47627D-496E-4A63-ADB5-AEE9BC2F46A0}"/>
    <cellStyle name="Comma 2 2 4 2 3" xfId="1572" xr:uid="{81E29FDA-9CF1-430E-B7CE-17105403B2E8}"/>
    <cellStyle name="Comma 2 2 4 3" xfId="254" xr:uid="{00000000-0005-0000-0000-0000FF000000}"/>
    <cellStyle name="Comma 2 2 4 3 2" xfId="1574" xr:uid="{76D24E4D-ABEA-48F3-B858-8B56B8A77C5F}"/>
    <cellStyle name="Comma 2 2 4 4" xfId="1571" xr:uid="{08CC67BB-5C06-42B5-BA81-70AD04A0E06C}"/>
    <cellStyle name="Comma 2 2 5" xfId="255" xr:uid="{00000000-0005-0000-0000-000000010000}"/>
    <cellStyle name="Comma 2 2 5 2" xfId="256" xr:uid="{00000000-0005-0000-0000-000001010000}"/>
    <cellStyle name="Comma 2 2 5 2 2" xfId="1576" xr:uid="{4CCDE4BA-696B-4C19-AEA7-20868D045570}"/>
    <cellStyle name="Comma 2 2 5 3" xfId="1575" xr:uid="{119D8A26-B0A0-4B7B-94B5-C26E6DE8B01F}"/>
    <cellStyle name="Comma 2 2 6" xfId="257" xr:uid="{00000000-0005-0000-0000-000002010000}"/>
    <cellStyle name="Comma 2 2 6 2" xfId="1577" xr:uid="{289F4101-C63D-4A18-A757-3875F734C8F5}"/>
    <cellStyle name="Comma 2 2 7" xfId="1560" xr:uid="{56EA3248-AC79-4240-B192-1750A962413C}"/>
    <cellStyle name="Comma 2 3" xfId="258" xr:uid="{00000000-0005-0000-0000-000003010000}"/>
    <cellStyle name="Comma 2 3 2" xfId="259" xr:uid="{00000000-0005-0000-0000-000004010000}"/>
    <cellStyle name="Comma 2 3 2 2" xfId="260" xr:uid="{00000000-0005-0000-0000-000005010000}"/>
    <cellStyle name="Comma 2 3 2 2 2" xfId="261" xr:uid="{00000000-0005-0000-0000-000006010000}"/>
    <cellStyle name="Comma 2 3 2 2 2 2" xfId="1581" xr:uid="{B07356FF-D846-4198-8150-F5C71880AFC9}"/>
    <cellStyle name="Comma 2 3 2 2 3" xfId="1580" xr:uid="{6E205BF1-2680-4A1F-B57F-B9C59CCB4556}"/>
    <cellStyle name="Comma 2 3 2 3" xfId="262" xr:uid="{00000000-0005-0000-0000-000007010000}"/>
    <cellStyle name="Comma 2 3 2 3 2" xfId="1582" xr:uid="{03F33878-3DE3-4CFF-BF0F-D5887F6EA853}"/>
    <cellStyle name="Comma 2 3 2 4" xfId="1579" xr:uid="{086C50FE-959A-493F-B637-69DBF0B85B08}"/>
    <cellStyle name="Comma 2 3 3" xfId="263" xr:uid="{00000000-0005-0000-0000-000008010000}"/>
    <cellStyle name="Comma 2 3 3 2" xfId="264" xr:uid="{00000000-0005-0000-0000-000009010000}"/>
    <cellStyle name="Comma 2 3 3 2 2" xfId="1584" xr:uid="{D1E1224D-6E6A-4AB2-B162-C897F7A1DE80}"/>
    <cellStyle name="Comma 2 3 3 3" xfId="1583" xr:uid="{CB634B7C-C298-4E6F-A6A7-A6936A03CF8D}"/>
    <cellStyle name="Comma 2 3 4" xfId="265" xr:uid="{00000000-0005-0000-0000-00000A010000}"/>
    <cellStyle name="Comma 2 3 4 2" xfId="1585" xr:uid="{9FBE7DE2-588F-4B03-9279-647A90D9A856}"/>
    <cellStyle name="Comma 2 3 5" xfId="1578" xr:uid="{413502C2-6F9B-4389-B616-C6825F59EA2C}"/>
    <cellStyle name="Comma 2 4" xfId="266" xr:uid="{00000000-0005-0000-0000-00000B010000}"/>
    <cellStyle name="Comma 2 4 2" xfId="267" xr:uid="{00000000-0005-0000-0000-00000C010000}"/>
    <cellStyle name="Comma 2 4 2 2" xfId="268" xr:uid="{00000000-0005-0000-0000-00000D010000}"/>
    <cellStyle name="Comma 2 4 2 2 2" xfId="1588" xr:uid="{55F386C3-A2E3-4827-8290-F66E1E2B99EF}"/>
    <cellStyle name="Comma 2 4 2 3" xfId="1587" xr:uid="{CCD2910F-2CFF-4157-A8EC-FA156FE91D46}"/>
    <cellStyle name="Comma 2 4 3" xfId="269" xr:uid="{00000000-0005-0000-0000-00000E010000}"/>
    <cellStyle name="Comma 2 4 3 2" xfId="270" xr:uid="{00000000-0005-0000-0000-00000F010000}"/>
    <cellStyle name="Comma 2 4 3 2 2" xfId="1590" xr:uid="{F96D7FFB-D6B4-4F47-B787-70418CB90839}"/>
    <cellStyle name="Comma 2 4 3 3" xfId="1589" xr:uid="{0EC901B7-7E59-4610-8115-717BFB946C1F}"/>
    <cellStyle name="Comma 2 4 4" xfId="271" xr:uid="{00000000-0005-0000-0000-000010010000}"/>
    <cellStyle name="Comma 2 4 4 2" xfId="1591" xr:uid="{AF204C51-2E77-4264-94C3-9E2017C0BD9A}"/>
    <cellStyle name="Comma 2 4 5" xfId="1586" xr:uid="{BFF4B8D8-38A4-4901-B66F-DD498D0F6018}"/>
    <cellStyle name="Comma 2 5" xfId="272" xr:uid="{00000000-0005-0000-0000-000011010000}"/>
    <cellStyle name="Comma 2 5 2" xfId="273" xr:uid="{00000000-0005-0000-0000-000012010000}"/>
    <cellStyle name="Comma 2 5 2 2" xfId="1593" xr:uid="{98F52D5C-2ABE-4DDD-A648-DF22B3C9AB00}"/>
    <cellStyle name="Comma 2 5 3" xfId="1592" xr:uid="{910F98B8-F704-474F-9AA2-F84A3121CB33}"/>
    <cellStyle name="Comma 2 5 5" xfId="274" xr:uid="{00000000-0005-0000-0000-000013010000}"/>
    <cellStyle name="Comma 2 5 5 2" xfId="275" xr:uid="{00000000-0005-0000-0000-000014010000}"/>
    <cellStyle name="Comma 2 5 5 2 2" xfId="1595" xr:uid="{400B6249-C6E4-4E96-B009-73326AB745CB}"/>
    <cellStyle name="Comma 2 5 5 3" xfId="1594" xr:uid="{ACFE364A-7409-44E5-9219-B41CA5B12A02}"/>
    <cellStyle name="Comma 2 6" xfId="276" xr:uid="{00000000-0005-0000-0000-000015010000}"/>
    <cellStyle name="Comma 2 7" xfId="12" xr:uid="{00000000-0005-0000-0000-00000C000000}"/>
    <cellStyle name="Comma 2 7 2" xfId="277" xr:uid="{00000000-0005-0000-0000-000016010000}"/>
    <cellStyle name="Comma 2 7 2 2" xfId="1597" xr:uid="{C8E6A160-EA8B-4E56-9FBE-ACA245340DA4}"/>
    <cellStyle name="Comma 2 7 3" xfId="1339" xr:uid="{1642CF67-D144-4646-823A-0027FA4F4A2A}"/>
    <cellStyle name="Comma 2 8" xfId="278" xr:uid="{00000000-0005-0000-0000-000017010000}"/>
    <cellStyle name="Comma 2 8 2" xfId="279" xr:uid="{00000000-0005-0000-0000-000018010000}"/>
    <cellStyle name="Comma 2 8 2 2" xfId="1599" xr:uid="{900DC99D-521D-4988-9A6D-BBBD115F1AD3}"/>
    <cellStyle name="Comma 2 8 3" xfId="1598" xr:uid="{075481F7-49F7-40E0-AF8A-DAFA2379AD85}"/>
    <cellStyle name="Comma 2 9" xfId="280" xr:uid="{00000000-0005-0000-0000-000019010000}"/>
    <cellStyle name="Comma 2 9 2" xfId="1600" xr:uid="{9F4DA898-B49E-4EA4-83D2-6AAD814D3389}"/>
    <cellStyle name="Comma 3" xfId="281" xr:uid="{00000000-0005-0000-0000-00001A010000}"/>
    <cellStyle name="Comma 3 2" xfId="282" xr:uid="{00000000-0005-0000-0000-00001B010000}"/>
    <cellStyle name="Comma 3 2 2" xfId="283" xr:uid="{00000000-0005-0000-0000-00001C010000}"/>
    <cellStyle name="Comma 3 2 2 2" xfId="284" xr:uid="{00000000-0005-0000-0000-00001D010000}"/>
    <cellStyle name="Comma 3 2 2 2 2" xfId="1604" xr:uid="{7ABD1FA0-CBCB-4EC5-A436-9C5067BB706C}"/>
    <cellStyle name="Comma 3 2 2 3" xfId="1603" xr:uid="{EE1D4F45-E0D4-46B7-BC3E-96B7BEF3B472}"/>
    <cellStyle name="Comma 3 2 3" xfId="285" xr:uid="{00000000-0005-0000-0000-00001E010000}"/>
    <cellStyle name="Comma 3 2 3 2" xfId="286" xr:uid="{00000000-0005-0000-0000-00001F010000}"/>
    <cellStyle name="Comma 3 2 3 2 2" xfId="1606" xr:uid="{C4028812-9A32-44D5-A203-C3FACEBC87D6}"/>
    <cellStyle name="Comma 3 2 3 3" xfId="287" xr:uid="{00000000-0005-0000-0000-000020010000}"/>
    <cellStyle name="Comma 3 2 3 3 2" xfId="288" xr:uid="{00000000-0005-0000-0000-000021010000}"/>
    <cellStyle name="Comma 3 2 3 3 2 2" xfId="1608" xr:uid="{FAF42216-E7AE-48D9-9580-9AF780020B3F}"/>
    <cellStyle name="Comma 3 2 3 3 3" xfId="1607" xr:uid="{D55FA387-0776-40C5-9B53-B49B9E7694E6}"/>
    <cellStyle name="Comma 3 2 3 4" xfId="1605" xr:uid="{C74AD74F-3373-4DEB-AFFE-CAA5A1DB2375}"/>
    <cellStyle name="Comma 3 2 4" xfId="289" xr:uid="{00000000-0005-0000-0000-000022010000}"/>
    <cellStyle name="Comma 3 2 4 2" xfId="290" xr:uid="{00000000-0005-0000-0000-000023010000}"/>
    <cellStyle name="Comma 3 2 4 2 2" xfId="1610" xr:uid="{D9A0CCF1-AA20-4DB5-862A-B3F31CF57503}"/>
    <cellStyle name="Comma 3 2 4 3" xfId="1609" xr:uid="{28A5D4B5-2CE2-4443-B3DE-7F6AA1702B2C}"/>
    <cellStyle name="Comma 3 2 5" xfId="291" xr:uid="{00000000-0005-0000-0000-000024010000}"/>
    <cellStyle name="Comma 3 2 5 2" xfId="1611" xr:uid="{3E5D39DB-26B0-4392-9DB6-79119B64F651}"/>
    <cellStyle name="Comma 3 2 6" xfId="1602" xr:uid="{F32C2A59-250E-424D-9BA0-76E7CF1B8A77}"/>
    <cellStyle name="Comma 3 3" xfId="292" xr:uid="{00000000-0005-0000-0000-000025010000}"/>
    <cellStyle name="Comma 3 3 2" xfId="293" xr:uid="{00000000-0005-0000-0000-000026010000}"/>
    <cellStyle name="Comma 3 3 2 2" xfId="294" xr:uid="{00000000-0005-0000-0000-000027010000}"/>
    <cellStyle name="Comma 3 3 2 2 2" xfId="1614" xr:uid="{09D35DCE-0013-4859-B0B8-A171884A005A}"/>
    <cellStyle name="Comma 3 3 2 3" xfId="1613" xr:uid="{FFB3162B-E2D7-4D5F-8BDB-79D535D15467}"/>
    <cellStyle name="Comma 3 3 3" xfId="295" xr:uid="{00000000-0005-0000-0000-000028010000}"/>
    <cellStyle name="Comma 3 3 3 2" xfId="1615" xr:uid="{2CA47B0B-5856-4DEE-8B73-17ED59C2D57E}"/>
    <cellStyle name="Comma 3 3 4" xfId="1612" xr:uid="{CDA905D7-01C8-4349-9E6A-9DA0FDDA9AA5}"/>
    <cellStyle name="Comma 3 4" xfId="296" xr:uid="{00000000-0005-0000-0000-000029010000}"/>
    <cellStyle name="Comma 3 4 2" xfId="297" xr:uid="{00000000-0005-0000-0000-00002A010000}"/>
    <cellStyle name="Comma 3 4 2 2" xfId="1617" xr:uid="{223CFA8A-B464-4C92-945D-BFD432D8939D}"/>
    <cellStyle name="Comma 3 4 3" xfId="1616" xr:uid="{D2285C1A-A066-44C7-B066-1DD80BCDEFB7}"/>
    <cellStyle name="Comma 3 5" xfId="298" xr:uid="{00000000-0005-0000-0000-00002B010000}"/>
    <cellStyle name="Comma 3 6" xfId="299" xr:uid="{00000000-0005-0000-0000-00002C010000}"/>
    <cellStyle name="Comma 3 6 2" xfId="300" xr:uid="{00000000-0005-0000-0000-00002D010000}"/>
    <cellStyle name="Comma 3 6 2 2" xfId="1620" xr:uid="{17AAAC40-CE28-4033-9D6E-AF1A69227349}"/>
    <cellStyle name="Comma 3 6 3" xfId="1619" xr:uid="{B5EA2E4F-7D7B-4734-AE9D-33D023E08E69}"/>
    <cellStyle name="Comma 3 7" xfId="301" xr:uid="{00000000-0005-0000-0000-00002E010000}"/>
    <cellStyle name="Comma 3 7 2" xfId="1621" xr:uid="{B4D9C073-36C9-481D-97BC-36FA7BC7C3F0}"/>
    <cellStyle name="Comma 3 8" xfId="1601" xr:uid="{3A96B2C2-A727-42FA-9C88-66F75B52FF86}"/>
    <cellStyle name="Comma 4" xfId="302" xr:uid="{00000000-0005-0000-0000-00002F010000}"/>
    <cellStyle name="Comma 4 2" xfId="303" xr:uid="{00000000-0005-0000-0000-000030010000}"/>
    <cellStyle name="Comma 4 2 2" xfId="304" xr:uid="{00000000-0005-0000-0000-000031010000}"/>
    <cellStyle name="Comma 4 2 2 2" xfId="305" xr:uid="{00000000-0005-0000-0000-000032010000}"/>
    <cellStyle name="Comma 4 2 2 2 2" xfId="1625" xr:uid="{844664EB-D6C9-4375-B55A-B3F3ECA63472}"/>
    <cellStyle name="Comma 4 2 2 3" xfId="1624" xr:uid="{3710FE0E-F911-4551-B6CC-2BDF9F1637DC}"/>
    <cellStyle name="Comma 4 2 3" xfId="306" xr:uid="{00000000-0005-0000-0000-000033010000}"/>
    <cellStyle name="Comma 4 2 3 2" xfId="307" xr:uid="{00000000-0005-0000-0000-000034010000}"/>
    <cellStyle name="Comma 4 2 3 2 2" xfId="1627" xr:uid="{0EC0E8E6-C8C9-42E2-B36E-65BC5C28BA65}"/>
    <cellStyle name="Comma 4 2 3 3" xfId="1626" xr:uid="{F36ED5BC-6EA6-4515-81A8-BB4AC3688857}"/>
    <cellStyle name="Comma 4 2 4" xfId="308" xr:uid="{00000000-0005-0000-0000-000035010000}"/>
    <cellStyle name="Comma 4 2 4 2" xfId="1628" xr:uid="{2FD0584C-384D-4FB3-9252-B1E8D4DF367E}"/>
    <cellStyle name="Comma 4 2 5" xfId="1623" xr:uid="{9EBD91CE-42CB-4E5B-8211-4BE14072EC21}"/>
    <cellStyle name="Comma 4 3" xfId="309" xr:uid="{00000000-0005-0000-0000-000036010000}"/>
    <cellStyle name="Comma 4 3 2" xfId="310" xr:uid="{00000000-0005-0000-0000-000037010000}"/>
    <cellStyle name="Comma 4 3 2 2" xfId="1630" xr:uid="{1CE4A52C-33B7-441F-B06D-E4C465725522}"/>
    <cellStyle name="Comma 4 3 3" xfId="1629" xr:uid="{9C75F098-6477-48F4-A5EF-5CE809D1C501}"/>
    <cellStyle name="Comma 4 4" xfId="311" xr:uid="{00000000-0005-0000-0000-000038010000}"/>
    <cellStyle name="Comma 4 4 2" xfId="312" xr:uid="{00000000-0005-0000-0000-000039010000}"/>
    <cellStyle name="Comma 4 4 2 2" xfId="313" xr:uid="{00000000-0005-0000-0000-00003A010000}"/>
    <cellStyle name="Comma 4 4 2 2 2" xfId="1633" xr:uid="{F1C0B4DE-4985-4432-B4D8-57ACEEB1054F}"/>
    <cellStyle name="Comma 4 4 2 3" xfId="1632" xr:uid="{CD5F67BC-720B-43C3-B75E-26E0B814398D}"/>
    <cellStyle name="Comma 4 4 3" xfId="314" xr:uid="{00000000-0005-0000-0000-00003B010000}"/>
    <cellStyle name="Comma 4 4 3 2" xfId="1634" xr:uid="{096D809F-825C-4063-8EB6-037E1A196386}"/>
    <cellStyle name="Comma 4 4 4" xfId="1631" xr:uid="{6D4CF47E-536E-463E-A04B-97C2EB40164F}"/>
    <cellStyle name="Comma 4 5" xfId="315" xr:uid="{00000000-0005-0000-0000-00003C010000}"/>
    <cellStyle name="Comma 4 5 2" xfId="316" xr:uid="{00000000-0005-0000-0000-00003D010000}"/>
    <cellStyle name="Comma 4 5 2 2" xfId="1636" xr:uid="{D5EF10AB-297A-46B2-AEAB-CFD6291C2090}"/>
    <cellStyle name="Comma 4 5 3" xfId="1635" xr:uid="{6D18CE84-1571-484F-989A-740D4B211B0F}"/>
    <cellStyle name="Comma 4 6" xfId="317" xr:uid="{00000000-0005-0000-0000-00003E010000}"/>
    <cellStyle name="Comma 4 6 2" xfId="1637" xr:uid="{AAD5185C-547E-47C4-8E67-5ED9C052B13D}"/>
    <cellStyle name="Comma 4 7" xfId="1622" xr:uid="{FBCB1F86-4237-4FD0-ACF8-81A3E87C9691}"/>
    <cellStyle name="Comma 5" xfId="13" xr:uid="{00000000-0005-0000-0000-00000D000000}"/>
    <cellStyle name="Comma 5 2" xfId="318" xr:uid="{00000000-0005-0000-0000-00003F010000}"/>
    <cellStyle name="Comma 5 2 2" xfId="319" xr:uid="{00000000-0005-0000-0000-000040010000}"/>
    <cellStyle name="Comma 5 2 2 2" xfId="320" xr:uid="{00000000-0005-0000-0000-000041010000}"/>
    <cellStyle name="Comma 5 2 2 2 2" xfId="321" xr:uid="{00000000-0005-0000-0000-000042010000}"/>
    <cellStyle name="Comma 5 2 2 2 2 2" xfId="1641" xr:uid="{0695B8FF-E35B-4E9F-8FA9-47341BB2C20A}"/>
    <cellStyle name="Comma 5 2 2 2 3" xfId="1640" xr:uid="{22D763B9-08E3-474B-B7DF-FC06438EFD7A}"/>
    <cellStyle name="Comma 5 2 2 3" xfId="322" xr:uid="{00000000-0005-0000-0000-000043010000}"/>
    <cellStyle name="Comma 5 2 2 3 2" xfId="323" xr:uid="{00000000-0005-0000-0000-000044010000}"/>
    <cellStyle name="Comma 5 2 2 3 2 2" xfId="1643" xr:uid="{3E8369A7-5E3F-49B2-A29F-8F99C391CE7E}"/>
    <cellStyle name="Comma 5 2 2 3 3" xfId="1642" xr:uid="{BFD1F55F-C47C-457D-88D9-7ECB1F4074DD}"/>
    <cellStyle name="Comma 5 2 2 4" xfId="324" xr:uid="{00000000-0005-0000-0000-000045010000}"/>
    <cellStyle name="Comma 5 2 2 4 2" xfId="1644" xr:uid="{CE7779CA-0EC4-4DF7-A4D3-916B5556508A}"/>
    <cellStyle name="Comma 5 2 2 5" xfId="1639" xr:uid="{56377AC6-D2CD-4084-809E-2B5FC0CD7486}"/>
    <cellStyle name="Comma 5 2 3" xfId="325" xr:uid="{00000000-0005-0000-0000-000046010000}"/>
    <cellStyle name="Comma 5 2 3 2" xfId="326" xr:uid="{00000000-0005-0000-0000-000047010000}"/>
    <cellStyle name="Comma 5 2 3 2 2" xfId="1646" xr:uid="{0C91801D-3892-4813-8E72-D50093A7B59D}"/>
    <cellStyle name="Comma 5 2 3 3" xfId="1645" xr:uid="{99A19C8B-FB92-49F5-B389-80740C5168F4}"/>
    <cellStyle name="Comma 5 2 4" xfId="327" xr:uid="{00000000-0005-0000-0000-000048010000}"/>
    <cellStyle name="Comma 5 2 4 2" xfId="328" xr:uid="{00000000-0005-0000-0000-000049010000}"/>
    <cellStyle name="Comma 5 2 4 2 2" xfId="1648" xr:uid="{20F5D667-31EB-4E8E-86BD-C3F6D551DF79}"/>
    <cellStyle name="Comma 5 2 4 3" xfId="1647" xr:uid="{5D5D54D7-6331-48A1-B7CB-8402E9076B6D}"/>
    <cellStyle name="Comma 5 2 5" xfId="329" xr:uid="{00000000-0005-0000-0000-00004A010000}"/>
    <cellStyle name="Comma 5 2 5 2" xfId="1649" xr:uid="{504011BB-13E7-4C68-8D9F-DC05B772937D}"/>
    <cellStyle name="Comma 5 2 6" xfId="1638" xr:uid="{25F53355-BA6C-4815-874E-7C81BF336736}"/>
    <cellStyle name="Comma 5 3" xfId="330" xr:uid="{00000000-0005-0000-0000-00004B010000}"/>
    <cellStyle name="Comma 5 3 2" xfId="331" xr:uid="{00000000-0005-0000-0000-00004C010000}"/>
    <cellStyle name="Comma 5 3 2 2" xfId="332" xr:uid="{00000000-0005-0000-0000-00004D010000}"/>
    <cellStyle name="Comma 5 3 2 2 2" xfId="1652" xr:uid="{7B8FA2CA-6B64-4262-902D-DAC6724C921B}"/>
    <cellStyle name="Comma 5 3 2 3" xfId="1651" xr:uid="{F268841E-55E5-43E8-8FFE-92D8FEB0D191}"/>
    <cellStyle name="Comma 5 3 3" xfId="333" xr:uid="{00000000-0005-0000-0000-00004E010000}"/>
    <cellStyle name="Comma 5 3 3 2" xfId="1653" xr:uid="{61955B45-14DF-4549-91E4-5CFF0534B24E}"/>
    <cellStyle name="Comma 5 3 4" xfId="1650" xr:uid="{4EA01591-E5CC-482A-826E-9BE90C0161C9}"/>
    <cellStyle name="Comma 5 4" xfId="334" xr:uid="{00000000-0005-0000-0000-00004F010000}"/>
    <cellStyle name="Comma 5 4 2" xfId="335" xr:uid="{00000000-0005-0000-0000-000050010000}"/>
    <cellStyle name="Comma 5 4 2 2" xfId="1655" xr:uid="{D5BD22FE-3BF5-47B9-B671-5B6B23FBA51C}"/>
    <cellStyle name="Comma 5 4 3" xfId="1654" xr:uid="{C7FF2D64-70DE-443C-AF2A-2ECE4E13E7D7}"/>
    <cellStyle name="Comma 5 5" xfId="336" xr:uid="{00000000-0005-0000-0000-000051010000}"/>
    <cellStyle name="Comma 5 5 2" xfId="1656" xr:uid="{D3371B7C-FB09-4780-835B-D89AB1F416FB}"/>
    <cellStyle name="Comma 5 6" xfId="1340" xr:uid="{B52580F5-D4B3-4519-8607-A81DC970B146}"/>
    <cellStyle name="Comma 58" xfId="337" xr:uid="{00000000-0005-0000-0000-000052010000}"/>
    <cellStyle name="Comma 58 2" xfId="338" xr:uid="{00000000-0005-0000-0000-000053010000}"/>
    <cellStyle name="Comma 58 2 2" xfId="1658" xr:uid="{C63396B2-5E12-456B-AA26-5681F9DF6F15}"/>
    <cellStyle name="Comma 58 3" xfId="1657" xr:uid="{E6362809-B28E-40B0-A498-256D1BE281D8}"/>
    <cellStyle name="Comma 6" xfId="339" xr:uid="{00000000-0005-0000-0000-000054010000}"/>
    <cellStyle name="Comma 6 2" xfId="340" xr:uid="{00000000-0005-0000-0000-000055010000}"/>
    <cellStyle name="Comma 6 2 2" xfId="341" xr:uid="{00000000-0005-0000-0000-000056010000}"/>
    <cellStyle name="Comma 6 2 2 2" xfId="1661" xr:uid="{EA5B7CB5-C878-44B0-9C4A-641DFB5B3A43}"/>
    <cellStyle name="Comma 6 2 3" xfId="1660" xr:uid="{DB094A37-8398-478C-9164-8B29EC2134DB}"/>
    <cellStyle name="Comma 6 3" xfId="342" xr:uid="{00000000-0005-0000-0000-000057010000}"/>
    <cellStyle name="Comma 6 3 2" xfId="343" xr:uid="{00000000-0005-0000-0000-000058010000}"/>
    <cellStyle name="Comma 6 3 2 2" xfId="1663" xr:uid="{23DF1FC9-0CD8-4F0A-A8D4-23FA5E4BFB79}"/>
    <cellStyle name="Comma 6 3 3" xfId="1662" xr:uid="{64C2D4E0-1D19-4C6B-927E-4C9C2C8EC4A6}"/>
    <cellStyle name="Comma 6 4" xfId="344" xr:uid="{00000000-0005-0000-0000-000059010000}"/>
    <cellStyle name="Comma 6 4 2" xfId="1664" xr:uid="{E2056090-92A3-4DB0-90A9-FA1727856100}"/>
    <cellStyle name="Comma 6 5" xfId="1659" xr:uid="{5A26C8ED-6265-461D-BA75-F0EFD09C5E99}"/>
    <cellStyle name="Comma 7" xfId="345" xr:uid="{00000000-0005-0000-0000-00005A010000}"/>
    <cellStyle name="Comma 7 2" xfId="346" xr:uid="{00000000-0005-0000-0000-00005B010000}"/>
    <cellStyle name="Comma 7 2 2" xfId="347" xr:uid="{00000000-0005-0000-0000-00005C010000}"/>
    <cellStyle name="Comma 7 2 2 2" xfId="348" xr:uid="{00000000-0005-0000-0000-00005D010000}"/>
    <cellStyle name="Comma 7 2 2 2 2" xfId="1668" xr:uid="{B4EC609E-08A5-479E-A68B-4EF25F22501C}"/>
    <cellStyle name="Comma 7 2 2 3" xfId="1667" xr:uid="{6F7D24BD-4B1A-49DE-811D-5476898C834C}"/>
    <cellStyle name="Comma 7 2 3" xfId="349" xr:uid="{00000000-0005-0000-0000-00005E010000}"/>
    <cellStyle name="Comma 7 2 3 2" xfId="1669" xr:uid="{FD4EE7A0-7185-4036-B3B3-88F31818E1DA}"/>
    <cellStyle name="Comma 7 2 4" xfId="1666" xr:uid="{B19220A1-DDBB-4B15-8A00-EED966122C52}"/>
    <cellStyle name="Comma 7 3" xfId="350" xr:uid="{00000000-0005-0000-0000-00005F010000}"/>
    <cellStyle name="Comma 7 3 2" xfId="351" xr:uid="{00000000-0005-0000-0000-000060010000}"/>
    <cellStyle name="Comma 7 3 2 2" xfId="1671" xr:uid="{8C0292D4-37DA-4BB0-AEE1-A3AC596716BA}"/>
    <cellStyle name="Comma 7 3 3" xfId="1670" xr:uid="{3E021BD4-EF1B-42BD-9413-A34DF42DD730}"/>
    <cellStyle name="Comma 7 4" xfId="352" xr:uid="{00000000-0005-0000-0000-000061010000}"/>
    <cellStyle name="Comma 7 4 2" xfId="1672" xr:uid="{888E585C-A8FC-4D63-82D6-FEDBCC1FAA3B}"/>
    <cellStyle name="Comma 7 5" xfId="1665" xr:uid="{A138F527-8DA9-424B-9B8E-8EB491B490E6}"/>
    <cellStyle name="Comma 8" xfId="353" xr:uid="{00000000-0005-0000-0000-000062010000}"/>
    <cellStyle name="Comma 8 2" xfId="354" xr:uid="{00000000-0005-0000-0000-000063010000}"/>
    <cellStyle name="Comma 8 2 2" xfId="355" xr:uid="{00000000-0005-0000-0000-000064010000}"/>
    <cellStyle name="Comma 8 2 2 2" xfId="1675" xr:uid="{37CC0054-C47A-4CFE-AEE7-3F5424F6872F}"/>
    <cellStyle name="Comma 8 2 3" xfId="1674" xr:uid="{25804B12-ED3E-4167-9290-BA535E2FF511}"/>
    <cellStyle name="Comma 8 3" xfId="356" xr:uid="{00000000-0005-0000-0000-000065010000}"/>
    <cellStyle name="Comma 8 3 2" xfId="357" xr:uid="{00000000-0005-0000-0000-000066010000}"/>
    <cellStyle name="Comma 8 3 2 2" xfId="1677" xr:uid="{F8C608EF-300B-4CEE-988B-87DD2790A463}"/>
    <cellStyle name="Comma 8 3 3" xfId="1676" xr:uid="{2B2081A2-E8D5-4FAB-B54F-BA39B729D6E7}"/>
    <cellStyle name="Comma 8 4" xfId="358" xr:uid="{00000000-0005-0000-0000-000067010000}"/>
    <cellStyle name="Comma 8 4 2" xfId="1678" xr:uid="{30F6F694-D65E-4AC7-9C80-ED2C23781F99}"/>
    <cellStyle name="Comma 8 5" xfId="1673" xr:uid="{7385433A-26ED-46AC-87F6-8A228BE7CDE4}"/>
    <cellStyle name="Comma 9" xfId="359" xr:uid="{00000000-0005-0000-0000-000068010000}"/>
    <cellStyle name="Comma 9 2" xfId="360" xr:uid="{00000000-0005-0000-0000-000069010000}"/>
    <cellStyle name="Comma 9 2 2" xfId="361" xr:uid="{00000000-0005-0000-0000-00006A010000}"/>
    <cellStyle name="Comma 9 2 2 2" xfId="1681" xr:uid="{6428AC39-9DAE-4ECE-A815-B57BC5C336DE}"/>
    <cellStyle name="Comma 9 2 3" xfId="1680" xr:uid="{9BEA82F9-4BA0-4CDA-AF25-0AA60E805409}"/>
    <cellStyle name="Comma 9 3" xfId="362" xr:uid="{00000000-0005-0000-0000-00006B010000}"/>
    <cellStyle name="Comma 9 3 2" xfId="1682" xr:uid="{06DFD81D-550A-478F-8968-E12CF8CFB52E}"/>
    <cellStyle name="Comma 9 4" xfId="1679" xr:uid="{FDCBAF2D-2C7D-475B-82A3-99C58B93F3C4}"/>
    <cellStyle name="comma zerodec" xfId="363" xr:uid="{00000000-0005-0000-0000-00006C010000}"/>
    <cellStyle name="Comma,0" xfId="364" xr:uid="{00000000-0005-0000-0000-00006D010000}"/>
    <cellStyle name="Comma,1" xfId="365" xr:uid="{00000000-0005-0000-0000-00006E010000}"/>
    <cellStyle name="Comma,2" xfId="366" xr:uid="{00000000-0005-0000-0000-00006F010000}"/>
    <cellStyle name="Currency,0" xfId="367" xr:uid="{00000000-0005-0000-0000-000070010000}"/>
    <cellStyle name="Currency,2" xfId="368" xr:uid="{00000000-0005-0000-0000-000071010000}"/>
    <cellStyle name="Currency1" xfId="369" xr:uid="{00000000-0005-0000-0000-000072010000}"/>
    <cellStyle name="dataStyle 2" xfId="370" xr:uid="{00000000-0005-0000-0000-000073010000}"/>
    <cellStyle name="dataStyle 2 2" xfId="371" xr:uid="{00000000-0005-0000-0000-000074010000}"/>
    <cellStyle name="dataStyle 2 2 2" xfId="372" xr:uid="{00000000-0005-0000-0000-000075010000}"/>
    <cellStyle name="dataStyle 2 2 2 2" xfId="1692" xr:uid="{C3F21BA5-4738-49E7-B1DF-8E2E0B3A0D59}"/>
    <cellStyle name="dataStyle 2 2 3" xfId="373" xr:uid="{00000000-0005-0000-0000-000076010000}"/>
    <cellStyle name="dataStyle 2 2 3 2" xfId="1693" xr:uid="{26566FA2-DBDD-4CC7-B5B1-FD43ADEE9C92}"/>
    <cellStyle name="dataStyle 2 2 4" xfId="374" xr:uid="{00000000-0005-0000-0000-000077010000}"/>
    <cellStyle name="dataStyle 2 2 4 2" xfId="1694" xr:uid="{9560CB22-25E3-4233-9AC2-C7B7BBCA477C}"/>
    <cellStyle name="dataStyle 2 2 5" xfId="1691" xr:uid="{80EB298B-1FAC-49D7-8E4F-A2FFD05F4A26}"/>
    <cellStyle name="dataStyle 2 3" xfId="375" xr:uid="{00000000-0005-0000-0000-000078010000}"/>
    <cellStyle name="dataStyle 2 3 2" xfId="1695" xr:uid="{B0B028CB-8D26-45EA-AC87-81EFDA2ED8D8}"/>
    <cellStyle name="dataStyle 2 4" xfId="376" xr:uid="{00000000-0005-0000-0000-000079010000}"/>
    <cellStyle name="dataStyle 2 4 2" xfId="1696" xr:uid="{F9AFC203-3FB1-4013-9C2E-CA1705521C86}"/>
    <cellStyle name="dataStyle 2 5" xfId="377" xr:uid="{00000000-0005-0000-0000-00007A010000}"/>
    <cellStyle name="dataStyle 2 5 2" xfId="1697" xr:uid="{1CF5C10B-3167-47BA-ABD5-118175DE09FF}"/>
    <cellStyle name="dataStyle 2 6" xfId="1690" xr:uid="{68028BEA-A4EA-4AF2-91AA-873FAAB8C781}"/>
    <cellStyle name="dataStyle 3" xfId="378" xr:uid="{00000000-0005-0000-0000-00007B010000}"/>
    <cellStyle name="dataStyle 3 2" xfId="379" xr:uid="{00000000-0005-0000-0000-00007C010000}"/>
    <cellStyle name="dataStyle 3 2 2" xfId="380" xr:uid="{00000000-0005-0000-0000-00007D010000}"/>
    <cellStyle name="dataStyle 3 2 2 2" xfId="1700" xr:uid="{998EF7C0-BECA-485F-9305-05BA539B1A28}"/>
    <cellStyle name="dataStyle 3 2 3" xfId="381" xr:uid="{00000000-0005-0000-0000-00007E010000}"/>
    <cellStyle name="dataStyle 3 2 3 2" xfId="1701" xr:uid="{775C0745-AC4E-4821-AFD2-D260BC0D0F3F}"/>
    <cellStyle name="dataStyle 3 2 4" xfId="382" xr:uid="{00000000-0005-0000-0000-00007F010000}"/>
    <cellStyle name="dataStyle 3 2 4 2" xfId="1702" xr:uid="{DA776EDF-E58D-4E29-917F-30DECD60B2C4}"/>
    <cellStyle name="dataStyle 3 2 5" xfId="1699" xr:uid="{833C02C2-DEA7-4101-9A8A-DA9DEB81B583}"/>
    <cellStyle name="dataStyle 3 3" xfId="383" xr:uid="{00000000-0005-0000-0000-000080010000}"/>
    <cellStyle name="dataStyle 3 3 2" xfId="1703" xr:uid="{5CB7357A-D7EE-4A29-9FBC-AD2E967B3971}"/>
    <cellStyle name="dataStyle 3 4" xfId="384" xr:uid="{00000000-0005-0000-0000-000081010000}"/>
    <cellStyle name="dataStyle 3 4 2" xfId="1704" xr:uid="{BF9E9017-15AA-4597-BDEA-EEA1899D5E2F}"/>
    <cellStyle name="dataStyle 3 5" xfId="385" xr:uid="{00000000-0005-0000-0000-000082010000}"/>
    <cellStyle name="dataStyle 3 5 2" xfId="1705" xr:uid="{5774C6BC-1CEA-4A0C-A62F-86945938CD2E}"/>
    <cellStyle name="dataStyle 3 6" xfId="1698" xr:uid="{3666250C-6B20-4E36-83EC-337777DE4CBA}"/>
    <cellStyle name="Dollar (zero dec)" xfId="386" xr:uid="{00000000-0005-0000-0000-000083010000}"/>
    <cellStyle name="entry" xfId="387" xr:uid="{00000000-0005-0000-0000-000084010000}"/>
    <cellStyle name="entry box" xfId="388" xr:uid="{00000000-0005-0000-0000-000085010000}"/>
    <cellStyle name="entry box 2" xfId="389" xr:uid="{00000000-0005-0000-0000-000086010000}"/>
    <cellStyle name="entry box 2 2" xfId="390" xr:uid="{00000000-0005-0000-0000-000087010000}"/>
    <cellStyle name="entry box 2 2 2" xfId="1710" xr:uid="{D41F26CC-C7AB-460D-BD17-234E1429E26E}"/>
    <cellStyle name="entry box 2 3" xfId="391" xr:uid="{00000000-0005-0000-0000-000088010000}"/>
    <cellStyle name="entry box 2 3 2" xfId="1711" xr:uid="{77957ED2-AF4F-47EA-992F-1B8E16082EF7}"/>
    <cellStyle name="entry box 2 4" xfId="1709" xr:uid="{1D9D67BF-D6D8-463C-873E-0C04CA284D70}"/>
    <cellStyle name="entry box 3" xfId="392" xr:uid="{00000000-0005-0000-0000-000089010000}"/>
    <cellStyle name="entry box 3 2" xfId="1712" xr:uid="{4A074298-3008-41B0-BCA8-9FEE95458F7B}"/>
    <cellStyle name="entry box 4" xfId="393" xr:uid="{00000000-0005-0000-0000-00008A010000}"/>
    <cellStyle name="entry box 4 2" xfId="1713" xr:uid="{C2B54C26-9B5F-4FEC-A3E4-22120D6DF908}"/>
    <cellStyle name="entry box 5" xfId="394" xr:uid="{00000000-0005-0000-0000-00008B010000}"/>
    <cellStyle name="entry box 5 2" xfId="1714" xr:uid="{197E2D6E-9D01-4D10-8036-8BDBDE1418F0}"/>
    <cellStyle name="entry box 6" xfId="1708" xr:uid="{A9ABC05D-09B8-41DE-A42B-05E6EBFE00D2}"/>
    <cellStyle name="Euro" xfId="395" xr:uid="{00000000-0005-0000-0000-00008C010000}"/>
    <cellStyle name="Euro 2" xfId="396" xr:uid="{00000000-0005-0000-0000-00008D010000}"/>
    <cellStyle name="Euro 2 2" xfId="397" xr:uid="{00000000-0005-0000-0000-00008E010000}"/>
    <cellStyle name="Euro 3" xfId="398" xr:uid="{00000000-0005-0000-0000-00008F010000}"/>
    <cellStyle name="Good 2" xfId="399" xr:uid="{00000000-0005-0000-0000-000090010000}"/>
    <cellStyle name="Good 2 2" xfId="400" xr:uid="{00000000-0005-0000-0000-000091010000}"/>
    <cellStyle name="Good 2 3" xfId="401" xr:uid="{00000000-0005-0000-0000-000092010000}"/>
    <cellStyle name="Grey" xfId="402" xr:uid="{00000000-0005-0000-0000-000093010000}"/>
    <cellStyle name="HEADER" xfId="403" xr:uid="{00000000-0005-0000-0000-000094010000}"/>
    <cellStyle name="Header1" xfId="404" xr:uid="{00000000-0005-0000-0000-000095010000}"/>
    <cellStyle name="Header1 2" xfId="405" xr:uid="{00000000-0005-0000-0000-000096010000}"/>
    <cellStyle name="Header1 3" xfId="406" xr:uid="{00000000-0005-0000-0000-000097010000}"/>
    <cellStyle name="Header1 4" xfId="407" xr:uid="{00000000-0005-0000-0000-000098010000}"/>
    <cellStyle name="Header2" xfId="408" xr:uid="{00000000-0005-0000-0000-000099010000}"/>
    <cellStyle name="Header2 2" xfId="1962" xr:uid="{FCCD243E-B814-405B-8681-F9BC126E5826}"/>
    <cellStyle name="Header2 3" xfId="1961" xr:uid="{FE5AE5A8-BFDF-4C98-B6D9-E36ED4AF8FDF}"/>
    <cellStyle name="Hyperlink" xfId="1326" xr:uid="{00000000-0005-0000-0000-000015000000}"/>
    <cellStyle name="Hyperlink 2" xfId="56" xr:uid="{00000000-0005-0000-0000-000039000000}"/>
    <cellStyle name="Hyperlink 2 2" xfId="409" xr:uid="{00000000-0005-0000-0000-00009A010000}"/>
    <cellStyle name="Hyperlink 2 2 3" xfId="57" xr:uid="{00000000-0005-0000-0000-00003A000000}"/>
    <cellStyle name="Hyperlink 2 3" xfId="410" xr:uid="{00000000-0005-0000-0000-00009B010000}"/>
    <cellStyle name="Hyperlink 2 4" xfId="411" xr:uid="{00000000-0005-0000-0000-00009C010000}"/>
    <cellStyle name="Hyperlink 3" xfId="412" xr:uid="{00000000-0005-0000-0000-00009D010000}"/>
    <cellStyle name="Hyperlink 3 2" xfId="413" xr:uid="{00000000-0005-0000-0000-00009E010000}"/>
    <cellStyle name="Hyperlink 3 3" xfId="414" xr:uid="{00000000-0005-0000-0000-00009F010000}"/>
    <cellStyle name="Hyperlink 4" xfId="415" xr:uid="{00000000-0005-0000-0000-0000A0010000}"/>
    <cellStyle name="Hyperlink 4 2" xfId="416" xr:uid="{00000000-0005-0000-0000-0000A1010000}"/>
    <cellStyle name="Hyperlink 4 3" xfId="417" xr:uid="{00000000-0005-0000-0000-0000A2010000}"/>
    <cellStyle name="Hyperlink 4 4" xfId="418" xr:uid="{00000000-0005-0000-0000-0000A3010000}"/>
    <cellStyle name="Hyperlink 5" xfId="20" xr:uid="{00000000-0005-0000-0000-000014000000}"/>
    <cellStyle name="Input [yellow]" xfId="419" xr:uid="{00000000-0005-0000-0000-0000A4010000}"/>
    <cellStyle name="Input [yellow] 2" xfId="420" xr:uid="{00000000-0005-0000-0000-0000A5010000}"/>
    <cellStyle name="Input [yellow] 2 2" xfId="421" xr:uid="{00000000-0005-0000-0000-0000A6010000}"/>
    <cellStyle name="Input [yellow] 2 2 2" xfId="1741" xr:uid="{AF01BCB6-79B1-4471-9A43-9E9E03953F29}"/>
    <cellStyle name="Input [yellow] 2 3" xfId="422" xr:uid="{00000000-0005-0000-0000-0000A7010000}"/>
    <cellStyle name="Input [yellow] 2 3 2" xfId="1742" xr:uid="{3F09543B-D9C0-4A5D-B7AA-B2AF773586DD}"/>
    <cellStyle name="Input [yellow] 2 4" xfId="1740" xr:uid="{21F88035-906B-423E-93ED-D7B4BCD94E6B}"/>
    <cellStyle name="Input [yellow] 3" xfId="423" xr:uid="{00000000-0005-0000-0000-0000A8010000}"/>
    <cellStyle name="Input [yellow] 3 2" xfId="1743" xr:uid="{E09B8FB7-09AF-42B3-B5F4-A914BCB927E6}"/>
    <cellStyle name="Input [yellow] 4" xfId="424" xr:uid="{00000000-0005-0000-0000-0000A9010000}"/>
    <cellStyle name="Input [yellow] 4 2" xfId="1744" xr:uid="{906BAFEC-D736-4E9A-833F-EC86405BABBC}"/>
    <cellStyle name="Input [yellow] 5" xfId="425" xr:uid="{00000000-0005-0000-0000-0000AA010000}"/>
    <cellStyle name="Input [yellow] 5 2" xfId="1745" xr:uid="{C311DCE9-B5CA-4EF7-BC43-C1D56CF2C0D1}"/>
    <cellStyle name="Input [yellow] 6" xfId="1739" xr:uid="{D0AE889D-F329-4479-8AEA-964AE16490EB}"/>
    <cellStyle name="Model" xfId="426" xr:uid="{00000000-0005-0000-0000-0000AB010000}"/>
    <cellStyle name="Model 2" xfId="427" xr:uid="{00000000-0005-0000-0000-0000AC010000}"/>
    <cellStyle name="Normal - Style1" xfId="428" xr:uid="{00000000-0005-0000-0000-0000AD010000}"/>
    <cellStyle name="Normal 10" xfId="429" xr:uid="{00000000-0005-0000-0000-0000AE010000}"/>
    <cellStyle name="Normal 10 10" xfId="21" xr:uid="{00000000-0005-0000-0000-000016000000}"/>
    <cellStyle name="Normal 10 2" xfId="430" xr:uid="{00000000-0005-0000-0000-0000AF010000}"/>
    <cellStyle name="Normal 10 2 2" xfId="431" xr:uid="{00000000-0005-0000-0000-0000B0010000}"/>
    <cellStyle name="Normal 10 2 2 2" xfId="432" xr:uid="{00000000-0005-0000-0000-0000B1010000}"/>
    <cellStyle name="Normal 10 2 2 3" xfId="1751" xr:uid="{A8438CAF-4AD1-4551-902C-E9DC22999092}"/>
    <cellStyle name="Normal 10 2 3" xfId="433" xr:uid="{00000000-0005-0000-0000-0000B2010000}"/>
    <cellStyle name="Normal 10 3" xfId="434" xr:uid="{00000000-0005-0000-0000-0000B3010000}"/>
    <cellStyle name="Normal 10 4" xfId="435" xr:uid="{00000000-0005-0000-0000-0000B4010000}"/>
    <cellStyle name="Normal 103" xfId="63" xr:uid="{00000000-0005-0000-0000-000040000000}"/>
    <cellStyle name="Normal 103 2" xfId="436" xr:uid="{00000000-0005-0000-0000-0000B5010000}"/>
    <cellStyle name="Normal 103 2 2" xfId="437" xr:uid="{00000000-0005-0000-0000-0000B6010000}"/>
    <cellStyle name="Normal 103 2 3" xfId="35" xr:uid="{00000000-0005-0000-0000-000024000000}"/>
    <cellStyle name="Normal 103 2 3 2" xfId="1362" xr:uid="{B35D2D1A-3ED7-4DEC-B091-FE2CBA955AE8}"/>
    <cellStyle name="Normal 103 2 4" xfId="438" xr:uid="{00000000-0005-0000-0000-0000B7010000}"/>
    <cellStyle name="Normal 103 3" xfId="439" xr:uid="{00000000-0005-0000-0000-0000B8010000}"/>
    <cellStyle name="Normal 103 4 2" xfId="440" xr:uid="{00000000-0005-0000-0000-0000B9010000}"/>
    <cellStyle name="Normal 11" xfId="441" xr:uid="{00000000-0005-0000-0000-0000BA010000}"/>
    <cellStyle name="Normal 11 2" xfId="442" xr:uid="{00000000-0005-0000-0000-0000BB010000}"/>
    <cellStyle name="Normal 111 2" xfId="443" xr:uid="{00000000-0005-0000-0000-0000BC010000}"/>
    <cellStyle name="Normal 111 2 2" xfId="444" xr:uid="{00000000-0005-0000-0000-0000BD010000}"/>
    <cellStyle name="Normal 111 2 3" xfId="445" xr:uid="{00000000-0005-0000-0000-0000BE010000}"/>
    <cellStyle name="Normal 111 2 3 2" xfId="1765" xr:uid="{5399B09A-06AE-4696-A0AE-6532B2B7A3B1}"/>
    <cellStyle name="Normal 118" xfId="446" xr:uid="{00000000-0005-0000-0000-0000BF010000}"/>
    <cellStyle name="Normal 118 2" xfId="1766" xr:uid="{D328B3C6-0EEA-4EE1-A3C7-BCFAC76700AD}"/>
    <cellStyle name="Normal 12" xfId="447" xr:uid="{00000000-0005-0000-0000-0000C0010000}"/>
    <cellStyle name="Normal 12 2" xfId="448" xr:uid="{00000000-0005-0000-0000-0000C1010000}"/>
    <cellStyle name="Normal 12 2 2 2 2" xfId="449" xr:uid="{00000000-0005-0000-0000-0000C2010000}"/>
    <cellStyle name="Normal 121" xfId="29" xr:uid="{00000000-0005-0000-0000-00001E000000}"/>
    <cellStyle name="Normal 121 2" xfId="43" xr:uid="{00000000-0005-0000-0000-00002C000000}"/>
    <cellStyle name="Normal 121 2 2" xfId="38" xr:uid="{00000000-0005-0000-0000-000027000000}"/>
    <cellStyle name="Normal 121 2 2 2" xfId="450" xr:uid="{00000000-0005-0000-0000-0000C3010000}"/>
    <cellStyle name="Normal 121 2 2 2 2" xfId="451" xr:uid="{00000000-0005-0000-0000-0000C4010000}"/>
    <cellStyle name="Normal 121 2 2 2 4" xfId="452" xr:uid="{00000000-0005-0000-0000-0000C5010000}"/>
    <cellStyle name="Normal 121 2 3" xfId="453" xr:uid="{00000000-0005-0000-0000-0000C6010000}"/>
    <cellStyle name="Normal 121 2 4" xfId="454" xr:uid="{00000000-0005-0000-0000-0000C7010000}"/>
    <cellStyle name="Normal 121 4" xfId="24" xr:uid="{00000000-0005-0000-0000-000019000000}"/>
    <cellStyle name="Normal 125" xfId="68" xr:uid="{00000000-0005-0000-0000-000045000000}"/>
    <cellStyle name="Normal 125 2" xfId="455" xr:uid="{00000000-0005-0000-0000-0000C8010000}"/>
    <cellStyle name="Normal 126" xfId="456" xr:uid="{00000000-0005-0000-0000-0000C9010000}"/>
    <cellStyle name="Normal 126 2" xfId="457" xr:uid="{00000000-0005-0000-0000-0000CA010000}"/>
    <cellStyle name="Normal 13" xfId="1" xr:uid="{00000000-0005-0000-0000-000001000000}"/>
    <cellStyle name="Normal 13 2" xfId="458" xr:uid="{00000000-0005-0000-0000-0000CB010000}"/>
    <cellStyle name="Normal 13 3" xfId="459" xr:uid="{00000000-0005-0000-0000-0000CC010000}"/>
    <cellStyle name="Normal 14" xfId="65" xr:uid="{00000000-0005-0000-0000-000042000000}"/>
    <cellStyle name="Normal 14 2" xfId="58" xr:uid="{00000000-0005-0000-0000-00003B000000}"/>
    <cellStyle name="Normal 14 3" xfId="69" xr:uid="{00000000-0005-0000-0000-000046000000}"/>
    <cellStyle name="Normal 15" xfId="460" xr:uid="{00000000-0005-0000-0000-0000CD010000}"/>
    <cellStyle name="Normal 15 2" xfId="461" xr:uid="{00000000-0005-0000-0000-0000CE010000}"/>
    <cellStyle name="Normal 15 2 2" xfId="72" xr:uid="{00000000-0005-0000-0000-000049000000}"/>
    <cellStyle name="Normal 15 2 3" xfId="462" xr:uid="{00000000-0005-0000-0000-0000CF010000}"/>
    <cellStyle name="Normal 15 2 3 2" xfId="1782" xr:uid="{F1FB9AF5-96ED-4B9C-8E82-9CE3A476377A}"/>
    <cellStyle name="Normal 15 3" xfId="463" xr:uid="{00000000-0005-0000-0000-0000D0010000}"/>
    <cellStyle name="Normal 15 3 2" xfId="1783" xr:uid="{6F3E9C90-B4DD-44AB-8973-BDE4E82DB802}"/>
    <cellStyle name="Normal 16" xfId="464" xr:uid="{00000000-0005-0000-0000-0000D1010000}"/>
    <cellStyle name="Normal 16 2" xfId="15" xr:uid="{00000000-0005-0000-0000-00000F000000}"/>
    <cellStyle name="Normal 16 2 2" xfId="1325" xr:uid="{0154A1F7-55BF-4933-8B64-AD507B374D7D}"/>
    <cellStyle name="Normal 16 2 3" xfId="1342" xr:uid="{D38E8E3B-C62A-4A7B-B19E-E90F11B08AD8}"/>
    <cellStyle name="Normal 16 3" xfId="1784" xr:uid="{AF9B1713-4884-44C0-9575-92EBD18E7C8A}"/>
    <cellStyle name="Normal 17" xfId="19" xr:uid="{00000000-0005-0000-0000-000013000000}"/>
    <cellStyle name="Normal 17 2" xfId="1346" xr:uid="{BA5A1F05-F4AD-4545-AE40-5F9A773656E9}"/>
    <cellStyle name="Normal 182" xfId="465" xr:uid="{00000000-0005-0000-0000-0000D2010000}"/>
    <cellStyle name="Normal 182 2" xfId="466" xr:uid="{00000000-0005-0000-0000-0000D3010000}"/>
    <cellStyle name="Normal 2" xfId="31" xr:uid="{00000000-0005-0000-0000-000020000000}"/>
    <cellStyle name="Normal 2 10" xfId="10" xr:uid="{00000000-0005-0000-0000-00000A000000}"/>
    <cellStyle name="Normal 2 10 2" xfId="70" xr:uid="{00000000-0005-0000-0000-000047000000}"/>
    <cellStyle name="Normal 2 2" xfId="25" xr:uid="{00000000-0005-0000-0000-00001A000000}"/>
    <cellStyle name="Normal 2 2 2" xfId="30" xr:uid="{00000000-0005-0000-0000-00001F000000}"/>
    <cellStyle name="Normal 2 2 2 2" xfId="467" xr:uid="{00000000-0005-0000-0000-0000D4010000}"/>
    <cellStyle name="Normal 2 2 2 2 2" xfId="468" xr:uid="{00000000-0005-0000-0000-0000D5010000}"/>
    <cellStyle name="Normal 2 2 2 3" xfId="469" xr:uid="{00000000-0005-0000-0000-0000D6010000}"/>
    <cellStyle name="Normal 2 2 3" xfId="45" xr:uid="{00000000-0005-0000-0000-00002E000000}"/>
    <cellStyle name="Normal 2 2 3 2" xfId="470" xr:uid="{00000000-0005-0000-0000-0000D7010000}"/>
    <cellStyle name="Normal 2 2 4" xfId="46" xr:uid="{00000000-0005-0000-0000-00002F000000}"/>
    <cellStyle name="Normal 2 24" xfId="471" xr:uid="{00000000-0005-0000-0000-0000D8010000}"/>
    <cellStyle name="Normal 2 3" xfId="47" xr:uid="{00000000-0005-0000-0000-000030000000}"/>
    <cellStyle name="Normal 2 3 2" xfId="472" xr:uid="{00000000-0005-0000-0000-0000D9010000}"/>
    <cellStyle name="Normal 2 3 2 2" xfId="473" xr:uid="{00000000-0005-0000-0000-0000DA010000}"/>
    <cellStyle name="Normal 2 3 2 2 2" xfId="474" xr:uid="{00000000-0005-0000-0000-0000DB010000}"/>
    <cellStyle name="Normal 2 3 2 2 2 2" xfId="26" xr:uid="{00000000-0005-0000-0000-00001B000000}"/>
    <cellStyle name="Normal 2 3 2 2 2 2 2" xfId="1353" xr:uid="{C47A3EA2-9C09-4A20-95A2-62B2FFC807DB}"/>
    <cellStyle name="Normal 2 3 2 2 3" xfId="54" xr:uid="{00000000-0005-0000-0000-000037000000}"/>
    <cellStyle name="Normal 2 3 2 2 4" xfId="475" xr:uid="{00000000-0005-0000-0000-0000DC010000}"/>
    <cellStyle name="Normal 2 3 2 2 4 2" xfId="1790" xr:uid="{FC4ABC06-07AC-4E59-BCC0-F77EF86C136D}"/>
    <cellStyle name="Normal 2 3 2 3" xfId="476" xr:uid="{00000000-0005-0000-0000-0000DD010000}"/>
    <cellStyle name="Normal 2 3 3" xfId="477" xr:uid="{00000000-0005-0000-0000-0000DE010000}"/>
    <cellStyle name="Normal 2 3 3 2" xfId="478" xr:uid="{00000000-0005-0000-0000-0000DF010000}"/>
    <cellStyle name="Normal 2 3 4" xfId="479" xr:uid="{00000000-0005-0000-0000-0000E0010000}"/>
    <cellStyle name="Normal 2 3 4 2" xfId="480" xr:uid="{00000000-0005-0000-0000-0000E1010000}"/>
    <cellStyle name="Normal 2 3 4 2 2" xfId="481" xr:uid="{00000000-0005-0000-0000-0000E2010000}"/>
    <cellStyle name="Normal 2 3 5" xfId="39" xr:uid="{00000000-0005-0000-0000-000028000000}"/>
    <cellStyle name="Normal 2 3 5 2" xfId="482" xr:uid="{00000000-0005-0000-0000-0000E3010000}"/>
    <cellStyle name="Normal 2 3 6" xfId="483" xr:uid="{00000000-0005-0000-0000-0000E4010000}"/>
    <cellStyle name="Normal 2 3 6 2" xfId="1798" xr:uid="{C9C946B3-DA9D-4D0A-83DB-2B2EBF4655D3}"/>
    <cellStyle name="Normal 2 4" xfId="484" xr:uid="{00000000-0005-0000-0000-0000E5010000}"/>
    <cellStyle name="Normal 2 4 2" xfId="485" xr:uid="{00000000-0005-0000-0000-0000E6010000}"/>
    <cellStyle name="Normal 2 4 3" xfId="486" xr:uid="{00000000-0005-0000-0000-0000E7010000}"/>
    <cellStyle name="Normal 2 5" xfId="41" xr:uid="{00000000-0005-0000-0000-00002A000000}"/>
    <cellStyle name="Normal 2 5 2" xfId="487" xr:uid="{00000000-0005-0000-0000-0000E8010000}"/>
    <cellStyle name="Normal 2 5 3" xfId="488" xr:uid="{00000000-0005-0000-0000-0000E9010000}"/>
    <cellStyle name="Normal 2 6" xfId="489" xr:uid="{00000000-0005-0000-0000-0000EA010000}"/>
    <cellStyle name="Normal 2 7" xfId="490" xr:uid="{00000000-0005-0000-0000-0000EB010000}"/>
    <cellStyle name="Normal 3" xfId="491" xr:uid="{00000000-0005-0000-0000-0000EC010000}"/>
    <cellStyle name="Normal 3 2" xfId="492" xr:uid="{00000000-0005-0000-0000-0000ED010000}"/>
    <cellStyle name="Normal 3 2 2" xfId="493" xr:uid="{00000000-0005-0000-0000-0000EE010000}"/>
    <cellStyle name="Normal 3 2 2 2 2" xfId="36" xr:uid="{00000000-0005-0000-0000-000025000000}"/>
    <cellStyle name="Normal 3 2 3" xfId="494" xr:uid="{00000000-0005-0000-0000-0000EF010000}"/>
    <cellStyle name="Normal 3 2 4" xfId="16" xr:uid="{00000000-0005-0000-0000-000010000000}"/>
    <cellStyle name="Normal 3 2 5" xfId="495" xr:uid="{00000000-0005-0000-0000-0000F0010000}"/>
    <cellStyle name="Normal 3 2 6" xfId="496" xr:uid="{00000000-0005-0000-0000-0000F1010000}"/>
    <cellStyle name="Normal 3 3" xfId="49" xr:uid="{00000000-0005-0000-0000-000032000000}"/>
    <cellStyle name="Normal 3 3 2" xfId="42" xr:uid="{00000000-0005-0000-0000-00002B000000}"/>
    <cellStyle name="Normal 3 3 2 2" xfId="497" xr:uid="{00000000-0005-0000-0000-0000F2010000}"/>
    <cellStyle name="Normal 3 4" xfId="14" xr:uid="{00000000-0005-0000-0000-00000E000000}"/>
    <cellStyle name="Normal 3 5" xfId="498" xr:uid="{00000000-0005-0000-0000-0000F3010000}"/>
    <cellStyle name="Normal 3 6" xfId="499" xr:uid="{00000000-0005-0000-0000-0000F4010000}"/>
    <cellStyle name="Normal 3 6 2" xfId="500" xr:uid="{00000000-0005-0000-0000-0000F5010000}"/>
    <cellStyle name="Normal 31" xfId="501" xr:uid="{00000000-0005-0000-0000-0000F6010000}"/>
    <cellStyle name="Normal 4" xfId="52" xr:uid="{00000000-0005-0000-0000-000035000000}"/>
    <cellStyle name="Normal 4 2" xfId="502" xr:uid="{00000000-0005-0000-0000-0000F7010000}"/>
    <cellStyle name="Normal 4 2 2" xfId="503" xr:uid="{00000000-0005-0000-0000-0000F8010000}"/>
    <cellStyle name="Normal 4 2 3" xfId="504" xr:uid="{00000000-0005-0000-0000-0000F9010000}"/>
    <cellStyle name="Normal 4 2 4" xfId="505" xr:uid="{00000000-0005-0000-0000-0000FA010000}"/>
    <cellStyle name="Normal 4 3" xfId="506" xr:uid="{00000000-0005-0000-0000-0000FB010000}"/>
    <cellStyle name="Normal 4 3 2" xfId="507" xr:uid="{00000000-0005-0000-0000-0000FC010000}"/>
    <cellStyle name="Normal 4 3 2 2" xfId="508" xr:uid="{00000000-0005-0000-0000-0000FD010000}"/>
    <cellStyle name="Normal 4 3 3" xfId="509" xr:uid="{00000000-0005-0000-0000-0000FE010000}"/>
    <cellStyle name="Normal 4 3 4" xfId="510" xr:uid="{00000000-0005-0000-0000-0000FF010000}"/>
    <cellStyle name="Normal 4 3 5" xfId="511" xr:uid="{00000000-0005-0000-0000-000000020000}"/>
    <cellStyle name="Normal 4 4" xfId="512" xr:uid="{00000000-0005-0000-0000-000001020000}"/>
    <cellStyle name="Normal 4 5" xfId="513" xr:uid="{00000000-0005-0000-0000-000002020000}"/>
    <cellStyle name="Normal 5" xfId="514" xr:uid="{00000000-0005-0000-0000-000003020000}"/>
    <cellStyle name="Normal 5 2" xfId="64" xr:uid="{00000000-0005-0000-0000-000041000000}"/>
    <cellStyle name="Normal 5 3" xfId="515" xr:uid="{00000000-0005-0000-0000-000004020000}"/>
    <cellStyle name="Normal 5 3 2" xfId="516" xr:uid="{00000000-0005-0000-0000-000005020000}"/>
    <cellStyle name="Normal 5 4" xfId="517" xr:uid="{00000000-0005-0000-0000-000006020000}"/>
    <cellStyle name="Normal 5 5" xfId="518" xr:uid="{00000000-0005-0000-0000-000007020000}"/>
    <cellStyle name="Normal 6" xfId="519" xr:uid="{00000000-0005-0000-0000-000008020000}"/>
    <cellStyle name="Normal 6 2" xfId="520" xr:uid="{00000000-0005-0000-0000-000009020000}"/>
    <cellStyle name="Normal 6 2 2" xfId="521" xr:uid="{00000000-0005-0000-0000-00000A020000}"/>
    <cellStyle name="Normal 6 2 3" xfId="522" xr:uid="{00000000-0005-0000-0000-00000B020000}"/>
    <cellStyle name="Normal 6 3" xfId="523" xr:uid="{00000000-0005-0000-0000-00000C020000}"/>
    <cellStyle name="Normal 6 4" xfId="524" xr:uid="{00000000-0005-0000-0000-00000D020000}"/>
    <cellStyle name="Normal 7" xfId="525" xr:uid="{00000000-0005-0000-0000-00000E020000}"/>
    <cellStyle name="Normal 7 2" xfId="526" xr:uid="{00000000-0005-0000-0000-00000F020000}"/>
    <cellStyle name="Normal 7 3" xfId="527" xr:uid="{00000000-0005-0000-0000-000010020000}"/>
    <cellStyle name="Normal 7 4" xfId="528" xr:uid="{00000000-0005-0000-0000-000011020000}"/>
    <cellStyle name="Normal 8" xfId="50" xr:uid="{00000000-0005-0000-0000-000033000000}"/>
    <cellStyle name="Normal 8 2" xfId="529" xr:uid="{00000000-0005-0000-0000-000012020000}"/>
    <cellStyle name="Normal 8 2 2" xfId="530" xr:uid="{00000000-0005-0000-0000-000013020000}"/>
    <cellStyle name="Normal 8 3" xfId="531" xr:uid="{00000000-0005-0000-0000-000014020000}"/>
    <cellStyle name="Normal 8 4" xfId="532" xr:uid="{00000000-0005-0000-0000-000015020000}"/>
    <cellStyle name="Normal 9" xfId="2" xr:uid="{00000000-0005-0000-0000-000002000000}"/>
    <cellStyle name="Normal 9 2" xfId="5" xr:uid="{00000000-0005-0000-0000-000005000000}"/>
    <cellStyle name="Normal 9 2 2" xfId="533" xr:uid="{00000000-0005-0000-0000-000016020000}"/>
    <cellStyle name="Normal_0213 Bank Recs 31.03.2010" xfId="62" xr:uid="{00000000-0005-0000-0000-00003F000000}"/>
    <cellStyle name="Normal_Sheet2" xfId="44" xr:uid="{00000000-0005-0000-0000-00002D000000}"/>
    <cellStyle name="Normalny_Arkusz1" xfId="534" xr:uid="{00000000-0005-0000-0000-000017020000}"/>
    <cellStyle name="Percent [2]" xfId="535" xr:uid="{00000000-0005-0000-0000-000018020000}"/>
    <cellStyle name="Percent 2" xfId="55" xr:uid="{00000000-0005-0000-0000-000038000000}"/>
    <cellStyle name="Percent 2 2" xfId="536" xr:uid="{00000000-0005-0000-0000-000019020000}"/>
    <cellStyle name="Percent 2 3" xfId="537" xr:uid="{00000000-0005-0000-0000-00001A020000}"/>
    <cellStyle name="Percent 2 4" xfId="538" xr:uid="{00000000-0005-0000-0000-00001B020000}"/>
    <cellStyle name="Percent 3" xfId="539" xr:uid="{00000000-0005-0000-0000-00001C020000}"/>
    <cellStyle name="Percent 3 2" xfId="540" xr:uid="{00000000-0005-0000-0000-00001D020000}"/>
    <cellStyle name="Percent 3 3" xfId="541" xr:uid="{00000000-0005-0000-0000-00001E020000}"/>
    <cellStyle name="Percent 4" xfId="51" xr:uid="{00000000-0005-0000-0000-000034000000}"/>
    <cellStyle name="Percent 5" xfId="48" xr:uid="{00000000-0005-0000-0000-000031000000}"/>
    <cellStyle name="Percent 5 2" xfId="40" xr:uid="{00000000-0005-0000-0000-000029000000}"/>
    <cellStyle name="Percent 5 2 2" xfId="542" xr:uid="{00000000-0005-0000-0000-00001F020000}"/>
    <cellStyle name="Percent 6 2" xfId="543" xr:uid="{00000000-0005-0000-0000-000020020000}"/>
    <cellStyle name="Prefilled" xfId="544" xr:uid="{00000000-0005-0000-0000-000021020000}"/>
    <cellStyle name="Prefilled 2" xfId="545" xr:uid="{00000000-0005-0000-0000-000022020000}"/>
    <cellStyle name="Prefilled 2 2" xfId="546" xr:uid="{00000000-0005-0000-0000-000023020000}"/>
    <cellStyle name="Prefilled 2 2 2" xfId="1861" xr:uid="{8119542F-3FDE-4B23-A045-64906DA7F18C}"/>
    <cellStyle name="Prefilled 2 3" xfId="547" xr:uid="{00000000-0005-0000-0000-000024020000}"/>
    <cellStyle name="Prefilled 2 3 2" xfId="1862" xr:uid="{6A337C9A-2D0D-419D-9408-969B1C98BBEE}"/>
    <cellStyle name="Prefilled 2 4" xfId="1860" xr:uid="{73549C12-0C1F-4C65-ACD0-13336A41C427}"/>
    <cellStyle name="Prefilled 3" xfId="548" xr:uid="{00000000-0005-0000-0000-000025020000}"/>
    <cellStyle name="Prefilled 3 2" xfId="1863" xr:uid="{C88CC732-5196-4A89-AD1A-BBF52DCD996A}"/>
    <cellStyle name="Prefilled 4" xfId="549" xr:uid="{00000000-0005-0000-0000-000026020000}"/>
    <cellStyle name="Prefilled 4 2" xfId="1864" xr:uid="{37665AB3-4087-43F3-A9F5-9FFD07DB9BBA}"/>
    <cellStyle name="Prefilled 5" xfId="550" xr:uid="{00000000-0005-0000-0000-000027020000}"/>
    <cellStyle name="Prefilled 5 2" xfId="1865" xr:uid="{B87BA129-2CCB-4B16-A5D8-295AB76A7408}"/>
    <cellStyle name="Prefilled 6" xfId="1859" xr:uid="{DC0A4966-484F-4D11-B2C2-F82ABEDD34FE}"/>
    <cellStyle name="price" xfId="551" xr:uid="{00000000-0005-0000-0000-000028020000}"/>
    <cellStyle name="revised" xfId="552" xr:uid="{00000000-0005-0000-0000-000029020000}"/>
    <cellStyle name="row_def_array" xfId="553" xr:uid="{00000000-0005-0000-0000-00002A020000}"/>
    <cellStyle name="SAPBEXaggData" xfId="554" xr:uid="{00000000-0005-0000-0000-00002B020000}"/>
    <cellStyle name="SAPBEXaggData 2" xfId="555" xr:uid="{00000000-0005-0000-0000-00002C020000}"/>
    <cellStyle name="SAPBEXaggData 2 2" xfId="556" xr:uid="{00000000-0005-0000-0000-00002D020000}"/>
    <cellStyle name="SAPBEXaggData 2 2 2" xfId="557" xr:uid="{00000000-0005-0000-0000-00002E020000}"/>
    <cellStyle name="SAPBEXaggData 2 2 2 2" xfId="1957" xr:uid="{AE53FEB2-6F38-466E-8B2A-4EDC072CBC6C}"/>
    <cellStyle name="SAPBEXaggData 2 2 2 3" xfId="1966" xr:uid="{63DF6937-23AD-4D75-B3F7-B748C5228118}"/>
    <cellStyle name="SAPBEXaggData 2 2 3" xfId="558" xr:uid="{00000000-0005-0000-0000-00002F020000}"/>
    <cellStyle name="SAPBEXaggData 2 2 3 2" xfId="1956" xr:uid="{F887FC18-A6A4-441A-888D-4F8ABD9EBB07}"/>
    <cellStyle name="SAPBEXaggData 2 2 3 3" xfId="1967" xr:uid="{9056EDC5-0512-4C58-AB50-F1B2BE2B9C2A}"/>
    <cellStyle name="SAPBEXaggData 2 2 4" xfId="559" xr:uid="{00000000-0005-0000-0000-000030020000}"/>
    <cellStyle name="SAPBEXaggData 2 2 4 2" xfId="1955" xr:uid="{A77794BA-5A3E-4812-A510-4E6B204B83DD}"/>
    <cellStyle name="SAPBEXaggData 2 2 4 3" xfId="1968" xr:uid="{477CF0A8-1DEC-4AF8-BD89-B1D4C5EAD488}"/>
    <cellStyle name="SAPBEXaggData 2 2 5" xfId="560" xr:uid="{00000000-0005-0000-0000-000031020000}"/>
    <cellStyle name="SAPBEXaggData 2 2 5 2" xfId="1954" xr:uid="{A2810D5F-4E51-4ACC-96F8-E1A3A5F88B27}"/>
    <cellStyle name="SAPBEXaggData 2 2 5 3" xfId="1969" xr:uid="{8892B2C0-34D2-498E-AA2F-5538AEF253C3}"/>
    <cellStyle name="SAPBEXaggData 2 2 6" xfId="1958" xr:uid="{E3BA2708-F875-41F8-A586-DB1BCA1C0EA9}"/>
    <cellStyle name="SAPBEXaggData 2 2 7" xfId="1965" xr:uid="{8A287A61-A7E1-431C-9BF8-A5D291F27A14}"/>
    <cellStyle name="SAPBEXaggData 2 3" xfId="561" xr:uid="{00000000-0005-0000-0000-000032020000}"/>
    <cellStyle name="SAPBEXaggData 2 3 2" xfId="1953" xr:uid="{F9DE3119-AE72-47BD-8756-4387A48BE2D4}"/>
    <cellStyle name="SAPBEXaggData 2 3 3" xfId="1970" xr:uid="{5B744615-5BEA-4354-9E9E-F6CC754F041B}"/>
    <cellStyle name="SAPBEXaggData 2 4" xfId="1959" xr:uid="{DC8A49DD-32C0-46BC-875E-605EE299C1CE}"/>
    <cellStyle name="SAPBEXaggData 2 5" xfId="1964" xr:uid="{58B5AD85-2183-4099-8A63-F3602E63B47C}"/>
    <cellStyle name="SAPBEXaggData 3" xfId="562" xr:uid="{00000000-0005-0000-0000-000033020000}"/>
    <cellStyle name="SAPBEXaggData 3 2" xfId="563" xr:uid="{00000000-0005-0000-0000-000034020000}"/>
    <cellStyle name="SAPBEXaggData 3 2 2" xfId="1951" xr:uid="{EF327594-30EF-43EC-BC9B-2A4B9189671D}"/>
    <cellStyle name="SAPBEXaggData 3 2 3" xfId="1972" xr:uid="{6B2D562B-8DF5-4DD8-9174-3D3F1D29C9B6}"/>
    <cellStyle name="SAPBEXaggData 3 3" xfId="564" xr:uid="{00000000-0005-0000-0000-000035020000}"/>
    <cellStyle name="SAPBEXaggData 3 3 2" xfId="1950" xr:uid="{DBC123FC-F728-4B2F-9034-B1AA6556CE94}"/>
    <cellStyle name="SAPBEXaggData 3 3 3" xfId="1973" xr:uid="{12A1D1F7-3288-4400-8A4C-24257B420697}"/>
    <cellStyle name="SAPBEXaggData 3 4" xfId="565" xr:uid="{00000000-0005-0000-0000-000036020000}"/>
    <cellStyle name="SAPBEXaggData 3 4 2" xfId="1949" xr:uid="{5E00447D-E8E4-4CB1-8D7E-784CC71C67D2}"/>
    <cellStyle name="SAPBEXaggData 3 4 3" xfId="1974" xr:uid="{2D8DEB6D-5CE4-44AD-A133-0D5AC9A6BE18}"/>
    <cellStyle name="SAPBEXaggData 3 5" xfId="566" xr:uid="{00000000-0005-0000-0000-000037020000}"/>
    <cellStyle name="SAPBEXaggData 3 5 2" xfId="1948" xr:uid="{DA164FB7-9B7E-4AF5-ADFB-264FF3D5E942}"/>
    <cellStyle name="SAPBEXaggData 3 5 3" xfId="1975" xr:uid="{01C51C81-37E6-49C6-809B-512737FCBB66}"/>
    <cellStyle name="SAPBEXaggData 3 6" xfId="1952" xr:uid="{CF83862B-67AD-42F9-9467-8D658DB2E6CA}"/>
    <cellStyle name="SAPBEXaggData 3 7" xfId="1971" xr:uid="{FA514006-F23F-4BA8-9CDC-252C70281B8C}"/>
    <cellStyle name="SAPBEXaggData 4" xfId="567" xr:uid="{00000000-0005-0000-0000-000038020000}"/>
    <cellStyle name="SAPBEXaggData 4 2" xfId="1947" xr:uid="{D2D35816-293B-4C20-B240-5262AEE95D74}"/>
    <cellStyle name="SAPBEXaggData 4 3" xfId="1976" xr:uid="{C272157B-A495-4FC2-B66D-3EA308111D39}"/>
    <cellStyle name="SAPBEXaggData 5" xfId="1960" xr:uid="{968091DB-D78A-428C-80B4-E7BF73DAFB9C}"/>
    <cellStyle name="SAPBEXaggData 6" xfId="1963" xr:uid="{9A70BFC6-D70A-4819-A9D0-9E06BDC5471E}"/>
    <cellStyle name="SAPBEXaggDataEmph" xfId="568" xr:uid="{00000000-0005-0000-0000-000039020000}"/>
    <cellStyle name="SAPBEXaggDataEmph 2" xfId="569" xr:uid="{00000000-0005-0000-0000-00003A020000}"/>
    <cellStyle name="SAPBEXaggDataEmph 2 2" xfId="570" xr:uid="{00000000-0005-0000-0000-00003B020000}"/>
    <cellStyle name="SAPBEXaggDataEmph 2 2 2" xfId="571" xr:uid="{00000000-0005-0000-0000-00003C020000}"/>
    <cellStyle name="SAPBEXaggDataEmph 2 2 2 2" xfId="1943" xr:uid="{FD00195C-064F-4DE1-856E-A2E7F43B2AA7}"/>
    <cellStyle name="SAPBEXaggDataEmph 2 2 2 3" xfId="1980" xr:uid="{6F5213E1-7246-4E19-887B-F7EC457D6E17}"/>
    <cellStyle name="SAPBEXaggDataEmph 2 2 3" xfId="572" xr:uid="{00000000-0005-0000-0000-00003D020000}"/>
    <cellStyle name="SAPBEXaggDataEmph 2 2 3 2" xfId="1942" xr:uid="{210DAA04-3044-4518-BD93-78812739B7D6}"/>
    <cellStyle name="SAPBEXaggDataEmph 2 2 3 3" xfId="1981" xr:uid="{E6554C3F-91DA-44FE-AE3C-38790B50F5AE}"/>
    <cellStyle name="SAPBEXaggDataEmph 2 2 4" xfId="573" xr:uid="{00000000-0005-0000-0000-00003E020000}"/>
    <cellStyle name="SAPBEXaggDataEmph 2 2 4 2" xfId="1941" xr:uid="{41EA9A78-A640-4732-86A3-7C848BDECA1C}"/>
    <cellStyle name="SAPBEXaggDataEmph 2 2 4 3" xfId="1982" xr:uid="{938383E8-1906-427B-8D2A-9871CD4DDB23}"/>
    <cellStyle name="SAPBEXaggDataEmph 2 2 5" xfId="574" xr:uid="{00000000-0005-0000-0000-00003F020000}"/>
    <cellStyle name="SAPBEXaggDataEmph 2 2 5 2" xfId="1940" xr:uid="{41B5D7E2-14D4-4A88-9DD1-2525FC78ACA0}"/>
    <cellStyle name="SAPBEXaggDataEmph 2 2 5 3" xfId="1983" xr:uid="{8F56DBC8-3EC7-4AC3-BD27-710B27B9DF7B}"/>
    <cellStyle name="SAPBEXaggDataEmph 2 2 6" xfId="1944" xr:uid="{D7B249A8-A3E8-46F5-B61F-9C697C4C49EB}"/>
    <cellStyle name="SAPBEXaggDataEmph 2 2 7" xfId="1979" xr:uid="{6FFA6C78-9488-4106-AF14-2EB434EEF146}"/>
    <cellStyle name="SAPBEXaggDataEmph 2 3" xfId="575" xr:uid="{00000000-0005-0000-0000-000040020000}"/>
    <cellStyle name="SAPBEXaggDataEmph 2 3 2" xfId="1939" xr:uid="{B2450142-D9E5-410B-9CE8-D0475F001370}"/>
    <cellStyle name="SAPBEXaggDataEmph 2 3 3" xfId="1984" xr:uid="{A2314E0E-613E-4C42-8CD6-12928EE80B9E}"/>
    <cellStyle name="SAPBEXaggDataEmph 2 4" xfId="1945" xr:uid="{DA61E28B-E72B-4900-AF49-383369C4A004}"/>
    <cellStyle name="SAPBEXaggDataEmph 2 5" xfId="1978" xr:uid="{DC420BCB-34DE-4654-A043-6DFD214EF19C}"/>
    <cellStyle name="SAPBEXaggDataEmph 3" xfId="576" xr:uid="{00000000-0005-0000-0000-000041020000}"/>
    <cellStyle name="SAPBEXaggDataEmph 3 2" xfId="577" xr:uid="{00000000-0005-0000-0000-000042020000}"/>
    <cellStyle name="SAPBEXaggDataEmph 3 2 2" xfId="1937" xr:uid="{3ED744DA-62F8-4043-8E40-382653F34C65}"/>
    <cellStyle name="SAPBEXaggDataEmph 3 2 3" xfId="1986" xr:uid="{622F6022-A309-4A88-8EB7-3E5B2F389D33}"/>
    <cellStyle name="SAPBEXaggDataEmph 3 3" xfId="578" xr:uid="{00000000-0005-0000-0000-000043020000}"/>
    <cellStyle name="SAPBEXaggDataEmph 3 3 2" xfId="1936" xr:uid="{8C03BEC3-C119-499D-B32A-CF738FDCA214}"/>
    <cellStyle name="SAPBEXaggDataEmph 3 3 3" xfId="1987" xr:uid="{CBD6A95C-49D0-4F5A-B202-E88E89A03196}"/>
    <cellStyle name="SAPBEXaggDataEmph 3 4" xfId="579" xr:uid="{00000000-0005-0000-0000-000044020000}"/>
    <cellStyle name="SAPBEXaggDataEmph 3 4 2" xfId="1935" xr:uid="{456A77C5-81ED-4370-A029-52153593737E}"/>
    <cellStyle name="SAPBEXaggDataEmph 3 4 3" xfId="1988" xr:uid="{421D8D3B-0821-420A-B99C-9C53B18606D6}"/>
    <cellStyle name="SAPBEXaggDataEmph 3 5" xfId="580" xr:uid="{00000000-0005-0000-0000-000045020000}"/>
    <cellStyle name="SAPBEXaggDataEmph 3 5 2" xfId="1934" xr:uid="{785E4E6E-6A52-4F8B-A038-9080B2E25026}"/>
    <cellStyle name="SAPBEXaggDataEmph 3 5 3" xfId="1989" xr:uid="{8ECE422B-4A0B-4382-9ED1-33196B6F70F5}"/>
    <cellStyle name="SAPBEXaggDataEmph 3 6" xfId="1938" xr:uid="{23C06D99-9F62-44FC-BAC0-4E4197B932BB}"/>
    <cellStyle name="SAPBEXaggDataEmph 3 7" xfId="1985" xr:uid="{AD073B3F-B1E5-459F-B46F-88D772F02142}"/>
    <cellStyle name="SAPBEXaggDataEmph 4" xfId="581" xr:uid="{00000000-0005-0000-0000-000046020000}"/>
    <cellStyle name="SAPBEXaggDataEmph 4 2" xfId="1933" xr:uid="{26CDC42B-DF25-414F-B9AE-DD3584C4ECF8}"/>
    <cellStyle name="SAPBEXaggDataEmph 4 3" xfId="1990" xr:uid="{C81814E4-7A55-49B4-B552-01B6433A742D}"/>
    <cellStyle name="SAPBEXaggDataEmph 5" xfId="1946" xr:uid="{34013907-3EB3-42FD-9471-73FFC72E8B43}"/>
    <cellStyle name="SAPBEXaggDataEmph 6" xfId="1977" xr:uid="{4345C484-34E2-46DA-A5E8-C6D9777E1CD2}"/>
    <cellStyle name="SAPBEXaggItem" xfId="582" xr:uid="{00000000-0005-0000-0000-000047020000}"/>
    <cellStyle name="SAPBEXaggItem 2" xfId="583" xr:uid="{00000000-0005-0000-0000-000048020000}"/>
    <cellStyle name="SAPBEXaggItem 2 2" xfId="584" xr:uid="{00000000-0005-0000-0000-000049020000}"/>
    <cellStyle name="SAPBEXaggItem 2 2 2" xfId="585" xr:uid="{00000000-0005-0000-0000-00004A020000}"/>
    <cellStyle name="SAPBEXaggItem 2 2 2 2" xfId="1929" xr:uid="{B7ADEB9A-7649-4F71-84D7-62BA24D929E6}"/>
    <cellStyle name="SAPBEXaggItem 2 2 2 3" xfId="1994" xr:uid="{FEA2C8D6-6F90-411B-BCDD-72B6B2F1D0F8}"/>
    <cellStyle name="SAPBEXaggItem 2 2 3" xfId="586" xr:uid="{00000000-0005-0000-0000-00004B020000}"/>
    <cellStyle name="SAPBEXaggItem 2 2 3 2" xfId="1928" xr:uid="{3ECFE25C-1C52-43A5-B1A7-94B34ECF817F}"/>
    <cellStyle name="SAPBEXaggItem 2 2 3 3" xfId="1995" xr:uid="{F11DE5A2-DAA3-4E30-B5DC-274153B071E3}"/>
    <cellStyle name="SAPBEXaggItem 2 2 4" xfId="587" xr:uid="{00000000-0005-0000-0000-00004C020000}"/>
    <cellStyle name="SAPBEXaggItem 2 2 4 2" xfId="1927" xr:uid="{9483A6C1-109D-45E8-929C-02ED70D9415C}"/>
    <cellStyle name="SAPBEXaggItem 2 2 4 3" xfId="1996" xr:uid="{CE2C8CA5-5FA0-4237-9449-3C9FFCEA8990}"/>
    <cellStyle name="SAPBEXaggItem 2 2 5" xfId="588" xr:uid="{00000000-0005-0000-0000-00004D020000}"/>
    <cellStyle name="SAPBEXaggItem 2 2 5 2" xfId="1926" xr:uid="{8CC02BEE-4761-4CD3-978C-5CDBF22855E6}"/>
    <cellStyle name="SAPBEXaggItem 2 2 5 3" xfId="1997" xr:uid="{EFA976AA-8592-4183-8D80-E0D161A4DCCB}"/>
    <cellStyle name="SAPBEXaggItem 2 2 6" xfId="1930" xr:uid="{AB628D40-9EA9-42A7-9D9C-89D7CF471BB7}"/>
    <cellStyle name="SAPBEXaggItem 2 2 7" xfId="1993" xr:uid="{A730299B-CD45-4330-BA80-950702232FE1}"/>
    <cellStyle name="SAPBEXaggItem 2 3" xfId="589" xr:uid="{00000000-0005-0000-0000-00004E020000}"/>
    <cellStyle name="SAPBEXaggItem 2 3 2" xfId="1925" xr:uid="{A5857208-2694-4B7B-B442-0B99E1F877BC}"/>
    <cellStyle name="SAPBEXaggItem 2 3 3" xfId="1998" xr:uid="{C3E2F9A6-A8CB-4363-B6EB-7DF32A4C186A}"/>
    <cellStyle name="SAPBEXaggItem 2 4" xfId="1931" xr:uid="{AC21833B-3DF2-4026-8DE5-9F6518B60C5B}"/>
    <cellStyle name="SAPBEXaggItem 2 5" xfId="1992" xr:uid="{0357AD91-9A03-40AC-8F16-9FC71D86D2E5}"/>
    <cellStyle name="SAPBEXaggItem 3" xfId="590" xr:uid="{00000000-0005-0000-0000-00004F020000}"/>
    <cellStyle name="SAPBEXaggItem 3 2" xfId="591" xr:uid="{00000000-0005-0000-0000-000050020000}"/>
    <cellStyle name="SAPBEXaggItem 3 2 2" xfId="1923" xr:uid="{75A64163-9EE7-4355-81E8-2A4B59966A10}"/>
    <cellStyle name="SAPBEXaggItem 3 2 3" xfId="2000" xr:uid="{8AEED3E6-00EC-49FB-8077-B611D46C2ACB}"/>
    <cellStyle name="SAPBEXaggItem 3 3" xfId="592" xr:uid="{00000000-0005-0000-0000-000051020000}"/>
    <cellStyle name="SAPBEXaggItem 3 3 2" xfId="1922" xr:uid="{F35F7AC7-8FA4-4CBE-9B63-28B3AC6EF17B}"/>
    <cellStyle name="SAPBEXaggItem 3 3 3" xfId="2001" xr:uid="{4ADF4E70-196D-461D-823A-6190760CE31C}"/>
    <cellStyle name="SAPBEXaggItem 3 4" xfId="593" xr:uid="{00000000-0005-0000-0000-000052020000}"/>
    <cellStyle name="SAPBEXaggItem 3 4 2" xfId="1921" xr:uid="{B3A05823-D320-4250-B5FE-E549474FF510}"/>
    <cellStyle name="SAPBEXaggItem 3 4 3" xfId="2002" xr:uid="{4845FE8F-1603-4605-A8A3-F8F9BF665B15}"/>
    <cellStyle name="SAPBEXaggItem 3 5" xfId="594" xr:uid="{00000000-0005-0000-0000-000053020000}"/>
    <cellStyle name="SAPBEXaggItem 3 5 2" xfId="1920" xr:uid="{840539B2-3342-4CAC-B799-1A74784F6A84}"/>
    <cellStyle name="SAPBEXaggItem 3 5 3" xfId="2003" xr:uid="{1BC6F284-6C24-4DF1-AE70-F0F41826C9B2}"/>
    <cellStyle name="SAPBEXaggItem 3 6" xfId="1924" xr:uid="{8779EECB-9288-4A14-8090-947255D672B0}"/>
    <cellStyle name="SAPBEXaggItem 3 7" xfId="1999" xr:uid="{B546CE1B-5878-49D7-A19B-CDD725F18575}"/>
    <cellStyle name="SAPBEXaggItem 4" xfId="595" xr:uid="{00000000-0005-0000-0000-000054020000}"/>
    <cellStyle name="SAPBEXaggItem 4 2" xfId="1919" xr:uid="{BDEB5073-4C43-4164-B29C-FC10D40EBF5E}"/>
    <cellStyle name="SAPBEXaggItem 4 3" xfId="2004" xr:uid="{90887F64-1921-4780-9B71-9290FE5B1537}"/>
    <cellStyle name="SAPBEXaggItem 5" xfId="1932" xr:uid="{C4E41C3F-1726-4B22-B54B-3033846C7AA9}"/>
    <cellStyle name="SAPBEXaggItem 6" xfId="1991" xr:uid="{12218D83-5FCA-49E9-AB65-BA8446FC2AA3}"/>
    <cellStyle name="SAPBEXaggItemX" xfId="596" xr:uid="{00000000-0005-0000-0000-000055020000}"/>
    <cellStyle name="SAPBEXaggItemX 2" xfId="597" xr:uid="{00000000-0005-0000-0000-000056020000}"/>
    <cellStyle name="SAPBEXaggItemX 2 2" xfId="598" xr:uid="{00000000-0005-0000-0000-000057020000}"/>
    <cellStyle name="SAPBEXaggItemX 2 2 2" xfId="599" xr:uid="{00000000-0005-0000-0000-000058020000}"/>
    <cellStyle name="SAPBEXaggItemX 2 2 2 2" xfId="1915" xr:uid="{3B23DB06-15B1-409D-872E-751C009B9573}"/>
    <cellStyle name="SAPBEXaggItemX 2 2 2 3" xfId="2008" xr:uid="{7CEB116A-BA65-4038-9E6A-1015AE3D91F5}"/>
    <cellStyle name="SAPBEXaggItemX 2 2 3" xfId="600" xr:uid="{00000000-0005-0000-0000-000059020000}"/>
    <cellStyle name="SAPBEXaggItemX 2 2 3 2" xfId="1914" xr:uid="{1B4BB0E4-2ED9-4FF9-BC43-8002652E4037}"/>
    <cellStyle name="SAPBEXaggItemX 2 2 3 3" xfId="2009" xr:uid="{6FDE2C74-7576-4B73-ABFA-967BC88619D0}"/>
    <cellStyle name="SAPBEXaggItemX 2 2 4" xfId="601" xr:uid="{00000000-0005-0000-0000-00005A020000}"/>
    <cellStyle name="SAPBEXaggItemX 2 2 4 2" xfId="1913" xr:uid="{DCFCD424-985B-4C1B-A625-224898D67F70}"/>
    <cellStyle name="SAPBEXaggItemX 2 2 4 3" xfId="2010" xr:uid="{15FB39D9-1459-488B-A5B0-F2CBDE76C974}"/>
    <cellStyle name="SAPBEXaggItemX 2 2 5" xfId="602" xr:uid="{00000000-0005-0000-0000-00005B020000}"/>
    <cellStyle name="SAPBEXaggItemX 2 2 5 2" xfId="1912" xr:uid="{489B1A02-4025-4C2E-BFE7-0784873371BF}"/>
    <cellStyle name="SAPBEXaggItemX 2 2 5 3" xfId="2011" xr:uid="{8C14B1B7-D7FA-41B7-B57E-60455A0CFCA8}"/>
    <cellStyle name="SAPBEXaggItemX 2 2 6" xfId="1916" xr:uid="{79BBAC75-F8CD-41AE-A2F8-B73E70DF4D47}"/>
    <cellStyle name="SAPBEXaggItemX 2 2 7" xfId="2007" xr:uid="{C8A595C0-500B-4B2B-9188-57A335F0BCFB}"/>
    <cellStyle name="SAPBEXaggItemX 2 3" xfId="603" xr:uid="{00000000-0005-0000-0000-00005C020000}"/>
    <cellStyle name="SAPBEXaggItemX 2 3 2" xfId="1911" xr:uid="{EEAA09CC-B593-44C2-B15C-2DC03B2286F4}"/>
    <cellStyle name="SAPBEXaggItemX 2 3 3" xfId="2012" xr:uid="{2FA87C1B-8973-4E87-A212-CFF51774F1A4}"/>
    <cellStyle name="SAPBEXaggItemX 2 4" xfId="1917" xr:uid="{87361F03-8633-4131-B726-4DFA944F6526}"/>
    <cellStyle name="SAPBEXaggItemX 2 5" xfId="2006" xr:uid="{6628F6B5-E476-427A-9A25-72D8EA9C06E4}"/>
    <cellStyle name="SAPBEXaggItemX 3" xfId="604" xr:uid="{00000000-0005-0000-0000-00005D020000}"/>
    <cellStyle name="SAPBEXaggItemX 3 2" xfId="605" xr:uid="{00000000-0005-0000-0000-00005E020000}"/>
    <cellStyle name="SAPBEXaggItemX 3 2 2" xfId="1909" xr:uid="{EB395891-B1AE-4FB5-99C0-6939024A286D}"/>
    <cellStyle name="SAPBEXaggItemX 3 2 3" xfId="2014" xr:uid="{A143A040-B76D-4C1B-9B57-08B8E5609D51}"/>
    <cellStyle name="SAPBEXaggItemX 3 3" xfId="606" xr:uid="{00000000-0005-0000-0000-00005F020000}"/>
    <cellStyle name="SAPBEXaggItemX 3 3 2" xfId="1908" xr:uid="{AED63DCC-2B16-4289-A23B-9679FD04BC5C}"/>
    <cellStyle name="SAPBEXaggItemX 3 3 3" xfId="2015" xr:uid="{2BCD06C5-DA53-4064-AE81-D548CC421FDA}"/>
    <cellStyle name="SAPBEXaggItemX 3 4" xfId="607" xr:uid="{00000000-0005-0000-0000-000060020000}"/>
    <cellStyle name="SAPBEXaggItemX 3 4 2" xfId="1907" xr:uid="{3CFE3773-CF33-4BBD-AA1F-AF0D9531158D}"/>
    <cellStyle name="SAPBEXaggItemX 3 4 3" xfId="2016" xr:uid="{03BA87AF-F0FF-43A3-A426-992C10769F6F}"/>
    <cellStyle name="SAPBEXaggItemX 3 5" xfId="608" xr:uid="{00000000-0005-0000-0000-000061020000}"/>
    <cellStyle name="SAPBEXaggItemX 3 5 2" xfId="1906" xr:uid="{51954FCA-98C4-4899-AD02-4FA071ABCBEA}"/>
    <cellStyle name="SAPBEXaggItemX 3 5 3" xfId="2017" xr:uid="{6E5477B7-9723-410C-A2C5-6F854BD6BF4A}"/>
    <cellStyle name="SAPBEXaggItemX 3 6" xfId="1910" xr:uid="{73195EFC-F0BD-4ABE-B3DB-A8F3F17E66EE}"/>
    <cellStyle name="SAPBEXaggItemX 3 7" xfId="2013" xr:uid="{A884C759-083E-4742-9F0D-18A5E148BB6C}"/>
    <cellStyle name="SAPBEXaggItemX 4" xfId="609" xr:uid="{00000000-0005-0000-0000-000062020000}"/>
    <cellStyle name="SAPBEXaggItemX 4 2" xfId="1905" xr:uid="{AFDB23FB-FD8C-4B3F-958E-369765E28211}"/>
    <cellStyle name="SAPBEXaggItemX 4 3" xfId="2018" xr:uid="{6748D8D6-B6D5-4500-96D1-7EA1168E63BE}"/>
    <cellStyle name="SAPBEXaggItemX 5" xfId="1918" xr:uid="{E26E1DA1-FF21-42C0-BAEA-25AED2FDDD26}"/>
    <cellStyle name="SAPBEXaggItemX 6" xfId="2005" xr:uid="{31AA6927-8745-4851-BCC5-85D8346B091F}"/>
    <cellStyle name="SAPBEXchaText" xfId="610" xr:uid="{00000000-0005-0000-0000-000063020000}"/>
    <cellStyle name="SAPBEXexcBad7" xfId="611" xr:uid="{00000000-0005-0000-0000-000064020000}"/>
    <cellStyle name="SAPBEXexcBad7 2" xfId="612" xr:uid="{00000000-0005-0000-0000-000065020000}"/>
    <cellStyle name="SAPBEXexcBad7 2 2" xfId="613" xr:uid="{00000000-0005-0000-0000-000066020000}"/>
    <cellStyle name="SAPBEXexcBad7 2 2 2" xfId="614" xr:uid="{00000000-0005-0000-0000-000067020000}"/>
    <cellStyle name="SAPBEXexcBad7 2 2 2 2" xfId="1901" xr:uid="{D6907086-EF08-4DC6-ACE9-31EED5F13CA4}"/>
    <cellStyle name="SAPBEXexcBad7 2 2 2 3" xfId="2022" xr:uid="{F25AED43-C8D8-4EF5-BB79-1A9EC1F8D0BF}"/>
    <cellStyle name="SAPBEXexcBad7 2 2 3" xfId="615" xr:uid="{00000000-0005-0000-0000-000068020000}"/>
    <cellStyle name="SAPBEXexcBad7 2 2 3 2" xfId="1900" xr:uid="{9CEA8EBC-E8BB-4E23-81BD-945503EC1646}"/>
    <cellStyle name="SAPBEXexcBad7 2 2 3 3" xfId="2023" xr:uid="{0DD95168-891D-4FF9-A490-0D42CA5CCD04}"/>
    <cellStyle name="SAPBEXexcBad7 2 2 4" xfId="616" xr:uid="{00000000-0005-0000-0000-000069020000}"/>
    <cellStyle name="SAPBEXexcBad7 2 2 4 2" xfId="1899" xr:uid="{7E652119-5D8B-462F-AC14-5372F3C259E9}"/>
    <cellStyle name="SAPBEXexcBad7 2 2 4 3" xfId="2024" xr:uid="{A3A40B05-F69A-4EC0-8526-FDB2E7A2F2DB}"/>
    <cellStyle name="SAPBEXexcBad7 2 2 5" xfId="617" xr:uid="{00000000-0005-0000-0000-00006A020000}"/>
    <cellStyle name="SAPBEXexcBad7 2 2 5 2" xfId="1898" xr:uid="{6C678ABA-A8FF-485B-B56A-F308D99CC62A}"/>
    <cellStyle name="SAPBEXexcBad7 2 2 5 3" xfId="2025" xr:uid="{B32754F5-4CFA-473E-86D6-8B35A2B2C8DD}"/>
    <cellStyle name="SAPBEXexcBad7 2 2 6" xfId="1902" xr:uid="{DA7FA0DB-3BB9-4D9F-BC08-ACCC012CA2BB}"/>
    <cellStyle name="SAPBEXexcBad7 2 2 7" xfId="2021" xr:uid="{7F761E66-CFC5-4B6D-A099-199D1743AE95}"/>
    <cellStyle name="SAPBEXexcBad7 2 3" xfId="618" xr:uid="{00000000-0005-0000-0000-00006B020000}"/>
    <cellStyle name="SAPBEXexcBad7 2 3 2" xfId="1897" xr:uid="{F62B95D6-321A-4A02-9EE9-ED3DF3061DFA}"/>
    <cellStyle name="SAPBEXexcBad7 2 3 3" xfId="2026" xr:uid="{B56E30E7-CB63-4791-A5AF-6816BDC04621}"/>
    <cellStyle name="SAPBEXexcBad7 2 4" xfId="1903" xr:uid="{418ED69E-4766-497B-AF24-51E7A8D21E21}"/>
    <cellStyle name="SAPBEXexcBad7 2 5" xfId="2020" xr:uid="{CB1FA318-A65A-467E-9AB4-58DBBAC4341C}"/>
    <cellStyle name="SAPBEXexcBad7 3" xfId="619" xr:uid="{00000000-0005-0000-0000-00006C020000}"/>
    <cellStyle name="SAPBEXexcBad7 3 2" xfId="620" xr:uid="{00000000-0005-0000-0000-00006D020000}"/>
    <cellStyle name="SAPBEXexcBad7 3 2 2" xfId="1895" xr:uid="{A282A46B-23C5-4C72-863C-B7A124BA1FAD}"/>
    <cellStyle name="SAPBEXexcBad7 3 2 3" xfId="2028" xr:uid="{A5DE6A6F-5CB4-4E4E-8213-D3D98F8B32E8}"/>
    <cellStyle name="SAPBEXexcBad7 3 3" xfId="621" xr:uid="{00000000-0005-0000-0000-00006E020000}"/>
    <cellStyle name="SAPBEXexcBad7 3 3 2" xfId="1894" xr:uid="{34139CEC-776E-4AF7-8965-6585D3F61D7B}"/>
    <cellStyle name="SAPBEXexcBad7 3 3 3" xfId="2029" xr:uid="{723548F4-C73C-4A76-9111-EC999DEE7941}"/>
    <cellStyle name="SAPBEXexcBad7 3 4" xfId="622" xr:uid="{00000000-0005-0000-0000-00006F020000}"/>
    <cellStyle name="SAPBEXexcBad7 3 4 2" xfId="1893" xr:uid="{F921D36E-5EF5-41AB-A3BD-ACE69EEE5376}"/>
    <cellStyle name="SAPBEXexcBad7 3 4 3" xfId="2030" xr:uid="{32E2E975-C41B-4776-B899-348C07925630}"/>
    <cellStyle name="SAPBEXexcBad7 3 5" xfId="623" xr:uid="{00000000-0005-0000-0000-000070020000}"/>
    <cellStyle name="SAPBEXexcBad7 3 5 2" xfId="1892" xr:uid="{8E1217AE-7628-4F4B-BA86-208BB32D55DA}"/>
    <cellStyle name="SAPBEXexcBad7 3 5 3" xfId="2031" xr:uid="{16BF2634-E610-477F-A8B9-233FC1397740}"/>
    <cellStyle name="SAPBEXexcBad7 3 6" xfId="1896" xr:uid="{46A45691-2BBB-4307-A75D-14F55E90999E}"/>
    <cellStyle name="SAPBEXexcBad7 3 7" xfId="2027" xr:uid="{9DBBD2CF-21D7-4889-964B-0FB66F7BCFE4}"/>
    <cellStyle name="SAPBEXexcBad7 4" xfId="624" xr:uid="{00000000-0005-0000-0000-000071020000}"/>
    <cellStyle name="SAPBEXexcBad7 4 2" xfId="1891" xr:uid="{720EE96F-EDE8-4D7F-8D70-30DA30E61DB1}"/>
    <cellStyle name="SAPBEXexcBad7 4 3" xfId="2032" xr:uid="{0B9B6D1D-4704-49A3-9319-5B34A7C24087}"/>
    <cellStyle name="SAPBEXexcBad7 5" xfId="1904" xr:uid="{500C96B1-4059-4C9A-9336-CCA1B0FDA538}"/>
    <cellStyle name="SAPBEXexcBad7 6" xfId="2019" xr:uid="{12A5994A-C2BC-4156-8D7A-D04218B71218}"/>
    <cellStyle name="SAPBEXexcBad8" xfId="625" xr:uid="{00000000-0005-0000-0000-000072020000}"/>
    <cellStyle name="SAPBEXexcBad8 2" xfId="626" xr:uid="{00000000-0005-0000-0000-000073020000}"/>
    <cellStyle name="SAPBEXexcBad8 2 2" xfId="627" xr:uid="{00000000-0005-0000-0000-000074020000}"/>
    <cellStyle name="SAPBEXexcBad8 2 2 2" xfId="628" xr:uid="{00000000-0005-0000-0000-000075020000}"/>
    <cellStyle name="SAPBEXexcBad8 2 2 2 2" xfId="1887" xr:uid="{0D85EC8D-56E2-4C22-AAF4-C884491FFA0B}"/>
    <cellStyle name="SAPBEXexcBad8 2 2 2 3" xfId="2036" xr:uid="{75F3F203-BD0F-4FF3-A8E2-E8789E5243D6}"/>
    <cellStyle name="SAPBEXexcBad8 2 2 3" xfId="629" xr:uid="{00000000-0005-0000-0000-000076020000}"/>
    <cellStyle name="SAPBEXexcBad8 2 2 3 2" xfId="1886" xr:uid="{8AC3BD4B-9E34-4961-8D5E-B20CD2E6216F}"/>
    <cellStyle name="SAPBEXexcBad8 2 2 3 3" xfId="2037" xr:uid="{399A9E11-E44B-467A-A72C-2B5C96D36354}"/>
    <cellStyle name="SAPBEXexcBad8 2 2 4" xfId="630" xr:uid="{00000000-0005-0000-0000-000077020000}"/>
    <cellStyle name="SAPBEXexcBad8 2 2 4 2" xfId="1885" xr:uid="{27461CE4-0F8C-46D8-ADB7-CC982C4A2D81}"/>
    <cellStyle name="SAPBEXexcBad8 2 2 4 3" xfId="2038" xr:uid="{46E75D25-4345-4CBC-BD13-37AF6E6FBE8B}"/>
    <cellStyle name="SAPBEXexcBad8 2 2 5" xfId="631" xr:uid="{00000000-0005-0000-0000-000078020000}"/>
    <cellStyle name="SAPBEXexcBad8 2 2 5 2" xfId="1884" xr:uid="{47C98A9B-3737-4DFE-B92B-52FB6B8112E0}"/>
    <cellStyle name="SAPBEXexcBad8 2 2 5 3" xfId="2039" xr:uid="{F0F84EEE-B100-4C6F-8F02-F5441B50E29C}"/>
    <cellStyle name="SAPBEXexcBad8 2 2 6" xfId="1888" xr:uid="{9D18E16F-17C4-4F63-B91C-2A2479337292}"/>
    <cellStyle name="SAPBEXexcBad8 2 2 7" xfId="2035" xr:uid="{DFFDD4A3-5386-4EE3-AD5A-45964C676A18}"/>
    <cellStyle name="SAPBEXexcBad8 2 3" xfId="632" xr:uid="{00000000-0005-0000-0000-000079020000}"/>
    <cellStyle name="SAPBEXexcBad8 2 3 2" xfId="1883" xr:uid="{6E35AEDE-950D-4C71-B783-A3BEA2AFB36F}"/>
    <cellStyle name="SAPBEXexcBad8 2 3 3" xfId="2040" xr:uid="{DF4D62B6-136B-4290-9FAA-F99FDEBC2098}"/>
    <cellStyle name="SAPBEXexcBad8 2 4" xfId="1889" xr:uid="{28A88079-0EA6-4FE7-975B-9D824555A1CB}"/>
    <cellStyle name="SAPBEXexcBad8 2 5" xfId="2034" xr:uid="{CC9B1604-7F34-48D9-8D7A-766C53C72116}"/>
    <cellStyle name="SAPBEXexcBad8 3" xfId="633" xr:uid="{00000000-0005-0000-0000-00007A020000}"/>
    <cellStyle name="SAPBEXexcBad8 3 2" xfId="634" xr:uid="{00000000-0005-0000-0000-00007B020000}"/>
    <cellStyle name="SAPBEXexcBad8 3 2 2" xfId="1881" xr:uid="{8D0D897C-9571-4A2E-84ED-29D24327FFDC}"/>
    <cellStyle name="SAPBEXexcBad8 3 2 3" xfId="2042" xr:uid="{1D886BD4-1977-4E27-8110-54FE7963E15B}"/>
    <cellStyle name="SAPBEXexcBad8 3 3" xfId="635" xr:uid="{00000000-0005-0000-0000-00007C020000}"/>
    <cellStyle name="SAPBEXexcBad8 3 3 2" xfId="1880" xr:uid="{DD6A2795-7181-4E16-A953-C136E059F993}"/>
    <cellStyle name="SAPBEXexcBad8 3 3 3" xfId="2043" xr:uid="{5A969306-2900-4123-8171-F02812099E22}"/>
    <cellStyle name="SAPBEXexcBad8 3 4" xfId="636" xr:uid="{00000000-0005-0000-0000-00007D020000}"/>
    <cellStyle name="SAPBEXexcBad8 3 4 2" xfId="1879" xr:uid="{935A1CF0-3331-4174-A5F2-F9D61C36AA54}"/>
    <cellStyle name="SAPBEXexcBad8 3 4 3" xfId="2397" xr:uid="{C01EFB34-C3CD-4C51-8045-04C4040453BA}"/>
    <cellStyle name="SAPBEXexcBad8 3 5" xfId="637" xr:uid="{00000000-0005-0000-0000-00007E020000}"/>
    <cellStyle name="SAPBEXexcBad8 3 5 2" xfId="1878" xr:uid="{8E1D695C-4ED8-4C8D-906A-C9479A10649C}"/>
    <cellStyle name="SAPBEXexcBad8 3 5 3" xfId="2044" xr:uid="{04CFB598-1106-4517-939A-D99765DAADDF}"/>
    <cellStyle name="SAPBEXexcBad8 3 6" xfId="1882" xr:uid="{69FEB13C-9C10-4880-8810-1BBEC70B3222}"/>
    <cellStyle name="SAPBEXexcBad8 3 7" xfId="2041" xr:uid="{2C18B292-D83D-4134-A9F9-7BA665F3FED9}"/>
    <cellStyle name="SAPBEXexcBad8 4" xfId="638" xr:uid="{00000000-0005-0000-0000-00007F020000}"/>
    <cellStyle name="SAPBEXexcBad8 4 2" xfId="1877" xr:uid="{DF2317EA-CA5D-49E4-AC98-072CEBD237DB}"/>
    <cellStyle name="SAPBEXexcBad8 4 3" xfId="2045" xr:uid="{0BFE2926-4462-492D-B719-30FC656C9039}"/>
    <cellStyle name="SAPBEXexcBad8 5" xfId="1890" xr:uid="{06D917C5-4127-4383-BA24-F78CE52DA617}"/>
    <cellStyle name="SAPBEXexcBad8 6" xfId="2033" xr:uid="{BA9C3A50-D130-4191-A9B9-3214326DEAF0}"/>
    <cellStyle name="SAPBEXexcBad9" xfId="639" xr:uid="{00000000-0005-0000-0000-000080020000}"/>
    <cellStyle name="SAPBEXexcBad9 2" xfId="640" xr:uid="{00000000-0005-0000-0000-000081020000}"/>
    <cellStyle name="SAPBEXexcBad9 2 2" xfId="641" xr:uid="{00000000-0005-0000-0000-000082020000}"/>
    <cellStyle name="SAPBEXexcBad9 2 2 2" xfId="642" xr:uid="{00000000-0005-0000-0000-000083020000}"/>
    <cellStyle name="SAPBEXexcBad9 2 2 2 2" xfId="1873" xr:uid="{8DA120B7-1868-4E94-A9B8-856238C33CFC}"/>
    <cellStyle name="SAPBEXexcBad9 2 2 2 3" xfId="2049" xr:uid="{EEB1EE0A-5F21-43CB-8BB6-0807B53A976A}"/>
    <cellStyle name="SAPBEXexcBad9 2 2 3" xfId="643" xr:uid="{00000000-0005-0000-0000-000084020000}"/>
    <cellStyle name="SAPBEXexcBad9 2 2 3 2" xfId="1872" xr:uid="{73CC8C5B-5F88-46B6-BE73-7C795EDF5446}"/>
    <cellStyle name="SAPBEXexcBad9 2 2 3 3" xfId="2050" xr:uid="{FC7F2B9E-9F3C-40D1-83EB-248E93C2B8A5}"/>
    <cellStyle name="SAPBEXexcBad9 2 2 4" xfId="644" xr:uid="{00000000-0005-0000-0000-000085020000}"/>
    <cellStyle name="SAPBEXexcBad9 2 2 4 2" xfId="1871" xr:uid="{5BFEC468-78DC-4B84-B7BD-119F2BB25B06}"/>
    <cellStyle name="SAPBEXexcBad9 2 2 4 3" xfId="2051" xr:uid="{E6D09FB6-B501-403C-958E-D6F290FE4FAE}"/>
    <cellStyle name="SAPBEXexcBad9 2 2 5" xfId="645" xr:uid="{00000000-0005-0000-0000-000086020000}"/>
    <cellStyle name="SAPBEXexcBad9 2 2 5 2" xfId="1870" xr:uid="{E10AF915-671A-4072-ABAB-0EBA1B200D46}"/>
    <cellStyle name="SAPBEXexcBad9 2 2 5 3" xfId="2052" xr:uid="{F2A65E3E-5BEF-4858-8C01-AB0B65996F71}"/>
    <cellStyle name="SAPBEXexcBad9 2 2 6" xfId="1874" xr:uid="{FAD16CAC-A40D-4DCC-9B5B-EE0C7FDD17AB}"/>
    <cellStyle name="SAPBEXexcBad9 2 2 7" xfId="2048" xr:uid="{FC2E6B27-E4C0-4135-9F2C-BDD12CE669C8}"/>
    <cellStyle name="SAPBEXexcBad9 2 3" xfId="646" xr:uid="{00000000-0005-0000-0000-000087020000}"/>
    <cellStyle name="SAPBEXexcBad9 2 3 2" xfId="1869" xr:uid="{03E8F4E0-8BD7-4901-8B80-40A0B8D2D2B4}"/>
    <cellStyle name="SAPBEXexcBad9 2 3 3" xfId="2053" xr:uid="{334D5ADD-CA09-4DAF-BF97-7E7CA1AC2CFB}"/>
    <cellStyle name="SAPBEXexcBad9 2 4" xfId="1875" xr:uid="{46484734-0896-43BE-9DB8-7D426A0D59B7}"/>
    <cellStyle name="SAPBEXexcBad9 2 5" xfId="2047" xr:uid="{C98426B2-AFD4-4F51-A3E3-3D0DD4C546CD}"/>
    <cellStyle name="SAPBEXexcBad9 3" xfId="647" xr:uid="{00000000-0005-0000-0000-000088020000}"/>
    <cellStyle name="SAPBEXexcBad9 3 2" xfId="648" xr:uid="{00000000-0005-0000-0000-000089020000}"/>
    <cellStyle name="SAPBEXexcBad9 3 2 2" xfId="1867" xr:uid="{90BD5304-9A7A-4CF2-B7A7-64D056E39A20}"/>
    <cellStyle name="SAPBEXexcBad9 3 2 3" xfId="2055" xr:uid="{9B78388C-BC61-44C5-8AE1-9AC43BA676EF}"/>
    <cellStyle name="SAPBEXexcBad9 3 3" xfId="649" xr:uid="{00000000-0005-0000-0000-00008A020000}"/>
    <cellStyle name="SAPBEXexcBad9 3 3 2" xfId="1866" xr:uid="{313D3A8B-2198-41E8-92A5-C4C3C65F9EEE}"/>
    <cellStyle name="SAPBEXexcBad9 3 3 3" xfId="2056" xr:uid="{0E2F8FCD-97AD-4B56-98B1-152C186CB996}"/>
    <cellStyle name="SAPBEXexcBad9 3 4" xfId="650" xr:uid="{00000000-0005-0000-0000-00008B020000}"/>
    <cellStyle name="SAPBEXexcBad9 3 4 2" xfId="1858" xr:uid="{2FE47751-68FE-4031-965F-178FD74CE5F8}"/>
    <cellStyle name="SAPBEXexcBad9 3 4 3" xfId="2057" xr:uid="{C9770906-D9BA-4467-BDBF-14E5E6368B22}"/>
    <cellStyle name="SAPBEXexcBad9 3 5" xfId="651" xr:uid="{00000000-0005-0000-0000-00008C020000}"/>
    <cellStyle name="SAPBEXexcBad9 3 5 2" xfId="1857" xr:uid="{68D8ADD4-25A9-425C-91F8-1BFD01CF4291}"/>
    <cellStyle name="SAPBEXexcBad9 3 5 3" xfId="2058" xr:uid="{B775D069-B33F-42B5-A876-2ADD4CA5B6A1}"/>
    <cellStyle name="SAPBEXexcBad9 3 6" xfId="1868" xr:uid="{4373F22F-AFDB-438A-8739-438F61C4891F}"/>
    <cellStyle name="SAPBEXexcBad9 3 7" xfId="2054" xr:uid="{DE76AD88-C1D0-40A6-A424-79BEC2E0F67A}"/>
    <cellStyle name="SAPBEXexcBad9 4" xfId="652" xr:uid="{00000000-0005-0000-0000-00008D020000}"/>
    <cellStyle name="SAPBEXexcBad9 4 2" xfId="1367" xr:uid="{0002109E-8587-4DD9-A624-6525456969E4}"/>
    <cellStyle name="SAPBEXexcBad9 4 3" xfId="2059" xr:uid="{DB416158-2BF9-485B-A9FB-1844428B9AC1}"/>
    <cellStyle name="SAPBEXexcBad9 5" xfId="1876" xr:uid="{2D946B90-F037-41F7-B7A5-1C0CCB578C25}"/>
    <cellStyle name="SAPBEXexcBad9 6" xfId="2046" xr:uid="{8CE7B02A-E3C1-43EC-BE97-99272F9AEFB2}"/>
    <cellStyle name="SAPBEXexcCritical4" xfId="653" xr:uid="{00000000-0005-0000-0000-00008E020000}"/>
    <cellStyle name="SAPBEXexcCritical4 2" xfId="654" xr:uid="{00000000-0005-0000-0000-00008F020000}"/>
    <cellStyle name="SAPBEXexcCritical4 2 2" xfId="655" xr:uid="{00000000-0005-0000-0000-000090020000}"/>
    <cellStyle name="SAPBEXexcCritical4 2 2 2" xfId="656" xr:uid="{00000000-0005-0000-0000-000091020000}"/>
    <cellStyle name="SAPBEXexcCritical4 2 2 2 2" xfId="1855" xr:uid="{82D9A212-B910-4470-BE2E-CEB5372D17D7}"/>
    <cellStyle name="SAPBEXexcCritical4 2 2 2 3" xfId="2063" xr:uid="{C4B7CCE0-A93A-43F6-92B1-32DA8B519EF4}"/>
    <cellStyle name="SAPBEXexcCritical4 2 2 3" xfId="657" xr:uid="{00000000-0005-0000-0000-000092020000}"/>
    <cellStyle name="SAPBEXexcCritical4 2 2 3 2" xfId="1854" xr:uid="{5146F274-DF7F-47D2-9171-A90088576C6B}"/>
    <cellStyle name="SAPBEXexcCritical4 2 2 3 3" xfId="2064" xr:uid="{EBF68044-AB36-41B6-B5E4-15AE95AE5A6F}"/>
    <cellStyle name="SAPBEXexcCritical4 2 2 4" xfId="658" xr:uid="{00000000-0005-0000-0000-000093020000}"/>
    <cellStyle name="SAPBEXexcCritical4 2 2 4 2" xfId="1853" xr:uid="{121F34BC-C688-4508-88C0-A38B12B647D1}"/>
    <cellStyle name="SAPBEXexcCritical4 2 2 4 3" xfId="2065" xr:uid="{F8AC52EA-5F5F-4082-97F0-CBDC27887DC5}"/>
    <cellStyle name="SAPBEXexcCritical4 2 2 5" xfId="659" xr:uid="{00000000-0005-0000-0000-000094020000}"/>
    <cellStyle name="SAPBEXexcCritical4 2 2 5 2" xfId="1852" xr:uid="{AF275019-D582-4DD7-A52B-3A1D09863414}"/>
    <cellStyle name="SAPBEXexcCritical4 2 2 5 3" xfId="2066" xr:uid="{BB16B7F0-08C7-4B77-9F20-3A5F496A61A3}"/>
    <cellStyle name="SAPBEXexcCritical4 2 2 6" xfId="1856" xr:uid="{770F646A-E524-40F4-805D-562EBB8FB9A0}"/>
    <cellStyle name="SAPBEXexcCritical4 2 2 7" xfId="2062" xr:uid="{02820695-380F-45D4-AAFA-C2A257724A5D}"/>
    <cellStyle name="SAPBEXexcCritical4 2 3" xfId="660" xr:uid="{00000000-0005-0000-0000-000095020000}"/>
    <cellStyle name="SAPBEXexcCritical4 2 3 2" xfId="1851" xr:uid="{FB3A4DBC-95E5-4755-88B0-4F9BED56D185}"/>
    <cellStyle name="SAPBEXexcCritical4 2 3 3" xfId="2067" xr:uid="{CB9954B3-BD24-417A-8879-5F6E83CEC657}"/>
    <cellStyle name="SAPBEXexcCritical4 2 4" xfId="1375" xr:uid="{37945BA6-C454-461D-96B5-055AE1C556A0}"/>
    <cellStyle name="SAPBEXexcCritical4 2 5" xfId="2061" xr:uid="{8B493F39-00C5-44C1-A373-C7ED14B6A78C}"/>
    <cellStyle name="SAPBEXexcCritical4 3" xfId="661" xr:uid="{00000000-0005-0000-0000-000096020000}"/>
    <cellStyle name="SAPBEXexcCritical4 3 2" xfId="662" xr:uid="{00000000-0005-0000-0000-000097020000}"/>
    <cellStyle name="SAPBEXexcCritical4 3 2 2" xfId="1850" xr:uid="{64514A09-F07C-4A05-B353-166F9F68FA0E}"/>
    <cellStyle name="SAPBEXexcCritical4 3 2 3" xfId="2069" xr:uid="{2993AC03-9190-434B-9CC8-11A6C59FF850}"/>
    <cellStyle name="SAPBEXexcCritical4 3 3" xfId="663" xr:uid="{00000000-0005-0000-0000-000098020000}"/>
    <cellStyle name="SAPBEXexcCritical4 3 3 2" xfId="1359" xr:uid="{1C01502F-5E59-49F8-882F-7A8ACE337168}"/>
    <cellStyle name="SAPBEXexcCritical4 3 3 3" xfId="2070" xr:uid="{F0D1100F-D212-4326-95D1-C5821EE644D4}"/>
    <cellStyle name="SAPBEXexcCritical4 3 4" xfId="664" xr:uid="{00000000-0005-0000-0000-000099020000}"/>
    <cellStyle name="SAPBEXexcCritical4 3 4 2" xfId="1849" xr:uid="{36C69080-1715-49C0-B912-0A49A1EA4A41}"/>
    <cellStyle name="SAPBEXexcCritical4 3 4 3" xfId="2071" xr:uid="{81A3F1F2-CFD3-44F3-B36E-A6335F9CC8BA}"/>
    <cellStyle name="SAPBEXexcCritical4 3 5" xfId="665" xr:uid="{00000000-0005-0000-0000-00009A020000}"/>
    <cellStyle name="SAPBEXexcCritical4 3 5 2" xfId="1371" xr:uid="{8C80BC9B-DC59-4973-9852-7442025E2909}"/>
    <cellStyle name="SAPBEXexcCritical4 3 5 3" xfId="2072" xr:uid="{C7B44AE4-A7A5-42BA-BA2C-BDF4E47566C1}"/>
    <cellStyle name="SAPBEXexcCritical4 3 6" xfId="1379" xr:uid="{0A6DB215-C073-44E3-8BE3-AA03F45BBE9C}"/>
    <cellStyle name="SAPBEXexcCritical4 3 7" xfId="2068" xr:uid="{EE2C93B2-D8DA-4A76-B00A-176DEF733F0A}"/>
    <cellStyle name="SAPBEXexcCritical4 4" xfId="666" xr:uid="{00000000-0005-0000-0000-00009B020000}"/>
    <cellStyle name="SAPBEXexcCritical4 4 2" xfId="1848" xr:uid="{A11F2892-596C-4CF8-8E6E-6E586275456D}"/>
    <cellStyle name="SAPBEXexcCritical4 4 3" xfId="2073" xr:uid="{1C07006E-C90E-4AE5-AD94-7969E58E9D56}"/>
    <cellStyle name="SAPBEXexcCritical4 5" xfId="1372" xr:uid="{FDEB38D8-6A72-40F1-944B-DDCFB30B01AC}"/>
    <cellStyle name="SAPBEXexcCritical4 6" xfId="2060" xr:uid="{C3AC3587-0FD4-47AE-8802-B6A869C768CA}"/>
    <cellStyle name="SAPBEXexcCritical5" xfId="667" xr:uid="{00000000-0005-0000-0000-00009C020000}"/>
    <cellStyle name="SAPBEXexcCritical5 2" xfId="668" xr:uid="{00000000-0005-0000-0000-00009D020000}"/>
    <cellStyle name="SAPBEXexcCritical5 2 2" xfId="669" xr:uid="{00000000-0005-0000-0000-00009E020000}"/>
    <cellStyle name="SAPBEXexcCritical5 2 2 2" xfId="670" xr:uid="{00000000-0005-0000-0000-00009F020000}"/>
    <cellStyle name="SAPBEXexcCritical5 2 2 2 2" xfId="1846" xr:uid="{2FACB54A-A3D8-4296-A27B-962C5E4F6C29}"/>
    <cellStyle name="SAPBEXexcCritical5 2 2 2 3" xfId="2077" xr:uid="{432E81FA-2D4B-4303-92D1-5B8999DB0621}"/>
    <cellStyle name="SAPBEXexcCritical5 2 2 3" xfId="671" xr:uid="{00000000-0005-0000-0000-0000A0020000}"/>
    <cellStyle name="SAPBEXexcCritical5 2 2 3 2" xfId="1845" xr:uid="{3DB9EC83-E399-4FEA-A165-9F9D7A060878}"/>
    <cellStyle name="SAPBEXexcCritical5 2 2 3 3" xfId="2078" xr:uid="{3E52C2FE-E4F2-4555-AF1B-51250B34BABE}"/>
    <cellStyle name="SAPBEXexcCritical5 2 2 4" xfId="672" xr:uid="{00000000-0005-0000-0000-0000A1020000}"/>
    <cellStyle name="SAPBEXexcCritical5 2 2 4 2" xfId="1844" xr:uid="{167F1FB2-9898-4205-A8DD-7D86147B418D}"/>
    <cellStyle name="SAPBEXexcCritical5 2 2 4 3" xfId="2079" xr:uid="{45E82678-076A-4280-99E6-60C302D1D31B}"/>
    <cellStyle name="SAPBEXexcCritical5 2 2 5" xfId="673" xr:uid="{00000000-0005-0000-0000-0000A2020000}"/>
    <cellStyle name="SAPBEXexcCritical5 2 2 5 2" xfId="1374" xr:uid="{F5C16AC3-4DB4-4D2D-B72B-BFC318162B02}"/>
    <cellStyle name="SAPBEXexcCritical5 2 2 5 3" xfId="2080" xr:uid="{145A9244-DFBE-427D-8AAB-53F5985153A9}"/>
    <cellStyle name="SAPBEXexcCritical5 2 2 6" xfId="1847" xr:uid="{CAC0CA0B-ADA1-426B-8EFA-1CF2D6D92860}"/>
    <cellStyle name="SAPBEXexcCritical5 2 2 7" xfId="2076" xr:uid="{FCB9D651-F053-4449-AB74-A02820F3569B}"/>
    <cellStyle name="SAPBEXexcCritical5 2 3" xfId="674" xr:uid="{00000000-0005-0000-0000-0000A3020000}"/>
    <cellStyle name="SAPBEXexcCritical5 2 3 2" xfId="1843" xr:uid="{D132C866-22F7-47ED-B734-9284D5991431}"/>
    <cellStyle name="SAPBEXexcCritical5 2 3 3" xfId="2081" xr:uid="{C96F2E6A-DF71-480A-891E-06B4E8A365B4}"/>
    <cellStyle name="SAPBEXexcCritical5 2 4" xfId="1329" xr:uid="{950F0792-8E95-44D1-AA0D-2C291EC4A53D}"/>
    <cellStyle name="SAPBEXexcCritical5 2 5" xfId="2075" xr:uid="{471F4E50-3964-4F88-973E-0B98E9E78E75}"/>
    <cellStyle name="SAPBEXexcCritical5 3" xfId="675" xr:uid="{00000000-0005-0000-0000-0000A4020000}"/>
    <cellStyle name="SAPBEXexcCritical5 3 2" xfId="676" xr:uid="{00000000-0005-0000-0000-0000A5020000}"/>
    <cellStyle name="SAPBEXexcCritical5 3 2 2" xfId="1841" xr:uid="{DBD445A1-F0E1-4537-BC80-2EE7AF8918E4}"/>
    <cellStyle name="SAPBEXexcCritical5 3 2 3" xfId="2083" xr:uid="{B09C3A4A-2E44-4EEB-A004-E6CD8DF8FE7B}"/>
    <cellStyle name="SAPBEXexcCritical5 3 3" xfId="677" xr:uid="{00000000-0005-0000-0000-0000A6020000}"/>
    <cellStyle name="SAPBEXexcCritical5 3 3 2" xfId="1840" xr:uid="{F2A8B872-CA80-47B7-9522-9E262788392C}"/>
    <cellStyle name="SAPBEXexcCritical5 3 3 3" xfId="2084" xr:uid="{DB3A198E-9FD4-4DA9-8399-94661039759F}"/>
    <cellStyle name="SAPBEXexcCritical5 3 4" xfId="678" xr:uid="{00000000-0005-0000-0000-0000A7020000}"/>
    <cellStyle name="SAPBEXexcCritical5 3 4 2" xfId="1839" xr:uid="{2EDE1C18-8C48-41DB-94BD-A92BEA7E44AE}"/>
    <cellStyle name="SAPBEXexcCritical5 3 4 3" xfId="2398" xr:uid="{34E66DA3-41F7-4736-B0F3-0B43A902F473}"/>
    <cellStyle name="SAPBEXexcCritical5 3 5" xfId="679" xr:uid="{00000000-0005-0000-0000-0000A8020000}"/>
    <cellStyle name="SAPBEXexcCritical5 3 5 2" xfId="1838" xr:uid="{F051A6D9-3995-419A-91E7-C900E7959A15}"/>
    <cellStyle name="SAPBEXexcCritical5 3 5 3" xfId="2085" xr:uid="{3F6D37C5-FD68-451B-A41F-8909CE190FEB}"/>
    <cellStyle name="SAPBEXexcCritical5 3 6" xfId="1842" xr:uid="{82CC8D2B-B22A-4A15-A1DF-E75EACFBA328}"/>
    <cellStyle name="SAPBEXexcCritical5 3 7" xfId="2082" xr:uid="{98590C91-6C68-4417-BF7C-D86B21BA4583}"/>
    <cellStyle name="SAPBEXexcCritical5 4" xfId="680" xr:uid="{00000000-0005-0000-0000-0000A9020000}"/>
    <cellStyle name="SAPBEXexcCritical5 4 2" xfId="1837" xr:uid="{5E0D00BF-BE3B-4D00-B20C-22700C1B5338}"/>
    <cellStyle name="SAPBEXexcCritical5 4 3" xfId="2086" xr:uid="{16F01F1D-6486-4A85-A422-0CBE49C7EFDA}"/>
    <cellStyle name="SAPBEXexcCritical5 5" xfId="1332" xr:uid="{2FD12CD2-5A58-4B60-816B-0EFFCA9E49CD}"/>
    <cellStyle name="SAPBEXexcCritical5 6" xfId="2074" xr:uid="{AC8D7CC6-B3BD-44FD-BFD9-498E4EDFCABE}"/>
    <cellStyle name="SAPBEXexcCritical6" xfId="681" xr:uid="{00000000-0005-0000-0000-0000AA020000}"/>
    <cellStyle name="SAPBEXexcCritical6 2" xfId="682" xr:uid="{00000000-0005-0000-0000-0000AB020000}"/>
    <cellStyle name="SAPBEXexcCritical6 2 2" xfId="683" xr:uid="{00000000-0005-0000-0000-0000AC020000}"/>
    <cellStyle name="SAPBEXexcCritical6 2 2 2" xfId="684" xr:uid="{00000000-0005-0000-0000-0000AD020000}"/>
    <cellStyle name="SAPBEXexcCritical6 2 2 2 2" xfId="1833" xr:uid="{108D34B2-2880-4682-B515-7377F6339D28}"/>
    <cellStyle name="SAPBEXexcCritical6 2 2 2 3" xfId="2090" xr:uid="{458F6589-AE37-4AB7-AF26-98BF187BBD18}"/>
    <cellStyle name="SAPBEXexcCritical6 2 2 3" xfId="685" xr:uid="{00000000-0005-0000-0000-0000AE020000}"/>
    <cellStyle name="SAPBEXexcCritical6 2 2 3 2" xfId="1832" xr:uid="{561E6786-0FFA-4F16-B0BF-B21CF640040E}"/>
    <cellStyle name="SAPBEXexcCritical6 2 2 3 3" xfId="2091" xr:uid="{81186619-4C70-402B-83A8-35B929D59A77}"/>
    <cellStyle name="SAPBEXexcCritical6 2 2 4" xfId="686" xr:uid="{00000000-0005-0000-0000-0000AF020000}"/>
    <cellStyle name="SAPBEXexcCritical6 2 2 4 2" xfId="1831" xr:uid="{DAA03221-4622-4949-AC8C-EB441DA2ACAB}"/>
    <cellStyle name="SAPBEXexcCritical6 2 2 4 3" xfId="2092" xr:uid="{5F6A14E4-CFA6-4C2A-9630-ECCF84586D5B}"/>
    <cellStyle name="SAPBEXexcCritical6 2 2 5" xfId="687" xr:uid="{00000000-0005-0000-0000-0000B0020000}"/>
    <cellStyle name="SAPBEXexcCritical6 2 2 5 2" xfId="1830" xr:uid="{42D78C25-D1AC-494F-BD0D-FC6CF0B8D6C0}"/>
    <cellStyle name="SAPBEXexcCritical6 2 2 5 3" xfId="2093" xr:uid="{D6CE759A-517B-48A9-B90C-0027A42535CD}"/>
    <cellStyle name="SAPBEXexcCritical6 2 2 6" xfId="1834" xr:uid="{F9F5C672-1CBA-4D06-8183-446369FFEB92}"/>
    <cellStyle name="SAPBEXexcCritical6 2 2 7" xfId="2089" xr:uid="{B3218C0D-E85B-4539-A938-0B3865BA76F0}"/>
    <cellStyle name="SAPBEXexcCritical6 2 3" xfId="688" xr:uid="{00000000-0005-0000-0000-0000B1020000}"/>
    <cellStyle name="SAPBEXexcCritical6 2 3 2" xfId="1386" xr:uid="{CC3392FE-B5A8-4432-BD2C-DA61CCAF8315}"/>
    <cellStyle name="SAPBEXexcCritical6 2 3 3" xfId="2094" xr:uid="{178B15DD-30DE-4CA0-834B-198C76FDE5C8}"/>
    <cellStyle name="SAPBEXexcCritical6 2 4" xfId="1835" xr:uid="{683DE57C-8543-4B1F-942A-F4A0804D3807}"/>
    <cellStyle name="SAPBEXexcCritical6 2 5" xfId="2088" xr:uid="{ED942612-D977-4CCB-8E24-AE68A1DC8A3C}"/>
    <cellStyle name="SAPBEXexcCritical6 3" xfId="689" xr:uid="{00000000-0005-0000-0000-0000B2020000}"/>
    <cellStyle name="SAPBEXexcCritical6 3 2" xfId="690" xr:uid="{00000000-0005-0000-0000-0000B3020000}"/>
    <cellStyle name="SAPBEXexcCritical6 3 2 2" xfId="1828" xr:uid="{2DA9FF25-2EF7-4DEE-9D95-7CA31A3491CA}"/>
    <cellStyle name="SAPBEXexcCritical6 3 2 3" xfId="2096" xr:uid="{D2B20BCE-1AE4-4BC1-BB11-726F4781244B}"/>
    <cellStyle name="SAPBEXexcCritical6 3 3" xfId="691" xr:uid="{00000000-0005-0000-0000-0000B4020000}"/>
    <cellStyle name="SAPBEXexcCritical6 3 3 2" xfId="1827" xr:uid="{8574F02F-2344-414E-AAFC-7EC07D479922}"/>
    <cellStyle name="SAPBEXexcCritical6 3 3 3" xfId="2097" xr:uid="{BFD939FA-D74E-465E-8165-3B64FD223ED0}"/>
    <cellStyle name="SAPBEXexcCritical6 3 4" xfId="692" xr:uid="{00000000-0005-0000-0000-0000B5020000}"/>
    <cellStyle name="SAPBEXexcCritical6 3 4 2" xfId="1826" xr:uid="{E7316C32-918C-4DDD-AAF8-B66812586AA6}"/>
    <cellStyle name="SAPBEXexcCritical6 3 4 3" xfId="2098" xr:uid="{AE2B0A69-0BB8-4B1D-B109-18800EB8F7EF}"/>
    <cellStyle name="SAPBEXexcCritical6 3 5" xfId="693" xr:uid="{00000000-0005-0000-0000-0000B6020000}"/>
    <cellStyle name="SAPBEXexcCritical6 3 5 2" xfId="1825" xr:uid="{432B41A2-46D9-4693-B05C-FF274CC529E9}"/>
    <cellStyle name="SAPBEXexcCritical6 3 5 3" xfId="2099" xr:uid="{7F914CAC-C0B1-4D16-A1A9-D3CED77D0D08}"/>
    <cellStyle name="SAPBEXexcCritical6 3 6" xfId="1829" xr:uid="{E7282298-1498-47D0-BF8F-F1A35A0B4C1D}"/>
    <cellStyle name="SAPBEXexcCritical6 3 7" xfId="2095" xr:uid="{ACB28EAE-4ECB-4BAE-910E-A2BD39160A95}"/>
    <cellStyle name="SAPBEXexcCritical6 4" xfId="694" xr:uid="{00000000-0005-0000-0000-0000B7020000}"/>
    <cellStyle name="SAPBEXexcCritical6 4 2" xfId="1824" xr:uid="{1D43F574-E65C-46F1-A93A-FBE5A06B055B}"/>
    <cellStyle name="SAPBEXexcCritical6 4 3" xfId="2100" xr:uid="{10165E77-7669-495F-8356-2132A286802F}"/>
    <cellStyle name="SAPBEXexcCritical6 5" xfId="1836" xr:uid="{D1DFEF3B-D3AC-4302-9CCA-1510E8483BEB}"/>
    <cellStyle name="SAPBEXexcCritical6 6" xfId="2087" xr:uid="{3489FAC1-74B1-42B6-9A7A-EF532C100834}"/>
    <cellStyle name="SAPBEXexcGood1" xfId="695" xr:uid="{00000000-0005-0000-0000-0000B8020000}"/>
    <cellStyle name="SAPBEXexcGood1 2" xfId="696" xr:uid="{00000000-0005-0000-0000-0000B9020000}"/>
    <cellStyle name="SAPBEXexcGood1 2 2" xfId="697" xr:uid="{00000000-0005-0000-0000-0000BA020000}"/>
    <cellStyle name="SAPBEXexcGood1 2 2 2" xfId="698" xr:uid="{00000000-0005-0000-0000-0000BB020000}"/>
    <cellStyle name="SAPBEXexcGood1 2 2 2 2" xfId="1820" xr:uid="{E7B15D45-E405-4C24-875B-6C9CD0B87839}"/>
    <cellStyle name="SAPBEXexcGood1 2 2 2 3" xfId="2104" xr:uid="{F4CA9CED-0B78-46FD-B033-5C9824DF8771}"/>
    <cellStyle name="SAPBEXexcGood1 2 2 3" xfId="699" xr:uid="{00000000-0005-0000-0000-0000BC020000}"/>
    <cellStyle name="SAPBEXexcGood1 2 2 3 2" xfId="1819" xr:uid="{DFA86D25-38C3-4B7B-A9BF-EA47E972358D}"/>
    <cellStyle name="SAPBEXexcGood1 2 2 3 3" xfId="2105" xr:uid="{17B07A55-629D-41F3-AABF-10C668F2AF6E}"/>
    <cellStyle name="SAPBEXexcGood1 2 2 4" xfId="700" xr:uid="{00000000-0005-0000-0000-0000BD020000}"/>
    <cellStyle name="SAPBEXexcGood1 2 2 4 2" xfId="1818" xr:uid="{E5913B14-D9AA-4656-8ECB-ED893479A6A3}"/>
    <cellStyle name="SAPBEXexcGood1 2 2 4 3" xfId="2106" xr:uid="{06081F8C-5DC2-4E1D-B713-496972EFC092}"/>
    <cellStyle name="SAPBEXexcGood1 2 2 5" xfId="701" xr:uid="{00000000-0005-0000-0000-0000BE020000}"/>
    <cellStyle name="SAPBEXexcGood1 2 2 5 2" xfId="1817" xr:uid="{3C0A12EF-B050-400B-AA84-D16BC7D88D23}"/>
    <cellStyle name="SAPBEXexcGood1 2 2 5 3" xfId="2107" xr:uid="{BF836FF8-B7EF-446D-BE31-709D0C429AA7}"/>
    <cellStyle name="SAPBEXexcGood1 2 2 6" xfId="1821" xr:uid="{F557E291-5469-4359-A6B6-C3607EABE1C9}"/>
    <cellStyle name="SAPBEXexcGood1 2 2 7" xfId="2103" xr:uid="{AC8F5B2A-1FFE-4A45-9799-FCBFEB4630A6}"/>
    <cellStyle name="SAPBEXexcGood1 2 3" xfId="702" xr:uid="{00000000-0005-0000-0000-0000BF020000}"/>
    <cellStyle name="SAPBEXexcGood1 2 3 2" xfId="1376" xr:uid="{67689220-09B3-4AC0-AE91-F5A65BC8CBA0}"/>
    <cellStyle name="SAPBEXexcGood1 2 3 3" xfId="2108" xr:uid="{A52626E1-07EA-4D7D-81BE-DC3AA7348EF8}"/>
    <cellStyle name="SAPBEXexcGood1 2 4" xfId="1822" xr:uid="{2A6B94F8-5F07-4955-9E65-A6F49AFC7E95}"/>
    <cellStyle name="SAPBEXexcGood1 2 5" xfId="2102" xr:uid="{D36B35F9-0245-4496-9F87-A778D8E2FCF1}"/>
    <cellStyle name="SAPBEXexcGood1 3" xfId="703" xr:uid="{00000000-0005-0000-0000-0000C0020000}"/>
    <cellStyle name="SAPBEXexcGood1 3 2" xfId="704" xr:uid="{00000000-0005-0000-0000-0000C1020000}"/>
    <cellStyle name="SAPBEXexcGood1 3 2 2" xfId="1815" xr:uid="{922C590A-803D-435C-A03E-94AC340614B7}"/>
    <cellStyle name="SAPBEXexcGood1 3 2 3" xfId="2110" xr:uid="{973386C8-FB51-4669-AEC8-0172B2E19722}"/>
    <cellStyle name="SAPBEXexcGood1 3 3" xfId="705" xr:uid="{00000000-0005-0000-0000-0000C2020000}"/>
    <cellStyle name="SAPBEXexcGood1 3 3 2" xfId="1814" xr:uid="{4FEB43D3-9115-45A6-B6AF-E25715243201}"/>
    <cellStyle name="SAPBEXexcGood1 3 3 3" xfId="2111" xr:uid="{8593A968-4D8A-4FB1-8821-F58F8D647633}"/>
    <cellStyle name="SAPBEXexcGood1 3 4" xfId="706" xr:uid="{00000000-0005-0000-0000-0000C3020000}"/>
    <cellStyle name="SAPBEXexcGood1 3 4 2" xfId="1813" xr:uid="{718A4B44-8953-40E6-8637-77A53B7CA462}"/>
    <cellStyle name="SAPBEXexcGood1 3 4 3" xfId="2112" xr:uid="{74D74C43-C9DD-4EA6-9413-32EF700C9D5B}"/>
    <cellStyle name="SAPBEXexcGood1 3 5" xfId="707" xr:uid="{00000000-0005-0000-0000-0000C4020000}"/>
    <cellStyle name="SAPBEXexcGood1 3 5 2" xfId="1341" xr:uid="{C2789F1F-DFA9-4FCB-A3FB-924AA5F4ED50}"/>
    <cellStyle name="SAPBEXexcGood1 3 5 3" xfId="2113" xr:uid="{32347621-9B31-483D-A5B6-2705C96207F5}"/>
    <cellStyle name="SAPBEXexcGood1 3 6" xfId="1816" xr:uid="{FAAD7DD0-FBBE-425B-994B-E06FFDBB022C}"/>
    <cellStyle name="SAPBEXexcGood1 3 7" xfId="2109" xr:uid="{5C0EE8DD-3E20-46D1-B195-96B41C6848D8}"/>
    <cellStyle name="SAPBEXexcGood1 4" xfId="708" xr:uid="{00000000-0005-0000-0000-0000C5020000}"/>
    <cellStyle name="SAPBEXexcGood1 4 2" xfId="1812" xr:uid="{66CD1FAF-DD61-4444-AF6E-0149276FB256}"/>
    <cellStyle name="SAPBEXexcGood1 4 3" xfId="2114" xr:uid="{E9D180D1-2404-43C7-B479-1233C2821217}"/>
    <cellStyle name="SAPBEXexcGood1 5" xfId="1823" xr:uid="{EC7ED36C-0F94-4450-80A3-4FE047E0C7AD}"/>
    <cellStyle name="SAPBEXexcGood1 6" xfId="2101" xr:uid="{3DE7CBC5-BCE7-4E87-8133-67C17C2DE308}"/>
    <cellStyle name="SAPBEXexcGood2" xfId="709" xr:uid="{00000000-0005-0000-0000-0000C6020000}"/>
    <cellStyle name="SAPBEXexcGood2 2" xfId="710" xr:uid="{00000000-0005-0000-0000-0000C7020000}"/>
    <cellStyle name="SAPBEXexcGood2 2 2" xfId="711" xr:uid="{00000000-0005-0000-0000-0000C8020000}"/>
    <cellStyle name="SAPBEXexcGood2 2 2 2" xfId="712" xr:uid="{00000000-0005-0000-0000-0000C9020000}"/>
    <cellStyle name="SAPBEXexcGood2 2 2 2 2" xfId="1810" xr:uid="{81B4F4EC-7F46-4B42-8A32-395EE9A2B484}"/>
    <cellStyle name="SAPBEXexcGood2 2 2 2 3" xfId="2118" xr:uid="{80AC4CEB-9922-40C0-B1DF-477BC3C84E87}"/>
    <cellStyle name="SAPBEXexcGood2 2 2 3" xfId="713" xr:uid="{00000000-0005-0000-0000-0000CA020000}"/>
    <cellStyle name="SAPBEXexcGood2 2 2 3 2" xfId="1343" xr:uid="{9372FA57-866C-4D05-AD7B-7272833BAA54}"/>
    <cellStyle name="SAPBEXexcGood2 2 2 3 3" xfId="2119" xr:uid="{9DA55F36-5C2D-4683-BB9B-0B040DBF06C1}"/>
    <cellStyle name="SAPBEXexcGood2 2 2 4" xfId="714" xr:uid="{00000000-0005-0000-0000-0000CB020000}"/>
    <cellStyle name="SAPBEXexcGood2 2 2 4 2" xfId="1809" xr:uid="{A71EEE23-178F-4DC2-8A64-C4C71FE00225}"/>
    <cellStyle name="SAPBEXexcGood2 2 2 4 3" xfId="2120" xr:uid="{D57C5521-E9CA-4870-A29A-7DD852F63A24}"/>
    <cellStyle name="SAPBEXexcGood2 2 2 5" xfId="715" xr:uid="{00000000-0005-0000-0000-0000CC020000}"/>
    <cellStyle name="SAPBEXexcGood2 2 2 5 2" xfId="1363" xr:uid="{71200D9E-56E4-4FC9-9661-9872C87F4613}"/>
    <cellStyle name="SAPBEXexcGood2 2 2 5 3" xfId="2121" xr:uid="{D407C806-4D86-4B34-B0FF-5EC582457E66}"/>
    <cellStyle name="SAPBEXexcGood2 2 2 6" xfId="1811" xr:uid="{0C48F36A-E186-40A2-B329-2DA84281B79C}"/>
    <cellStyle name="SAPBEXexcGood2 2 2 7" xfId="2117" xr:uid="{F370FA3D-5E9C-4651-9B22-51CF27735393}"/>
    <cellStyle name="SAPBEXexcGood2 2 3" xfId="716" xr:uid="{00000000-0005-0000-0000-0000CD020000}"/>
    <cellStyle name="SAPBEXexcGood2 2 3 2" xfId="1808" xr:uid="{602D1ECA-B948-42A7-B43E-397F9DBF4167}"/>
    <cellStyle name="SAPBEXexcGood2 2 3 3" xfId="2122" xr:uid="{A223C369-9A88-4F78-AF11-2F521B0CD65B}"/>
    <cellStyle name="SAPBEXexcGood2 2 4" xfId="1373" xr:uid="{15AB8DDE-63A1-4513-843A-A0D0C150745B}"/>
    <cellStyle name="SAPBEXexcGood2 2 5" xfId="2116" xr:uid="{EA9BADE7-3D24-4583-9971-42B70BF7E058}"/>
    <cellStyle name="SAPBEXexcGood2 3" xfId="717" xr:uid="{00000000-0005-0000-0000-0000CE020000}"/>
    <cellStyle name="SAPBEXexcGood2 3 2" xfId="718" xr:uid="{00000000-0005-0000-0000-0000CF020000}"/>
    <cellStyle name="SAPBEXexcGood2 3 2 2" xfId="1806" xr:uid="{E08F3929-AB47-4F54-AC22-2287B623C716}"/>
    <cellStyle name="SAPBEXexcGood2 3 2 3" xfId="2124" xr:uid="{275AA105-1C2C-47D9-B6AA-C8969E69874E}"/>
    <cellStyle name="SAPBEXexcGood2 3 3" xfId="719" xr:uid="{00000000-0005-0000-0000-0000D0020000}"/>
    <cellStyle name="SAPBEXexcGood2 3 3 2" xfId="1805" xr:uid="{A7691BA3-CAD1-4804-B040-C66EA87C6C13}"/>
    <cellStyle name="SAPBEXexcGood2 3 3 3" xfId="2125" xr:uid="{9AFBC106-8B78-46C5-A258-369B8021CD0B}"/>
    <cellStyle name="SAPBEXexcGood2 3 4" xfId="720" xr:uid="{00000000-0005-0000-0000-0000D1020000}"/>
    <cellStyle name="SAPBEXexcGood2 3 4 2" xfId="1804" xr:uid="{3B1DC2D5-8348-4C19-A34C-8051C857CF4A}"/>
    <cellStyle name="SAPBEXexcGood2 3 4 3" xfId="2294" xr:uid="{274213C7-83E4-45B9-ACCC-7A1893B9D69E}"/>
    <cellStyle name="SAPBEXexcGood2 3 5" xfId="721" xr:uid="{00000000-0005-0000-0000-0000D2020000}"/>
    <cellStyle name="SAPBEXexcGood2 3 5 2" xfId="1803" xr:uid="{B9DFF44A-53E7-4851-A165-2ED019112F3F}"/>
    <cellStyle name="SAPBEXexcGood2 3 5 3" xfId="2126" xr:uid="{EFA9A9E3-78B5-45A3-990B-404B14598816}"/>
    <cellStyle name="SAPBEXexcGood2 3 6" xfId="1807" xr:uid="{3292C2C2-D59E-4786-9181-B5A8C70ADCB4}"/>
    <cellStyle name="SAPBEXexcGood2 3 7" xfId="2123" xr:uid="{98CF423B-6418-443B-B4E6-B664B9D595EC}"/>
    <cellStyle name="SAPBEXexcGood2 4" xfId="722" xr:uid="{00000000-0005-0000-0000-0000D3020000}"/>
    <cellStyle name="SAPBEXexcGood2 4 2" xfId="1802" xr:uid="{82AA4524-0C60-4DEF-9F8A-B3178AE80F9C}"/>
    <cellStyle name="SAPBEXexcGood2 4 3" xfId="2399" xr:uid="{6E375C4B-0ACD-461C-9323-D1BEC48395AB}"/>
    <cellStyle name="SAPBEXexcGood2 5" xfId="1369" xr:uid="{E1EF2CDB-84A8-4725-BF90-8846A37B06D6}"/>
    <cellStyle name="SAPBEXexcGood2 6" xfId="2115" xr:uid="{9033760F-CA03-400B-8E20-73C96A571B0F}"/>
    <cellStyle name="SAPBEXexcGood3" xfId="723" xr:uid="{00000000-0005-0000-0000-0000D4020000}"/>
    <cellStyle name="SAPBEXexcGood3 2" xfId="724" xr:uid="{00000000-0005-0000-0000-0000D5020000}"/>
    <cellStyle name="SAPBEXexcGood3 2 2" xfId="725" xr:uid="{00000000-0005-0000-0000-0000D6020000}"/>
    <cellStyle name="SAPBEXexcGood3 2 2 2" xfId="726" xr:uid="{00000000-0005-0000-0000-0000D7020000}"/>
    <cellStyle name="SAPBEXexcGood3 2 2 2 2" xfId="1799" xr:uid="{DBB66C23-04CB-4A81-9429-04059C817D28}"/>
    <cellStyle name="SAPBEXexcGood3 2 2 2 3" xfId="2130" xr:uid="{F0B9D230-41E2-4F9E-8740-3F39836330A3}"/>
    <cellStyle name="SAPBEXexcGood3 2 2 3" xfId="727" xr:uid="{00000000-0005-0000-0000-0000D8020000}"/>
    <cellStyle name="SAPBEXexcGood3 2 2 3 2" xfId="1797" xr:uid="{ABCCD960-8DED-4A0C-B95B-1347D55C48AA}"/>
    <cellStyle name="SAPBEXexcGood3 2 2 3 3" xfId="2411" xr:uid="{546EB074-C1B0-4B57-80DE-D3A26379F63D}"/>
    <cellStyle name="SAPBEXexcGood3 2 2 4" xfId="728" xr:uid="{00000000-0005-0000-0000-0000D9020000}"/>
    <cellStyle name="SAPBEXexcGood3 2 2 4 2" xfId="1366" xr:uid="{50E0894E-E0B3-4E81-B561-703C4CF6CE6A}"/>
    <cellStyle name="SAPBEXexcGood3 2 2 4 3" xfId="2403" xr:uid="{43154C8F-E8C9-44C2-9369-23C2D9E764CD}"/>
    <cellStyle name="SAPBEXexcGood3 2 2 5" xfId="729" xr:uid="{00000000-0005-0000-0000-0000DA020000}"/>
    <cellStyle name="SAPBEXexcGood3 2 2 5 2" xfId="1796" xr:uid="{F08C6B2C-ABB2-4AD6-92AB-3E8C1F570987}"/>
    <cellStyle name="SAPBEXexcGood3 2 2 5 3" xfId="2131" xr:uid="{850413AA-2E06-4A54-AE2B-AF4DA97B88BF}"/>
    <cellStyle name="SAPBEXexcGood3 2 2 6" xfId="1800" xr:uid="{DC9B148A-94F2-4E76-818A-73DE3EAB479D}"/>
    <cellStyle name="SAPBEXexcGood3 2 2 7" xfId="2129" xr:uid="{4C7F5B25-18DC-49D0-ADA1-C184EFF72185}"/>
    <cellStyle name="SAPBEXexcGood3 2 3" xfId="730" xr:uid="{00000000-0005-0000-0000-0000DB020000}"/>
    <cellStyle name="SAPBEXexcGood3 2 3 2" xfId="1795" xr:uid="{A6B3B47F-95DB-4282-B59B-01195A45B9E5}"/>
    <cellStyle name="SAPBEXexcGood3 2 3 3" xfId="2132" xr:uid="{227DFF34-B475-4F62-887B-D0BF9F9E08F5}"/>
    <cellStyle name="SAPBEXexcGood3 2 4" xfId="1801" xr:uid="{954A127E-4B62-4DEC-8D33-7FA7F0E39124}"/>
    <cellStyle name="SAPBEXexcGood3 2 5" xfId="2128" xr:uid="{45DD3B89-23E3-4841-9EA4-21BDDD2B8A39}"/>
    <cellStyle name="SAPBEXexcGood3 3" xfId="731" xr:uid="{00000000-0005-0000-0000-0000DC020000}"/>
    <cellStyle name="SAPBEXexcGood3 3 2" xfId="732" xr:uid="{00000000-0005-0000-0000-0000DD020000}"/>
    <cellStyle name="SAPBEXexcGood3 3 2 2" xfId="1793" xr:uid="{135A0737-896C-410F-A5D5-5C94C303A992}"/>
    <cellStyle name="SAPBEXexcGood3 3 2 3" xfId="2134" xr:uid="{5435F85B-CA38-48C2-B01F-4BBF2D822640}"/>
    <cellStyle name="SAPBEXexcGood3 3 3" xfId="733" xr:uid="{00000000-0005-0000-0000-0000DE020000}"/>
    <cellStyle name="SAPBEXexcGood3 3 3 2" xfId="1792" xr:uid="{1C29778F-EE81-4327-A521-865A439B0CA9}"/>
    <cellStyle name="SAPBEXexcGood3 3 3 3" xfId="2135" xr:uid="{99B5A285-9747-4732-8256-7FA9EF1EF718}"/>
    <cellStyle name="SAPBEXexcGood3 3 4" xfId="734" xr:uid="{00000000-0005-0000-0000-0000DF020000}"/>
    <cellStyle name="SAPBEXexcGood3 3 4 2" xfId="1791" xr:uid="{0AE7E62A-5158-4DCE-B29F-0B72B96B8C59}"/>
    <cellStyle name="SAPBEXexcGood3 3 4 3" xfId="2136" xr:uid="{5B12355C-1975-4021-A6DE-EA627A39F94A}"/>
    <cellStyle name="SAPBEXexcGood3 3 5" xfId="735" xr:uid="{00000000-0005-0000-0000-0000E0020000}"/>
    <cellStyle name="SAPBEXexcGood3 3 5 2" xfId="1378" xr:uid="{38BC2689-3C0C-4881-B0D3-5161F68F3805}"/>
    <cellStyle name="SAPBEXexcGood3 3 5 3" xfId="2137" xr:uid="{D48C0CCD-904F-4B6A-8925-FDC7CAE9BCE0}"/>
    <cellStyle name="SAPBEXexcGood3 3 6" xfId="1794" xr:uid="{23423FFA-A1AD-4D12-A104-0B9FF390CFD0}"/>
    <cellStyle name="SAPBEXexcGood3 3 7" xfId="2133" xr:uid="{B8F25022-A943-4C38-93ED-A8544DFA3CBB}"/>
    <cellStyle name="SAPBEXexcGood3 4" xfId="736" xr:uid="{00000000-0005-0000-0000-0000E1020000}"/>
    <cellStyle name="SAPBEXexcGood3 4 2" xfId="1789" xr:uid="{86D62BCC-70C4-43B1-AD13-2E73423B03F9}"/>
    <cellStyle name="SAPBEXexcGood3 4 3" xfId="2138" xr:uid="{A098151A-8EC4-46F0-B5ED-445C51792A22}"/>
    <cellStyle name="SAPBEXexcGood3 5" xfId="1368" xr:uid="{15E88D6C-76A8-4403-8EF4-CDA24F941E57}"/>
    <cellStyle name="SAPBEXexcGood3 6" xfId="2127" xr:uid="{24EF2D58-C8B8-4DD0-9D3A-86DF4F8B7223}"/>
    <cellStyle name="SAPBEXfilterDrill" xfId="737" xr:uid="{00000000-0005-0000-0000-0000E2020000}"/>
    <cellStyle name="SAPBEXfilterDrill 2" xfId="738" xr:uid="{00000000-0005-0000-0000-0000E3020000}"/>
    <cellStyle name="SAPBEXfilterDrill 2 2" xfId="739" xr:uid="{00000000-0005-0000-0000-0000E4020000}"/>
    <cellStyle name="SAPBEXfilterDrill 2 2 2" xfId="2141" xr:uid="{B6447CD8-6CC3-4DBF-809B-517BC7A4D392}"/>
    <cellStyle name="SAPBEXfilterDrill 2 3" xfId="740" xr:uid="{00000000-0005-0000-0000-0000E5020000}"/>
    <cellStyle name="SAPBEXfilterDrill 2 3 2" xfId="2142" xr:uid="{B525FD22-AB73-4555-A8CF-C2BEB4BACAF2}"/>
    <cellStyle name="SAPBEXfilterDrill 2 4" xfId="2140" xr:uid="{566C4260-2E5A-477B-A061-27C470E27BFC}"/>
    <cellStyle name="SAPBEXfilterDrill 3" xfId="741" xr:uid="{00000000-0005-0000-0000-0000E6020000}"/>
    <cellStyle name="SAPBEXfilterDrill 3 2" xfId="2143" xr:uid="{3BDE9D75-371E-4B92-B532-A8921A1438A4}"/>
    <cellStyle name="SAPBEXfilterDrill 4" xfId="742" xr:uid="{00000000-0005-0000-0000-0000E7020000}"/>
    <cellStyle name="SAPBEXfilterDrill 4 2" xfId="2144" xr:uid="{AED9072A-A982-4E39-96E1-DD81CE57C476}"/>
    <cellStyle name="SAPBEXfilterDrill 5" xfId="2139" xr:uid="{70679E95-1AEF-4117-8DF0-2389F25EA955}"/>
    <cellStyle name="SAPBEXfilterItem" xfId="743" xr:uid="{00000000-0005-0000-0000-0000E8020000}"/>
    <cellStyle name="SAPBEXfilterText" xfId="744" xr:uid="{00000000-0005-0000-0000-0000E9020000}"/>
    <cellStyle name="SAPBEXformats" xfId="745" xr:uid="{00000000-0005-0000-0000-0000EA020000}"/>
    <cellStyle name="SAPBEXformats 2" xfId="746" xr:uid="{00000000-0005-0000-0000-0000EB020000}"/>
    <cellStyle name="SAPBEXformats 2 2" xfId="747" xr:uid="{00000000-0005-0000-0000-0000EC020000}"/>
    <cellStyle name="SAPBEXformats 2 2 2" xfId="748" xr:uid="{00000000-0005-0000-0000-0000ED020000}"/>
    <cellStyle name="SAPBEXformats 2 2 2 2" xfId="1352" xr:uid="{57947C36-C798-4BCD-B13B-57DBE8EB2B16}"/>
    <cellStyle name="SAPBEXformats 2 2 2 3" xfId="2148" xr:uid="{A6F67BB7-215F-451B-8298-7B311BBED544}"/>
    <cellStyle name="SAPBEXformats 2 2 3" xfId="749" xr:uid="{00000000-0005-0000-0000-0000EE020000}"/>
    <cellStyle name="SAPBEXformats 2 2 3 2" xfId="1390" xr:uid="{0D3B4627-A2B9-4A28-A488-8AE59452D6F7}"/>
    <cellStyle name="SAPBEXformats 2 2 3 3" xfId="2149" xr:uid="{466872CC-853D-4074-9188-8ADA49605CFD}"/>
    <cellStyle name="SAPBEXformats 2 2 4" xfId="750" xr:uid="{00000000-0005-0000-0000-0000EF020000}"/>
    <cellStyle name="SAPBEXformats 2 2 4 2" xfId="1337" xr:uid="{32BBD4E2-AE7E-4BA0-8158-6568BA6B6FD7}"/>
    <cellStyle name="SAPBEXformats 2 2 4 3" xfId="2293" xr:uid="{98294C63-FA0F-4745-B9C8-3CA2979E8F24}"/>
    <cellStyle name="SAPBEXformats 2 2 5" xfId="751" xr:uid="{00000000-0005-0000-0000-0000F0020000}"/>
    <cellStyle name="SAPBEXformats 2 2 5 2" xfId="1358" xr:uid="{8A7A2A71-2455-4CCC-A73F-09A9BCA7BC7E}"/>
    <cellStyle name="SAPBEXformats 2 2 5 3" xfId="2150" xr:uid="{682EC43A-2711-4798-81E9-34713CB4F580}"/>
    <cellStyle name="SAPBEXformats 2 2 6" xfId="1357" xr:uid="{6916F1B3-1569-49C3-B804-3C5371A5893E}"/>
    <cellStyle name="SAPBEXformats 2 2 7" xfId="2147" xr:uid="{90C56132-F836-4C8E-B73B-94A29A3F1257}"/>
    <cellStyle name="SAPBEXformats 2 3" xfId="752" xr:uid="{00000000-0005-0000-0000-0000F1020000}"/>
    <cellStyle name="SAPBEXformats 2 3 2" xfId="1786" xr:uid="{C351E96A-0FD9-4B6C-A99A-5CE3D7C6BD50}"/>
    <cellStyle name="SAPBEXformats 2 3 3" xfId="2151" xr:uid="{3CC88C42-4208-4687-A95D-58A90AB8E6E5}"/>
    <cellStyle name="SAPBEXformats 2 4" xfId="1787" xr:uid="{8BF0ECDD-A278-4056-B6D8-B2893BC8C235}"/>
    <cellStyle name="SAPBEXformats 2 5" xfId="2146" xr:uid="{AD505549-8DEB-4819-9995-23EBB366C5E9}"/>
    <cellStyle name="SAPBEXformats 3" xfId="753" xr:uid="{00000000-0005-0000-0000-0000F2020000}"/>
    <cellStyle name="SAPBEXformats 3 2" xfId="754" xr:uid="{00000000-0005-0000-0000-0000F3020000}"/>
    <cellStyle name="SAPBEXformats 3 2 2" xfId="2413" xr:uid="{5F81CF6F-ECD5-401E-89D9-49921FD3E64C}"/>
    <cellStyle name="SAPBEXformats 3 2 3" xfId="2153" xr:uid="{86134CB3-A170-4720-AA8F-387A2C6080B5}"/>
    <cellStyle name="SAPBEXformats 3 3" xfId="755" xr:uid="{00000000-0005-0000-0000-0000F4020000}"/>
    <cellStyle name="SAPBEXformats 3 3 2" xfId="1392" xr:uid="{08EECA37-A5B1-4C54-B59A-46852CE89E5B}"/>
    <cellStyle name="SAPBEXformats 3 3 3" xfId="2154" xr:uid="{B8D2296A-68FF-407D-81C3-33E93FB31AF5}"/>
    <cellStyle name="SAPBEXformats 3 4" xfId="756" xr:uid="{00000000-0005-0000-0000-0000F5020000}"/>
    <cellStyle name="SAPBEXformats 3 4 2" xfId="1781" xr:uid="{02037562-1CC2-48C9-A4FC-81E4E0CF4125}"/>
    <cellStyle name="SAPBEXformats 3 4 3" xfId="2155" xr:uid="{ECDEE848-3062-47AD-8FD7-B4C41FAF28DE}"/>
    <cellStyle name="SAPBEXformats 3 5" xfId="757" xr:uid="{00000000-0005-0000-0000-0000F6020000}"/>
    <cellStyle name="SAPBEXformats 3 5 2" xfId="1780" xr:uid="{1637AE67-5D1B-4762-8F4A-89B393867C69}"/>
    <cellStyle name="SAPBEXformats 3 5 3" xfId="2156" xr:uid="{9C8EF5A1-48F5-47D3-A390-0A98782758EB}"/>
    <cellStyle name="SAPBEXformats 3 6" xfId="1785" xr:uid="{D8F2DBEE-F8C9-4763-BED0-6E407CEF8811}"/>
    <cellStyle name="SAPBEXformats 3 7" xfId="2152" xr:uid="{B9F68C74-3DBB-47B6-AB3B-D41ACCFA80D8}"/>
    <cellStyle name="SAPBEXformats 4" xfId="758" xr:uid="{00000000-0005-0000-0000-0000F7020000}"/>
    <cellStyle name="SAPBEXformats 4 2" xfId="1389" xr:uid="{0D62BB36-6E7D-4485-A00B-5E5B384F2AFB}"/>
    <cellStyle name="SAPBEXformats 4 3" xfId="2157" xr:uid="{A4B24FFF-8319-40B9-BCCC-0C33F92D3CF6}"/>
    <cellStyle name="SAPBEXformats 5" xfId="1788" xr:uid="{9D6511F5-C529-4FA2-92F6-FCA5F9D4478D}"/>
    <cellStyle name="SAPBEXformats 6" xfId="2145" xr:uid="{E94FA016-3156-4902-8D4F-66FBE6B836FE}"/>
    <cellStyle name="SAPBEXheaderItem" xfId="759" xr:uid="{00000000-0005-0000-0000-0000F8020000}"/>
    <cellStyle name="SAPBEXheaderText" xfId="760" xr:uid="{00000000-0005-0000-0000-0000F9020000}"/>
    <cellStyle name="SAPBEXHLevel0" xfId="761" xr:uid="{00000000-0005-0000-0000-0000FA020000}"/>
    <cellStyle name="SAPBEXHLevel0 2" xfId="762" xr:uid="{00000000-0005-0000-0000-0000FB020000}"/>
    <cellStyle name="SAPBEXHLevel0 2 2" xfId="763" xr:uid="{00000000-0005-0000-0000-0000FC020000}"/>
    <cellStyle name="SAPBEXHLevel0 2 2 2" xfId="764" xr:uid="{00000000-0005-0000-0000-0000FD020000}"/>
    <cellStyle name="SAPBEXHLevel0 2 2 2 2" xfId="1777" xr:uid="{A631013F-4F18-40C7-A61B-8F51FE82B659}"/>
    <cellStyle name="SAPBEXHLevel0 2 2 2 3" xfId="2169" xr:uid="{63CEAF56-C016-4AD0-A1EB-9DAECE158D1D}"/>
    <cellStyle name="SAPBEXHLevel0 2 2 3" xfId="765" xr:uid="{00000000-0005-0000-0000-0000FE020000}"/>
    <cellStyle name="SAPBEXHLevel0 2 2 3 2" xfId="1776" xr:uid="{D5D5BA15-C5EF-4CB0-9EA3-781B84787EBF}"/>
    <cellStyle name="SAPBEXHLevel0 2 2 3 3" xfId="2170" xr:uid="{44EF446D-BD45-4F61-A78C-66D7358A030E}"/>
    <cellStyle name="SAPBEXHLevel0 2 2 4" xfId="766" xr:uid="{00000000-0005-0000-0000-0000FF020000}"/>
    <cellStyle name="SAPBEXHLevel0 2 2 4 2" xfId="1775" xr:uid="{56DFF637-D394-41BA-A2C0-F418EBA3C859}"/>
    <cellStyle name="SAPBEXHLevel0 2 2 4 3" xfId="2171" xr:uid="{510DFE26-2D49-448E-A9EF-C21E53C36DA6}"/>
    <cellStyle name="SAPBEXHLevel0 2 2 5" xfId="767" xr:uid="{00000000-0005-0000-0000-000000030000}"/>
    <cellStyle name="SAPBEXHLevel0 2 2 5 2" xfId="1388" xr:uid="{96A73854-35A3-46E7-9236-13DE8F1695BB}"/>
    <cellStyle name="SAPBEXHLevel0 2 2 5 3" xfId="2172" xr:uid="{64BE5E93-4C54-4E30-9500-65D046FFB9E9}"/>
    <cellStyle name="SAPBEXHLevel0 2 2 6" xfId="1328" xr:uid="{3F81E2BA-6068-4192-BBFE-664E7CA5E43E}"/>
    <cellStyle name="SAPBEXHLevel0 2 2 7" xfId="2168" xr:uid="{0E037CEF-C239-40C8-8124-7CFDD725F629}"/>
    <cellStyle name="SAPBEXHLevel0 2 3" xfId="768" xr:uid="{00000000-0005-0000-0000-000001030000}"/>
    <cellStyle name="SAPBEXHLevel0 2 3 2" xfId="1351" xr:uid="{45A8CBF3-9FD2-4D45-9F84-B60FBF7A3D5E}"/>
    <cellStyle name="SAPBEXHLevel0 2 3 3" xfId="2173" xr:uid="{E0A957FC-B927-47CC-804A-B0DDCB75CB07}"/>
    <cellStyle name="SAPBEXHLevel0 2 4" xfId="1778" xr:uid="{91B4058C-DB52-4343-8FDF-9B3890195399}"/>
    <cellStyle name="SAPBEXHLevel0 2 5" xfId="2167" xr:uid="{111F6FA6-61C3-40C4-A41F-12CAB915F2A4}"/>
    <cellStyle name="SAPBEXHLevel0 3" xfId="769" xr:uid="{00000000-0005-0000-0000-000002030000}"/>
    <cellStyle name="SAPBEXHLevel0 3 2" xfId="770" xr:uid="{00000000-0005-0000-0000-000003030000}"/>
    <cellStyle name="SAPBEXHLevel0 3 2 2" xfId="1773" xr:uid="{D6D15D7A-7501-4E09-8528-F173968DD02F}"/>
    <cellStyle name="SAPBEXHLevel0 3 2 3" xfId="2175" xr:uid="{7BB87A8E-F301-4237-A96A-48883D21DD69}"/>
    <cellStyle name="SAPBEXHLevel0 3 3" xfId="771" xr:uid="{00000000-0005-0000-0000-000004030000}"/>
    <cellStyle name="SAPBEXHLevel0 3 3 2" xfId="1772" xr:uid="{8E44DDB7-42B4-4E41-BB0A-0863F7518EE0}"/>
    <cellStyle name="SAPBEXHLevel0 3 3 3" xfId="2176" xr:uid="{0D4605C0-417A-461D-AB60-DC4F18256785}"/>
    <cellStyle name="SAPBEXHLevel0 3 4" xfId="772" xr:uid="{00000000-0005-0000-0000-000005030000}"/>
    <cellStyle name="SAPBEXHLevel0 3 4 2" xfId="1771" xr:uid="{D5563B8E-441A-49EA-8217-678AE57ED254}"/>
    <cellStyle name="SAPBEXHLevel0 3 4 3" xfId="2177" xr:uid="{3FDA6D8C-FEFF-4D57-A51C-2F62A1AF1924}"/>
    <cellStyle name="SAPBEXHLevel0 3 5" xfId="773" xr:uid="{00000000-0005-0000-0000-000006030000}"/>
    <cellStyle name="SAPBEXHLevel0 3 5 2" xfId="1770" xr:uid="{935EB941-9066-432E-AA28-389FFE0054C1}"/>
    <cellStyle name="SAPBEXHLevel0 3 5 3" xfId="2178" xr:uid="{CF1354DE-BB2D-40E2-A241-6C5628C55E87}"/>
    <cellStyle name="SAPBEXHLevel0 3 6" xfId="1774" xr:uid="{AF2F9246-879E-4A7C-BED1-A245202D0AD4}"/>
    <cellStyle name="SAPBEXHLevel0 3 7" xfId="2174" xr:uid="{FB0FBF72-93FE-4AC2-BFBF-4EAB6A4A9CD1}"/>
    <cellStyle name="SAPBEXHLevel0 4" xfId="774" xr:uid="{00000000-0005-0000-0000-000007030000}"/>
    <cellStyle name="SAPBEXHLevel0 4 2" xfId="1365" xr:uid="{3FF2A80F-BD54-4F43-9C9C-7ADC45C9CE60}"/>
    <cellStyle name="SAPBEXHLevel0 4 3" xfId="2179" xr:uid="{7D7EFFF1-F5BD-4A40-9545-ECF79A573A69}"/>
    <cellStyle name="SAPBEXHLevel0 5" xfId="1779" xr:uid="{4B420AF1-251D-41AA-A936-E27504A54D7A}"/>
    <cellStyle name="SAPBEXHLevel0 6" xfId="2166" xr:uid="{373DD544-CC95-4C18-ADBC-3B7D1EA5DC02}"/>
    <cellStyle name="SAPBEXHLevel0X" xfId="775" xr:uid="{00000000-0005-0000-0000-000008030000}"/>
    <cellStyle name="SAPBEXHLevel0X 2" xfId="776" xr:uid="{00000000-0005-0000-0000-000009030000}"/>
    <cellStyle name="SAPBEXHLevel0X 2 2" xfId="777" xr:uid="{00000000-0005-0000-0000-00000A030000}"/>
    <cellStyle name="SAPBEXHLevel0X 2 2 2" xfId="778" xr:uid="{00000000-0005-0000-0000-00000B030000}"/>
    <cellStyle name="SAPBEXHLevel0X 2 2 2 2" xfId="1768" xr:uid="{18811BEC-4A4F-4537-807A-656B8B4E1BDF}"/>
    <cellStyle name="SAPBEXHLevel0X 2 2 2 3" xfId="2183" xr:uid="{3F9DB642-6476-41B4-8C65-E19CD01CFD8F}"/>
    <cellStyle name="SAPBEXHLevel0X 2 2 3" xfId="779" xr:uid="{00000000-0005-0000-0000-00000C030000}"/>
    <cellStyle name="SAPBEXHLevel0X 2 2 3 2" xfId="1767" xr:uid="{38D3CABD-CF61-4F9C-8681-5E9DD363B4A0}"/>
    <cellStyle name="SAPBEXHLevel0X 2 2 3 3" xfId="2184" xr:uid="{A9F32001-B3AB-4A1C-A459-39016636A916}"/>
    <cellStyle name="SAPBEXHLevel0X 2 2 4" xfId="780" xr:uid="{00000000-0005-0000-0000-00000D030000}"/>
    <cellStyle name="SAPBEXHLevel0X 2 2 4 2" xfId="1764" xr:uid="{4A8FD685-FFB0-4AF4-845C-745DA930FF66}"/>
    <cellStyle name="SAPBEXHLevel0X 2 2 4 3" xfId="2185" xr:uid="{1FDA8B57-5B03-4732-99C6-B12FDD24C50A}"/>
    <cellStyle name="SAPBEXHLevel0X 2 2 5" xfId="781" xr:uid="{00000000-0005-0000-0000-00000E030000}"/>
    <cellStyle name="SAPBEXHLevel0X 2 2 5 2" xfId="1763" xr:uid="{BB14A2D3-EDE5-4B06-B190-26010270CAC5}"/>
    <cellStyle name="SAPBEXHLevel0X 2 2 5 3" xfId="2186" xr:uid="{A6AE57D5-C670-4211-8B27-CF696DDF3B26}"/>
    <cellStyle name="SAPBEXHLevel0X 2 2 6" xfId="1769" xr:uid="{BD220A59-5EAF-4D7D-ACE7-47396CC681FA}"/>
    <cellStyle name="SAPBEXHLevel0X 2 2 7" xfId="2182" xr:uid="{7562B5D9-C208-402E-99BB-B473453D3825}"/>
    <cellStyle name="SAPBEXHLevel0X 2 3" xfId="782" xr:uid="{00000000-0005-0000-0000-00000F030000}"/>
    <cellStyle name="SAPBEXHLevel0X 2 3 2" xfId="1762" xr:uid="{3C2BCD3E-AEC4-486E-9667-93DA69736AC7}"/>
    <cellStyle name="SAPBEXHLevel0X 2 3 3" xfId="2187" xr:uid="{7575768D-FA00-462D-B28A-88D481E9B27F}"/>
    <cellStyle name="SAPBEXHLevel0X 2 4" xfId="1356" xr:uid="{C4F1F020-D1D9-44B9-BB2D-278E55B1F349}"/>
    <cellStyle name="SAPBEXHLevel0X 2 5" xfId="2181" xr:uid="{7705DC01-83B1-4A66-9FE6-2E6315AAE603}"/>
    <cellStyle name="SAPBEXHLevel0X 3" xfId="783" xr:uid="{00000000-0005-0000-0000-000010030000}"/>
    <cellStyle name="SAPBEXHLevel0X 3 2" xfId="784" xr:uid="{00000000-0005-0000-0000-000011030000}"/>
    <cellStyle name="SAPBEXHLevel0X 3 2 2" xfId="1760" xr:uid="{B5D5CDBE-4B9B-44D1-B465-82CF74906F7F}"/>
    <cellStyle name="SAPBEXHLevel0X 3 2 3" xfId="2189" xr:uid="{EC0F8307-110F-4184-A440-F5B68D174DA1}"/>
    <cellStyle name="SAPBEXHLevel0X 3 3" xfId="785" xr:uid="{00000000-0005-0000-0000-000012030000}"/>
    <cellStyle name="SAPBEXHLevel0X 3 3 2" xfId="1759" xr:uid="{8DC3AB27-A27F-4F68-A27D-7959A00B0CF0}"/>
    <cellStyle name="SAPBEXHLevel0X 3 3 3" xfId="2190" xr:uid="{896BB59A-3EA9-4377-9A4A-BD481D1368BA}"/>
    <cellStyle name="SAPBEXHLevel0X 3 4" xfId="786" xr:uid="{00000000-0005-0000-0000-000013030000}"/>
    <cellStyle name="SAPBEXHLevel0X 3 4 2" xfId="1758" xr:uid="{AFC8FECD-99D2-4D7A-B986-2CBAE5EB6DE9}"/>
    <cellStyle name="SAPBEXHLevel0X 3 4 3" xfId="2191" xr:uid="{C9502331-F3FF-4AEA-B363-F141D96A6B2D}"/>
    <cellStyle name="SAPBEXHLevel0X 3 5" xfId="787" xr:uid="{00000000-0005-0000-0000-000014030000}"/>
    <cellStyle name="SAPBEXHLevel0X 3 5 2" xfId="1757" xr:uid="{8957C68E-10F0-4BFB-BFFC-46264538E052}"/>
    <cellStyle name="SAPBEXHLevel0X 3 5 3" xfId="2192" xr:uid="{453A5037-3466-4B4E-8C46-CC759098DA7D}"/>
    <cellStyle name="SAPBEXHLevel0X 3 6" xfId="1761" xr:uid="{9B5F867A-71F7-41C4-9C1E-62862072C616}"/>
    <cellStyle name="SAPBEXHLevel0X 3 7" xfId="2188" xr:uid="{248239DF-119E-4EA2-BAA4-A6FD1CA296DE}"/>
    <cellStyle name="SAPBEXHLevel0X 4" xfId="788" xr:uid="{00000000-0005-0000-0000-000015030000}"/>
    <cellStyle name="SAPBEXHLevel0X 4 2" xfId="1756" xr:uid="{36C2A3E6-6888-4253-B3F8-5DAEB3F683F5}"/>
    <cellStyle name="SAPBEXHLevel0X 4 3" xfId="2193" xr:uid="{A476BD76-BBDA-4F20-8311-3A03C08B163D}"/>
    <cellStyle name="SAPBEXHLevel0X 5" xfId="1370" xr:uid="{CEF11025-6EC0-4687-BEDD-C0DCEB9CB8F7}"/>
    <cellStyle name="SAPBEXHLevel0X 6" xfId="2180" xr:uid="{8AE671E1-F383-4E98-83A1-06BC4413223C}"/>
    <cellStyle name="SAPBEXHLevel1" xfId="789" xr:uid="{00000000-0005-0000-0000-000016030000}"/>
    <cellStyle name="SAPBEXHLevel1 2" xfId="790" xr:uid="{00000000-0005-0000-0000-000017030000}"/>
    <cellStyle name="SAPBEXHLevel1 2 2" xfId="791" xr:uid="{00000000-0005-0000-0000-000018030000}"/>
    <cellStyle name="SAPBEXHLevel1 2 2 2" xfId="792" xr:uid="{00000000-0005-0000-0000-000019030000}"/>
    <cellStyle name="SAPBEXHLevel1 2 2 2 2" xfId="1753" xr:uid="{749FECC9-7DE6-4499-AEF4-C88A338F7CC9}"/>
    <cellStyle name="SAPBEXHLevel1 2 2 2 3" xfId="2197" xr:uid="{557B70D2-DB85-4D20-B9A6-6C611286F332}"/>
    <cellStyle name="SAPBEXHLevel1 2 2 3" xfId="793" xr:uid="{00000000-0005-0000-0000-00001A030000}"/>
    <cellStyle name="SAPBEXHLevel1 2 2 3 2" xfId="1752" xr:uid="{711F1C63-C22F-4755-9296-8A664EF77330}"/>
    <cellStyle name="SAPBEXHLevel1 2 2 3 3" xfId="2198" xr:uid="{5EA3BE5F-B604-4676-BA55-3CD245395627}"/>
    <cellStyle name="SAPBEXHLevel1 2 2 4" xfId="794" xr:uid="{00000000-0005-0000-0000-00001B030000}"/>
    <cellStyle name="SAPBEXHLevel1 2 2 4 2" xfId="1750" xr:uid="{7EE2EA71-A80D-4303-B2FE-CF19CE32B2A6}"/>
    <cellStyle name="SAPBEXHLevel1 2 2 4 3" xfId="2199" xr:uid="{55717336-9A26-455D-B80A-10A6489A3F14}"/>
    <cellStyle name="SAPBEXHLevel1 2 2 5" xfId="795" xr:uid="{00000000-0005-0000-0000-00001C030000}"/>
    <cellStyle name="SAPBEXHLevel1 2 2 5 2" xfId="1349" xr:uid="{B4189A2B-281A-4260-BD8B-A60321532BD9}"/>
    <cellStyle name="SAPBEXHLevel1 2 2 5 3" xfId="2200" xr:uid="{0E7A96EF-9DAE-40AA-BE01-AB0BB263188E}"/>
    <cellStyle name="SAPBEXHLevel1 2 2 6" xfId="1754" xr:uid="{E4B9A24C-1440-4BF3-A8B1-70207E0D54A6}"/>
    <cellStyle name="SAPBEXHLevel1 2 2 7" xfId="2196" xr:uid="{B3181260-7778-4C07-ADE5-A7CE9BE27D8E}"/>
    <cellStyle name="SAPBEXHLevel1 2 3" xfId="796" xr:uid="{00000000-0005-0000-0000-00001D030000}"/>
    <cellStyle name="SAPBEXHLevel1 2 3 2" xfId="1749" xr:uid="{E5AF6BC5-BEE3-4A83-8363-C986331D2DEE}"/>
    <cellStyle name="SAPBEXHLevel1 2 3 3" xfId="2201" xr:uid="{5A84AF42-3B44-44E4-B422-D80EFCBC733A}"/>
    <cellStyle name="SAPBEXHLevel1 2 4" xfId="1755" xr:uid="{C20DDD51-E353-4E51-A25C-A2626C9A1B3A}"/>
    <cellStyle name="SAPBEXHLevel1 2 5" xfId="2195" xr:uid="{6229BF41-40C1-4D33-A381-0A33977B38A7}"/>
    <cellStyle name="SAPBEXHLevel1 3" xfId="797" xr:uid="{00000000-0005-0000-0000-00001E030000}"/>
    <cellStyle name="SAPBEXHLevel1 3 2" xfId="798" xr:uid="{00000000-0005-0000-0000-00001F030000}"/>
    <cellStyle name="SAPBEXHLevel1 3 2 2" xfId="1327" xr:uid="{DBFB6F8B-F48F-408E-A386-188F5114FB1D}"/>
    <cellStyle name="SAPBEXHLevel1 3 2 3" xfId="2203" xr:uid="{FF9F1BCF-AE7F-496C-989D-661F05C7BA46}"/>
    <cellStyle name="SAPBEXHLevel1 3 3" xfId="799" xr:uid="{00000000-0005-0000-0000-000020030000}"/>
    <cellStyle name="SAPBEXHLevel1 3 3 2" xfId="1747" xr:uid="{3DDA1E24-0116-419A-A2BF-C5664EAC6C01}"/>
    <cellStyle name="SAPBEXHLevel1 3 3 3" xfId="2204" xr:uid="{CF713C83-50B9-402F-BF86-A6B59606A39A}"/>
    <cellStyle name="SAPBEXHLevel1 3 4" xfId="800" xr:uid="{00000000-0005-0000-0000-000021030000}"/>
    <cellStyle name="SAPBEXHLevel1 3 4 2" xfId="1746" xr:uid="{9C0F62CC-6EEB-4D8F-A637-669E0E1850CE}"/>
    <cellStyle name="SAPBEXHLevel1 3 4 3" xfId="2205" xr:uid="{D3C647B3-9704-448F-9647-47992148A3B3}"/>
    <cellStyle name="SAPBEXHLevel1 3 5" xfId="801" xr:uid="{00000000-0005-0000-0000-000022030000}"/>
    <cellStyle name="SAPBEXHLevel1 3 5 2" xfId="1347" xr:uid="{1C0DDE12-3864-4CAE-9188-AA6A81D76086}"/>
    <cellStyle name="SAPBEXHLevel1 3 5 3" xfId="2206" xr:uid="{B990C8DE-5562-47DD-B004-BC9219AE51E4}"/>
    <cellStyle name="SAPBEXHLevel1 3 6" xfId="1748" xr:uid="{414ECD20-FA41-4253-942A-A8FF96FD7569}"/>
    <cellStyle name="SAPBEXHLevel1 3 7" xfId="2202" xr:uid="{D2B9890A-FD24-4AAB-B0F1-F77609DBE04E}"/>
    <cellStyle name="SAPBEXHLevel1 4" xfId="802" xr:uid="{00000000-0005-0000-0000-000023030000}"/>
    <cellStyle name="SAPBEXHLevel1 4 2" xfId="1738" xr:uid="{E8F38A59-7335-405F-91A2-079C0203B6D2}"/>
    <cellStyle name="SAPBEXHLevel1 4 3" xfId="2207" xr:uid="{AF4309FD-66E2-4161-8F34-B9C114229C48}"/>
    <cellStyle name="SAPBEXHLevel1 5" xfId="1385" xr:uid="{8CEABF80-B73D-4A68-BEDB-B8C7D47233E8}"/>
    <cellStyle name="SAPBEXHLevel1 6" xfId="2194" xr:uid="{F1E99A28-42A7-4B97-86CF-69F003DA9539}"/>
    <cellStyle name="SAPBEXHLevel1X" xfId="803" xr:uid="{00000000-0005-0000-0000-000024030000}"/>
    <cellStyle name="SAPBEXHLevel1X 2" xfId="804" xr:uid="{00000000-0005-0000-0000-000025030000}"/>
    <cellStyle name="SAPBEXHLevel1X 2 2" xfId="805" xr:uid="{00000000-0005-0000-0000-000026030000}"/>
    <cellStyle name="SAPBEXHLevel1X 2 2 2" xfId="806" xr:uid="{00000000-0005-0000-0000-000027030000}"/>
    <cellStyle name="SAPBEXHLevel1X 2 2 2 2" xfId="1734" xr:uid="{5C587696-A2D8-43BE-8814-BC4DC2530D4D}"/>
    <cellStyle name="SAPBEXHLevel1X 2 2 2 3" xfId="2211" xr:uid="{204A5FC5-32E0-49E8-838A-D1DC45BB5DB8}"/>
    <cellStyle name="SAPBEXHLevel1X 2 2 3" xfId="807" xr:uid="{00000000-0005-0000-0000-000028030000}"/>
    <cellStyle name="SAPBEXHLevel1X 2 2 3 2" xfId="1733" xr:uid="{FA40E107-C21B-4CE7-AE3A-F3460D5A8C8B}"/>
    <cellStyle name="SAPBEXHLevel1X 2 2 3 3" xfId="2212" xr:uid="{AC911332-60AA-4600-BA13-6408A1E402BB}"/>
    <cellStyle name="SAPBEXHLevel1X 2 2 4" xfId="808" xr:uid="{00000000-0005-0000-0000-000029030000}"/>
    <cellStyle name="SAPBEXHLevel1X 2 2 4 2" xfId="1732" xr:uid="{456181F6-FEF6-48D4-927C-FA1D1CADDF09}"/>
    <cellStyle name="SAPBEXHLevel1X 2 2 4 3" xfId="2213" xr:uid="{48C17471-BD68-490F-BEEE-AD49AD2B498E}"/>
    <cellStyle name="SAPBEXHLevel1X 2 2 5" xfId="809" xr:uid="{00000000-0005-0000-0000-00002A030000}"/>
    <cellStyle name="SAPBEXHLevel1X 2 2 5 2" xfId="1731" xr:uid="{C888B48F-8B81-4B05-834E-4FCBE70A755E}"/>
    <cellStyle name="SAPBEXHLevel1X 2 2 5 3" xfId="2214" xr:uid="{045AF35B-39DC-4E6E-B5E1-DBDCE8187370}"/>
    <cellStyle name="SAPBEXHLevel1X 2 2 6" xfId="1735" xr:uid="{1186DF42-16D8-4C8C-B661-F8042031CE15}"/>
    <cellStyle name="SAPBEXHLevel1X 2 2 7" xfId="2210" xr:uid="{52A7A158-367E-4376-822B-6C4D0509DE99}"/>
    <cellStyle name="SAPBEXHLevel1X 2 3" xfId="810" xr:uid="{00000000-0005-0000-0000-00002B030000}"/>
    <cellStyle name="SAPBEXHLevel1X 2 3 2" xfId="1730" xr:uid="{0A33244A-F1E6-4308-8717-C5CCCF09E45E}"/>
    <cellStyle name="SAPBEXHLevel1X 2 3 3" xfId="2215" xr:uid="{F2ECEB02-6B2A-4042-BB2F-78CE70ADEAE8}"/>
    <cellStyle name="SAPBEXHLevel1X 2 4" xfId="1736" xr:uid="{DB20EC08-E177-46C5-843F-BDC5A9C6C790}"/>
    <cellStyle name="SAPBEXHLevel1X 2 5" xfId="2209" xr:uid="{C5D88EE3-AB7B-496E-A0D9-1FF36463CB46}"/>
    <cellStyle name="SAPBEXHLevel1X 3" xfId="811" xr:uid="{00000000-0005-0000-0000-00002C030000}"/>
    <cellStyle name="SAPBEXHLevel1X 3 2" xfId="812" xr:uid="{00000000-0005-0000-0000-00002D030000}"/>
    <cellStyle name="SAPBEXHLevel1X 3 2 2" xfId="1729" xr:uid="{BBB8D1BC-33F1-437F-B035-EC85133959CD}"/>
    <cellStyle name="SAPBEXHLevel1X 3 2 3" xfId="2217" xr:uid="{013222E3-1B79-46F0-8133-F7BAEFE937D0}"/>
    <cellStyle name="SAPBEXHLevel1X 3 3" xfId="813" xr:uid="{00000000-0005-0000-0000-00002E030000}"/>
    <cellStyle name="SAPBEXHLevel1X 3 3 2" xfId="1380" xr:uid="{E67727C2-CB77-4664-96AF-562497A4F9CB}"/>
    <cellStyle name="SAPBEXHLevel1X 3 3 3" xfId="2218" xr:uid="{8A5F2D3A-2E8C-4ED6-8B31-8EBCC5D2D376}"/>
    <cellStyle name="SAPBEXHLevel1X 3 4" xfId="814" xr:uid="{00000000-0005-0000-0000-00002F030000}"/>
    <cellStyle name="SAPBEXHLevel1X 3 4 2" xfId="1348" xr:uid="{012D6AE9-AF6A-4F9D-AEBD-D2E6F27D4D19}"/>
    <cellStyle name="SAPBEXHLevel1X 3 4 3" xfId="2219" xr:uid="{62375983-CF61-49A0-A523-6FF2801648D8}"/>
    <cellStyle name="SAPBEXHLevel1X 3 5" xfId="815" xr:uid="{00000000-0005-0000-0000-000030030000}"/>
    <cellStyle name="SAPBEXHLevel1X 3 5 2" xfId="1728" xr:uid="{EC617838-626B-44EC-8A9F-4FBDAF63DDEA}"/>
    <cellStyle name="SAPBEXHLevel1X 3 5 3" xfId="2220" xr:uid="{B7AD6957-A4B9-4BA2-923D-03ACFE3D3C60}"/>
    <cellStyle name="SAPBEXHLevel1X 3 6" xfId="1381" xr:uid="{C8BB916F-BBD8-4F8C-847D-8B8C4B6A8D2E}"/>
    <cellStyle name="SAPBEXHLevel1X 3 7" xfId="2216" xr:uid="{2497A6C2-0F09-4AE6-A8C8-05E2DA3054CE}"/>
    <cellStyle name="SAPBEXHLevel1X 4" xfId="816" xr:uid="{00000000-0005-0000-0000-000031030000}"/>
    <cellStyle name="SAPBEXHLevel1X 4 2" xfId="1727" xr:uid="{38B93AC6-7CCB-411A-82C6-C391B271EE08}"/>
    <cellStyle name="SAPBEXHLevel1X 4 3" xfId="2221" xr:uid="{65DC930F-BBB1-45BB-834D-49AD25FD34D5}"/>
    <cellStyle name="SAPBEXHLevel1X 5" xfId="1737" xr:uid="{EB2921E8-24DD-4AC2-A117-669D2753EB5C}"/>
    <cellStyle name="SAPBEXHLevel1X 6" xfId="2208" xr:uid="{A883D794-ED21-4041-91D7-1C8D29C5B1CC}"/>
    <cellStyle name="SAPBEXHLevel2" xfId="817" xr:uid="{00000000-0005-0000-0000-000032030000}"/>
    <cellStyle name="SAPBEXHLevel2 2" xfId="818" xr:uid="{00000000-0005-0000-0000-000033030000}"/>
    <cellStyle name="SAPBEXHLevel2 2 2" xfId="819" xr:uid="{00000000-0005-0000-0000-000034030000}"/>
    <cellStyle name="SAPBEXHLevel2 2 2 2" xfId="820" xr:uid="{00000000-0005-0000-0000-000035030000}"/>
    <cellStyle name="SAPBEXHLevel2 2 2 2 2" xfId="1723" xr:uid="{B57E1726-E970-436C-8E88-7A521D787BE6}"/>
    <cellStyle name="SAPBEXHLevel2 2 2 2 3" xfId="2225" xr:uid="{AFADBE74-C0AB-4357-9BD7-7A04CAB76E8A}"/>
    <cellStyle name="SAPBEXHLevel2 2 2 3" xfId="821" xr:uid="{00000000-0005-0000-0000-000036030000}"/>
    <cellStyle name="SAPBEXHLevel2 2 2 3 2" xfId="1722" xr:uid="{51AECC76-0B44-419C-BA77-476676EE03C6}"/>
    <cellStyle name="SAPBEXHLevel2 2 2 3 3" xfId="2226" xr:uid="{1ED807B1-F58F-44DF-BAE1-CB17BF5A859B}"/>
    <cellStyle name="SAPBEXHLevel2 2 2 4" xfId="822" xr:uid="{00000000-0005-0000-0000-000037030000}"/>
    <cellStyle name="SAPBEXHLevel2 2 2 4 2" xfId="1721" xr:uid="{CD0293C6-6A64-410B-B98A-CD8F5C52326F}"/>
    <cellStyle name="SAPBEXHLevel2 2 2 4 3" xfId="2227" xr:uid="{36543658-EC9D-459E-914A-F46D2230F537}"/>
    <cellStyle name="SAPBEXHLevel2 2 2 5" xfId="823" xr:uid="{00000000-0005-0000-0000-000038030000}"/>
    <cellStyle name="SAPBEXHLevel2 2 2 5 2" xfId="1720" xr:uid="{F72784A0-92B7-41CD-AA56-3AC2A5344592}"/>
    <cellStyle name="SAPBEXHLevel2 2 2 5 3" xfId="2228" xr:uid="{892C6AE9-C311-4A4C-9924-FDFC26DAD69D}"/>
    <cellStyle name="SAPBEXHLevel2 2 2 6" xfId="1724" xr:uid="{8645A7F3-0E0B-45E4-A480-FFCF018E34FE}"/>
    <cellStyle name="SAPBEXHLevel2 2 2 7" xfId="2224" xr:uid="{9DBF314F-E42C-4936-8CE7-CBA4F1CB302D}"/>
    <cellStyle name="SAPBEXHLevel2 2 3" xfId="824" xr:uid="{00000000-0005-0000-0000-000039030000}"/>
    <cellStyle name="SAPBEXHLevel2 2 3 2" xfId="1719" xr:uid="{6EB46C7F-2A4C-4FB4-8A75-803CD15D01CC}"/>
    <cellStyle name="SAPBEXHLevel2 2 3 3" xfId="2229" xr:uid="{7FAC0A04-8679-43AB-8907-20CCA240BFA5}"/>
    <cellStyle name="SAPBEXHLevel2 2 4" xfId="1725" xr:uid="{178C312C-BB0C-4659-9893-0EDFFFB8F1FC}"/>
    <cellStyle name="SAPBEXHLevel2 2 5" xfId="1364" xr:uid="{5B797A81-C04A-4977-8DAA-7929FA30FE81}"/>
    <cellStyle name="SAPBEXHLevel2 3" xfId="825" xr:uid="{00000000-0005-0000-0000-00003A030000}"/>
    <cellStyle name="SAPBEXHLevel2 3 2" xfId="826" xr:uid="{00000000-0005-0000-0000-00003B030000}"/>
    <cellStyle name="SAPBEXHLevel2 3 2 2" xfId="1717" xr:uid="{888BA7D0-3FFB-4D51-834D-D8007EDD7A7B}"/>
    <cellStyle name="SAPBEXHLevel2 3 2 3" xfId="2231" xr:uid="{2A151761-ECB0-4954-8E61-B92D15A85FD3}"/>
    <cellStyle name="SAPBEXHLevel2 3 3" xfId="827" xr:uid="{00000000-0005-0000-0000-00003C030000}"/>
    <cellStyle name="SAPBEXHLevel2 3 3 2" xfId="1716" xr:uid="{482E7B6A-2305-4601-9358-3EFB48FDC17F}"/>
    <cellStyle name="SAPBEXHLevel2 3 3 3" xfId="2232" xr:uid="{C0BD8D4D-F762-4780-8AC7-49FC03031873}"/>
    <cellStyle name="SAPBEXHLevel2 3 4" xfId="828" xr:uid="{00000000-0005-0000-0000-00003D030000}"/>
    <cellStyle name="SAPBEXHLevel2 3 4 2" xfId="1715" xr:uid="{1416D5C6-E77A-42E7-AF46-DDCE23265E7A}"/>
    <cellStyle name="SAPBEXHLevel2 3 4 3" xfId="2233" xr:uid="{2D1CB2B7-2566-4CDF-88EE-5F0CE3310F2C}"/>
    <cellStyle name="SAPBEXHLevel2 3 5" xfId="829" xr:uid="{00000000-0005-0000-0000-00003E030000}"/>
    <cellStyle name="SAPBEXHLevel2 3 5 2" xfId="1707" xr:uid="{881DF42D-8EAF-4C7C-8C68-1134F89D4190}"/>
    <cellStyle name="SAPBEXHLevel2 3 5 3" xfId="2234" xr:uid="{65C367A9-669E-495B-B317-A48E4239685C}"/>
    <cellStyle name="SAPBEXHLevel2 3 6" xfId="1718" xr:uid="{1E1A9F6E-5F38-415C-81F9-923ACB472EAA}"/>
    <cellStyle name="SAPBEXHLevel2 3 7" xfId="2230" xr:uid="{D4A93EA0-E6E7-456D-B5D7-7D642A5489A3}"/>
    <cellStyle name="SAPBEXHLevel2 4" xfId="830" xr:uid="{00000000-0005-0000-0000-00003F030000}"/>
    <cellStyle name="SAPBEXHLevel2 4 2" xfId="1706" xr:uid="{DF901035-4702-42C2-B3B9-CB301436E23D}"/>
    <cellStyle name="SAPBEXHLevel2 4 3" xfId="2292" xr:uid="{8EBCDC44-A16A-4732-8268-9BFA6B08AD1A}"/>
    <cellStyle name="SAPBEXHLevel2 5" xfId="1726" xr:uid="{FBECA963-3C2A-48FC-AA2B-E26C899A5174}"/>
    <cellStyle name="SAPBEXHLevel2 6" xfId="2223" xr:uid="{1AC37210-2F94-4393-9566-3FB11D1186DD}"/>
    <cellStyle name="SAPBEXHLevel2X" xfId="831" xr:uid="{00000000-0005-0000-0000-000040030000}"/>
    <cellStyle name="SAPBEXHLevel2X 2" xfId="832" xr:uid="{00000000-0005-0000-0000-000041030000}"/>
    <cellStyle name="SAPBEXHLevel2X 2 2" xfId="833" xr:uid="{00000000-0005-0000-0000-000042030000}"/>
    <cellStyle name="SAPBEXHLevel2X 2 2 2" xfId="834" xr:uid="{00000000-0005-0000-0000-000043030000}"/>
    <cellStyle name="SAPBEXHLevel2X 2 2 2 2" xfId="1686" xr:uid="{E91FADF9-76B7-4FB4-96C1-2FCA4E62A187}"/>
    <cellStyle name="SAPBEXHLevel2X 2 2 2 3" xfId="2238" xr:uid="{B48903D5-5E42-4300-AE6D-745F3A06EC85}"/>
    <cellStyle name="SAPBEXHLevel2X 2 2 3" xfId="835" xr:uid="{00000000-0005-0000-0000-000044030000}"/>
    <cellStyle name="SAPBEXHLevel2X 2 2 3 2" xfId="1685" xr:uid="{6033E5A8-353C-4C16-AC80-C9BF296CFFEF}"/>
    <cellStyle name="SAPBEXHLevel2X 2 2 3 3" xfId="2239" xr:uid="{8F2DB3D9-F126-4F74-A5E9-6B0FE2B53081}"/>
    <cellStyle name="SAPBEXHLevel2X 2 2 4" xfId="836" xr:uid="{00000000-0005-0000-0000-000045030000}"/>
    <cellStyle name="SAPBEXHLevel2X 2 2 4 2" xfId="1684" xr:uid="{00B4E4E4-D13C-4FA0-AAD8-52D10F0DBAC0}"/>
    <cellStyle name="SAPBEXHLevel2X 2 2 4 3" xfId="1344" xr:uid="{E3936220-A50E-46E6-8118-A90968FB15FA}"/>
    <cellStyle name="SAPBEXHLevel2X 2 2 5" xfId="837" xr:uid="{00000000-0005-0000-0000-000046030000}"/>
    <cellStyle name="SAPBEXHLevel2X 2 2 5 2" xfId="1683" xr:uid="{E0590D0E-BF7D-40AA-9E7E-EA37B89AD43D}"/>
    <cellStyle name="SAPBEXHLevel2X 2 2 5 3" xfId="2241" xr:uid="{34E7B213-1B69-4F4B-B748-6E4B3088D6E4}"/>
    <cellStyle name="SAPBEXHLevel2X 2 2 6" xfId="1687" xr:uid="{756CC1F5-0F6C-4F16-95D9-AE3931BA266F}"/>
    <cellStyle name="SAPBEXHLevel2X 2 2 7" xfId="2237" xr:uid="{C722E393-503D-4412-BF1A-994CC2914568}"/>
    <cellStyle name="SAPBEXHLevel2X 2 3" xfId="838" xr:uid="{00000000-0005-0000-0000-000047030000}"/>
    <cellStyle name="SAPBEXHLevel2X 2 3 2" xfId="1618" xr:uid="{B0C6F191-7CB7-4268-A3E7-E13068ED1FC6}"/>
    <cellStyle name="SAPBEXHLevel2X 2 3 3" xfId="2244" xr:uid="{7936B2E2-8B66-4C01-84A1-4FB106D95BDC}"/>
    <cellStyle name="SAPBEXHLevel2X 2 4" xfId="1688" xr:uid="{5F153B4C-F006-493B-A595-B1F33DD904BB}"/>
    <cellStyle name="SAPBEXHLevel2X 2 5" xfId="2236" xr:uid="{0C4E5901-8F91-4EED-AD71-4D98C7AB75E8}"/>
    <cellStyle name="SAPBEXHLevel2X 3" xfId="839" xr:uid="{00000000-0005-0000-0000-000048030000}"/>
    <cellStyle name="SAPBEXHLevel2X 3 2" xfId="840" xr:uid="{00000000-0005-0000-0000-000049030000}"/>
    <cellStyle name="SAPBEXHLevel2X 3 2 2" xfId="1555" xr:uid="{2E36278E-F92D-4039-A242-8C617236348F}"/>
    <cellStyle name="SAPBEXHLevel2X 3 2 3" xfId="2246" xr:uid="{120AC1DC-4E75-4C47-83F1-7996EBB6EA2A}"/>
    <cellStyle name="SAPBEXHLevel2X 3 3" xfId="841" xr:uid="{00000000-0005-0000-0000-00004A030000}"/>
    <cellStyle name="SAPBEXHLevel2X 3 3 2" xfId="1338" xr:uid="{6D0854F6-2BEE-416C-99F7-4373E7BA76FF}"/>
    <cellStyle name="SAPBEXHLevel2X 3 3 3" xfId="2247" xr:uid="{7AAD5EAF-58F6-40A1-9338-A47A303001AC}"/>
    <cellStyle name="SAPBEXHLevel2X 3 4" xfId="842" xr:uid="{00000000-0005-0000-0000-00004B030000}"/>
    <cellStyle name="SAPBEXHLevel2X 3 4 2" xfId="1450" xr:uid="{09835A9B-39E7-427A-AE7D-4E2287665A8C}"/>
    <cellStyle name="SAPBEXHLevel2X 3 4 3" xfId="2248" xr:uid="{3775484B-8A1C-4BFE-945C-FEB9A0A4642F}"/>
    <cellStyle name="SAPBEXHLevel2X 3 5" xfId="843" xr:uid="{00000000-0005-0000-0000-00004C030000}"/>
    <cellStyle name="SAPBEXHLevel2X 3 5 2" xfId="1449" xr:uid="{950CA861-6984-4022-98CF-A7BA323A3796}"/>
    <cellStyle name="SAPBEXHLevel2X 3 5 3" xfId="2249" xr:uid="{A05F9119-1C0E-4126-867F-1C4216BE7D24}"/>
    <cellStyle name="SAPBEXHLevel2X 3 6" xfId="1596" xr:uid="{271EA99E-0AA2-4BA9-B4BA-B6A9A752A8F8}"/>
    <cellStyle name="SAPBEXHLevel2X 3 7" xfId="2245" xr:uid="{BDB89561-9CD2-441D-8C38-4336CD262B86}"/>
    <cellStyle name="SAPBEXHLevel2X 4" xfId="844" xr:uid="{00000000-0005-0000-0000-00004D030000}"/>
    <cellStyle name="SAPBEXHLevel2X 4 2" xfId="1448" xr:uid="{05ADA784-7E6E-4E4F-A548-962FD70E1C7E}"/>
    <cellStyle name="SAPBEXHLevel2X 4 3" xfId="2250" xr:uid="{687E2E02-5D37-4A94-B7C2-379DC2E304CF}"/>
    <cellStyle name="SAPBEXHLevel2X 5" xfId="1689" xr:uid="{30912494-7F70-4DA4-BB96-E5E09CDF8238}"/>
    <cellStyle name="SAPBEXHLevel2X 6" xfId="2235" xr:uid="{28C9062B-92E6-4CBE-B5F8-9F56CDA34C2A}"/>
    <cellStyle name="SAPBEXHLevel3" xfId="845" xr:uid="{00000000-0005-0000-0000-00004E030000}"/>
    <cellStyle name="SAPBEXHLevel3 2" xfId="846" xr:uid="{00000000-0005-0000-0000-00004F030000}"/>
    <cellStyle name="SAPBEXHLevel3 2 2" xfId="847" xr:uid="{00000000-0005-0000-0000-000050030000}"/>
    <cellStyle name="SAPBEXHLevel3 2 2 2" xfId="848" xr:uid="{00000000-0005-0000-0000-000051030000}"/>
    <cellStyle name="SAPBEXHLevel3 2 2 2 2" xfId="1444" xr:uid="{28D37C67-8552-4CD8-AFBF-D63C739405DC}"/>
    <cellStyle name="SAPBEXHLevel3 2 2 2 3" xfId="2254" xr:uid="{08EE40AF-E278-4FB8-8EE6-BCEFC109E3BB}"/>
    <cellStyle name="SAPBEXHLevel3 2 2 3" xfId="849" xr:uid="{00000000-0005-0000-0000-000052030000}"/>
    <cellStyle name="SAPBEXHLevel3 2 2 3 2" xfId="1443" xr:uid="{E19F5ECF-2C98-41A5-96E0-EFCE96FB556E}"/>
    <cellStyle name="SAPBEXHLevel3 2 2 3 3" xfId="2255" xr:uid="{9654246D-E960-4FC6-A08F-0A81D9C6CFCA}"/>
    <cellStyle name="SAPBEXHLevel3 2 2 4" xfId="850" xr:uid="{00000000-0005-0000-0000-000053030000}"/>
    <cellStyle name="SAPBEXHLevel3 2 2 4 2" xfId="1442" xr:uid="{1BF0B839-8662-47CC-A08E-AB1C9EB56870}"/>
    <cellStyle name="SAPBEXHLevel3 2 2 4 3" xfId="1333" xr:uid="{FBD6EA98-F898-4939-901F-4D720FF5AEF6}"/>
    <cellStyle name="SAPBEXHLevel3 2 2 5" xfId="851" xr:uid="{00000000-0005-0000-0000-000054030000}"/>
    <cellStyle name="SAPBEXHLevel3 2 2 5 2" xfId="1441" xr:uid="{146A36D1-02DE-4E59-A4B8-9D8C610FE774}"/>
    <cellStyle name="SAPBEXHLevel3 2 2 5 3" xfId="2256" xr:uid="{2E039E65-AE0D-4D42-B6AF-0785348CB1B6}"/>
    <cellStyle name="SAPBEXHLevel3 2 2 6" xfId="1445" xr:uid="{C892FB64-3A81-467B-8A30-6CB8C123A46A}"/>
    <cellStyle name="SAPBEXHLevel3 2 2 7" xfId="2253" xr:uid="{C400E5C5-5D11-4404-AE5B-0F17A466F03A}"/>
    <cellStyle name="SAPBEXHLevel3 2 3" xfId="852" xr:uid="{00000000-0005-0000-0000-000055030000}"/>
    <cellStyle name="SAPBEXHLevel3 2 3 2" xfId="1440" xr:uid="{B1002EF1-F6A3-4FA2-AFFE-D2498C1FA1BA}"/>
    <cellStyle name="SAPBEXHLevel3 2 3 3" xfId="2257" xr:uid="{5DB2C4FD-9FEB-4828-A80A-E3321A5E1257}"/>
    <cellStyle name="SAPBEXHLevel3 2 4" xfId="1446" xr:uid="{D9BE551D-7F75-4C57-8D98-47C470A85C67}"/>
    <cellStyle name="SAPBEXHLevel3 2 5" xfId="2252" xr:uid="{6A3F6996-0739-473D-9F88-A4CE46A4AD9C}"/>
    <cellStyle name="SAPBEXHLevel3 3" xfId="853" xr:uid="{00000000-0005-0000-0000-000056030000}"/>
    <cellStyle name="SAPBEXHLevel3 3 2" xfId="854" xr:uid="{00000000-0005-0000-0000-000057030000}"/>
    <cellStyle name="SAPBEXHLevel3 3 2 2" xfId="1430" xr:uid="{8F750119-D13F-40AD-8F58-6EDC32D3F604}"/>
    <cellStyle name="SAPBEXHLevel3 3 2 3" xfId="1335" xr:uid="{59CDCCC9-9E33-44C7-A190-C297FB2D30CA}"/>
    <cellStyle name="SAPBEXHLevel3 3 3" xfId="855" xr:uid="{00000000-0005-0000-0000-000058030000}"/>
    <cellStyle name="SAPBEXHLevel3 3 3 2" xfId="1429" xr:uid="{EE05C7A9-7372-4470-B99C-B7E02FCCD1F7}"/>
    <cellStyle name="SAPBEXHLevel3 3 3 3" xfId="1330" xr:uid="{66FE529A-2BC1-48B2-B841-95CF49235418}"/>
    <cellStyle name="SAPBEXHLevel3 3 4" xfId="856" xr:uid="{00000000-0005-0000-0000-000059030000}"/>
    <cellStyle name="SAPBEXHLevel3 3 4 2" xfId="1428" xr:uid="{A6222441-49F1-4D0C-903A-4889C7743525}"/>
    <cellStyle name="SAPBEXHLevel3 3 4 3" xfId="1387" xr:uid="{E0D2CA8A-1B56-4EF1-A172-C46D31DC4CE5}"/>
    <cellStyle name="SAPBEXHLevel3 3 5" xfId="857" xr:uid="{00000000-0005-0000-0000-00005A030000}"/>
    <cellStyle name="SAPBEXHLevel3 3 5 2" xfId="1427" xr:uid="{41647A74-0566-4D1C-95FE-BEB1B2CDDAA8}"/>
    <cellStyle name="SAPBEXHLevel3 3 5 3" xfId="2259" xr:uid="{1DE5135C-06FD-4E8A-AC4A-0583ACF959B0}"/>
    <cellStyle name="SAPBEXHLevel3 3 6" xfId="1439" xr:uid="{BC11627B-B61A-456D-8A4E-9D91EF15516A}"/>
    <cellStyle name="SAPBEXHLevel3 3 7" xfId="2258" xr:uid="{3DDEB0A5-7AD1-43AF-87F9-43EB66DA6C45}"/>
    <cellStyle name="SAPBEXHLevel3 4" xfId="858" xr:uid="{00000000-0005-0000-0000-00005B030000}"/>
    <cellStyle name="SAPBEXHLevel3 4 2" xfId="1426" xr:uid="{6C7FF4B7-5AF0-46BA-B78B-D32580CDD0AC}"/>
    <cellStyle name="SAPBEXHLevel3 4 3" xfId="2260" xr:uid="{11FB80B8-F781-424C-BDDB-2DDBB0752C1B}"/>
    <cellStyle name="SAPBEXHLevel3 5" xfId="1447" xr:uid="{F210BCA5-7EB9-4E74-BBA5-EC8D329B76D5}"/>
    <cellStyle name="SAPBEXHLevel3 6" xfId="2251" xr:uid="{790C151A-E932-4309-BD79-ED03FEBCE614}"/>
    <cellStyle name="SAPBEXHLevel3X" xfId="859" xr:uid="{00000000-0005-0000-0000-00005C030000}"/>
    <cellStyle name="SAPBEXHLevel3X 2" xfId="860" xr:uid="{00000000-0005-0000-0000-00005D030000}"/>
    <cellStyle name="SAPBEXHLevel3X 2 2" xfId="861" xr:uid="{00000000-0005-0000-0000-00005E030000}"/>
    <cellStyle name="SAPBEXHLevel3X 2 2 2" xfId="862" xr:uid="{00000000-0005-0000-0000-00005F030000}"/>
    <cellStyle name="SAPBEXHLevel3X 2 2 2 2" xfId="1422" xr:uid="{0838F6A7-DC33-46B4-BE7B-212605C04D9C}"/>
    <cellStyle name="SAPBEXHLevel3X 2 2 2 3" xfId="1391" xr:uid="{912B4FC2-22BC-4BEB-AED2-D8911588B559}"/>
    <cellStyle name="SAPBEXHLevel3X 2 2 3" xfId="863" xr:uid="{00000000-0005-0000-0000-000060030000}"/>
    <cellStyle name="SAPBEXHLevel3X 2 2 3 2" xfId="1421" xr:uid="{041BFB36-D4A5-4AA9-B321-DC8E1408AB40}"/>
    <cellStyle name="SAPBEXHLevel3X 2 2 3 3" xfId="1384" xr:uid="{B25BD896-3D77-4CBC-B9C0-E6F7BFE38E36}"/>
    <cellStyle name="SAPBEXHLevel3X 2 2 4" xfId="864" xr:uid="{00000000-0005-0000-0000-000061030000}"/>
    <cellStyle name="SAPBEXHLevel3X 2 2 4 2" xfId="1420" xr:uid="{811B778F-1AFD-440A-8CF9-F5F0F8E91310}"/>
    <cellStyle name="SAPBEXHLevel3X 2 2 4 3" xfId="2264" xr:uid="{56230330-C53D-4707-B265-678DDF9DAE54}"/>
    <cellStyle name="SAPBEXHLevel3X 2 2 5" xfId="865" xr:uid="{00000000-0005-0000-0000-000062030000}"/>
    <cellStyle name="SAPBEXHLevel3X 2 2 5 2" xfId="1419" xr:uid="{7EE9FFEC-5283-42DA-B549-0E6236A333A1}"/>
    <cellStyle name="SAPBEXHLevel3X 2 2 5 3" xfId="2265" xr:uid="{37590736-2B77-4968-B1F7-3B1A43534A4F}"/>
    <cellStyle name="SAPBEXHLevel3X 2 2 6" xfId="1423" xr:uid="{A172E0C9-A799-40C0-8ED1-00297B7C1B12}"/>
    <cellStyle name="SAPBEXHLevel3X 2 2 7" xfId="2263" xr:uid="{E09D3874-3DD2-4353-BB52-948B9A1D2CF1}"/>
    <cellStyle name="SAPBEXHLevel3X 2 3" xfId="866" xr:uid="{00000000-0005-0000-0000-000063030000}"/>
    <cellStyle name="SAPBEXHLevel3X 2 3 2" xfId="1418" xr:uid="{CB999CB2-E3F9-4C56-92CB-6B3D73EA5F71}"/>
    <cellStyle name="SAPBEXHLevel3X 2 3 3" xfId="2266" xr:uid="{0939217D-8BCF-4164-B8E8-217328D82E9B}"/>
    <cellStyle name="SAPBEXHLevel3X 2 4" xfId="1424" xr:uid="{A36B8225-A583-42E0-B317-1FB5F780989B}"/>
    <cellStyle name="SAPBEXHLevel3X 2 5" xfId="2262" xr:uid="{0A240024-68FC-4966-9436-9E7FEF62FD5D}"/>
    <cellStyle name="SAPBEXHLevel3X 3" xfId="867" xr:uid="{00000000-0005-0000-0000-000064030000}"/>
    <cellStyle name="SAPBEXHLevel3X 3 2" xfId="868" xr:uid="{00000000-0005-0000-0000-000065030000}"/>
    <cellStyle name="SAPBEXHLevel3X 3 2 2" xfId="1416" xr:uid="{3576264B-31E8-44D9-A1E9-16E661064943}"/>
    <cellStyle name="SAPBEXHLevel3X 3 2 3" xfId="2270" xr:uid="{B52DBEE8-65C7-488C-A0A5-EEB51C785B0E}"/>
    <cellStyle name="SAPBEXHLevel3X 3 3" xfId="869" xr:uid="{00000000-0005-0000-0000-000066030000}"/>
    <cellStyle name="SAPBEXHLevel3X 3 3 2" xfId="1415" xr:uid="{900A8617-46AD-468E-8724-5A31B7AA67D0}"/>
    <cellStyle name="SAPBEXHLevel3X 3 3 3" xfId="2271" xr:uid="{2969064C-82F8-4132-8663-A8CC347ECCD4}"/>
    <cellStyle name="SAPBEXHLevel3X 3 4" xfId="870" xr:uid="{00000000-0005-0000-0000-000067030000}"/>
    <cellStyle name="SAPBEXHLevel3X 3 4 2" xfId="1414" xr:uid="{FC097E8A-E115-4D43-845C-DAAABE49E7DF}"/>
    <cellStyle name="SAPBEXHLevel3X 3 4 3" xfId="2272" xr:uid="{F51E62F5-FE53-4F19-89ED-2BB54DD67A79}"/>
    <cellStyle name="SAPBEXHLevel3X 3 5" xfId="871" xr:uid="{00000000-0005-0000-0000-000068030000}"/>
    <cellStyle name="SAPBEXHLevel3X 3 5 2" xfId="1413" xr:uid="{494D05A1-D615-42B7-ACFA-BA7F15069928}"/>
    <cellStyle name="SAPBEXHLevel3X 3 5 3" xfId="2273" xr:uid="{0F30C3C0-B8E0-4806-AFEF-44ED3EA0F642}"/>
    <cellStyle name="SAPBEXHLevel3X 3 6" xfId="1417" xr:uid="{7704B1BA-B085-4DB1-BACC-DCF491D3C68D}"/>
    <cellStyle name="SAPBEXHLevel3X 3 7" xfId="2269" xr:uid="{98A66C9F-42F8-4306-A2A0-F991796F9CD5}"/>
    <cellStyle name="SAPBEXHLevel3X 4" xfId="872" xr:uid="{00000000-0005-0000-0000-000069030000}"/>
    <cellStyle name="SAPBEXHLevel3X 4 2" xfId="1412" xr:uid="{A389CD18-F569-4500-B785-C35FE80C92A9}"/>
    <cellStyle name="SAPBEXHLevel3X 4 3" xfId="2274" xr:uid="{41CD25F6-C92C-4B8C-B1BC-140AE1A3B536}"/>
    <cellStyle name="SAPBEXHLevel3X 5" xfId="1425" xr:uid="{6142B5B7-CD7C-4944-A54D-0200CB012C49}"/>
    <cellStyle name="SAPBEXHLevel3X 6" xfId="2261" xr:uid="{C55EFE4F-380B-424D-B2CD-E295966F617F}"/>
    <cellStyle name="SAPBEXresData" xfId="873" xr:uid="{00000000-0005-0000-0000-00006A030000}"/>
    <cellStyle name="SAPBEXresData 2" xfId="874" xr:uid="{00000000-0005-0000-0000-00006B030000}"/>
    <cellStyle name="SAPBEXresData 2 2" xfId="875" xr:uid="{00000000-0005-0000-0000-00006C030000}"/>
    <cellStyle name="SAPBEXresData 2 2 2" xfId="876" xr:uid="{00000000-0005-0000-0000-00006D030000}"/>
    <cellStyle name="SAPBEXresData 2 2 2 2" xfId="1408" xr:uid="{08004514-B349-4153-BB45-44A395128FA0}"/>
    <cellStyle name="SAPBEXresData 2 2 2 3" xfId="2278" xr:uid="{804EBBE6-F53E-4B1E-96A8-588C350D2903}"/>
    <cellStyle name="SAPBEXresData 2 2 3" xfId="877" xr:uid="{00000000-0005-0000-0000-00006E030000}"/>
    <cellStyle name="SAPBEXresData 2 2 3 2" xfId="1407" xr:uid="{1288DBC5-5D14-4BB1-A0C9-26162FE51F50}"/>
    <cellStyle name="SAPBEXresData 2 2 3 3" xfId="2279" xr:uid="{C9490563-5C1F-4C38-97F8-1AE00C1060F6}"/>
    <cellStyle name="SAPBEXresData 2 2 4" xfId="878" xr:uid="{00000000-0005-0000-0000-00006F030000}"/>
    <cellStyle name="SAPBEXresData 2 2 4 2" xfId="1406" xr:uid="{3EBE7C92-0791-4F5D-9F0A-D86C490E10C3}"/>
    <cellStyle name="SAPBEXresData 2 2 4 3" xfId="2280" xr:uid="{F5F0F112-7C4E-4B6B-AB07-00FBEE760AA9}"/>
    <cellStyle name="SAPBEXresData 2 2 5" xfId="879" xr:uid="{00000000-0005-0000-0000-000070030000}"/>
    <cellStyle name="SAPBEXresData 2 2 5 2" xfId="1405" xr:uid="{456E7B45-836A-42BD-906B-3C718CF84D2F}"/>
    <cellStyle name="SAPBEXresData 2 2 5 3" xfId="2281" xr:uid="{1015E202-D135-4732-B7E6-4C7F03B6E4C8}"/>
    <cellStyle name="SAPBEXresData 2 2 6" xfId="1409" xr:uid="{0E1E9662-F105-42E8-9EA1-BD2C4DB31924}"/>
    <cellStyle name="SAPBEXresData 2 2 7" xfId="2277" xr:uid="{4DA21052-F8C4-431A-8CB3-E90AB625F1DA}"/>
    <cellStyle name="SAPBEXresData 2 3" xfId="880" xr:uid="{00000000-0005-0000-0000-000071030000}"/>
    <cellStyle name="SAPBEXresData 2 3 2" xfId="1404" xr:uid="{135075CC-5972-4324-A2E4-3B9BD2ED9331}"/>
    <cellStyle name="SAPBEXresData 2 3 3" xfId="2282" xr:uid="{7E7D4DF3-3ADC-45CE-A8BC-936B85FA8971}"/>
    <cellStyle name="SAPBEXresData 2 4" xfId="1410" xr:uid="{8DED04E0-B492-44E4-8C54-ECA24EFF647C}"/>
    <cellStyle name="SAPBEXresData 2 5" xfId="2276" xr:uid="{D49D5B39-828F-4E06-B669-7D15AE165774}"/>
    <cellStyle name="SAPBEXresData 3" xfId="881" xr:uid="{00000000-0005-0000-0000-000072030000}"/>
    <cellStyle name="SAPBEXresData 3 2" xfId="882" xr:uid="{00000000-0005-0000-0000-000073030000}"/>
    <cellStyle name="SAPBEXresData 3 2 2" xfId="1402" xr:uid="{B45CF764-79EE-4C80-853C-0AF0EA7DDAEE}"/>
    <cellStyle name="SAPBEXresData 3 2 3" xfId="2283" xr:uid="{08CE8625-5FE9-476F-A244-B7576A2E3A6C}"/>
    <cellStyle name="SAPBEXresData 3 3" xfId="883" xr:uid="{00000000-0005-0000-0000-000074030000}"/>
    <cellStyle name="SAPBEXresData 3 3 2" xfId="1401" xr:uid="{466C7DC5-2ABF-40EA-87C1-E3DA9175B443}"/>
    <cellStyle name="SAPBEXresData 3 3 3" xfId="1350" xr:uid="{4ED69BEB-ECFB-4DD8-B02F-34FE5BF322DD}"/>
    <cellStyle name="SAPBEXresData 3 4" xfId="884" xr:uid="{00000000-0005-0000-0000-000075030000}"/>
    <cellStyle name="SAPBEXresData 3 4 2" xfId="1400" xr:uid="{74C1FC4E-0437-4F9C-A96F-9A94FD974D56}"/>
    <cellStyle name="SAPBEXresData 3 4 3" xfId="2285" xr:uid="{FB6C5A35-5D4A-486F-81CA-6C91EDF26F00}"/>
    <cellStyle name="SAPBEXresData 3 5" xfId="885" xr:uid="{00000000-0005-0000-0000-000076030000}"/>
    <cellStyle name="SAPBEXresData 3 5 2" xfId="1399" xr:uid="{A2BA6B5A-FBEC-41D2-8B51-C3A7E1CF77B6}"/>
    <cellStyle name="SAPBEXresData 3 5 3" xfId="2286" xr:uid="{DA2B6021-93E0-417D-8FC2-EA975934612C}"/>
    <cellStyle name="SAPBEXresData 3 6" xfId="1403" xr:uid="{C84FF026-7377-457E-8892-ADDBA39AFD7B}"/>
    <cellStyle name="SAPBEXresData 3 7" xfId="1360" xr:uid="{6D76E78D-24E7-4262-AE4D-F33C77460E78}"/>
    <cellStyle name="SAPBEXresData 4" xfId="886" xr:uid="{00000000-0005-0000-0000-000077030000}"/>
    <cellStyle name="SAPBEXresData 4 2" xfId="1398" xr:uid="{7BF353BE-A993-4A70-9032-4D7AF5163049}"/>
    <cellStyle name="SAPBEXresData 4 3" xfId="2287" xr:uid="{395BAA3C-F59E-4D23-9DA7-105485AF0ACD}"/>
    <cellStyle name="SAPBEXresData 5" xfId="1411" xr:uid="{AED7E086-856F-40AC-924D-A502881538AE}"/>
    <cellStyle name="SAPBEXresData 6" xfId="2275" xr:uid="{05F22F20-6351-4CAD-A0E4-C72DB7EBC1B7}"/>
    <cellStyle name="SAPBEXresDataEmph" xfId="887" xr:uid="{00000000-0005-0000-0000-000078030000}"/>
    <cellStyle name="SAPBEXresDataEmph 2" xfId="888" xr:uid="{00000000-0005-0000-0000-000079030000}"/>
    <cellStyle name="SAPBEXresDataEmph 2 2" xfId="889" xr:uid="{00000000-0005-0000-0000-00007A030000}"/>
    <cellStyle name="SAPBEXresDataEmph 2 2 2" xfId="890" xr:uid="{00000000-0005-0000-0000-00007B030000}"/>
    <cellStyle name="SAPBEXresDataEmph 2 2 2 2" xfId="1394" xr:uid="{CDB59F88-6F57-471C-A310-4933DEDE0415}"/>
    <cellStyle name="SAPBEXresDataEmph 2 2 2 3" xfId="2523" xr:uid="{175ED348-B96F-4594-A9D2-6B1A35515180}"/>
    <cellStyle name="SAPBEXresDataEmph 2 2 3" xfId="891" xr:uid="{00000000-0005-0000-0000-00007C030000}"/>
    <cellStyle name="SAPBEXresDataEmph 2 2 3 2" xfId="1393" xr:uid="{633FF92A-EB82-4141-A2FD-6301BC0C467B}"/>
    <cellStyle name="SAPBEXresDataEmph 2 2 3 3" xfId="2524" xr:uid="{A7B74792-3EB7-43D5-9D1B-1D5A62DC961E}"/>
    <cellStyle name="SAPBEXresDataEmph 2 2 4" xfId="892" xr:uid="{00000000-0005-0000-0000-00007D030000}"/>
    <cellStyle name="SAPBEXresDataEmph 2 2 4 2" xfId="2414" xr:uid="{587D2ED2-C23B-4565-B1B4-F17D773D5B0E}"/>
    <cellStyle name="SAPBEXresDataEmph 2 2 4 3" xfId="2525" xr:uid="{6D2647B6-0E61-4DA3-9886-AD1A400176BA}"/>
    <cellStyle name="SAPBEXresDataEmph 2 2 5" xfId="893" xr:uid="{00000000-0005-0000-0000-00007E030000}"/>
    <cellStyle name="SAPBEXresDataEmph 2 2 5 2" xfId="2415" xr:uid="{4843A225-42BB-4DA4-A0EB-46EAE922C3B4}"/>
    <cellStyle name="SAPBEXresDataEmph 2 2 5 3" xfId="2526" xr:uid="{5D00E0A7-AA19-4A91-B990-B743BF0F570E}"/>
    <cellStyle name="SAPBEXresDataEmph 2 2 6" xfId="1395" xr:uid="{35EFCA57-88EA-4497-B214-15E7640EC690}"/>
    <cellStyle name="SAPBEXresDataEmph 2 2 7" xfId="2522" xr:uid="{46198AC8-2536-4B8F-9A55-EE3E7F46F5D5}"/>
    <cellStyle name="SAPBEXresDataEmph 2 3" xfId="894" xr:uid="{00000000-0005-0000-0000-00007F030000}"/>
    <cellStyle name="SAPBEXresDataEmph 2 3 2" xfId="2416" xr:uid="{02005319-0D01-4FC8-BDD7-E7BD1E7AD6A8}"/>
    <cellStyle name="SAPBEXresDataEmph 2 3 3" xfId="2527" xr:uid="{43793D26-21D8-4DA2-9698-48783F51EDBF}"/>
    <cellStyle name="SAPBEXresDataEmph 2 4" xfId="1396" xr:uid="{2D23EAF2-6305-4392-A70D-E87657CB1D9A}"/>
    <cellStyle name="SAPBEXresDataEmph 2 5" xfId="2289" xr:uid="{4C5DD7DE-907C-4F41-8467-CF9FCC43038C}"/>
    <cellStyle name="SAPBEXresDataEmph 3" xfId="895" xr:uid="{00000000-0005-0000-0000-000080030000}"/>
    <cellStyle name="SAPBEXresDataEmph 3 2" xfId="896" xr:uid="{00000000-0005-0000-0000-000081030000}"/>
    <cellStyle name="SAPBEXresDataEmph 3 2 2" xfId="2418" xr:uid="{7141DE4D-0667-4BD4-8DB3-A3FF5E05E613}"/>
    <cellStyle name="SAPBEXresDataEmph 3 2 3" xfId="2529" xr:uid="{BDC61CA8-F998-4039-9CBC-28937046A3C8}"/>
    <cellStyle name="SAPBEXresDataEmph 3 3" xfId="897" xr:uid="{00000000-0005-0000-0000-000082030000}"/>
    <cellStyle name="SAPBEXresDataEmph 3 3 2" xfId="2419" xr:uid="{6CAA4035-C84D-466B-AA17-AEE6BF50970B}"/>
    <cellStyle name="SAPBEXresDataEmph 3 3 3" xfId="2530" xr:uid="{9029BA6F-DB50-4CD7-888F-16208BF75505}"/>
    <cellStyle name="SAPBEXresDataEmph 3 4" xfId="898" xr:uid="{00000000-0005-0000-0000-000083030000}"/>
    <cellStyle name="SAPBEXresDataEmph 3 4 2" xfId="2420" xr:uid="{3999F2E3-A93C-412B-B005-92B8B9C9FE06}"/>
    <cellStyle name="SAPBEXresDataEmph 3 4 3" xfId="2531" xr:uid="{FB463A38-A5B6-4675-B1A4-E999EB76BEB9}"/>
    <cellStyle name="SAPBEXresDataEmph 3 5" xfId="899" xr:uid="{00000000-0005-0000-0000-000084030000}"/>
    <cellStyle name="SAPBEXresDataEmph 3 5 2" xfId="2421" xr:uid="{FA78F191-DEA8-4ADB-ADA0-2E7D26F0351F}"/>
    <cellStyle name="SAPBEXresDataEmph 3 5 3" xfId="2532" xr:uid="{DE696B1C-F619-44B9-8AFB-A940AAA08F16}"/>
    <cellStyle name="SAPBEXresDataEmph 3 6" xfId="2417" xr:uid="{537C126A-D9C6-4104-85C7-8C1720CD3F0A}"/>
    <cellStyle name="SAPBEXresDataEmph 3 7" xfId="2528" xr:uid="{F4551D4C-4192-461E-8AC9-CACC534C2FE3}"/>
    <cellStyle name="SAPBEXresDataEmph 4" xfId="900" xr:uid="{00000000-0005-0000-0000-000085030000}"/>
    <cellStyle name="SAPBEXresDataEmph 4 2" xfId="2422" xr:uid="{88FC0146-48CA-4F2F-A8AB-E650BD082705}"/>
    <cellStyle name="SAPBEXresDataEmph 4 3" xfId="2533" xr:uid="{5C84B3A2-E9CF-41A8-B120-A8F8C572FB4F}"/>
    <cellStyle name="SAPBEXresDataEmph 5" xfId="1397" xr:uid="{D3307AA9-A08C-4721-B483-4BDD26362057}"/>
    <cellStyle name="SAPBEXresDataEmph 6" xfId="2288" xr:uid="{B9C0E831-18D5-4B6E-8C8C-46C18A36CB01}"/>
    <cellStyle name="SAPBEXresItem" xfId="901" xr:uid="{00000000-0005-0000-0000-000086030000}"/>
    <cellStyle name="SAPBEXresItem 2" xfId="902" xr:uid="{00000000-0005-0000-0000-000087030000}"/>
    <cellStyle name="SAPBEXresItem 2 2" xfId="903" xr:uid="{00000000-0005-0000-0000-000088030000}"/>
    <cellStyle name="SAPBEXresItem 2 2 2" xfId="904" xr:uid="{00000000-0005-0000-0000-000089030000}"/>
    <cellStyle name="SAPBEXresItem 2 2 2 2" xfId="2426" xr:uid="{6E7167E6-B44D-44C6-A89B-C48079AAA28E}"/>
    <cellStyle name="SAPBEXresItem 2 2 2 3" xfId="2537" xr:uid="{1333F282-821F-485A-89B3-8C8900395E00}"/>
    <cellStyle name="SAPBEXresItem 2 2 3" xfId="905" xr:uid="{00000000-0005-0000-0000-00008A030000}"/>
    <cellStyle name="SAPBEXresItem 2 2 3 2" xfId="2427" xr:uid="{08B4377D-1A7F-44E9-969D-23FC13F5E341}"/>
    <cellStyle name="SAPBEXresItem 2 2 3 3" xfId="2538" xr:uid="{37E3D6E1-7D30-4B10-AA9F-F60F4689F402}"/>
    <cellStyle name="SAPBEXresItem 2 2 4" xfId="906" xr:uid="{00000000-0005-0000-0000-00008B030000}"/>
    <cellStyle name="SAPBEXresItem 2 2 4 2" xfId="2428" xr:uid="{A7CF2194-B0DC-42D3-982A-A5C76D5279E6}"/>
    <cellStyle name="SAPBEXresItem 2 2 4 3" xfId="2539" xr:uid="{AFEB8681-0889-479B-9115-0D515FA4974B}"/>
    <cellStyle name="SAPBEXresItem 2 2 5" xfId="907" xr:uid="{00000000-0005-0000-0000-00008C030000}"/>
    <cellStyle name="SAPBEXresItem 2 2 5 2" xfId="2429" xr:uid="{5B708DF4-383B-4F73-B79D-2D6E3C211F9D}"/>
    <cellStyle name="SAPBEXresItem 2 2 5 3" xfId="2540" xr:uid="{6426C244-A568-44FA-9A35-25D37ACA6E66}"/>
    <cellStyle name="SAPBEXresItem 2 2 6" xfId="2425" xr:uid="{B8E54F50-7839-4964-A824-83CA23876675}"/>
    <cellStyle name="SAPBEXresItem 2 2 7" xfId="2536" xr:uid="{331E993B-1923-4557-BE18-30BE1CE16951}"/>
    <cellStyle name="SAPBEXresItem 2 3" xfId="908" xr:uid="{00000000-0005-0000-0000-00008D030000}"/>
    <cellStyle name="SAPBEXresItem 2 3 2" xfId="2430" xr:uid="{E8DBEE43-9B24-482B-B039-2AAAB16AAF75}"/>
    <cellStyle name="SAPBEXresItem 2 3 3" xfId="2541" xr:uid="{436CB5ED-DF33-4319-A897-74B97425B8A0}"/>
    <cellStyle name="SAPBEXresItem 2 4" xfId="2424" xr:uid="{BD3B44E5-5121-4F2C-A9CA-5487225415C0}"/>
    <cellStyle name="SAPBEXresItem 2 5" xfId="2535" xr:uid="{CDED6D93-44D5-47CA-A870-2A1304C8181C}"/>
    <cellStyle name="SAPBEXresItem 3" xfId="909" xr:uid="{00000000-0005-0000-0000-00008E030000}"/>
    <cellStyle name="SAPBEXresItem 3 2" xfId="910" xr:uid="{00000000-0005-0000-0000-00008F030000}"/>
    <cellStyle name="SAPBEXresItem 3 2 2" xfId="2432" xr:uid="{FE98C3B3-4254-4A24-BA69-5968B3087FE4}"/>
    <cellStyle name="SAPBEXresItem 3 2 3" xfId="2543" xr:uid="{398F118D-8219-4B5B-A204-12C54D2FF1D1}"/>
    <cellStyle name="SAPBEXresItem 3 3" xfId="911" xr:uid="{00000000-0005-0000-0000-000090030000}"/>
    <cellStyle name="SAPBEXresItem 3 3 2" xfId="2433" xr:uid="{D13FE837-A8E7-48C0-A5AD-2C08BA061953}"/>
    <cellStyle name="SAPBEXresItem 3 3 3" xfId="2544" xr:uid="{8E0A8F18-DFFE-4393-9A42-6584FE96EB65}"/>
    <cellStyle name="SAPBEXresItem 3 4" xfId="912" xr:uid="{00000000-0005-0000-0000-000091030000}"/>
    <cellStyle name="SAPBEXresItem 3 4 2" xfId="2434" xr:uid="{788813CB-1ACE-43E2-A926-C373895DA299}"/>
    <cellStyle name="SAPBEXresItem 3 4 3" xfId="2545" xr:uid="{4CFF7352-2D54-411C-916B-C8974B6A1DC6}"/>
    <cellStyle name="SAPBEXresItem 3 5" xfId="913" xr:uid="{00000000-0005-0000-0000-000092030000}"/>
    <cellStyle name="SAPBEXresItem 3 5 2" xfId="2435" xr:uid="{488677EB-EDD8-4AC6-97DB-0020C9228F75}"/>
    <cellStyle name="SAPBEXresItem 3 5 3" xfId="2546" xr:uid="{CC49E0B0-4375-4809-9D14-25AEF394CFBE}"/>
    <cellStyle name="SAPBEXresItem 3 6" xfId="2431" xr:uid="{11013433-E12E-425D-BC88-C3522168CE52}"/>
    <cellStyle name="SAPBEXresItem 3 7" xfId="2542" xr:uid="{8AA4256B-9184-448B-9668-4A67D5934478}"/>
    <cellStyle name="SAPBEXresItem 4" xfId="914" xr:uid="{00000000-0005-0000-0000-000093030000}"/>
    <cellStyle name="SAPBEXresItem 4 2" xfId="2436" xr:uid="{40AC2F43-486C-4D55-BBCE-F6A8D175668A}"/>
    <cellStyle name="SAPBEXresItem 4 3" xfId="2547" xr:uid="{FC2C59F7-3F08-4270-A33A-1D9F7589F7DB}"/>
    <cellStyle name="SAPBEXresItem 5" xfId="2423" xr:uid="{CFC55970-8B3E-4E6A-A6F7-06C142E94292}"/>
    <cellStyle name="SAPBEXresItem 6" xfId="2534" xr:uid="{31E31938-443A-4939-AC54-3B6886A4166E}"/>
    <cellStyle name="SAPBEXresItemX" xfId="915" xr:uid="{00000000-0005-0000-0000-000094030000}"/>
    <cellStyle name="SAPBEXresItemX 2" xfId="916" xr:uid="{00000000-0005-0000-0000-000095030000}"/>
    <cellStyle name="SAPBEXresItemX 2 2" xfId="917" xr:uid="{00000000-0005-0000-0000-000096030000}"/>
    <cellStyle name="SAPBEXresItemX 2 2 2" xfId="918" xr:uid="{00000000-0005-0000-0000-000097030000}"/>
    <cellStyle name="SAPBEXresItemX 2 2 2 2" xfId="2440" xr:uid="{C760D3DD-4C65-4BD3-8FC1-67368FD987A7}"/>
    <cellStyle name="SAPBEXresItemX 2 2 2 3" xfId="2551" xr:uid="{07089FEE-5C26-4651-AA6B-EB248EC6A60D}"/>
    <cellStyle name="SAPBEXresItemX 2 2 3" xfId="919" xr:uid="{00000000-0005-0000-0000-000098030000}"/>
    <cellStyle name="SAPBEXresItemX 2 2 3 2" xfId="2441" xr:uid="{12ED487B-26FE-4847-81D5-CBBF46A7803B}"/>
    <cellStyle name="SAPBEXresItemX 2 2 3 3" xfId="2552" xr:uid="{EF2BC917-5E2B-442D-BF5A-336EE12C81EF}"/>
    <cellStyle name="SAPBEXresItemX 2 2 4" xfId="920" xr:uid="{00000000-0005-0000-0000-000099030000}"/>
    <cellStyle name="SAPBEXresItemX 2 2 4 2" xfId="2442" xr:uid="{4BACC97B-7593-45C1-BF3E-F9AC68C0304F}"/>
    <cellStyle name="SAPBEXresItemX 2 2 4 3" xfId="2553" xr:uid="{23D4D57F-21A8-46A4-8109-0B66CC5FFA16}"/>
    <cellStyle name="SAPBEXresItemX 2 2 5" xfId="921" xr:uid="{00000000-0005-0000-0000-00009A030000}"/>
    <cellStyle name="SAPBEXresItemX 2 2 5 2" xfId="2443" xr:uid="{DEAC4063-E71A-47EB-A038-E087BB1B296A}"/>
    <cellStyle name="SAPBEXresItemX 2 2 5 3" xfId="2554" xr:uid="{CD8B0AAF-5E0D-452F-A7FA-4AAAC6643F4A}"/>
    <cellStyle name="SAPBEXresItemX 2 2 6" xfId="2439" xr:uid="{53DF6586-FAE0-4153-9E8E-C2AE6642241E}"/>
    <cellStyle name="SAPBEXresItemX 2 2 7" xfId="2550" xr:uid="{80626C52-DA90-4ECE-A335-AB0DA882489C}"/>
    <cellStyle name="SAPBEXresItemX 2 3" xfId="922" xr:uid="{00000000-0005-0000-0000-00009B030000}"/>
    <cellStyle name="SAPBEXresItemX 2 3 2" xfId="2444" xr:uid="{75F49BA4-E2CB-41C7-9290-5C01F8C75717}"/>
    <cellStyle name="SAPBEXresItemX 2 3 3" xfId="2555" xr:uid="{2B989A0C-A5D2-4A17-9E22-4A0E0965C089}"/>
    <cellStyle name="SAPBEXresItemX 2 4" xfId="2438" xr:uid="{00A1EE79-FD3C-4E7A-92A3-77C6080EFD59}"/>
    <cellStyle name="SAPBEXresItemX 2 5" xfId="2549" xr:uid="{35E7397B-80A6-4B3B-A7C3-D4829E1622F9}"/>
    <cellStyle name="SAPBEXresItemX 3" xfId="923" xr:uid="{00000000-0005-0000-0000-00009C030000}"/>
    <cellStyle name="SAPBEXresItemX 3 2" xfId="924" xr:uid="{00000000-0005-0000-0000-00009D030000}"/>
    <cellStyle name="SAPBEXresItemX 3 2 2" xfId="2446" xr:uid="{5F452540-5719-47FA-85F6-E83DFF6FF788}"/>
    <cellStyle name="SAPBEXresItemX 3 2 3" xfId="2557" xr:uid="{DD7D9D8D-21A7-4497-B024-380A6A000654}"/>
    <cellStyle name="SAPBEXresItemX 3 3" xfId="925" xr:uid="{00000000-0005-0000-0000-00009E030000}"/>
    <cellStyle name="SAPBEXresItemX 3 3 2" xfId="2447" xr:uid="{DA245696-1AD4-4E22-9605-88DF0D8442D6}"/>
    <cellStyle name="SAPBEXresItemX 3 3 3" xfId="2558" xr:uid="{F12E739D-6427-44AB-9252-5AB782E16A15}"/>
    <cellStyle name="SAPBEXresItemX 3 4" xfId="926" xr:uid="{00000000-0005-0000-0000-00009F030000}"/>
    <cellStyle name="SAPBEXresItemX 3 4 2" xfId="2448" xr:uid="{732C2A25-1F7F-4AEF-96C0-2A516F987B8F}"/>
    <cellStyle name="SAPBEXresItemX 3 4 3" xfId="2559" xr:uid="{128D46A1-BB36-4C50-A4C5-B07FE25E29E8}"/>
    <cellStyle name="SAPBEXresItemX 3 5" xfId="927" xr:uid="{00000000-0005-0000-0000-0000A0030000}"/>
    <cellStyle name="SAPBEXresItemX 3 5 2" xfId="2449" xr:uid="{690C0E71-4BA2-4517-BF0B-8B4AB1D6CF1B}"/>
    <cellStyle name="SAPBEXresItemX 3 5 3" xfId="2560" xr:uid="{017A947D-3E14-4253-BFF4-2E703864E117}"/>
    <cellStyle name="SAPBEXresItemX 3 6" xfId="2445" xr:uid="{99302FF7-E0F1-4E90-9AD6-D2271BF78780}"/>
    <cellStyle name="SAPBEXresItemX 3 7" xfId="2556" xr:uid="{63E8ADE5-A93E-4BF3-B65C-4B73B9D4A5E9}"/>
    <cellStyle name="SAPBEXresItemX 4" xfId="928" xr:uid="{00000000-0005-0000-0000-0000A1030000}"/>
    <cellStyle name="SAPBEXresItemX 4 2" xfId="2450" xr:uid="{F9E2D96B-4C92-4062-9161-310126F6D611}"/>
    <cellStyle name="SAPBEXresItemX 4 3" xfId="2561" xr:uid="{98AA0C0E-F717-4649-ADAB-2C4A9C3B2847}"/>
    <cellStyle name="SAPBEXresItemX 5" xfId="2437" xr:uid="{F667242C-5115-44A3-9A56-D0710E524EF8}"/>
    <cellStyle name="SAPBEXresItemX 6" xfId="2548" xr:uid="{0723BD12-435E-4246-8BDC-B71AD6A4FE36}"/>
    <cellStyle name="SAPBEXstdData" xfId="929" xr:uid="{00000000-0005-0000-0000-0000A2030000}"/>
    <cellStyle name="SAPBEXstdData 2" xfId="930" xr:uid="{00000000-0005-0000-0000-0000A3030000}"/>
    <cellStyle name="SAPBEXstdData 2 2" xfId="931" xr:uid="{00000000-0005-0000-0000-0000A4030000}"/>
    <cellStyle name="SAPBEXstdData 2 2 2" xfId="932" xr:uid="{00000000-0005-0000-0000-0000A5030000}"/>
    <cellStyle name="SAPBEXstdData 2 2 2 2" xfId="2454" xr:uid="{E6AB3CF0-0382-4A23-8526-D1D9075F359A}"/>
    <cellStyle name="SAPBEXstdData 2 2 2 3" xfId="2565" xr:uid="{0FA9AF36-1CF2-4CBA-9EB8-7FDF267D3C27}"/>
    <cellStyle name="SAPBEXstdData 2 2 3" xfId="933" xr:uid="{00000000-0005-0000-0000-0000A6030000}"/>
    <cellStyle name="SAPBEXstdData 2 2 3 2" xfId="2455" xr:uid="{85EF0BA5-976B-4C18-B835-11D9A1982D73}"/>
    <cellStyle name="SAPBEXstdData 2 2 3 3" xfId="2566" xr:uid="{BFAF26ED-D2AA-4230-9E83-874A266962E5}"/>
    <cellStyle name="SAPBEXstdData 2 2 4" xfId="934" xr:uid="{00000000-0005-0000-0000-0000A7030000}"/>
    <cellStyle name="SAPBEXstdData 2 2 4 2" xfId="2456" xr:uid="{8EE1184B-D2AE-4017-BBA0-A93E4D702E69}"/>
    <cellStyle name="SAPBEXstdData 2 2 4 3" xfId="2567" xr:uid="{3917B2F2-CD1E-4A8A-835A-8B1ABB16DD67}"/>
    <cellStyle name="SAPBEXstdData 2 2 5" xfId="935" xr:uid="{00000000-0005-0000-0000-0000A8030000}"/>
    <cellStyle name="SAPBEXstdData 2 2 5 2" xfId="2457" xr:uid="{9A650412-CEDA-4D9F-B27D-E40EA2F46C37}"/>
    <cellStyle name="SAPBEXstdData 2 2 5 3" xfId="2568" xr:uid="{E4CF6BED-E981-4FF1-8E99-C399EE7F6E05}"/>
    <cellStyle name="SAPBEXstdData 2 2 6" xfId="2453" xr:uid="{260510B1-918F-444D-9AD6-6A4EDE0A6850}"/>
    <cellStyle name="SAPBEXstdData 2 2 7" xfId="2564" xr:uid="{FCB2E53C-16DA-4FB1-A3F4-788B75FDB1CB}"/>
    <cellStyle name="SAPBEXstdData 2 3" xfId="936" xr:uid="{00000000-0005-0000-0000-0000A9030000}"/>
    <cellStyle name="SAPBEXstdData 2 3 2" xfId="2458" xr:uid="{9CAEC2EC-A848-4E3B-8BDC-FC0553C58630}"/>
    <cellStyle name="SAPBEXstdData 2 3 3" xfId="2569" xr:uid="{83ABCC9B-C4AA-491B-A5CE-C68A6549B1FC}"/>
    <cellStyle name="SAPBEXstdData 2 4" xfId="2452" xr:uid="{626B8636-870A-4378-B8F5-AAC714F3B8B1}"/>
    <cellStyle name="SAPBEXstdData 2 5" xfId="2563" xr:uid="{8924EA7D-DBAA-49E4-B56E-C88F20496F82}"/>
    <cellStyle name="SAPBEXstdData 3" xfId="937" xr:uid="{00000000-0005-0000-0000-0000AA030000}"/>
    <cellStyle name="SAPBEXstdData 3 2" xfId="938" xr:uid="{00000000-0005-0000-0000-0000AB030000}"/>
    <cellStyle name="SAPBEXstdData 3 2 2" xfId="2460" xr:uid="{207CDA9D-5A91-4EE8-9B1A-35FD0684C388}"/>
    <cellStyle name="SAPBEXstdData 3 2 3" xfId="2571" xr:uid="{EA5C4647-228F-4E72-A524-ACBAF1782E31}"/>
    <cellStyle name="SAPBEXstdData 3 3" xfId="939" xr:uid="{00000000-0005-0000-0000-0000AC030000}"/>
    <cellStyle name="SAPBEXstdData 3 3 2" xfId="2461" xr:uid="{A9AF476F-CEC9-49F8-A36E-B3C6F907E6A4}"/>
    <cellStyle name="SAPBEXstdData 3 3 3" xfId="2572" xr:uid="{51E1F84B-4C26-4D79-965D-4A415294BBCA}"/>
    <cellStyle name="SAPBEXstdData 3 4" xfId="940" xr:uid="{00000000-0005-0000-0000-0000AD030000}"/>
    <cellStyle name="SAPBEXstdData 3 4 2" xfId="2462" xr:uid="{9BA13585-D7AB-4F8F-995B-DE0A704302A5}"/>
    <cellStyle name="SAPBEXstdData 3 4 3" xfId="2573" xr:uid="{D48B6686-6AD5-4114-9F50-1748E08D0645}"/>
    <cellStyle name="SAPBEXstdData 3 5" xfId="941" xr:uid="{00000000-0005-0000-0000-0000AE030000}"/>
    <cellStyle name="SAPBEXstdData 3 5 2" xfId="2463" xr:uid="{B4D9A943-3354-428E-A4A7-038A21E508A3}"/>
    <cellStyle name="SAPBEXstdData 3 5 3" xfId="2574" xr:uid="{CA74105E-7D40-4DF4-B9D4-EB5E01D4B37F}"/>
    <cellStyle name="SAPBEXstdData 3 6" xfId="2459" xr:uid="{2A23AB01-16DB-4BCB-9F7E-9A1136DF85F0}"/>
    <cellStyle name="SAPBEXstdData 3 7" xfId="2570" xr:uid="{DF866DD9-4810-4D38-ACDC-9DB324EB94CA}"/>
    <cellStyle name="SAPBEXstdData 4" xfId="942" xr:uid="{00000000-0005-0000-0000-0000AF030000}"/>
    <cellStyle name="SAPBEXstdData 4 2" xfId="2464" xr:uid="{89F8AB4E-E776-4788-BFA2-EE336278E0A3}"/>
    <cellStyle name="SAPBEXstdData 4 3" xfId="2575" xr:uid="{F9D4DFDD-049C-4755-BA2D-924B43B8D56E}"/>
    <cellStyle name="SAPBEXstdData 5" xfId="2451" xr:uid="{ADD7E70D-7D8F-4190-8E5A-D7AE67539ADA}"/>
    <cellStyle name="SAPBEXstdData 6" xfId="2562" xr:uid="{74FA2C87-A22F-45BB-8B0F-C32F532AA670}"/>
    <cellStyle name="SAPBEXstdDataEmph" xfId="943" xr:uid="{00000000-0005-0000-0000-0000B0030000}"/>
    <cellStyle name="SAPBEXstdDataEmph 2" xfId="944" xr:uid="{00000000-0005-0000-0000-0000B1030000}"/>
    <cellStyle name="SAPBEXstdDataEmph 2 2" xfId="945" xr:uid="{00000000-0005-0000-0000-0000B2030000}"/>
    <cellStyle name="SAPBEXstdDataEmph 2 2 2" xfId="946" xr:uid="{00000000-0005-0000-0000-0000B3030000}"/>
    <cellStyle name="SAPBEXstdDataEmph 2 2 2 2" xfId="2468" xr:uid="{1B564CC0-5073-4A5C-8AF8-27840055AE32}"/>
    <cellStyle name="SAPBEXstdDataEmph 2 2 2 3" xfId="2579" xr:uid="{5DCEF184-DC41-4465-9A12-BAB8DEFB1FA3}"/>
    <cellStyle name="SAPBEXstdDataEmph 2 2 3" xfId="947" xr:uid="{00000000-0005-0000-0000-0000B4030000}"/>
    <cellStyle name="SAPBEXstdDataEmph 2 2 3 2" xfId="2469" xr:uid="{02817DBB-F781-4489-8F2E-4FCA77DC1F6E}"/>
    <cellStyle name="SAPBEXstdDataEmph 2 2 3 3" xfId="2580" xr:uid="{21B27836-E768-45C8-B02E-150324E37817}"/>
    <cellStyle name="SAPBEXstdDataEmph 2 2 4" xfId="948" xr:uid="{00000000-0005-0000-0000-0000B5030000}"/>
    <cellStyle name="SAPBEXstdDataEmph 2 2 4 2" xfId="2470" xr:uid="{39A7AA52-A2BE-4852-B84B-D054C0BADCE0}"/>
    <cellStyle name="SAPBEXstdDataEmph 2 2 4 3" xfId="2581" xr:uid="{7D465A80-70F4-4BF7-B825-7B17ED6BB341}"/>
    <cellStyle name="SAPBEXstdDataEmph 2 2 5" xfId="949" xr:uid="{00000000-0005-0000-0000-0000B6030000}"/>
    <cellStyle name="SAPBEXstdDataEmph 2 2 5 2" xfId="2471" xr:uid="{BC910D88-2EE2-4822-93A3-2E19A7797EBC}"/>
    <cellStyle name="SAPBEXstdDataEmph 2 2 5 3" xfId="2582" xr:uid="{0F29C9ED-0D69-484C-8DD0-EA1AA2A56DA1}"/>
    <cellStyle name="SAPBEXstdDataEmph 2 2 6" xfId="2467" xr:uid="{393D2810-42A1-45D1-BB53-0076E2511CB5}"/>
    <cellStyle name="SAPBEXstdDataEmph 2 2 7" xfId="2578" xr:uid="{8C5251A9-7465-4647-9AB1-97C049FAD323}"/>
    <cellStyle name="SAPBEXstdDataEmph 2 3" xfId="950" xr:uid="{00000000-0005-0000-0000-0000B7030000}"/>
    <cellStyle name="SAPBEXstdDataEmph 2 3 2" xfId="2472" xr:uid="{2853E079-8470-4E1C-AFBF-D49DBD0954B3}"/>
    <cellStyle name="SAPBEXstdDataEmph 2 3 3" xfId="2583" xr:uid="{D3AAD9A8-FF9D-448E-AB14-640886AD1CCB}"/>
    <cellStyle name="SAPBEXstdDataEmph 2 4" xfId="2466" xr:uid="{23A15C24-8517-4EA8-81F5-BC41F36F20A7}"/>
    <cellStyle name="SAPBEXstdDataEmph 2 5" xfId="2577" xr:uid="{F774A855-D91F-48EA-ABD2-D7E4837BADB5}"/>
    <cellStyle name="SAPBEXstdDataEmph 3" xfId="951" xr:uid="{00000000-0005-0000-0000-0000B8030000}"/>
    <cellStyle name="SAPBEXstdDataEmph 3 2" xfId="952" xr:uid="{00000000-0005-0000-0000-0000B9030000}"/>
    <cellStyle name="SAPBEXstdDataEmph 3 2 2" xfId="2474" xr:uid="{D57A594E-3C55-473C-9591-4ED0DF860BC1}"/>
    <cellStyle name="SAPBEXstdDataEmph 3 2 3" xfId="2585" xr:uid="{3BAE826F-AC82-4DE1-A88D-13E3696839AE}"/>
    <cellStyle name="SAPBEXstdDataEmph 3 3" xfId="953" xr:uid="{00000000-0005-0000-0000-0000BA030000}"/>
    <cellStyle name="SAPBEXstdDataEmph 3 3 2" xfId="2475" xr:uid="{AF5EF8A7-0E93-4554-8DA0-321E91C53EF8}"/>
    <cellStyle name="SAPBEXstdDataEmph 3 3 3" xfId="2586" xr:uid="{D0B27EB5-B427-46B0-8F56-3576367A95D8}"/>
    <cellStyle name="SAPBEXstdDataEmph 3 4" xfId="954" xr:uid="{00000000-0005-0000-0000-0000BB030000}"/>
    <cellStyle name="SAPBEXstdDataEmph 3 4 2" xfId="2476" xr:uid="{E909B487-A0F0-4F97-A495-BCCF25262DC5}"/>
    <cellStyle name="SAPBEXstdDataEmph 3 4 3" xfId="2587" xr:uid="{42A01AF1-E0F6-48AE-A7E5-640F0D0B0A6B}"/>
    <cellStyle name="SAPBEXstdDataEmph 3 5" xfId="955" xr:uid="{00000000-0005-0000-0000-0000BC030000}"/>
    <cellStyle name="SAPBEXstdDataEmph 3 5 2" xfId="2477" xr:uid="{DEC0A6D1-60A6-4B8F-A0B9-B6AA57D8AE3D}"/>
    <cellStyle name="SAPBEXstdDataEmph 3 5 3" xfId="2588" xr:uid="{C6344DF7-E74A-4824-B114-681E97E90E0F}"/>
    <cellStyle name="SAPBEXstdDataEmph 3 6" xfId="2473" xr:uid="{98D3F524-18B5-4362-A162-622417B77203}"/>
    <cellStyle name="SAPBEXstdDataEmph 3 7" xfId="2584" xr:uid="{F1633A82-D91F-449B-8EC4-79413B399DC7}"/>
    <cellStyle name="SAPBEXstdDataEmph 4" xfId="956" xr:uid="{00000000-0005-0000-0000-0000BD030000}"/>
    <cellStyle name="SAPBEXstdDataEmph 4 2" xfId="2478" xr:uid="{34129856-9E93-4D09-A453-478F407BBBCF}"/>
    <cellStyle name="SAPBEXstdDataEmph 4 3" xfId="2589" xr:uid="{06EE126F-DA49-41C8-A6C5-E1195630C113}"/>
    <cellStyle name="SAPBEXstdDataEmph 5" xfId="2465" xr:uid="{21686A50-DE4D-487F-9F5C-73333F72DF6C}"/>
    <cellStyle name="SAPBEXstdDataEmph 6" xfId="2576" xr:uid="{D39FDBD6-FC7F-466D-ABE5-0696E0647E41}"/>
    <cellStyle name="SAPBEXstdItem" xfId="957" xr:uid="{00000000-0005-0000-0000-0000BE030000}"/>
    <cellStyle name="SAPBEXstdItem 2" xfId="958" xr:uid="{00000000-0005-0000-0000-0000BF030000}"/>
    <cellStyle name="SAPBEXstdItem 2 2" xfId="959" xr:uid="{00000000-0005-0000-0000-0000C0030000}"/>
    <cellStyle name="SAPBEXstdItem 2 2 2" xfId="960" xr:uid="{00000000-0005-0000-0000-0000C1030000}"/>
    <cellStyle name="SAPBEXstdItem 2 2 2 2" xfId="2482" xr:uid="{B45A1E94-9165-4CDB-B866-22830B396EBC}"/>
    <cellStyle name="SAPBEXstdItem 2 2 2 3" xfId="2593" xr:uid="{6491C7A8-4E7B-4CA3-9F05-CFE3D1A30F50}"/>
    <cellStyle name="SAPBEXstdItem 2 2 3" xfId="961" xr:uid="{00000000-0005-0000-0000-0000C2030000}"/>
    <cellStyle name="SAPBEXstdItem 2 2 3 2" xfId="2483" xr:uid="{4CFED5FD-97B7-4926-A455-C30F28760B67}"/>
    <cellStyle name="SAPBEXstdItem 2 2 3 3" xfId="2594" xr:uid="{9B7BB8A9-4E7F-42DC-8D4B-8E245B5E591E}"/>
    <cellStyle name="SAPBEXstdItem 2 2 4" xfId="962" xr:uid="{00000000-0005-0000-0000-0000C3030000}"/>
    <cellStyle name="SAPBEXstdItem 2 2 4 2" xfId="2484" xr:uid="{3E3BB49C-3B7B-4BFB-8C1F-59274BF5DD53}"/>
    <cellStyle name="SAPBEXstdItem 2 2 4 3" xfId="2595" xr:uid="{995B2585-DE06-40B7-BB7E-33ADF6A5C670}"/>
    <cellStyle name="SAPBEXstdItem 2 2 5" xfId="963" xr:uid="{00000000-0005-0000-0000-0000C4030000}"/>
    <cellStyle name="SAPBEXstdItem 2 2 5 2" xfId="2485" xr:uid="{31CE6A3C-1DBD-424C-8849-213740D1EEC7}"/>
    <cellStyle name="SAPBEXstdItem 2 2 5 3" xfId="2596" xr:uid="{D08774BC-FA1B-4550-A165-00FE253F8F86}"/>
    <cellStyle name="SAPBEXstdItem 2 2 6" xfId="2481" xr:uid="{5A55098B-DA48-484B-B6CE-D33CCE4C9F97}"/>
    <cellStyle name="SAPBEXstdItem 2 2 7" xfId="2592" xr:uid="{1D201C43-16BB-46CF-A2BF-E2E94E602D38}"/>
    <cellStyle name="SAPBEXstdItem 2 3" xfId="964" xr:uid="{00000000-0005-0000-0000-0000C5030000}"/>
    <cellStyle name="SAPBEXstdItem 2 3 2" xfId="2486" xr:uid="{55697015-2074-4E9D-85B6-2228FD602513}"/>
    <cellStyle name="SAPBEXstdItem 2 3 3" xfId="2597" xr:uid="{226DB817-6799-4110-9B36-EA493EAD3FF9}"/>
    <cellStyle name="SAPBEXstdItem 2 4" xfId="2480" xr:uid="{2B228794-9B14-4F72-92AA-81E62255F5F8}"/>
    <cellStyle name="SAPBEXstdItem 2 5" xfId="2591" xr:uid="{D72EA4DA-97EC-44A1-B917-AC7A85E9F792}"/>
    <cellStyle name="SAPBEXstdItem 3" xfId="965" xr:uid="{00000000-0005-0000-0000-0000C6030000}"/>
    <cellStyle name="SAPBEXstdItem 3 2" xfId="966" xr:uid="{00000000-0005-0000-0000-0000C7030000}"/>
    <cellStyle name="SAPBEXstdItem 3 2 2" xfId="2488" xr:uid="{87961F56-E554-4040-AC80-7BF6C95CB9F2}"/>
    <cellStyle name="SAPBEXstdItem 3 2 3" xfId="2599" xr:uid="{7B7944F1-B4C1-4C7C-BE9F-587A0906760D}"/>
    <cellStyle name="SAPBEXstdItem 3 3" xfId="967" xr:uid="{00000000-0005-0000-0000-0000C8030000}"/>
    <cellStyle name="SAPBEXstdItem 3 3 2" xfId="2489" xr:uid="{00B28B37-2D35-4490-B385-3A9029A5CEFE}"/>
    <cellStyle name="SAPBEXstdItem 3 3 3" xfId="2600" xr:uid="{85926564-A536-42BB-A9CB-28ED93C2483C}"/>
    <cellStyle name="SAPBEXstdItem 3 4" xfId="968" xr:uid="{00000000-0005-0000-0000-0000C9030000}"/>
    <cellStyle name="SAPBEXstdItem 3 4 2" xfId="2490" xr:uid="{90752F86-3463-47C9-8F7E-1310CDA6C27E}"/>
    <cellStyle name="SAPBEXstdItem 3 4 3" xfId="2601" xr:uid="{E52DFE4A-845F-42C7-BE32-683F4B8B865B}"/>
    <cellStyle name="SAPBEXstdItem 3 5" xfId="969" xr:uid="{00000000-0005-0000-0000-0000CA030000}"/>
    <cellStyle name="SAPBEXstdItem 3 5 2" xfId="2491" xr:uid="{A4F628E6-0750-482E-900D-63723A2781B5}"/>
    <cellStyle name="SAPBEXstdItem 3 5 3" xfId="2602" xr:uid="{9D8D726A-7A4F-4808-B599-A94835FB5782}"/>
    <cellStyle name="SAPBEXstdItem 3 6" xfId="2487" xr:uid="{0781F2F4-3D9B-4BF7-B32A-049FCC7EAB45}"/>
    <cellStyle name="SAPBEXstdItem 3 7" xfId="2598" xr:uid="{E85A1AB4-AEE0-41F1-8018-21382BE93A4B}"/>
    <cellStyle name="SAPBEXstdItem 4" xfId="970" xr:uid="{00000000-0005-0000-0000-0000CB030000}"/>
    <cellStyle name="SAPBEXstdItem 4 2" xfId="2492" xr:uid="{9094A664-3CC2-4A4A-BF96-E20944E0C5EE}"/>
    <cellStyle name="SAPBEXstdItem 4 3" xfId="2603" xr:uid="{553F62C3-17EE-49DA-AB81-D807961ABDC5}"/>
    <cellStyle name="SAPBEXstdItem 5" xfId="2479" xr:uid="{00F96F01-F4E2-45FA-8B7B-766CF242868C}"/>
    <cellStyle name="SAPBEXstdItem 6" xfId="2590" xr:uid="{26FCCC21-E0D0-4518-AD23-F9814706FF28}"/>
    <cellStyle name="SAPBEXstdItemX" xfId="971" xr:uid="{00000000-0005-0000-0000-0000CC030000}"/>
    <cellStyle name="SAPBEXstdItemX 2" xfId="972" xr:uid="{00000000-0005-0000-0000-0000CD030000}"/>
    <cellStyle name="SAPBEXstdItemX 2 2" xfId="973" xr:uid="{00000000-0005-0000-0000-0000CE030000}"/>
    <cellStyle name="SAPBEXstdItemX 2 2 2" xfId="974" xr:uid="{00000000-0005-0000-0000-0000CF030000}"/>
    <cellStyle name="SAPBEXstdItemX 2 2 2 2" xfId="2496" xr:uid="{DAB84B32-7137-46E1-923C-732E67C05736}"/>
    <cellStyle name="SAPBEXstdItemX 2 2 2 3" xfId="2607" xr:uid="{692F9227-CABF-49B9-A826-3DBD8C87B494}"/>
    <cellStyle name="SAPBEXstdItemX 2 2 3" xfId="975" xr:uid="{00000000-0005-0000-0000-0000D0030000}"/>
    <cellStyle name="SAPBEXstdItemX 2 2 3 2" xfId="2497" xr:uid="{4134309A-EE73-4629-A571-3C5A94B11091}"/>
    <cellStyle name="SAPBEXstdItemX 2 2 3 3" xfId="2608" xr:uid="{B4800616-D8D6-4FCB-B158-7AD827B1A76F}"/>
    <cellStyle name="SAPBEXstdItemX 2 2 4" xfId="976" xr:uid="{00000000-0005-0000-0000-0000D1030000}"/>
    <cellStyle name="SAPBEXstdItemX 2 2 4 2" xfId="2498" xr:uid="{978A3BE1-4FC6-4EF8-8849-EB5B9B2DE33C}"/>
    <cellStyle name="SAPBEXstdItemX 2 2 4 3" xfId="2609" xr:uid="{ED27BB69-45A4-4D74-BE9F-B8E9DA410FEA}"/>
    <cellStyle name="SAPBEXstdItemX 2 2 5" xfId="977" xr:uid="{00000000-0005-0000-0000-0000D2030000}"/>
    <cellStyle name="SAPBEXstdItemX 2 2 5 2" xfId="2499" xr:uid="{47DA6A7E-787D-4B4A-B6F1-FCC9C79800D0}"/>
    <cellStyle name="SAPBEXstdItemX 2 2 5 3" xfId="2610" xr:uid="{B1BBB86A-15CC-448A-8EBA-23253D425BF1}"/>
    <cellStyle name="SAPBEXstdItemX 2 2 6" xfId="2495" xr:uid="{8A3EABAA-B187-42C2-AABB-9623EFEED6D9}"/>
    <cellStyle name="SAPBEXstdItemX 2 2 7" xfId="2606" xr:uid="{BF29D852-067D-45B7-8A2B-8D1DD3572960}"/>
    <cellStyle name="SAPBEXstdItemX 2 3" xfId="978" xr:uid="{00000000-0005-0000-0000-0000D3030000}"/>
    <cellStyle name="SAPBEXstdItemX 2 3 2" xfId="2500" xr:uid="{24B03DC5-A7EF-4817-AAFD-14D24B380EEA}"/>
    <cellStyle name="SAPBEXstdItemX 2 3 3" xfId="2611" xr:uid="{918F8384-9522-484E-94C7-769EF1D40175}"/>
    <cellStyle name="SAPBEXstdItemX 2 4" xfId="2494" xr:uid="{4CB69E59-4B9E-4F8A-983E-0B0BD8AA6975}"/>
    <cellStyle name="SAPBEXstdItemX 2 5" xfId="2605" xr:uid="{C33518D0-FDED-4003-96CF-494972B7A32A}"/>
    <cellStyle name="SAPBEXstdItemX 3" xfId="979" xr:uid="{00000000-0005-0000-0000-0000D4030000}"/>
    <cellStyle name="SAPBEXstdItemX 3 2" xfId="980" xr:uid="{00000000-0005-0000-0000-0000D5030000}"/>
    <cellStyle name="SAPBEXstdItemX 3 2 2" xfId="2502" xr:uid="{88C83E8A-CD09-4EA4-8E74-79066956A7F3}"/>
    <cellStyle name="SAPBEXstdItemX 3 2 3" xfId="2613" xr:uid="{2981921F-5DCB-421F-9E1E-B9AEA36A97B3}"/>
    <cellStyle name="SAPBEXstdItemX 3 3" xfId="981" xr:uid="{00000000-0005-0000-0000-0000D6030000}"/>
    <cellStyle name="SAPBEXstdItemX 3 3 2" xfId="2503" xr:uid="{7052D27E-C8C1-449B-9053-9F2AE576CB0A}"/>
    <cellStyle name="SAPBEXstdItemX 3 3 3" xfId="2614" xr:uid="{B914F610-63AC-471E-BE39-53B69FFCDC7A}"/>
    <cellStyle name="SAPBEXstdItemX 3 4" xfId="982" xr:uid="{00000000-0005-0000-0000-0000D7030000}"/>
    <cellStyle name="SAPBEXstdItemX 3 4 2" xfId="2504" xr:uid="{860F80FF-03F4-4A28-8C80-1D0982201CDA}"/>
    <cellStyle name="SAPBEXstdItemX 3 4 3" xfId="2615" xr:uid="{DAC65279-F4BD-4918-81F8-B7F7E20ED864}"/>
    <cellStyle name="SAPBEXstdItemX 3 5" xfId="983" xr:uid="{00000000-0005-0000-0000-0000D8030000}"/>
    <cellStyle name="SAPBEXstdItemX 3 5 2" xfId="2505" xr:uid="{5F1A6BAE-2FE4-42B7-A978-0BFDE6FC034C}"/>
    <cellStyle name="SAPBEXstdItemX 3 5 3" xfId="2616" xr:uid="{F21A846B-10F0-45A1-B72F-EE357E0B6B75}"/>
    <cellStyle name="SAPBEXstdItemX 3 6" xfId="2501" xr:uid="{5C0DB35B-5DBE-477E-BF16-21E9D9AF5DDC}"/>
    <cellStyle name="SAPBEXstdItemX 3 7" xfId="2612" xr:uid="{5C845574-0E78-45CA-B54D-B6206BFBC4C8}"/>
    <cellStyle name="SAPBEXstdItemX 4" xfId="984" xr:uid="{00000000-0005-0000-0000-0000D9030000}"/>
    <cellStyle name="SAPBEXstdItemX 4 2" xfId="2506" xr:uid="{A0178365-0D6F-4FBE-80FE-86A9C2040853}"/>
    <cellStyle name="SAPBEXstdItemX 4 3" xfId="2617" xr:uid="{A8E8BF8F-388B-4498-A50D-948E3BC3F4A0}"/>
    <cellStyle name="SAPBEXstdItemX 5" xfId="2493" xr:uid="{7C2E97A1-D404-4BB5-9FE6-35302C8505DC}"/>
    <cellStyle name="SAPBEXstdItemX 6" xfId="2604" xr:uid="{D7B71D6B-065E-4B4B-9B8E-E0664997C759}"/>
    <cellStyle name="SAPBEXtitle" xfId="985" xr:uid="{00000000-0005-0000-0000-0000DA030000}"/>
    <cellStyle name="SAPBEXundefined" xfId="986" xr:uid="{00000000-0005-0000-0000-0000DB030000}"/>
    <cellStyle name="SAPBEXundefined 2" xfId="987" xr:uid="{00000000-0005-0000-0000-0000DC030000}"/>
    <cellStyle name="SAPBEXundefined 2 2" xfId="988" xr:uid="{00000000-0005-0000-0000-0000DD030000}"/>
    <cellStyle name="SAPBEXundefined 2 2 2" xfId="989" xr:uid="{00000000-0005-0000-0000-0000DE030000}"/>
    <cellStyle name="SAPBEXundefined 2 2 2 2" xfId="2510" xr:uid="{29D56085-DD73-4D7D-A6D6-66C3DD2D342C}"/>
    <cellStyle name="SAPBEXundefined 2 2 2 3" xfId="2621" xr:uid="{1458F376-EF16-4E5F-9F54-0463D27CC47C}"/>
    <cellStyle name="SAPBEXundefined 2 2 3" xfId="990" xr:uid="{00000000-0005-0000-0000-0000DF030000}"/>
    <cellStyle name="SAPBEXundefined 2 2 3 2" xfId="2511" xr:uid="{4A6E9DE1-A7C5-42A3-BC41-1D31E0902C7B}"/>
    <cellStyle name="SAPBEXundefined 2 2 3 3" xfId="2622" xr:uid="{2B5FABB8-26EC-4440-AD7C-A7D682CEB00F}"/>
    <cellStyle name="SAPBEXundefined 2 2 4" xfId="991" xr:uid="{00000000-0005-0000-0000-0000E0030000}"/>
    <cellStyle name="SAPBEXundefined 2 2 4 2" xfId="2512" xr:uid="{75A7FF64-D36B-4D7C-A023-030828EB3133}"/>
    <cellStyle name="SAPBEXundefined 2 2 4 3" xfId="2623" xr:uid="{DFD8E8D6-A5F7-4878-98AD-22EB3D714082}"/>
    <cellStyle name="SAPBEXundefined 2 2 5" xfId="992" xr:uid="{00000000-0005-0000-0000-0000E1030000}"/>
    <cellStyle name="SAPBEXundefined 2 2 5 2" xfId="2513" xr:uid="{37084AF9-BBAE-4B46-8C30-96BC55D1A373}"/>
    <cellStyle name="SAPBEXundefined 2 2 5 3" xfId="2624" xr:uid="{1605D5DC-2072-4D42-917E-E1ECB5D0049D}"/>
    <cellStyle name="SAPBEXundefined 2 2 6" xfId="2509" xr:uid="{5A5D678F-DDD3-46DF-8956-13A341146650}"/>
    <cellStyle name="SAPBEXundefined 2 2 7" xfId="2620" xr:uid="{AAB9DEC7-2E47-45D6-990A-BBFE755A09FB}"/>
    <cellStyle name="SAPBEXundefined 2 3" xfId="993" xr:uid="{00000000-0005-0000-0000-0000E2030000}"/>
    <cellStyle name="SAPBEXundefined 2 3 2" xfId="2514" xr:uid="{93964B27-58A8-4CDF-8A1A-C03FBC06231D}"/>
    <cellStyle name="SAPBEXundefined 2 3 3" xfId="2625" xr:uid="{63E007C5-ADC0-4535-B357-00074FF37784}"/>
    <cellStyle name="SAPBEXundefined 2 4" xfId="2508" xr:uid="{B4398A65-C68A-42E8-9332-EB0ADD0C360D}"/>
    <cellStyle name="SAPBEXundefined 2 5" xfId="2619" xr:uid="{FCB83E96-E46E-4B24-B4DB-0591856CFCF1}"/>
    <cellStyle name="SAPBEXundefined 3" xfId="994" xr:uid="{00000000-0005-0000-0000-0000E3030000}"/>
    <cellStyle name="SAPBEXundefined 3 2" xfId="995" xr:uid="{00000000-0005-0000-0000-0000E4030000}"/>
    <cellStyle name="SAPBEXundefined 3 2 2" xfId="2516" xr:uid="{32AA8130-AF79-47ED-8394-A16F1932B914}"/>
    <cellStyle name="SAPBEXundefined 3 2 3" xfId="2627" xr:uid="{336CC1C0-5263-425C-90AE-5ED99B4AFD10}"/>
    <cellStyle name="SAPBEXundefined 3 3" xfId="996" xr:uid="{00000000-0005-0000-0000-0000E5030000}"/>
    <cellStyle name="SAPBEXundefined 3 3 2" xfId="2517" xr:uid="{B9ECE8F8-9D6B-4E40-9D15-3D242AB1A366}"/>
    <cellStyle name="SAPBEXundefined 3 3 3" xfId="2628" xr:uid="{BE2405F6-7A0E-488C-93F4-E39893D8146A}"/>
    <cellStyle name="SAPBEXundefined 3 4" xfId="997" xr:uid="{00000000-0005-0000-0000-0000E6030000}"/>
    <cellStyle name="SAPBEXundefined 3 4 2" xfId="2518" xr:uid="{836BB172-826F-4A29-9AEE-FE13AB80334E}"/>
    <cellStyle name="SAPBEXundefined 3 4 3" xfId="2629" xr:uid="{74F3F4FE-627F-483E-B531-7C00CDC03EE6}"/>
    <cellStyle name="SAPBEXundefined 3 5" xfId="998" xr:uid="{00000000-0005-0000-0000-0000E7030000}"/>
    <cellStyle name="SAPBEXundefined 3 5 2" xfId="2519" xr:uid="{00F32EAF-B607-4225-A2CC-C59B64AE0952}"/>
    <cellStyle name="SAPBEXundefined 3 5 3" xfId="2630" xr:uid="{B9848F41-2C5B-4ED7-96F3-71054A5DFF0A}"/>
    <cellStyle name="SAPBEXundefined 3 6" xfId="2515" xr:uid="{8DBA722A-0544-4B07-9472-B118BCC26FBF}"/>
    <cellStyle name="SAPBEXundefined 3 7" xfId="2626" xr:uid="{9D347AC7-F7CD-46B6-8682-CD6FC1710703}"/>
    <cellStyle name="SAPBEXundefined 4" xfId="999" xr:uid="{00000000-0005-0000-0000-0000E8030000}"/>
    <cellStyle name="SAPBEXundefined 4 2" xfId="2520" xr:uid="{A77CFE7D-3924-40EF-AE80-CEB4C839CD05}"/>
    <cellStyle name="SAPBEXundefined 4 3" xfId="2631" xr:uid="{9F77DEC7-73F7-4B8B-B29F-25184F0DC8C7}"/>
    <cellStyle name="SAPBEXundefined 5" xfId="2507" xr:uid="{13464340-3FE7-4992-A921-1FF609D972BF}"/>
    <cellStyle name="SAPBEXundefined 6" xfId="2618" xr:uid="{F9D87C62-7EE1-43A7-AA58-1CA36A537C9D}"/>
    <cellStyle name="section" xfId="1000" xr:uid="{00000000-0005-0000-0000-0000E9030000}"/>
    <cellStyle name="SOR" xfId="1001" xr:uid="{00000000-0005-0000-0000-0000EA030000}"/>
    <cellStyle name="SOR 2" xfId="1002" xr:uid="{00000000-0005-0000-0000-0000EB030000}"/>
    <cellStyle name="SOR 2 2" xfId="1003" xr:uid="{00000000-0005-0000-0000-0000EC030000}"/>
    <cellStyle name="SOR 2 2 2" xfId="1004" xr:uid="{00000000-0005-0000-0000-0000ED030000}"/>
    <cellStyle name="SOR 2 2 2 2" xfId="2161" xr:uid="{24151037-0A06-4E26-B209-1AFA0987B79C}"/>
    <cellStyle name="SOR 2 2 3" xfId="2160" xr:uid="{86791087-2297-48D6-B864-0F5E4C97EF90}"/>
    <cellStyle name="SOR 2 3" xfId="1005" xr:uid="{00000000-0005-0000-0000-0000EE030000}"/>
    <cellStyle name="SOR 2 3 2" xfId="2162" xr:uid="{D5A71A4A-0728-4ECE-8E41-5A938F002E97}"/>
    <cellStyle name="SOR 2 4" xfId="2159" xr:uid="{D410B2BB-D0BC-4CAD-A914-93C4AB6BF404}"/>
    <cellStyle name="SOR 3" xfId="1006" xr:uid="{00000000-0005-0000-0000-0000EF030000}"/>
    <cellStyle name="SOR 3 2" xfId="1007" xr:uid="{00000000-0005-0000-0000-0000F0030000}"/>
    <cellStyle name="SOR 3 2 2" xfId="2164" xr:uid="{36C2F431-613D-4181-9C08-1E346761D936}"/>
    <cellStyle name="SOR 3 3" xfId="2163" xr:uid="{043D2547-CD6D-41F3-88BF-47097880E775}"/>
    <cellStyle name="SOR 4" xfId="1008" xr:uid="{00000000-0005-0000-0000-0000F1030000}"/>
    <cellStyle name="SOR 4 2" xfId="2165" xr:uid="{2FF65400-8B04-4727-8E72-147802E09E3A}"/>
    <cellStyle name="SOR 5" xfId="2158" xr:uid="{43EE7E28-7518-450A-A5B4-F4BE03090A14}"/>
    <cellStyle name="subhead" xfId="1009" xr:uid="{00000000-0005-0000-0000-0000F2030000}"/>
    <cellStyle name="title" xfId="1010" xr:uid="{00000000-0005-0000-0000-0000F3030000}"/>
    <cellStyle name="Tusental (0)_pldt" xfId="1011" xr:uid="{00000000-0005-0000-0000-0000F4030000}"/>
    <cellStyle name="Tusental_pldt" xfId="1012" xr:uid="{00000000-0005-0000-0000-0000F5030000}"/>
    <cellStyle name="Valuta (0)_pldt" xfId="1013" xr:uid="{00000000-0005-0000-0000-0000F6030000}"/>
    <cellStyle name="Valuta_pldt" xfId="1014" xr:uid="{00000000-0005-0000-0000-0000F7030000}"/>
    <cellStyle name="パーセント_laroux" xfId="1015" xr:uid="{00000000-0005-0000-0000-0000F8030000}"/>
    <cellStyle name="_PLDT" xfId="1016" xr:uid="{00000000-0005-0000-0000-0000F9030000}"/>
    <cellStyle name="_laroux" xfId="1017" xr:uid="{00000000-0005-0000-0000-0000FA030000}"/>
    <cellStyle name="だ[0]_PLDT" xfId="1018" xr:uid="{00000000-0005-0000-0000-0000FB030000}"/>
    <cellStyle name="だ_PLDT" xfId="1019" xr:uid="{00000000-0005-0000-0000-0000FC030000}"/>
    <cellStyle name="だ[0]_Total (2)" xfId="1020" xr:uid="{00000000-0005-0000-0000-0000FD030000}"/>
    <cellStyle name="だ_laroux" xfId="1021" xr:uid="{00000000-0005-0000-0000-0000FE030000}"/>
    <cellStyle name="百分比" xfId="32" builtinId="5"/>
    <cellStyle name="百分比 2" xfId="1022" xr:uid="{00000000-0005-0000-0000-0000FF030000}"/>
    <cellStyle name="百分比 2 2" xfId="1023" xr:uid="{00000000-0005-0000-0000-000000040000}"/>
    <cellStyle name="百分比 2 3" xfId="1024" xr:uid="{00000000-0005-0000-0000-000001040000}"/>
    <cellStyle name="百分比 3" xfId="1025" xr:uid="{00000000-0005-0000-0000-000002040000}"/>
    <cellStyle name="百分比 3 2" xfId="1026" xr:uid="{00000000-0005-0000-0000-000003040000}"/>
    <cellStyle name="百分比 3 2 2" xfId="1027" xr:uid="{00000000-0005-0000-0000-000004040000}"/>
    <cellStyle name="百分比 3 3" xfId="1028" xr:uid="{00000000-0005-0000-0000-000005040000}"/>
    <cellStyle name="百分比 3 4" xfId="1029" xr:uid="{00000000-0005-0000-0000-000006040000}"/>
    <cellStyle name="百分比 4" xfId="1030" xr:uid="{00000000-0005-0000-0000-000007040000}"/>
    <cellStyle name="百分比 4 2" xfId="1031" xr:uid="{00000000-0005-0000-0000-000008040000}"/>
    <cellStyle name="百分比 4 3" xfId="1032" xr:uid="{00000000-0005-0000-0000-000009040000}"/>
    <cellStyle name="百分比 4 4" xfId="1033" xr:uid="{00000000-0005-0000-0000-00000A040000}"/>
    <cellStyle name="百分比 5" xfId="28" xr:uid="{00000000-0005-0000-0000-00001D000000}"/>
    <cellStyle name="百分比 5 2" xfId="1355" xr:uid="{C7C54F7E-D435-4831-9E2B-01F71B6E5D3F}"/>
    <cellStyle name="百分比 6" xfId="1034" xr:uid="{00000000-0005-0000-0000-00000B040000}"/>
    <cellStyle name="捠壿 [0.00]_PRODUCT DETAIL Q1" xfId="1035" xr:uid="{00000000-0005-0000-0000-00000C040000}"/>
    <cellStyle name="捠壿_PRODUCT DETAIL Q1" xfId="1036" xr:uid="{00000000-0005-0000-0000-00000D040000}"/>
    <cellStyle name="标题 5" xfId="1037" xr:uid="{00000000-0005-0000-0000-00000E040000}"/>
    <cellStyle name="標準_１１月価格表" xfId="1038" xr:uid="{00000000-0005-0000-0000-00000F040000}"/>
    <cellStyle name="表标题" xfId="1039" xr:uid="{00000000-0005-0000-0000-000010040000}"/>
    <cellStyle name="差_10存货" xfId="1040" xr:uid="{00000000-0005-0000-0000-000011040000}"/>
    <cellStyle name="差_19-无形资产（空白模板）" xfId="1041" xr:uid="{00000000-0005-0000-0000-000012040000}"/>
    <cellStyle name="差_2-交易性金融资产（空白模板）" xfId="1042" xr:uid="{00000000-0005-0000-0000-000013040000}"/>
    <cellStyle name="差_3-2 进一步审计程序-采购与付款循环" xfId="1043" xr:uid="{00000000-0005-0000-0000-000014040000}"/>
    <cellStyle name="差_3-3 进一步审计程序-存货与生产循环" xfId="1044" xr:uid="{00000000-0005-0000-0000-000015040000}"/>
    <cellStyle name="差_49-营业收入（空白模板）" xfId="1045" xr:uid="{00000000-0005-0000-0000-000016040000}"/>
    <cellStyle name="差_4-应收账款（空白模板）" xfId="1046" xr:uid="{00000000-0005-0000-0000-000017040000}"/>
    <cellStyle name="差_50-营业成本（空白模板）" xfId="1047" xr:uid="{00000000-0005-0000-0000-000018040000}"/>
    <cellStyle name="差_51-营业税金及附加（空白模板）" xfId="1048" xr:uid="{00000000-0005-0000-0000-000019040000}"/>
    <cellStyle name="差_54-财务费用（空白模板）" xfId="1049" xr:uid="{00000000-0005-0000-0000-00001A040000}"/>
    <cellStyle name="差_55-资产减值损失（空白模板）" xfId="1050" xr:uid="{00000000-0005-0000-0000-00001B040000}"/>
    <cellStyle name="差_9管理费用" xfId="1051" xr:uid="{00000000-0005-0000-0000-00001C040000}"/>
    <cellStyle name="差_Book2" xfId="1052" xr:uid="{00000000-0005-0000-0000-00001D040000}"/>
    <cellStyle name="差_dxn底稿目录" xfId="1053" xr:uid="{00000000-0005-0000-0000-00001E040000}"/>
    <cellStyle name="差_Sheet1" xfId="1054" xr:uid="{00000000-0005-0000-0000-00001F040000}"/>
    <cellStyle name="差_ZA0货币资金审定表 " xfId="1055" xr:uid="{00000000-0005-0000-0000-000020040000}"/>
    <cellStyle name="差_存货" xfId="1056" xr:uid="{00000000-0005-0000-0000-000021040000}"/>
    <cellStyle name="差_大信底稿目录" xfId="1057" xr:uid="{00000000-0005-0000-0000-000022040000}"/>
    <cellStyle name="差_底稿设置宏" xfId="1058" xr:uid="{00000000-0005-0000-0000-000023040000}"/>
    <cellStyle name="差_货币资金" xfId="1059" xr:uid="{00000000-0005-0000-0000-000024040000}"/>
    <cellStyle name="差_货币资金 天职" xfId="1060" xr:uid="{00000000-0005-0000-0000-000025040000}"/>
    <cellStyle name="差_货币资金 岳华" xfId="1061" xr:uid="{00000000-0005-0000-0000-000026040000}"/>
    <cellStyle name="差_无形资产" xfId="1062" xr:uid="{00000000-0005-0000-0000-000027040000}"/>
    <cellStyle name="差_应付职工薪酬" xfId="1063" xr:uid="{00000000-0005-0000-0000-000028040000}"/>
    <cellStyle name="差_应收账款" xfId="1064" xr:uid="{00000000-0005-0000-0000-000029040000}"/>
    <cellStyle name="差_账项明细表" xfId="1065" xr:uid="{00000000-0005-0000-0000-00002A040000}"/>
    <cellStyle name="常规" xfId="0" builtinId="0"/>
    <cellStyle name="常规 10" xfId="1066" xr:uid="{00000000-0005-0000-0000-00002B040000}"/>
    <cellStyle name="常规 10 2" xfId="34" xr:uid="{00000000-0005-0000-0000-000023000000}"/>
    <cellStyle name="常规 10 2 2" xfId="1361" xr:uid="{C2253C57-68BB-4AA0-98C3-FC6111C49CF6}"/>
    <cellStyle name="常规 11" xfId="1067" xr:uid="{00000000-0005-0000-0000-00002C040000}"/>
    <cellStyle name="常规 11 2" xfId="2222" xr:uid="{247496EC-B26D-4CE5-8C95-23B32BC96DB6}"/>
    <cellStyle name="常规 12" xfId="1068" xr:uid="{00000000-0005-0000-0000-00002D040000}"/>
    <cellStyle name="常规 13" xfId="37" xr:uid="{00000000-0005-0000-0000-000026000000}"/>
    <cellStyle name="常规 14" xfId="1324" xr:uid="{C1C39B71-50AD-493A-9979-8D77F2667194}"/>
    <cellStyle name="常规 14 2" xfId="2412" xr:uid="{16A6ADF1-1918-48D9-A311-4DC66C8C071A}"/>
    <cellStyle name="常规 2" xfId="1069" xr:uid="{00000000-0005-0000-0000-00002E040000}"/>
    <cellStyle name="常规 2- " xfId="1070" xr:uid="{00000000-0005-0000-0000-00002F040000}"/>
    <cellStyle name="常规 2 10" xfId="1071" xr:uid="{00000000-0005-0000-0000-000030040000}"/>
    <cellStyle name="常规 2 11" xfId="1072" xr:uid="{00000000-0005-0000-0000-000031040000}"/>
    <cellStyle name="常规 2 12" xfId="1073" xr:uid="{00000000-0005-0000-0000-000032040000}"/>
    <cellStyle name="常规 2 13" xfId="1074" xr:uid="{00000000-0005-0000-0000-000033040000}"/>
    <cellStyle name="常规 2 2" xfId="1075" xr:uid="{00000000-0005-0000-0000-000034040000}"/>
    <cellStyle name="常规 2 2 2" xfId="1076" xr:uid="{00000000-0005-0000-0000-000035040000}"/>
    <cellStyle name="常规 2 2 2 2" xfId="1077" xr:uid="{00000000-0005-0000-0000-000036040000}"/>
    <cellStyle name="常规 2 2 2 3" xfId="1078" xr:uid="{00000000-0005-0000-0000-000037040000}"/>
    <cellStyle name="常规 2 2 2 4" xfId="1079" xr:uid="{00000000-0005-0000-0000-000038040000}"/>
    <cellStyle name="常规 2 2 3" xfId="1080" xr:uid="{00000000-0005-0000-0000-000039040000}"/>
    <cellStyle name="常规 2 2 3 2" xfId="1081" xr:uid="{00000000-0005-0000-0000-00003A040000}"/>
    <cellStyle name="常规 2 2 3 3" xfId="1082" xr:uid="{00000000-0005-0000-0000-00003B040000}"/>
    <cellStyle name="常规 2 2 3 3 2" xfId="1083" xr:uid="{00000000-0005-0000-0000-00003C040000}"/>
    <cellStyle name="常规 2 2 3 4" xfId="1084" xr:uid="{00000000-0005-0000-0000-00003D040000}"/>
    <cellStyle name="常规 2 2 4" xfId="17" xr:uid="{00000000-0005-0000-0000-000011000000}"/>
    <cellStyle name="常规 2 2 4 2" xfId="1085" xr:uid="{00000000-0005-0000-0000-00003E040000}"/>
    <cellStyle name="常规 2 2 4 2 2" xfId="2240" xr:uid="{A0A05496-E912-48AC-BC7A-A5F084D57797}"/>
    <cellStyle name="常规 2 2 4 3" xfId="1086" xr:uid="{00000000-0005-0000-0000-00003F040000}"/>
    <cellStyle name="常规 2 2 5" xfId="1087" xr:uid="{00000000-0005-0000-0000-000040040000}"/>
    <cellStyle name="常规 2 2 5 2" xfId="1088" xr:uid="{00000000-0005-0000-0000-000041040000}"/>
    <cellStyle name="常规 2 2 5 2 2" xfId="18" xr:uid="{00000000-0005-0000-0000-000012000000}"/>
    <cellStyle name="常规 2 2 5 2 2 2" xfId="1345" xr:uid="{085EDE6B-AE58-4114-B0F1-C7AB6C3DE03D}"/>
    <cellStyle name="常规 2 2 5 2 3" xfId="2243" xr:uid="{7E7470C5-E318-4949-98D0-CBE3BA5A2149}"/>
    <cellStyle name="常规 2 2 5 3" xfId="2242" xr:uid="{F9E11B1C-98FA-4088-976B-9D7183C154A2}"/>
    <cellStyle name="常规 2 2 6" xfId="1089" xr:uid="{00000000-0005-0000-0000-000042040000}"/>
    <cellStyle name="常规 2 3" xfId="1090" xr:uid="{00000000-0005-0000-0000-000043040000}"/>
    <cellStyle name="常规 2 3 2" xfId="1091" xr:uid="{00000000-0005-0000-0000-000044040000}"/>
    <cellStyle name="常规 2 3 3" xfId="1092" xr:uid="{00000000-0005-0000-0000-000045040000}"/>
    <cellStyle name="常规 2 4" xfId="1093" xr:uid="{00000000-0005-0000-0000-000046040000}"/>
    <cellStyle name="常规 2 5" xfId="1094" xr:uid="{00000000-0005-0000-0000-000047040000}"/>
    <cellStyle name="常规 2 6" xfId="1095" xr:uid="{00000000-0005-0000-0000-000048040000}"/>
    <cellStyle name="常规 2 7" xfId="1096" xr:uid="{00000000-0005-0000-0000-000049040000}"/>
    <cellStyle name="常规 2 8" xfId="1097" xr:uid="{00000000-0005-0000-0000-00004A040000}"/>
    <cellStyle name="常规 2 9" xfId="1098" xr:uid="{00000000-0005-0000-0000-00004B040000}"/>
    <cellStyle name="常规 2_10存货" xfId="1099" xr:uid="{00000000-0005-0000-0000-00004C040000}"/>
    <cellStyle name="常规 3" xfId="1100" xr:uid="{00000000-0005-0000-0000-00004D040000}"/>
    <cellStyle name="常规 3 2" xfId="6" xr:uid="{00000000-0005-0000-0000-000006000000}"/>
    <cellStyle name="常规 3 2 2" xfId="1101" xr:uid="{00000000-0005-0000-0000-00004E040000}"/>
    <cellStyle name="常规 3 2 2 2" xfId="1102" xr:uid="{00000000-0005-0000-0000-00004F040000}"/>
    <cellStyle name="常规 3 2 2 3" xfId="1103" xr:uid="{00000000-0005-0000-0000-000050040000}"/>
    <cellStyle name="常规 3 2 3" xfId="8" xr:uid="{00000000-0005-0000-0000-000008000000}"/>
    <cellStyle name="常规 3 2 4" xfId="3" xr:uid="{00000000-0005-0000-0000-000003000000}"/>
    <cellStyle name="常规 3 2 4 2" xfId="66" xr:uid="{00000000-0005-0000-0000-000043000000}"/>
    <cellStyle name="常规 3 3" xfId="1104" xr:uid="{00000000-0005-0000-0000-000051040000}"/>
    <cellStyle name="常规 3 3 2" xfId="1105" xr:uid="{00000000-0005-0000-0000-000052040000}"/>
    <cellStyle name="常规 3 3 3" xfId="1106" xr:uid="{00000000-0005-0000-0000-000053040000}"/>
    <cellStyle name="常规 3 4" xfId="1107" xr:uid="{00000000-0005-0000-0000-000054040000}"/>
    <cellStyle name="常规 3_10存货" xfId="1108" xr:uid="{00000000-0005-0000-0000-000055040000}"/>
    <cellStyle name="常规 4" xfId="71" xr:uid="{00000000-0005-0000-0000-000048000000}"/>
    <cellStyle name="常规 4 2" xfId="61" xr:uid="{00000000-0005-0000-0000-00003E000000}"/>
    <cellStyle name="常规 4 2 2" xfId="1109" xr:uid="{00000000-0005-0000-0000-000056040000}"/>
    <cellStyle name="常规 4 2 3" xfId="1110" xr:uid="{00000000-0005-0000-0000-000057040000}"/>
    <cellStyle name="常规 4 3" xfId="1111" xr:uid="{00000000-0005-0000-0000-000058040000}"/>
    <cellStyle name="常规 4 3 2 2" xfId="1112" xr:uid="{00000000-0005-0000-0000-000059040000}"/>
    <cellStyle name="常规 4 3 2 2 2" xfId="1113" xr:uid="{00000000-0005-0000-0000-00005A040000}"/>
    <cellStyle name="常规 4 3 2 2 2 2" xfId="2268" xr:uid="{AB22258E-2207-4FF6-9B3F-7EA67779E225}"/>
    <cellStyle name="常规 4 3 2 2 3" xfId="2267" xr:uid="{4CD1ABF1-2F08-48F5-B625-324E283E1769}"/>
    <cellStyle name="常规 4 4" xfId="1114" xr:uid="{00000000-0005-0000-0000-00005B040000}"/>
    <cellStyle name="常规 4 5" xfId="1115" xr:uid="{00000000-0005-0000-0000-00005C040000}"/>
    <cellStyle name="常规 5" xfId="1116" xr:uid="{00000000-0005-0000-0000-00005D040000}"/>
    <cellStyle name="常规 5 2" xfId="1117" xr:uid="{00000000-0005-0000-0000-00005E040000}"/>
    <cellStyle name="常规 5 3" xfId="1118" xr:uid="{00000000-0005-0000-0000-00005F040000}"/>
    <cellStyle name="常规 6" xfId="1119" xr:uid="{00000000-0005-0000-0000-000060040000}"/>
    <cellStyle name="常规 7" xfId="1120" xr:uid="{00000000-0005-0000-0000-000061040000}"/>
    <cellStyle name="常规 7 2" xfId="1121" xr:uid="{00000000-0005-0000-0000-000062040000}"/>
    <cellStyle name="常规 7 3" xfId="1122" xr:uid="{00000000-0005-0000-0000-000063040000}"/>
    <cellStyle name="常规 8" xfId="1123" xr:uid="{00000000-0005-0000-0000-000064040000}"/>
    <cellStyle name="常规 8 2" xfId="1124" xr:uid="{00000000-0005-0000-0000-000065040000}"/>
    <cellStyle name="常规 9" xfId="1125" xr:uid="{00000000-0005-0000-0000-000066040000}"/>
    <cellStyle name="常规 9 2" xfId="1126" xr:uid="{00000000-0005-0000-0000-000067040000}"/>
    <cellStyle name="常规 9 3" xfId="1127" xr:uid="{00000000-0005-0000-0000-000068040000}"/>
    <cellStyle name="常规_ZA 货币资金" xfId="33" xr:uid="{00000000-0005-0000-0000-000022000000}"/>
    <cellStyle name="超级链接_综合类底稿表格" xfId="1128" xr:uid="{00000000-0005-0000-0000-000069040000}"/>
    <cellStyle name="超連結 2" xfId="1129" xr:uid="{00000000-0005-0000-0000-00006A040000}"/>
    <cellStyle name="超連結 2 2" xfId="2284" xr:uid="{1294BD98-1549-4501-961A-52136E53AD08}"/>
    <cellStyle name="超链接" xfId="2632" builtinId="8"/>
    <cellStyle name="超链接 2" xfId="22" xr:uid="{00000000-0005-0000-0000-000017000000}"/>
    <cellStyle name="超链接 2 2" xfId="1130" xr:uid="{00000000-0005-0000-0000-00006B040000}"/>
    <cellStyle name="超链接 2 2 2" xfId="1131" xr:uid="{00000000-0005-0000-0000-00006C040000}"/>
    <cellStyle name="超链接 2 3" xfId="1132" xr:uid="{00000000-0005-0000-0000-00006D040000}"/>
    <cellStyle name="超链接 2 4" xfId="1133" xr:uid="{00000000-0005-0000-0000-00006E040000}"/>
    <cellStyle name="超链接 2 5" xfId="1134" xr:uid="{00000000-0005-0000-0000-00006F040000}"/>
    <cellStyle name="超链接 3" xfId="1135" xr:uid="{00000000-0005-0000-0000-000070040000}"/>
    <cellStyle name="超链接 3 2" xfId="1136" xr:uid="{00000000-0005-0000-0000-000071040000}"/>
    <cellStyle name="超链接 3 3" xfId="1137" xr:uid="{00000000-0005-0000-0000-000072040000}"/>
    <cellStyle name="超链接 3 3 2" xfId="2291" xr:uid="{CFAC045B-E33B-4C59-A06E-97D30D08FB3D}"/>
    <cellStyle name="超链接 3 4" xfId="2290" xr:uid="{8380DAC1-A82D-4D67-B908-B48BFFAA1B30}"/>
    <cellStyle name="超链接 4" xfId="67" xr:uid="{00000000-0005-0000-0000-000044000000}"/>
    <cellStyle name="超链接 5" xfId="23" xr:uid="{00000000-0005-0000-0000-000018000000}"/>
    <cellStyle name="好_10存货" xfId="1138" xr:uid="{00000000-0005-0000-0000-000073040000}"/>
    <cellStyle name="好_19-无形资产（空白模板）" xfId="1139" xr:uid="{00000000-0005-0000-0000-000074040000}"/>
    <cellStyle name="好_1财务费用" xfId="1140" xr:uid="{00000000-0005-0000-0000-000075040000}"/>
    <cellStyle name="好_1营业收入" xfId="1141" xr:uid="{00000000-0005-0000-0000-000076040000}"/>
    <cellStyle name="好_1资产减值损失" xfId="1142" xr:uid="{00000000-0005-0000-0000-000077040000}"/>
    <cellStyle name="好_2-交易性金融资产（空白模板）" xfId="1143" xr:uid="{00000000-0005-0000-0000-000078040000}"/>
    <cellStyle name="好_3-2 进一步审计程序-采购与付款循环" xfId="1144" xr:uid="{00000000-0005-0000-0000-000079040000}"/>
    <cellStyle name="好_3-3 进一步审计程序-存货与生产循环" xfId="1145" xr:uid="{00000000-0005-0000-0000-00007A040000}"/>
    <cellStyle name="好_49-营业收入（空白模板）" xfId="1146" xr:uid="{00000000-0005-0000-0000-00007B040000}"/>
    <cellStyle name="好_4-应收账款（空白模板）" xfId="1147" xr:uid="{00000000-0005-0000-0000-00007C040000}"/>
    <cellStyle name="好_50-营业成本（空白模板）" xfId="1148" xr:uid="{00000000-0005-0000-0000-00007D040000}"/>
    <cellStyle name="好_51-营业税金及附加（空白模板）" xfId="1149" xr:uid="{00000000-0005-0000-0000-00007E040000}"/>
    <cellStyle name="好_54-财务费用（空白模板）" xfId="1150" xr:uid="{00000000-0005-0000-0000-00007F040000}"/>
    <cellStyle name="好_55-资产减值损失（空白模板）" xfId="1151" xr:uid="{00000000-0005-0000-0000-000080040000}"/>
    <cellStyle name="好_9管理费用" xfId="1152" xr:uid="{00000000-0005-0000-0000-000081040000}"/>
    <cellStyle name="好_Book2" xfId="1153" xr:uid="{00000000-0005-0000-0000-000082040000}"/>
    <cellStyle name="好_Sheet1" xfId="1154" xr:uid="{00000000-0005-0000-0000-000083040000}"/>
    <cellStyle name="好_ZA0货币资金审定表 " xfId="1155" xr:uid="{00000000-0005-0000-0000-000084040000}"/>
    <cellStyle name="好_财务费用" xfId="1156" xr:uid="{00000000-0005-0000-0000-000085040000}"/>
    <cellStyle name="好_存货" xfId="1157" xr:uid="{00000000-0005-0000-0000-000086040000}"/>
    <cellStyle name="好_存货 - 复制" xfId="1158" xr:uid="{00000000-0005-0000-0000-000087040000}"/>
    <cellStyle name="好_大信底稿目录" xfId="1159" xr:uid="{00000000-0005-0000-0000-000088040000}"/>
    <cellStyle name="好_底稿设置宏" xfId="1160" xr:uid="{00000000-0005-0000-0000-000089040000}"/>
    <cellStyle name="好_底稿设置宏_大信底稿目录" xfId="1161" xr:uid="{00000000-0005-0000-0000-00008A040000}"/>
    <cellStyle name="好_货币资金" xfId="1162" xr:uid="{00000000-0005-0000-0000-00008B040000}"/>
    <cellStyle name="好_货币资金 天职" xfId="1163" xr:uid="{00000000-0005-0000-0000-00008C040000}"/>
    <cellStyle name="好_货币资金 岳华" xfId="1164" xr:uid="{00000000-0005-0000-0000-00008D040000}"/>
    <cellStyle name="好_实收资本(股本)" xfId="1165" xr:uid="{00000000-0005-0000-0000-00008E040000}"/>
    <cellStyle name="好_无形资产" xfId="1166" xr:uid="{00000000-0005-0000-0000-00008F040000}"/>
    <cellStyle name="好_银行函证结果汇总表" xfId="1167" xr:uid="{00000000-0005-0000-0000-000090040000}"/>
    <cellStyle name="好_应付职工薪酬" xfId="1168" xr:uid="{00000000-0005-0000-0000-000091040000}"/>
    <cellStyle name="好_应收利息" xfId="1169" xr:uid="{00000000-0005-0000-0000-000092040000}"/>
    <cellStyle name="好_应收账款" xfId="1170" xr:uid="{00000000-0005-0000-0000-000093040000}"/>
    <cellStyle name="好_营业收入" xfId="1171" xr:uid="{00000000-0005-0000-0000-000094040000}"/>
    <cellStyle name="好_账项明细表" xfId="1172" xr:uid="{00000000-0005-0000-0000-000095040000}"/>
    <cellStyle name="好_资产负债标准底稿" xfId="1173" xr:uid="{00000000-0005-0000-0000-000096040000}"/>
    <cellStyle name="好_资产负债标准底稿_大信底稿目录" xfId="1174" xr:uid="{00000000-0005-0000-0000-000097040000}"/>
    <cellStyle name="好_资产负债类底稿模版" xfId="1175" xr:uid="{00000000-0005-0000-0000-000098040000}"/>
    <cellStyle name="好_资产负债类底稿模版_大信底稿目录" xfId="1176" xr:uid="{00000000-0005-0000-0000-000099040000}"/>
    <cellStyle name="好_资产减值损失" xfId="1177" xr:uid="{00000000-0005-0000-0000-00009A040000}"/>
    <cellStyle name="桁区切り [0.00]_１１月価格表" xfId="1178" xr:uid="{00000000-0005-0000-0000-00009B040000}"/>
    <cellStyle name="桁区切り_１１月価格表" xfId="1179" xr:uid="{00000000-0005-0000-0000-00009C040000}"/>
    <cellStyle name="货币 2" xfId="1180" xr:uid="{00000000-0005-0000-0000-00009D040000}"/>
    <cellStyle name="货币 3" xfId="1181" xr:uid="{00000000-0005-0000-0000-00009E040000}"/>
    <cellStyle name="貨幣 [0]_SGV" xfId="1182" xr:uid="{00000000-0005-0000-0000-00009F040000}"/>
    <cellStyle name="貨幣_SGV" xfId="1183" xr:uid="{00000000-0005-0000-0000-0000A0040000}"/>
    <cellStyle name="霓付 [0]_1202" xfId="1184" xr:uid="{00000000-0005-0000-0000-0000A1040000}"/>
    <cellStyle name="霓付_1202" xfId="1185" xr:uid="{00000000-0005-0000-0000-0000A2040000}"/>
    <cellStyle name="烹拳 [0]_1202" xfId="1186" xr:uid="{00000000-0005-0000-0000-0000A3040000}"/>
    <cellStyle name="烹拳_1202" xfId="1187" xr:uid="{00000000-0005-0000-0000-0000A4040000}"/>
    <cellStyle name="砯刽 [0]_PLDT" xfId="1188" xr:uid="{00000000-0005-0000-0000-0000A5040000}"/>
    <cellStyle name="砯刽_PLDT" xfId="1189" xr:uid="{00000000-0005-0000-0000-0000A6040000}"/>
    <cellStyle name="普通_ 白土" xfId="1190" xr:uid="{00000000-0005-0000-0000-0000A7040000}"/>
    <cellStyle name="千分位[0]_ 白土" xfId="1191" xr:uid="{00000000-0005-0000-0000-0000A8040000}"/>
    <cellStyle name="千分位_ 白土" xfId="1192" xr:uid="{00000000-0005-0000-0000-0000A9040000}"/>
    <cellStyle name="千位[0]_1995" xfId="1193" xr:uid="{00000000-0005-0000-0000-0000AA040000}"/>
    <cellStyle name="千位_1995" xfId="1194" xr:uid="{00000000-0005-0000-0000-0000AB040000}"/>
    <cellStyle name="千位分隔" xfId="9" builtinId="3"/>
    <cellStyle name="千位分隔 10" xfId="27" xr:uid="{00000000-0005-0000-0000-00001C000000}"/>
    <cellStyle name="千位分隔 10 2" xfId="1195" xr:uid="{00000000-0005-0000-0000-0000AC040000}"/>
    <cellStyle name="千位分隔 10 2 2" xfId="2295" xr:uid="{69A86788-0BE8-43B4-A203-3682ACCC4568}"/>
    <cellStyle name="千位分隔 10 3" xfId="1354" xr:uid="{981C74A8-D351-42B3-A1AA-B55BC6CFFD41}"/>
    <cellStyle name="千位分隔 11" xfId="1196" xr:uid="{00000000-0005-0000-0000-0000AD040000}"/>
    <cellStyle name="千位分隔 11 2" xfId="1197" xr:uid="{00000000-0005-0000-0000-0000AE040000}"/>
    <cellStyle name="千位分隔 11 2 2" xfId="2297" xr:uid="{1E70D87D-6575-42C6-852B-FB8ECF4870C0}"/>
    <cellStyle name="千位分隔 11 3" xfId="2296" xr:uid="{9955D16E-CA8B-4930-BFC4-42E0D1F448D1}"/>
    <cellStyle name="千位分隔 12" xfId="1198" xr:uid="{00000000-0005-0000-0000-0000AF040000}"/>
    <cellStyle name="千位分隔 12 2" xfId="2298" xr:uid="{8CC48A60-3157-451F-AB99-EE7BDD02AFEA}"/>
    <cellStyle name="千位分隔 2" xfId="1199" xr:uid="{00000000-0005-0000-0000-0000B0040000}"/>
    <cellStyle name="千位分隔 2 2" xfId="1200" xr:uid="{00000000-0005-0000-0000-0000B1040000}"/>
    <cellStyle name="千位分隔 2 2 2" xfId="1201" xr:uid="{00000000-0005-0000-0000-0000B2040000}"/>
    <cellStyle name="千位分隔 2 2 2 2" xfId="1202" xr:uid="{00000000-0005-0000-0000-0000B3040000}"/>
    <cellStyle name="千位分隔 2 2 2 2 2" xfId="1203" xr:uid="{00000000-0005-0000-0000-0000B4040000}"/>
    <cellStyle name="千位分隔 2 2 2 2 2 2" xfId="2302" xr:uid="{398C9B86-71CB-4051-BC5E-DAA46A14534D}"/>
    <cellStyle name="千位分隔 2 2 2 2 3" xfId="2301" xr:uid="{DD437B79-2931-4188-A539-83A9BBF805EF}"/>
    <cellStyle name="千位分隔 2 2 2 3" xfId="1204" xr:uid="{00000000-0005-0000-0000-0000B5040000}"/>
    <cellStyle name="千位分隔 2 2 2 3 2" xfId="1205" xr:uid="{00000000-0005-0000-0000-0000B6040000}"/>
    <cellStyle name="千位分隔 2 2 2 3 2 2" xfId="2304" xr:uid="{FBB3C45D-0B3E-4E6E-B9A2-1CEC1C4B34F3}"/>
    <cellStyle name="千位分隔 2 2 2 3 3" xfId="2303" xr:uid="{563E3C5D-2333-406A-8EC9-2147C53E1327}"/>
    <cellStyle name="千位分隔 2 2 2 4" xfId="1206" xr:uid="{00000000-0005-0000-0000-0000B7040000}"/>
    <cellStyle name="千位分隔 2 2 2 4 2" xfId="2305" xr:uid="{0D5DEBC9-203A-48EC-80C8-03EBFB4D4890}"/>
    <cellStyle name="千位分隔 2 2 2 5" xfId="2300" xr:uid="{7EA5B476-3A7F-4B4C-A759-B222F83BA4E4}"/>
    <cellStyle name="千位分隔 2 2 3" xfId="1207" xr:uid="{00000000-0005-0000-0000-0000B8040000}"/>
    <cellStyle name="千位分隔 2 2 3 2" xfId="1208" xr:uid="{00000000-0005-0000-0000-0000B9040000}"/>
    <cellStyle name="千位分隔 2 2 3 2 2" xfId="2307" xr:uid="{AE29F0EC-F235-40A9-8F4B-9A5D25DE8C15}"/>
    <cellStyle name="千位分隔 2 2 3 3" xfId="2306" xr:uid="{8C73BC1D-5EC1-420B-8D24-290767612A8C}"/>
    <cellStyle name="千位分隔 2 2 4" xfId="1209" xr:uid="{00000000-0005-0000-0000-0000BA040000}"/>
    <cellStyle name="千位分隔 2 2 4 2" xfId="1210" xr:uid="{00000000-0005-0000-0000-0000BB040000}"/>
    <cellStyle name="千位分隔 2 2 4 2 2" xfId="2309" xr:uid="{E95B117F-2F1D-4DF9-93D1-43775E3D6BC0}"/>
    <cellStyle name="千位分隔 2 2 4 3" xfId="2308" xr:uid="{37E91A17-FE4A-4F54-962C-67BB7D087416}"/>
    <cellStyle name="千位分隔 2 2 5" xfId="1211" xr:uid="{00000000-0005-0000-0000-0000BC040000}"/>
    <cellStyle name="千位分隔 2 3" xfId="1212" xr:uid="{00000000-0005-0000-0000-0000BD040000}"/>
    <cellStyle name="千位分隔 2 3 2" xfId="1213" xr:uid="{00000000-0005-0000-0000-0000BE040000}"/>
    <cellStyle name="千位分隔 2 3 2 2" xfId="1214" xr:uid="{00000000-0005-0000-0000-0000BF040000}"/>
    <cellStyle name="千位分隔 2 3 2 2 2" xfId="2312" xr:uid="{6B04EE34-5AD3-4D5E-9946-504FDAAE9F3B}"/>
    <cellStyle name="千位分隔 2 3 2 3" xfId="2311" xr:uid="{46A3E34D-9BFA-48F6-8EC6-6E06203E8669}"/>
    <cellStyle name="千位分隔 2 3 3" xfId="1215" xr:uid="{00000000-0005-0000-0000-0000C0040000}"/>
    <cellStyle name="千位分隔 2 3 3 2" xfId="2313" xr:uid="{4A9525CA-1969-47F6-85E4-9AC0BE5742EE}"/>
    <cellStyle name="千位分隔 2 3 4" xfId="2310" xr:uid="{E84D94C8-6E48-4C02-A94C-764549933515}"/>
    <cellStyle name="千位分隔 2 4" xfId="1216" xr:uid="{00000000-0005-0000-0000-0000C1040000}"/>
    <cellStyle name="千位分隔 2 4 2" xfId="1217" xr:uid="{00000000-0005-0000-0000-0000C2040000}"/>
    <cellStyle name="千位分隔 2 4 2 2" xfId="2315" xr:uid="{5FB3BE3F-21C9-4B16-B172-A33DBB84F966}"/>
    <cellStyle name="千位分隔 2 4 3" xfId="2314" xr:uid="{3035DC64-B8C0-408E-8530-139A2F9D0AAB}"/>
    <cellStyle name="千位分隔 2 5" xfId="1218" xr:uid="{00000000-0005-0000-0000-0000C3040000}"/>
    <cellStyle name="千位分隔 2 5 2" xfId="2316" xr:uid="{3230432E-346E-41F0-9D35-6194BBE0C912}"/>
    <cellStyle name="千位分隔 2 6" xfId="2299" xr:uid="{4F9A72B9-8D88-4DAB-9E71-286542FF9A46}"/>
    <cellStyle name="千位分隔 3" xfId="1219" xr:uid="{00000000-0005-0000-0000-0000C4040000}"/>
    <cellStyle name="千位分隔 3 2" xfId="1220" xr:uid="{00000000-0005-0000-0000-0000C5040000}"/>
    <cellStyle name="千位分隔 3 2 2" xfId="1221" xr:uid="{00000000-0005-0000-0000-0000C6040000}"/>
    <cellStyle name="千位分隔 3 2 2 2" xfId="1222" xr:uid="{00000000-0005-0000-0000-0000C7040000}"/>
    <cellStyle name="千位分隔 3 2 2 2 2" xfId="1223" xr:uid="{00000000-0005-0000-0000-0000C8040000}"/>
    <cellStyle name="千位分隔 3 2 2 2 2 2" xfId="2321" xr:uid="{420A0CA2-83CD-4A86-8C1B-CFC1148B19C0}"/>
    <cellStyle name="千位分隔 3 2 2 2 3" xfId="2320" xr:uid="{07754046-A72F-41F4-BA82-FE71868A0319}"/>
    <cellStyle name="千位分隔 3 2 2 3" xfId="1224" xr:uid="{00000000-0005-0000-0000-0000C9040000}"/>
    <cellStyle name="千位分隔 3 2 2 3 2" xfId="2322" xr:uid="{800AFB33-2D09-4298-91E7-B1E1B2A698BF}"/>
    <cellStyle name="千位分隔 3 2 2 4" xfId="2319" xr:uid="{5AC5750B-0027-4482-857B-6239B9D7545D}"/>
    <cellStyle name="千位分隔 3 2 3" xfId="1225" xr:uid="{00000000-0005-0000-0000-0000CA040000}"/>
    <cellStyle name="千位分隔 3 2 3 2" xfId="1226" xr:uid="{00000000-0005-0000-0000-0000CB040000}"/>
    <cellStyle name="千位分隔 3 2 3 2 2" xfId="2324" xr:uid="{FEC3558B-AC19-413E-AA41-3633056204DD}"/>
    <cellStyle name="千位分隔 3 2 3 3" xfId="2323" xr:uid="{CB961CA3-BE1C-41BE-BCD7-005101397759}"/>
    <cellStyle name="千位分隔 3 2 4" xfId="1227" xr:uid="{00000000-0005-0000-0000-0000CC040000}"/>
    <cellStyle name="千位分隔 3 2 4 2" xfId="1228" xr:uid="{00000000-0005-0000-0000-0000CD040000}"/>
    <cellStyle name="千位分隔 3 2 4 2 2" xfId="2326" xr:uid="{7FA5B776-6904-467A-A082-5817F7AB681E}"/>
    <cellStyle name="千位分隔 3 2 4 3" xfId="2325" xr:uid="{56BE5A8A-E5E4-4830-80E5-61198B325AEE}"/>
    <cellStyle name="千位分隔 3 2 5" xfId="1229" xr:uid="{00000000-0005-0000-0000-0000CE040000}"/>
    <cellStyle name="千位分隔 3 2 5 2" xfId="2327" xr:uid="{2AECB9DD-6FFB-44B2-826F-67F2D3FDAF31}"/>
    <cellStyle name="千位分隔 3 2 6" xfId="2318" xr:uid="{41031864-7110-4418-83B1-CD08C523285C}"/>
    <cellStyle name="千位分隔 3 3" xfId="1230" xr:uid="{00000000-0005-0000-0000-0000CF040000}"/>
    <cellStyle name="千位分隔 3 3 2" xfId="1231" xr:uid="{00000000-0005-0000-0000-0000D0040000}"/>
    <cellStyle name="千位分隔 3 3 2 2" xfId="1232" xr:uid="{00000000-0005-0000-0000-0000D1040000}"/>
    <cellStyle name="千位分隔 3 3 2 2 2" xfId="2330" xr:uid="{54E001E3-08C7-43F3-8653-0DF7A1BE9C5A}"/>
    <cellStyle name="千位分隔 3 3 2 3" xfId="2329" xr:uid="{F79F2563-26CA-4F47-A86C-389212A4C96B}"/>
    <cellStyle name="千位分隔 3 3 3" xfId="1233" xr:uid="{00000000-0005-0000-0000-0000D2040000}"/>
    <cellStyle name="千位分隔 3 3 3 2" xfId="1234" xr:uid="{00000000-0005-0000-0000-0000D3040000}"/>
    <cellStyle name="千位分隔 3 3 3 2 2" xfId="2332" xr:uid="{FFA40C7A-53EC-4373-8B6A-74EA3C2437B7}"/>
    <cellStyle name="千位分隔 3 3 3 3" xfId="2331" xr:uid="{A2E4AE0D-C076-439D-8D38-335357F39283}"/>
    <cellStyle name="千位分隔 3 3 4" xfId="1235" xr:uid="{00000000-0005-0000-0000-0000D4040000}"/>
    <cellStyle name="千位分隔 3 3 4 2" xfId="2333" xr:uid="{3E3199F5-AA54-403F-960B-E65BB9FD8AB1}"/>
    <cellStyle name="千位分隔 3 3 5" xfId="2328" xr:uid="{8320E6DB-1602-43DF-9FC9-1EA5E5122E4F}"/>
    <cellStyle name="千位分隔 3 4" xfId="1236" xr:uid="{00000000-0005-0000-0000-0000D5040000}"/>
    <cellStyle name="千位分隔 3 4 2" xfId="1237" xr:uid="{00000000-0005-0000-0000-0000D6040000}"/>
    <cellStyle name="千位分隔 3 4 2 2" xfId="1238" xr:uid="{00000000-0005-0000-0000-0000D7040000}"/>
    <cellStyle name="千位分隔 3 4 2 2 2" xfId="2336" xr:uid="{AE056CAA-AC76-470D-91B6-FF58B7058F6F}"/>
    <cellStyle name="千位分隔 3 4 2 3" xfId="2335" xr:uid="{92D44C7E-B33C-4459-AE0C-15A40B726CF5}"/>
    <cellStyle name="千位分隔 3 4 3" xfId="1239" xr:uid="{00000000-0005-0000-0000-0000D8040000}"/>
    <cellStyle name="千位分隔 3 4 3 2" xfId="1240" xr:uid="{00000000-0005-0000-0000-0000D9040000}"/>
    <cellStyle name="千位分隔 3 4 3 2 2" xfId="2338" xr:uid="{28158020-3C08-449B-9B9C-02088CC96345}"/>
    <cellStyle name="千位分隔 3 4 3 3" xfId="2337" xr:uid="{F283D055-DE5D-4C07-8409-620EECD9ACB4}"/>
    <cellStyle name="千位分隔 3 4 4" xfId="1241" xr:uid="{00000000-0005-0000-0000-0000DA040000}"/>
    <cellStyle name="千位分隔 3 4 4 2" xfId="2339" xr:uid="{A7B73DC2-528F-422D-BEC2-BBCEF4E8E0CA}"/>
    <cellStyle name="千位分隔 3 4 5" xfId="2334" xr:uid="{251A36CD-1022-4312-913A-6481123ACBA8}"/>
    <cellStyle name="千位分隔 3 5" xfId="1242" xr:uid="{00000000-0005-0000-0000-0000DB040000}"/>
    <cellStyle name="千位分隔 3 5 2" xfId="1243" xr:uid="{00000000-0005-0000-0000-0000DC040000}"/>
    <cellStyle name="千位分隔 3 5 2 2" xfId="2341" xr:uid="{35D23A6A-4FF1-45B9-83C7-E64EBAED5819}"/>
    <cellStyle name="千位分隔 3 5 3" xfId="2340" xr:uid="{398D4413-1EE2-4E89-BEFC-ADB8577E429C}"/>
    <cellStyle name="千位分隔 3 6" xfId="1244" xr:uid="{00000000-0005-0000-0000-0000DD040000}"/>
    <cellStyle name="千位分隔 3 6 2" xfId="2342" xr:uid="{CE166982-AD95-456E-8157-7CDF3D1D438D}"/>
    <cellStyle name="千位分隔 3 7" xfId="2317" xr:uid="{95B1492B-718F-4ACF-96C2-DB66F4CD1C14}"/>
    <cellStyle name="千位分隔 4" xfId="1245" xr:uid="{00000000-0005-0000-0000-0000DE040000}"/>
    <cellStyle name="千位分隔 4 2" xfId="1246" xr:uid="{00000000-0005-0000-0000-0000DF040000}"/>
    <cellStyle name="千位分隔 4 2 2" xfId="1247" xr:uid="{00000000-0005-0000-0000-0000E0040000}"/>
    <cellStyle name="千位分隔 4 2 2 2" xfId="1248" xr:uid="{00000000-0005-0000-0000-0000E1040000}"/>
    <cellStyle name="千位分隔 4 2 2 2 2" xfId="2346" xr:uid="{3991365C-DC5B-4547-8068-F7FD57FA6AF5}"/>
    <cellStyle name="千位分隔 4 2 2 3" xfId="2345" xr:uid="{546C1459-35F0-4486-A634-44C408DEFF48}"/>
    <cellStyle name="千位分隔 4 2 3" xfId="1249" xr:uid="{00000000-0005-0000-0000-0000E2040000}"/>
    <cellStyle name="千位分隔 4 2 3 2" xfId="1250" xr:uid="{00000000-0005-0000-0000-0000E3040000}"/>
    <cellStyle name="千位分隔 4 2 3 2 2" xfId="2348" xr:uid="{24D53040-B7C6-4B4E-8609-CBD050E6BB6A}"/>
    <cellStyle name="千位分隔 4 2 3 3" xfId="2347" xr:uid="{3616505B-7EE5-49CD-9F01-067D3439EC14}"/>
    <cellStyle name="千位分隔 4 2 4" xfId="1251" xr:uid="{00000000-0005-0000-0000-0000E4040000}"/>
    <cellStyle name="千位分隔 4 2 4 2" xfId="2349" xr:uid="{A0A25AE6-DC2E-446F-9645-9D6C93E50B9C}"/>
    <cellStyle name="千位分隔 4 2 5" xfId="2344" xr:uid="{361D2916-A45D-497E-947E-576BE485A9A1}"/>
    <cellStyle name="千位分隔 4 3" xfId="1252" xr:uid="{00000000-0005-0000-0000-0000E5040000}"/>
    <cellStyle name="千位分隔 4 3 2" xfId="1253" xr:uid="{00000000-0005-0000-0000-0000E6040000}"/>
    <cellStyle name="千位分隔 4 3 2 2" xfId="2351" xr:uid="{BD6F02C6-9267-4140-8CCF-302D73288002}"/>
    <cellStyle name="千位分隔 4 3 3" xfId="2350" xr:uid="{BEABA17E-484A-4AE4-A5C9-903305FD6CE4}"/>
    <cellStyle name="千位分隔 4 4" xfId="1254" xr:uid="{00000000-0005-0000-0000-0000E7040000}"/>
    <cellStyle name="千位分隔 4 4 2" xfId="1255" xr:uid="{00000000-0005-0000-0000-0000E8040000}"/>
    <cellStyle name="千位分隔 4 4 2 2" xfId="2353" xr:uid="{A89538D1-D034-45D7-A361-DD865F2F67EB}"/>
    <cellStyle name="千位分隔 4 4 3" xfId="2352" xr:uid="{D46A9E44-B7D7-47A7-BAC4-A5CD8A99CB5D}"/>
    <cellStyle name="千位分隔 4 5" xfId="1256" xr:uid="{00000000-0005-0000-0000-0000E9040000}"/>
    <cellStyle name="千位分隔 4 5 2" xfId="2354" xr:uid="{BA94F7D2-12E2-4925-9239-39F225C2C78A}"/>
    <cellStyle name="千位分隔 4 6" xfId="2343" xr:uid="{FF177416-9D4E-4136-B3A1-F24158561E78}"/>
    <cellStyle name="千位分隔 5" xfId="1257" xr:uid="{00000000-0005-0000-0000-0000EA040000}"/>
    <cellStyle name="千位分隔 5 2" xfId="1258" xr:uid="{00000000-0005-0000-0000-0000EB040000}"/>
    <cellStyle name="千位分隔 5 2 2" xfId="1259" xr:uid="{00000000-0005-0000-0000-0000EC040000}"/>
    <cellStyle name="千位分隔 5 2 2 2" xfId="1260" xr:uid="{00000000-0005-0000-0000-0000ED040000}"/>
    <cellStyle name="千位分隔 5 2 2 2 2" xfId="2358" xr:uid="{F7C19165-87C1-4189-AB92-134B664231E0}"/>
    <cellStyle name="千位分隔 5 2 2 3" xfId="2357" xr:uid="{EC7EFD73-A496-4E70-979D-B459ADB69333}"/>
    <cellStyle name="千位分隔 5 2 3" xfId="1261" xr:uid="{00000000-0005-0000-0000-0000EE040000}"/>
    <cellStyle name="千位分隔 5 2 3 2" xfId="2359" xr:uid="{393E655D-E37A-4381-B3CD-157C1B5B94B0}"/>
    <cellStyle name="千位分隔 5 2 4" xfId="2356" xr:uid="{2FB7394C-7667-4627-8B8E-8124C1BAD271}"/>
    <cellStyle name="千位分隔 5 3" xfId="1262" xr:uid="{00000000-0005-0000-0000-0000EF040000}"/>
    <cellStyle name="千位分隔 5 3 2" xfId="1263" xr:uid="{00000000-0005-0000-0000-0000F0040000}"/>
    <cellStyle name="千位分隔 5 3 2 2" xfId="2361" xr:uid="{AF81BE50-6C4B-4CD3-87CB-813EEFA3B525}"/>
    <cellStyle name="千位分隔 5 3 3" xfId="2360" xr:uid="{E29D4074-30E4-4DA5-9BDA-0E57EBEEFDD7}"/>
    <cellStyle name="千位分隔 5 4" xfId="1264" xr:uid="{00000000-0005-0000-0000-0000F1040000}"/>
    <cellStyle name="千位分隔 5 4 2" xfId="1265" xr:uid="{00000000-0005-0000-0000-0000F2040000}"/>
    <cellStyle name="千位分隔 5 4 2 2" xfId="2363" xr:uid="{8F2684D6-5204-47DF-A191-3D7DE71683F3}"/>
    <cellStyle name="千位分隔 5 4 3" xfId="2362" xr:uid="{AC8EC28B-8CD0-4CFE-8C96-F09408B1F668}"/>
    <cellStyle name="千位分隔 5 5" xfId="1266" xr:uid="{00000000-0005-0000-0000-0000F3040000}"/>
    <cellStyle name="千位分隔 5 5 2" xfId="2364" xr:uid="{DB09F1B9-5226-41EB-BC31-0F5621B0D1BA}"/>
    <cellStyle name="千位分隔 5 6" xfId="2355" xr:uid="{29457B8E-8127-4B38-B28E-D832A43363C8}"/>
    <cellStyle name="千位分隔 6" xfId="1267" xr:uid="{00000000-0005-0000-0000-0000F4040000}"/>
    <cellStyle name="千位分隔 6 2" xfId="1268" xr:uid="{00000000-0005-0000-0000-0000F5040000}"/>
    <cellStyle name="千位分隔 6 2 2" xfId="2366" xr:uid="{90568786-D4D0-44C7-9A09-97CEA30B68AD}"/>
    <cellStyle name="千位分隔 6 3" xfId="2365" xr:uid="{96DC7D83-81E9-49E3-9D2C-552D0F9B8A47}"/>
    <cellStyle name="千位分隔 7" xfId="1269" xr:uid="{00000000-0005-0000-0000-0000F6040000}"/>
    <cellStyle name="千位分隔 7 2" xfId="1270" xr:uid="{00000000-0005-0000-0000-0000F7040000}"/>
    <cellStyle name="千位分隔 7 2 2" xfId="2368" xr:uid="{30E286A3-B2B8-472E-9DF8-59604077ADDC}"/>
    <cellStyle name="千位分隔 7 3" xfId="1271" xr:uid="{00000000-0005-0000-0000-0000F8040000}"/>
    <cellStyle name="千位分隔 7 3 2" xfId="1272" xr:uid="{00000000-0005-0000-0000-0000F9040000}"/>
    <cellStyle name="千位分隔 7 3 2 2" xfId="1273" xr:uid="{00000000-0005-0000-0000-0000FA040000}"/>
    <cellStyle name="千位分隔 7 3 2 2 2" xfId="2371" xr:uid="{AA4086D3-A76B-4C78-9263-8EC52613DDFF}"/>
    <cellStyle name="千位分隔 7 3 2 3" xfId="2370" xr:uid="{AF2AD52A-E85D-4A63-99FC-D6FECC167BA7}"/>
    <cellStyle name="千位分隔 7 3 3" xfId="1274" xr:uid="{00000000-0005-0000-0000-0000FB040000}"/>
    <cellStyle name="千位分隔 7 3 3 2" xfId="2372" xr:uid="{A73044F3-3515-40A6-94A9-26BBA015907A}"/>
    <cellStyle name="千位分隔 7 3 4" xfId="2369" xr:uid="{26150593-4E18-45A9-86E8-24225D909237}"/>
    <cellStyle name="千位分隔 7 4" xfId="2367" xr:uid="{3DD71AE6-BB6A-4698-B644-0270017A91E2}"/>
    <cellStyle name="千位分隔 8" xfId="1275" xr:uid="{00000000-0005-0000-0000-0000FC040000}"/>
    <cellStyle name="千位分隔 8 2" xfId="1276" xr:uid="{00000000-0005-0000-0000-0000FD040000}"/>
    <cellStyle name="千位分隔 8 2 2" xfId="1277" xr:uid="{00000000-0005-0000-0000-0000FE040000}"/>
    <cellStyle name="千位分隔 8 2 2 2" xfId="2375" xr:uid="{951F09E2-F7C6-42C1-B97F-887DE38A6ABA}"/>
    <cellStyle name="千位分隔 8 2 3" xfId="2374" xr:uid="{1300CA95-254B-46F2-B7FF-360D7D1E526C}"/>
    <cellStyle name="千位分隔 8 3" xfId="1278" xr:uid="{00000000-0005-0000-0000-0000FF040000}"/>
    <cellStyle name="千位分隔 8 3 2" xfId="2376" xr:uid="{0B2CF6B6-F400-41A3-A53F-27DD415DCA8A}"/>
    <cellStyle name="千位分隔 8 4" xfId="2373" xr:uid="{EB3F9AB3-9B61-498B-B0E3-B069EAEBDA36}"/>
    <cellStyle name="千位分隔 9" xfId="1279" xr:uid="{00000000-0005-0000-0000-000000050000}"/>
    <cellStyle name="千位分隔 9 2" xfId="1280" xr:uid="{00000000-0005-0000-0000-000001050000}"/>
    <cellStyle name="千位分隔 9 2 2" xfId="2378" xr:uid="{CDE70251-1865-4172-9DE2-2BD8A6F4F94B}"/>
    <cellStyle name="千位分隔 9 3" xfId="2377" xr:uid="{6FE429DE-BD81-4F20-A8EB-D3190A3C55E9}"/>
    <cellStyle name="千位分隔[0] 2" xfId="1281" xr:uid="{00000000-0005-0000-0000-000002050000}"/>
    <cellStyle name="千位分隔[0] 2 2" xfId="1282" xr:uid="{00000000-0005-0000-0000-000003050000}"/>
    <cellStyle name="千位分隔[0] 2 2 2" xfId="1283" xr:uid="{00000000-0005-0000-0000-000004050000}"/>
    <cellStyle name="千位分隔[0] 2 2 2 2" xfId="1284" xr:uid="{00000000-0005-0000-0000-000005050000}"/>
    <cellStyle name="千位分隔[0] 2 2 2 2 2" xfId="1285" xr:uid="{00000000-0005-0000-0000-000006050000}"/>
    <cellStyle name="千位分隔[0] 2 2 2 2 2 2" xfId="2383" xr:uid="{09E83199-A383-4ACE-9AA3-A5FDD129DB62}"/>
    <cellStyle name="千位分隔[0] 2 2 2 2 3" xfId="2382" xr:uid="{2BBE5C41-9625-49F4-BD85-E0243A5ED569}"/>
    <cellStyle name="千位分隔[0] 2 2 2 3" xfId="1286" xr:uid="{00000000-0005-0000-0000-000007050000}"/>
    <cellStyle name="千位分隔[0] 2 2 2 3 2" xfId="1287" xr:uid="{00000000-0005-0000-0000-000008050000}"/>
    <cellStyle name="千位分隔[0] 2 2 2 3 2 2" xfId="2385" xr:uid="{CA2C0C29-35EE-437E-8301-324B8DBBF5E5}"/>
    <cellStyle name="千位分隔[0] 2 2 2 3 3" xfId="2384" xr:uid="{1A85BFC0-231D-4E90-9AB3-C92B3067CE83}"/>
    <cellStyle name="千位分隔[0] 2 2 2 4" xfId="1288" xr:uid="{00000000-0005-0000-0000-000009050000}"/>
    <cellStyle name="千位分隔[0] 2 2 2 4 2" xfId="2386" xr:uid="{48B32EC1-6270-46CC-9F59-81079610CEAC}"/>
    <cellStyle name="千位分隔[0] 2 2 2 5" xfId="2381" xr:uid="{B01CD9D4-6725-4C86-8965-D285883B7E98}"/>
    <cellStyle name="千位分隔[0] 2 2 3" xfId="1289" xr:uid="{00000000-0005-0000-0000-00000A050000}"/>
    <cellStyle name="千位分隔[0] 2 2 3 2" xfId="1290" xr:uid="{00000000-0005-0000-0000-00000B050000}"/>
    <cellStyle name="千位分隔[0] 2 2 3 2 2" xfId="2388" xr:uid="{0A33B250-FC4E-40E4-A9FA-4CF4CEF5A38F}"/>
    <cellStyle name="千位分隔[0] 2 2 3 3" xfId="2387" xr:uid="{047BAF02-F078-4C1B-9A22-409D58A9B85E}"/>
    <cellStyle name="千位分隔[0] 2 2 4" xfId="1291" xr:uid="{00000000-0005-0000-0000-00000C050000}"/>
    <cellStyle name="千位分隔[0] 2 2 4 2" xfId="1292" xr:uid="{00000000-0005-0000-0000-00000D050000}"/>
    <cellStyle name="千位分隔[0] 2 2 4 2 2" xfId="2390" xr:uid="{FF905FBA-02F4-4536-AEAB-AAE672435ABD}"/>
    <cellStyle name="千位分隔[0] 2 2 4 3" xfId="2389" xr:uid="{6CE774D6-0845-4811-8E17-36DFA70F6DAE}"/>
    <cellStyle name="千位分隔[0] 2 2 5" xfId="1293" xr:uid="{00000000-0005-0000-0000-00000E050000}"/>
    <cellStyle name="千位分隔[0] 2 2 5 2" xfId="2391" xr:uid="{7639A7D2-6EC6-4E53-9C72-00720D79F28C}"/>
    <cellStyle name="千位分隔[0] 2 2 6" xfId="2380" xr:uid="{C8ECF8D9-F231-49EE-AC8E-0A506867CEF1}"/>
    <cellStyle name="千位分隔[0] 2 3" xfId="1294" xr:uid="{00000000-0005-0000-0000-00000F050000}"/>
    <cellStyle name="千位分隔[0] 2 3 2" xfId="1295" xr:uid="{00000000-0005-0000-0000-000010050000}"/>
    <cellStyle name="千位分隔[0] 2 3 2 2" xfId="2393" xr:uid="{E7FEB472-5968-4A19-8638-909CB3EA3ACE}"/>
    <cellStyle name="千位分隔[0] 2 3 3" xfId="2392" xr:uid="{55C9FDFB-EAF6-4A58-9099-6BDEB9C6CA2B}"/>
    <cellStyle name="千位分隔[0] 2 4" xfId="1296" xr:uid="{00000000-0005-0000-0000-000011050000}"/>
    <cellStyle name="千位分隔[0] 2 4 2" xfId="1297" xr:uid="{00000000-0005-0000-0000-000012050000}"/>
    <cellStyle name="千位分隔[0] 2 4 2 2" xfId="2395" xr:uid="{540B037A-AAF3-4BB5-9D74-5F5AE3F68E1C}"/>
    <cellStyle name="千位分隔[0] 2 4 3" xfId="2394" xr:uid="{544159BA-8E59-4830-BC3B-D79B035DE8C1}"/>
    <cellStyle name="千位分隔[0] 2 5" xfId="1298" xr:uid="{00000000-0005-0000-0000-000013050000}"/>
    <cellStyle name="千位分隔[0] 2 5 2" xfId="2396" xr:uid="{D276AC43-4F75-43CF-B577-149FF315D5F3}"/>
    <cellStyle name="千位分隔[0] 2 6" xfId="2379" xr:uid="{E1C1E8F1-B795-4836-8F0B-B378BAA1D9BC}"/>
    <cellStyle name="钎霖_(沥焊何巩)岿喊牢盔拌裙" xfId="1299" xr:uid="{00000000-0005-0000-0000-000014050000}"/>
    <cellStyle name="强调 1" xfId="1300" xr:uid="{00000000-0005-0000-0000-000015050000}"/>
    <cellStyle name="强调 2" xfId="1301" xr:uid="{00000000-0005-0000-0000-000016050000}"/>
    <cellStyle name="强调 3" xfId="1302" xr:uid="{00000000-0005-0000-0000-000017050000}"/>
    <cellStyle name="通貨 [0.00]_１１月価格表" xfId="1303" xr:uid="{00000000-0005-0000-0000-000018050000}"/>
    <cellStyle name="通貨_１１月価格表" xfId="1304" xr:uid="{00000000-0005-0000-0000-000019050000}"/>
    <cellStyle name="样式 1" xfId="1305" xr:uid="{00000000-0005-0000-0000-00001A050000}"/>
    <cellStyle name="一般 2" xfId="1306" xr:uid="{00000000-0005-0000-0000-00001B050000}"/>
    <cellStyle name="一般 2 2" xfId="1307" xr:uid="{00000000-0005-0000-0000-00001C050000}"/>
    <cellStyle name="一般 2 2 2" xfId="2402" xr:uid="{28813F0A-CC8B-46E5-8515-4DAF42D56D73}"/>
    <cellStyle name="一般 2 3" xfId="2401" xr:uid="{CFC30CB3-693A-4EF2-9B9E-7F70BD669702}"/>
    <cellStyle name="一般_2008 06CUIT" xfId="1308" xr:uid="{00000000-0005-0000-0000-00001D050000}"/>
    <cellStyle name="昗弨_BOOKSHIP" xfId="1309" xr:uid="{00000000-0005-0000-0000-00001E050000}"/>
    <cellStyle name="寘嬫愗傝 [0.00]_PRODUCT DETAIL Q1" xfId="1310" xr:uid="{00000000-0005-0000-0000-00001F050000}"/>
    <cellStyle name="寘嬫愗傝_PRODUCT DETAIL Q1" xfId="1311" xr:uid="{00000000-0005-0000-0000-000020050000}"/>
    <cellStyle name="资产" xfId="1312" xr:uid="{00000000-0005-0000-0000-000021050000}"/>
    <cellStyle name="资产 2" xfId="1313" xr:uid="{00000000-0005-0000-0000-000022050000}"/>
    <cellStyle name="资产 2 2" xfId="1314" xr:uid="{00000000-0005-0000-0000-000023050000}"/>
    <cellStyle name="资产 2 2 2" xfId="2406" xr:uid="{6D8B0298-E511-45F9-8B7A-C6431C1578F3}"/>
    <cellStyle name="资产 2 3" xfId="1315" xr:uid="{00000000-0005-0000-0000-000024050000}"/>
    <cellStyle name="资产 2 3 2" xfId="2407" xr:uid="{53520AB8-6244-4BA6-8F32-61809C470988}"/>
    <cellStyle name="资产 2 4" xfId="2405" xr:uid="{3A6F4569-DDF4-47F5-B611-A0E986FBA34C}"/>
    <cellStyle name="资产 3" xfId="1316" xr:uid="{00000000-0005-0000-0000-000025050000}"/>
    <cellStyle name="资产 3 2" xfId="2408" xr:uid="{4C04F88A-2E8C-40EE-84A6-C4D5303D8C57}"/>
    <cellStyle name="资产 4" xfId="1317" xr:uid="{00000000-0005-0000-0000-000026050000}"/>
    <cellStyle name="资产 4 2" xfId="2409" xr:uid="{92EBDB89-36D1-4A83-A0A1-D6F90F3EBF4D}"/>
    <cellStyle name="资产 5" xfId="1318" xr:uid="{00000000-0005-0000-0000-000027050000}"/>
    <cellStyle name="资产 5 2" xfId="2410" xr:uid="{8350BA54-5395-4338-9821-307A358D453B}"/>
    <cellStyle name="资产 6" xfId="2404" xr:uid="{6C52D6CB-E91D-4D4C-890A-D06C90D80CE0}"/>
    <cellStyle name="콤마 [0]_BOILER-CO1" xfId="1319" xr:uid="{00000000-0005-0000-0000-000028050000}"/>
    <cellStyle name="콤마_BOILER-CO1" xfId="1320" xr:uid="{00000000-0005-0000-0000-000029050000}"/>
    <cellStyle name="통화 [0]_BOILER-CO1" xfId="1321" xr:uid="{00000000-0005-0000-0000-00002A050000}"/>
    <cellStyle name="통화_BOILER-CO1" xfId="1322" xr:uid="{00000000-0005-0000-0000-00002B050000}"/>
    <cellStyle name="표준_0N-HANDLING " xfId="1323" xr:uid="{00000000-0005-0000-0000-00002C050000}"/>
  </cellStyles>
  <dxfs count="19">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24988555558946501"/>
        </patternFill>
      </fill>
    </dxf>
    <dxf>
      <fill>
        <patternFill>
          <bgColor rgb="FFFFFFCC"/>
        </patternFill>
      </fill>
    </dxf>
    <dxf>
      <fill>
        <patternFill>
          <bgColor rgb="FFFFFFCC"/>
        </patternFill>
      </fill>
    </dxf>
  </dxfs>
  <tableStyles count="0" defaultTableStyle="TableStyleMedium2" defaultPivotStyle="PivotStyleLight16"/>
  <colors>
    <mruColors>
      <color rgb="FFFFFFCC"/>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5%AE%9E%E4%BD%93%E7%94%9F%E6%88%90%E7%9A%84%E4%BF%A1%E6%81%AF%EF%BC%88IPE%EF%BC%89.aspx?csf=1&amp;web=1&amp;e=UoBafg&amp;cid=a1f4ef69-4fef-4aba-9718-deb1f981e959"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Altas-PSP-%E9%93%BE%E6%8E%A5.aspx#:~:text=%E7%9B%B8%E5%85%B3PSP%20%E4%BB%A5%E5%8F%8AOSP%20%E5%8F%AF%E4%BB%8EAtlas%20%E4%B8%AD%E8%8E%B7%E5%BE%97%EF%BC%8CAtlas%20Link%3A%C2%A0%C2%A0%C2%A0%C2%A0%C2%A0%C2%A0%C2%A0%C2%A0%C2%A0%C2%A0%C2%A0%C2%A0%0A(CN)%20UC%2DFinance%20income%C2%A0%C2%A0%20%C2%A0%C2%A0%C2%A0%C2%A0%C2%A0%0A(CN)%20VC%2DSelling%20and%20distribution%20costs%C2%A0%C2%A0%C2%A0%C2%A0%C2%A0%C2%A0%C2%A0%C2%A0%0A(CN)%20VD%2DAdministrative%20and%20other%C2%A0%C2%A0%C2%A0%C2%A0%C2%A0%C2%A0%C2%A0%C2%A0%0A%E6%9B%B4%E5%A4%9A%E8%AF%A5%E7%A7%91%E7%9B%AE%E7%9B%B8%E5%85%B3%E5%AE%A1%E8%AE%A1%E4%BC%9A%E8%AE%A1%E7%9F%A5%E8%AF%86%E5%8F%AF%E5%8F%82%E8%80%83%E2%80%9C%E5%A4%A7%E4%B8%AD%E5%8D%8E%E5%8C%BA%E4%BC%9A%E8%AE%A1%E5%AE%A1%E8%AE%A1%E7%9F%A5%E8%AF%86%E5%BA%93%E2%80%9D%C2%A0%C2%A0%C2%A0%C2%A0%C2%A0%C2%A0%C2%A0%C2%A0%C2%A0%C2%A0%C2%A0%C2%A0%0AU_Exp"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5%B7%A5%E4%BD%9C%E5%AE%9A%E4%B9%89%EF%BC%9A%E2%80%8BPre%2Dfinal%20audit,%E5%B9%B6%E5%88%A0%E9%99%A4%E5%AF%B9%E5%BA%94%E7%9A%84%E7%A8%8B%E5%BA%8F%E5%92%8C%E7%A8%8B%E5%BA%8F%E8%A1%A8%E3%80%82" TargetMode="External"/><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9%99%84%E4%BB%B6%E4%BB%A5%E4%B8%8B%E9%99%84%E4%BB%B6%E3%80%82" TargetMode="External"/><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VD.00%E8%B4%A2%E5%8A%A1%E8%B4%B9%E7%94%A8%2D%E6%B3%A8%E9%87%8A,%E6%AC%BE%26%E5%BA%94%E6%94%B6%E7%A5%A8%E6%8D%AE%E3%80%8B"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3.jpg"/><Relationship Id="rId1" Type="http://schemas.openxmlformats.org/officeDocument/2006/relationships/hyperlink" Target="https://eychinamanaged.sharepoint.cn/sites/GCknowledgecenter/SitePages/%E6%A0%87%E5%87%86%E5%AE%A1%E8%AE%A1%E5%BA%95%E7%A8%BF%E6%A8%A1%E6%9D%BF_U_Exp_202YMMDD_XYZ%E5%85%AC%E5%8F%B8_Read-me-and-Delete-me.aspx#:~:text=Uexp%E5%88%A9%E6%81%AF%E6%B5%8B%E8%AF%95-,Uexp%E5%88%A9%E6%81%AF%E6%B5%8B%E8%AF%95%2D%E6%B3%A8%E9%87%8A14%EF%BC%9A,-Uexp%E5%88%A9%E6%81%AF%E6%B5%8B%E8%AF%95" TargetMode="External"/><Relationship Id="rId5" Type="http://schemas.openxmlformats.org/officeDocument/2006/relationships/hyperlink" Target="https://eychinamanaged.sharepoint.cn/sites/GCknowledgecenter/SitePages/%E6%A0%87%E5%87%86%E5%AE%A1%E8%AE%A1%E5%BA%95%E7%A8%BF%E6%A8%A1%E6%9D%BF_U_Exp_202YMMDD_XYZ%E5%85%AC%E5%8F%B8_Read-me-and-Delete-me.aspx#:~:text=Uexp%E5%88%A9%E6%81%AF%E6%B5%8B%E8%AF%95%2D%E6%B3%A8%E9%87%8A15,%E5%9B%9E%E5%87%BD%E4%BF%A1%E6%81%AF%E4%B8%AD%E8%8E%B7%E5%8F%96%E3%80%82" TargetMode="External"/><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8.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VD.00%E6%8A%95%E8%B5%84%E6%94%B6%E7%9B%8A%2D%E6%B3%A8%E9%87%8A,%E4%BA%A4%E6%98%93%E6%80%A7%E9%87%91%E8%9E%8D%E8%B5%84%E4%BA%A7%E3%80%8B" TargetMode="External"/></Relationships>
</file>

<file path=xl/drawings/_rels/drawing9.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VD.00%E5%85%AC%E5%85%81%E4%BB%B7%E5%80%BC%E5%8F%98%E5%8A%A8%E6%8D%9F%E7%9B%8A%2D%E6%B3%A8%E9%87%8A,%E5%88%B0%E4%BA%A4%E6%98%93%E6%80%A7%E9%87%91%E8%9E%8D%E8%B5%84%E4%BA%A7%E5%AF%B9%E5%BA%94%E5%BA%95%E7%A8%BF" TargetMode="External"/></Relationships>
</file>

<file path=xl/drawings/_rels/drawing10.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text=1%EF%BC%89%E9%A2%84%E5%AE%A1,%E9%99%84%E4%BB%B6%E4%BB%A5%E4%B8%8B%E9%99%84%E4%BB%B6%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VD.00%E4%BF%A1%E7%94%A8%E5%87%8F%E5%80%BC%E6%8D%9F%E5%A4%B1%2D%E6%B3%A8%E9%87%8A,%E5%88%B0%E4%BA%A4%E6%98%93%E6%80%A7%E9%87%91%E8%9E%8D%E8%B5%84%E4%BA%A7%E5%AF%B9%E5%BA%94%E5%BA%95%E7%A8%BF" TargetMode="External"/><Relationship Id="rId5" Type="http://schemas.openxmlformats.org/officeDocument/2006/relationships/image" Target="../media/image2.png"/><Relationship Id="rId4"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11.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VD.00%E8%B5%84%E4%BA%A7%E5%87%8F%E5%80%BC%E6%8D%9F%E5%A4%B1%2D%E6%B3%A8%E9%87%8A,%E5%88%B0%E4%BA%A4%E6%98%93%E6%80%A7%E9%87%91%E8%9E%8D%E8%B5%84%E4%BA%A7%E5%AF%B9%E5%BA%94%E5%BA%95%E7%A8%BF" TargetMode="External"/></Relationships>
</file>

<file path=xl/drawings/_rels/drawing12.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U_Exp_202YMMDD_XYZ%E5%85%AC%E5%8F%B8_Read-me-and-Delete-me.aspx#:~:text=VD.00%E8%B5%84%E4%BA%A7%E5%A4%84%E7%BD%AE%E6%8D%9F%E7%9B%8A%2D%E6%B3%A8%E9%87%8A,%E4%BA%A4%E6%98%93%E6%80%A7%E9%87%91%E8%9E%8D%E8%B5%84%E4%BA%A7%E5%AF%B9%E5%BA%94%E5%BA%95%E7%A8%BF" TargetMode="External"/></Relationships>
</file>

<file path=xl/drawings/_rels/drawing1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15.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U_Exp_202YMMDD_XYZ%E5%85%AC%E5%8F%B8_Read-me-and-Delete-me.aspx#:~:text=VD.00%E5%80%BA%E5%8A%A1%E9%87%8D%E7%BB%84%E5%88%A9%E5%BE%97%E5%92%8C%E6%8D%9F%E5%A4%B1%2D%E6%B3%A8%E9%87%8A,%E8%A1%A8%E6%98%8E%E4%B8%8A%E8%BF%B0%E9%87%8D%E5%A4%A7%E4%B8%8D%E7%A1%AE%E5%AE%9A%E6%80%A7%E5%B7%B2%E7%BB%8F%E6%B6%88%E9%99%A4%E3%80%82"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_rels/drawing16.xml.rels><?xml version="1.0" encoding="UTF-8" standalone="yes"?>
<Relationships xmlns="http://schemas.openxmlformats.org/package/2006/relationships"><Relationship Id="rId3" Type="http://schemas.openxmlformats.org/officeDocument/2006/relationships/hyperlink" Target="https://eychinamanaged.sharepoint.cn/sites/GCknowledgecenter/SitePages/%E6%A0%87%E5%87%86%E5%AE%A1%E8%AE%A1%E5%BA%95%E7%A8%BF%E6%A8%A1%E6%9D%BF_U_Exp_202YMMDD_XYZ%E5%85%AC%E5%8F%B8_Read-me-and-Delete-me.aspx#:~:text=Uexp.02%2D%E6%B3%A8%E9%87%8A13%EF%BC%9A%E6%88%AA%E6%AD%A2%E6%80%A7%E6%B5%8B%E8%AF%95%E6%B3%A8%E6%84%8F%E4%BA%8B%E9%A1%B9%0A%0A%E6%89%A7%E8%A1%8C%E6%88%AA%E6%AD%A2%E6%80%A7%E6%B5%8B%E8%AF%95%E6%97%B6%E6%89%80%E9%80%89%E6%A0%B7%E6%9C%AC%E9%87%8F%E8%BF%87%E5%B0%91%EF%BC%8C%E4%B8%94%E4%B8%9A%E5%8A%A1%E6%80%A7%E8%B4%A8%E4%B9%9F%E6%97%A0%E6%B3%95%E8%AF%B4%E6%98%8E%E8%AF%A5%E7%AD%89%E6%A0%B7%E6%9C%AC%E8%B6%B3%E4%BB%A5%E6%94%AF%E6%8C%81%E6%88%AA%E6%AD%A2%E6%80%A7%E6%97%A0%E9%87%8D%E5%A4%A7%E9%94%99%E6%8A%A5%E9%A3%8E%E9%99%A9%E7%9A%84%E7%BB%93%E8%AE%BA%E6%97%B6%EF%BC%8C%E8%80%83%E8%99%91%E8%A1%A5%E5%85%85%E6%A0%B7%E6%9C%AC%E9%87%8F%E4%BB%A5%E8%8E%B7%E5%8F%96%E5%85%85%E5%88%86%E9%80%82%E5%BD%93%E7%9A%84%E5%AE%A1%E8%AE%A1%E8%AF%81%E6%8D%AE%E3%80%82PIE%E9%A1%B9%E7%9B%AE%E6%89%A7%E8%A1%8C%E6%88%AA%E6%AD%A2%E6%80%A7%E6%B5%8B%E8%AF%95%E6%97%B6%E5%A6%82%E6%89%80%E9%80%89%E6%A0%B7%E6%9C%AC%E9%87%8F%E5%B0%91%E4%BA%8E5%EF%BC%8C%E9%9C%80%E8%A1%A5%E5%85%85%E8%87%B3%E5%B0%915%E4%B8%AA%E6%A0%B7%E6%9C%AC%E3%80%82%C2%A0" TargetMode="External"/><Relationship Id="rId2" Type="http://schemas.openxmlformats.org/officeDocument/2006/relationships/image" Target="../media/image1.png"/><Relationship Id="rId1" Type="http://schemas.openxmlformats.org/officeDocument/2006/relationships/hyperlink" Target="https://eychinamanaged.sharepoint.cn/sites/GCknowledgecenter/SitePages/%E6%A0%87%E5%87%86%E5%AE%A1%E8%AE%A1%E5%BA%95%E7%A8%BF%E6%A8%A1%E6%9D%BF_%E9%A2%84%E5%AE%A1&amp;%E5%B9%B4%E5%AE%A1%E5%B7%A5%E4%BD%9C%E6%B3%A8%E6%84%8F%E4%BA%8B%E9%A1%B9.aspx" TargetMode="External"/></Relationships>
</file>

<file path=xl/drawings/drawing1.xml><?xml version="1.0" encoding="utf-8"?>
<xdr:wsDr xmlns:xdr="http://schemas.openxmlformats.org/drawingml/2006/spreadsheetDrawing" xmlns:a="http://schemas.openxmlformats.org/drawingml/2006/main">
  <xdr:oneCellAnchor>
    <xdr:from>
      <xdr:col>4</xdr:col>
      <xdr:colOff>1518285</xdr:colOff>
      <xdr:row>28</xdr:row>
      <xdr:rowOff>26035</xdr:rowOff>
    </xdr:from>
    <xdr:ext cx="308428" cy="299356"/>
    <xdr:pic>
      <xdr:nvPicPr>
        <xdr:cNvPr id="2" name="图片 1">
          <a:hlinkClick xmlns:r="http://schemas.openxmlformats.org/officeDocument/2006/relationships" r:id="rId1" tooltip="Altas PSP 链接"/>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4266748" y="2012497"/>
          <a:ext cx="308428" cy="299356"/>
        </a:xfrm>
        <a:prstGeom prst="rect">
          <a:avLst/>
        </a:prstGeom>
      </xdr:spPr>
    </xdr:pic>
    <xdr:clientData/>
  </xdr:oneCellAnchor>
  <xdr:twoCellAnchor>
    <xdr:from>
      <xdr:col>3</xdr:col>
      <xdr:colOff>508000</xdr:colOff>
      <xdr:row>48</xdr:row>
      <xdr:rowOff>135890</xdr:rowOff>
    </xdr:from>
    <xdr:to>
      <xdr:col>3</xdr:col>
      <xdr:colOff>843915</xdr:colOff>
      <xdr:row>48</xdr:row>
      <xdr:rowOff>467995</xdr:rowOff>
    </xdr:to>
    <xdr:pic>
      <xdr:nvPicPr>
        <xdr:cNvPr id="4" name="图片 3">
          <a:hlinkClick xmlns:r="http://schemas.openxmlformats.org/officeDocument/2006/relationships" r:id="rId3" tooltip="IPE 填写指引"/>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2022929" y="13570857"/>
          <a:ext cx="335642" cy="332120"/>
        </a:xfrm>
        <a:prstGeom prst="rect">
          <a:avLst/>
        </a:prstGeom>
      </xdr:spPr>
    </xdr:pic>
    <xdr:clientData/>
  </xdr:twoCellAnchor>
  <xdr:twoCellAnchor>
    <xdr:from>
      <xdr:col>8</xdr:col>
      <xdr:colOff>0</xdr:colOff>
      <xdr:row>1</xdr:row>
      <xdr:rowOff>0</xdr:rowOff>
    </xdr:from>
    <xdr:to>
      <xdr:col>11</xdr:col>
      <xdr:colOff>357868</xdr:colOff>
      <xdr:row>7</xdr:row>
      <xdr:rowOff>77106</xdr:rowOff>
    </xdr:to>
    <xdr:sp macro="" textlink="">
      <xdr:nvSpPr>
        <xdr:cNvPr id="3" name="TextBox 2">
          <a:extLst>
            <a:ext uri="{FF2B5EF4-FFF2-40B4-BE49-F238E27FC236}">
              <a16:creationId xmlns:a16="http://schemas.microsoft.com/office/drawing/2014/main" id="{AEE16380-FEEF-4E32-83F4-709113D9C926}"/>
            </a:ext>
            <a:ext uri="{147F2762-F138-4A5C-976F-8EAC2B608ADB}">
              <a16:predDERef xmlns:a16="http://schemas.microsoft.com/office/drawing/2014/main" pred="{C9C0D5C3-9D87-4135-9496-6DD501ADA265}"/>
            </a:ext>
          </a:extLst>
        </xdr:cNvPr>
        <xdr:cNvSpPr txBox="1"/>
      </xdr:nvSpPr>
      <xdr:spPr>
        <a:xfrm>
          <a:off x="11257643" y="163286"/>
          <a:ext cx="5247368" cy="1056820"/>
        </a:xfrm>
        <a:prstGeom prst="rect">
          <a:avLst/>
        </a:prstGeom>
        <a:solidFill>
          <a:srgbClr val="FFFFCC"/>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ja-JP" altLang="en-US" sz="1600" b="1">
              <a:solidFill>
                <a:srgbClr val="FF0000"/>
              </a:solidFill>
              <a:latin typeface="微软雅黑" panose="020B0503020204020204" pitchFamily="34" charset="-122"/>
              <a:ea typeface="微软雅黑" panose="020B0503020204020204" pitchFamily="34" charset="-122"/>
              <a:cs typeface="Arial" panose="020B0604020202020204" pitchFamily="34" charset="0"/>
            </a:rPr>
            <a:t>注意：</a:t>
          </a:r>
          <a:r>
            <a:rPr lang="ja-JP" altLang="en-US" sz="1600">
              <a:solidFill>
                <a:schemeClr val="dk1"/>
              </a:solidFill>
              <a:latin typeface="微软雅黑" panose="020B0503020204020204" pitchFamily="34" charset="-122"/>
              <a:ea typeface="微软雅黑" panose="020B0503020204020204" pitchFamily="34" charset="-122"/>
              <a:cs typeface="Arial" panose="020B0604020202020204" pitchFamily="34" charset="0"/>
            </a:rPr>
            <a:t>淡黄色单元格需要审计小组输入。审计小组在更新时删除红色文本，并从工作底稿中删除此注意事项。</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276225</xdr:colOff>
      <xdr:row>1</xdr:row>
      <xdr:rowOff>0</xdr:rowOff>
    </xdr:from>
    <xdr:to>
      <xdr:col>2</xdr:col>
      <xdr:colOff>878205</xdr:colOff>
      <xdr:row>5</xdr:row>
      <xdr:rowOff>0</xdr:rowOff>
    </xdr:to>
    <xdr:sp macro="" textlink="">
      <xdr:nvSpPr>
        <xdr:cNvPr id="3" name="AutoShape 5">
          <a:extLst>
            <a:ext uri="{FF2B5EF4-FFF2-40B4-BE49-F238E27FC236}">
              <a16:creationId xmlns:a16="http://schemas.microsoft.com/office/drawing/2014/main" id="{00000000-0008-0000-0200-000003000000}"/>
            </a:ext>
          </a:extLst>
        </xdr:cNvPr>
        <xdr:cNvSpPr>
          <a:spLocks noChangeAspect="1" noChangeArrowheads="1"/>
        </xdr:cNvSpPr>
      </xdr:nvSpPr>
      <xdr:spPr>
        <a:xfrm>
          <a:off x="288925" y="460375"/>
          <a:ext cx="934085" cy="89281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6</xdr:col>
      <xdr:colOff>671195</xdr:colOff>
      <xdr:row>6</xdr:row>
      <xdr:rowOff>0</xdr:rowOff>
    </xdr:from>
    <xdr:to>
      <xdr:col>6</xdr:col>
      <xdr:colOff>979805</xdr:colOff>
      <xdr:row>6</xdr:row>
      <xdr:rowOff>0</xdr:rowOff>
    </xdr:to>
    <xdr:pic>
      <xdr:nvPicPr>
        <xdr:cNvPr id="8" name="图片 7">
          <a:hlinkClick xmlns:r="http://schemas.openxmlformats.org/officeDocument/2006/relationships" r:id="rId1" tooltip="必读！标准底稿使用注意事项"/>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stretch>
          <a:fillRect/>
        </a:stretch>
      </xdr:blipFill>
      <xdr:spPr>
        <a:xfrm>
          <a:off x="8209643" y="2041072"/>
          <a:ext cx="308428" cy="299356"/>
        </a:xfrm>
        <a:prstGeom prst="rect">
          <a:avLst/>
        </a:prstGeom>
      </xdr:spPr>
    </xdr:pic>
    <xdr:clientData/>
  </xdr:twoCellAnchor>
  <xdr:twoCellAnchor>
    <xdr:from>
      <xdr:col>6</xdr:col>
      <xdr:colOff>639536</xdr:colOff>
      <xdr:row>6</xdr:row>
      <xdr:rowOff>27214</xdr:rowOff>
    </xdr:from>
    <xdr:to>
      <xdr:col>6</xdr:col>
      <xdr:colOff>947964</xdr:colOff>
      <xdr:row>6</xdr:row>
      <xdr:rowOff>326570</xdr:rowOff>
    </xdr:to>
    <xdr:pic>
      <xdr:nvPicPr>
        <xdr:cNvPr id="2" name="图片 1">
          <a:hlinkClick xmlns:r="http://schemas.openxmlformats.org/officeDocument/2006/relationships" r:id="rId3" tooltip="预审&amp;年审工作注意事项"/>
          <a:extLst>
            <a:ext uri="{FF2B5EF4-FFF2-40B4-BE49-F238E27FC236}">
              <a16:creationId xmlns:a16="http://schemas.microsoft.com/office/drawing/2014/main" id="{262C58E6-471E-4AFD-910B-2CD51C1C9FDA}"/>
            </a:ext>
          </a:extLst>
        </xdr:cNvPr>
        <xdr:cNvPicPr>
          <a:picLocks noChangeAspect="1"/>
        </xdr:cNvPicPr>
      </xdr:nvPicPr>
      <xdr:blipFill>
        <a:blip xmlns:r="http://schemas.openxmlformats.org/officeDocument/2006/relationships" r:embed="rId4"/>
        <a:stretch>
          <a:fillRect/>
        </a:stretch>
      </xdr:blipFill>
      <xdr:spPr>
        <a:xfrm>
          <a:off x="7728857" y="3184071"/>
          <a:ext cx="308428" cy="2993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276225</xdr:colOff>
      <xdr:row>1</xdr:row>
      <xdr:rowOff>0</xdr:rowOff>
    </xdr:from>
    <xdr:to>
      <xdr:col>2</xdr:col>
      <xdr:colOff>963929</xdr:colOff>
      <xdr:row>5</xdr:row>
      <xdr:rowOff>7620</xdr:rowOff>
    </xdr:to>
    <xdr:sp macro="" textlink="">
      <xdr:nvSpPr>
        <xdr:cNvPr id="2" name="AutoShape 5">
          <a:extLst>
            <a:ext uri="{FF2B5EF4-FFF2-40B4-BE49-F238E27FC236}">
              <a16:creationId xmlns:a16="http://schemas.microsoft.com/office/drawing/2014/main" id="{00000000-0008-0000-0300-000002000000}"/>
            </a:ext>
          </a:extLst>
        </xdr:cNvPr>
        <xdr:cNvSpPr>
          <a:spLocks noChangeAspect="1" noChangeArrowheads="1"/>
        </xdr:cNvSpPr>
      </xdr:nvSpPr>
      <xdr:spPr>
        <a:xfrm>
          <a:off x="288925" y="459105"/>
          <a:ext cx="1051560" cy="89281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6</xdr:col>
      <xdr:colOff>680085</xdr:colOff>
      <xdr:row>7</xdr:row>
      <xdr:rowOff>36195</xdr:rowOff>
    </xdr:from>
    <xdr:to>
      <xdr:col>6</xdr:col>
      <xdr:colOff>998220</xdr:colOff>
      <xdr:row>7</xdr:row>
      <xdr:rowOff>217805</xdr:rowOff>
    </xdr:to>
    <xdr:pic>
      <xdr:nvPicPr>
        <xdr:cNvPr id="3" name="图片 2">
          <a:hlinkClick xmlns:r="http://schemas.openxmlformats.org/officeDocument/2006/relationships" r:id="rId1" tooltip="预审&amp;年审工作注意事项"/>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8908143" y="2131787"/>
          <a:ext cx="317774" cy="1814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276225</xdr:colOff>
      <xdr:row>2</xdr:row>
      <xdr:rowOff>0</xdr:rowOff>
    </xdr:from>
    <xdr:to>
      <xdr:col>2</xdr:col>
      <xdr:colOff>934085</xdr:colOff>
      <xdr:row>6</xdr:row>
      <xdr:rowOff>33655</xdr:rowOff>
    </xdr:to>
    <xdr:sp macro="" textlink="">
      <xdr:nvSpPr>
        <xdr:cNvPr id="7" name="AutoShape 5">
          <a:extLst>
            <a:ext uri="{FF2B5EF4-FFF2-40B4-BE49-F238E27FC236}">
              <a16:creationId xmlns:a16="http://schemas.microsoft.com/office/drawing/2014/main" id="{00000000-0008-0000-0600-000007000000}"/>
            </a:ext>
          </a:extLst>
        </xdr:cNvPr>
        <xdr:cNvSpPr>
          <a:spLocks noChangeAspect="1" noChangeArrowheads="1"/>
        </xdr:cNvSpPr>
      </xdr:nvSpPr>
      <xdr:spPr>
        <a:xfrm>
          <a:off x="657225" y="450273"/>
          <a:ext cx="946496" cy="888018"/>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6</xdr:col>
      <xdr:colOff>644525</xdr:colOff>
      <xdr:row>7</xdr:row>
      <xdr:rowOff>0</xdr:rowOff>
    </xdr:from>
    <xdr:to>
      <xdr:col>6</xdr:col>
      <xdr:colOff>853440</xdr:colOff>
      <xdr:row>7</xdr:row>
      <xdr:rowOff>0</xdr:rowOff>
    </xdr:to>
    <xdr:pic>
      <xdr:nvPicPr>
        <xdr:cNvPr id="3" name="图片 2">
          <a:hlinkClick xmlns:r="http://schemas.openxmlformats.org/officeDocument/2006/relationships" r:id="rId1" tooltip="必读！预审工作指引"/>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10331119" y="2336305"/>
          <a:ext cx="208650" cy="217714"/>
        </a:xfrm>
        <a:prstGeom prst="rect">
          <a:avLst/>
        </a:prstGeom>
      </xdr:spPr>
    </xdr:pic>
    <xdr:clientData/>
  </xdr:twoCellAnchor>
  <xdr:twoCellAnchor>
    <xdr:from>
      <xdr:col>6</xdr:col>
      <xdr:colOff>734786</xdr:colOff>
      <xdr:row>7</xdr:row>
      <xdr:rowOff>13607</xdr:rowOff>
    </xdr:from>
    <xdr:to>
      <xdr:col>6</xdr:col>
      <xdr:colOff>943435</xdr:colOff>
      <xdr:row>7</xdr:row>
      <xdr:rowOff>231321</xdr:rowOff>
    </xdr:to>
    <xdr:pic>
      <xdr:nvPicPr>
        <xdr:cNvPr id="2" name="图片 1">
          <a:hlinkClick xmlns:r="http://schemas.openxmlformats.org/officeDocument/2006/relationships" r:id="rId3" tooltip="预审&amp;年审工作注意事项"/>
          <a:extLst>
            <a:ext uri="{FF2B5EF4-FFF2-40B4-BE49-F238E27FC236}">
              <a16:creationId xmlns:a16="http://schemas.microsoft.com/office/drawing/2014/main" id="{53252380-2F9E-4A81-9723-E16A3AB2EEC2}"/>
            </a:ext>
          </a:extLst>
        </xdr:cNvPr>
        <xdr:cNvPicPr>
          <a:picLocks noChangeAspect="1"/>
        </xdr:cNvPicPr>
      </xdr:nvPicPr>
      <xdr:blipFill>
        <a:blip xmlns:r="http://schemas.openxmlformats.org/officeDocument/2006/relationships" r:embed="rId4"/>
        <a:stretch>
          <a:fillRect/>
        </a:stretch>
      </xdr:blipFill>
      <xdr:spPr>
        <a:xfrm>
          <a:off x="11171465" y="2163536"/>
          <a:ext cx="208649" cy="2177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276225</xdr:colOff>
      <xdr:row>2</xdr:row>
      <xdr:rowOff>0</xdr:rowOff>
    </xdr:from>
    <xdr:to>
      <xdr:col>2</xdr:col>
      <xdr:colOff>943610</xdr:colOff>
      <xdr:row>6</xdr:row>
      <xdr:rowOff>2087</xdr:rowOff>
    </xdr:to>
    <xdr:sp macro="" textlink="">
      <xdr:nvSpPr>
        <xdr:cNvPr id="8" name="AutoShape 5">
          <a:extLst>
            <a:ext uri="{FF2B5EF4-FFF2-40B4-BE49-F238E27FC236}">
              <a16:creationId xmlns:a16="http://schemas.microsoft.com/office/drawing/2014/main" id="{00000000-0008-0000-0800-000008000000}"/>
            </a:ext>
          </a:extLst>
        </xdr:cNvPr>
        <xdr:cNvSpPr>
          <a:spLocks noChangeAspect="1" noChangeArrowheads="1"/>
        </xdr:cNvSpPr>
      </xdr:nvSpPr>
      <xdr:spPr>
        <a:xfrm>
          <a:off x="657225" y="390071"/>
          <a:ext cx="948601" cy="889544"/>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16</xdr:col>
      <xdr:colOff>258445</xdr:colOff>
      <xdr:row>29</xdr:row>
      <xdr:rowOff>231140</xdr:rowOff>
    </xdr:from>
    <xdr:to>
      <xdr:col>16</xdr:col>
      <xdr:colOff>503555</xdr:colOff>
      <xdr:row>29</xdr:row>
      <xdr:rowOff>480060</xdr:rowOff>
    </xdr:to>
    <xdr:pic>
      <xdr:nvPicPr>
        <xdr:cNvPr id="15" name="图片 14">
          <a:hlinkClick xmlns:r="http://schemas.openxmlformats.org/officeDocument/2006/relationships" r:id="rId1" tooltip="X-ref相关指引"/>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2"/>
        <a:stretch>
          <a:fillRect/>
        </a:stretch>
      </xdr:blipFill>
      <xdr:spPr>
        <a:xfrm>
          <a:off x="19975286" y="8354787"/>
          <a:ext cx="244928" cy="248952"/>
        </a:xfrm>
        <a:prstGeom prst="rect">
          <a:avLst/>
        </a:prstGeom>
      </xdr:spPr>
    </xdr:pic>
    <xdr:clientData/>
  </xdr:twoCellAnchor>
  <xdr:twoCellAnchor>
    <xdr:from>
      <xdr:col>6</xdr:col>
      <xdr:colOff>843915</xdr:colOff>
      <xdr:row>7</xdr:row>
      <xdr:rowOff>0</xdr:rowOff>
    </xdr:from>
    <xdr:to>
      <xdr:col>6</xdr:col>
      <xdr:colOff>1052195</xdr:colOff>
      <xdr:row>8</xdr:row>
      <xdr:rowOff>0</xdr:rowOff>
    </xdr:to>
    <xdr:pic>
      <xdr:nvPicPr>
        <xdr:cNvPr id="2" name="图片 1">
          <a:hlinkClick xmlns:r="http://schemas.openxmlformats.org/officeDocument/2006/relationships" r:id="rId3" tooltip="预审&amp;年审工作注意事项"/>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stretch>
          <a:fillRect/>
        </a:stretch>
      </xdr:blipFill>
      <xdr:spPr>
        <a:xfrm>
          <a:off x="8409214" y="2168073"/>
          <a:ext cx="208650" cy="2177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1224643</xdr:colOff>
      <xdr:row>1</xdr:row>
      <xdr:rowOff>176893</xdr:rowOff>
    </xdr:from>
    <xdr:to>
      <xdr:col>5</xdr:col>
      <xdr:colOff>1907267</xdr:colOff>
      <xdr:row>3</xdr:row>
      <xdr:rowOff>474890</xdr:rowOff>
    </xdr:to>
    <xdr:pic>
      <xdr:nvPicPr>
        <xdr:cNvPr id="6" name="图片 4">
          <a:hlinkClick xmlns:r="http://schemas.openxmlformats.org/officeDocument/2006/relationships" r:id="rId1"/>
          <a:extLst>
            <a:ext uri="{FF2B5EF4-FFF2-40B4-BE49-F238E27FC236}">
              <a16:creationId xmlns:a16="http://schemas.microsoft.com/office/drawing/2014/main" id="{3C436652-444D-B909-4414-209A080323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36572" y="340179"/>
          <a:ext cx="1933575" cy="733425"/>
        </a:xfrm>
        <a:prstGeom prst="rect">
          <a:avLst/>
        </a:prstGeom>
      </xdr:spPr>
    </xdr:pic>
    <xdr:clientData/>
  </xdr:twoCellAnchor>
  <xdr:twoCellAnchor>
    <xdr:from>
      <xdr:col>6</xdr:col>
      <xdr:colOff>889000</xdr:colOff>
      <xdr:row>8</xdr:row>
      <xdr:rowOff>50800</xdr:rowOff>
    </xdr:from>
    <xdr:to>
      <xdr:col>6</xdr:col>
      <xdr:colOff>1097280</xdr:colOff>
      <xdr:row>8</xdr:row>
      <xdr:rowOff>304800</xdr:rowOff>
    </xdr:to>
    <xdr:pic>
      <xdr:nvPicPr>
        <xdr:cNvPr id="8" name="图片 1">
          <a:hlinkClick xmlns:r="http://schemas.openxmlformats.org/officeDocument/2006/relationships" r:id="rId3" tooltip="预审&amp;年审工作注意事项"/>
          <a:extLst>
            <a:ext uri="{FF2B5EF4-FFF2-40B4-BE49-F238E27FC236}">
              <a16:creationId xmlns:a16="http://schemas.microsoft.com/office/drawing/2014/main" id="{7B53A368-A858-40EB-8C48-673B2EF4CDE6}"/>
            </a:ext>
          </a:extLst>
        </xdr:cNvPr>
        <xdr:cNvPicPr>
          <a:picLocks noChangeAspect="1"/>
        </xdr:cNvPicPr>
      </xdr:nvPicPr>
      <xdr:blipFill>
        <a:blip xmlns:r="http://schemas.openxmlformats.org/officeDocument/2006/relationships" r:embed="rId4"/>
        <a:stretch>
          <a:fillRect/>
        </a:stretch>
      </xdr:blipFill>
      <xdr:spPr>
        <a:xfrm>
          <a:off x="7531100" y="2032000"/>
          <a:ext cx="208280" cy="254000"/>
        </a:xfrm>
        <a:prstGeom prst="rect">
          <a:avLst/>
        </a:prstGeom>
      </xdr:spPr>
    </xdr:pic>
    <xdr:clientData/>
  </xdr:twoCellAnchor>
  <xdr:twoCellAnchor>
    <xdr:from>
      <xdr:col>10</xdr:col>
      <xdr:colOff>1242785</xdr:colOff>
      <xdr:row>24</xdr:row>
      <xdr:rowOff>105228</xdr:rowOff>
    </xdr:from>
    <xdr:to>
      <xdr:col>10</xdr:col>
      <xdr:colOff>1537606</xdr:colOff>
      <xdr:row>24</xdr:row>
      <xdr:rowOff>464766</xdr:rowOff>
    </xdr:to>
    <xdr:pic>
      <xdr:nvPicPr>
        <xdr:cNvPr id="2" name="图片 1">
          <a:hlinkClick xmlns:r="http://schemas.openxmlformats.org/officeDocument/2006/relationships" r:id="rId5" tooltip="银行存款利息测试使用的利率可自银行函证回函信息中获取。"/>
          <a:extLst>
            <a:ext uri="{FF2B5EF4-FFF2-40B4-BE49-F238E27FC236}">
              <a16:creationId xmlns:a16="http://schemas.microsoft.com/office/drawing/2014/main" id="{B7271794-AD01-6F6A-145A-114236C492E5}"/>
            </a:ext>
          </a:extLst>
        </xdr:cNvPr>
        <xdr:cNvPicPr>
          <a:picLocks noChangeAspect="1"/>
        </xdr:cNvPicPr>
      </xdr:nvPicPr>
      <xdr:blipFill>
        <a:blip xmlns:r="http://schemas.openxmlformats.org/officeDocument/2006/relationships" r:embed="rId4"/>
        <a:stretch>
          <a:fillRect/>
        </a:stretch>
      </xdr:blipFill>
      <xdr:spPr>
        <a:xfrm>
          <a:off x="14673035" y="7942942"/>
          <a:ext cx="294821" cy="359538"/>
        </a:xfrm>
        <a:prstGeom prst="rect">
          <a:avLst/>
        </a:prstGeom>
      </xdr:spPr>
    </xdr:pic>
    <xdr:clientData/>
  </xdr:twoCellAnchor>
  <xdr:twoCellAnchor>
    <xdr:from>
      <xdr:col>8</xdr:col>
      <xdr:colOff>875392</xdr:colOff>
      <xdr:row>37</xdr:row>
      <xdr:rowOff>64407</xdr:rowOff>
    </xdr:from>
    <xdr:to>
      <xdr:col>8</xdr:col>
      <xdr:colOff>1170213</xdr:colOff>
      <xdr:row>37</xdr:row>
      <xdr:rowOff>423945</xdr:rowOff>
    </xdr:to>
    <xdr:pic>
      <xdr:nvPicPr>
        <xdr:cNvPr id="3" name="图片 2">
          <a:hlinkClick xmlns:r="http://schemas.openxmlformats.org/officeDocument/2006/relationships" r:id="rId5" tooltip="银行存款利息测试使用的利率可自银行函证回函信息中获取。"/>
          <a:extLst>
            <a:ext uri="{FF2B5EF4-FFF2-40B4-BE49-F238E27FC236}">
              <a16:creationId xmlns:a16="http://schemas.microsoft.com/office/drawing/2014/main" id="{914A70CD-2916-5716-5B6F-AAA89BDA511D}"/>
            </a:ext>
          </a:extLst>
        </xdr:cNvPr>
        <xdr:cNvPicPr>
          <a:picLocks noChangeAspect="1"/>
        </xdr:cNvPicPr>
      </xdr:nvPicPr>
      <xdr:blipFill>
        <a:blip xmlns:r="http://schemas.openxmlformats.org/officeDocument/2006/relationships" r:embed="rId4"/>
        <a:stretch>
          <a:fillRect/>
        </a:stretch>
      </xdr:blipFill>
      <xdr:spPr>
        <a:xfrm>
          <a:off x="10509249" y="10528300"/>
          <a:ext cx="294821" cy="35953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3</xdr:col>
      <xdr:colOff>289560</xdr:colOff>
      <xdr:row>47</xdr:row>
      <xdr:rowOff>0</xdr:rowOff>
    </xdr:from>
    <xdr:ext cx="990600" cy="746760"/>
    <xdr:sp macro="" textlink="">
      <xdr:nvSpPr>
        <xdr:cNvPr id="8" name="AutoShape 5">
          <a:extLst>
            <a:ext uri="{FF2B5EF4-FFF2-40B4-BE49-F238E27FC236}">
              <a16:creationId xmlns:a16="http://schemas.microsoft.com/office/drawing/2014/main" id="{00000000-0008-0000-0A00-000008000000}"/>
            </a:ext>
          </a:extLst>
        </xdr:cNvPr>
        <xdr:cNvSpPr>
          <a:spLocks noChangeAspect="1" noChangeArrowheads="1"/>
        </xdr:cNvSpPr>
      </xdr:nvSpPr>
      <xdr:spPr>
        <a:xfrm>
          <a:off x="2251710" y="11113770"/>
          <a:ext cx="990600" cy="74676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twoCellAnchor editAs="oneCell">
    <xdr:from>
      <xdr:col>1</xdr:col>
      <xdr:colOff>276225</xdr:colOff>
      <xdr:row>2</xdr:row>
      <xdr:rowOff>0</xdr:rowOff>
    </xdr:from>
    <xdr:to>
      <xdr:col>2</xdr:col>
      <xdr:colOff>834753</xdr:colOff>
      <xdr:row>6</xdr:row>
      <xdr:rowOff>30480</xdr:rowOff>
    </xdr:to>
    <xdr:sp macro="" textlink="">
      <xdr:nvSpPr>
        <xdr:cNvPr id="10" name="AutoShape 5">
          <a:extLst>
            <a:ext uri="{FF2B5EF4-FFF2-40B4-BE49-F238E27FC236}">
              <a16:creationId xmlns:a16="http://schemas.microsoft.com/office/drawing/2014/main" id="{00000000-0008-0000-0A00-00000A000000}"/>
            </a:ext>
          </a:extLst>
        </xdr:cNvPr>
        <xdr:cNvSpPr>
          <a:spLocks noChangeAspect="1" noChangeArrowheads="1"/>
        </xdr:cNvSpPr>
      </xdr:nvSpPr>
      <xdr:spPr>
        <a:xfrm>
          <a:off x="288925" y="459105"/>
          <a:ext cx="949960" cy="89281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6</xdr:col>
      <xdr:colOff>743585</xdr:colOff>
      <xdr:row>7</xdr:row>
      <xdr:rowOff>0</xdr:rowOff>
    </xdr:from>
    <xdr:to>
      <xdr:col>6</xdr:col>
      <xdr:colOff>952500</xdr:colOff>
      <xdr:row>8</xdr:row>
      <xdr:rowOff>0</xdr:rowOff>
    </xdr:to>
    <xdr:pic>
      <xdr:nvPicPr>
        <xdr:cNvPr id="2" name="图片 1">
          <a:hlinkClick xmlns:r="http://schemas.openxmlformats.org/officeDocument/2006/relationships" r:id="rId1" tooltip="预审&amp;年审工作注意事项"/>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stretch>
          <a:fillRect/>
        </a:stretch>
      </xdr:blipFill>
      <xdr:spPr>
        <a:xfrm>
          <a:off x="7728858" y="2349500"/>
          <a:ext cx="208650" cy="21771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1029335</xdr:colOff>
      <xdr:row>2</xdr:row>
      <xdr:rowOff>118110</xdr:rowOff>
    </xdr:from>
    <xdr:to>
      <xdr:col>3</xdr:col>
      <xdr:colOff>659130</xdr:colOff>
      <xdr:row>6</xdr:row>
      <xdr:rowOff>146775</xdr:rowOff>
    </xdr:to>
    <xdr:sp macro="" textlink="">
      <xdr:nvSpPr>
        <xdr:cNvPr id="2" name="AutoShape 5">
          <a:extLst>
            <a:ext uri="{FF2B5EF4-FFF2-40B4-BE49-F238E27FC236}">
              <a16:creationId xmlns:a16="http://schemas.microsoft.com/office/drawing/2014/main" id="{00000000-0008-0000-0B00-000002000000}"/>
            </a:ext>
          </a:extLst>
        </xdr:cNvPr>
        <xdr:cNvSpPr>
          <a:spLocks noChangeAspect="1" noChangeArrowheads="1"/>
        </xdr:cNvSpPr>
      </xdr:nvSpPr>
      <xdr:spPr>
        <a:xfrm>
          <a:off x="1691368" y="517073"/>
          <a:ext cx="948599" cy="89045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16</xdr:col>
      <xdr:colOff>294640</xdr:colOff>
      <xdr:row>31</xdr:row>
      <xdr:rowOff>194945</xdr:rowOff>
    </xdr:from>
    <xdr:to>
      <xdr:col>16</xdr:col>
      <xdr:colOff>562610</xdr:colOff>
      <xdr:row>31</xdr:row>
      <xdr:rowOff>462280</xdr:rowOff>
    </xdr:to>
    <xdr:pic>
      <xdr:nvPicPr>
        <xdr:cNvPr id="6" name="图片 5">
          <a:hlinkClick xmlns:r="http://schemas.openxmlformats.org/officeDocument/2006/relationships" r:id="rId1" tooltip="X-ref相关指引"/>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2"/>
        <a:stretch>
          <a:fillRect/>
        </a:stretch>
      </xdr:blipFill>
      <xdr:spPr>
        <a:xfrm>
          <a:off x="18428607" y="7996466"/>
          <a:ext cx="267609" cy="267047"/>
        </a:xfrm>
        <a:prstGeom prst="rect">
          <a:avLst/>
        </a:prstGeom>
      </xdr:spPr>
    </xdr:pic>
    <xdr:clientData/>
  </xdr:twoCellAnchor>
  <xdr:twoCellAnchor>
    <xdr:from>
      <xdr:col>6</xdr:col>
      <xdr:colOff>762000</xdr:colOff>
      <xdr:row>7</xdr:row>
      <xdr:rowOff>0</xdr:rowOff>
    </xdr:from>
    <xdr:to>
      <xdr:col>6</xdr:col>
      <xdr:colOff>993321</xdr:colOff>
      <xdr:row>7</xdr:row>
      <xdr:rowOff>217714</xdr:rowOff>
    </xdr:to>
    <xdr:pic>
      <xdr:nvPicPr>
        <xdr:cNvPr id="4" name="图片 2">
          <a:hlinkClick xmlns:r="http://schemas.openxmlformats.org/officeDocument/2006/relationships" r:id="rId3" tooltip="预审&amp;年审工作注意事项"/>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7810500" y="1387929"/>
          <a:ext cx="231321" cy="21771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16</xdr:col>
      <xdr:colOff>249555</xdr:colOff>
      <xdr:row>30</xdr:row>
      <xdr:rowOff>240665</xdr:rowOff>
    </xdr:from>
    <xdr:to>
      <xdr:col>16</xdr:col>
      <xdr:colOff>566420</xdr:colOff>
      <xdr:row>30</xdr:row>
      <xdr:rowOff>562610</xdr:rowOff>
    </xdr:to>
    <xdr:pic>
      <xdr:nvPicPr>
        <xdr:cNvPr id="4" name="图片 3">
          <a:hlinkClick xmlns:r="http://schemas.openxmlformats.org/officeDocument/2006/relationships" r:id="rId1" tooltip="X-ref相关指引"/>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stretch>
          <a:fillRect/>
        </a:stretch>
      </xdr:blipFill>
      <xdr:spPr>
        <a:xfrm>
          <a:off x="17793607" y="8450037"/>
          <a:ext cx="316831" cy="322035"/>
        </a:xfrm>
        <a:prstGeom prst="rect">
          <a:avLst/>
        </a:prstGeom>
      </xdr:spPr>
    </xdr:pic>
    <xdr:clientData/>
  </xdr:twoCellAnchor>
  <xdr:twoCellAnchor>
    <xdr:from>
      <xdr:col>6</xdr:col>
      <xdr:colOff>689609</xdr:colOff>
      <xdr:row>7</xdr:row>
      <xdr:rowOff>-1</xdr:rowOff>
    </xdr:from>
    <xdr:to>
      <xdr:col>6</xdr:col>
      <xdr:colOff>938892</xdr:colOff>
      <xdr:row>7</xdr:row>
      <xdr:rowOff>258534</xdr:rowOff>
    </xdr:to>
    <xdr:pic>
      <xdr:nvPicPr>
        <xdr:cNvPr id="2" name="图片 2">
          <a:hlinkClick xmlns:r="http://schemas.openxmlformats.org/officeDocument/2006/relationships" r:id="rId3" tooltip="预审&amp;年审工作注意事项"/>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8391252" y="1483178"/>
          <a:ext cx="249283" cy="2585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276225</xdr:colOff>
      <xdr:row>2</xdr:row>
      <xdr:rowOff>0</xdr:rowOff>
    </xdr:from>
    <xdr:to>
      <xdr:col>2</xdr:col>
      <xdr:colOff>943611</xdr:colOff>
      <xdr:row>5</xdr:row>
      <xdr:rowOff>220980</xdr:rowOff>
    </xdr:to>
    <xdr:sp macro="" textlink="">
      <xdr:nvSpPr>
        <xdr:cNvPr id="2" name="AutoShape 5">
          <a:extLst>
            <a:ext uri="{FF2B5EF4-FFF2-40B4-BE49-F238E27FC236}">
              <a16:creationId xmlns:a16="http://schemas.microsoft.com/office/drawing/2014/main" id="{00000000-0008-0000-0D00-000002000000}"/>
            </a:ext>
          </a:extLst>
        </xdr:cNvPr>
        <xdr:cNvSpPr>
          <a:spLocks noChangeAspect="1" noChangeArrowheads="1"/>
        </xdr:cNvSpPr>
      </xdr:nvSpPr>
      <xdr:spPr>
        <a:xfrm>
          <a:off x="288925" y="459105"/>
          <a:ext cx="949960" cy="89281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16</xdr:col>
      <xdr:colOff>340360</xdr:colOff>
      <xdr:row>29</xdr:row>
      <xdr:rowOff>203835</xdr:rowOff>
    </xdr:from>
    <xdr:to>
      <xdr:col>16</xdr:col>
      <xdr:colOff>643890</xdr:colOff>
      <xdr:row>29</xdr:row>
      <xdr:rowOff>513080</xdr:rowOff>
    </xdr:to>
    <xdr:pic>
      <xdr:nvPicPr>
        <xdr:cNvPr id="4" name="图片 3">
          <a:hlinkClick xmlns:r="http://schemas.openxmlformats.org/officeDocument/2006/relationships" r:id="rId1" tooltip="X-ref相关指引"/>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stretch>
          <a:fillRect/>
        </a:stretch>
      </xdr:blipFill>
      <xdr:spPr>
        <a:xfrm>
          <a:off x="18927536" y="8613322"/>
          <a:ext cx="303894" cy="308886"/>
        </a:xfrm>
        <a:prstGeom prst="rect">
          <a:avLst/>
        </a:prstGeom>
      </xdr:spPr>
    </xdr:pic>
    <xdr:clientData/>
  </xdr:twoCellAnchor>
  <xdr:twoCellAnchor>
    <xdr:from>
      <xdr:col>6</xdr:col>
      <xdr:colOff>743585</xdr:colOff>
      <xdr:row>7</xdr:row>
      <xdr:rowOff>0</xdr:rowOff>
    </xdr:from>
    <xdr:to>
      <xdr:col>6</xdr:col>
      <xdr:colOff>952500</xdr:colOff>
      <xdr:row>7</xdr:row>
      <xdr:rowOff>0</xdr:rowOff>
    </xdr:to>
    <xdr:pic>
      <xdr:nvPicPr>
        <xdr:cNvPr id="3" name="图片 2">
          <a:hlinkClick xmlns:r="http://schemas.openxmlformats.org/officeDocument/2006/relationships" r:id="rId3" tooltip="必读！预审工作指引"/>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8255002" y="2403928"/>
          <a:ext cx="208650" cy="217714"/>
        </a:xfrm>
        <a:prstGeom prst="rect">
          <a:avLst/>
        </a:prstGeom>
      </xdr:spPr>
    </xdr:pic>
    <xdr:clientData/>
  </xdr:twoCellAnchor>
  <xdr:twoCellAnchor>
    <xdr:from>
      <xdr:col>6</xdr:col>
      <xdr:colOff>680357</xdr:colOff>
      <xdr:row>7</xdr:row>
      <xdr:rowOff>13607</xdr:rowOff>
    </xdr:from>
    <xdr:to>
      <xdr:col>6</xdr:col>
      <xdr:colOff>889006</xdr:colOff>
      <xdr:row>7</xdr:row>
      <xdr:rowOff>231321</xdr:rowOff>
    </xdr:to>
    <xdr:pic>
      <xdr:nvPicPr>
        <xdr:cNvPr id="5" name="图片 4">
          <a:hlinkClick xmlns:r="http://schemas.openxmlformats.org/officeDocument/2006/relationships" r:id="rId4" tooltip="预审&amp;年审工作注意事项"/>
          <a:extLst>
            <a:ext uri="{FF2B5EF4-FFF2-40B4-BE49-F238E27FC236}">
              <a16:creationId xmlns:a16="http://schemas.microsoft.com/office/drawing/2014/main" id="{5FA9C02B-2BF3-407B-88E7-24A1F40082CA}"/>
            </a:ext>
          </a:extLst>
        </xdr:cNvPr>
        <xdr:cNvPicPr>
          <a:picLocks noChangeAspect="1"/>
        </xdr:cNvPicPr>
      </xdr:nvPicPr>
      <xdr:blipFill>
        <a:blip xmlns:r="http://schemas.openxmlformats.org/officeDocument/2006/relationships" r:embed="rId5"/>
        <a:stretch>
          <a:fillRect/>
        </a:stretch>
      </xdr:blipFill>
      <xdr:spPr>
        <a:xfrm>
          <a:off x="8817428" y="2149928"/>
          <a:ext cx="208649" cy="21771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231140</xdr:colOff>
      <xdr:row>30</xdr:row>
      <xdr:rowOff>186055</xdr:rowOff>
    </xdr:from>
    <xdr:to>
      <xdr:col>16</xdr:col>
      <xdr:colOff>535305</xdr:colOff>
      <xdr:row>30</xdr:row>
      <xdr:rowOff>488950</xdr:rowOff>
    </xdr:to>
    <xdr:pic>
      <xdr:nvPicPr>
        <xdr:cNvPr id="4" name="图片 3">
          <a:hlinkClick xmlns:r="http://schemas.openxmlformats.org/officeDocument/2006/relationships" r:id="rId1" tooltip="X-ref相关指引"/>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a:stretch>
          <a:fillRect/>
        </a:stretch>
      </xdr:blipFill>
      <xdr:spPr>
        <a:xfrm>
          <a:off x="17857107" y="9066893"/>
          <a:ext cx="303894" cy="303257"/>
        </a:xfrm>
        <a:prstGeom prst="rect">
          <a:avLst/>
        </a:prstGeom>
      </xdr:spPr>
    </xdr:pic>
    <xdr:clientData/>
  </xdr:twoCellAnchor>
  <xdr:twoCellAnchor>
    <xdr:from>
      <xdr:col>6</xdr:col>
      <xdr:colOff>770890</xdr:colOff>
      <xdr:row>7</xdr:row>
      <xdr:rowOff>0</xdr:rowOff>
    </xdr:from>
    <xdr:to>
      <xdr:col>6</xdr:col>
      <xdr:colOff>979805</xdr:colOff>
      <xdr:row>8</xdr:row>
      <xdr:rowOff>0</xdr:rowOff>
    </xdr:to>
    <xdr:pic>
      <xdr:nvPicPr>
        <xdr:cNvPr id="2" name="图片 1">
          <a:hlinkClick xmlns:r="http://schemas.openxmlformats.org/officeDocument/2006/relationships" r:id="rId3" tooltip="预审&amp;年审工作注意事项"/>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2"/>
        <a:stretch>
          <a:fillRect/>
        </a:stretch>
      </xdr:blipFill>
      <xdr:spPr>
        <a:xfrm>
          <a:off x="8245929" y="2104573"/>
          <a:ext cx="208650" cy="21771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217805</xdr:colOff>
      <xdr:row>30</xdr:row>
      <xdr:rowOff>231140</xdr:rowOff>
    </xdr:from>
    <xdr:to>
      <xdr:col>16</xdr:col>
      <xdr:colOff>508000</xdr:colOff>
      <xdr:row>30</xdr:row>
      <xdr:rowOff>526415</xdr:rowOff>
    </xdr:to>
    <xdr:pic>
      <xdr:nvPicPr>
        <xdr:cNvPr id="13" name="图片 12">
          <a:hlinkClick xmlns:r="http://schemas.openxmlformats.org/officeDocument/2006/relationships" r:id="rId1" tooltip="X-ref相关指引"/>
          <a:extLst>
            <a:ext uri="{FF2B5EF4-FFF2-40B4-BE49-F238E27FC236}">
              <a16:creationId xmlns:a16="http://schemas.microsoft.com/office/drawing/2014/main" id="{00000000-0008-0000-0F00-00000D000000}"/>
            </a:ext>
          </a:extLst>
        </xdr:cNvPr>
        <xdr:cNvPicPr>
          <a:picLocks noChangeAspect="1"/>
        </xdr:cNvPicPr>
      </xdr:nvPicPr>
      <xdr:blipFill>
        <a:blip xmlns:r="http://schemas.openxmlformats.org/officeDocument/2006/relationships" r:embed="rId2"/>
        <a:stretch>
          <a:fillRect/>
        </a:stretch>
      </xdr:blipFill>
      <xdr:spPr>
        <a:xfrm>
          <a:off x="19004643" y="8386537"/>
          <a:ext cx="290058" cy="294821"/>
        </a:xfrm>
        <a:prstGeom prst="rect">
          <a:avLst/>
        </a:prstGeom>
      </xdr:spPr>
    </xdr:pic>
    <xdr:clientData/>
  </xdr:twoCellAnchor>
  <xdr:twoCellAnchor>
    <xdr:from>
      <xdr:col>6</xdr:col>
      <xdr:colOff>689610</xdr:colOff>
      <xdr:row>7</xdr:row>
      <xdr:rowOff>0</xdr:rowOff>
    </xdr:from>
    <xdr:to>
      <xdr:col>6</xdr:col>
      <xdr:colOff>979714</xdr:colOff>
      <xdr:row>7</xdr:row>
      <xdr:rowOff>231322</xdr:rowOff>
    </xdr:to>
    <xdr:pic>
      <xdr:nvPicPr>
        <xdr:cNvPr id="3" name="图片 1">
          <a:hlinkClick xmlns:r="http://schemas.openxmlformats.org/officeDocument/2006/relationships" r:id="rId3" tooltip="预审&amp;年审工作注意事项"/>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2"/>
        <a:stretch>
          <a:fillRect/>
        </a:stretch>
      </xdr:blipFill>
      <xdr:spPr>
        <a:xfrm>
          <a:off x="7887789" y="1374321"/>
          <a:ext cx="290104" cy="23132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4</xdr:col>
      <xdr:colOff>579120</xdr:colOff>
      <xdr:row>41</xdr:row>
      <xdr:rowOff>22860</xdr:rowOff>
    </xdr:from>
    <xdr:ext cx="906780" cy="708660"/>
    <xdr:sp macro="" textlink="">
      <xdr:nvSpPr>
        <xdr:cNvPr id="4" name="AutoShape 5">
          <a:extLst>
            <a:ext uri="{FF2B5EF4-FFF2-40B4-BE49-F238E27FC236}">
              <a16:creationId xmlns:a16="http://schemas.microsoft.com/office/drawing/2014/main" id="{00000000-0008-0000-1000-000004000000}"/>
            </a:ext>
          </a:extLst>
        </xdr:cNvPr>
        <xdr:cNvSpPr>
          <a:spLocks noChangeAspect="1" noChangeArrowheads="1"/>
        </xdr:cNvSpPr>
      </xdr:nvSpPr>
      <xdr:spPr>
        <a:xfrm>
          <a:off x="3779520" y="8338820"/>
          <a:ext cx="906780" cy="70866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oneCellAnchor>
    <xdr:from>
      <xdr:col>2</xdr:col>
      <xdr:colOff>1133475</xdr:colOff>
      <xdr:row>40</xdr:row>
      <xdr:rowOff>160020</xdr:rowOff>
    </xdr:from>
    <xdr:ext cx="922020" cy="746760"/>
    <xdr:sp macro="" textlink="">
      <xdr:nvSpPr>
        <xdr:cNvPr id="5" name="AutoShape 5">
          <a:extLst>
            <a:ext uri="{FF2B5EF4-FFF2-40B4-BE49-F238E27FC236}">
              <a16:creationId xmlns:a16="http://schemas.microsoft.com/office/drawing/2014/main" id="{00000000-0008-0000-1000-000005000000}"/>
            </a:ext>
          </a:extLst>
        </xdr:cNvPr>
        <xdr:cNvSpPr>
          <a:spLocks noChangeAspect="1" noChangeArrowheads="1"/>
        </xdr:cNvSpPr>
      </xdr:nvSpPr>
      <xdr:spPr>
        <a:xfrm>
          <a:off x="1511300" y="8310880"/>
          <a:ext cx="922020" cy="74676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oneCellAnchor>
  <xdr:twoCellAnchor>
    <xdr:from>
      <xdr:col>6</xdr:col>
      <xdr:colOff>825500</xdr:colOff>
      <xdr:row>6</xdr:row>
      <xdr:rowOff>149678</xdr:rowOff>
    </xdr:from>
    <xdr:to>
      <xdr:col>6</xdr:col>
      <xdr:colOff>1088571</xdr:colOff>
      <xdr:row>7</xdr:row>
      <xdr:rowOff>244928</xdr:rowOff>
    </xdr:to>
    <xdr:pic>
      <xdr:nvPicPr>
        <xdr:cNvPr id="6" name="图片 2">
          <a:hlinkClick xmlns:r="http://schemas.openxmlformats.org/officeDocument/2006/relationships" r:id="rId1" tooltip="预审&amp;年审工作注意事项"/>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8445500" y="1428749"/>
          <a:ext cx="263071" cy="2449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816610</xdr:colOff>
      <xdr:row>7</xdr:row>
      <xdr:rowOff>0</xdr:rowOff>
    </xdr:from>
    <xdr:to>
      <xdr:col>6</xdr:col>
      <xdr:colOff>1024890</xdr:colOff>
      <xdr:row>8</xdr:row>
      <xdr:rowOff>0</xdr:rowOff>
    </xdr:to>
    <xdr:pic>
      <xdr:nvPicPr>
        <xdr:cNvPr id="3" name="图片 2">
          <a:hlinkClick xmlns:r="http://schemas.openxmlformats.org/officeDocument/2006/relationships" r:id="rId1" tooltip="预审&amp;年审工作注意事项"/>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7765143" y="2385787"/>
          <a:ext cx="208650" cy="217714"/>
        </a:xfrm>
        <a:prstGeom prst="rect">
          <a:avLst/>
        </a:prstGeom>
      </xdr:spPr>
    </xdr:pic>
    <xdr:clientData/>
  </xdr:twoCellAnchor>
  <xdr:twoCellAnchor editAs="oneCell">
    <xdr:from>
      <xdr:col>2</xdr:col>
      <xdr:colOff>852170</xdr:colOff>
      <xdr:row>40</xdr:row>
      <xdr:rowOff>0</xdr:rowOff>
    </xdr:from>
    <xdr:to>
      <xdr:col>2</xdr:col>
      <xdr:colOff>992505</xdr:colOff>
      <xdr:row>41</xdr:row>
      <xdr:rowOff>28576</xdr:rowOff>
    </xdr:to>
    <xdr:sp macro="" textlink="">
      <xdr:nvSpPr>
        <xdr:cNvPr id="4" name="AutoShape 5">
          <a:extLst>
            <a:ext uri="{FF2B5EF4-FFF2-40B4-BE49-F238E27FC236}">
              <a16:creationId xmlns:a16="http://schemas.microsoft.com/office/drawing/2014/main" id="{00000000-0008-0000-1100-000004000000}"/>
            </a:ext>
          </a:extLst>
        </xdr:cNvPr>
        <xdr:cNvSpPr>
          <a:spLocks noChangeAspect="1" noChangeArrowheads="1"/>
        </xdr:cNvSpPr>
      </xdr:nvSpPr>
      <xdr:spPr>
        <a:xfrm>
          <a:off x="1512570" y="10477500"/>
          <a:ext cx="140335" cy="184152"/>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276224</xdr:colOff>
      <xdr:row>1</xdr:row>
      <xdr:rowOff>99783</xdr:rowOff>
    </xdr:from>
    <xdr:to>
      <xdr:col>5</xdr:col>
      <xdr:colOff>550864</xdr:colOff>
      <xdr:row>2</xdr:row>
      <xdr:rowOff>108856</xdr:rowOff>
    </xdr:to>
    <xdr:sp macro="" textlink="">
      <xdr:nvSpPr>
        <xdr:cNvPr id="2" name="AutoShape 5">
          <a:extLst>
            <a:ext uri="{FF2B5EF4-FFF2-40B4-BE49-F238E27FC236}">
              <a16:creationId xmlns:a16="http://schemas.microsoft.com/office/drawing/2014/main" id="{00000000-0008-0000-1200-000002000000}"/>
            </a:ext>
          </a:extLst>
        </xdr:cNvPr>
        <xdr:cNvSpPr>
          <a:spLocks noChangeAspect="1" noChangeArrowheads="1"/>
        </xdr:cNvSpPr>
      </xdr:nvSpPr>
      <xdr:spPr>
        <a:xfrm flipV="1">
          <a:off x="865867" y="263069"/>
          <a:ext cx="5663069" cy="254001"/>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6</xdr:col>
      <xdr:colOff>725805</xdr:colOff>
      <xdr:row>7</xdr:row>
      <xdr:rowOff>0</xdr:rowOff>
    </xdr:from>
    <xdr:to>
      <xdr:col>6</xdr:col>
      <xdr:colOff>943429</xdr:colOff>
      <xdr:row>7</xdr:row>
      <xdr:rowOff>253998</xdr:rowOff>
    </xdr:to>
    <xdr:pic>
      <xdr:nvPicPr>
        <xdr:cNvPr id="3" name="图片 2">
          <a:hlinkClick xmlns:r="http://schemas.openxmlformats.org/officeDocument/2006/relationships" r:id="rId1" tooltip="预审&amp;年审工作注意事项"/>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8264162" y="2138878"/>
          <a:ext cx="217624" cy="265049"/>
        </a:xfrm>
        <a:prstGeom prst="rect">
          <a:avLst/>
        </a:prstGeom>
      </xdr:spPr>
    </xdr:pic>
    <xdr:clientData/>
  </xdr:twoCellAnchor>
  <xdr:twoCellAnchor>
    <xdr:from>
      <xdr:col>9</xdr:col>
      <xdr:colOff>716643</xdr:colOff>
      <xdr:row>10</xdr:row>
      <xdr:rowOff>31750</xdr:rowOff>
    </xdr:from>
    <xdr:to>
      <xdr:col>9</xdr:col>
      <xdr:colOff>1061357</xdr:colOff>
      <xdr:row>10</xdr:row>
      <xdr:rowOff>451585</xdr:rowOff>
    </xdr:to>
    <xdr:pic>
      <xdr:nvPicPr>
        <xdr:cNvPr id="7" name="图片 6">
          <a:hlinkClick xmlns:r="http://schemas.openxmlformats.org/officeDocument/2006/relationships" r:id="rId3" tooltip="准则关于上市公司因破产重整而进行的债务重组交易相关指引"/>
          <a:extLst>
            <a:ext uri="{FF2B5EF4-FFF2-40B4-BE49-F238E27FC236}">
              <a16:creationId xmlns:a16="http://schemas.microsoft.com/office/drawing/2014/main" id="{51CA2D66-BE9A-4F5D-B967-F018E9B64BFB}"/>
            </a:ext>
          </a:extLst>
        </xdr:cNvPr>
        <xdr:cNvPicPr>
          <a:picLocks noChangeAspect="1"/>
        </xdr:cNvPicPr>
      </xdr:nvPicPr>
      <xdr:blipFill>
        <a:blip xmlns:r="http://schemas.openxmlformats.org/officeDocument/2006/relationships" r:embed="rId2"/>
        <a:stretch>
          <a:fillRect/>
        </a:stretch>
      </xdr:blipFill>
      <xdr:spPr>
        <a:xfrm>
          <a:off x="13806714" y="2862036"/>
          <a:ext cx="344714" cy="41983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850265</xdr:colOff>
      <xdr:row>4</xdr:row>
      <xdr:rowOff>76835</xdr:rowOff>
    </xdr:to>
    <xdr:sp macro="" textlink="">
      <xdr:nvSpPr>
        <xdr:cNvPr id="2" name="AutoShape 5">
          <a:extLst>
            <a:ext uri="{FF2B5EF4-FFF2-40B4-BE49-F238E27FC236}">
              <a16:creationId xmlns:a16="http://schemas.microsoft.com/office/drawing/2014/main" id="{00000000-0008-0000-1300-000002000000}"/>
            </a:ext>
          </a:extLst>
        </xdr:cNvPr>
        <xdr:cNvSpPr>
          <a:spLocks noChangeAspect="1" noChangeArrowheads="1"/>
        </xdr:cNvSpPr>
      </xdr:nvSpPr>
      <xdr:spPr>
        <a:xfrm>
          <a:off x="1225550" y="568325"/>
          <a:ext cx="850265" cy="784543"/>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875665</xdr:colOff>
      <xdr:row>6</xdr:row>
      <xdr:rowOff>69215</xdr:rowOff>
    </xdr:to>
    <xdr:sp macro="" textlink="">
      <xdr:nvSpPr>
        <xdr:cNvPr id="3" name="AutoShape 5">
          <a:extLst>
            <a:ext uri="{FF2B5EF4-FFF2-40B4-BE49-F238E27FC236}">
              <a16:creationId xmlns:a16="http://schemas.microsoft.com/office/drawing/2014/main" id="{00000000-0008-0000-1300-000003000000}"/>
            </a:ext>
          </a:extLst>
        </xdr:cNvPr>
        <xdr:cNvSpPr>
          <a:spLocks noChangeAspect="1" noChangeArrowheads="1"/>
        </xdr:cNvSpPr>
      </xdr:nvSpPr>
      <xdr:spPr>
        <a:xfrm>
          <a:off x="1225550" y="568325"/>
          <a:ext cx="875665" cy="1240519"/>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865505</xdr:colOff>
      <xdr:row>4</xdr:row>
      <xdr:rowOff>83185</xdr:rowOff>
    </xdr:to>
    <xdr:sp macro="" textlink="">
      <xdr:nvSpPr>
        <xdr:cNvPr id="4" name="AutoShape 5">
          <a:extLst>
            <a:ext uri="{FF2B5EF4-FFF2-40B4-BE49-F238E27FC236}">
              <a16:creationId xmlns:a16="http://schemas.microsoft.com/office/drawing/2014/main" id="{00000000-0008-0000-1300-000004000000}"/>
            </a:ext>
          </a:extLst>
        </xdr:cNvPr>
        <xdr:cNvSpPr>
          <a:spLocks noChangeAspect="1" noChangeArrowheads="1"/>
        </xdr:cNvSpPr>
      </xdr:nvSpPr>
      <xdr:spPr>
        <a:xfrm>
          <a:off x="1225550" y="568325"/>
          <a:ext cx="865505" cy="790893"/>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4</xdr:row>
      <xdr:rowOff>85090</xdr:rowOff>
    </xdr:to>
    <xdr:sp macro="" textlink="">
      <xdr:nvSpPr>
        <xdr:cNvPr id="5" name="AutoShape 5">
          <a:extLst>
            <a:ext uri="{FF2B5EF4-FFF2-40B4-BE49-F238E27FC236}">
              <a16:creationId xmlns:a16="http://schemas.microsoft.com/office/drawing/2014/main" id="{00000000-0008-0000-1300-000005000000}"/>
            </a:ext>
          </a:extLst>
        </xdr:cNvPr>
        <xdr:cNvSpPr>
          <a:spLocks noChangeAspect="1" noChangeArrowheads="1"/>
        </xdr:cNvSpPr>
      </xdr:nvSpPr>
      <xdr:spPr>
        <a:xfrm>
          <a:off x="1457325" y="568325"/>
          <a:ext cx="871220" cy="792798"/>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0</xdr:colOff>
      <xdr:row>0</xdr:row>
      <xdr:rowOff>0</xdr:rowOff>
    </xdr:from>
    <xdr:to>
      <xdr:col>2</xdr:col>
      <xdr:colOff>865505</xdr:colOff>
      <xdr:row>4</xdr:row>
      <xdr:rowOff>83185</xdr:rowOff>
    </xdr:to>
    <xdr:sp macro="" textlink="">
      <xdr:nvSpPr>
        <xdr:cNvPr id="6" name="AutoShape 5">
          <a:extLst>
            <a:ext uri="{FF2B5EF4-FFF2-40B4-BE49-F238E27FC236}">
              <a16:creationId xmlns:a16="http://schemas.microsoft.com/office/drawing/2014/main" id="{00000000-0008-0000-1300-000006000000}"/>
            </a:ext>
          </a:extLst>
        </xdr:cNvPr>
        <xdr:cNvSpPr>
          <a:spLocks noChangeAspect="1" noChangeArrowheads="1"/>
        </xdr:cNvSpPr>
      </xdr:nvSpPr>
      <xdr:spPr>
        <a:xfrm>
          <a:off x="1225550" y="568325"/>
          <a:ext cx="865505" cy="790893"/>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2</xdr:col>
      <xdr:colOff>231775</xdr:colOff>
      <xdr:row>0</xdr:row>
      <xdr:rowOff>0</xdr:rowOff>
    </xdr:from>
    <xdr:to>
      <xdr:col>2</xdr:col>
      <xdr:colOff>1102995</xdr:colOff>
      <xdr:row>4</xdr:row>
      <xdr:rowOff>75565</xdr:rowOff>
    </xdr:to>
    <xdr:sp macro="" textlink="">
      <xdr:nvSpPr>
        <xdr:cNvPr id="7" name="AutoShape 5">
          <a:extLst>
            <a:ext uri="{FF2B5EF4-FFF2-40B4-BE49-F238E27FC236}">
              <a16:creationId xmlns:a16="http://schemas.microsoft.com/office/drawing/2014/main" id="{00000000-0008-0000-1300-000007000000}"/>
            </a:ext>
          </a:extLst>
        </xdr:cNvPr>
        <xdr:cNvSpPr>
          <a:spLocks noChangeAspect="1" noChangeArrowheads="1"/>
        </xdr:cNvSpPr>
      </xdr:nvSpPr>
      <xdr:spPr>
        <a:xfrm>
          <a:off x="1457325" y="568325"/>
          <a:ext cx="871220" cy="783273"/>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editAs="oneCell">
    <xdr:from>
      <xdr:col>1</xdr:col>
      <xdr:colOff>276225</xdr:colOff>
      <xdr:row>0</xdr:row>
      <xdr:rowOff>0</xdr:rowOff>
    </xdr:from>
    <xdr:to>
      <xdr:col>2</xdr:col>
      <xdr:colOff>691515</xdr:colOff>
      <xdr:row>4</xdr:row>
      <xdr:rowOff>166370</xdr:rowOff>
    </xdr:to>
    <xdr:sp macro="" textlink="">
      <xdr:nvSpPr>
        <xdr:cNvPr id="12" name="AutoShape 5">
          <a:extLst>
            <a:ext uri="{FF2B5EF4-FFF2-40B4-BE49-F238E27FC236}">
              <a16:creationId xmlns:a16="http://schemas.microsoft.com/office/drawing/2014/main" id="{00000000-0008-0000-1300-00000C000000}"/>
            </a:ext>
          </a:extLst>
        </xdr:cNvPr>
        <xdr:cNvSpPr>
          <a:spLocks noChangeAspect="1" noChangeArrowheads="1"/>
        </xdr:cNvSpPr>
      </xdr:nvSpPr>
      <xdr:spPr>
        <a:xfrm>
          <a:off x="288925" y="452120"/>
          <a:ext cx="949960" cy="862330"/>
        </a:xfrm>
        <a:prstGeom prst="rect">
          <a:avLst/>
        </a:prstGeom>
        <a:noFill/>
        <a:ln>
          <a:noFill/>
        </a:ln>
      </xdr:spPr>
      <xdr:style>
        <a:lnRef idx="0">
          <a:srgbClr val="000000">
            <a:alpha val="0"/>
          </a:srgbClr>
        </a:lnRef>
        <a:fillRef idx="0">
          <a:srgbClr val="000000">
            <a:alpha val="0"/>
          </a:srgbClr>
        </a:fillRef>
        <a:effectRef idx="0">
          <a:srgbClr val="000000">
            <a:alpha val="0"/>
          </a:srgbClr>
        </a:effectRef>
        <a:fontRef idx="none">
          <a:srgbClr val="000000">
            <a:alpha val="0"/>
          </a:srgbClr>
        </a:fontRef>
      </xdr:style>
    </xdr:sp>
    <xdr:clientData/>
  </xdr:twoCellAnchor>
  <xdr:twoCellAnchor>
    <xdr:from>
      <xdr:col>6</xdr:col>
      <xdr:colOff>734695</xdr:colOff>
      <xdr:row>7</xdr:row>
      <xdr:rowOff>27305</xdr:rowOff>
    </xdr:from>
    <xdr:to>
      <xdr:col>6</xdr:col>
      <xdr:colOff>943610</xdr:colOff>
      <xdr:row>7</xdr:row>
      <xdr:rowOff>245110</xdr:rowOff>
    </xdr:to>
    <xdr:pic>
      <xdr:nvPicPr>
        <xdr:cNvPr id="8" name="图片 7">
          <a:hlinkClick xmlns:r="http://schemas.openxmlformats.org/officeDocument/2006/relationships" r:id="rId1" tooltip="预审&amp;年审工作注意事项"/>
          <a:extLst>
            <a:ext uri="{FF2B5EF4-FFF2-40B4-BE49-F238E27FC236}">
              <a16:creationId xmlns:a16="http://schemas.microsoft.com/office/drawing/2014/main" id="{00000000-0008-0000-1300-000008000000}"/>
            </a:ext>
          </a:extLst>
        </xdr:cNvPr>
        <xdr:cNvPicPr>
          <a:picLocks noChangeAspect="1"/>
        </xdr:cNvPicPr>
      </xdr:nvPicPr>
      <xdr:blipFill>
        <a:blip xmlns:r="http://schemas.openxmlformats.org/officeDocument/2006/relationships" r:embed="rId2"/>
        <a:stretch>
          <a:fillRect/>
        </a:stretch>
      </xdr:blipFill>
      <xdr:spPr>
        <a:xfrm>
          <a:off x="8028216" y="1614714"/>
          <a:ext cx="208650" cy="217714"/>
        </a:xfrm>
        <a:prstGeom prst="rect">
          <a:avLst/>
        </a:prstGeom>
      </xdr:spPr>
    </xdr:pic>
    <xdr:clientData/>
  </xdr:twoCellAnchor>
  <xdr:twoCellAnchor>
    <xdr:from>
      <xdr:col>9</xdr:col>
      <xdr:colOff>389981</xdr:colOff>
      <xdr:row>10</xdr:row>
      <xdr:rowOff>462733</xdr:rowOff>
    </xdr:from>
    <xdr:to>
      <xdr:col>9</xdr:col>
      <xdr:colOff>830036</xdr:colOff>
      <xdr:row>10</xdr:row>
      <xdr:rowOff>926049</xdr:rowOff>
    </xdr:to>
    <xdr:pic>
      <xdr:nvPicPr>
        <xdr:cNvPr id="10" name="图片 8">
          <a:hlinkClick xmlns:r="http://schemas.openxmlformats.org/officeDocument/2006/relationships" r:id="rId3" tooltip="截止性测试注意事项"/>
          <a:extLst>
            <a:ext uri="{FF2B5EF4-FFF2-40B4-BE49-F238E27FC236}">
              <a16:creationId xmlns:a16="http://schemas.microsoft.com/office/drawing/2014/main" id="{E92373DF-6C82-CEB5-7714-CA268C0589C7}"/>
            </a:ext>
          </a:extLst>
        </xdr:cNvPr>
        <xdr:cNvPicPr>
          <a:picLocks noChangeAspect="1"/>
        </xdr:cNvPicPr>
      </xdr:nvPicPr>
      <xdr:blipFill>
        <a:blip xmlns:r="http://schemas.openxmlformats.org/officeDocument/2006/relationships" r:embed="rId2"/>
        <a:stretch>
          <a:fillRect/>
        </a:stretch>
      </xdr:blipFill>
      <xdr:spPr>
        <a:xfrm>
          <a:off x="14691088" y="3742054"/>
          <a:ext cx="440055" cy="4633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x:/r/sites/GCknowledgecenter/Shared%20Documents/%E5%AE%A1%E8%AE%A1%E6%A0%87%E5%87%86%E5%BA%95%E7%A8%BF/%E6%A0%87%E5%87%86%E5%AE%A1%E8%AE%A1%E5%BA%95%E7%A8%BF%E6%A8%A1%E6%9D%BF%E7%AC%AC%E4%BA%94%E7%89%88-%E4%BD%BF%E7%94%A8%E7%89%88/OSP/OSP%20SWP%20%E7%A0%94%E5%8F%91%E8%B4%B9%E7%94%A8%20202YMMDD%20XYZ%E5%85%AC%E5%8F%B8.xlsx?d=w648945e24f054a0b8925dd8ccc54956e&amp;csf=1&amp;web=1&amp;e=bMmdW6" TargetMode="External"/><Relationship Id="rId1" Type="http://schemas.openxmlformats.org/officeDocument/2006/relationships/hyperlink" Target="https://live.atlas.ey.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hyperlink" Target="../../../../../:x:/r/sites/GCknowledgecenter/Shared%20Documents/%E5%AE%A1%E8%AE%A1%E6%A0%87%E5%87%86%E5%BA%95%E7%A8%BF/%E6%A0%87%E5%87%86%E5%AE%A1%E8%AE%A1%E5%BA%95%E7%A8%BF%E6%A8%A1%E6%9D%BF%E7%AC%AC%E4%BA%94%E7%89%88-%E4%BD%BF%E7%94%A8%E7%89%88/TOD/TOD%20SWP%20U_Exp%20202YXXDD%20XYZ%E5%85%AC%E5%8F%B8.xlsx?d=wec28ffcfbf6c426db26290decd058726&amp;csf=1&amp;web=1&amp;e=j59BI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O64"/>
  <sheetViews>
    <sheetView showGridLines="0" tabSelected="1" zoomScale="70" zoomScaleNormal="70" workbookViewId="0">
      <selection activeCell="E4" sqref="E4"/>
    </sheetView>
  </sheetViews>
  <sheetFormatPr defaultColWidth="10.42578125" defaultRowHeight="12.6" customHeight="1" outlineLevelRow="1"/>
  <cols>
    <col min="1" max="1" width="0.140625" style="546" customWidth="1"/>
    <col min="2" max="2" width="5.7109375" style="5" customWidth="1"/>
    <col min="3" max="3" width="21.140625" style="32" customWidth="1"/>
    <col min="4" max="4" width="31.42578125" style="5" customWidth="1"/>
    <col min="5" max="5" width="31" style="5" customWidth="1"/>
    <col min="6" max="6" width="15.140625" style="32" customWidth="1"/>
    <col min="7" max="7" width="17.42578125" style="33" customWidth="1"/>
    <col min="8" max="8" width="52.7109375" style="5" customWidth="1"/>
    <col min="9" max="9" width="16.5703125" style="5" customWidth="1"/>
    <col min="10" max="10" width="32.7109375" style="34" customWidth="1"/>
    <col min="11" max="11" width="27.7109375" style="5" customWidth="1"/>
    <col min="12" max="12" width="30.140625" style="5" bestFit="1" customWidth="1"/>
    <col min="13" max="13" width="20" style="5" customWidth="1"/>
    <col min="14" max="14" width="74.140625" style="5" customWidth="1"/>
    <col min="15" max="62" width="10.42578125" style="5"/>
    <col min="63" max="63" width="34.85546875" style="5" customWidth="1"/>
    <col min="64" max="65" width="10.42578125" style="5"/>
    <col min="66" max="66" width="42.42578125" style="5" customWidth="1"/>
    <col min="67" max="16384" width="10.42578125" style="5"/>
  </cols>
  <sheetData>
    <row r="1" spans="1:67" ht="12.6" customHeight="1" thickBot="1">
      <c r="A1" s="545" t="s">
        <v>0</v>
      </c>
      <c r="J1" s="21"/>
      <c r="BK1" s="35"/>
      <c r="BN1" s="36"/>
      <c r="BO1" s="354"/>
    </row>
    <row r="2" spans="1:67" ht="13.35" customHeight="1">
      <c r="A2" s="545"/>
      <c r="C2" s="725"/>
      <c r="D2" s="726"/>
      <c r="E2" s="726"/>
      <c r="F2" s="726"/>
      <c r="G2" s="727"/>
      <c r="J2" s="21"/>
      <c r="BK2" s="37"/>
      <c r="BN2" s="38"/>
      <c r="BO2" s="354"/>
    </row>
    <row r="3" spans="1:67" ht="13.35" customHeight="1">
      <c r="A3" s="545"/>
      <c r="C3" s="410" t="s">
        <v>1</v>
      </c>
      <c r="D3" s="411"/>
      <c r="E3" s="412"/>
      <c r="F3" s="33" t="s">
        <v>2</v>
      </c>
      <c r="G3" s="413"/>
      <c r="J3" s="21"/>
      <c r="BK3" s="37"/>
      <c r="BN3" s="38"/>
      <c r="BO3" s="354"/>
    </row>
    <row r="4" spans="1:67" ht="13.35" customHeight="1">
      <c r="A4" s="545"/>
      <c r="C4" s="414"/>
      <c r="D4" s="412"/>
      <c r="E4" s="412"/>
      <c r="F4" s="415"/>
      <c r="G4" s="416"/>
      <c r="J4" s="21"/>
      <c r="BK4" s="37"/>
      <c r="BN4" s="38"/>
      <c r="BO4" s="354"/>
    </row>
    <row r="5" spans="1:67" ht="13.35" customHeight="1">
      <c r="A5" s="545"/>
      <c r="C5" s="410" t="s">
        <v>3</v>
      </c>
      <c r="D5" s="417">
        <v>45657</v>
      </c>
      <c r="E5" s="412"/>
      <c r="F5" s="43" t="s">
        <v>4</v>
      </c>
      <c r="G5" s="413"/>
      <c r="BK5" s="355"/>
      <c r="BN5" s="39"/>
      <c r="BO5" s="354"/>
    </row>
    <row r="6" spans="1:67" ht="13.35" customHeight="1">
      <c r="A6" s="545"/>
      <c r="C6" s="414"/>
      <c r="D6" s="418"/>
      <c r="E6" s="412"/>
      <c r="F6" s="415"/>
      <c r="G6" s="416"/>
      <c r="BK6" s="355"/>
      <c r="BN6" s="39"/>
      <c r="BO6" s="354"/>
    </row>
    <row r="7" spans="1:67" ht="13.35" customHeight="1">
      <c r="A7" s="545"/>
      <c r="C7" s="410" t="s">
        <v>5</v>
      </c>
      <c r="D7" s="417"/>
      <c r="E7" s="412"/>
      <c r="F7" s="33" t="s">
        <v>6</v>
      </c>
      <c r="G7" s="413"/>
      <c r="BK7" s="355"/>
      <c r="BN7" s="39"/>
      <c r="BO7" s="354"/>
    </row>
    <row r="8" spans="1:67" ht="13.35" customHeight="1">
      <c r="A8" s="545"/>
      <c r="C8" s="414"/>
      <c r="D8" s="412"/>
      <c r="E8" s="412"/>
      <c r="F8" s="412"/>
      <c r="G8" s="416"/>
      <c r="BK8" s="356"/>
      <c r="BN8" s="38"/>
      <c r="BO8" s="354"/>
    </row>
    <row r="9" spans="1:67" ht="13.35" customHeight="1">
      <c r="A9" s="545"/>
      <c r="C9" s="410" t="s">
        <v>7</v>
      </c>
      <c r="D9" s="411"/>
      <c r="E9" s="412"/>
      <c r="F9" s="419"/>
      <c r="G9" s="420"/>
      <c r="BK9" s="37"/>
      <c r="BN9" s="38"/>
      <c r="BO9" s="354"/>
    </row>
    <row r="10" spans="1:67" ht="13.35" customHeight="1" thickBot="1">
      <c r="A10" s="545"/>
      <c r="C10" s="421"/>
      <c r="D10" s="40"/>
      <c r="E10" s="40"/>
      <c r="F10" s="40"/>
      <c r="G10" s="41"/>
      <c r="BK10" s="356"/>
      <c r="BN10" s="38"/>
      <c r="BO10" s="354"/>
    </row>
    <row r="11" spans="1:67" s="2" customFormat="1" ht="12.6" customHeight="1">
      <c r="A11" s="651"/>
      <c r="C11" s="42"/>
      <c r="F11" s="42"/>
      <c r="G11" s="43"/>
      <c r="J11" s="44"/>
      <c r="BM11" s="5"/>
    </row>
    <row r="12" spans="1:67" s="2" customFormat="1" ht="12.6" hidden="1" customHeight="1" outlineLevel="1">
      <c r="A12" s="651"/>
      <c r="C12" s="728" t="s">
        <v>8</v>
      </c>
      <c r="D12" s="729" t="s">
        <v>9</v>
      </c>
      <c r="F12" s="42"/>
      <c r="G12" s="43"/>
      <c r="J12" s="44"/>
      <c r="BM12" s="5"/>
    </row>
    <row r="13" spans="1:67" s="2" customFormat="1" ht="12.6" hidden="1" customHeight="1" outlineLevel="1">
      <c r="A13" s="651"/>
      <c r="C13" s="565" t="s">
        <v>10</v>
      </c>
      <c r="D13" s="566">
        <v>0.1</v>
      </c>
      <c r="F13" s="42"/>
      <c r="G13" s="43"/>
      <c r="J13" s="44"/>
      <c r="BM13" s="5"/>
    </row>
    <row r="14" spans="1:67" s="2" customFormat="1" ht="12.6" hidden="1" customHeight="1" outlineLevel="1">
      <c r="A14" s="651"/>
      <c r="C14" s="565" t="s">
        <v>11</v>
      </c>
      <c r="D14" s="566">
        <v>0.15</v>
      </c>
      <c r="F14" s="42"/>
      <c r="G14" s="43"/>
      <c r="J14" s="44"/>
      <c r="BM14" s="5"/>
    </row>
    <row r="15" spans="1:67" s="2" customFormat="1" ht="12.6" hidden="1" customHeight="1" outlineLevel="1">
      <c r="A15" s="651"/>
      <c r="C15" s="565" t="s">
        <v>12</v>
      </c>
      <c r="D15" s="566">
        <v>0.25</v>
      </c>
      <c r="F15" s="42"/>
      <c r="G15" s="43"/>
      <c r="J15" s="44"/>
      <c r="BM15" s="5"/>
    </row>
    <row r="16" spans="1:67" s="2" customFormat="1" ht="12.6" hidden="1" customHeight="1" outlineLevel="1">
      <c r="A16" s="651"/>
      <c r="C16" s="565" t="s">
        <v>13</v>
      </c>
      <c r="D16" s="566">
        <v>0.5</v>
      </c>
      <c r="F16" s="42"/>
      <c r="G16" s="43"/>
      <c r="J16" s="44"/>
      <c r="BM16" s="5"/>
    </row>
    <row r="17" spans="1:65" s="2" customFormat="1" ht="12.6" hidden="1" customHeight="1" outlineLevel="1" thickBot="1">
      <c r="A17" s="651"/>
      <c r="C17" s="428" t="s">
        <v>14</v>
      </c>
      <c r="D17" s="429"/>
      <c r="F17" s="42"/>
      <c r="G17" s="43"/>
      <c r="J17" s="44"/>
      <c r="BM17" s="5"/>
    </row>
    <row r="18" spans="1:65" s="2" customFormat="1" ht="12.6" hidden="1" customHeight="1" outlineLevel="1">
      <c r="A18" s="651"/>
      <c r="C18" s="430" t="s">
        <v>15</v>
      </c>
      <c r="D18" s="4"/>
      <c r="F18" s="42"/>
      <c r="G18" s="43"/>
      <c r="J18" s="44"/>
      <c r="BM18" s="5"/>
    </row>
    <row r="19" spans="1:65" s="2" customFormat="1" ht="12.6" customHeight="1" collapsed="1" thickBot="1">
      <c r="A19" s="651"/>
      <c r="C19" s="42"/>
      <c r="F19" s="42"/>
      <c r="G19" s="43"/>
      <c r="J19" s="44"/>
      <c r="BM19" s="5"/>
    </row>
    <row r="20" spans="1:65" s="4" customFormat="1" ht="16.5">
      <c r="A20" s="545"/>
      <c r="B20" s="422"/>
      <c r="C20" s="469" t="s">
        <v>16</v>
      </c>
      <c r="D20" s="730" t="s">
        <v>8</v>
      </c>
      <c r="E20" s="730" t="s">
        <v>17</v>
      </c>
      <c r="F20" s="729" t="s">
        <v>18</v>
      </c>
      <c r="G20" s="423"/>
      <c r="L20" s="424"/>
      <c r="M20" s="424"/>
      <c r="N20" s="424"/>
      <c r="O20" s="424"/>
      <c r="P20" s="424"/>
      <c r="Q20" s="425"/>
    </row>
    <row r="21" spans="1:65" s="4" customFormat="1" ht="16.5" customHeight="1">
      <c r="A21" s="545"/>
      <c r="B21" s="426" t="s">
        <v>10</v>
      </c>
      <c r="C21" s="567" t="s">
        <v>19</v>
      </c>
      <c r="D21" s="427"/>
      <c r="E21" s="568" t="str">
        <f>IFERROR(VLOOKUP(D21,$C$13:$D$16,2,FALSE)*$G$5,"-")</f>
        <v>-</v>
      </c>
      <c r="F21" s="443">
        <f>MIN($E$21:$E$24)</f>
        <v>0</v>
      </c>
      <c r="G21" s="423"/>
      <c r="L21" s="424"/>
      <c r="M21" s="424"/>
      <c r="N21" s="424"/>
      <c r="O21" s="424"/>
      <c r="P21" s="424"/>
      <c r="Q21" s="425"/>
    </row>
    <row r="22" spans="1:65" s="4" customFormat="1" ht="16.5" customHeight="1">
      <c r="A22" s="545"/>
      <c r="B22" s="426" t="s">
        <v>11</v>
      </c>
      <c r="C22" s="567" t="s">
        <v>20</v>
      </c>
      <c r="D22" s="427"/>
      <c r="E22" s="568" t="str">
        <f>IFERROR(VLOOKUP(D22,$C$13:$D$16,2,FALSE)*$G$5,"-")</f>
        <v>-</v>
      </c>
      <c r="F22" s="444"/>
      <c r="G22" s="423"/>
      <c r="L22" s="424"/>
      <c r="M22" s="424"/>
      <c r="N22" s="424"/>
      <c r="O22" s="424"/>
      <c r="P22" s="424"/>
      <c r="Q22" s="425"/>
    </row>
    <row r="23" spans="1:65" s="4" customFormat="1" ht="16.5" customHeight="1">
      <c r="A23" s="545"/>
      <c r="B23" s="426" t="s">
        <v>12</v>
      </c>
      <c r="C23" s="567" t="s">
        <v>21</v>
      </c>
      <c r="D23" s="427"/>
      <c r="E23" s="568" t="str">
        <f>IFERROR(VLOOKUP(D23,$C$13:$D$16,2,FALSE)*$G$5,"-")</f>
        <v>-</v>
      </c>
      <c r="F23" s="444"/>
      <c r="G23" s="423"/>
      <c r="L23" s="424"/>
      <c r="M23" s="424"/>
      <c r="N23" s="424"/>
      <c r="O23" s="424"/>
      <c r="P23" s="424"/>
      <c r="Q23" s="425"/>
    </row>
    <row r="24" spans="1:65" s="4" customFormat="1" ht="16.5" customHeight="1" thickBot="1">
      <c r="A24" s="545"/>
      <c r="B24" s="426" t="s">
        <v>13</v>
      </c>
      <c r="C24" s="470" t="s">
        <v>22</v>
      </c>
      <c r="D24" s="471"/>
      <c r="E24" s="472" t="str">
        <f>IFERROR(VLOOKUP(D24,$C$13:$D$16,2,FALSE)*$G$5,"-")</f>
        <v>-</v>
      </c>
      <c r="F24" s="445"/>
      <c r="G24" s="423"/>
      <c r="L24" s="424"/>
      <c r="M24" s="424"/>
      <c r="N24" s="424"/>
      <c r="O24" s="424"/>
      <c r="P24" s="424"/>
      <c r="Q24" s="425"/>
    </row>
    <row r="25" spans="1:65" s="4" customFormat="1" ht="16.5" customHeight="1">
      <c r="A25" s="545"/>
      <c r="B25" s="426" t="s">
        <v>14</v>
      </c>
      <c r="C25" s="484" t="s">
        <v>23</v>
      </c>
      <c r="D25" s="468"/>
      <c r="E25" s="432"/>
      <c r="F25" s="433"/>
      <c r="G25" s="423"/>
      <c r="L25" s="424"/>
      <c r="M25" s="424"/>
      <c r="N25" s="424"/>
      <c r="O25" s="424"/>
      <c r="P25" s="424"/>
      <c r="Q25" s="425"/>
    </row>
    <row r="26" spans="1:65" s="4" customFormat="1" ht="16.5" customHeight="1">
      <c r="A26" s="545"/>
      <c r="B26" s="426"/>
      <c r="C26" s="430"/>
      <c r="D26" s="431"/>
      <c r="E26" s="432"/>
      <c r="F26" s="433"/>
      <c r="G26" s="423"/>
      <c r="L26" s="424"/>
      <c r="M26" s="424"/>
      <c r="N26" s="424"/>
      <c r="O26" s="424"/>
      <c r="P26" s="424"/>
      <c r="Q26" s="425"/>
    </row>
    <row r="27" spans="1:65" ht="19.5" customHeight="1">
      <c r="A27" s="545"/>
      <c r="C27" s="563" t="s">
        <v>24</v>
      </c>
      <c r="E27" s="686" t="s">
        <v>25</v>
      </c>
      <c r="N27" s="3"/>
      <c r="O27" s="3"/>
      <c r="P27" s="3"/>
    </row>
    <row r="28" spans="1:65" ht="11.45" customHeight="1" thickBot="1">
      <c r="A28" s="545"/>
      <c r="C28" s="563"/>
      <c r="N28" s="3"/>
      <c r="O28" s="3"/>
      <c r="P28" s="3"/>
    </row>
    <row r="29" spans="1:65" s="3" customFormat="1" ht="33">
      <c r="A29" s="652" t="s">
        <v>26</v>
      </c>
      <c r="C29" s="700" t="s">
        <v>27</v>
      </c>
      <c r="D29" s="701" t="s">
        <v>28</v>
      </c>
      <c r="E29" s="701" t="s">
        <v>29</v>
      </c>
      <c r="F29" s="701" t="s">
        <v>30</v>
      </c>
      <c r="G29" s="701" t="s">
        <v>16</v>
      </c>
      <c r="H29" s="701" t="s">
        <v>31</v>
      </c>
      <c r="I29" s="701" t="s">
        <v>32</v>
      </c>
      <c r="J29" s="701" t="s">
        <v>33</v>
      </c>
      <c r="K29" s="702" t="s">
        <v>34</v>
      </c>
      <c r="L29" s="45"/>
      <c r="M29" s="45"/>
      <c r="N29" s="45"/>
    </row>
    <row r="30" spans="1:65" s="4" customFormat="1" ht="66">
      <c r="A30" s="653"/>
      <c r="C30" s="703">
        <v>1</v>
      </c>
      <c r="D30" s="721" t="s">
        <v>35</v>
      </c>
      <c r="E30" s="721" t="s">
        <v>36</v>
      </c>
      <c r="F30" s="723" t="s">
        <v>37</v>
      </c>
      <c r="G30" s="687" t="s">
        <v>38</v>
      </c>
      <c r="H30" s="688" t="s">
        <v>39</v>
      </c>
      <c r="I30" s="689"/>
      <c r="J30" s="690" t="s">
        <v>40</v>
      </c>
      <c r="K30" s="704"/>
      <c r="L30" s="5"/>
      <c r="M30" s="5"/>
      <c r="N30" s="5"/>
      <c r="O30" s="3"/>
      <c r="P30" s="3"/>
      <c r="Q30" s="3"/>
      <c r="R30" s="5"/>
    </row>
    <row r="31" spans="1:65" s="4" customFormat="1" ht="25.35" customHeight="1">
      <c r="A31" s="653"/>
      <c r="C31" s="703">
        <v>2</v>
      </c>
      <c r="D31" s="721" t="s">
        <v>41</v>
      </c>
      <c r="E31" s="792" t="s">
        <v>36</v>
      </c>
      <c r="F31" s="793" t="s">
        <v>37</v>
      </c>
      <c r="G31" s="794" t="s">
        <v>38</v>
      </c>
      <c r="H31" s="789" t="s">
        <v>42</v>
      </c>
      <c r="I31" s="689"/>
      <c r="J31" s="690" t="s">
        <v>43</v>
      </c>
      <c r="K31" s="704"/>
      <c r="L31" s="5"/>
      <c r="M31" s="5"/>
      <c r="N31" s="5"/>
      <c r="O31" s="5"/>
      <c r="P31" s="5"/>
      <c r="Q31" s="5"/>
      <c r="R31" s="5"/>
    </row>
    <row r="32" spans="1:65" s="4" customFormat="1" ht="16.5">
      <c r="A32" s="653"/>
      <c r="C32" s="703">
        <v>3</v>
      </c>
      <c r="D32" s="721" t="s">
        <v>44</v>
      </c>
      <c r="E32" s="792"/>
      <c r="F32" s="793"/>
      <c r="G32" s="794"/>
      <c r="H32" s="789"/>
      <c r="I32" s="689"/>
      <c r="J32" s="690" t="s">
        <v>45</v>
      </c>
      <c r="K32" s="705"/>
    </row>
    <row r="33" spans="1:11" s="4" customFormat="1" ht="21" customHeight="1">
      <c r="A33" s="653"/>
      <c r="C33" s="703">
        <v>4</v>
      </c>
      <c r="D33" s="721" t="s">
        <v>46</v>
      </c>
      <c r="E33" s="792"/>
      <c r="F33" s="793"/>
      <c r="G33" s="794"/>
      <c r="H33" s="789"/>
      <c r="I33" s="689"/>
      <c r="J33" s="690" t="s">
        <v>47</v>
      </c>
      <c r="K33" s="706"/>
    </row>
    <row r="34" spans="1:11" s="4" customFormat="1" ht="16.5">
      <c r="A34" s="653"/>
      <c r="C34" s="703">
        <v>5</v>
      </c>
      <c r="D34" s="721" t="s">
        <v>48</v>
      </c>
      <c r="E34" s="792"/>
      <c r="F34" s="793"/>
      <c r="G34" s="794"/>
      <c r="H34" s="789"/>
      <c r="I34" s="689"/>
      <c r="J34" s="690" t="s">
        <v>49</v>
      </c>
      <c r="K34" s="706"/>
    </row>
    <row r="35" spans="1:11" s="4" customFormat="1" ht="16.5">
      <c r="A35" s="653"/>
      <c r="C35" s="703">
        <v>6</v>
      </c>
      <c r="D35" s="721" t="s">
        <v>50</v>
      </c>
      <c r="E35" s="792"/>
      <c r="F35" s="793"/>
      <c r="G35" s="794"/>
      <c r="H35" s="789"/>
      <c r="I35" s="689"/>
      <c r="J35" s="690" t="s">
        <v>51</v>
      </c>
      <c r="K35" s="706"/>
    </row>
    <row r="36" spans="1:11" s="4" customFormat="1" ht="16.5">
      <c r="A36" s="653"/>
      <c r="C36" s="703">
        <v>7</v>
      </c>
      <c r="D36" s="721" t="s">
        <v>52</v>
      </c>
      <c r="E36" s="792"/>
      <c r="F36" s="793"/>
      <c r="G36" s="794"/>
      <c r="H36" s="789"/>
      <c r="I36" s="689"/>
      <c r="J36" s="690" t="s">
        <v>53</v>
      </c>
      <c r="K36" s="706"/>
    </row>
    <row r="37" spans="1:11" s="4" customFormat="1" ht="16.5">
      <c r="A37" s="653"/>
      <c r="C37" s="703">
        <v>8</v>
      </c>
      <c r="D37" s="721" t="s">
        <v>54</v>
      </c>
      <c r="E37" s="792"/>
      <c r="F37" s="793"/>
      <c r="G37" s="794"/>
      <c r="H37" s="789"/>
      <c r="I37" s="689"/>
      <c r="J37" s="690" t="s">
        <v>55</v>
      </c>
      <c r="K37" s="706"/>
    </row>
    <row r="38" spans="1:11" s="4" customFormat="1" ht="16.5">
      <c r="A38" s="653"/>
      <c r="C38" s="703">
        <v>9</v>
      </c>
      <c r="D38" s="721" t="s">
        <v>56</v>
      </c>
      <c r="E38" s="792"/>
      <c r="F38" s="793"/>
      <c r="G38" s="794"/>
      <c r="H38" s="789"/>
      <c r="I38" s="689"/>
      <c r="J38" s="690" t="s">
        <v>57</v>
      </c>
      <c r="K38" s="706"/>
    </row>
    <row r="39" spans="1:11" s="4" customFormat="1" ht="16.5">
      <c r="A39" s="653"/>
      <c r="C39" s="703">
        <v>10</v>
      </c>
      <c r="D39" s="721" t="s">
        <v>58</v>
      </c>
      <c r="E39" s="792"/>
      <c r="F39" s="793"/>
      <c r="G39" s="794"/>
      <c r="H39" s="789"/>
      <c r="I39" s="689"/>
      <c r="J39" s="690" t="s">
        <v>59</v>
      </c>
      <c r="K39" s="706"/>
    </row>
    <row r="40" spans="1:11" s="4" customFormat="1" ht="16.5">
      <c r="A40" s="653"/>
      <c r="C40" s="703">
        <v>11</v>
      </c>
      <c r="D40" s="721" t="s">
        <v>60</v>
      </c>
      <c r="E40" s="792"/>
      <c r="F40" s="793"/>
      <c r="G40" s="794"/>
      <c r="H40" s="789"/>
      <c r="I40" s="689"/>
      <c r="J40" s="690" t="s">
        <v>61</v>
      </c>
      <c r="K40" s="706"/>
    </row>
    <row r="41" spans="1:11" s="4" customFormat="1" ht="16.5">
      <c r="A41" s="653"/>
      <c r="C41" s="703">
        <v>12</v>
      </c>
      <c r="D41" s="721" t="s">
        <v>62</v>
      </c>
      <c r="E41" s="792"/>
      <c r="F41" s="793"/>
      <c r="G41" s="794"/>
      <c r="H41" s="789"/>
      <c r="I41" s="689"/>
      <c r="J41" s="690" t="s">
        <v>63</v>
      </c>
      <c r="K41" s="706"/>
    </row>
    <row r="42" spans="1:11" s="4" customFormat="1" ht="16.5">
      <c r="A42" s="653"/>
      <c r="C42" s="703">
        <v>13</v>
      </c>
      <c r="D42" s="721" t="s">
        <v>64</v>
      </c>
      <c r="E42" s="792"/>
      <c r="F42" s="793"/>
      <c r="G42" s="794"/>
      <c r="H42" s="789"/>
      <c r="I42" s="689"/>
      <c r="J42" s="690" t="s">
        <v>65</v>
      </c>
      <c r="K42" s="706"/>
    </row>
    <row r="43" spans="1:11" ht="33" customHeight="1">
      <c r="A43" s="653"/>
      <c r="C43" s="703">
        <v>14</v>
      </c>
      <c r="D43" s="691" t="s">
        <v>66</v>
      </c>
      <c r="E43" s="692" t="s">
        <v>67</v>
      </c>
      <c r="F43" s="723" t="s">
        <v>37</v>
      </c>
      <c r="G43" s="722" t="s">
        <v>38</v>
      </c>
      <c r="H43" s="692" t="s">
        <v>68</v>
      </c>
      <c r="I43" s="689"/>
      <c r="J43" s="693" t="s">
        <v>69</v>
      </c>
      <c r="K43" s="707"/>
    </row>
    <row r="44" spans="1:11" s="4" customFormat="1" ht="174.75" customHeight="1">
      <c r="A44" s="653"/>
      <c r="C44" s="703">
        <v>15</v>
      </c>
      <c r="D44" s="721" t="s">
        <v>35</v>
      </c>
      <c r="E44" s="692" t="s">
        <v>70</v>
      </c>
      <c r="F44" s="723" t="s">
        <v>37</v>
      </c>
      <c r="G44" s="721" t="s">
        <v>38</v>
      </c>
      <c r="H44" s="694" t="s">
        <v>71</v>
      </c>
      <c r="I44" s="689"/>
      <c r="J44" s="695"/>
      <c r="K44" s="708"/>
    </row>
    <row r="45" spans="1:11" s="4" customFormat="1" ht="16.5">
      <c r="A45" s="653"/>
      <c r="C45" s="703">
        <v>16</v>
      </c>
      <c r="D45" s="697" t="s">
        <v>72</v>
      </c>
      <c r="E45" s="698" t="s">
        <v>73</v>
      </c>
      <c r="F45" s="699" t="s">
        <v>37</v>
      </c>
      <c r="G45" s="721" t="s">
        <v>74</v>
      </c>
      <c r="H45" s="696" t="s">
        <v>75</v>
      </c>
      <c r="I45" s="689"/>
      <c r="J45" s="690" t="s">
        <v>76</v>
      </c>
      <c r="K45" s="708"/>
    </row>
    <row r="46" spans="1:11" s="4" customFormat="1" ht="33">
      <c r="A46" s="653"/>
      <c r="C46" s="709">
        <v>17</v>
      </c>
      <c r="D46" s="716" t="s">
        <v>77</v>
      </c>
      <c r="E46" s="710" t="s">
        <v>78</v>
      </c>
      <c r="F46" s="711" t="s">
        <v>37</v>
      </c>
      <c r="G46" s="712" t="s">
        <v>79</v>
      </c>
      <c r="H46" s="717" t="s">
        <v>80</v>
      </c>
      <c r="I46" s="713"/>
      <c r="J46" s="714" t="s">
        <v>81</v>
      </c>
      <c r="K46" s="715"/>
    </row>
    <row r="47" spans="1:11" ht="12.75">
      <c r="A47" s="545"/>
      <c r="C47" s="42"/>
      <c r="D47" s="2"/>
      <c r="E47" s="2"/>
      <c r="F47" s="42"/>
      <c r="G47" s="43"/>
      <c r="H47" s="2"/>
      <c r="I47" s="42"/>
      <c r="J47" s="2"/>
      <c r="K47" s="2"/>
    </row>
    <row r="48" spans="1:11" ht="17.25" thickBot="1">
      <c r="A48" s="653"/>
      <c r="C48" s="538" t="s">
        <v>82</v>
      </c>
      <c r="D48" s="357"/>
      <c r="E48" s="46"/>
      <c r="F48" s="358"/>
      <c r="G48" s="359"/>
      <c r="H48" s="359"/>
      <c r="I48" s="360"/>
      <c r="J48" s="360"/>
      <c r="K48" s="361"/>
    </row>
    <row r="49" spans="1:11" ht="50.25" thickBot="1">
      <c r="A49" s="653" t="s">
        <v>83</v>
      </c>
      <c r="C49" s="454">
        <v>18</v>
      </c>
      <c r="D49" s="790" t="s">
        <v>84</v>
      </c>
      <c r="E49" s="791"/>
      <c r="F49" s="455"/>
      <c r="G49" s="456"/>
      <c r="H49" s="457" t="s">
        <v>85</v>
      </c>
      <c r="I49" s="47"/>
      <c r="J49" s="485"/>
      <c r="K49" s="362"/>
    </row>
    <row r="50" spans="1:11" ht="15.75" customHeight="1" thickBot="1">
      <c r="A50" s="653"/>
    </row>
    <row r="51" spans="1:11" ht="18.75" customHeight="1">
      <c r="A51" s="545"/>
      <c r="C51" s="731" t="s">
        <v>86</v>
      </c>
      <c r="D51" s="732"/>
      <c r="E51" s="733"/>
      <c r="F51" s="732"/>
      <c r="G51" s="734"/>
    </row>
    <row r="52" spans="1:11" s="446" customFormat="1" ht="17.25" thickBot="1">
      <c r="A52" s="654"/>
      <c r="C52" s="447" t="s">
        <v>87</v>
      </c>
      <c r="D52" s="448"/>
      <c r="E52" s="449"/>
      <c r="F52" s="448"/>
      <c r="G52" s="450"/>
    </row>
    <row r="53" spans="1:11" ht="14.25" customHeight="1" thickBot="1">
      <c r="A53" s="651"/>
    </row>
    <row r="54" spans="1:11" ht="12.6" customHeight="1">
      <c r="A54" s="545"/>
      <c r="C54" s="481" t="s">
        <v>88</v>
      </c>
      <c r="D54" s="735"/>
    </row>
    <row r="55" spans="1:11" ht="43.5" customHeight="1">
      <c r="A55" s="545"/>
      <c r="C55" s="434" t="s">
        <v>89</v>
      </c>
      <c r="D55" s="435" t="s">
        <v>90</v>
      </c>
    </row>
    <row r="56" spans="1:11" ht="12.6" customHeight="1">
      <c r="A56" s="545"/>
      <c r="C56" s="569" t="s">
        <v>91</v>
      </c>
      <c r="D56" s="570" t="s">
        <v>92</v>
      </c>
    </row>
    <row r="57" spans="1:11" ht="12.6" customHeight="1">
      <c r="A57" s="653"/>
      <c r="C57" s="569" t="s">
        <v>93</v>
      </c>
      <c r="D57" s="570" t="s">
        <v>94</v>
      </c>
    </row>
    <row r="58" spans="1:11" ht="12.6" customHeight="1">
      <c r="A58" s="653"/>
      <c r="C58" s="569" t="s">
        <v>95</v>
      </c>
      <c r="D58" s="570" t="s">
        <v>96</v>
      </c>
    </row>
    <row r="59" spans="1:11" ht="12.6" customHeight="1">
      <c r="A59" s="653"/>
      <c r="C59" s="569" t="s">
        <v>97</v>
      </c>
      <c r="D59" s="571" t="s">
        <v>98</v>
      </c>
    </row>
    <row r="60" spans="1:11" ht="27.6" customHeight="1">
      <c r="A60" s="653"/>
      <c r="C60" s="572" t="s">
        <v>99</v>
      </c>
      <c r="D60" s="573" t="s">
        <v>100</v>
      </c>
    </row>
    <row r="61" spans="1:11" ht="12.6" customHeight="1">
      <c r="A61" s="653"/>
      <c r="C61" s="569" t="s">
        <v>101</v>
      </c>
      <c r="D61" s="570" t="s">
        <v>102</v>
      </c>
    </row>
    <row r="62" spans="1:11" ht="29.1" customHeight="1">
      <c r="A62" s="653"/>
      <c r="C62" s="572" t="s">
        <v>103</v>
      </c>
      <c r="D62" s="574" t="s">
        <v>104</v>
      </c>
    </row>
    <row r="63" spans="1:11" ht="12.6" customHeight="1" thickBot="1">
      <c r="A63" s="653"/>
      <c r="C63" s="436" t="s">
        <v>105</v>
      </c>
      <c r="D63" s="437" t="s">
        <v>106</v>
      </c>
    </row>
    <row r="64" spans="1:11" ht="12.6" customHeight="1">
      <c r="A64" s="653"/>
    </row>
  </sheetData>
  <mergeCells count="5">
    <mergeCell ref="H31:H42"/>
    <mergeCell ref="D49:E49"/>
    <mergeCell ref="E31:E42"/>
    <mergeCell ref="F31:F42"/>
    <mergeCell ref="G31:G42"/>
  </mergeCells>
  <phoneticPr fontId="136" type="noConversion"/>
  <conditionalFormatting sqref="D3 G3 G5 D7 G7 D9 D21:D24 I30:I46 J44 I49:J49">
    <cfRule type="containsBlanks" dxfId="18" priority="2">
      <formula>LEN(TRIM(D3))=0</formula>
    </cfRule>
  </conditionalFormatting>
  <conditionalFormatting sqref="D5">
    <cfRule type="containsBlanks" dxfId="17" priority="1">
      <formula>LEN(TRIM(D5))=0</formula>
    </cfRule>
  </conditionalFormatting>
  <conditionalFormatting sqref="K30:K46 K49">
    <cfRule type="expression" dxfId="16" priority="108">
      <formula>SUMPRODUCT((I30="No")*(LEN(K30)=0))</formula>
    </cfRule>
  </conditionalFormatting>
  <dataValidations count="2">
    <dataValidation type="list" allowBlank="1" showInputMessage="1" showErrorMessage="1" sqref="I49 I30:I46" xr:uid="{00000000-0002-0000-0100-000001000000}">
      <formula1>" ,Yes, No"</formula1>
    </dataValidation>
    <dataValidation type="list" allowBlank="1" showInputMessage="1" showErrorMessage="1" sqref="D21:D25" xr:uid="{6618ADFD-80DD-4F4B-9CD3-93A20B6A9EEB}">
      <formula1>$C$13:$C$17</formula1>
    </dataValidation>
  </dataValidations>
  <hyperlinks>
    <hyperlink ref="J30" location="Uexp_Lead!A1" display="Uexp_Lead" xr:uid="{00000000-0004-0000-0100-000000000000}"/>
    <hyperlink ref="J36" location="Uexp公允价值变动损益BKD!A1" display="Uexp公允价值变动损益BKD" xr:uid="{00000000-0004-0000-0100-000004000000}"/>
    <hyperlink ref="J32" location="Uexp研发费用BKD!A1" display="Uexp研发费用BKD" xr:uid="{00000000-0004-0000-0100-000005000000}"/>
    <hyperlink ref="J37" location="Uexp信用减值损失BKD!A1" display="Uexp信用减值损失BKD" xr:uid="{00000000-0004-0000-0100-000006000000}"/>
    <hyperlink ref="J38" location="Uexp资产减值损失BKD!A1" display="Uexp资产减值损失BKD" xr:uid="{00000000-0004-0000-0100-000007000000}"/>
    <hyperlink ref="J39" location="Uexp资产处置损益BKD!A1" display="Uexp资产处置损益BKD" xr:uid="{00000000-0004-0000-0100-000008000000}"/>
    <hyperlink ref="J40" location="Uexp营业外收入BKD!A1" display="Uexp营业外收入BKD" xr:uid="{00000000-0004-0000-0100-000009000000}"/>
    <hyperlink ref="J41" location="Uexp营业外支出BKD!A1" display="Uexp营业外支出BKD" xr:uid="{00000000-0004-0000-0100-00000A000000}"/>
    <hyperlink ref="J42" location="Uexp债务重组利得和损失BKD!A1" display="Uexp债务重组利得和损失BKD" xr:uid="{00000000-0004-0000-0100-00000B000000}"/>
    <hyperlink ref="J45" location="Uexp_Cutoff!A1" display="Uexp_Cutoff" xr:uid="{00000000-0004-0000-0100-00000F000000}"/>
    <hyperlink ref="J34" location="Uexp其他收益BKD!A1" display="Uexp其他收益BKD" xr:uid="{00000000-0004-0000-0100-000011000000}"/>
    <hyperlink ref="H49" r:id="rId1" location="document/589804/pid88119662-589804?pref=20014/4/30&amp;crumb=8/1724596/553542" display="执行IPE程序以评估客户提供的数据的准确性和完整性。可点击此处获取265 From，获取后需更新链接至执行程序265GL 。" xr:uid="{00000000-0004-0000-0100-000014000000}"/>
    <hyperlink ref="J33" location="Uexp财务费用BKD!A1" display="Uexp财务费用BKD" xr:uid="{BE7D75D3-8DF5-4BA5-ACAF-40FFE6DA401D}"/>
    <hyperlink ref="J31" location="Uexp制造费用BKD!A1" display="Uexp制造费用BKD" xr:uid="{00000000-0004-0000-0100-00000C000000}"/>
    <hyperlink ref="J43" location="Uexp利息测试!A1" display="Uexp利息测试" xr:uid="{B70B1318-BC55-4398-B48C-05B8DFC7F6C0}"/>
    <hyperlink ref="J35" location="Uexp投资收益BKD!A1" display="Uexp投资收益BKD" xr:uid="{00000000-0004-0000-0100-000003000000}"/>
    <hyperlink ref="E27" r:id="rId2" display="https://eychinamanaged.sharepoint.cn/:x:/r/sites/GCknowledgecenter/Shared Documents/%E5%AE%A1%E8%AE%A1%E6%A0%87%E5%87%86%E5%BA%95%E7%A8%BF/%E6%A0%87%E5%87%86%E5%AE%A1%E8%AE%A1%E5%BA%95%E7%A8%BF%E6%A8%A1%E6%9D%BF%E7%AC%AC%E4%BA%94%E7%89%88-%E4%BD%BF%E7%94%A8%E7%89%88/OSP/OSP SWP %E7%A0%94%E5%8F%91%E8%B4%B9%E7%94%A8 202YMMDD XYZ%E5%85%AC%E5%8F%B8.xlsx?d=w648945e24f054a0b8925dd8ccc54956e&amp;csf=1&amp;web=1&amp;e=bMmdW6" xr:uid="{97778CBC-8BC1-4836-B33A-9B54A1DDE954}"/>
    <hyperlink ref="J46" location="Uexp_TOD!A1" display="Uexp_TOD" xr:uid="{FFCDFC08-988F-4B36-A3A8-E056466E707E}"/>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V141"/>
  <sheetViews>
    <sheetView showGridLines="0" zoomScale="70" zoomScaleNormal="70" workbookViewId="0">
      <selection activeCell="L34" sqref="L34"/>
    </sheetView>
  </sheetViews>
  <sheetFormatPr defaultColWidth="8.85546875" defaultRowHeight="12.75" customHeight="1" outlineLevelRow="1"/>
  <cols>
    <col min="1" max="1" width="0.140625" style="215" customWidth="1"/>
    <col min="2" max="2" width="5.5703125" style="9" customWidth="1"/>
    <col min="3" max="3" width="21.28515625" style="9" customWidth="1"/>
    <col min="4" max="4" width="33.42578125" style="9" customWidth="1"/>
    <col min="5" max="5" width="19.42578125" style="9" customWidth="1"/>
    <col min="6" max="7" width="18.85546875" style="9" customWidth="1"/>
    <col min="8" max="8" width="17.140625" style="9" customWidth="1"/>
    <col min="9" max="9" width="18.85546875" style="9" customWidth="1"/>
    <col min="10" max="10" width="25.85546875" style="9" customWidth="1"/>
    <col min="11" max="11" width="17.7109375" style="9" customWidth="1"/>
    <col min="12" max="12" width="18.85546875" style="9" customWidth="1"/>
    <col min="13" max="14" width="15.5703125" style="9" customWidth="1"/>
    <col min="15" max="15" width="17.28515625" style="9" customWidth="1"/>
    <col min="16" max="16" width="1.85546875" style="9" customWidth="1"/>
    <col min="17" max="18" width="7.7109375" style="9" customWidth="1"/>
    <col min="19" max="19" width="15.28515625" style="9" customWidth="1"/>
    <col min="20" max="20" width="1.28515625" style="9" customWidth="1"/>
    <col min="21" max="21" width="18.42578125" style="9" customWidth="1"/>
    <col min="22" max="22" width="13.28515625" style="9" customWidth="1"/>
    <col min="23" max="24" width="16.85546875" style="9" customWidth="1"/>
    <col min="25" max="16384" width="8.85546875" style="9"/>
  </cols>
  <sheetData>
    <row r="1" spans="1:17" ht="12.6" customHeight="1">
      <c r="A1" s="539" t="s">
        <v>107</v>
      </c>
      <c r="C1" s="473"/>
    </row>
    <row r="2" spans="1:17" ht="16.5">
      <c r="A2" s="539"/>
      <c r="C2" s="19"/>
      <c r="D2" s="19"/>
      <c r="J2" s="48" t="s">
        <v>108</v>
      </c>
    </row>
    <row r="3" spans="1:17" ht="13.5" thickBot="1">
      <c r="A3" s="539"/>
      <c r="C3" s="19"/>
      <c r="D3" s="19"/>
    </row>
    <row r="4" spans="1:17" ht="21">
      <c r="A4" s="539"/>
      <c r="C4" s="736" t="s">
        <v>109</v>
      </c>
      <c r="D4" s="737"/>
      <c r="E4" s="737"/>
      <c r="F4" s="737"/>
      <c r="G4" s="737"/>
      <c r="H4" s="737"/>
      <c r="I4" s="737"/>
      <c r="J4" s="738"/>
    </row>
    <row r="5" spans="1:17" ht="20.25">
      <c r="A5" s="539"/>
      <c r="C5" s="49" t="s">
        <v>110</v>
      </c>
      <c r="D5" s="50"/>
      <c r="E5" s="50"/>
      <c r="F5" s="50"/>
      <c r="G5" s="50"/>
      <c r="H5" s="50"/>
      <c r="I5" s="50"/>
      <c r="J5" s="51"/>
    </row>
    <row r="6" spans="1:17" ht="12.75" customHeight="1">
      <c r="A6" s="539"/>
      <c r="C6" s="49"/>
      <c r="D6" s="50"/>
      <c r="E6" s="50"/>
      <c r="F6" s="50"/>
      <c r="G6" s="50"/>
      <c r="H6" s="50"/>
      <c r="I6" s="50"/>
      <c r="J6" s="51"/>
    </row>
    <row r="7" spans="1:17" ht="27" customHeight="1">
      <c r="A7" s="539"/>
      <c r="C7" s="513" t="s">
        <v>111</v>
      </c>
      <c r="D7" s="798" t="s">
        <v>112</v>
      </c>
      <c r="E7" s="799"/>
      <c r="F7" s="800"/>
      <c r="G7" s="505" t="s">
        <v>113</v>
      </c>
      <c r="H7" s="507" t="s">
        <v>114</v>
      </c>
      <c r="I7" s="507" t="s">
        <v>115</v>
      </c>
      <c r="J7" s="514" t="s">
        <v>116</v>
      </c>
    </row>
    <row r="8" spans="1:17" ht="28.5" customHeight="1" outlineLevel="1">
      <c r="A8" s="655"/>
      <c r="C8" s="515">
        <v>1</v>
      </c>
      <c r="D8" s="795" t="s">
        <v>117</v>
      </c>
      <c r="E8" s="796"/>
      <c r="F8" s="797"/>
      <c r="G8" s="575" t="s">
        <v>118</v>
      </c>
      <c r="H8" s="508" t="s">
        <v>119</v>
      </c>
      <c r="I8" s="509"/>
      <c r="J8" s="516"/>
    </row>
    <row r="9" spans="1:17" ht="40.5" customHeight="1" outlineLevel="1">
      <c r="A9" s="655"/>
      <c r="C9" s="515">
        <v>2</v>
      </c>
      <c r="D9" s="795" t="s">
        <v>120</v>
      </c>
      <c r="E9" s="796"/>
      <c r="F9" s="797"/>
      <c r="G9" s="575" t="s">
        <v>118</v>
      </c>
      <c r="H9" s="508" t="s">
        <v>119</v>
      </c>
      <c r="I9" s="509"/>
      <c r="J9" s="516"/>
    </row>
    <row r="10" spans="1:17" ht="12.75" customHeight="1" thickBot="1">
      <c r="A10" s="655"/>
      <c r="C10" s="370"/>
      <c r="D10" s="576"/>
      <c r="E10" s="576"/>
      <c r="F10" s="576"/>
      <c r="G10" s="506"/>
      <c r="H10" s="506"/>
      <c r="I10" s="506"/>
      <c r="J10" s="577"/>
    </row>
    <row r="11" spans="1:17" ht="12.6" customHeight="1">
      <c r="A11" s="655"/>
      <c r="C11" s="52"/>
      <c r="D11" s="53"/>
      <c r="E11" s="53"/>
      <c r="F11" s="53"/>
    </row>
    <row r="12" spans="1:17" s="20" customFormat="1" ht="18.75" thickBot="1">
      <c r="A12" s="656"/>
      <c r="C12" s="474" t="s">
        <v>121</v>
      </c>
      <c r="D12" s="438"/>
      <c r="E12" s="438"/>
      <c r="F12" s="438"/>
      <c r="G12" s="438"/>
      <c r="H12" s="438"/>
      <c r="I12" s="438"/>
      <c r="J12" s="438"/>
      <c r="K12" s="23"/>
      <c r="L12" s="217"/>
      <c r="M12" s="217"/>
      <c r="Q12" s="158"/>
    </row>
    <row r="13" spans="1:17" s="20" customFormat="1" ht="18" customHeight="1">
      <c r="A13" s="656"/>
      <c r="C13" s="819"/>
      <c r="D13" s="820"/>
      <c r="E13" s="820"/>
      <c r="F13" s="820"/>
      <c r="G13" s="821"/>
      <c r="H13" s="438"/>
      <c r="I13" s="438"/>
      <c r="J13" s="438"/>
      <c r="K13" s="23"/>
      <c r="L13" s="217"/>
      <c r="M13" s="217"/>
      <c r="Q13" s="158"/>
    </row>
    <row r="14" spans="1:17" s="20" customFormat="1" ht="18" customHeight="1">
      <c r="A14" s="656"/>
      <c r="C14" s="822"/>
      <c r="D14" s="823"/>
      <c r="E14" s="823"/>
      <c r="F14" s="823"/>
      <c r="G14" s="824"/>
      <c r="H14" s="438"/>
      <c r="I14" s="438"/>
      <c r="J14" s="438"/>
      <c r="K14" s="23"/>
      <c r="L14" s="217"/>
      <c r="M14" s="217"/>
      <c r="Q14" s="158"/>
    </row>
    <row r="15" spans="1:17" s="20" customFormat="1" ht="18" customHeight="1" thickBot="1">
      <c r="A15" s="656"/>
      <c r="C15" s="825"/>
      <c r="D15" s="826"/>
      <c r="E15" s="826"/>
      <c r="F15" s="826"/>
      <c r="G15" s="827"/>
      <c r="H15" s="438"/>
      <c r="I15" s="438"/>
      <c r="J15" s="438"/>
      <c r="K15" s="23"/>
      <c r="L15" s="217"/>
      <c r="M15" s="217"/>
      <c r="Q15" s="158"/>
    </row>
    <row r="16" spans="1:17" s="20" customFormat="1" ht="18" customHeight="1" thickBot="1">
      <c r="A16" s="656"/>
      <c r="D16" s="739"/>
      <c r="E16" s="442"/>
      <c r="F16" s="442"/>
      <c r="G16" s="442"/>
      <c r="H16" s="438"/>
      <c r="I16" s="438"/>
      <c r="J16" s="438"/>
      <c r="K16" s="23"/>
      <c r="L16" s="217"/>
      <c r="M16" s="217"/>
      <c r="Q16" s="158"/>
    </row>
    <row r="17" spans="1:17" s="20" customFormat="1" ht="18" customHeight="1">
      <c r="A17" s="656"/>
      <c r="C17" s="740" t="str">
        <f>"波动幅度 ("&amp;汇总!D7&amp;"):"</f>
        <v>波动幅度 ():</v>
      </c>
      <c r="D17" s="741">
        <f>汇总!$F$21</f>
        <v>0</v>
      </c>
      <c r="E17" s="442"/>
      <c r="F17" s="442"/>
      <c r="G17" s="442"/>
      <c r="H17" s="438"/>
      <c r="I17" s="438"/>
      <c r="J17" s="438"/>
      <c r="K17" s="23"/>
      <c r="L17" s="217"/>
      <c r="M17" s="217"/>
      <c r="Q17" s="158"/>
    </row>
    <row r="18" spans="1:17" s="20" customFormat="1" ht="18" customHeight="1" thickBot="1">
      <c r="A18" s="656"/>
      <c r="C18" s="475" t="s">
        <v>122</v>
      </c>
      <c r="D18" s="476"/>
      <c r="E18" s="442"/>
      <c r="F18" s="442"/>
      <c r="G18" s="442"/>
      <c r="H18" s="438"/>
      <c r="I18" s="438"/>
      <c r="J18" s="438"/>
      <c r="K18" s="23"/>
      <c r="L18" s="217"/>
      <c r="M18" s="217"/>
      <c r="Q18" s="158"/>
    </row>
    <row r="19" spans="1:17" s="20" customFormat="1" ht="18" customHeight="1" thickBot="1">
      <c r="A19" s="656"/>
      <c r="C19" s="442"/>
      <c r="D19" s="442"/>
      <c r="E19" s="53" t="s">
        <v>123</v>
      </c>
      <c r="F19" s="53" t="s">
        <v>124</v>
      </c>
      <c r="G19" s="53" t="s">
        <v>125</v>
      </c>
      <c r="H19" s="192" t="s">
        <v>126</v>
      </c>
      <c r="I19" s="53" t="s">
        <v>127</v>
      </c>
      <c r="J19" s="439" t="s">
        <v>128</v>
      </c>
      <c r="K19" s="440" t="s">
        <v>129</v>
      </c>
      <c r="L19" s="229" t="s">
        <v>130</v>
      </c>
      <c r="O19" s="158"/>
    </row>
    <row r="20" spans="1:17" ht="23.25" customHeight="1" thickBot="1">
      <c r="A20" s="655"/>
      <c r="C20" s="52"/>
      <c r="D20" s="53"/>
      <c r="H20" s="54"/>
      <c r="J20" s="54"/>
      <c r="K20" s="494" t="s">
        <v>131</v>
      </c>
      <c r="L20" s="495"/>
    </row>
    <row r="21" spans="1:17" s="6" customFormat="1" ht="29.85" customHeight="1">
      <c r="A21" s="655"/>
      <c r="B21" s="493" t="s">
        <v>132</v>
      </c>
      <c r="C21" s="486" t="s">
        <v>133</v>
      </c>
      <c r="D21" s="499" t="s">
        <v>134</v>
      </c>
      <c r="E21" s="488" t="s">
        <v>135</v>
      </c>
      <c r="F21" s="487" t="s">
        <v>136</v>
      </c>
      <c r="G21" s="487" t="s">
        <v>137</v>
      </c>
      <c r="H21" s="487" t="s">
        <v>138</v>
      </c>
      <c r="I21" s="496" t="s">
        <v>139</v>
      </c>
      <c r="J21" s="502" t="s">
        <v>140</v>
      </c>
      <c r="K21" s="488" t="s">
        <v>141</v>
      </c>
      <c r="L21" s="489" t="s">
        <v>142</v>
      </c>
    </row>
    <row r="22" spans="1:17" s="7" customFormat="1" ht="13.35" customHeight="1">
      <c r="A22" s="657"/>
      <c r="C22" s="578" t="s">
        <v>143</v>
      </c>
      <c r="D22" s="500" t="s">
        <v>43</v>
      </c>
      <c r="E22" s="579">
        <f>IFERROR(Uexp制造费用BKD!F35,"")</f>
        <v>0</v>
      </c>
      <c r="F22" s="580">
        <f>IFERROR(Uexp制造费用BKD!H35,"")</f>
        <v>0</v>
      </c>
      <c r="G22" s="580">
        <f>E22+F22</f>
        <v>0</v>
      </c>
      <c r="H22" s="580">
        <f>IFERROR(Uexp制造费用BKD!L35,"")</f>
        <v>0</v>
      </c>
      <c r="I22" s="581">
        <f>G22+H22</f>
        <v>0</v>
      </c>
      <c r="J22" s="582">
        <f>IFERROR(Uexp制造费用BKD!N35,"")</f>
        <v>0</v>
      </c>
      <c r="K22" s="583">
        <f>I22-J22</f>
        <v>0</v>
      </c>
      <c r="L22" s="451">
        <f>IF(J22&lt;&gt;0,K22/J22,1)</f>
        <v>1</v>
      </c>
    </row>
    <row r="23" spans="1:17" s="7" customFormat="1" ht="13.35" customHeight="1">
      <c r="A23" s="657"/>
      <c r="C23" s="578" t="s">
        <v>144</v>
      </c>
      <c r="D23" s="500" t="s">
        <v>45</v>
      </c>
      <c r="E23" s="579">
        <f>IFERROR(Uexp研发费用BKD!F41,"")</f>
        <v>0</v>
      </c>
      <c r="F23" s="580">
        <f>IFERROR(Uexp研发费用BKD!H41,"")</f>
        <v>0</v>
      </c>
      <c r="G23" s="580">
        <f t="shared" ref="G23" si="0">E23+F23</f>
        <v>0</v>
      </c>
      <c r="H23" s="580">
        <f>IFERROR(Uexp研发费用BKD!L41,"")</f>
        <v>0</v>
      </c>
      <c r="I23" s="581">
        <f t="shared" ref="I23:I24" si="1">G23+H23</f>
        <v>0</v>
      </c>
      <c r="J23" s="582">
        <f>IFERROR(Uexp研发费用BKD!N41,"")</f>
        <v>0</v>
      </c>
      <c r="K23" s="583">
        <f t="shared" ref="K23:K33" si="2">I23-J23</f>
        <v>0</v>
      </c>
      <c r="L23" s="451">
        <f t="shared" ref="L23:L32" si="3">IF(J23&lt;&gt;0,K23/J23,1)</f>
        <v>1</v>
      </c>
    </row>
    <row r="24" spans="1:17" s="7" customFormat="1" ht="13.35" customHeight="1">
      <c r="A24" s="657"/>
      <c r="C24" s="578" t="s">
        <v>145</v>
      </c>
      <c r="D24" s="500" t="s">
        <v>47</v>
      </c>
      <c r="E24" s="579">
        <f>IFERROR(Uexp财务费用BKD!F35,"")</f>
        <v>0</v>
      </c>
      <c r="F24" s="580">
        <f>IFERROR(Uexp财务费用BKD!H35,"")</f>
        <v>0</v>
      </c>
      <c r="G24" s="580">
        <f>E24+F24</f>
        <v>0</v>
      </c>
      <c r="H24" s="580">
        <f>IFERROR(Uexp财务费用BKD!L35,"")</f>
        <v>0</v>
      </c>
      <c r="I24" s="581">
        <f t="shared" si="1"/>
        <v>0</v>
      </c>
      <c r="J24" s="582">
        <f>IFERROR(Uexp财务费用BKD!N35,"")</f>
        <v>0</v>
      </c>
      <c r="K24" s="583">
        <f>I24-J24</f>
        <v>0</v>
      </c>
      <c r="L24" s="451">
        <f t="shared" si="3"/>
        <v>1</v>
      </c>
    </row>
    <row r="25" spans="1:17" s="7" customFormat="1" ht="13.35" customHeight="1">
      <c r="A25" s="657"/>
      <c r="C25" s="578" t="s">
        <v>146</v>
      </c>
      <c r="D25" s="500" t="s">
        <v>49</v>
      </c>
      <c r="E25" s="579">
        <f>IFERROR(Uexp其他收益BKD!F37,"")</f>
        <v>0</v>
      </c>
      <c r="F25" s="580">
        <f>IFERROR(Uexp其他收益BKD!H37,"")</f>
        <v>0</v>
      </c>
      <c r="G25" s="580">
        <f t="shared" ref="G25:G33" si="4">E25+F25</f>
        <v>0</v>
      </c>
      <c r="H25" s="580">
        <f>IFERROR(Uexp其他收益BKD!L37,"")</f>
        <v>0</v>
      </c>
      <c r="I25" s="581">
        <f>G25+H25</f>
        <v>0</v>
      </c>
      <c r="J25" s="582">
        <f>IFERROR(Uexp其他收益BKD!N37,"")</f>
        <v>0</v>
      </c>
      <c r="K25" s="583">
        <f t="shared" si="2"/>
        <v>0</v>
      </c>
      <c r="L25" s="451">
        <f t="shared" si="3"/>
        <v>1</v>
      </c>
    </row>
    <row r="26" spans="1:17" s="7" customFormat="1" ht="13.35" customHeight="1">
      <c r="A26" s="657"/>
      <c r="C26" s="578" t="s">
        <v>147</v>
      </c>
      <c r="D26" s="500" t="s">
        <v>51</v>
      </c>
      <c r="E26" s="579">
        <f>IFERROR(Uexp投资收益BKD!F37,"")</f>
        <v>0</v>
      </c>
      <c r="F26" s="580">
        <f>IFERROR(Uexp投资收益BKD!H37,"")</f>
        <v>0</v>
      </c>
      <c r="G26" s="580">
        <f t="shared" si="4"/>
        <v>0</v>
      </c>
      <c r="H26" s="580">
        <f>IFERROR(Uexp投资收益BKD!L37,"")</f>
        <v>0</v>
      </c>
      <c r="I26" s="581">
        <f t="shared" ref="I26:I33" si="5">G26+H26</f>
        <v>0</v>
      </c>
      <c r="J26" s="582">
        <f>IFERROR(Uexp投资收益BKD!N37,"")</f>
        <v>0</v>
      </c>
      <c r="K26" s="583">
        <f t="shared" si="2"/>
        <v>0</v>
      </c>
      <c r="L26" s="451">
        <f t="shared" si="3"/>
        <v>1</v>
      </c>
    </row>
    <row r="27" spans="1:17" s="7" customFormat="1" ht="13.35" customHeight="1">
      <c r="A27" s="657"/>
      <c r="C27" s="578" t="s">
        <v>148</v>
      </c>
      <c r="D27" s="500" t="s">
        <v>53</v>
      </c>
      <c r="E27" s="579">
        <f>IFERROR(Uexp公允价值变动损益BKD!F36,"")</f>
        <v>0</v>
      </c>
      <c r="F27" s="580">
        <f>IFERROR(Uexp公允价值变动损益BKD!H36,"")</f>
        <v>0</v>
      </c>
      <c r="G27" s="580">
        <f t="shared" si="4"/>
        <v>0</v>
      </c>
      <c r="H27" s="580">
        <f>IFERROR(Uexp公允价值变动损益BKD!L36,"")</f>
        <v>0</v>
      </c>
      <c r="I27" s="581">
        <f t="shared" si="5"/>
        <v>0</v>
      </c>
      <c r="J27" s="582">
        <f>IFERROR(Uexp公允价值变动损益BKD!N36,"")</f>
        <v>0</v>
      </c>
      <c r="K27" s="583">
        <f t="shared" si="2"/>
        <v>0</v>
      </c>
      <c r="L27" s="451">
        <f t="shared" si="3"/>
        <v>1</v>
      </c>
    </row>
    <row r="28" spans="1:17" s="7" customFormat="1" ht="13.35" customHeight="1">
      <c r="A28" s="657"/>
      <c r="C28" s="578" t="s">
        <v>149</v>
      </c>
      <c r="D28" s="500" t="s">
        <v>55</v>
      </c>
      <c r="E28" s="579">
        <f>IFERROR(Uexp信用减值损失BKD!F35,"")</f>
        <v>0</v>
      </c>
      <c r="F28" s="580">
        <f>IFERROR(Uexp信用减值损失BKD!H35,"")</f>
        <v>0</v>
      </c>
      <c r="G28" s="580">
        <f t="shared" si="4"/>
        <v>0</v>
      </c>
      <c r="H28" s="580">
        <f>IFERROR(Uexp信用减值损失BKD!L35,"")</f>
        <v>0</v>
      </c>
      <c r="I28" s="581">
        <f t="shared" si="5"/>
        <v>0</v>
      </c>
      <c r="J28" s="582">
        <f>IFERROR(Uexp信用减值损失BKD!N35,"")</f>
        <v>0</v>
      </c>
      <c r="K28" s="583">
        <f t="shared" si="2"/>
        <v>0</v>
      </c>
      <c r="L28" s="451">
        <f t="shared" si="3"/>
        <v>1</v>
      </c>
    </row>
    <row r="29" spans="1:17" s="7" customFormat="1" ht="13.35" customHeight="1">
      <c r="A29" s="657"/>
      <c r="C29" s="578" t="s">
        <v>150</v>
      </c>
      <c r="D29" s="500" t="s">
        <v>57</v>
      </c>
      <c r="E29" s="579">
        <f>IFERROR(Uexp资产减值损失BKD!F36,"")</f>
        <v>0</v>
      </c>
      <c r="F29" s="580">
        <f>IFERROR(Uexp资产减值损失BKD!H36,"")</f>
        <v>0</v>
      </c>
      <c r="G29" s="580">
        <f t="shared" si="4"/>
        <v>0</v>
      </c>
      <c r="H29" s="580">
        <f>IFERROR(Uexp资产减值损失BKD!L36,"")</f>
        <v>0</v>
      </c>
      <c r="I29" s="581">
        <f t="shared" si="5"/>
        <v>0</v>
      </c>
      <c r="J29" s="582">
        <f>IFERROR(Uexp资产减值损失BKD!N36,"")</f>
        <v>0</v>
      </c>
      <c r="K29" s="583">
        <f t="shared" si="2"/>
        <v>0</v>
      </c>
      <c r="L29" s="451">
        <f t="shared" si="3"/>
        <v>1</v>
      </c>
    </row>
    <row r="30" spans="1:17" s="7" customFormat="1" ht="13.35" customHeight="1">
      <c r="A30" s="657"/>
      <c r="C30" s="578" t="s">
        <v>151</v>
      </c>
      <c r="D30" s="500" t="s">
        <v>59</v>
      </c>
      <c r="E30" s="579">
        <f>IFERROR(Uexp资产处置损益BKD!F36,"")</f>
        <v>0</v>
      </c>
      <c r="F30" s="580">
        <f>IFERROR(Uexp资产处置损益BKD!H36,"")</f>
        <v>0</v>
      </c>
      <c r="G30" s="580">
        <f t="shared" si="4"/>
        <v>0</v>
      </c>
      <c r="H30" s="580">
        <f>IFERROR(Uexp资产处置损益BKD!L36,"")</f>
        <v>0</v>
      </c>
      <c r="I30" s="581">
        <f t="shared" si="5"/>
        <v>0</v>
      </c>
      <c r="J30" s="582">
        <f>IFERROR(Uexp资产处置损益BKD!N36,"")</f>
        <v>0</v>
      </c>
      <c r="K30" s="583">
        <f t="shared" si="2"/>
        <v>0</v>
      </c>
      <c r="L30" s="451">
        <f t="shared" si="3"/>
        <v>1</v>
      </c>
    </row>
    <row r="31" spans="1:17" s="7" customFormat="1" ht="13.35" customHeight="1">
      <c r="A31" s="657"/>
      <c r="C31" s="578" t="s">
        <v>152</v>
      </c>
      <c r="D31" s="500" t="s">
        <v>61</v>
      </c>
      <c r="E31" s="579">
        <f>IFERROR(Uexp营业外收入BKD!F36,"")</f>
        <v>0</v>
      </c>
      <c r="F31" s="580">
        <f>IFERROR(Uexp营业外收入BKD!H36,"")</f>
        <v>0</v>
      </c>
      <c r="G31" s="580">
        <f t="shared" si="4"/>
        <v>0</v>
      </c>
      <c r="H31" s="580">
        <f>IFERROR(Uexp营业外收入BKD!L36,"")</f>
        <v>0</v>
      </c>
      <c r="I31" s="581">
        <f t="shared" si="5"/>
        <v>0</v>
      </c>
      <c r="J31" s="582">
        <f>IFERROR(Uexp营业外收入BKD!N36,"")</f>
        <v>0</v>
      </c>
      <c r="K31" s="583">
        <f t="shared" si="2"/>
        <v>0</v>
      </c>
      <c r="L31" s="451">
        <f t="shared" si="3"/>
        <v>1</v>
      </c>
    </row>
    <row r="32" spans="1:17" s="7" customFormat="1" ht="13.35" customHeight="1">
      <c r="A32" s="657"/>
      <c r="C32" s="490" t="s">
        <v>153</v>
      </c>
      <c r="D32" s="500" t="s">
        <v>63</v>
      </c>
      <c r="E32" s="579">
        <f>IFERROR(Uexp营业外支出BKD!F37,"")</f>
        <v>0</v>
      </c>
      <c r="F32" s="580">
        <f>IFERROR(Uexp营业外支出BKD!H37,"")</f>
        <v>0</v>
      </c>
      <c r="G32" s="580">
        <f t="shared" si="4"/>
        <v>0</v>
      </c>
      <c r="H32" s="580">
        <f>IFERROR(Uexp营业外支出BKD!L37,"")</f>
        <v>0</v>
      </c>
      <c r="I32" s="581">
        <f t="shared" si="5"/>
        <v>0</v>
      </c>
      <c r="J32" s="582">
        <f>IFERROR(Uexp营业外支出BKD!N37,"")</f>
        <v>0</v>
      </c>
      <c r="K32" s="583">
        <f t="shared" si="2"/>
        <v>0</v>
      </c>
      <c r="L32" s="451">
        <f t="shared" si="3"/>
        <v>1</v>
      </c>
    </row>
    <row r="33" spans="1:22" s="7" customFormat="1" ht="13.35" customHeight="1" thickBot="1">
      <c r="A33" s="657"/>
      <c r="C33" s="491" t="s">
        <v>154</v>
      </c>
      <c r="D33" s="501" t="s">
        <v>65</v>
      </c>
      <c r="E33" s="497">
        <f>IFERROR(Uexp债务重组利得和损失BKD!F37,"")</f>
        <v>0</v>
      </c>
      <c r="F33" s="492">
        <f>IFERROR(Uexp债务重组利得和损失BKD!H37,"")</f>
        <v>0</v>
      </c>
      <c r="G33" s="492">
        <f t="shared" si="4"/>
        <v>0</v>
      </c>
      <c r="H33" s="492">
        <f>IFERROR(Uexp债务重组利得和损失BKD!L37,"")</f>
        <v>0</v>
      </c>
      <c r="I33" s="498">
        <f t="shared" si="5"/>
        <v>0</v>
      </c>
      <c r="J33" s="503">
        <f>IFERROR(Uexp债务重组利得和损失BKD!N37,"")</f>
        <v>0</v>
      </c>
      <c r="K33" s="452">
        <f t="shared" si="2"/>
        <v>0</v>
      </c>
      <c r="L33" s="453">
        <f>IF(J33&lt;&gt;0,K33/J33,1)</f>
        <v>1</v>
      </c>
    </row>
    <row r="34" spans="1:22" s="8" customFormat="1" ht="12.75" customHeight="1" thickBot="1">
      <c r="A34" s="658"/>
      <c r="D34" s="9"/>
      <c r="E34" s="55"/>
      <c r="F34" s="55"/>
      <c r="G34" s="55"/>
      <c r="H34" s="15"/>
      <c r="I34" s="9"/>
      <c r="J34" s="9"/>
      <c r="K34" s="15"/>
      <c r="L34" s="56"/>
      <c r="M34" s="55"/>
      <c r="N34" s="55"/>
      <c r="O34" s="55"/>
      <c r="P34" s="15"/>
      <c r="Q34" s="56"/>
      <c r="R34" s="56"/>
      <c r="S34" s="56"/>
      <c r="T34" s="56"/>
      <c r="U34" s="56"/>
      <c r="V34" s="56"/>
    </row>
    <row r="35" spans="1:22" ht="12.75" customHeight="1">
      <c r="A35" s="655"/>
      <c r="B35" s="477" t="s">
        <v>155</v>
      </c>
      <c r="C35" s="801"/>
      <c r="D35" s="802"/>
      <c r="E35" s="802"/>
      <c r="F35" s="802"/>
      <c r="G35" s="803"/>
      <c r="H35" s="478"/>
      <c r="I35" s="479"/>
      <c r="J35" s="480"/>
    </row>
    <row r="36" spans="1:22" ht="12.75" customHeight="1">
      <c r="A36" s="655"/>
      <c r="B36" s="479"/>
      <c r="C36" s="804"/>
      <c r="D36" s="805"/>
      <c r="E36" s="805"/>
      <c r="F36" s="805"/>
      <c r="G36" s="806"/>
      <c r="H36" s="478"/>
      <c r="I36" s="479"/>
      <c r="J36" s="480"/>
    </row>
    <row r="37" spans="1:22" ht="12.75" customHeight="1" thickBot="1">
      <c r="A37" s="655"/>
      <c r="B37" s="479"/>
      <c r="C37" s="807"/>
      <c r="D37" s="808"/>
      <c r="E37" s="808"/>
      <c r="F37" s="808"/>
      <c r="G37" s="809"/>
      <c r="H37" s="478"/>
      <c r="I37" s="479"/>
      <c r="J37" s="480"/>
    </row>
    <row r="38" spans="1:22" ht="12.75" customHeight="1">
      <c r="A38" s="539"/>
      <c r="E38" s="57"/>
      <c r="F38" s="57"/>
      <c r="G38" s="57"/>
      <c r="H38" s="57"/>
      <c r="I38" s="57"/>
      <c r="J38" s="57"/>
      <c r="K38" s="57"/>
      <c r="L38" s="57"/>
      <c r="M38" s="57"/>
    </row>
    <row r="39" spans="1:22" ht="12.75" customHeight="1">
      <c r="A39" s="655"/>
    </row>
    <row r="40" spans="1:22" ht="12.75" customHeight="1" thickBot="1">
      <c r="A40" s="655"/>
      <c r="C40" s="58" t="s">
        <v>156</v>
      </c>
      <c r="D40" s="59" t="s">
        <v>157</v>
      </c>
      <c r="E40" s="19"/>
      <c r="F40" s="19"/>
    </row>
    <row r="41" spans="1:22" ht="12.75" customHeight="1">
      <c r="A41" s="655"/>
      <c r="C41" s="810"/>
      <c r="D41" s="811"/>
      <c r="E41" s="811"/>
      <c r="F41" s="812"/>
    </row>
    <row r="42" spans="1:22" ht="12.75" customHeight="1">
      <c r="A42" s="539"/>
      <c r="C42" s="813"/>
      <c r="D42" s="814"/>
      <c r="E42" s="814"/>
      <c r="F42" s="815"/>
    </row>
    <row r="43" spans="1:22" ht="12.75" customHeight="1" thickBot="1">
      <c r="A43" s="539"/>
      <c r="C43" s="816"/>
      <c r="D43" s="817"/>
      <c r="E43" s="817"/>
      <c r="F43" s="818"/>
    </row>
    <row r="44" spans="1:22" ht="12.75" customHeight="1">
      <c r="A44" s="539"/>
    </row>
    <row r="45" spans="1:22" ht="12.75" customHeight="1">
      <c r="A45" s="659"/>
    </row>
    <row r="46" spans="1:22" ht="12.75" customHeight="1">
      <c r="A46" s="659"/>
    </row>
    <row r="47" spans="1:22" ht="12.75" customHeight="1">
      <c r="A47" s="659"/>
    </row>
    <row r="48" spans="1:22" ht="12.75" customHeight="1">
      <c r="A48" s="659"/>
    </row>
    <row r="49" spans="1:1" ht="12.75" customHeight="1">
      <c r="A49" s="659"/>
    </row>
    <row r="50" spans="1:1" ht="12.75" customHeight="1">
      <c r="A50" s="659"/>
    </row>
    <row r="51" spans="1:1" ht="12.75" customHeight="1">
      <c r="A51" s="659"/>
    </row>
    <row r="52" spans="1:1" ht="12.75" customHeight="1">
      <c r="A52" s="659"/>
    </row>
    <row r="53" spans="1:1" ht="12.75" customHeight="1">
      <c r="A53" s="659"/>
    </row>
    <row r="54" spans="1:1" ht="12.75" customHeight="1">
      <c r="A54" s="659"/>
    </row>
    <row r="55" spans="1:1" ht="12.75" customHeight="1">
      <c r="A55" s="659"/>
    </row>
    <row r="56" spans="1:1" ht="12.75" customHeight="1">
      <c r="A56" s="659"/>
    </row>
    <row r="57" spans="1:1" ht="12.75" customHeight="1">
      <c r="A57" s="659"/>
    </row>
    <row r="58" spans="1:1" ht="12.75" customHeight="1">
      <c r="A58" s="659"/>
    </row>
    <row r="59" spans="1:1" ht="12.75" customHeight="1">
      <c r="A59" s="659"/>
    </row>
    <row r="60" spans="1:1" ht="12.75" customHeight="1">
      <c r="A60" s="659"/>
    </row>
    <row r="61" spans="1:1" ht="12.75" customHeight="1">
      <c r="A61" s="659"/>
    </row>
    <row r="62" spans="1:1" ht="12.75" customHeight="1">
      <c r="A62" s="659"/>
    </row>
    <row r="63" spans="1:1" ht="12.75" customHeight="1">
      <c r="A63" s="659"/>
    </row>
    <row r="64" spans="1:1" ht="12.75" customHeight="1">
      <c r="A64" s="659"/>
    </row>
    <row r="65" spans="1:1" ht="12.75" customHeight="1">
      <c r="A65" s="659"/>
    </row>
    <row r="66" spans="1:1" ht="12.75" customHeight="1">
      <c r="A66" s="659"/>
    </row>
    <row r="67" spans="1:1" ht="12.75" customHeight="1">
      <c r="A67" s="659"/>
    </row>
    <row r="68" spans="1:1" ht="12.75" customHeight="1">
      <c r="A68" s="659"/>
    </row>
    <row r="69" spans="1:1" ht="12.75" customHeight="1">
      <c r="A69" s="659"/>
    </row>
    <row r="70" spans="1:1" ht="12.75" customHeight="1">
      <c r="A70" s="659"/>
    </row>
    <row r="71" spans="1:1" ht="12.75" customHeight="1">
      <c r="A71" s="659"/>
    </row>
    <row r="72" spans="1:1" ht="12.75" customHeight="1">
      <c r="A72" s="659"/>
    </row>
    <row r="73" spans="1:1" ht="12.75" customHeight="1">
      <c r="A73" s="659"/>
    </row>
    <row r="74" spans="1:1" ht="12.75" customHeight="1">
      <c r="A74" s="659"/>
    </row>
    <row r="75" spans="1:1" ht="12.75" customHeight="1">
      <c r="A75" s="659"/>
    </row>
    <row r="76" spans="1:1" ht="12.75" customHeight="1">
      <c r="A76" s="659"/>
    </row>
    <row r="77" spans="1:1" ht="12.75" customHeight="1">
      <c r="A77" s="659"/>
    </row>
    <row r="78" spans="1:1" ht="12.75" customHeight="1">
      <c r="A78" s="659"/>
    </row>
    <row r="79" spans="1:1" ht="12.75" customHeight="1">
      <c r="A79" s="659"/>
    </row>
    <row r="80" spans="1:1" ht="12.75" customHeight="1">
      <c r="A80" s="659"/>
    </row>
    <row r="81" spans="1:1" ht="12.75" customHeight="1">
      <c r="A81" s="659"/>
    </row>
    <row r="82" spans="1:1" ht="12.75" customHeight="1">
      <c r="A82" s="659"/>
    </row>
    <row r="83" spans="1:1" ht="12.75" customHeight="1">
      <c r="A83" s="659"/>
    </row>
    <row r="84" spans="1:1" ht="12.75" customHeight="1">
      <c r="A84" s="659"/>
    </row>
    <row r="85" spans="1:1" ht="12.75" customHeight="1">
      <c r="A85" s="659"/>
    </row>
    <row r="86" spans="1:1" ht="12.75" customHeight="1">
      <c r="A86" s="659"/>
    </row>
    <row r="87" spans="1:1" ht="12.75" customHeight="1">
      <c r="A87" s="659"/>
    </row>
    <row r="88" spans="1:1" ht="12.75" customHeight="1">
      <c r="A88" s="659"/>
    </row>
    <row r="89" spans="1:1" ht="12.75" customHeight="1">
      <c r="A89" s="659"/>
    </row>
    <row r="90" spans="1:1" ht="12.75" customHeight="1">
      <c r="A90" s="659"/>
    </row>
    <row r="91" spans="1:1" ht="12.75" customHeight="1">
      <c r="A91" s="659"/>
    </row>
    <row r="92" spans="1:1" ht="12.75" customHeight="1">
      <c r="A92" s="659"/>
    </row>
    <row r="93" spans="1:1" ht="12.75" customHeight="1">
      <c r="A93" s="659"/>
    </row>
    <row r="94" spans="1:1" ht="12.75" customHeight="1">
      <c r="A94" s="659"/>
    </row>
    <row r="95" spans="1:1" ht="12.75" customHeight="1">
      <c r="A95" s="659"/>
    </row>
    <row r="96" spans="1:1" ht="12.75" customHeight="1">
      <c r="A96" s="659"/>
    </row>
    <row r="97" spans="1:1" ht="12.75" customHeight="1">
      <c r="A97" s="659"/>
    </row>
    <row r="98" spans="1:1" ht="12.75" customHeight="1">
      <c r="A98" s="659"/>
    </row>
    <row r="99" spans="1:1" ht="12.75" customHeight="1">
      <c r="A99" s="659"/>
    </row>
    <row r="100" spans="1:1" ht="12.75" customHeight="1">
      <c r="A100" s="659"/>
    </row>
    <row r="101" spans="1:1" ht="12.75" customHeight="1">
      <c r="A101" s="659"/>
    </row>
    <row r="102" spans="1:1" ht="12.75" customHeight="1">
      <c r="A102" s="659"/>
    </row>
    <row r="103" spans="1:1" ht="12.75" customHeight="1">
      <c r="A103" s="659"/>
    </row>
    <row r="104" spans="1:1" ht="12.75" customHeight="1">
      <c r="A104" s="659"/>
    </row>
    <row r="105" spans="1:1" ht="12.75" customHeight="1">
      <c r="A105" s="659"/>
    </row>
    <row r="106" spans="1:1" ht="12.75" customHeight="1">
      <c r="A106" s="659"/>
    </row>
    <row r="107" spans="1:1" ht="12.75" customHeight="1">
      <c r="A107" s="659"/>
    </row>
    <row r="108" spans="1:1" ht="12.75" customHeight="1">
      <c r="A108" s="659"/>
    </row>
    <row r="109" spans="1:1" ht="12.75" customHeight="1">
      <c r="A109" s="659"/>
    </row>
    <row r="110" spans="1:1" ht="12.75" customHeight="1">
      <c r="A110" s="659"/>
    </row>
    <row r="111" spans="1:1" ht="12.75" customHeight="1">
      <c r="A111" s="659"/>
    </row>
    <row r="112" spans="1:1" ht="12.75" customHeight="1">
      <c r="A112" s="659"/>
    </row>
    <row r="113" spans="1:1" ht="12.75" customHeight="1">
      <c r="A113" s="659"/>
    </row>
    <row r="114" spans="1:1" ht="12.75" customHeight="1">
      <c r="A114" s="659"/>
    </row>
    <row r="115" spans="1:1" ht="12.75" customHeight="1">
      <c r="A115" s="659"/>
    </row>
    <row r="116" spans="1:1" ht="12.75" customHeight="1">
      <c r="A116" s="659"/>
    </row>
    <row r="117" spans="1:1" ht="12.75" customHeight="1">
      <c r="A117" s="659"/>
    </row>
    <row r="118" spans="1:1" ht="12.75" customHeight="1">
      <c r="A118" s="659"/>
    </row>
    <row r="119" spans="1:1" ht="12.75" customHeight="1">
      <c r="A119" s="659"/>
    </row>
    <row r="120" spans="1:1" ht="12.75" customHeight="1">
      <c r="A120" s="659"/>
    </row>
    <row r="121" spans="1:1" ht="12.75" customHeight="1">
      <c r="A121" s="659"/>
    </row>
    <row r="122" spans="1:1" ht="12.75" customHeight="1">
      <c r="A122" s="659"/>
    </row>
    <row r="123" spans="1:1" ht="12.75" customHeight="1">
      <c r="A123" s="659"/>
    </row>
    <row r="124" spans="1:1" ht="12.75" customHeight="1">
      <c r="A124" s="659"/>
    </row>
    <row r="125" spans="1:1" ht="12.75" customHeight="1">
      <c r="A125" s="659"/>
    </row>
    <row r="126" spans="1:1" ht="12.75" customHeight="1">
      <c r="A126" s="659"/>
    </row>
    <row r="127" spans="1:1" ht="12.75" customHeight="1">
      <c r="A127" s="659"/>
    </row>
    <row r="128" spans="1:1" ht="12.75" customHeight="1">
      <c r="A128" s="659"/>
    </row>
    <row r="129" spans="1:1" ht="12.75" customHeight="1">
      <c r="A129" s="659"/>
    </row>
    <row r="130" spans="1:1" ht="12.75" customHeight="1">
      <c r="A130" s="659"/>
    </row>
    <row r="131" spans="1:1" ht="12.75" customHeight="1">
      <c r="A131" s="659"/>
    </row>
    <row r="132" spans="1:1" ht="12.75" customHeight="1">
      <c r="A132" s="659"/>
    </row>
    <row r="133" spans="1:1" ht="12.75" customHeight="1">
      <c r="A133" s="659"/>
    </row>
    <row r="134" spans="1:1" ht="12.75" customHeight="1">
      <c r="A134" s="659"/>
    </row>
    <row r="135" spans="1:1" ht="12.75" customHeight="1">
      <c r="A135" s="659"/>
    </row>
    <row r="136" spans="1:1" ht="12.75" customHeight="1">
      <c r="A136" s="659"/>
    </row>
    <row r="137" spans="1:1" ht="12.75" customHeight="1">
      <c r="A137" s="659"/>
    </row>
    <row r="138" spans="1:1" ht="12.75" customHeight="1">
      <c r="A138" s="659"/>
    </row>
    <row r="139" spans="1:1" ht="12.75" customHeight="1">
      <c r="A139" s="659"/>
    </row>
    <row r="140" spans="1:1" ht="12.75" customHeight="1">
      <c r="A140" s="659"/>
    </row>
    <row r="141" spans="1:1" ht="12.75" customHeight="1">
      <c r="A141" s="659"/>
    </row>
  </sheetData>
  <mergeCells count="6">
    <mergeCell ref="D9:F9"/>
    <mergeCell ref="D8:F8"/>
    <mergeCell ref="D7:F7"/>
    <mergeCell ref="C35:G37"/>
    <mergeCell ref="C41:F43"/>
    <mergeCell ref="C13:G15"/>
  </mergeCells>
  <phoneticPr fontId="136" type="noConversion"/>
  <conditionalFormatting sqref="G8:I9 C13:G15 D18 C35:G37 C41:F43">
    <cfRule type="containsBlanks" dxfId="15" priority="1">
      <formula>LEN(TRIM(C8))=0</formula>
    </cfRule>
  </conditionalFormatting>
  <dataValidations count="2">
    <dataValidation type="list" allowBlank="1" showInputMessage="1" sqref="H8:H9" xr:uid="{A7B33C32-6FF0-4393-8812-01796D0A151A}">
      <formula1>"是,否"</formula1>
    </dataValidation>
    <dataValidation type="list" allowBlank="1" showInputMessage="1" sqref="I8:I9" xr:uid="{4CD19C18-A0BB-4990-A3E9-0E61B298AD7A}">
      <formula1>"是,不适用"</formula1>
    </dataValidation>
  </dataValidations>
  <hyperlinks>
    <hyperlink ref="J2" location="汇总!A1" display="返回汇总页" xr:uid="{00000000-0004-0000-0200-00000A000000}"/>
    <hyperlink ref="U21" location="汇总!A1" display="返回汇总页" xr:uid="{00000000-0004-0000-0200-00000F000000}"/>
    <hyperlink ref="D27" location="Uexp公允价值变动损益BKD!A1" display="Uexp公允价值变动损益BKD" xr:uid="{C2870727-465B-4E77-8BCA-E34531A99639}"/>
    <hyperlink ref="D23" location="Uexp研发费用BKD!A1" display="Uexp研发费用BKD" xr:uid="{560BDA68-C536-4570-950A-A70A4E7F6FDF}"/>
    <hyperlink ref="D28" location="Uexp信用减值损失BKD!A1" display="Uexp信用减值损失BKD" xr:uid="{80E29766-F396-4C4D-814D-379181285640}"/>
    <hyperlink ref="D29" location="Uexp资产减值损失BKD!A1" display="Uexp资产减值损失BKD" xr:uid="{59E24671-58FF-4923-8048-CBBA558493AD}"/>
    <hyperlink ref="D30" location="Uexp资产处置损益BKD!A1" display="Uexp资产处置损益BKD" xr:uid="{A462DCDD-5CFD-43A7-9FCA-A4B4CED22948}"/>
    <hyperlink ref="D31" location="Uexp营业外收入BKD!A1" display="Uexp营业外收入BKD" xr:uid="{38652375-3DA4-498D-B10B-EE11088EE654}"/>
    <hyperlink ref="D32" location="Uexp营业外支出BKD!A1" display="Uexp营业外支出BKD" xr:uid="{74CB58C3-436E-4031-B692-0955F0134139}"/>
    <hyperlink ref="D33" location="Uexp债务重组利得和损失BKD!A1" display="Uexp债务重组利得和损失BKD" xr:uid="{CC76C5C3-991B-4076-8244-DD04526850EF}"/>
    <hyperlink ref="D25" location="Uexp其他收益BKD!A1" display="Uexp其他收益BKD" xr:uid="{6F4F7BBD-BED3-4568-A87D-4E5CF46C6511}"/>
    <hyperlink ref="D24" location="Uexp财务费用BKD!A1" display="Uexp财务费用BKD" xr:uid="{0BCDEBBE-5693-422A-9C06-54BD8E992AE0}"/>
    <hyperlink ref="D22" location="Uexp制造费用BKD!A1" display="Uexp制造费用BKD" xr:uid="{62E69506-AFD9-44A5-82DC-5F29AAE0C605}"/>
    <hyperlink ref="D26" location="Uexp投资收益BKD!A1" display="Uexp投资收益BKD" xr:uid="{4A6B1B2E-6A3B-4708-BCAA-A38A3D5AD3EA}"/>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X104"/>
  <sheetViews>
    <sheetView showGridLines="0" zoomScale="70" zoomScaleNormal="70" workbookViewId="0">
      <selection activeCell="P36" sqref="P36"/>
    </sheetView>
  </sheetViews>
  <sheetFormatPr defaultColWidth="9.5703125" defaultRowHeight="12.6" customHeight="1" outlineLevelRow="1" outlineLevelCol="1"/>
  <cols>
    <col min="1" max="1" width="0.140625" style="88" customWidth="1"/>
    <col min="2" max="2" width="5.85546875" style="17" customWidth="1"/>
    <col min="3" max="3" width="41.42578125" style="17" customWidth="1"/>
    <col min="4" max="4" width="45.28515625" style="17" customWidth="1"/>
    <col min="5" max="5" width="54.85546875" style="17" customWidth="1"/>
    <col min="6" max="6" width="18.42578125" style="17" customWidth="1"/>
    <col min="7" max="7" width="21.28515625" style="17" customWidth="1"/>
    <col min="8" max="8" width="18.85546875" style="17" customWidth="1"/>
    <col min="9" max="9" width="18.7109375" style="17" customWidth="1"/>
    <col min="10" max="10" width="22.5703125" style="17" customWidth="1"/>
    <col min="11" max="11" width="21.42578125" style="17" customWidth="1" outlineLevel="1"/>
    <col min="12" max="12" width="13.140625" style="17" customWidth="1" outlineLevel="1"/>
    <col min="13" max="13" width="13.140625" style="17" customWidth="1"/>
    <col min="14" max="14" width="15.85546875" style="17" customWidth="1"/>
    <col min="15" max="15" width="14.85546875" style="17" customWidth="1"/>
    <col min="16" max="16" width="17.85546875" style="17" customWidth="1"/>
    <col min="17" max="17" width="10.5703125" style="17" customWidth="1"/>
    <col min="18" max="25" width="8.7109375" style="17" customWidth="1"/>
    <col min="26" max="27" width="14" style="17" customWidth="1"/>
    <col min="28" max="34" width="8.7109375" style="17" customWidth="1"/>
    <col min="35" max="35" width="7.5703125" style="17" customWidth="1"/>
    <col min="36" max="36" width="8.85546875" style="17" customWidth="1"/>
    <col min="37" max="16384" width="9.5703125" style="17"/>
  </cols>
  <sheetData>
    <row r="1" spans="1:128" ht="12.75">
      <c r="A1" s="544" t="s">
        <v>158</v>
      </c>
      <c r="CS1" s="60"/>
      <c r="CT1" s="13"/>
      <c r="CU1" s="13"/>
      <c r="CV1" s="61"/>
      <c r="CW1" s="62"/>
      <c r="CX1" s="62"/>
      <c r="CY1" s="62"/>
      <c r="CZ1" s="62"/>
      <c r="DA1" s="62"/>
      <c r="DB1" s="13"/>
      <c r="DC1" s="62"/>
      <c r="DD1" s="13"/>
      <c r="DE1" s="62"/>
      <c r="DF1" s="62"/>
      <c r="DG1" s="62"/>
      <c r="DH1" s="62"/>
      <c r="DI1" s="62"/>
      <c r="DJ1" s="62"/>
      <c r="DK1" s="13"/>
      <c r="DL1" s="63"/>
      <c r="DM1" s="64"/>
      <c r="DN1" s="65"/>
      <c r="DO1" s="65"/>
      <c r="DP1" s="13"/>
      <c r="DQ1" s="62"/>
      <c r="DR1" s="66"/>
      <c r="DS1" s="67"/>
      <c r="DT1" s="62"/>
      <c r="DU1" s="68"/>
    </row>
    <row r="2" spans="1:128" s="9" customFormat="1" ht="17.100000000000001" customHeight="1">
      <c r="A2" s="539"/>
      <c r="C2" s="473"/>
      <c r="J2" s="48" t="s">
        <v>108</v>
      </c>
    </row>
    <row r="3" spans="1:128" ht="12.6" customHeight="1" thickBot="1">
      <c r="A3" s="544"/>
      <c r="CP3" s="62"/>
      <c r="CQ3" s="13"/>
      <c r="CR3" s="13"/>
      <c r="CS3" s="62"/>
      <c r="CT3" s="62"/>
      <c r="CU3" s="62"/>
      <c r="CV3" s="62"/>
      <c r="CW3" s="62"/>
      <c r="CX3" s="62"/>
      <c r="CY3" s="62"/>
      <c r="CZ3" s="62"/>
      <c r="DA3" s="13"/>
      <c r="DB3" s="62"/>
      <c r="DC3" s="62"/>
      <c r="DD3" s="62"/>
      <c r="DE3" s="62"/>
      <c r="DF3" s="62"/>
      <c r="DG3" s="13"/>
      <c r="DH3" s="13"/>
      <c r="DI3" s="13"/>
      <c r="DJ3" s="13"/>
      <c r="DK3" s="13"/>
      <c r="DL3" s="13"/>
      <c r="DM3" s="13"/>
      <c r="DN3" s="13"/>
      <c r="DO3" s="13"/>
      <c r="DP3" s="69"/>
      <c r="DQ3" s="62"/>
      <c r="DR3" s="68"/>
    </row>
    <row r="4" spans="1:128" ht="21">
      <c r="A4" s="544"/>
      <c r="C4" s="742" t="s">
        <v>159</v>
      </c>
      <c r="D4" s="743"/>
      <c r="E4" s="743"/>
      <c r="F4" s="743"/>
      <c r="G4" s="743"/>
      <c r="H4" s="743"/>
      <c r="I4" s="743"/>
      <c r="J4" s="744"/>
      <c r="K4" s="70"/>
      <c r="L4" s="70"/>
      <c r="M4" s="70"/>
      <c r="CT4" s="13"/>
      <c r="CU4" s="13"/>
      <c r="CV4" s="13"/>
      <c r="CW4" s="62"/>
      <c r="CX4" s="62"/>
      <c r="CY4" s="62"/>
      <c r="CZ4" s="62"/>
      <c r="DA4" s="62"/>
      <c r="DB4" s="62"/>
      <c r="DC4" s="62"/>
      <c r="DD4" s="62"/>
      <c r="DE4" s="13"/>
      <c r="DF4" s="62"/>
      <c r="DG4" s="62"/>
      <c r="DH4" s="62"/>
      <c r="DI4" s="62"/>
      <c r="DJ4" s="62"/>
      <c r="DK4" s="13"/>
      <c r="DL4" s="13"/>
      <c r="DM4" s="13"/>
      <c r="DN4" s="13"/>
      <c r="DO4" s="13"/>
      <c r="DP4" s="13"/>
      <c r="DQ4" s="13"/>
      <c r="DR4" s="13"/>
      <c r="DS4" s="13"/>
      <c r="DT4" s="69"/>
      <c r="DU4" s="13"/>
      <c r="DV4" s="13"/>
    </row>
    <row r="5" spans="1:128" ht="19.5" customHeight="1">
      <c r="A5" s="544"/>
      <c r="C5" s="71" t="s">
        <v>160</v>
      </c>
      <c r="D5" s="72"/>
      <c r="E5" s="72"/>
      <c r="F5" s="72"/>
      <c r="G5" s="72"/>
      <c r="H5" s="72"/>
      <c r="I5" s="72"/>
      <c r="J5" s="73"/>
      <c r="K5" s="70"/>
      <c r="L5" s="838"/>
      <c r="M5" s="838"/>
      <c r="N5" s="838"/>
      <c r="O5" s="837"/>
      <c r="CT5" s="13"/>
      <c r="CU5" s="13"/>
      <c r="CV5" s="74"/>
      <c r="CW5" s="62"/>
      <c r="CX5" s="62"/>
      <c r="CY5" s="62"/>
      <c r="CZ5" s="62"/>
      <c r="DA5" s="62"/>
      <c r="DB5" s="62"/>
      <c r="DC5" s="62"/>
      <c r="DD5" s="62"/>
      <c r="DE5" s="13"/>
      <c r="DF5" s="62"/>
      <c r="DG5" s="62"/>
      <c r="DH5" s="62"/>
      <c r="DI5" s="62"/>
      <c r="DJ5" s="62"/>
      <c r="DK5" s="13"/>
      <c r="DL5" s="13"/>
      <c r="DM5" s="13"/>
      <c r="DN5" s="13"/>
      <c r="DO5" s="13"/>
      <c r="DP5" s="13"/>
      <c r="DQ5" s="13"/>
      <c r="DR5" s="13"/>
      <c r="DS5" s="13"/>
      <c r="DT5" s="69"/>
      <c r="DU5" s="13"/>
      <c r="DV5" s="13"/>
    </row>
    <row r="6" spans="1:128" ht="17.25" customHeight="1">
      <c r="A6" s="544"/>
      <c r="C6" s="71" t="s">
        <v>161</v>
      </c>
      <c r="D6" s="72"/>
      <c r="E6" s="72"/>
      <c r="F6" s="72"/>
      <c r="G6" s="72"/>
      <c r="H6" s="72"/>
      <c r="I6" s="72"/>
      <c r="J6" s="73"/>
      <c r="K6" s="70"/>
      <c r="L6" s="838"/>
      <c r="M6" s="838"/>
      <c r="N6" s="838"/>
      <c r="O6" s="837"/>
      <c r="CT6" s="13"/>
      <c r="CU6" s="74"/>
      <c r="CV6" s="74"/>
      <c r="CW6" s="62"/>
      <c r="CX6" s="62"/>
      <c r="CY6" s="62"/>
      <c r="CZ6" s="62"/>
      <c r="DA6" s="62"/>
      <c r="DB6" s="62"/>
      <c r="DC6" s="62"/>
      <c r="DD6" s="62"/>
      <c r="DE6" s="74"/>
      <c r="DF6" s="62"/>
      <c r="DG6" s="62"/>
      <c r="DH6" s="62"/>
      <c r="DI6" s="62"/>
      <c r="DJ6" s="62"/>
      <c r="DK6" s="74"/>
      <c r="DL6" s="13"/>
      <c r="DM6" s="13"/>
      <c r="DN6" s="13"/>
      <c r="DO6" s="13"/>
      <c r="DP6" s="13"/>
      <c r="DQ6" s="74"/>
      <c r="DR6" s="74"/>
      <c r="DS6" s="74"/>
      <c r="DT6" s="75"/>
      <c r="DU6" s="13"/>
      <c r="DV6" s="13"/>
    </row>
    <row r="7" spans="1:128" ht="12.6" customHeight="1">
      <c r="A7" s="544"/>
      <c r="C7" s="71"/>
      <c r="D7" s="72"/>
      <c r="E7" s="72"/>
      <c r="F7" s="72"/>
      <c r="G7" s="72"/>
      <c r="H7" s="72"/>
      <c r="I7" s="72"/>
      <c r="J7" s="73"/>
      <c r="K7" s="70"/>
      <c r="L7" s="76"/>
      <c r="M7" s="77"/>
      <c r="N7" s="77"/>
      <c r="O7" s="77"/>
      <c r="CT7" s="13"/>
      <c r="CU7" s="74"/>
      <c r="CV7" s="74"/>
      <c r="CW7" s="62"/>
      <c r="CX7" s="62"/>
      <c r="CY7" s="62"/>
      <c r="CZ7" s="62"/>
      <c r="DA7" s="62"/>
      <c r="DB7" s="62"/>
      <c r="DC7" s="62"/>
      <c r="DD7" s="62"/>
      <c r="DE7" s="74"/>
      <c r="DF7" s="62"/>
      <c r="DG7" s="62"/>
      <c r="DH7" s="62"/>
      <c r="DI7" s="62"/>
      <c r="DJ7" s="62"/>
      <c r="DK7" s="74"/>
      <c r="DL7" s="13"/>
      <c r="DM7" s="13"/>
      <c r="DN7" s="13"/>
      <c r="DO7" s="13"/>
      <c r="DP7" s="13"/>
      <c r="DQ7" s="74"/>
      <c r="DR7" s="74"/>
      <c r="DS7" s="74"/>
      <c r="DT7" s="75"/>
      <c r="DU7" s="13"/>
      <c r="DV7" s="13"/>
    </row>
    <row r="8" spans="1:128" ht="21">
      <c r="A8" s="665"/>
      <c r="C8" s="513" t="s">
        <v>111</v>
      </c>
      <c r="D8" s="798" t="s">
        <v>112</v>
      </c>
      <c r="E8" s="799"/>
      <c r="F8" s="800"/>
      <c r="G8" s="505" t="s">
        <v>113</v>
      </c>
      <c r="H8" s="507" t="s">
        <v>114</v>
      </c>
      <c r="I8" s="507" t="s">
        <v>115</v>
      </c>
      <c r="J8" s="514" t="s">
        <v>116</v>
      </c>
      <c r="K8" s="78"/>
      <c r="L8" s="70"/>
      <c r="M8" s="70"/>
      <c r="N8" s="70"/>
      <c r="CU8" s="79"/>
      <c r="CV8" s="79"/>
      <c r="CW8" s="79"/>
      <c r="CX8" s="62"/>
      <c r="CY8" s="62"/>
      <c r="CZ8" s="62"/>
      <c r="DA8" s="62"/>
      <c r="DB8" s="62"/>
      <c r="DC8" s="62"/>
      <c r="DD8" s="62"/>
      <c r="DE8" s="62"/>
      <c r="DF8" s="79"/>
      <c r="DG8" s="62"/>
      <c r="DH8" s="62"/>
      <c r="DI8" s="62"/>
      <c r="DJ8" s="62"/>
      <c r="DK8" s="62"/>
      <c r="DL8" s="79"/>
      <c r="DM8" s="74"/>
      <c r="DN8" s="74"/>
      <c r="DO8" s="74"/>
      <c r="DP8" s="74"/>
      <c r="DQ8" s="74"/>
      <c r="DR8" s="79"/>
      <c r="DS8" s="79"/>
      <c r="DT8" s="79"/>
      <c r="DU8" s="75"/>
      <c r="DV8" s="79"/>
      <c r="DW8" s="80"/>
    </row>
    <row r="9" spans="1:128" ht="40.5" customHeight="1" outlineLevel="1">
      <c r="A9" s="665"/>
      <c r="C9" s="515">
        <v>1</v>
      </c>
      <c r="D9" s="839" t="s">
        <v>162</v>
      </c>
      <c r="E9" s="840"/>
      <c r="F9" s="841"/>
      <c r="G9" s="560" t="s">
        <v>163</v>
      </c>
      <c r="H9" s="508" t="s">
        <v>119</v>
      </c>
      <c r="I9" s="509"/>
      <c r="J9" s="584"/>
      <c r="K9" s="78"/>
      <c r="L9" s="78"/>
      <c r="M9" s="81"/>
      <c r="N9" s="81"/>
      <c r="O9" s="81"/>
      <c r="CV9" s="74"/>
      <c r="CW9" s="79"/>
      <c r="CX9" s="74"/>
      <c r="CY9" s="62"/>
      <c r="CZ9" s="62"/>
      <c r="DA9" s="62"/>
      <c r="DB9" s="62"/>
      <c r="DC9" s="62"/>
      <c r="DD9" s="62"/>
      <c r="DE9" s="62"/>
      <c r="DF9" s="62"/>
      <c r="DG9" s="79"/>
      <c r="DH9" s="62"/>
      <c r="DI9" s="62"/>
      <c r="DJ9" s="62"/>
      <c r="DK9" s="62"/>
      <c r="DL9" s="62"/>
      <c r="DM9" s="79"/>
      <c r="DN9" s="79"/>
      <c r="DO9" s="79"/>
      <c r="DP9" s="79"/>
      <c r="DQ9" s="79"/>
      <c r="DR9" s="79"/>
      <c r="DS9" s="79"/>
      <c r="DT9" s="79"/>
      <c r="DU9" s="79"/>
      <c r="DV9" s="75"/>
      <c r="DW9" s="74"/>
      <c r="DX9" s="82"/>
    </row>
    <row r="10" spans="1:128" ht="61.35" customHeight="1" outlineLevel="1">
      <c r="A10" s="665"/>
      <c r="C10" s="515">
        <v>2</v>
      </c>
      <c r="D10" s="839" t="s">
        <v>164</v>
      </c>
      <c r="E10" s="840"/>
      <c r="F10" s="841"/>
      <c r="G10" s="560" t="s">
        <v>163</v>
      </c>
      <c r="H10" s="508" t="s">
        <v>119</v>
      </c>
      <c r="I10" s="509"/>
      <c r="J10" s="584"/>
      <c r="K10" s="78"/>
      <c r="L10" s="78"/>
      <c r="M10" s="81"/>
      <c r="N10" s="81"/>
      <c r="O10" s="81"/>
      <c r="CV10" s="74"/>
      <c r="CW10" s="79"/>
      <c r="CX10" s="74"/>
      <c r="CY10" s="62"/>
      <c r="CZ10" s="62"/>
      <c r="DA10" s="62"/>
      <c r="DB10" s="62"/>
      <c r="DC10" s="62"/>
      <c r="DD10" s="62"/>
      <c r="DE10" s="62"/>
      <c r="DF10" s="62"/>
      <c r="DG10" s="79"/>
      <c r="DH10" s="62"/>
      <c r="DI10" s="62"/>
      <c r="DJ10" s="62"/>
      <c r="DK10" s="62"/>
      <c r="DL10" s="62"/>
      <c r="DM10" s="79"/>
      <c r="DN10" s="79"/>
      <c r="DO10" s="79"/>
      <c r="DP10" s="79"/>
      <c r="DQ10" s="79"/>
      <c r="DR10" s="79"/>
      <c r="DS10" s="79"/>
      <c r="DT10" s="79"/>
      <c r="DU10" s="79"/>
      <c r="DV10" s="75"/>
      <c r="DW10" s="74"/>
      <c r="DX10" s="82"/>
    </row>
    <row r="11" spans="1:128" ht="39.6" customHeight="1" outlineLevel="1">
      <c r="A11" s="665"/>
      <c r="C11" s="515">
        <v>3</v>
      </c>
      <c r="D11" s="795" t="s">
        <v>165</v>
      </c>
      <c r="E11" s="796"/>
      <c r="F11" s="797"/>
      <c r="G11" s="560" t="s">
        <v>163</v>
      </c>
      <c r="H11" s="508" t="s">
        <v>119</v>
      </c>
      <c r="I11" s="509"/>
      <c r="J11" s="584"/>
      <c r="K11" s="78"/>
      <c r="L11" s="78"/>
      <c r="M11" s="70"/>
      <c r="N11" s="70"/>
      <c r="O11" s="70"/>
      <c r="CV11" s="79"/>
      <c r="CW11" s="74"/>
      <c r="CX11" s="83"/>
      <c r="CY11" s="62"/>
      <c r="CZ11" s="62"/>
      <c r="DA11" s="62"/>
      <c r="DB11" s="62"/>
      <c r="DC11" s="62"/>
      <c r="DD11" s="62"/>
      <c r="DE11" s="62"/>
      <c r="DF11" s="62"/>
      <c r="DG11" s="74"/>
      <c r="DH11" s="62"/>
      <c r="DI11" s="62"/>
      <c r="DJ11" s="62"/>
      <c r="DK11" s="62"/>
      <c r="DL11" s="62"/>
      <c r="DM11" s="74"/>
      <c r="DN11" s="79"/>
      <c r="DO11" s="79"/>
      <c r="DP11" s="79"/>
      <c r="DQ11" s="79"/>
      <c r="DR11" s="79"/>
      <c r="DS11" s="74"/>
      <c r="DT11" s="74"/>
      <c r="DU11" s="74"/>
      <c r="DV11" s="75"/>
      <c r="DW11" s="79"/>
      <c r="DX11" s="79"/>
    </row>
    <row r="12" spans="1:128" ht="71.099999999999994" customHeight="1" outlineLevel="1">
      <c r="A12" s="665"/>
      <c r="C12" s="515">
        <v>4</v>
      </c>
      <c r="D12" s="839" t="s">
        <v>166</v>
      </c>
      <c r="E12" s="840"/>
      <c r="F12" s="841"/>
      <c r="G12" s="510" t="s">
        <v>167</v>
      </c>
      <c r="H12" s="508" t="s">
        <v>119</v>
      </c>
      <c r="I12" s="509"/>
      <c r="J12" s="584"/>
      <c r="K12" s="78"/>
      <c r="L12" s="78"/>
      <c r="M12" s="70"/>
      <c r="N12" s="70"/>
      <c r="O12" s="70"/>
      <c r="CV12" s="79"/>
      <c r="CW12" s="74"/>
      <c r="CX12" s="83"/>
      <c r="CY12" s="62"/>
      <c r="CZ12" s="62"/>
      <c r="DA12" s="62"/>
      <c r="DB12" s="62"/>
      <c r="DC12" s="62"/>
      <c r="DD12" s="62"/>
      <c r="DE12" s="62"/>
      <c r="DF12" s="62"/>
      <c r="DG12" s="74"/>
      <c r="DH12" s="62"/>
      <c r="DI12" s="62"/>
      <c r="DJ12" s="62"/>
      <c r="DK12" s="62"/>
      <c r="DL12" s="62"/>
      <c r="DM12" s="74"/>
      <c r="DN12" s="79"/>
      <c r="DO12" s="79"/>
      <c r="DP12" s="79"/>
      <c r="DQ12" s="79"/>
      <c r="DR12" s="79"/>
      <c r="DS12" s="74"/>
      <c r="DT12" s="74"/>
      <c r="DU12" s="74"/>
      <c r="DV12" s="75"/>
      <c r="DW12" s="79"/>
      <c r="DX12" s="79"/>
    </row>
    <row r="13" spans="1:128" ht="21" outlineLevel="1">
      <c r="A13" s="665"/>
      <c r="C13" s="515">
        <v>5</v>
      </c>
      <c r="D13" s="839" t="s">
        <v>168</v>
      </c>
      <c r="E13" s="840"/>
      <c r="F13" s="841"/>
      <c r="G13" s="517" t="s">
        <v>169</v>
      </c>
      <c r="H13" s="508" t="s">
        <v>119</v>
      </c>
      <c r="I13" s="509"/>
      <c r="J13" s="584"/>
      <c r="K13" s="78"/>
      <c r="L13" s="78"/>
      <c r="M13" s="70"/>
      <c r="N13" s="70"/>
      <c r="O13" s="70"/>
      <c r="CV13" s="79"/>
      <c r="CW13" s="83"/>
      <c r="CX13" s="83"/>
      <c r="CY13" s="62"/>
      <c r="CZ13" s="62"/>
      <c r="DA13" s="62"/>
      <c r="DB13" s="62"/>
      <c r="DC13" s="62"/>
      <c r="DD13" s="62"/>
      <c r="DE13" s="62"/>
      <c r="DF13" s="62"/>
      <c r="DG13" s="83"/>
      <c r="DH13" s="62"/>
      <c r="DI13" s="62"/>
      <c r="DJ13" s="62"/>
      <c r="DK13" s="62"/>
      <c r="DL13" s="62"/>
      <c r="DM13" s="83"/>
      <c r="DN13" s="74"/>
      <c r="DO13" s="74"/>
      <c r="DP13" s="74"/>
      <c r="DQ13" s="74"/>
      <c r="DR13" s="74"/>
      <c r="DS13" s="83"/>
      <c r="DT13" s="83"/>
      <c r="DU13" s="83"/>
      <c r="DV13" s="69"/>
      <c r="DW13" s="79"/>
      <c r="DX13" s="80"/>
    </row>
    <row r="14" spans="1:128" ht="40.5" customHeight="1" outlineLevel="1">
      <c r="A14" s="665"/>
      <c r="C14" s="515">
        <v>6</v>
      </c>
      <c r="D14" s="839" t="s">
        <v>170</v>
      </c>
      <c r="E14" s="840"/>
      <c r="F14" s="841"/>
      <c r="G14" s="560" t="s">
        <v>163</v>
      </c>
      <c r="H14" s="508" t="s">
        <v>119</v>
      </c>
      <c r="I14" s="509"/>
      <c r="J14" s="584"/>
      <c r="K14" s="78"/>
      <c r="L14" s="78"/>
      <c r="M14" s="70"/>
      <c r="N14" s="70"/>
      <c r="O14" s="70"/>
      <c r="CV14" s="79"/>
      <c r="CW14" s="83"/>
      <c r="CX14" s="83"/>
      <c r="CY14" s="62"/>
      <c r="CZ14" s="62"/>
      <c r="DA14" s="62"/>
      <c r="DB14" s="62"/>
      <c r="DC14" s="62"/>
      <c r="DD14" s="62"/>
      <c r="DE14" s="62"/>
      <c r="DF14" s="62"/>
      <c r="DG14" s="83"/>
      <c r="DH14" s="62"/>
      <c r="DI14" s="62"/>
      <c r="DJ14" s="62"/>
      <c r="DK14" s="62"/>
      <c r="DL14" s="62"/>
      <c r="DM14" s="83"/>
      <c r="DN14" s="74"/>
      <c r="DO14" s="74"/>
      <c r="DP14" s="74"/>
      <c r="DQ14" s="74"/>
      <c r="DR14" s="74"/>
      <c r="DS14" s="83"/>
      <c r="DT14" s="83"/>
      <c r="DU14" s="83"/>
      <c r="DV14" s="69"/>
      <c r="DW14" s="79"/>
      <c r="DX14" s="80"/>
    </row>
    <row r="15" spans="1:128" ht="18.75" thickBot="1">
      <c r="A15" s="665"/>
      <c r="C15" s="84"/>
      <c r="D15" s="85"/>
      <c r="E15" s="85"/>
      <c r="F15" s="85"/>
      <c r="G15" s="85"/>
      <c r="H15" s="85"/>
      <c r="I15" s="85"/>
      <c r="J15" s="86"/>
      <c r="K15" s="70"/>
      <c r="L15" s="70"/>
      <c r="M15" s="70"/>
      <c r="CT15" s="79"/>
      <c r="CU15" s="83"/>
      <c r="CV15" s="83"/>
      <c r="CW15" s="62"/>
      <c r="CX15" s="62"/>
      <c r="CY15" s="62"/>
      <c r="CZ15" s="62"/>
      <c r="DA15" s="62"/>
      <c r="DB15" s="62"/>
      <c r="DC15" s="62"/>
      <c r="DD15" s="62"/>
      <c r="DE15" s="83"/>
      <c r="DF15" s="62"/>
      <c r="DG15" s="62"/>
      <c r="DH15" s="62"/>
      <c r="DI15" s="62"/>
      <c r="DJ15" s="62"/>
      <c r="DK15" s="83"/>
      <c r="DL15" s="74"/>
      <c r="DM15" s="74"/>
      <c r="DN15" s="74"/>
      <c r="DO15" s="74"/>
      <c r="DP15" s="74"/>
      <c r="DQ15" s="83"/>
      <c r="DR15" s="83"/>
      <c r="DS15" s="83"/>
      <c r="DT15" s="69"/>
      <c r="DU15" s="79"/>
      <c r="DV15" s="80"/>
    </row>
    <row r="16" spans="1:128" ht="12.6" customHeight="1">
      <c r="A16" s="665"/>
      <c r="C16" s="87"/>
      <c r="CT16" s="13"/>
      <c r="CU16" s="13"/>
      <c r="CV16" s="13"/>
      <c r="CW16" s="62"/>
      <c r="CX16" s="62"/>
      <c r="CY16" s="62"/>
      <c r="CZ16" s="62"/>
      <c r="DA16" s="62"/>
      <c r="DB16" s="62"/>
      <c r="DC16" s="62"/>
      <c r="DD16" s="62"/>
      <c r="DE16" s="13"/>
      <c r="DF16" s="62"/>
      <c r="DG16" s="62"/>
      <c r="DH16" s="62"/>
      <c r="DI16" s="62"/>
      <c r="DJ16" s="62"/>
      <c r="DK16" s="13"/>
      <c r="DL16" s="13"/>
      <c r="DM16" s="13"/>
      <c r="DN16" s="13"/>
      <c r="DO16" s="13"/>
      <c r="DP16" s="13"/>
      <c r="DQ16" s="13"/>
      <c r="DR16" s="13"/>
      <c r="DS16" s="13"/>
      <c r="DT16" s="69"/>
      <c r="DU16" s="13"/>
      <c r="DV16" s="13"/>
    </row>
    <row r="17" spans="1:126" ht="12.6" customHeight="1">
      <c r="A17" s="665"/>
      <c r="C17" s="87"/>
      <c r="CT17" s="13"/>
      <c r="CU17" s="13"/>
      <c r="CV17" s="13"/>
      <c r="CW17" s="62"/>
      <c r="CX17" s="62"/>
      <c r="CY17" s="62"/>
      <c r="CZ17" s="62"/>
      <c r="DA17" s="62"/>
      <c r="DB17" s="62"/>
      <c r="DC17" s="62"/>
      <c r="DD17" s="62"/>
      <c r="DE17" s="13"/>
      <c r="DF17" s="62"/>
      <c r="DG17" s="62"/>
      <c r="DH17" s="62"/>
      <c r="DI17" s="62"/>
      <c r="DJ17" s="62"/>
      <c r="DK17" s="13"/>
      <c r="DL17" s="13"/>
      <c r="DM17" s="13"/>
      <c r="DN17" s="13"/>
      <c r="DO17" s="13"/>
      <c r="DP17" s="13"/>
      <c r="DQ17" s="13"/>
      <c r="DR17" s="13"/>
      <c r="DS17" s="13"/>
      <c r="DT17" s="69"/>
      <c r="DU17" s="13"/>
      <c r="DV17" s="13"/>
    </row>
    <row r="18" spans="1:126" s="20" customFormat="1" ht="18.75" thickBot="1">
      <c r="A18" s="656"/>
      <c r="C18" s="474" t="s">
        <v>121</v>
      </c>
      <c r="D18" s="438"/>
      <c r="E18" s="438"/>
      <c r="F18" s="438"/>
      <c r="G18" s="438"/>
      <c r="H18" s="438"/>
      <c r="I18" s="438"/>
      <c r="J18" s="438"/>
      <c r="K18" s="23"/>
      <c r="L18" s="217"/>
      <c r="M18" s="217"/>
      <c r="Q18" s="158"/>
    </row>
    <row r="19" spans="1:126" s="20" customFormat="1" ht="18" customHeight="1">
      <c r="A19" s="656"/>
      <c r="C19" s="819"/>
      <c r="D19" s="820"/>
      <c r="E19" s="820"/>
      <c r="F19" s="820"/>
      <c r="G19" s="821"/>
      <c r="H19" s="438"/>
      <c r="I19" s="438"/>
      <c r="J19" s="438"/>
      <c r="K19" s="23"/>
      <c r="L19" s="217"/>
      <c r="M19" s="217"/>
      <c r="Q19" s="158"/>
    </row>
    <row r="20" spans="1:126" s="20" customFormat="1" ht="18" customHeight="1">
      <c r="A20" s="656"/>
      <c r="C20" s="822"/>
      <c r="D20" s="823"/>
      <c r="E20" s="823"/>
      <c r="F20" s="823"/>
      <c r="G20" s="824"/>
      <c r="H20" s="438"/>
      <c r="I20" s="438"/>
      <c r="J20" s="438"/>
      <c r="K20" s="23"/>
      <c r="L20" s="217"/>
      <c r="M20" s="217"/>
      <c r="Q20" s="158"/>
    </row>
    <row r="21" spans="1:126" s="20" customFormat="1" ht="18" customHeight="1" thickBot="1">
      <c r="A21" s="656"/>
      <c r="C21" s="825"/>
      <c r="D21" s="826"/>
      <c r="E21" s="826"/>
      <c r="F21" s="826"/>
      <c r="G21" s="827"/>
      <c r="H21" s="438"/>
      <c r="I21" s="438"/>
      <c r="J21" s="438"/>
      <c r="K21" s="23"/>
      <c r="L21" s="217"/>
      <c r="M21" s="217"/>
      <c r="Q21" s="158"/>
    </row>
    <row r="22" spans="1:126" s="4" customFormat="1" ht="13.5" thickBot="1">
      <c r="A22" s="545"/>
      <c r="C22" s="550"/>
      <c r="D22" s="551"/>
      <c r="E22" s="192"/>
      <c r="F22" s="192"/>
      <c r="G22" s="192"/>
      <c r="H22" s="192"/>
      <c r="I22" s="158"/>
      <c r="J22" s="158"/>
      <c r="K22" s="552"/>
      <c r="L22" s="424"/>
      <c r="M22" s="424"/>
      <c r="N22" s="424"/>
      <c r="O22" s="424"/>
      <c r="P22" s="424"/>
      <c r="Q22" s="424"/>
      <c r="R22" s="425"/>
    </row>
    <row r="23" spans="1:126" s="4" customFormat="1" ht="50.25" customHeight="1">
      <c r="A23" s="545"/>
      <c r="C23" s="745" t="str">
        <f>"波动范围 ("&amp;D11&amp; "):"</f>
        <v>波动范围 (将明细账与生产成本-制造费用进行核对，并对差异大于SAD的项目进行调查。):</v>
      </c>
      <c r="D23" s="746">
        <f>汇总!$F$21</f>
        <v>0</v>
      </c>
      <c r="E23" s="553"/>
      <c r="F23" s="553"/>
      <c r="G23" s="553"/>
      <c r="H23" s="553"/>
      <c r="I23" s="553"/>
      <c r="J23" s="553"/>
      <c r="K23" s="553"/>
      <c r="L23" s="424"/>
      <c r="M23" s="424"/>
      <c r="N23" s="424"/>
      <c r="O23" s="424"/>
      <c r="P23" s="424"/>
      <c r="Q23" s="424"/>
      <c r="R23" s="425"/>
    </row>
    <row r="24" spans="1:126" s="4" customFormat="1" ht="17.25" thickBot="1">
      <c r="A24" s="545"/>
      <c r="C24" s="554" t="s">
        <v>171</v>
      </c>
      <c r="D24" s="476"/>
      <c r="E24" s="5"/>
      <c r="F24" s="5"/>
      <c r="G24" s="5"/>
      <c r="H24" s="5"/>
      <c r="I24" s="5"/>
      <c r="J24" s="5"/>
      <c r="K24" s="5"/>
      <c r="L24" s="424"/>
      <c r="M24" s="424"/>
      <c r="N24" s="424"/>
      <c r="O24" s="424"/>
      <c r="P24" s="424"/>
    </row>
    <row r="25" spans="1:126" ht="12.6" customHeight="1">
      <c r="A25" s="665"/>
      <c r="CT25" s="13"/>
      <c r="CU25" s="13"/>
      <c r="CV25" s="13"/>
      <c r="CW25" s="62"/>
      <c r="CX25" s="62"/>
      <c r="CY25" s="62"/>
      <c r="CZ25" s="62"/>
      <c r="DA25" s="62"/>
      <c r="DB25" s="62"/>
      <c r="DC25" s="62"/>
      <c r="DD25" s="62"/>
      <c r="DE25" s="13"/>
      <c r="DF25" s="62"/>
      <c r="DG25" s="62"/>
      <c r="DH25" s="62"/>
      <c r="DI25" s="62"/>
      <c r="DJ25" s="62"/>
      <c r="DK25" s="13"/>
      <c r="DL25" s="13"/>
      <c r="DM25" s="13"/>
      <c r="DN25" s="13"/>
      <c r="DO25" s="13"/>
      <c r="DP25" s="13"/>
      <c r="DQ25" s="13"/>
      <c r="DR25" s="13"/>
      <c r="DS25" s="13"/>
      <c r="DT25" s="69"/>
      <c r="DU25" s="13"/>
      <c r="DV25" s="13"/>
    </row>
    <row r="26" spans="1:126" ht="12.6" customHeight="1">
      <c r="A26" s="665"/>
      <c r="C26" s="88"/>
      <c r="F26" s="192" t="s">
        <v>123</v>
      </c>
      <c r="G26" s="441"/>
      <c r="H26" s="164" t="s">
        <v>124</v>
      </c>
      <c r="I26" s="192" t="s">
        <v>125</v>
      </c>
      <c r="J26" s="164"/>
      <c r="K26" s="164"/>
      <c r="L26" s="164" t="s">
        <v>126</v>
      </c>
      <c r="M26" s="192" t="s">
        <v>127</v>
      </c>
      <c r="N26" s="164" t="s">
        <v>128</v>
      </c>
      <c r="O26" s="164" t="s">
        <v>129</v>
      </c>
      <c r="P26" s="164" t="s">
        <v>130</v>
      </c>
      <c r="CK26" s="13"/>
      <c r="CL26" s="13"/>
      <c r="CM26" s="13"/>
      <c r="CN26" s="62"/>
      <c r="CO26" s="62"/>
      <c r="CP26" s="62"/>
      <c r="CQ26" s="62"/>
      <c r="CR26" s="62"/>
      <c r="CS26" s="62"/>
      <c r="CT26" s="62"/>
      <c r="CU26" s="62"/>
      <c r="CV26" s="13"/>
      <c r="CW26" s="62"/>
      <c r="CX26" s="62"/>
      <c r="CY26" s="62"/>
      <c r="CZ26" s="62"/>
      <c r="DA26" s="62"/>
      <c r="DB26" s="13"/>
      <c r="DC26" s="13"/>
      <c r="DD26" s="13"/>
      <c r="DE26" s="13"/>
      <c r="DF26" s="13"/>
      <c r="DG26" s="13"/>
      <c r="DH26" s="13"/>
      <c r="DI26" s="13"/>
      <c r="DJ26" s="13"/>
      <c r="DK26" s="69"/>
      <c r="DL26" s="13"/>
      <c r="DM26" s="13"/>
    </row>
    <row r="27" spans="1:126" ht="13.5" thickBot="1">
      <c r="A27" s="665" t="s">
        <v>172</v>
      </c>
      <c r="C27" s="89" t="s">
        <v>173</v>
      </c>
      <c r="D27" s="90" t="s">
        <v>173</v>
      </c>
      <c r="E27" s="90" t="s">
        <v>173</v>
      </c>
      <c r="F27" s="91" t="s">
        <v>173</v>
      </c>
      <c r="G27" s="92"/>
      <c r="H27" s="92"/>
      <c r="I27" s="93"/>
      <c r="J27" s="94"/>
      <c r="K27" s="93"/>
      <c r="L27" s="92"/>
      <c r="M27" s="93"/>
      <c r="N27" s="165"/>
      <c r="O27" s="93"/>
      <c r="P27" s="95"/>
      <c r="Q27" s="96"/>
      <c r="R27" s="97"/>
      <c r="CK27" s="13"/>
      <c r="CL27" s="13"/>
      <c r="CM27" s="13"/>
      <c r="CN27" s="62"/>
      <c r="CO27" s="62"/>
      <c r="CP27" s="62"/>
      <c r="CQ27" s="62"/>
      <c r="CR27" s="62"/>
      <c r="CS27" s="62"/>
      <c r="CT27" s="62"/>
      <c r="CU27" s="62"/>
      <c r="CV27" s="13"/>
      <c r="CW27" s="62"/>
      <c r="CX27" s="62"/>
      <c r="CY27" s="62"/>
      <c r="CZ27" s="62"/>
      <c r="DA27" s="62"/>
      <c r="DB27" s="13"/>
      <c r="DC27" s="13"/>
      <c r="DD27" s="13"/>
      <c r="DE27" s="13"/>
      <c r="DF27" s="13"/>
      <c r="DG27" s="13"/>
      <c r="DH27" s="13"/>
      <c r="DI27" s="13"/>
      <c r="DJ27" s="13"/>
      <c r="DK27" s="69"/>
      <c r="DL27" s="13"/>
      <c r="DM27" s="13"/>
    </row>
    <row r="28" spans="1:126" ht="0.2" customHeight="1" thickBot="1">
      <c r="A28" s="665"/>
      <c r="C28" s="585"/>
      <c r="D28" s="586"/>
      <c r="E28" s="365"/>
      <c r="F28" s="587"/>
      <c r="G28" s="586"/>
      <c r="H28" s="588"/>
      <c r="I28" s="588">
        <f t="shared" ref="I28" si="0">F28+H28</f>
        <v>0</v>
      </c>
      <c r="J28" s="589" t="str">
        <f>IF($I$35&lt;&gt;0,I28/$I$35,"")</f>
        <v/>
      </c>
      <c r="K28" s="586"/>
      <c r="L28" s="588"/>
      <c r="M28" s="590">
        <f t="shared" ref="M28" si="1">I28+L28</f>
        <v>0</v>
      </c>
      <c r="N28" s="590"/>
      <c r="O28" s="587">
        <f t="shared" ref="O28" si="2">M28-N28</f>
        <v>0</v>
      </c>
      <c r="P28" s="466">
        <f>IF(N28&lt;&gt;0,O28/N28,1)</f>
        <v>1</v>
      </c>
      <c r="Q28" s="166"/>
      <c r="R28" s="591"/>
      <c r="S28" s="106"/>
      <c r="CK28" s="13"/>
      <c r="CL28" s="13"/>
      <c r="CM28" s="13"/>
      <c r="CN28" s="62"/>
      <c r="CO28" s="62"/>
      <c r="CP28" s="62"/>
      <c r="CQ28" s="62"/>
      <c r="CR28" s="62"/>
      <c r="CS28" s="62"/>
      <c r="CT28" s="62"/>
      <c r="CU28" s="62"/>
      <c r="CV28" s="13"/>
      <c r="CW28" s="62"/>
      <c r="CX28" s="62"/>
      <c r="CY28" s="62"/>
      <c r="CZ28" s="62"/>
      <c r="DA28" s="62"/>
      <c r="DB28" s="13"/>
      <c r="DC28" s="13"/>
      <c r="DD28" s="13"/>
      <c r="DE28" s="13"/>
      <c r="DF28" s="13"/>
      <c r="DG28" s="13"/>
      <c r="DH28" s="13"/>
      <c r="DI28" s="13"/>
      <c r="DJ28" s="13"/>
      <c r="DK28" s="69"/>
      <c r="DL28" s="13"/>
      <c r="DM28" s="13"/>
    </row>
    <row r="29" spans="1:126" ht="13.35" customHeight="1">
      <c r="A29" s="665"/>
      <c r="B29" s="21" t="s">
        <v>174</v>
      </c>
      <c r="C29" s="592"/>
      <c r="D29" s="747"/>
      <c r="E29" s="593"/>
      <c r="F29" s="482"/>
      <c r="G29" s="594"/>
      <c r="H29" s="594"/>
      <c r="I29" s="595" t="s">
        <v>175</v>
      </c>
      <c r="J29" s="594"/>
      <c r="K29" s="594"/>
      <c r="L29" s="594"/>
      <c r="M29" s="596"/>
      <c r="N29" s="597">
        <f>DATE(YEAR(汇总!$D$5)-1,12,31)</f>
        <v>45291</v>
      </c>
      <c r="O29" s="483" t="s">
        <v>131</v>
      </c>
      <c r="P29" s="598"/>
      <c r="Q29" s="647"/>
      <c r="R29" s="599"/>
      <c r="S29" s="106"/>
      <c r="CK29" s="13"/>
      <c r="CL29" s="13"/>
      <c r="CM29" s="13"/>
      <c r="CN29" s="62"/>
      <c r="CO29" s="62"/>
      <c r="CP29" s="62"/>
      <c r="CQ29" s="62"/>
      <c r="CR29" s="62"/>
      <c r="CS29" s="62"/>
      <c r="CT29" s="62"/>
      <c r="CU29" s="62"/>
      <c r="CV29" s="13"/>
      <c r="CW29" s="62"/>
      <c r="CX29" s="62"/>
      <c r="CY29" s="62"/>
      <c r="CZ29" s="62"/>
      <c r="DA29" s="62"/>
      <c r="DB29" s="13"/>
      <c r="DC29" s="13"/>
      <c r="DD29" s="13"/>
      <c r="DE29" s="13"/>
      <c r="DF29" s="13"/>
      <c r="DG29" s="13"/>
      <c r="DH29" s="13"/>
      <c r="DI29" s="13"/>
      <c r="DJ29" s="13"/>
      <c r="DK29" s="107"/>
      <c r="DL29" s="13"/>
      <c r="DM29" s="13"/>
    </row>
    <row r="30" spans="1:126" s="10" customFormat="1" ht="44.1" customHeight="1">
      <c r="A30" s="683"/>
      <c r="C30" s="108" t="s">
        <v>176</v>
      </c>
      <c r="D30" s="109" t="s">
        <v>177</v>
      </c>
      <c r="E30" s="168" t="s">
        <v>178</v>
      </c>
      <c r="F30" s="363" t="s">
        <v>135</v>
      </c>
      <c r="G30" s="364" t="s">
        <v>179</v>
      </c>
      <c r="H30" s="364" t="s">
        <v>136</v>
      </c>
      <c r="I30" s="110" t="s">
        <v>137</v>
      </c>
      <c r="J30" s="110" t="s">
        <v>180</v>
      </c>
      <c r="K30" s="364" t="s">
        <v>181</v>
      </c>
      <c r="L30" s="111" t="s">
        <v>138</v>
      </c>
      <c r="M30" s="112" t="s">
        <v>139</v>
      </c>
      <c r="N30" s="562" t="s">
        <v>182</v>
      </c>
      <c r="O30" s="113" t="s">
        <v>141</v>
      </c>
      <c r="P30" s="462" t="s">
        <v>183</v>
      </c>
      <c r="Q30" s="648" t="s">
        <v>184</v>
      </c>
      <c r="R30" s="460" t="s">
        <v>155</v>
      </c>
      <c r="S30" s="115"/>
      <c r="CK30" s="116"/>
      <c r="CL30" s="116"/>
      <c r="CM30" s="116"/>
      <c r="CN30" s="117"/>
      <c r="CO30" s="117"/>
      <c r="CP30" s="117"/>
      <c r="CQ30" s="117"/>
      <c r="CR30" s="117"/>
      <c r="CS30" s="117"/>
      <c r="CT30" s="117"/>
      <c r="CU30" s="117"/>
      <c r="CV30" s="116"/>
      <c r="CW30" s="117"/>
      <c r="CX30" s="117"/>
      <c r="CY30" s="117"/>
      <c r="CZ30" s="117"/>
      <c r="DA30" s="117"/>
      <c r="DB30" s="116"/>
      <c r="DC30" s="116"/>
      <c r="DD30" s="116"/>
      <c r="DE30" s="116"/>
      <c r="DF30" s="116"/>
      <c r="DG30" s="116"/>
      <c r="DH30" s="116"/>
      <c r="DI30" s="116"/>
      <c r="DJ30" s="116"/>
      <c r="DK30" s="118"/>
      <c r="DL30" s="116"/>
      <c r="DM30" s="116"/>
    </row>
    <row r="31" spans="1:126" s="11" customFormat="1" ht="12" customHeight="1">
      <c r="A31" s="684"/>
      <c r="C31" s="119"/>
      <c r="D31" s="99"/>
      <c r="E31" s="105"/>
      <c r="F31" s="101"/>
      <c r="G31" s="99"/>
      <c r="H31" s="102"/>
      <c r="I31" s="102">
        <f>F31+H31</f>
        <v>0</v>
      </c>
      <c r="J31" s="103" t="str">
        <f>IF($I$35&lt;&gt;0,I31/$I$35,"")</f>
        <v/>
      </c>
      <c r="K31" s="99"/>
      <c r="L31" s="102"/>
      <c r="M31" s="104">
        <f>I31+L31</f>
        <v>0</v>
      </c>
      <c r="N31" s="120"/>
      <c r="O31" s="101">
        <f>M31-N31</f>
        <v>0</v>
      </c>
      <c r="P31" s="463">
        <f>IF(N31&lt;&gt;0,O31/N31,1)</f>
        <v>1</v>
      </c>
      <c r="Q31" s="649"/>
      <c r="R31" s="121"/>
      <c r="S31" s="122"/>
      <c r="CK31" s="79"/>
      <c r="CL31" s="79"/>
      <c r="CM31" s="79"/>
      <c r="CN31" s="123"/>
      <c r="CO31" s="123"/>
      <c r="CP31" s="123"/>
      <c r="CQ31" s="123"/>
      <c r="CR31" s="123"/>
      <c r="CS31" s="123"/>
      <c r="CT31" s="123"/>
      <c r="CU31" s="123"/>
      <c r="CV31" s="79"/>
      <c r="CW31" s="123"/>
      <c r="CX31" s="123"/>
      <c r="CY31" s="123"/>
      <c r="CZ31" s="123"/>
      <c r="DA31" s="123"/>
      <c r="DB31" s="79"/>
      <c r="DC31" s="79"/>
      <c r="DD31" s="79"/>
      <c r="DE31" s="79"/>
      <c r="DF31" s="79"/>
      <c r="DG31" s="79"/>
      <c r="DH31" s="79"/>
      <c r="DI31" s="79"/>
      <c r="DJ31" s="79"/>
      <c r="DK31" s="75"/>
      <c r="DL31" s="79"/>
      <c r="DM31" s="79"/>
    </row>
    <row r="32" spans="1:126" s="11" customFormat="1" ht="12.6" customHeight="1">
      <c r="A32" s="684"/>
      <c r="C32" s="98"/>
      <c r="D32" s="99"/>
      <c r="E32" s="105"/>
      <c r="F32" s="101"/>
      <c r="G32" s="99"/>
      <c r="H32" s="102"/>
      <c r="I32" s="102">
        <f t="shared" ref="I32" si="3">F32+H32</f>
        <v>0</v>
      </c>
      <c r="J32" s="103" t="str">
        <f>IF($I$35&lt;&gt;0,I32/$I$35,"")</f>
        <v/>
      </c>
      <c r="K32" s="99"/>
      <c r="L32" s="102"/>
      <c r="M32" s="104">
        <f t="shared" ref="M32:M33" si="4">I32+L32</f>
        <v>0</v>
      </c>
      <c r="N32" s="120"/>
      <c r="O32" s="101">
        <f t="shared" ref="O32" si="5">M32-N32</f>
        <v>0</v>
      </c>
      <c r="P32" s="463">
        <f>IF(N32&lt;&gt;0,O32/N32,1)</f>
        <v>1</v>
      </c>
      <c r="Q32" s="99"/>
      <c r="R32" s="105"/>
      <c r="S32" s="122"/>
      <c r="CK32" s="79"/>
      <c r="CL32" s="79"/>
      <c r="CM32" s="79"/>
      <c r="CN32" s="123"/>
      <c r="CO32" s="123"/>
      <c r="CP32" s="123"/>
      <c r="CQ32" s="123"/>
      <c r="CR32" s="123"/>
      <c r="CS32" s="123"/>
      <c r="CT32" s="123"/>
      <c r="CU32" s="123"/>
      <c r="CV32" s="79"/>
      <c r="CW32" s="123"/>
      <c r="CX32" s="123"/>
      <c r="CY32" s="123"/>
      <c r="CZ32" s="123"/>
      <c r="DA32" s="123"/>
      <c r="DB32" s="79"/>
      <c r="DC32" s="79"/>
      <c r="DD32" s="79"/>
      <c r="DE32" s="79"/>
      <c r="DF32" s="79"/>
      <c r="DG32" s="79"/>
      <c r="DH32" s="79"/>
      <c r="DI32" s="79"/>
      <c r="DJ32" s="79"/>
      <c r="DK32" s="75"/>
      <c r="DL32" s="79"/>
      <c r="DM32" s="79"/>
    </row>
    <row r="33" spans="1:125" ht="12.6" customHeight="1" thickBot="1">
      <c r="A33" s="665" t="s">
        <v>185</v>
      </c>
      <c r="C33" s="371"/>
      <c r="D33" s="372"/>
      <c r="E33" s="373"/>
      <c r="F33" s="374"/>
      <c r="G33" s="372"/>
      <c r="H33" s="375"/>
      <c r="I33" s="376">
        <f t="shared" ref="I33" si="6">F33+H33</f>
        <v>0</v>
      </c>
      <c r="J33" s="377" t="str">
        <f>IF($I$35&lt;&gt;0,I33/$I$35,"")</f>
        <v/>
      </c>
      <c r="K33" s="378"/>
      <c r="L33" s="379"/>
      <c r="M33" s="380">
        <f t="shared" si="4"/>
        <v>0</v>
      </c>
      <c r="N33" s="600"/>
      <c r="O33" s="381">
        <f t="shared" ref="O33" si="7">M33-N33</f>
        <v>0</v>
      </c>
      <c r="P33" s="463">
        <f>IF(N33&lt;&gt;0,O33/N33,1)</f>
        <v>1</v>
      </c>
      <c r="Q33" s="378"/>
      <c r="R33" s="373"/>
      <c r="S33" s="106"/>
      <c r="CK33" s="13"/>
      <c r="CL33" s="13"/>
      <c r="CM33" s="13"/>
      <c r="CN33" s="62"/>
      <c r="CO33" s="62"/>
      <c r="CP33" s="62"/>
      <c r="CQ33" s="62"/>
      <c r="CR33" s="62"/>
      <c r="CS33" s="62"/>
      <c r="CT33" s="62"/>
      <c r="CU33" s="62"/>
      <c r="CV33" s="13"/>
      <c r="CW33" s="62"/>
      <c r="CX33" s="62"/>
      <c r="CY33" s="62"/>
      <c r="CZ33" s="62"/>
      <c r="DA33" s="62"/>
      <c r="DB33" s="13"/>
      <c r="DC33" s="13"/>
      <c r="DD33" s="13"/>
      <c r="DE33" s="13"/>
      <c r="DF33" s="13"/>
      <c r="DG33" s="13"/>
      <c r="DH33" s="13"/>
      <c r="DI33" s="13"/>
      <c r="DJ33" s="13"/>
      <c r="DK33" s="69"/>
      <c r="DL33" s="13"/>
      <c r="DM33" s="13"/>
    </row>
    <row r="34" spans="1:125" ht="12.6" customHeight="1">
      <c r="A34" s="665"/>
      <c r="C34" s="748"/>
      <c r="D34" s="749"/>
      <c r="E34" s="750"/>
      <c r="F34" s="750"/>
      <c r="G34" s="750"/>
      <c r="H34" s="750"/>
      <c r="I34" s="751"/>
      <c r="J34" s="752"/>
      <c r="K34" s="752"/>
      <c r="L34" s="751"/>
      <c r="M34" s="751"/>
      <c r="N34" s="751"/>
      <c r="O34" s="753"/>
      <c r="P34" s="754"/>
      <c r="Q34" s="755"/>
      <c r="R34" s="756"/>
      <c r="CM34" s="13"/>
      <c r="CN34" s="13"/>
      <c r="CO34" s="13"/>
      <c r="CP34" s="62"/>
      <c r="CQ34" s="62"/>
      <c r="CR34" s="62"/>
      <c r="CS34" s="62"/>
      <c r="CT34" s="62"/>
      <c r="CU34" s="62"/>
      <c r="CV34" s="62"/>
      <c r="CW34" s="62"/>
      <c r="CX34" s="13"/>
      <c r="CY34" s="62"/>
      <c r="CZ34" s="62"/>
      <c r="DA34" s="62"/>
      <c r="DB34" s="62"/>
      <c r="DC34" s="62"/>
      <c r="DD34" s="13"/>
      <c r="DE34" s="13"/>
      <c r="DF34" s="13"/>
      <c r="DG34" s="13"/>
      <c r="DH34" s="13"/>
      <c r="DI34" s="13"/>
      <c r="DJ34" s="13"/>
      <c r="DK34" s="13"/>
      <c r="DL34" s="13"/>
      <c r="DM34" s="69"/>
      <c r="DN34" s="13"/>
      <c r="DO34" s="13"/>
    </row>
    <row r="35" spans="1:125" s="12" customFormat="1" ht="12.6" customHeight="1" thickBot="1">
      <c r="A35" s="685"/>
      <c r="B35" s="124"/>
      <c r="C35" s="124"/>
      <c r="D35" s="125"/>
      <c r="E35" s="126" t="s">
        <v>186</v>
      </c>
      <c r="F35" s="382">
        <f>SUM(F30:F34)</f>
        <v>0</v>
      </c>
      <c r="G35" s="1"/>
      <c r="H35" s="382">
        <f>SUM(H30:H34)</f>
        <v>0</v>
      </c>
      <c r="I35" s="382">
        <f>SUM(I30:I34)</f>
        <v>0</v>
      </c>
      <c r="J35" s="383">
        <f>SUM(J30:J34)</f>
        <v>0</v>
      </c>
      <c r="K35" s="1"/>
      <c r="L35" s="382">
        <f>SUM(L30:L34)</f>
        <v>0</v>
      </c>
      <c r="M35" s="382">
        <f>SUM(M30:M34)</f>
        <v>0</v>
      </c>
      <c r="N35" s="382">
        <f>SUM(N30:N34)</f>
        <v>0</v>
      </c>
      <c r="O35" s="382">
        <f>M35-N35</f>
        <v>0</v>
      </c>
      <c r="P35" s="383">
        <f>IF(N35&lt;&gt;0,O35/N35,1)</f>
        <v>1</v>
      </c>
      <c r="Q35" s="127"/>
      <c r="R35" s="124"/>
      <c r="S35" s="17"/>
      <c r="T35" s="17"/>
      <c r="U35" s="124"/>
      <c r="CM35" s="128"/>
      <c r="CN35" s="128"/>
      <c r="CO35" s="128"/>
      <c r="CP35" s="68"/>
      <c r="CQ35" s="68"/>
      <c r="CR35" s="68"/>
      <c r="CS35" s="68"/>
      <c r="CT35" s="68"/>
      <c r="CU35" s="68"/>
      <c r="CV35" s="68"/>
      <c r="CW35" s="68"/>
      <c r="CX35" s="128"/>
      <c r="CY35" s="68"/>
      <c r="CZ35" s="68"/>
      <c r="DA35" s="68"/>
      <c r="DB35" s="68"/>
      <c r="DC35" s="68"/>
      <c r="DD35" s="128"/>
      <c r="DE35" s="128"/>
      <c r="DF35" s="128"/>
      <c r="DG35" s="128"/>
      <c r="DH35" s="128"/>
      <c r="DI35" s="128"/>
      <c r="DJ35" s="128"/>
      <c r="DK35" s="128"/>
      <c r="DL35" s="128"/>
      <c r="DM35" s="129"/>
      <c r="DN35" s="128"/>
      <c r="DO35" s="128"/>
    </row>
    <row r="36" spans="1:125" s="12" customFormat="1" ht="12.6" customHeight="1" thickTop="1">
      <c r="A36" s="685"/>
      <c r="B36" s="124"/>
      <c r="C36" s="124"/>
      <c r="D36" s="130"/>
      <c r="E36" s="125"/>
      <c r="F36" s="131" t="s">
        <v>105</v>
      </c>
      <c r="G36" s="130"/>
      <c r="H36" s="131" t="s">
        <v>105</v>
      </c>
      <c r="I36" s="131" t="s">
        <v>105</v>
      </c>
      <c r="J36" s="131" t="s">
        <v>105</v>
      </c>
      <c r="K36" s="132"/>
      <c r="L36" s="131" t="s">
        <v>105</v>
      </c>
      <c r="M36" s="131" t="s">
        <v>105</v>
      </c>
      <c r="N36" s="131" t="s">
        <v>105</v>
      </c>
      <c r="O36" s="133"/>
      <c r="P36" s="134"/>
      <c r="Q36" s="135"/>
      <c r="R36" s="136"/>
      <c r="S36" s="17"/>
      <c r="T36" s="17"/>
      <c r="U36" s="124"/>
      <c r="CM36" s="13"/>
      <c r="CN36" s="13"/>
      <c r="CO36" s="13"/>
      <c r="CP36" s="62"/>
      <c r="CQ36" s="62"/>
      <c r="CR36" s="62"/>
      <c r="CS36" s="62"/>
      <c r="CT36" s="62"/>
      <c r="CU36" s="62"/>
      <c r="CV36" s="62"/>
      <c r="CW36" s="62"/>
      <c r="CX36" s="13"/>
      <c r="CY36" s="62"/>
      <c r="CZ36" s="62"/>
      <c r="DA36" s="62"/>
      <c r="DB36" s="62"/>
      <c r="DC36" s="62"/>
      <c r="DD36" s="13"/>
      <c r="DE36" s="13"/>
      <c r="DF36" s="13"/>
      <c r="DG36" s="13"/>
      <c r="DH36" s="13"/>
      <c r="DI36" s="13"/>
      <c r="DJ36" s="13"/>
      <c r="DK36" s="13"/>
      <c r="DL36" s="13"/>
      <c r="DM36" s="69"/>
      <c r="DN36" s="13"/>
      <c r="DO36" s="13"/>
    </row>
    <row r="37" spans="1:125" s="12" customFormat="1" ht="12.6" customHeight="1">
      <c r="A37" s="685"/>
      <c r="B37" s="124"/>
      <c r="C37" s="124"/>
      <c r="D37" s="130"/>
      <c r="E37" s="125"/>
      <c r="F37" s="131"/>
      <c r="G37" s="130"/>
      <c r="H37" s="131"/>
      <c r="I37" s="131"/>
      <c r="J37" s="131"/>
      <c r="K37" s="132"/>
      <c r="L37" s="131"/>
      <c r="M37" s="131"/>
      <c r="N37" s="131"/>
      <c r="O37" s="133"/>
      <c r="P37" s="134"/>
      <c r="Q37" s="135"/>
      <c r="R37" s="136"/>
      <c r="S37" s="17"/>
      <c r="T37" s="17"/>
      <c r="U37" s="124"/>
      <c r="CM37" s="13"/>
      <c r="CN37" s="13"/>
      <c r="CO37" s="13"/>
      <c r="CP37" s="62"/>
      <c r="CQ37" s="62"/>
      <c r="CR37" s="62"/>
      <c r="CS37" s="62"/>
      <c r="CT37" s="62"/>
      <c r="CU37" s="62"/>
      <c r="CV37" s="62"/>
      <c r="CW37" s="62"/>
      <c r="CX37" s="13"/>
      <c r="CY37" s="62"/>
      <c r="CZ37" s="62"/>
      <c r="DA37" s="62"/>
      <c r="DB37" s="62"/>
      <c r="DC37" s="62"/>
      <c r="DD37" s="13"/>
      <c r="DE37" s="13"/>
      <c r="DF37" s="13"/>
      <c r="DG37" s="13"/>
      <c r="DH37" s="13"/>
      <c r="DI37" s="13"/>
      <c r="DJ37" s="13"/>
      <c r="DK37" s="13"/>
      <c r="DL37" s="13"/>
      <c r="DM37" s="69"/>
      <c r="DN37" s="13"/>
      <c r="DO37" s="13"/>
    </row>
    <row r="38" spans="1:125" s="13" customFormat="1" ht="13.35" customHeight="1">
      <c r="A38" s="663"/>
      <c r="B38" s="88"/>
      <c r="D38" s="13" t="s">
        <v>187</v>
      </c>
      <c r="E38" s="369" t="s">
        <v>188</v>
      </c>
      <c r="F38" s="181"/>
      <c r="G38" s="137"/>
      <c r="H38" s="131"/>
      <c r="I38" s="137"/>
      <c r="J38" s="137"/>
      <c r="CV38" s="62"/>
      <c r="CW38" s="62"/>
      <c r="CX38" s="62"/>
      <c r="CY38" s="62"/>
      <c r="CZ38" s="62"/>
      <c r="DA38" s="62"/>
      <c r="DB38" s="62"/>
      <c r="DE38" s="62"/>
      <c r="DF38" s="62"/>
      <c r="DG38" s="62"/>
      <c r="DH38" s="62"/>
      <c r="DI38" s="62"/>
      <c r="DS38" s="69"/>
    </row>
    <row r="39" spans="1:125" s="13" customFormat="1" ht="13.35" customHeight="1">
      <c r="A39" s="663"/>
      <c r="B39" s="88"/>
      <c r="E39" s="369"/>
      <c r="F39" s="137"/>
      <c r="G39" s="137"/>
      <c r="H39" s="131"/>
      <c r="I39" s="137"/>
      <c r="J39" s="137"/>
      <c r="CV39" s="62"/>
      <c r="CW39" s="62"/>
      <c r="CX39" s="62"/>
      <c r="CY39" s="62"/>
      <c r="CZ39" s="62"/>
      <c r="DA39" s="62"/>
      <c r="DB39" s="62"/>
      <c r="DE39" s="62"/>
      <c r="DF39" s="62"/>
      <c r="DG39" s="62"/>
      <c r="DH39" s="62"/>
      <c r="DI39" s="62"/>
      <c r="DS39" s="69"/>
    </row>
    <row r="40" spans="1:125" s="13" customFormat="1" ht="13.35" customHeight="1" thickBot="1">
      <c r="A40" s="663"/>
      <c r="B40" s="88" t="s">
        <v>155</v>
      </c>
      <c r="C40" s="13" t="s">
        <v>189</v>
      </c>
      <c r="G40" s="137"/>
      <c r="H40" s="138"/>
      <c r="I40" s="137"/>
      <c r="J40" s="137"/>
      <c r="CV40" s="62"/>
      <c r="CW40" s="62"/>
      <c r="CX40" s="62"/>
      <c r="CY40" s="62"/>
      <c r="CZ40" s="62"/>
      <c r="DA40" s="62"/>
      <c r="DB40" s="62"/>
      <c r="DE40" s="62"/>
      <c r="DF40" s="62"/>
      <c r="DG40" s="62"/>
      <c r="DH40" s="62"/>
      <c r="DI40" s="62"/>
      <c r="DS40" s="69"/>
    </row>
    <row r="41" spans="1:125" ht="12.6" customHeight="1">
      <c r="A41" s="664"/>
      <c r="C41" s="828"/>
      <c r="D41" s="829"/>
      <c r="E41" s="829"/>
      <c r="F41" s="829"/>
      <c r="G41" s="830"/>
      <c r="H41" s="139"/>
      <c r="I41" s="139"/>
      <c r="J41" s="139"/>
      <c r="CN41" s="13"/>
      <c r="CO41" s="13"/>
      <c r="CP41" s="13"/>
      <c r="CQ41" s="62"/>
      <c r="CR41" s="62"/>
      <c r="CS41" s="62"/>
      <c r="CT41" s="62"/>
      <c r="CU41" s="62"/>
      <c r="CV41" s="62"/>
      <c r="CW41" s="62"/>
      <c r="CX41" s="13"/>
      <c r="CY41" s="13"/>
      <c r="CZ41" s="62"/>
      <c r="DA41" s="62"/>
      <c r="DB41" s="62"/>
      <c r="DC41" s="62"/>
      <c r="DD41" s="62"/>
      <c r="DE41" s="13"/>
      <c r="DF41" s="13"/>
      <c r="DG41" s="13"/>
      <c r="DH41" s="13"/>
      <c r="DI41" s="13"/>
      <c r="DJ41" s="13"/>
      <c r="DK41" s="13"/>
      <c r="DL41" s="13"/>
      <c r="DM41" s="13"/>
      <c r="DN41" s="69"/>
      <c r="DO41" s="13"/>
      <c r="DP41" s="13"/>
    </row>
    <row r="42" spans="1:125" ht="12.6" customHeight="1">
      <c r="A42" s="665"/>
      <c r="C42" s="831"/>
      <c r="D42" s="832"/>
      <c r="E42" s="832"/>
      <c r="F42" s="832"/>
      <c r="G42" s="833"/>
      <c r="H42" s="139"/>
      <c r="I42" s="139"/>
      <c r="J42" s="139"/>
      <c r="CN42" s="13"/>
      <c r="CO42" s="13"/>
      <c r="CP42" s="13"/>
      <c r="CQ42" s="62"/>
      <c r="CR42" s="62"/>
      <c r="CS42" s="62"/>
      <c r="CT42" s="62"/>
      <c r="CU42" s="62"/>
      <c r="CV42" s="62"/>
      <c r="CW42" s="62"/>
      <c r="CX42" s="13"/>
      <c r="CY42" s="13"/>
      <c r="CZ42" s="62"/>
      <c r="DA42" s="62"/>
      <c r="DB42" s="62"/>
      <c r="DC42" s="62"/>
      <c r="DD42" s="62"/>
      <c r="DE42" s="13"/>
      <c r="DF42" s="13"/>
      <c r="DG42" s="13"/>
      <c r="DH42" s="13"/>
      <c r="DI42" s="13"/>
      <c r="DJ42" s="13"/>
      <c r="DK42" s="13"/>
      <c r="DL42" s="13"/>
      <c r="DM42" s="13"/>
      <c r="DN42" s="69"/>
      <c r="DO42" s="13"/>
      <c r="DP42" s="13"/>
    </row>
    <row r="43" spans="1:125" ht="12.6" customHeight="1" thickBot="1">
      <c r="A43" s="665"/>
      <c r="C43" s="834"/>
      <c r="D43" s="835"/>
      <c r="E43" s="835"/>
      <c r="F43" s="835"/>
      <c r="G43" s="836"/>
      <c r="H43" s="139"/>
      <c r="I43" s="139"/>
      <c r="J43" s="139"/>
      <c r="CN43" s="13"/>
      <c r="CO43" s="13"/>
      <c r="CP43" s="13"/>
      <c r="CQ43" s="62"/>
      <c r="CR43" s="62"/>
      <c r="CS43" s="62"/>
      <c r="CT43" s="62"/>
      <c r="CU43" s="62"/>
      <c r="CV43" s="62"/>
      <c r="CW43" s="62"/>
      <c r="CX43" s="13"/>
      <c r="CY43" s="13"/>
      <c r="CZ43" s="62"/>
      <c r="DA43" s="62"/>
      <c r="DB43" s="62"/>
      <c r="DC43" s="62"/>
      <c r="DD43" s="62"/>
      <c r="DE43" s="13"/>
      <c r="DF43" s="13"/>
      <c r="DG43" s="13"/>
      <c r="DH43" s="13"/>
      <c r="DI43" s="13"/>
      <c r="DJ43" s="13"/>
      <c r="DK43" s="13"/>
      <c r="DL43" s="13"/>
      <c r="DM43" s="13"/>
      <c r="DN43" s="13"/>
      <c r="DO43" s="13"/>
      <c r="DP43" s="13"/>
    </row>
    <row r="44" spans="1:125" ht="12.6" customHeight="1">
      <c r="A44" s="665"/>
      <c r="CS44" s="13"/>
      <c r="CT44" s="13"/>
      <c r="CU44" s="13"/>
      <c r="CV44" s="62"/>
      <c r="CW44" s="62"/>
      <c r="CX44" s="62"/>
      <c r="CY44" s="62"/>
      <c r="CZ44" s="62"/>
      <c r="DA44" s="62"/>
      <c r="DB44" s="13"/>
      <c r="DC44" s="13"/>
      <c r="DD44" s="13"/>
      <c r="DE44" s="62"/>
      <c r="DF44" s="62"/>
      <c r="DG44" s="62"/>
      <c r="DH44" s="62"/>
      <c r="DI44" s="62"/>
      <c r="DJ44" s="13"/>
      <c r="DK44" s="13"/>
      <c r="DL44" s="13"/>
      <c r="DM44" s="13"/>
      <c r="DN44" s="13"/>
      <c r="DO44" s="13"/>
      <c r="DP44" s="13"/>
      <c r="DQ44" s="13"/>
      <c r="DR44" s="13"/>
      <c r="DS44" s="13"/>
      <c r="DT44" s="13"/>
      <c r="DU44" s="13"/>
    </row>
    <row r="45" spans="1:125" ht="12.6" customHeight="1">
      <c r="A45" s="665"/>
      <c r="CS45" s="13"/>
      <c r="CT45" s="13"/>
      <c r="CU45" s="13"/>
      <c r="CV45" s="62"/>
      <c r="CW45" s="62"/>
      <c r="CX45" s="62"/>
      <c r="CY45" s="62"/>
      <c r="CZ45" s="62"/>
      <c r="DA45" s="62"/>
      <c r="DB45" s="13"/>
      <c r="DC45" s="13"/>
      <c r="DD45" s="13"/>
      <c r="DE45" s="62"/>
      <c r="DF45" s="62"/>
      <c r="DG45" s="62"/>
      <c r="DH45" s="62"/>
      <c r="DI45" s="62"/>
      <c r="DJ45" s="13"/>
      <c r="DK45" s="13"/>
      <c r="DL45" s="13"/>
      <c r="DM45" s="13"/>
      <c r="DN45" s="13"/>
      <c r="DO45" s="13"/>
      <c r="DP45" s="13"/>
      <c r="DQ45" s="13"/>
      <c r="DR45" s="13"/>
      <c r="DS45" s="13"/>
      <c r="DT45" s="13"/>
      <c r="DU45" s="13"/>
    </row>
    <row r="46" spans="1:125" ht="12.6" customHeight="1">
      <c r="A46" s="544"/>
      <c r="CS46" s="13"/>
      <c r="CT46" s="13"/>
      <c r="CU46" s="13"/>
      <c r="CV46" s="62"/>
      <c r="CW46" s="62"/>
      <c r="CX46" s="62"/>
      <c r="CY46" s="62"/>
      <c r="CZ46" s="62"/>
      <c r="DA46" s="62"/>
      <c r="DB46" s="62"/>
      <c r="DC46" s="13"/>
      <c r="DD46" s="13"/>
      <c r="DE46" s="62"/>
      <c r="DF46" s="62"/>
      <c r="DG46" s="62"/>
      <c r="DH46" s="62"/>
      <c r="DI46" s="62"/>
      <c r="DJ46" s="13"/>
      <c r="DK46" s="13"/>
      <c r="DL46" s="13"/>
      <c r="DM46" s="13"/>
      <c r="DN46" s="13"/>
      <c r="DO46" s="13"/>
      <c r="DP46" s="13"/>
      <c r="DQ46" s="13"/>
      <c r="DR46" s="13"/>
      <c r="DS46" s="13"/>
      <c r="DT46" s="13"/>
      <c r="DU46" s="13"/>
    </row>
    <row r="47" spans="1:125" ht="15" customHeight="1">
      <c r="A47" s="544"/>
      <c r="B47" s="88" t="s">
        <v>190</v>
      </c>
      <c r="C47" s="140" t="s">
        <v>191</v>
      </c>
      <c r="CV47" s="62"/>
      <c r="CW47" s="62"/>
      <c r="CX47" s="62"/>
      <c r="CY47" s="62"/>
      <c r="CZ47" s="62"/>
      <c r="DA47" s="13"/>
      <c r="DB47" s="13"/>
      <c r="DC47" s="13"/>
      <c r="DD47" s="13"/>
      <c r="DE47" s="62"/>
      <c r="DF47" s="62"/>
      <c r="DG47" s="62"/>
      <c r="DH47" s="62"/>
      <c r="DI47" s="62"/>
    </row>
    <row r="48" spans="1:125" ht="12.6" customHeight="1">
      <c r="A48" s="544"/>
      <c r="CV48" s="62"/>
      <c r="CW48" s="62"/>
      <c r="CX48" s="62"/>
      <c r="CY48" s="62"/>
      <c r="CZ48" s="62"/>
      <c r="DA48" s="13"/>
      <c r="DB48" s="13"/>
      <c r="DC48" s="13"/>
      <c r="DD48" s="13"/>
      <c r="DE48" s="62"/>
      <c r="DF48" s="62"/>
      <c r="DG48" s="62"/>
      <c r="DH48" s="62"/>
      <c r="DI48" s="62"/>
    </row>
    <row r="49" spans="1:113" ht="12.6" customHeight="1">
      <c r="A49" s="544"/>
      <c r="CV49" s="62"/>
      <c r="CW49" s="62"/>
      <c r="CX49" s="62"/>
      <c r="CY49" s="62"/>
      <c r="CZ49" s="62"/>
      <c r="DA49" s="13"/>
      <c r="DB49" s="13"/>
      <c r="DC49" s="13"/>
      <c r="DD49" s="13"/>
      <c r="DE49" s="62"/>
      <c r="DF49" s="62"/>
      <c r="DG49" s="62"/>
      <c r="DH49" s="62"/>
      <c r="DI49" s="62"/>
    </row>
    <row r="50" spans="1:113" ht="12.6" customHeight="1">
      <c r="A50" s="544"/>
      <c r="CV50" s="62"/>
      <c r="CW50" s="62"/>
      <c r="CX50" s="62"/>
      <c r="CY50" s="62"/>
      <c r="CZ50" s="62"/>
      <c r="DA50" s="13"/>
      <c r="DB50" s="13"/>
      <c r="DC50" s="13"/>
      <c r="DD50" s="13"/>
      <c r="DE50" s="62"/>
      <c r="DF50" s="62"/>
      <c r="DG50" s="62"/>
      <c r="DH50" s="62"/>
      <c r="DI50" s="62"/>
    </row>
    <row r="51" spans="1:113" ht="12.6" customHeight="1">
      <c r="A51" s="544"/>
      <c r="CV51" s="62"/>
      <c r="CW51" s="62"/>
      <c r="CX51" s="62"/>
      <c r="CY51" s="62"/>
      <c r="CZ51" s="62"/>
      <c r="DA51" s="13"/>
      <c r="DB51" s="13"/>
      <c r="DC51" s="13"/>
      <c r="DD51" s="13"/>
      <c r="DE51" s="62"/>
      <c r="DF51" s="62"/>
      <c r="DG51" s="62"/>
      <c r="DH51" s="62"/>
      <c r="DI51" s="62"/>
    </row>
    <row r="52" spans="1:113" ht="12.6" customHeight="1">
      <c r="A52" s="544"/>
      <c r="CV52" s="62"/>
      <c r="CW52" s="62"/>
      <c r="CX52" s="62"/>
      <c r="CY52" s="62"/>
      <c r="CZ52" s="62"/>
      <c r="DA52" s="13"/>
      <c r="DB52" s="13"/>
      <c r="DC52" s="13"/>
      <c r="DD52" s="13"/>
      <c r="DE52" s="62"/>
      <c r="DF52" s="62"/>
      <c r="DG52" s="62"/>
      <c r="DH52" s="62"/>
      <c r="DI52" s="62"/>
    </row>
    <row r="53" spans="1:113" ht="12.6" customHeight="1">
      <c r="A53" s="544"/>
      <c r="CV53" s="62"/>
      <c r="CW53" s="62"/>
      <c r="CX53" s="62"/>
      <c r="CY53" s="62"/>
      <c r="CZ53" s="62"/>
      <c r="DA53" s="13"/>
      <c r="DB53" s="13"/>
      <c r="DC53" s="13"/>
      <c r="DD53" s="13"/>
      <c r="DE53" s="62"/>
      <c r="DF53" s="62"/>
      <c r="DG53" s="62"/>
      <c r="DH53" s="62"/>
      <c r="DI53" s="62"/>
    </row>
    <row r="54" spans="1:113" ht="12.6" customHeight="1">
      <c r="A54" s="665"/>
      <c r="CV54" s="62"/>
      <c r="CW54" s="62"/>
      <c r="CX54" s="62"/>
      <c r="CY54" s="62"/>
      <c r="CZ54" s="62"/>
      <c r="DA54" s="13"/>
      <c r="DB54" s="13"/>
      <c r="DC54" s="13"/>
      <c r="DD54" s="13"/>
      <c r="DE54" s="62"/>
      <c r="DF54" s="62"/>
      <c r="DG54" s="62"/>
      <c r="DH54" s="62"/>
      <c r="DI54" s="62"/>
    </row>
    <row r="55" spans="1:113" ht="12.6" customHeight="1">
      <c r="A55" s="665"/>
      <c r="CV55" s="62"/>
      <c r="CW55" s="62"/>
      <c r="CX55" s="62"/>
      <c r="CY55" s="62"/>
      <c r="CZ55" s="62"/>
      <c r="DA55" s="13"/>
      <c r="DB55" s="13"/>
      <c r="DC55" s="13"/>
      <c r="DD55" s="13"/>
      <c r="DE55" s="62"/>
      <c r="DF55" s="62"/>
      <c r="DG55" s="62"/>
      <c r="DH55" s="62"/>
      <c r="DI55" s="62"/>
    </row>
    <row r="56" spans="1:113" ht="12.6" customHeight="1">
      <c r="A56" s="665"/>
      <c r="CV56" s="62"/>
      <c r="CW56" s="62"/>
      <c r="CX56" s="62"/>
      <c r="CY56" s="62"/>
      <c r="CZ56" s="62"/>
      <c r="DA56" s="13"/>
      <c r="DB56" s="13"/>
      <c r="DC56" s="13"/>
      <c r="DD56" s="13"/>
      <c r="DE56" s="62"/>
      <c r="DF56" s="62"/>
      <c r="DG56" s="62"/>
      <c r="DH56" s="62"/>
      <c r="DI56" s="62"/>
    </row>
    <row r="57" spans="1:113" ht="12.6" customHeight="1">
      <c r="A57" s="665"/>
      <c r="CV57" s="62"/>
      <c r="CW57" s="62"/>
      <c r="CX57" s="62"/>
      <c r="CY57" s="62"/>
      <c r="CZ57" s="62"/>
      <c r="DA57" s="13"/>
      <c r="DB57" s="13"/>
      <c r="DC57" s="13"/>
      <c r="DD57" s="13"/>
      <c r="DE57" s="62"/>
      <c r="DF57" s="62"/>
      <c r="DG57" s="62"/>
      <c r="DH57" s="62"/>
      <c r="DI57" s="62"/>
    </row>
    <row r="58" spans="1:113" ht="12.6" customHeight="1">
      <c r="A58" s="665"/>
      <c r="CV58" s="62"/>
      <c r="CW58" s="62"/>
      <c r="CX58" s="62"/>
      <c r="CY58" s="62"/>
      <c r="CZ58" s="62"/>
      <c r="DA58" s="13"/>
      <c r="DB58" s="13"/>
      <c r="DC58" s="13"/>
      <c r="DD58" s="13"/>
      <c r="DE58" s="62"/>
      <c r="DF58" s="62"/>
      <c r="DG58" s="62"/>
      <c r="DH58" s="62"/>
      <c r="DI58" s="62"/>
    </row>
    <row r="59" spans="1:113" ht="12.6" customHeight="1">
      <c r="A59" s="665"/>
      <c r="CV59" s="62"/>
      <c r="CW59" s="62"/>
      <c r="CX59" s="62"/>
      <c r="CY59" s="62"/>
      <c r="CZ59" s="62"/>
      <c r="DA59" s="13"/>
      <c r="DB59" s="13"/>
      <c r="DC59" s="13"/>
      <c r="DD59" s="13"/>
      <c r="DE59" s="62"/>
      <c r="DF59" s="62"/>
      <c r="DG59" s="62"/>
      <c r="DH59" s="62"/>
      <c r="DI59" s="62"/>
    </row>
    <row r="60" spans="1:113" ht="12.6" customHeight="1">
      <c r="A60" s="665"/>
      <c r="CV60" s="62"/>
      <c r="CW60" s="62"/>
      <c r="CX60" s="62"/>
      <c r="CY60" s="62"/>
      <c r="CZ60" s="62"/>
      <c r="DA60" s="13"/>
      <c r="DB60" s="13"/>
      <c r="DC60" s="13"/>
      <c r="DD60" s="13"/>
      <c r="DE60" s="62"/>
      <c r="DF60" s="62"/>
      <c r="DG60" s="62"/>
      <c r="DH60" s="62"/>
      <c r="DI60" s="62"/>
    </row>
    <row r="61" spans="1:113" ht="12.6" customHeight="1">
      <c r="A61" s="665"/>
      <c r="CV61" s="62"/>
      <c r="CW61" s="62"/>
      <c r="CX61" s="62"/>
      <c r="CY61" s="62"/>
      <c r="CZ61" s="62"/>
      <c r="DA61" s="13"/>
      <c r="DB61" s="13"/>
      <c r="DC61" s="13"/>
      <c r="DD61" s="13"/>
      <c r="DE61" s="62"/>
      <c r="DF61" s="62"/>
      <c r="DG61" s="62"/>
      <c r="DH61" s="62"/>
      <c r="DI61" s="62"/>
    </row>
    <row r="62" spans="1:113" ht="12.6" customHeight="1">
      <c r="A62" s="544"/>
      <c r="CV62" s="62"/>
      <c r="CW62" s="62"/>
      <c r="CX62" s="62"/>
      <c r="CY62" s="62"/>
      <c r="CZ62" s="62"/>
      <c r="DA62" s="13"/>
      <c r="DB62" s="13"/>
      <c r="DC62" s="13"/>
      <c r="DD62" s="13"/>
      <c r="DE62" s="62"/>
      <c r="DF62" s="62"/>
      <c r="DG62" s="62"/>
      <c r="DH62" s="62"/>
      <c r="DI62" s="62"/>
    </row>
    <row r="63" spans="1:113" ht="12.6" customHeight="1">
      <c r="A63" s="544"/>
      <c r="CV63" s="62"/>
      <c r="CW63" s="62"/>
      <c r="CX63" s="62"/>
      <c r="CY63" s="62"/>
      <c r="CZ63" s="62"/>
      <c r="DA63" s="13"/>
      <c r="DB63" s="13"/>
      <c r="DC63" s="13"/>
      <c r="DD63" s="13"/>
      <c r="DE63" s="62"/>
      <c r="DF63" s="62"/>
      <c r="DG63" s="62"/>
      <c r="DH63" s="62"/>
      <c r="DI63" s="62"/>
    </row>
    <row r="64" spans="1:113" ht="12.6" customHeight="1">
      <c r="A64" s="544"/>
      <c r="CV64" s="62"/>
      <c r="CW64" s="62"/>
      <c r="CX64" s="62"/>
      <c r="CY64" s="62"/>
      <c r="CZ64" s="62"/>
      <c r="DA64" s="13"/>
      <c r="DB64" s="13"/>
      <c r="DC64" s="13"/>
      <c r="DD64" s="13"/>
      <c r="DE64" s="62"/>
      <c r="DF64" s="62"/>
      <c r="DG64" s="62"/>
      <c r="DH64" s="62"/>
      <c r="DI64" s="62"/>
    </row>
    <row r="65" spans="1:113" ht="12.6" customHeight="1">
      <c r="A65" s="544"/>
      <c r="CV65" s="62"/>
      <c r="CW65" s="62"/>
      <c r="CX65" s="62"/>
      <c r="CY65" s="62"/>
      <c r="CZ65" s="62"/>
      <c r="DA65" s="13"/>
      <c r="DB65" s="13"/>
      <c r="DC65" s="13"/>
      <c r="DD65" s="13"/>
      <c r="DE65" s="62"/>
      <c r="DF65" s="62"/>
      <c r="DG65" s="62"/>
      <c r="DH65" s="62"/>
      <c r="DI65" s="62"/>
    </row>
    <row r="66" spans="1:113" ht="12.6" customHeight="1">
      <c r="A66" s="544"/>
      <c r="CV66" s="62"/>
      <c r="CW66" s="62"/>
      <c r="CX66" s="62"/>
      <c r="CY66" s="62"/>
      <c r="CZ66" s="62"/>
      <c r="DA66" s="13"/>
      <c r="DB66" s="13"/>
      <c r="DC66" s="13"/>
      <c r="DD66" s="13"/>
      <c r="DE66" s="62"/>
      <c r="DF66" s="62"/>
      <c r="DG66" s="62"/>
      <c r="DH66" s="62"/>
      <c r="DI66" s="62"/>
    </row>
    <row r="67" spans="1:113" ht="12.6" customHeight="1">
      <c r="A67" s="544"/>
      <c r="CV67" s="62"/>
      <c r="CW67" s="62"/>
      <c r="CX67" s="62"/>
      <c r="CY67" s="62"/>
      <c r="CZ67" s="62"/>
      <c r="DA67" s="13"/>
      <c r="DB67" s="13"/>
      <c r="DC67" s="13"/>
      <c r="DD67" s="13"/>
      <c r="DE67" s="62"/>
      <c r="DF67" s="62"/>
      <c r="DG67" s="62"/>
      <c r="DH67" s="62"/>
      <c r="DI67" s="62"/>
    </row>
    <row r="68" spans="1:113" ht="12.6" customHeight="1">
      <c r="A68" s="544"/>
      <c r="CV68" s="62"/>
      <c r="CW68" s="62"/>
      <c r="CX68" s="62"/>
      <c r="CY68" s="62"/>
      <c r="CZ68" s="62"/>
      <c r="DA68" s="13"/>
      <c r="DB68" s="13"/>
      <c r="DC68" s="13"/>
      <c r="DD68" s="13"/>
      <c r="DE68" s="62"/>
      <c r="DF68" s="62"/>
      <c r="DG68" s="62"/>
      <c r="DH68" s="62"/>
      <c r="DI68" s="62"/>
    </row>
    <row r="69" spans="1:113" ht="12.6" customHeight="1">
      <c r="A69" s="544"/>
      <c r="CV69" s="62"/>
      <c r="CW69" s="62"/>
      <c r="CX69" s="62"/>
      <c r="CY69" s="62"/>
      <c r="CZ69" s="62"/>
      <c r="DA69" s="13"/>
      <c r="DB69" s="13"/>
      <c r="DC69" s="13"/>
      <c r="DD69" s="13"/>
      <c r="DE69" s="62"/>
      <c r="DF69" s="62"/>
      <c r="DG69" s="62"/>
      <c r="DH69" s="62"/>
      <c r="DI69" s="62"/>
    </row>
    <row r="70" spans="1:113" ht="12.6" customHeight="1">
      <c r="A70" s="544"/>
      <c r="CV70" s="62"/>
      <c r="CW70" s="62"/>
      <c r="CX70" s="62"/>
      <c r="CY70" s="62"/>
      <c r="CZ70" s="62"/>
      <c r="DA70" s="13"/>
      <c r="DB70" s="13"/>
      <c r="DC70" s="13"/>
      <c r="DD70" s="13"/>
      <c r="DE70" s="62"/>
      <c r="DF70" s="62"/>
      <c r="DG70" s="62"/>
      <c r="DH70" s="62"/>
      <c r="DI70" s="62"/>
    </row>
    <row r="71" spans="1:113" ht="12.6" customHeight="1">
      <c r="A71" s="544"/>
      <c r="CV71" s="62"/>
      <c r="CW71" s="62"/>
      <c r="CX71" s="62"/>
      <c r="CY71" s="62"/>
      <c r="CZ71" s="62"/>
      <c r="DA71" s="13"/>
      <c r="DB71" s="13"/>
      <c r="DC71" s="13"/>
      <c r="DD71" s="13"/>
      <c r="DE71" s="62"/>
      <c r="DF71" s="62"/>
      <c r="DG71" s="62"/>
      <c r="DH71" s="62"/>
      <c r="DI71" s="62"/>
    </row>
    <row r="72" spans="1:113" ht="12.6" customHeight="1">
      <c r="A72" s="544"/>
      <c r="CV72" s="62"/>
      <c r="CW72" s="62"/>
      <c r="CX72" s="62"/>
      <c r="CY72" s="62"/>
      <c r="CZ72" s="62"/>
      <c r="DA72" s="13"/>
      <c r="DB72" s="13"/>
      <c r="DC72" s="13"/>
      <c r="DD72" s="13"/>
      <c r="DE72" s="62"/>
      <c r="DF72" s="62"/>
      <c r="DG72" s="62"/>
      <c r="DH72" s="62"/>
      <c r="DI72" s="62"/>
    </row>
    <row r="73" spans="1:113" ht="12.6" customHeight="1">
      <c r="A73" s="544"/>
      <c r="CV73" s="62"/>
      <c r="CW73" s="62"/>
      <c r="CX73" s="62"/>
      <c r="CY73" s="62"/>
      <c r="CZ73" s="62"/>
      <c r="DA73" s="13"/>
      <c r="DB73" s="13"/>
      <c r="DC73" s="13"/>
      <c r="DD73" s="13"/>
      <c r="DE73" s="62"/>
      <c r="DF73" s="62"/>
      <c r="DG73" s="62"/>
      <c r="DH73" s="62"/>
      <c r="DI73" s="62"/>
    </row>
    <row r="74" spans="1:113" ht="12.6" customHeight="1">
      <c r="A74" s="544"/>
      <c r="CV74" s="62"/>
      <c r="CW74" s="62"/>
      <c r="CX74" s="62"/>
      <c r="CY74" s="62"/>
      <c r="CZ74" s="62"/>
      <c r="DA74" s="13"/>
      <c r="DB74" s="13"/>
      <c r="DC74" s="13"/>
      <c r="DD74" s="13"/>
      <c r="DE74" s="62"/>
      <c r="DF74" s="62"/>
      <c r="DG74" s="62"/>
      <c r="DH74" s="62"/>
      <c r="DI74" s="62"/>
    </row>
    <row r="75" spans="1:113" ht="12.6" customHeight="1">
      <c r="A75" s="544"/>
      <c r="CV75" s="62"/>
      <c r="CW75" s="62"/>
      <c r="CX75" s="62"/>
      <c r="CY75" s="62"/>
      <c r="CZ75" s="62"/>
      <c r="DA75" s="13"/>
      <c r="DB75" s="13"/>
      <c r="DC75" s="13"/>
      <c r="DD75" s="13"/>
      <c r="DE75" s="62"/>
      <c r="DF75" s="62"/>
      <c r="DG75" s="62"/>
      <c r="DH75" s="62"/>
      <c r="DI75" s="62"/>
    </row>
    <row r="76" spans="1:113" ht="12.6" customHeight="1">
      <c r="A76" s="544"/>
      <c r="CV76" s="62"/>
      <c r="CW76" s="62"/>
      <c r="CX76" s="62"/>
      <c r="CY76" s="62"/>
      <c r="CZ76" s="62"/>
      <c r="DA76" s="13"/>
      <c r="DB76" s="13"/>
      <c r="DC76" s="13"/>
      <c r="DD76" s="13"/>
      <c r="DE76" s="62"/>
      <c r="DF76" s="62"/>
      <c r="DG76" s="62"/>
      <c r="DH76" s="62"/>
      <c r="DI76" s="62"/>
    </row>
    <row r="77" spans="1:113" ht="12.6" customHeight="1">
      <c r="A77" s="544"/>
      <c r="CV77" s="62"/>
      <c r="CW77" s="62"/>
      <c r="CX77" s="62"/>
      <c r="CY77" s="62"/>
      <c r="CZ77" s="62"/>
      <c r="DA77" s="13"/>
      <c r="DB77" s="13"/>
      <c r="DC77" s="13"/>
      <c r="DD77" s="13"/>
      <c r="DE77" s="62"/>
      <c r="DF77" s="62"/>
      <c r="DG77" s="62"/>
      <c r="DH77" s="62"/>
      <c r="DI77" s="62"/>
    </row>
    <row r="78" spans="1:113" ht="12.6" customHeight="1">
      <c r="A78" s="544"/>
      <c r="CV78" s="62"/>
      <c r="CW78" s="62"/>
      <c r="CX78" s="62"/>
      <c r="CY78" s="62"/>
      <c r="CZ78" s="62"/>
      <c r="DA78" s="13"/>
      <c r="DB78" s="13"/>
      <c r="DC78" s="13"/>
      <c r="DD78" s="13"/>
      <c r="DE78" s="62"/>
      <c r="DF78" s="62"/>
      <c r="DG78" s="62"/>
      <c r="DH78" s="62"/>
      <c r="DI78" s="62"/>
    </row>
    <row r="79" spans="1:113" ht="12.6" customHeight="1">
      <c r="A79" s="544"/>
      <c r="CV79" s="62"/>
      <c r="CW79" s="62"/>
      <c r="CX79" s="62"/>
      <c r="CY79" s="62"/>
      <c r="CZ79" s="62"/>
      <c r="DA79" s="13"/>
      <c r="DB79" s="13"/>
      <c r="DC79" s="13"/>
      <c r="DD79" s="13"/>
      <c r="DE79" s="62"/>
      <c r="DF79" s="62"/>
      <c r="DG79" s="62"/>
      <c r="DH79" s="62"/>
      <c r="DI79" s="62"/>
    </row>
    <row r="80" spans="1:113" ht="12.6" customHeight="1">
      <c r="A80" s="544"/>
      <c r="CV80" s="62"/>
      <c r="CW80" s="62"/>
      <c r="CX80" s="62"/>
      <c r="CY80" s="62"/>
      <c r="CZ80" s="62"/>
      <c r="DA80" s="13"/>
      <c r="DB80" s="13"/>
      <c r="DC80" s="13"/>
      <c r="DD80" s="13"/>
      <c r="DE80" s="62"/>
      <c r="DF80" s="62"/>
      <c r="DG80" s="62"/>
      <c r="DH80" s="62"/>
      <c r="DI80" s="62"/>
    </row>
    <row r="81" spans="1:113" ht="12.6" customHeight="1">
      <c r="A81" s="544"/>
      <c r="CV81" s="62"/>
      <c r="CW81" s="62"/>
      <c r="CX81" s="62"/>
      <c r="CY81" s="62"/>
      <c r="CZ81" s="62"/>
      <c r="DA81" s="13"/>
      <c r="DB81" s="13"/>
      <c r="DC81" s="13"/>
      <c r="DD81" s="13"/>
      <c r="DE81" s="62"/>
      <c r="DF81" s="62"/>
      <c r="DG81" s="62"/>
      <c r="DH81" s="62"/>
      <c r="DI81" s="62"/>
    </row>
    <row r="82" spans="1:113" ht="12.6" customHeight="1">
      <c r="A82" s="544"/>
      <c r="CV82" s="62"/>
      <c r="CW82" s="62"/>
      <c r="CX82" s="62"/>
      <c r="CY82" s="62"/>
      <c r="CZ82" s="62"/>
      <c r="DA82" s="13"/>
      <c r="DB82" s="13"/>
      <c r="DC82" s="13"/>
      <c r="DD82" s="13"/>
      <c r="DE82" s="62"/>
      <c r="DF82" s="62"/>
      <c r="DG82" s="62"/>
      <c r="DH82" s="62"/>
      <c r="DI82" s="62"/>
    </row>
    <row r="83" spans="1:113" ht="12.6" customHeight="1">
      <c r="A83" s="544"/>
      <c r="CV83" s="62"/>
      <c r="CW83" s="62"/>
      <c r="CX83" s="62"/>
      <c r="CY83" s="62"/>
      <c r="CZ83" s="62"/>
      <c r="DA83" s="13"/>
      <c r="DB83" s="13"/>
      <c r="DC83" s="13"/>
      <c r="DD83" s="13"/>
      <c r="DE83" s="62"/>
      <c r="DF83" s="62"/>
      <c r="DG83" s="62"/>
      <c r="DH83" s="62"/>
      <c r="DI83" s="62"/>
    </row>
    <row r="84" spans="1:113" ht="12.6" customHeight="1">
      <c r="A84" s="544"/>
      <c r="CV84" s="62"/>
      <c r="CW84" s="62"/>
      <c r="CX84" s="62"/>
      <c r="CY84" s="62"/>
      <c r="CZ84" s="62"/>
      <c r="DA84" s="13"/>
      <c r="DB84" s="13"/>
      <c r="DC84" s="13"/>
      <c r="DD84" s="13"/>
      <c r="DE84" s="62"/>
      <c r="DF84" s="62"/>
      <c r="DG84" s="62"/>
      <c r="DH84" s="62"/>
      <c r="DI84" s="62"/>
    </row>
    <row r="85" spans="1:113" ht="12.6" customHeight="1">
      <c r="A85" s="544"/>
      <c r="CV85" s="62"/>
      <c r="CW85" s="62"/>
      <c r="CX85" s="62"/>
      <c r="CY85" s="62"/>
      <c r="CZ85" s="62"/>
      <c r="DA85" s="13"/>
      <c r="DB85" s="13"/>
      <c r="DC85" s="13"/>
      <c r="DD85" s="13"/>
      <c r="DE85" s="62"/>
      <c r="DF85" s="62"/>
      <c r="DG85" s="62"/>
      <c r="DH85" s="62"/>
      <c r="DI85" s="62"/>
    </row>
    <row r="86" spans="1:113" ht="12.6" customHeight="1">
      <c r="A86" s="544"/>
      <c r="CV86" s="62"/>
      <c r="CW86" s="62"/>
      <c r="CX86" s="62"/>
      <c r="CY86" s="62"/>
      <c r="CZ86" s="62"/>
      <c r="DA86" s="13"/>
      <c r="DB86" s="13"/>
      <c r="DC86" s="13"/>
      <c r="DD86" s="13"/>
      <c r="DE86" s="62"/>
      <c r="DF86" s="62"/>
      <c r="DG86" s="62"/>
      <c r="DH86" s="62"/>
      <c r="DI86" s="62"/>
    </row>
    <row r="87" spans="1:113" ht="12.6" customHeight="1">
      <c r="A87" s="544"/>
      <c r="CV87" s="62"/>
      <c r="CW87" s="62"/>
      <c r="CX87" s="62"/>
      <c r="CY87" s="62"/>
      <c r="CZ87" s="62"/>
      <c r="DA87" s="13"/>
      <c r="DB87" s="13"/>
      <c r="DC87" s="13"/>
      <c r="DD87" s="13"/>
      <c r="DE87" s="62"/>
      <c r="DF87" s="62"/>
      <c r="DG87" s="62"/>
      <c r="DH87" s="62"/>
      <c r="DI87" s="62"/>
    </row>
    <row r="88" spans="1:113" ht="12.6" customHeight="1">
      <c r="A88" s="544"/>
      <c r="CV88" s="62"/>
      <c r="CW88" s="62"/>
      <c r="CX88" s="62"/>
      <c r="CY88" s="62"/>
      <c r="CZ88" s="62"/>
      <c r="DA88" s="13"/>
      <c r="DB88" s="13"/>
      <c r="DC88" s="13"/>
      <c r="DD88" s="13"/>
      <c r="DE88" s="62"/>
      <c r="DF88" s="62"/>
      <c r="DG88" s="62"/>
      <c r="DH88" s="62"/>
      <c r="DI88" s="62"/>
    </row>
    <row r="89" spans="1:113" ht="12.6" customHeight="1">
      <c r="A89" s="544"/>
      <c r="CV89" s="62"/>
      <c r="CW89" s="62"/>
      <c r="CX89" s="62"/>
      <c r="CY89" s="62"/>
      <c r="CZ89" s="62"/>
      <c r="DA89" s="13"/>
      <c r="DB89" s="13"/>
      <c r="DC89" s="13"/>
      <c r="DD89" s="13"/>
      <c r="DE89" s="62"/>
      <c r="DF89" s="62"/>
      <c r="DG89" s="62"/>
      <c r="DH89" s="62"/>
      <c r="DI89" s="62"/>
    </row>
    <row r="90" spans="1:113" ht="12.6" customHeight="1">
      <c r="A90" s="544"/>
      <c r="CV90" s="62"/>
      <c r="CW90" s="62"/>
      <c r="CX90" s="62"/>
      <c r="CY90" s="62"/>
      <c r="CZ90" s="62"/>
      <c r="DA90" s="13"/>
      <c r="DB90" s="13"/>
      <c r="DC90" s="13"/>
      <c r="DD90" s="13"/>
      <c r="DE90" s="62"/>
      <c r="DF90" s="62"/>
      <c r="DG90" s="62"/>
      <c r="DH90" s="62"/>
      <c r="DI90" s="62"/>
    </row>
    <row r="91" spans="1:113" ht="12.6" customHeight="1">
      <c r="A91" s="544"/>
      <c r="CV91" s="62"/>
      <c r="CW91" s="62"/>
      <c r="CX91" s="62"/>
      <c r="CY91" s="62"/>
      <c r="CZ91" s="62"/>
      <c r="DA91" s="13"/>
      <c r="DB91" s="13"/>
      <c r="DC91" s="13"/>
      <c r="DD91" s="13"/>
      <c r="DE91" s="62"/>
      <c r="DF91" s="62"/>
      <c r="DG91" s="62"/>
      <c r="DH91" s="62"/>
      <c r="DI91" s="62"/>
    </row>
    <row r="92" spans="1:113" ht="12.6" customHeight="1">
      <c r="A92" s="544"/>
      <c r="CV92" s="62"/>
      <c r="CW92" s="62"/>
      <c r="CX92" s="62"/>
      <c r="CY92" s="62"/>
      <c r="CZ92" s="62"/>
      <c r="DA92" s="13"/>
      <c r="DB92" s="13"/>
      <c r="DC92" s="13"/>
      <c r="DD92" s="13"/>
      <c r="DE92" s="62"/>
      <c r="DF92" s="62"/>
      <c r="DG92" s="62"/>
      <c r="DH92" s="62"/>
      <c r="DI92" s="62"/>
    </row>
    <row r="93" spans="1:113" ht="12.6" customHeight="1">
      <c r="A93" s="544"/>
      <c r="CV93" s="62"/>
      <c r="CW93" s="62"/>
      <c r="CX93" s="62"/>
      <c r="CY93" s="62"/>
      <c r="CZ93" s="62"/>
      <c r="DA93" s="13"/>
      <c r="DB93" s="13"/>
      <c r="DC93" s="13"/>
      <c r="DD93" s="13"/>
      <c r="DE93" s="62"/>
      <c r="DF93" s="62"/>
      <c r="DG93" s="62"/>
      <c r="DH93" s="62"/>
      <c r="DI93" s="62"/>
    </row>
    <row r="94" spans="1:113" ht="12.6" customHeight="1">
      <c r="A94" s="544"/>
      <c r="CV94" s="62"/>
      <c r="CW94" s="62"/>
      <c r="CX94" s="62"/>
      <c r="CY94" s="62"/>
      <c r="CZ94" s="62"/>
      <c r="DA94" s="13"/>
      <c r="DB94" s="13"/>
      <c r="DC94" s="13"/>
      <c r="DD94" s="13"/>
      <c r="DE94" s="62"/>
      <c r="DF94" s="62"/>
      <c r="DG94" s="62"/>
      <c r="DH94" s="62"/>
      <c r="DI94" s="62"/>
    </row>
    <row r="95" spans="1:113" ht="12.6" customHeight="1">
      <c r="A95" s="544"/>
      <c r="CV95" s="62"/>
      <c r="CW95" s="62"/>
      <c r="CX95" s="62"/>
      <c r="CY95" s="62"/>
      <c r="CZ95" s="62"/>
      <c r="DA95" s="13"/>
      <c r="DB95" s="13"/>
      <c r="DC95" s="13"/>
      <c r="DD95" s="13"/>
      <c r="DE95" s="62"/>
      <c r="DF95" s="62"/>
      <c r="DG95" s="62"/>
      <c r="DH95" s="62"/>
      <c r="DI95" s="62"/>
    </row>
    <row r="96" spans="1:113" ht="12.6" customHeight="1">
      <c r="A96" s="544"/>
      <c r="CV96" s="62"/>
      <c r="CW96" s="62"/>
      <c r="CX96" s="62"/>
      <c r="CY96" s="62"/>
      <c r="CZ96" s="62"/>
      <c r="DA96" s="13"/>
      <c r="DB96" s="13"/>
      <c r="DC96" s="13"/>
      <c r="DD96" s="13"/>
      <c r="DE96" s="62"/>
      <c r="DF96" s="62"/>
      <c r="DG96" s="62"/>
      <c r="DH96" s="62"/>
      <c r="DI96" s="62"/>
    </row>
    <row r="97" spans="1:113" ht="12.6" customHeight="1">
      <c r="A97" s="544"/>
      <c r="CV97" s="62"/>
      <c r="CW97" s="62"/>
      <c r="CX97" s="62"/>
      <c r="CY97" s="62"/>
      <c r="CZ97" s="62"/>
      <c r="DA97" s="13"/>
      <c r="DB97" s="13"/>
      <c r="DC97" s="13"/>
      <c r="DD97" s="13"/>
      <c r="DE97" s="62"/>
      <c r="DF97" s="62"/>
      <c r="DG97" s="62"/>
      <c r="DH97" s="62"/>
      <c r="DI97" s="62"/>
    </row>
    <row r="98" spans="1:113" ht="12.6" customHeight="1">
      <c r="A98" s="544"/>
      <c r="CV98" s="62"/>
      <c r="CW98" s="62"/>
      <c r="CX98" s="62"/>
      <c r="CY98" s="62"/>
      <c r="CZ98" s="62"/>
      <c r="DA98" s="13"/>
      <c r="DB98" s="13"/>
      <c r="DC98" s="13"/>
      <c r="DD98" s="13"/>
      <c r="DE98" s="62"/>
      <c r="DF98" s="62"/>
      <c r="DG98" s="62"/>
      <c r="DH98" s="62"/>
      <c r="DI98" s="62"/>
    </row>
    <row r="99" spans="1:113" ht="12.6" customHeight="1">
      <c r="A99" s="544"/>
      <c r="CV99" s="62"/>
      <c r="CW99" s="62"/>
      <c r="CX99" s="62"/>
      <c r="CY99" s="62"/>
      <c r="CZ99" s="62"/>
      <c r="DA99" s="13"/>
      <c r="DB99" s="13"/>
      <c r="DC99" s="13"/>
      <c r="DD99" s="13"/>
      <c r="DE99" s="62"/>
      <c r="DF99" s="62"/>
      <c r="DG99" s="62"/>
      <c r="DH99" s="62"/>
      <c r="DI99" s="62"/>
    </row>
    <row r="100" spans="1:113" ht="12.6" customHeight="1">
      <c r="A100" s="544"/>
      <c r="CV100" s="62"/>
      <c r="CW100" s="62"/>
      <c r="CX100" s="62"/>
      <c r="CY100" s="62"/>
      <c r="CZ100" s="62"/>
      <c r="DA100" s="13"/>
      <c r="DB100" s="13"/>
      <c r="DC100" s="13"/>
      <c r="DD100" s="13"/>
      <c r="DE100" s="62"/>
      <c r="DF100" s="62"/>
      <c r="DG100" s="62"/>
      <c r="DH100" s="62"/>
      <c r="DI100" s="62"/>
    </row>
    <row r="101" spans="1:113" ht="12.6" customHeight="1">
      <c r="A101" s="544"/>
      <c r="CV101" s="62"/>
      <c r="CW101" s="62"/>
      <c r="CX101" s="62"/>
      <c r="CY101" s="62"/>
      <c r="CZ101" s="62"/>
      <c r="DA101" s="13"/>
      <c r="DB101" s="13"/>
      <c r="DC101" s="13"/>
      <c r="DD101" s="13"/>
      <c r="DE101" s="62"/>
      <c r="DF101" s="62"/>
      <c r="DG101" s="62"/>
      <c r="DH101" s="62"/>
      <c r="DI101" s="62"/>
    </row>
    <row r="102" spans="1:113" ht="12.6" customHeight="1">
      <c r="A102" s="544"/>
      <c r="CV102" s="62"/>
      <c r="CW102" s="62"/>
      <c r="CX102" s="62"/>
      <c r="CY102" s="62"/>
      <c r="CZ102" s="62"/>
      <c r="DA102" s="13"/>
      <c r="DB102" s="13"/>
      <c r="DC102" s="13"/>
      <c r="DD102" s="13"/>
      <c r="DE102" s="62"/>
      <c r="DF102" s="62"/>
      <c r="DG102" s="62"/>
      <c r="DH102" s="62"/>
      <c r="DI102" s="62"/>
    </row>
    <row r="103" spans="1:113" ht="12.6" customHeight="1">
      <c r="A103" s="544"/>
      <c r="CV103" s="62"/>
      <c r="CW103" s="62"/>
      <c r="CX103" s="62"/>
      <c r="CY103" s="62"/>
      <c r="CZ103" s="62"/>
      <c r="DA103" s="13"/>
      <c r="DB103" s="13"/>
      <c r="DC103" s="13"/>
      <c r="DD103" s="13"/>
      <c r="DE103" s="62"/>
      <c r="DF103" s="62"/>
      <c r="DG103" s="62"/>
      <c r="DH103" s="62"/>
      <c r="DI103" s="62"/>
    </row>
    <row r="104" spans="1:113" ht="12.6" customHeight="1">
      <c r="A104" s="544"/>
      <c r="CV104" s="62"/>
      <c r="CW104" s="62"/>
      <c r="CX104" s="62"/>
      <c r="CY104" s="62"/>
      <c r="CZ104" s="62"/>
      <c r="DA104" s="13"/>
      <c r="DB104" s="13"/>
      <c r="DC104" s="13"/>
      <c r="DD104" s="13"/>
      <c r="DE104" s="62"/>
      <c r="DF104" s="62"/>
      <c r="DG104" s="62"/>
      <c r="DH104" s="62"/>
      <c r="DI104" s="62"/>
    </row>
  </sheetData>
  <mergeCells count="13">
    <mergeCell ref="C41:G43"/>
    <mergeCell ref="O5:O6"/>
    <mergeCell ref="L5:L6"/>
    <mergeCell ref="M5:M6"/>
    <mergeCell ref="N5:N6"/>
    <mergeCell ref="D9:F9"/>
    <mergeCell ref="D8:F8"/>
    <mergeCell ref="D14:F14"/>
    <mergeCell ref="D13:F13"/>
    <mergeCell ref="D12:F12"/>
    <mergeCell ref="D11:F11"/>
    <mergeCell ref="D10:F10"/>
    <mergeCell ref="C19:G21"/>
  </mergeCells>
  <phoneticPr fontId="136" type="noConversion"/>
  <conditionalFormatting sqref="G9:I14 C19:G21 D24 C28:F28 N28 C31:F33 N31:N33 F38 C41:G43">
    <cfRule type="containsBlanks" dxfId="14" priority="1">
      <formula>LEN(TRIM(C9))=0</formula>
    </cfRule>
  </conditionalFormatting>
  <dataValidations count="2">
    <dataValidation type="list" allowBlank="1" showInputMessage="1" sqref="H9:H14" xr:uid="{5C08D399-B612-4EA0-9F1D-62F8F431EBFA}">
      <formula1>"是,否"</formula1>
    </dataValidation>
    <dataValidation type="list" allowBlank="1" showInputMessage="1" sqref="I9:I14" xr:uid="{0416B88B-48EB-4A39-B92C-2EB9D8E6F0B6}">
      <formula1>"是,不适用"</formula1>
    </dataValidation>
  </dataValidations>
  <hyperlinks>
    <hyperlink ref="J2" location="汇总!A1" display="返回汇总页" xr:uid="{00000000-0004-0000-0300-000000000000}"/>
  </hyperlink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DY52"/>
  <sheetViews>
    <sheetView showGridLines="0" zoomScale="70" zoomScaleNormal="70" workbookViewId="0">
      <selection activeCell="C19" sqref="C19:G21"/>
    </sheetView>
  </sheetViews>
  <sheetFormatPr defaultColWidth="9.5703125" defaultRowHeight="12.75" customHeight="1" outlineLevelRow="1" outlineLevelCol="1"/>
  <cols>
    <col min="1" max="1" width="0.140625" style="164" customWidth="1"/>
    <col min="2" max="2" width="5.140625" style="19" customWidth="1"/>
    <col min="3" max="3" width="25.42578125" style="19" customWidth="1"/>
    <col min="4" max="4" width="29.5703125" style="19" customWidth="1"/>
    <col min="5" max="5" width="31.28515625" style="19" customWidth="1"/>
    <col min="6" max="6" width="21.7109375" style="19" customWidth="1"/>
    <col min="7" max="7" width="19.7109375" style="19" customWidth="1"/>
    <col min="8" max="8" width="17.5703125" style="19" customWidth="1"/>
    <col min="9" max="9" width="15.5703125" style="19" customWidth="1"/>
    <col min="10" max="10" width="48.85546875" style="19" customWidth="1"/>
    <col min="11" max="11" width="40.42578125" style="19" customWidth="1" outlineLevel="1"/>
    <col min="12" max="12" width="15.140625" style="19" customWidth="1" outlineLevel="1"/>
    <col min="13" max="20" width="15.140625" style="19" customWidth="1"/>
    <col min="21" max="25" width="8.7109375" style="19" customWidth="1"/>
    <col min="26" max="27" width="11.5703125" style="19" customWidth="1"/>
    <col min="28" max="34" width="8.7109375" style="19" customWidth="1"/>
    <col min="35" max="36" width="13.28515625" style="19" customWidth="1"/>
    <col min="37" max="37" width="10.42578125" style="19" customWidth="1"/>
    <col min="38" max="38" width="11.85546875" style="19" customWidth="1"/>
    <col min="39" max="39" width="7.5703125" style="19" customWidth="1"/>
    <col min="40" max="40" width="9.140625" style="19" customWidth="1"/>
    <col min="41" max="16384" width="9.5703125" style="19"/>
  </cols>
  <sheetData>
    <row r="1" spans="1:129" ht="12.75" customHeight="1">
      <c r="A1" s="540" t="s">
        <v>192</v>
      </c>
      <c r="CW1" s="141"/>
      <c r="CX1" s="20"/>
      <c r="CY1" s="20"/>
      <c r="CZ1" s="142"/>
      <c r="DA1" s="143"/>
      <c r="DB1" s="143"/>
      <c r="DC1" s="143"/>
      <c r="DD1" s="143"/>
      <c r="DE1" s="143"/>
      <c r="DF1" s="143"/>
      <c r="DG1" s="143"/>
      <c r="DH1" s="20"/>
      <c r="DI1" s="143"/>
      <c r="DJ1" s="143"/>
      <c r="DK1" s="143"/>
      <c r="DL1" s="143"/>
      <c r="DM1" s="143"/>
      <c r="DN1" s="143"/>
      <c r="DO1" s="20"/>
      <c r="DP1" s="196"/>
      <c r="DQ1" s="197"/>
      <c r="DR1" s="198"/>
      <c r="DS1" s="198"/>
      <c r="DT1" s="20"/>
      <c r="DU1" s="143"/>
      <c r="DV1" s="147"/>
      <c r="DW1" s="199"/>
      <c r="DX1" s="143"/>
      <c r="DY1" s="149"/>
    </row>
    <row r="2" spans="1:129" s="9" customFormat="1" ht="10.5" customHeight="1">
      <c r="A2" s="539"/>
      <c r="C2" s="473"/>
      <c r="J2" s="48" t="s">
        <v>108</v>
      </c>
    </row>
    <row r="3" spans="1:129" ht="12.6" customHeight="1" thickBot="1">
      <c r="A3" s="540"/>
      <c r="CS3" s="143"/>
      <c r="CT3" s="6"/>
      <c r="CU3" s="6"/>
      <c r="CV3" s="143"/>
      <c r="CW3" s="143"/>
      <c r="CX3" s="143"/>
      <c r="CY3" s="143"/>
      <c r="CZ3" s="143"/>
      <c r="DA3" s="143"/>
      <c r="DB3" s="143"/>
      <c r="DC3" s="143"/>
      <c r="DD3" s="6"/>
      <c r="DE3" s="143"/>
      <c r="DF3" s="143"/>
      <c r="DG3" s="143"/>
      <c r="DH3" s="143"/>
      <c r="DI3" s="143"/>
      <c r="DJ3" s="6"/>
      <c r="DK3" s="6"/>
      <c r="DL3" s="6"/>
      <c r="DM3" s="6"/>
      <c r="DN3" s="6"/>
      <c r="DO3" s="6"/>
      <c r="DP3" s="6"/>
      <c r="DQ3" s="6"/>
      <c r="DR3" s="6"/>
      <c r="DS3" s="150"/>
      <c r="DT3" s="143"/>
      <c r="DU3" s="149"/>
    </row>
    <row r="4" spans="1:129" ht="21">
      <c r="A4" s="540"/>
      <c r="C4" s="757" t="s">
        <v>159</v>
      </c>
      <c r="D4" s="758"/>
      <c r="E4" s="758"/>
      <c r="F4" s="758"/>
      <c r="G4" s="758"/>
      <c r="H4" s="758"/>
      <c r="I4" s="758"/>
      <c r="J4" s="759"/>
      <c r="K4" s="151"/>
      <c r="L4" s="151"/>
      <c r="M4" s="151"/>
      <c r="CT4" s="6"/>
      <c r="CU4" s="6"/>
      <c r="CV4" s="6"/>
      <c r="CW4" s="143"/>
      <c r="CX4" s="143"/>
      <c r="CY4" s="143"/>
      <c r="CZ4" s="143"/>
      <c r="DA4" s="143"/>
      <c r="DB4" s="143"/>
      <c r="DC4" s="143"/>
      <c r="DD4" s="143"/>
      <c r="DE4" s="6"/>
      <c r="DF4" s="143"/>
      <c r="DG4" s="143"/>
      <c r="DH4" s="143"/>
      <c r="DI4" s="143"/>
      <c r="DJ4" s="143"/>
      <c r="DK4" s="6"/>
      <c r="DL4" s="6"/>
      <c r="DM4" s="6"/>
      <c r="DN4" s="6"/>
      <c r="DO4" s="6"/>
      <c r="DP4" s="6"/>
      <c r="DQ4" s="6"/>
      <c r="DR4" s="6"/>
      <c r="DS4" s="6"/>
      <c r="DT4" s="150"/>
      <c r="DU4" s="6"/>
      <c r="DV4" s="6"/>
    </row>
    <row r="5" spans="1:129" ht="17.25" customHeight="1">
      <c r="A5" s="540"/>
      <c r="C5" s="49" t="s">
        <v>193</v>
      </c>
      <c r="D5" s="191"/>
      <c r="E5" s="191"/>
      <c r="F5" s="191"/>
      <c r="G5" s="191"/>
      <c r="H5" s="191"/>
      <c r="I5" s="191"/>
      <c r="J5" s="153"/>
      <c r="K5" s="151"/>
      <c r="L5" s="843"/>
      <c r="M5" s="843"/>
      <c r="N5" s="843"/>
      <c r="O5" s="842"/>
      <c r="CT5" s="6"/>
      <c r="CU5" s="6"/>
      <c r="CV5" s="154"/>
      <c r="CW5" s="143"/>
      <c r="CX5" s="143"/>
      <c r="CY5" s="143"/>
      <c r="CZ5" s="143"/>
      <c r="DA5" s="143"/>
      <c r="DB5" s="143"/>
      <c r="DC5" s="143"/>
      <c r="DD5" s="143"/>
      <c r="DE5" s="6"/>
      <c r="DF5" s="143"/>
      <c r="DG5" s="143"/>
      <c r="DH5" s="143"/>
      <c r="DI5" s="143"/>
      <c r="DJ5" s="143"/>
      <c r="DK5" s="6"/>
      <c r="DL5" s="6"/>
      <c r="DM5" s="6"/>
      <c r="DN5" s="6"/>
      <c r="DO5" s="6"/>
      <c r="DP5" s="6"/>
      <c r="DQ5" s="6"/>
      <c r="DR5" s="6"/>
      <c r="DS5" s="6"/>
      <c r="DT5" s="150"/>
      <c r="DU5" s="6"/>
      <c r="DV5" s="6"/>
    </row>
    <row r="6" spans="1:129" ht="17.25" customHeight="1">
      <c r="A6" s="540"/>
      <c r="C6" s="49" t="s">
        <v>194</v>
      </c>
      <c r="D6" s="191"/>
      <c r="E6" s="191"/>
      <c r="F6" s="191"/>
      <c r="G6" s="191"/>
      <c r="H6" s="191"/>
      <c r="I6" s="191"/>
      <c r="J6" s="153"/>
      <c r="K6" s="151"/>
      <c r="L6" s="843"/>
      <c r="M6" s="843"/>
      <c r="N6" s="843"/>
      <c r="O6" s="842"/>
      <c r="CT6" s="6"/>
      <c r="CU6" s="154"/>
      <c r="CV6" s="154"/>
      <c r="CW6" s="143"/>
      <c r="CX6" s="143"/>
      <c r="CY6" s="143"/>
      <c r="CZ6" s="143"/>
      <c r="DA6" s="143"/>
      <c r="DB6" s="143"/>
      <c r="DC6" s="143"/>
      <c r="DD6" s="143"/>
      <c r="DE6" s="154"/>
      <c r="DF6" s="143"/>
      <c r="DG6" s="143"/>
      <c r="DH6" s="143"/>
      <c r="DI6" s="143"/>
      <c r="DJ6" s="143"/>
      <c r="DK6" s="154"/>
      <c r="DL6" s="6"/>
      <c r="DM6" s="6"/>
      <c r="DN6" s="6"/>
      <c r="DO6" s="6"/>
      <c r="DP6" s="6"/>
      <c r="DQ6" s="154"/>
      <c r="DR6" s="154"/>
      <c r="DS6" s="154"/>
      <c r="DT6" s="155"/>
      <c r="DU6" s="6"/>
      <c r="DV6" s="6"/>
    </row>
    <row r="7" spans="1:129" ht="12.6" customHeight="1">
      <c r="A7" s="540"/>
      <c r="C7" s="49"/>
      <c r="D7" s="152"/>
      <c r="E7" s="152"/>
      <c r="F7" s="152"/>
      <c r="G7" s="152"/>
      <c r="H7" s="152"/>
      <c r="I7" s="152"/>
      <c r="J7" s="153"/>
      <c r="K7" s="151"/>
      <c r="L7" s="353"/>
      <c r="M7" s="156"/>
      <c r="N7" s="156"/>
      <c r="O7" s="156"/>
      <c r="CT7" s="6"/>
      <c r="CU7" s="154"/>
      <c r="CV7" s="154"/>
      <c r="CW7" s="143"/>
      <c r="CX7" s="143"/>
      <c r="CY7" s="143"/>
      <c r="CZ7" s="143"/>
      <c r="DA7" s="143"/>
      <c r="DB7" s="143"/>
      <c r="DC7" s="143"/>
      <c r="DD7" s="143"/>
      <c r="DE7" s="154"/>
      <c r="DF7" s="143"/>
      <c r="DG7" s="143"/>
      <c r="DH7" s="143"/>
      <c r="DI7" s="143"/>
      <c r="DJ7" s="143"/>
      <c r="DK7" s="154"/>
      <c r="DL7" s="6"/>
      <c r="DM7" s="6"/>
      <c r="DN7" s="6"/>
      <c r="DO7" s="6"/>
      <c r="DP7" s="6"/>
      <c r="DQ7" s="154"/>
      <c r="DR7" s="154"/>
      <c r="DS7" s="154"/>
      <c r="DT7" s="155"/>
      <c r="DU7" s="6"/>
      <c r="DV7" s="6"/>
    </row>
    <row r="8" spans="1:129" ht="21">
      <c r="A8" s="540"/>
      <c r="C8" s="513" t="s">
        <v>111</v>
      </c>
      <c r="D8" s="845" t="s">
        <v>112</v>
      </c>
      <c r="E8" s="845"/>
      <c r="F8" s="845"/>
      <c r="G8" s="505" t="s">
        <v>113</v>
      </c>
      <c r="H8" s="507" t="s">
        <v>114</v>
      </c>
      <c r="I8" s="507" t="s">
        <v>115</v>
      </c>
      <c r="J8" s="514" t="s">
        <v>116</v>
      </c>
      <c r="K8" s="158"/>
      <c r="L8" s="151"/>
      <c r="M8" s="151"/>
      <c r="N8" s="151"/>
      <c r="CU8" s="7"/>
      <c r="CV8" s="7"/>
      <c r="CW8" s="7"/>
      <c r="CX8" s="143"/>
      <c r="CY8" s="143"/>
      <c r="CZ8" s="143"/>
      <c r="DA8" s="143"/>
      <c r="DB8" s="143"/>
      <c r="DC8" s="143"/>
      <c r="DD8" s="143"/>
      <c r="DE8" s="143"/>
      <c r="DF8" s="7"/>
      <c r="DG8" s="143"/>
      <c r="DH8" s="143"/>
      <c r="DI8" s="143"/>
      <c r="DJ8" s="143"/>
      <c r="DK8" s="143"/>
      <c r="DL8" s="7"/>
      <c r="DM8" s="154"/>
      <c r="DN8" s="154"/>
      <c r="DO8" s="154"/>
      <c r="DP8" s="154"/>
      <c r="DQ8" s="154"/>
      <c r="DR8" s="7"/>
      <c r="DS8" s="7"/>
      <c r="DT8" s="7"/>
      <c r="DU8" s="155"/>
      <c r="DV8" s="7"/>
      <c r="DW8" s="159"/>
    </row>
    <row r="9" spans="1:129" ht="21" outlineLevel="1">
      <c r="A9" s="660"/>
      <c r="C9" s="515">
        <v>1</v>
      </c>
      <c r="D9" s="844" t="s">
        <v>195</v>
      </c>
      <c r="E9" s="844"/>
      <c r="F9" s="844"/>
      <c r="G9" s="560" t="s">
        <v>163</v>
      </c>
      <c r="H9" s="508" t="s">
        <v>119</v>
      </c>
      <c r="I9" s="509"/>
      <c r="J9" s="516"/>
      <c r="K9" s="158"/>
      <c r="L9" s="158"/>
      <c r="M9" s="160"/>
      <c r="N9" s="160"/>
      <c r="O9" s="160"/>
      <c r="CV9" s="154"/>
      <c r="CW9" s="7"/>
      <c r="CX9" s="154"/>
      <c r="CY9" s="143"/>
      <c r="CZ9" s="143"/>
      <c r="DA9" s="143"/>
      <c r="DB9" s="143"/>
      <c r="DC9" s="143"/>
      <c r="DD9" s="143"/>
      <c r="DE9" s="143"/>
      <c r="DF9" s="143"/>
      <c r="DG9" s="7"/>
      <c r="DH9" s="143"/>
      <c r="DI9" s="143"/>
      <c r="DJ9" s="143"/>
      <c r="DK9" s="143"/>
      <c r="DL9" s="143"/>
      <c r="DM9" s="7"/>
      <c r="DN9" s="7"/>
      <c r="DO9" s="7"/>
      <c r="DP9" s="7"/>
      <c r="DQ9" s="7"/>
      <c r="DR9" s="7"/>
      <c r="DS9" s="7"/>
      <c r="DT9" s="7"/>
      <c r="DU9" s="7"/>
      <c r="DV9" s="155"/>
      <c r="DW9" s="154"/>
      <c r="DX9" s="8"/>
    </row>
    <row r="10" spans="1:129" ht="58.5" customHeight="1" outlineLevel="1">
      <c r="A10" s="660"/>
      <c r="C10" s="515">
        <v>2</v>
      </c>
      <c r="D10" s="844" t="s">
        <v>164</v>
      </c>
      <c r="E10" s="844"/>
      <c r="F10" s="844"/>
      <c r="G10" s="560" t="s">
        <v>163</v>
      </c>
      <c r="H10" s="508" t="s">
        <v>119</v>
      </c>
      <c r="I10" s="509"/>
      <c r="J10" s="516"/>
      <c r="K10" s="158"/>
      <c r="L10" s="158"/>
      <c r="M10" s="160"/>
      <c r="N10" s="160"/>
      <c r="O10" s="160"/>
      <c r="CV10" s="154"/>
      <c r="CW10" s="7"/>
      <c r="CX10" s="154"/>
      <c r="CY10" s="143"/>
      <c r="CZ10" s="143"/>
      <c r="DA10" s="143"/>
      <c r="DB10" s="143"/>
      <c r="DC10" s="143"/>
      <c r="DD10" s="143"/>
      <c r="DE10" s="143"/>
      <c r="DF10" s="143"/>
      <c r="DG10" s="7"/>
      <c r="DH10" s="143"/>
      <c r="DI10" s="143"/>
      <c r="DJ10" s="143"/>
      <c r="DK10" s="143"/>
      <c r="DL10" s="143"/>
      <c r="DM10" s="7"/>
      <c r="DN10" s="7"/>
      <c r="DO10" s="7"/>
      <c r="DP10" s="7"/>
      <c r="DQ10" s="7"/>
      <c r="DR10" s="7"/>
      <c r="DS10" s="7"/>
      <c r="DT10" s="7"/>
      <c r="DU10" s="7"/>
      <c r="DV10" s="155"/>
      <c r="DW10" s="154"/>
      <c r="DX10" s="8"/>
    </row>
    <row r="11" spans="1:129" ht="40.5" customHeight="1" outlineLevel="1">
      <c r="A11" s="660"/>
      <c r="C11" s="515">
        <v>3</v>
      </c>
      <c r="D11" s="844" t="s">
        <v>196</v>
      </c>
      <c r="E11" s="844"/>
      <c r="F11" s="844"/>
      <c r="G11" s="560" t="s">
        <v>163</v>
      </c>
      <c r="H11" s="508" t="s">
        <v>119</v>
      </c>
      <c r="I11" s="509"/>
      <c r="J11" s="516"/>
      <c r="K11" s="158"/>
      <c r="L11" s="158"/>
      <c r="M11" s="151"/>
      <c r="N11" s="151"/>
      <c r="O11" s="151"/>
      <c r="CV11" s="7"/>
      <c r="CW11" s="154"/>
      <c r="CX11" s="162"/>
      <c r="CY11" s="143"/>
      <c r="CZ11" s="143"/>
      <c r="DA11" s="143"/>
      <c r="DB11" s="143"/>
      <c r="DC11" s="143"/>
      <c r="DD11" s="143"/>
      <c r="DE11" s="143"/>
      <c r="DF11" s="143"/>
      <c r="DG11" s="154"/>
      <c r="DH11" s="143"/>
      <c r="DI11" s="143"/>
      <c r="DJ11" s="143"/>
      <c r="DK11" s="143"/>
      <c r="DL11" s="143"/>
      <c r="DM11" s="154"/>
      <c r="DN11" s="7"/>
      <c r="DO11" s="7"/>
      <c r="DP11" s="7"/>
      <c r="DQ11" s="7"/>
      <c r="DR11" s="7"/>
      <c r="DS11" s="154"/>
      <c r="DT11" s="154"/>
      <c r="DU11" s="154"/>
      <c r="DV11" s="155"/>
      <c r="DW11" s="7"/>
      <c r="DX11" s="7"/>
    </row>
    <row r="12" spans="1:129" ht="77.45" customHeight="1" outlineLevel="1">
      <c r="A12" s="660"/>
      <c r="C12" s="515">
        <v>4</v>
      </c>
      <c r="D12" s="846" t="s">
        <v>197</v>
      </c>
      <c r="E12" s="846"/>
      <c r="F12" s="846"/>
      <c r="G12" s="510" t="s">
        <v>167</v>
      </c>
      <c r="H12" s="508" t="s">
        <v>119</v>
      </c>
      <c r="I12" s="509"/>
      <c r="J12" s="516"/>
      <c r="K12" s="158"/>
      <c r="L12" s="158"/>
      <c r="M12" s="151"/>
      <c r="N12" s="151"/>
      <c r="O12" s="151"/>
      <c r="CV12" s="7"/>
      <c r="CW12" s="154"/>
      <c r="CX12" s="162"/>
      <c r="CY12" s="143"/>
      <c r="CZ12" s="143"/>
      <c r="DA12" s="143"/>
      <c r="DB12" s="143"/>
      <c r="DC12" s="143"/>
      <c r="DD12" s="143"/>
      <c r="DE12" s="143"/>
      <c r="DF12" s="143"/>
      <c r="DG12" s="154"/>
      <c r="DH12" s="143"/>
      <c r="DI12" s="143"/>
      <c r="DJ12" s="143"/>
      <c r="DK12" s="143"/>
      <c r="DL12" s="143"/>
      <c r="DM12" s="154"/>
      <c r="DN12" s="7"/>
      <c r="DO12" s="7"/>
      <c r="DP12" s="7"/>
      <c r="DQ12" s="7"/>
      <c r="DR12" s="7"/>
      <c r="DS12" s="154"/>
      <c r="DT12" s="154"/>
      <c r="DU12" s="154"/>
      <c r="DV12" s="155"/>
      <c r="DW12" s="7"/>
      <c r="DX12" s="7"/>
    </row>
    <row r="13" spans="1:129" ht="34.35" customHeight="1" outlineLevel="1">
      <c r="A13" s="660"/>
      <c r="C13" s="515">
        <v>5</v>
      </c>
      <c r="D13" s="844" t="s">
        <v>198</v>
      </c>
      <c r="E13" s="844"/>
      <c r="F13" s="844"/>
      <c r="G13" s="517" t="s">
        <v>169</v>
      </c>
      <c r="H13" s="508" t="s">
        <v>119</v>
      </c>
      <c r="I13" s="509"/>
      <c r="J13" s="516"/>
      <c r="K13" s="158"/>
      <c r="L13" s="158"/>
      <c r="M13" s="151"/>
      <c r="N13" s="151"/>
      <c r="O13" s="151"/>
      <c r="CV13" s="7"/>
      <c r="CW13" s="162"/>
      <c r="CX13" s="162"/>
      <c r="CY13" s="143"/>
      <c r="CZ13" s="143"/>
      <c r="DA13" s="143"/>
      <c r="DB13" s="143"/>
      <c r="DC13" s="143"/>
      <c r="DD13" s="143"/>
      <c r="DE13" s="143"/>
      <c r="DF13" s="143"/>
      <c r="DG13" s="162"/>
      <c r="DH13" s="143"/>
      <c r="DI13" s="143"/>
      <c r="DJ13" s="143"/>
      <c r="DK13" s="143"/>
      <c r="DL13" s="143"/>
      <c r="DM13" s="162"/>
      <c r="DN13" s="154"/>
      <c r="DO13" s="154"/>
      <c r="DP13" s="154"/>
      <c r="DQ13" s="154"/>
      <c r="DR13" s="154"/>
      <c r="DS13" s="162"/>
      <c r="DT13" s="162"/>
      <c r="DU13" s="162"/>
      <c r="DV13" s="150"/>
      <c r="DW13" s="7"/>
      <c r="DX13" s="159"/>
    </row>
    <row r="14" spans="1:129" ht="147.6" customHeight="1" outlineLevel="1">
      <c r="A14" s="660"/>
      <c r="C14" s="515">
        <v>6</v>
      </c>
      <c r="D14" s="844" t="s">
        <v>170</v>
      </c>
      <c r="E14" s="844"/>
      <c r="F14" s="844"/>
      <c r="G14" s="561" t="s">
        <v>163</v>
      </c>
      <c r="H14" s="508" t="s">
        <v>119</v>
      </c>
      <c r="I14" s="509"/>
      <c r="J14" s="516" t="s">
        <v>199</v>
      </c>
      <c r="K14" s="158"/>
      <c r="L14" s="158"/>
      <c r="M14" s="151"/>
      <c r="N14" s="151"/>
      <c r="O14" s="151"/>
      <c r="CV14" s="7"/>
      <c r="CW14" s="162"/>
      <c r="CX14" s="162"/>
      <c r="CY14" s="143"/>
      <c r="CZ14" s="143"/>
      <c r="DA14" s="143"/>
      <c r="DB14" s="143"/>
      <c r="DC14" s="143"/>
      <c r="DD14" s="143"/>
      <c r="DE14" s="143"/>
      <c r="DF14" s="143"/>
      <c r="DG14" s="162"/>
      <c r="DH14" s="143"/>
      <c r="DI14" s="143"/>
      <c r="DJ14" s="143"/>
      <c r="DK14" s="143"/>
      <c r="DL14" s="143"/>
      <c r="DM14" s="162"/>
      <c r="DN14" s="154"/>
      <c r="DO14" s="154"/>
      <c r="DP14" s="154"/>
      <c r="DQ14" s="154"/>
      <c r="DR14" s="154"/>
      <c r="DS14" s="162"/>
      <c r="DT14" s="162"/>
      <c r="DU14" s="162"/>
      <c r="DV14" s="150"/>
      <c r="DW14" s="7"/>
      <c r="DX14" s="159"/>
    </row>
    <row r="15" spans="1:129" ht="12.6" customHeight="1" thickBot="1">
      <c r="A15" s="660"/>
      <c r="C15" s="384"/>
      <c r="D15" s="511"/>
      <c r="E15" s="511"/>
      <c r="F15" s="511"/>
      <c r="G15" s="511"/>
      <c r="H15" s="511"/>
      <c r="I15" s="511"/>
      <c r="J15" s="518"/>
      <c r="K15" s="151"/>
      <c r="L15" s="151"/>
      <c r="M15" s="151"/>
      <c r="CT15" s="7"/>
      <c r="CU15" s="162"/>
      <c r="CV15" s="162"/>
      <c r="CW15" s="143"/>
      <c r="CX15" s="143"/>
      <c r="CY15" s="143"/>
      <c r="CZ15" s="143"/>
      <c r="DA15" s="143"/>
      <c r="DB15" s="143"/>
      <c r="DC15" s="143"/>
      <c r="DD15" s="143"/>
      <c r="DE15" s="162"/>
      <c r="DF15" s="143"/>
      <c r="DG15" s="143"/>
      <c r="DH15" s="143"/>
      <c r="DI15" s="143"/>
      <c r="DJ15" s="143"/>
      <c r="DK15" s="162"/>
      <c r="DL15" s="154"/>
      <c r="DM15" s="154"/>
      <c r="DN15" s="154"/>
      <c r="DO15" s="154"/>
      <c r="DP15" s="154"/>
      <c r="DQ15" s="162"/>
      <c r="DR15" s="162"/>
      <c r="DS15" s="162"/>
      <c r="DT15" s="150"/>
      <c r="DU15" s="7"/>
      <c r="DV15" s="159"/>
    </row>
    <row r="16" spans="1:129" ht="12.6" customHeight="1">
      <c r="A16" s="660"/>
      <c r="C16" s="163"/>
      <c r="CT16" s="6"/>
      <c r="CU16" s="6"/>
      <c r="CV16" s="6"/>
      <c r="CW16" s="143"/>
      <c r="CX16" s="143"/>
      <c r="CY16" s="143"/>
      <c r="CZ16" s="143"/>
      <c r="DA16" s="143"/>
      <c r="DB16" s="143"/>
      <c r="DC16" s="143"/>
      <c r="DD16" s="143"/>
      <c r="DE16" s="6"/>
      <c r="DF16" s="143"/>
      <c r="DG16" s="143"/>
      <c r="DH16" s="143"/>
      <c r="DI16" s="143"/>
      <c r="DJ16" s="143"/>
      <c r="DK16" s="6"/>
      <c r="DL16" s="6"/>
      <c r="DM16" s="6"/>
      <c r="DN16" s="6"/>
      <c r="DO16" s="6"/>
      <c r="DP16" s="6"/>
      <c r="DQ16" s="6"/>
      <c r="DR16" s="6"/>
      <c r="DS16" s="6"/>
      <c r="DT16" s="150"/>
      <c r="DU16" s="6"/>
      <c r="DV16" s="6"/>
    </row>
    <row r="17" spans="1:126" ht="12.6" customHeight="1">
      <c r="A17" s="660"/>
      <c r="C17" s="163"/>
      <c r="CT17" s="6"/>
      <c r="CU17" s="6"/>
      <c r="CV17" s="6"/>
      <c r="CW17" s="143"/>
      <c r="CX17" s="143"/>
      <c r="CY17" s="143"/>
      <c r="CZ17" s="143"/>
      <c r="DA17" s="143"/>
      <c r="DB17" s="143"/>
      <c r="DC17" s="143"/>
      <c r="DD17" s="143"/>
      <c r="DE17" s="6"/>
      <c r="DF17" s="143"/>
      <c r="DG17" s="143"/>
      <c r="DH17" s="143"/>
      <c r="DI17" s="143"/>
      <c r="DJ17" s="143"/>
      <c r="DK17" s="6"/>
      <c r="DL17" s="6"/>
      <c r="DM17" s="6"/>
      <c r="DN17" s="6"/>
      <c r="DO17" s="6"/>
      <c r="DP17" s="6"/>
      <c r="DQ17" s="6"/>
      <c r="DR17" s="6"/>
      <c r="DS17" s="6"/>
      <c r="DT17" s="150"/>
      <c r="DU17" s="6"/>
      <c r="DV17" s="6"/>
    </row>
    <row r="18" spans="1:126" s="20" customFormat="1" ht="18.75" thickBot="1">
      <c r="A18" s="656"/>
      <c r="C18" s="474" t="s">
        <v>121</v>
      </c>
      <c r="D18" s="438"/>
      <c r="E18" s="438"/>
      <c r="F18" s="438"/>
      <c r="G18" s="438"/>
      <c r="H18" s="438"/>
      <c r="I18" s="438"/>
      <c r="J18" s="438"/>
      <c r="K18" s="23"/>
      <c r="L18" s="217"/>
      <c r="M18" s="217"/>
      <c r="Q18" s="158"/>
    </row>
    <row r="19" spans="1:126" s="20" customFormat="1" ht="18" customHeight="1">
      <c r="A19" s="656"/>
      <c r="C19" s="819"/>
      <c r="D19" s="820"/>
      <c r="E19" s="820"/>
      <c r="F19" s="820"/>
      <c r="G19" s="821"/>
      <c r="H19" s="438"/>
      <c r="I19" s="438"/>
      <c r="J19" s="438"/>
      <c r="K19" s="23"/>
      <c r="L19" s="217"/>
      <c r="M19" s="217"/>
      <c r="Q19" s="158"/>
    </row>
    <row r="20" spans="1:126" s="20" customFormat="1" ht="18" customHeight="1">
      <c r="A20" s="656"/>
      <c r="C20" s="822"/>
      <c r="D20" s="823"/>
      <c r="E20" s="823"/>
      <c r="F20" s="823"/>
      <c r="G20" s="824"/>
      <c r="H20" s="438"/>
      <c r="I20" s="438"/>
      <c r="J20" s="438"/>
      <c r="K20" s="23"/>
      <c r="L20" s="217"/>
      <c r="M20" s="217"/>
      <c r="Q20" s="158"/>
    </row>
    <row r="21" spans="1:126" s="20" customFormat="1" ht="18" customHeight="1" thickBot="1">
      <c r="A21" s="656"/>
      <c r="C21" s="825"/>
      <c r="D21" s="826"/>
      <c r="E21" s="826"/>
      <c r="F21" s="826"/>
      <c r="G21" s="827"/>
      <c r="H21" s="438"/>
      <c r="I21" s="438"/>
      <c r="J21" s="438"/>
      <c r="K21" s="23"/>
      <c r="L21" s="217"/>
      <c r="M21" s="217"/>
      <c r="Q21" s="158"/>
    </row>
    <row r="22" spans="1:126" s="4" customFormat="1" ht="13.5" thickBot="1">
      <c r="A22" s="545"/>
      <c r="C22" s="550"/>
      <c r="D22" s="551"/>
      <c r="E22" s="192"/>
      <c r="F22" s="192"/>
      <c r="G22" s="192"/>
      <c r="H22" s="192"/>
      <c r="I22" s="158"/>
      <c r="J22" s="158"/>
      <c r="K22" s="552"/>
      <c r="L22" s="424"/>
      <c r="M22" s="424"/>
      <c r="N22" s="424"/>
      <c r="O22" s="424"/>
      <c r="P22" s="424"/>
      <c r="Q22" s="424"/>
      <c r="R22" s="425"/>
    </row>
    <row r="23" spans="1:126" s="4" customFormat="1" ht="93" customHeight="1">
      <c r="A23" s="545"/>
      <c r="C23" s="745" t="str">
        <f>"波动范围 ("&amp;D11&amp; "):"</f>
        <v>波动范围 (将明细账与管理层报表进行核对，并对差异大于SAD的项目进行调查。):</v>
      </c>
      <c r="D23" s="746">
        <f>汇总!$F$21</f>
        <v>0</v>
      </c>
      <c r="E23" s="553"/>
      <c r="F23" s="553"/>
      <c r="G23" s="553"/>
      <c r="H23" s="553"/>
      <c r="I23" s="553"/>
      <c r="J23" s="553"/>
      <c r="K23" s="553"/>
      <c r="L23" s="424"/>
      <c r="M23" s="424"/>
      <c r="N23" s="424"/>
      <c r="O23" s="424"/>
      <c r="P23" s="424"/>
      <c r="Q23" s="424"/>
      <c r="R23" s="425"/>
    </row>
    <row r="24" spans="1:126" s="4" customFormat="1" ht="17.25" thickBot="1">
      <c r="A24" s="545"/>
      <c r="C24" s="554" t="s">
        <v>171</v>
      </c>
      <c r="D24" s="476"/>
      <c r="E24" s="5"/>
      <c r="F24" s="5"/>
      <c r="G24" s="5"/>
      <c r="H24" s="5"/>
      <c r="I24" s="5"/>
      <c r="J24" s="5"/>
      <c r="K24" s="5"/>
      <c r="L24" s="424"/>
      <c r="M24" s="424"/>
      <c r="N24" s="424"/>
      <c r="O24" s="424"/>
      <c r="P24" s="424"/>
    </row>
    <row r="25" spans="1:126" ht="12.6" customHeight="1">
      <c r="A25" s="660"/>
      <c r="CT25" s="6"/>
      <c r="CU25" s="6"/>
      <c r="CV25" s="6"/>
      <c r="CW25" s="143"/>
      <c r="CX25" s="143"/>
      <c r="CY25" s="143"/>
      <c r="CZ25" s="143"/>
      <c r="DA25" s="143"/>
      <c r="DB25" s="143"/>
      <c r="DC25" s="143"/>
      <c r="DD25" s="143"/>
      <c r="DE25" s="6"/>
      <c r="DF25" s="143"/>
      <c r="DG25" s="143"/>
      <c r="DH25" s="143"/>
      <c r="DI25" s="143"/>
      <c r="DJ25" s="143"/>
      <c r="DK25" s="6"/>
      <c r="DL25" s="6"/>
      <c r="DM25" s="6"/>
      <c r="DN25" s="6"/>
      <c r="DO25" s="6"/>
      <c r="DP25" s="6"/>
      <c r="DQ25" s="6"/>
      <c r="DR25" s="6"/>
      <c r="DS25" s="6"/>
      <c r="DT25" s="150"/>
      <c r="DU25" s="6"/>
      <c r="DV25" s="6"/>
    </row>
    <row r="26" spans="1:126" ht="12.75" customHeight="1">
      <c r="A26" s="660"/>
      <c r="CT26" s="6"/>
      <c r="CU26" s="6"/>
      <c r="CV26" s="6"/>
      <c r="CW26" s="143"/>
      <c r="CX26" s="143"/>
      <c r="CY26" s="143"/>
      <c r="CZ26" s="143"/>
      <c r="DA26" s="143"/>
      <c r="DB26" s="143"/>
      <c r="DC26" s="143"/>
      <c r="DD26" s="143"/>
      <c r="DE26" s="6"/>
      <c r="DF26" s="143"/>
      <c r="DG26" s="143"/>
      <c r="DH26" s="143"/>
      <c r="DI26" s="143"/>
      <c r="DJ26" s="143"/>
      <c r="DK26" s="6"/>
      <c r="DL26" s="6"/>
      <c r="DM26" s="6"/>
      <c r="DN26" s="6"/>
      <c r="DO26" s="6"/>
      <c r="DP26" s="6"/>
      <c r="DQ26" s="6"/>
      <c r="DR26" s="6"/>
      <c r="DS26" s="6"/>
      <c r="DT26" s="150"/>
      <c r="DU26" s="6"/>
      <c r="DV26" s="6"/>
    </row>
    <row r="27" spans="1:126" ht="12.75" customHeight="1">
      <c r="A27" s="660"/>
      <c r="C27" s="164"/>
      <c r="E27" s="192"/>
      <c r="F27" s="192" t="s">
        <v>123</v>
      </c>
      <c r="G27" s="441"/>
      <c r="H27" s="164" t="s">
        <v>124</v>
      </c>
      <c r="I27" s="192" t="s">
        <v>125</v>
      </c>
      <c r="J27" s="164"/>
      <c r="K27" s="164"/>
      <c r="L27" s="164" t="s">
        <v>126</v>
      </c>
      <c r="M27" s="192" t="s">
        <v>127</v>
      </c>
      <c r="N27" s="164" t="s">
        <v>128</v>
      </c>
      <c r="O27" s="164" t="s">
        <v>129</v>
      </c>
      <c r="P27" s="164" t="s">
        <v>130</v>
      </c>
      <c r="CK27" s="6"/>
      <c r="CL27" s="6"/>
      <c r="CM27" s="6"/>
      <c r="CN27" s="143"/>
      <c r="CO27" s="143"/>
      <c r="CP27" s="143"/>
      <c r="CQ27" s="143"/>
      <c r="CR27" s="143"/>
      <c r="CS27" s="143"/>
      <c r="CT27" s="143"/>
      <c r="CU27" s="143"/>
      <c r="CV27" s="6"/>
      <c r="CW27" s="143"/>
      <c r="CX27" s="143"/>
      <c r="CY27" s="143"/>
      <c r="CZ27" s="143"/>
      <c r="DA27" s="143"/>
      <c r="DB27" s="6"/>
      <c r="DC27" s="6"/>
      <c r="DD27" s="6"/>
      <c r="DE27" s="6"/>
      <c r="DF27" s="6"/>
      <c r="DG27" s="6"/>
      <c r="DH27" s="6"/>
      <c r="DI27" s="6"/>
      <c r="DJ27" s="6"/>
      <c r="DK27" s="200"/>
      <c r="DL27" s="6"/>
      <c r="DM27" s="6"/>
    </row>
    <row r="28" spans="1:126" ht="13.5" thickBot="1">
      <c r="A28" s="660" t="s">
        <v>172</v>
      </c>
      <c r="C28" s="89" t="s">
        <v>95</v>
      </c>
      <c r="D28" s="90" t="s">
        <v>95</v>
      </c>
      <c r="E28" s="90" t="s">
        <v>95</v>
      </c>
      <c r="F28" s="91" t="s">
        <v>95</v>
      </c>
      <c r="G28" s="92"/>
      <c r="H28" s="92"/>
      <c r="I28" s="93"/>
      <c r="J28" s="94"/>
      <c r="K28" s="93"/>
      <c r="L28" s="92"/>
      <c r="M28" s="93"/>
      <c r="N28" s="165"/>
      <c r="O28" s="93"/>
      <c r="P28" s="95"/>
      <c r="Q28" s="96"/>
      <c r="R28" s="97"/>
      <c r="CK28" s="6"/>
      <c r="CL28" s="6"/>
      <c r="CM28" s="6"/>
      <c r="CN28" s="143"/>
      <c r="CO28" s="143"/>
      <c r="CP28" s="143"/>
      <c r="CQ28" s="143"/>
      <c r="CR28" s="143"/>
      <c r="CS28" s="143"/>
      <c r="CT28" s="143"/>
      <c r="CU28" s="143"/>
      <c r="CV28" s="6"/>
      <c r="CW28" s="143"/>
      <c r="CX28" s="143"/>
      <c r="CY28" s="143"/>
      <c r="CZ28" s="143"/>
      <c r="DA28" s="143"/>
      <c r="DB28" s="6"/>
      <c r="DC28" s="6"/>
      <c r="DD28" s="6"/>
      <c r="DE28" s="6"/>
      <c r="DF28" s="6"/>
      <c r="DG28" s="6"/>
      <c r="DH28" s="6"/>
      <c r="DI28" s="6"/>
      <c r="DJ28" s="6"/>
      <c r="DK28" s="150"/>
      <c r="DL28" s="6"/>
      <c r="DM28" s="6"/>
    </row>
    <row r="29" spans="1:126" ht="0.2" customHeight="1" thickBot="1">
      <c r="A29" s="660"/>
      <c r="C29" s="585"/>
      <c r="D29" s="586"/>
      <c r="E29" s="365"/>
      <c r="F29" s="587"/>
      <c r="G29" s="586"/>
      <c r="H29" s="588"/>
      <c r="I29" s="588">
        <f t="shared" ref="I29" si="0">F29+H29</f>
        <v>0</v>
      </c>
      <c r="J29" s="589" t="str">
        <f>IF($I$41&lt;&gt;0,I29/$I$41,"")</f>
        <v/>
      </c>
      <c r="K29" s="586"/>
      <c r="L29" s="588"/>
      <c r="M29" s="590">
        <f t="shared" ref="M29" si="1">I29+L29</f>
        <v>0</v>
      </c>
      <c r="N29" s="590"/>
      <c r="O29" s="587">
        <f t="shared" ref="O29" si="2">M29-N29</f>
        <v>0</v>
      </c>
      <c r="P29" s="466">
        <f>IF(N29&lt;&gt;0,O29/N29,1)</f>
        <v>1</v>
      </c>
      <c r="Q29" s="586"/>
      <c r="R29" s="591"/>
      <c r="CK29" s="6"/>
      <c r="CL29" s="6"/>
      <c r="CM29" s="6"/>
      <c r="CN29" s="143"/>
      <c r="CO29" s="143"/>
      <c r="CP29" s="143"/>
      <c r="CQ29" s="143"/>
      <c r="CR29" s="143"/>
      <c r="CS29" s="143"/>
      <c r="CT29" s="143"/>
      <c r="CU29" s="143"/>
      <c r="CV29" s="6"/>
      <c r="CW29" s="143"/>
      <c r="CX29" s="143"/>
      <c r="CY29" s="143"/>
      <c r="CZ29" s="143"/>
      <c r="DA29" s="143"/>
      <c r="DB29" s="6"/>
      <c r="DC29" s="6"/>
      <c r="DD29" s="6"/>
      <c r="DE29" s="6"/>
      <c r="DF29" s="6"/>
      <c r="DG29" s="6"/>
      <c r="DH29" s="6"/>
      <c r="DI29" s="6"/>
      <c r="DJ29" s="6"/>
      <c r="DK29" s="150"/>
      <c r="DL29" s="6"/>
      <c r="DM29" s="6"/>
    </row>
    <row r="30" spans="1:126" ht="12.6" customHeight="1">
      <c r="A30" s="660"/>
      <c r="B30" s="21" t="s">
        <v>174</v>
      </c>
      <c r="C30" s="592"/>
      <c r="D30" s="747"/>
      <c r="E30" s="593"/>
      <c r="F30" s="482"/>
      <c r="G30" s="594"/>
      <c r="H30" s="594"/>
      <c r="I30" s="594" t="s">
        <v>175</v>
      </c>
      <c r="J30" s="594"/>
      <c r="K30" s="594"/>
      <c r="L30" s="594"/>
      <c r="M30" s="596"/>
      <c r="N30" s="597">
        <f>DATE(YEAR(汇总!$D$5)-1,12,31)</f>
        <v>45291</v>
      </c>
      <c r="O30" s="483" t="s">
        <v>131</v>
      </c>
      <c r="P30" s="601"/>
      <c r="Q30" s="650"/>
      <c r="R30" s="602"/>
      <c r="CK30" s="6"/>
      <c r="CL30" s="6"/>
      <c r="CM30" s="6"/>
      <c r="CN30" s="143"/>
      <c r="CO30" s="143"/>
      <c r="CP30" s="143"/>
      <c r="CQ30" s="143"/>
      <c r="CR30" s="143"/>
      <c r="CS30" s="143"/>
      <c r="CT30" s="143"/>
      <c r="CU30" s="143"/>
      <c r="CV30" s="6"/>
      <c r="CW30" s="143"/>
      <c r="CX30" s="143"/>
      <c r="CY30" s="143"/>
      <c r="CZ30" s="143"/>
      <c r="DA30" s="143"/>
      <c r="DB30" s="6"/>
      <c r="DC30" s="6"/>
      <c r="DD30" s="6"/>
      <c r="DE30" s="6"/>
      <c r="DF30" s="6"/>
      <c r="DG30" s="6"/>
      <c r="DH30" s="6"/>
      <c r="DI30" s="6"/>
      <c r="DJ30" s="6"/>
      <c r="DK30" s="167"/>
      <c r="DL30" s="6"/>
      <c r="DM30" s="6"/>
    </row>
    <row r="31" spans="1:126" ht="36.6" customHeight="1">
      <c r="A31" s="660"/>
      <c r="B31" s="14"/>
      <c r="C31" s="108" t="s">
        <v>176</v>
      </c>
      <c r="D31" s="109" t="s">
        <v>177</v>
      </c>
      <c r="E31" s="168" t="s">
        <v>178</v>
      </c>
      <c r="F31" s="366" t="s">
        <v>135</v>
      </c>
      <c r="G31" s="367" t="s">
        <v>179</v>
      </c>
      <c r="H31" s="367" t="s">
        <v>136</v>
      </c>
      <c r="I31" s="169" t="s">
        <v>137</v>
      </c>
      <c r="J31" s="169" t="s">
        <v>180</v>
      </c>
      <c r="K31" s="367" t="s">
        <v>181</v>
      </c>
      <c r="L31" s="170" t="s">
        <v>138</v>
      </c>
      <c r="M31" s="171" t="s">
        <v>139</v>
      </c>
      <c r="N31" s="555" t="s">
        <v>182</v>
      </c>
      <c r="O31" s="172" t="s">
        <v>141</v>
      </c>
      <c r="P31" s="603" t="s">
        <v>183</v>
      </c>
      <c r="Q31" s="464" t="s">
        <v>184</v>
      </c>
      <c r="R31" s="114" t="s">
        <v>155</v>
      </c>
      <c r="CK31" s="6"/>
      <c r="CL31" s="6"/>
      <c r="CM31" s="6"/>
      <c r="CN31" s="143"/>
      <c r="CO31" s="143"/>
      <c r="CP31" s="143"/>
      <c r="CQ31" s="143"/>
      <c r="CR31" s="143"/>
      <c r="CS31" s="143"/>
      <c r="CT31" s="143"/>
      <c r="CU31" s="143"/>
      <c r="CV31" s="6"/>
      <c r="CW31" s="143"/>
      <c r="CX31" s="143"/>
      <c r="CY31" s="143"/>
      <c r="CZ31" s="143"/>
      <c r="DA31" s="143"/>
      <c r="DB31" s="6"/>
      <c r="DC31" s="6"/>
      <c r="DD31" s="6"/>
      <c r="DE31" s="6"/>
      <c r="DF31" s="6"/>
      <c r="DG31" s="6"/>
      <c r="DH31" s="6"/>
      <c r="DI31" s="6"/>
      <c r="DJ31" s="6"/>
      <c r="DK31" s="167"/>
      <c r="DL31" s="6"/>
      <c r="DM31" s="6"/>
    </row>
    <row r="32" spans="1:126" ht="12.6" customHeight="1">
      <c r="A32" s="660"/>
      <c r="B32" s="173"/>
      <c r="C32" s="98"/>
      <c r="D32" s="99"/>
      <c r="E32" s="100"/>
      <c r="F32" s="101"/>
      <c r="G32" s="99"/>
      <c r="H32" s="102"/>
      <c r="I32" s="102">
        <f>F32+H32</f>
        <v>0</v>
      </c>
      <c r="J32" s="103" t="str">
        <f>IF($I$41&lt;&gt;0,I32/$I$41,"")</f>
        <v/>
      </c>
      <c r="K32" s="99"/>
      <c r="L32" s="102"/>
      <c r="M32" s="104">
        <f>I32+L32</f>
        <v>0</v>
      </c>
      <c r="N32" s="104"/>
      <c r="O32" s="101">
        <f>M32-N32</f>
        <v>0</v>
      </c>
      <c r="P32" s="589">
        <f>IF(N32&lt;&gt;0,O32/N32,1)</f>
        <v>1</v>
      </c>
      <c r="Q32" s="586"/>
      <c r="R32" s="105"/>
      <c r="CK32" s="6"/>
      <c r="CL32" s="6"/>
      <c r="CM32" s="6"/>
      <c r="CN32" s="143"/>
      <c r="CO32" s="143"/>
      <c r="CP32" s="143"/>
      <c r="CQ32" s="143"/>
      <c r="CR32" s="143"/>
      <c r="CS32" s="143"/>
      <c r="CT32" s="143"/>
      <c r="CU32" s="143"/>
      <c r="CV32" s="6"/>
      <c r="CW32" s="143"/>
      <c r="CX32" s="143"/>
      <c r="CY32" s="143"/>
      <c r="CZ32" s="143"/>
      <c r="DA32" s="143"/>
      <c r="DB32" s="6"/>
      <c r="DC32" s="6"/>
      <c r="DD32" s="6"/>
      <c r="DE32" s="6"/>
      <c r="DF32" s="6"/>
      <c r="DG32" s="6"/>
      <c r="DH32" s="6"/>
      <c r="DI32" s="6"/>
      <c r="DJ32" s="6"/>
      <c r="DK32" s="150"/>
      <c r="DL32" s="6"/>
      <c r="DM32" s="6"/>
    </row>
    <row r="33" spans="1:127" ht="12.6" customHeight="1">
      <c r="A33" s="660"/>
      <c r="B33" s="173"/>
      <c r="C33" s="98"/>
      <c r="D33" s="99"/>
      <c r="E33" s="100"/>
      <c r="F33" s="101"/>
      <c r="G33" s="99"/>
      <c r="H33" s="102"/>
      <c r="I33" s="102">
        <f t="shared" ref="I33:I39" si="3">F33+H33</f>
        <v>0</v>
      </c>
      <c r="J33" s="103" t="str">
        <f t="shared" ref="J33:J39" si="4">IF($I$41&lt;&gt;0,I33/$I$41,"")</f>
        <v/>
      </c>
      <c r="K33" s="99"/>
      <c r="L33" s="102"/>
      <c r="M33" s="104">
        <f t="shared" ref="M33:M39" si="5">I33+L33</f>
        <v>0</v>
      </c>
      <c r="N33" s="104"/>
      <c r="O33" s="101">
        <f t="shared" ref="O33:O39" si="6">M33-N33</f>
        <v>0</v>
      </c>
      <c r="P33" s="589">
        <f t="shared" ref="P33:P39" si="7">IF(N33&lt;&gt;0,O33/N33,1)</f>
        <v>1</v>
      </c>
      <c r="Q33" s="586"/>
      <c r="R33" s="105"/>
      <c r="CK33" s="6"/>
      <c r="CL33" s="6"/>
      <c r="CM33" s="6"/>
      <c r="CN33" s="143"/>
      <c r="CO33" s="143"/>
      <c r="CP33" s="143"/>
      <c r="CQ33" s="143"/>
      <c r="CR33" s="143"/>
      <c r="CS33" s="143"/>
      <c r="CT33" s="143"/>
      <c r="CU33" s="143"/>
      <c r="CV33" s="6"/>
      <c r="CW33" s="143"/>
      <c r="CX33" s="143"/>
      <c r="CY33" s="143"/>
      <c r="CZ33" s="143"/>
      <c r="DA33" s="143"/>
      <c r="DB33" s="6"/>
      <c r="DC33" s="6"/>
      <c r="DD33" s="6"/>
      <c r="DE33" s="6"/>
      <c r="DF33" s="6"/>
      <c r="DG33" s="6"/>
      <c r="DH33" s="6"/>
      <c r="DI33" s="6"/>
      <c r="DJ33" s="6"/>
      <c r="DK33" s="150"/>
      <c r="DL33" s="6"/>
      <c r="DM33" s="6"/>
    </row>
    <row r="34" spans="1:127" ht="12.6" customHeight="1">
      <c r="A34" s="660"/>
      <c r="B34" s="173"/>
      <c r="C34" s="98"/>
      <c r="D34" s="99"/>
      <c r="E34" s="100"/>
      <c r="F34" s="101"/>
      <c r="G34" s="99"/>
      <c r="H34" s="102"/>
      <c r="I34" s="102">
        <f t="shared" si="3"/>
        <v>0</v>
      </c>
      <c r="J34" s="103" t="str">
        <f t="shared" si="4"/>
        <v/>
      </c>
      <c r="K34" s="99"/>
      <c r="L34" s="102"/>
      <c r="M34" s="104">
        <f t="shared" si="5"/>
        <v>0</v>
      </c>
      <c r="N34" s="104"/>
      <c r="O34" s="101">
        <f t="shared" si="6"/>
        <v>0</v>
      </c>
      <c r="P34" s="589">
        <f t="shared" si="7"/>
        <v>1</v>
      </c>
      <c r="Q34" s="586"/>
      <c r="R34" s="105"/>
      <c r="CK34" s="6"/>
      <c r="CL34" s="6"/>
      <c r="CM34" s="6"/>
      <c r="CN34" s="143"/>
      <c r="CO34" s="143"/>
      <c r="CP34" s="143"/>
      <c r="CQ34" s="143"/>
      <c r="CR34" s="143"/>
      <c r="CS34" s="143"/>
      <c r="CT34" s="143"/>
      <c r="CU34" s="143"/>
      <c r="CV34" s="6"/>
      <c r="CW34" s="143"/>
      <c r="CX34" s="143"/>
      <c r="CY34" s="143"/>
      <c r="CZ34" s="143"/>
      <c r="DA34" s="143"/>
      <c r="DB34" s="6"/>
      <c r="DC34" s="6"/>
      <c r="DD34" s="6"/>
      <c r="DE34" s="6"/>
      <c r="DF34" s="6"/>
      <c r="DG34" s="6"/>
      <c r="DH34" s="6"/>
      <c r="DI34" s="6"/>
      <c r="DJ34" s="6"/>
      <c r="DK34" s="150"/>
      <c r="DL34" s="6"/>
      <c r="DM34" s="6"/>
    </row>
    <row r="35" spans="1:127" ht="12.6" customHeight="1">
      <c r="A35" s="660"/>
      <c r="B35" s="173"/>
      <c r="C35" s="98"/>
      <c r="D35" s="99"/>
      <c r="E35" s="100"/>
      <c r="F35" s="101"/>
      <c r="G35" s="99"/>
      <c r="H35" s="102"/>
      <c r="I35" s="102">
        <f t="shared" si="3"/>
        <v>0</v>
      </c>
      <c r="J35" s="103" t="str">
        <f t="shared" si="4"/>
        <v/>
      </c>
      <c r="K35" s="99"/>
      <c r="L35" s="102"/>
      <c r="M35" s="104">
        <f t="shared" si="5"/>
        <v>0</v>
      </c>
      <c r="N35" s="104"/>
      <c r="O35" s="101">
        <f t="shared" si="6"/>
        <v>0</v>
      </c>
      <c r="P35" s="589">
        <f t="shared" si="7"/>
        <v>1</v>
      </c>
      <c r="Q35" s="586"/>
      <c r="R35" s="591"/>
      <c r="CK35" s="6"/>
      <c r="CL35" s="6"/>
      <c r="CM35" s="6"/>
      <c r="CN35" s="143"/>
      <c r="CO35" s="143"/>
      <c r="CP35" s="143"/>
      <c r="CQ35" s="143"/>
      <c r="CR35" s="143"/>
      <c r="CS35" s="143"/>
      <c r="CT35" s="143"/>
      <c r="CU35" s="143"/>
      <c r="CV35" s="6"/>
      <c r="CW35" s="143"/>
      <c r="CX35" s="143"/>
      <c r="CY35" s="143"/>
      <c r="CZ35" s="143"/>
      <c r="DA35" s="143"/>
      <c r="DB35" s="6"/>
      <c r="DC35" s="6"/>
      <c r="DD35" s="6"/>
      <c r="DE35" s="6"/>
      <c r="DF35" s="6"/>
      <c r="DG35" s="6"/>
      <c r="DH35" s="6"/>
      <c r="DI35" s="6"/>
      <c r="DJ35" s="6"/>
      <c r="DK35" s="150"/>
      <c r="DL35" s="6"/>
      <c r="DM35" s="6"/>
    </row>
    <row r="36" spans="1:127" ht="12.6" customHeight="1">
      <c r="A36" s="660"/>
      <c r="B36" s="173"/>
      <c r="C36" s="98"/>
      <c r="D36" s="99"/>
      <c r="E36" s="100"/>
      <c r="F36" s="101"/>
      <c r="G36" s="99"/>
      <c r="H36" s="102"/>
      <c r="I36" s="102">
        <f t="shared" si="3"/>
        <v>0</v>
      </c>
      <c r="J36" s="103" t="str">
        <f t="shared" si="4"/>
        <v/>
      </c>
      <c r="K36" s="99"/>
      <c r="L36" s="102"/>
      <c r="M36" s="104">
        <f t="shared" si="5"/>
        <v>0</v>
      </c>
      <c r="N36" s="104"/>
      <c r="O36" s="101">
        <f t="shared" si="6"/>
        <v>0</v>
      </c>
      <c r="P36" s="589">
        <f t="shared" si="7"/>
        <v>1</v>
      </c>
      <c r="Q36" s="586"/>
      <c r="R36" s="105"/>
      <c r="CK36" s="6"/>
      <c r="CL36" s="6"/>
      <c r="CM36" s="6"/>
      <c r="CN36" s="143"/>
      <c r="CO36" s="143"/>
      <c r="CP36" s="143"/>
      <c r="CQ36" s="143"/>
      <c r="CR36" s="143"/>
      <c r="CS36" s="143"/>
      <c r="CT36" s="143"/>
      <c r="CU36" s="143"/>
      <c r="CV36" s="6"/>
      <c r="CW36" s="143"/>
      <c r="CX36" s="143"/>
      <c r="CY36" s="143"/>
      <c r="CZ36" s="143"/>
      <c r="DA36" s="143"/>
      <c r="DB36" s="6"/>
      <c r="DC36" s="6"/>
      <c r="DD36" s="6"/>
      <c r="DE36" s="6"/>
      <c r="DF36" s="6"/>
      <c r="DG36" s="6"/>
      <c r="DH36" s="6"/>
      <c r="DI36" s="6"/>
      <c r="DJ36" s="6"/>
      <c r="DK36" s="150"/>
      <c r="DL36" s="6"/>
      <c r="DM36" s="6"/>
    </row>
    <row r="37" spans="1:127" ht="12.6" customHeight="1">
      <c r="A37" s="660"/>
      <c r="B37" s="173"/>
      <c r="C37" s="98"/>
      <c r="D37" s="99"/>
      <c r="E37" s="100"/>
      <c r="F37" s="101"/>
      <c r="G37" s="99"/>
      <c r="H37" s="102"/>
      <c r="I37" s="102">
        <f t="shared" si="3"/>
        <v>0</v>
      </c>
      <c r="J37" s="103" t="str">
        <f t="shared" si="4"/>
        <v/>
      </c>
      <c r="K37" s="99"/>
      <c r="L37" s="102"/>
      <c r="M37" s="104">
        <f t="shared" si="5"/>
        <v>0</v>
      </c>
      <c r="N37" s="104"/>
      <c r="O37" s="101">
        <f t="shared" si="6"/>
        <v>0</v>
      </c>
      <c r="P37" s="589">
        <f t="shared" si="7"/>
        <v>1</v>
      </c>
      <c r="Q37" s="586"/>
      <c r="R37" s="105"/>
      <c r="CK37" s="6"/>
      <c r="CL37" s="6"/>
      <c r="CM37" s="6"/>
      <c r="CN37" s="143"/>
      <c r="CO37" s="143"/>
      <c r="CP37" s="143"/>
      <c r="CQ37" s="143"/>
      <c r="CR37" s="143"/>
      <c r="CS37" s="143"/>
      <c r="CT37" s="143"/>
      <c r="CU37" s="143"/>
      <c r="CV37" s="6"/>
      <c r="CW37" s="143"/>
      <c r="CX37" s="143"/>
      <c r="CY37" s="143"/>
      <c r="CZ37" s="143"/>
      <c r="DA37" s="143"/>
      <c r="DB37" s="6"/>
      <c r="DC37" s="6"/>
      <c r="DD37" s="6"/>
      <c r="DE37" s="6"/>
      <c r="DF37" s="6"/>
      <c r="DG37" s="6"/>
      <c r="DH37" s="6"/>
      <c r="DI37" s="6"/>
      <c r="DJ37" s="6"/>
      <c r="DK37" s="150"/>
      <c r="DL37" s="6"/>
      <c r="DM37" s="6"/>
    </row>
    <row r="38" spans="1:127" ht="12.6" customHeight="1">
      <c r="A38" s="660"/>
      <c r="B38" s="15"/>
      <c r="C38" s="98"/>
      <c r="D38" s="99"/>
      <c r="E38" s="100"/>
      <c r="F38" s="101"/>
      <c r="G38" s="99"/>
      <c r="H38" s="102"/>
      <c r="I38" s="102">
        <f t="shared" si="3"/>
        <v>0</v>
      </c>
      <c r="J38" s="103" t="str">
        <f t="shared" si="4"/>
        <v/>
      </c>
      <c r="K38" s="99"/>
      <c r="L38" s="102"/>
      <c r="M38" s="104">
        <f t="shared" si="5"/>
        <v>0</v>
      </c>
      <c r="N38" s="104"/>
      <c r="O38" s="101">
        <f t="shared" si="6"/>
        <v>0</v>
      </c>
      <c r="P38" s="589">
        <f t="shared" si="7"/>
        <v>1</v>
      </c>
      <c r="Q38" s="586"/>
      <c r="R38" s="105"/>
      <c r="CK38" s="6"/>
      <c r="CL38" s="6"/>
      <c r="CM38" s="6"/>
      <c r="CN38" s="143"/>
      <c r="CO38" s="143"/>
      <c r="CP38" s="143"/>
      <c r="CQ38" s="143"/>
      <c r="CR38" s="143"/>
      <c r="CS38" s="143"/>
      <c r="CT38" s="143"/>
      <c r="CU38" s="143"/>
      <c r="CV38" s="6"/>
      <c r="CW38" s="143"/>
      <c r="CX38" s="143"/>
      <c r="CY38" s="143"/>
      <c r="CZ38" s="143"/>
      <c r="DA38" s="143"/>
      <c r="DB38" s="6"/>
      <c r="DC38" s="6"/>
      <c r="DD38" s="6"/>
      <c r="DE38" s="6"/>
      <c r="DF38" s="6"/>
      <c r="DG38" s="6"/>
      <c r="DH38" s="6"/>
      <c r="DI38" s="6"/>
      <c r="DJ38" s="6"/>
      <c r="DK38" s="150"/>
      <c r="DL38" s="6"/>
      <c r="DM38" s="6"/>
    </row>
    <row r="39" spans="1:127" ht="12.6" customHeight="1" thickBot="1">
      <c r="A39" s="660" t="s">
        <v>185</v>
      </c>
      <c r="C39" s="371"/>
      <c r="D39" s="372"/>
      <c r="E39" s="385"/>
      <c r="F39" s="374"/>
      <c r="G39" s="372"/>
      <c r="H39" s="375"/>
      <c r="I39" s="102">
        <f t="shared" si="3"/>
        <v>0</v>
      </c>
      <c r="J39" s="103" t="str">
        <f t="shared" si="4"/>
        <v/>
      </c>
      <c r="K39" s="378"/>
      <c r="L39" s="379"/>
      <c r="M39" s="104">
        <f t="shared" si="5"/>
        <v>0</v>
      </c>
      <c r="N39" s="380"/>
      <c r="O39" s="101">
        <f t="shared" si="6"/>
        <v>0</v>
      </c>
      <c r="P39" s="377">
        <f t="shared" si="7"/>
        <v>1</v>
      </c>
      <c r="Q39" s="378"/>
      <c r="R39" s="373"/>
      <c r="CK39" s="6"/>
      <c r="CL39" s="6"/>
      <c r="CM39" s="6"/>
      <c r="CN39" s="143"/>
      <c r="CO39" s="143"/>
      <c r="CP39" s="143"/>
      <c r="CQ39" s="143"/>
      <c r="CR39" s="143"/>
      <c r="CS39" s="143"/>
      <c r="CT39" s="143"/>
      <c r="CU39" s="143"/>
      <c r="CV39" s="6"/>
      <c r="CW39" s="143"/>
      <c r="CX39" s="143"/>
      <c r="CY39" s="143"/>
      <c r="CZ39" s="143"/>
      <c r="DA39" s="143"/>
      <c r="DB39" s="6"/>
      <c r="DC39" s="6"/>
      <c r="DD39" s="6"/>
      <c r="DE39" s="6"/>
      <c r="DF39" s="6"/>
      <c r="DG39" s="6"/>
      <c r="DH39" s="6"/>
      <c r="DI39" s="6"/>
      <c r="DJ39" s="6"/>
      <c r="DK39" s="150"/>
      <c r="DL39" s="6"/>
      <c r="DM39" s="6"/>
    </row>
    <row r="40" spans="1:127" s="16" customFormat="1" ht="12.6" customHeight="1">
      <c r="A40" s="661"/>
      <c r="B40" s="19"/>
      <c r="C40" s="760"/>
      <c r="D40" s="761"/>
      <c r="E40" s="762"/>
      <c r="F40" s="762"/>
      <c r="G40" s="762"/>
      <c r="H40" s="762"/>
      <c r="I40" s="763"/>
      <c r="J40" s="764"/>
      <c r="K40" s="765"/>
      <c r="L40" s="763"/>
      <c r="M40" s="763"/>
      <c r="N40" s="763"/>
      <c r="O40" s="753"/>
      <c r="P40" s="766"/>
      <c r="Q40" s="767"/>
      <c r="R40" s="768"/>
      <c r="S40" s="19"/>
      <c r="T40" s="19"/>
      <c r="U40" s="174"/>
      <c r="CM40" s="6"/>
      <c r="CN40" s="6"/>
      <c r="CO40" s="6"/>
      <c r="CP40" s="143"/>
      <c r="CQ40" s="143"/>
      <c r="CR40" s="143"/>
      <c r="CS40" s="143"/>
      <c r="CT40" s="143"/>
      <c r="CU40" s="143"/>
      <c r="CV40" s="143"/>
      <c r="CW40" s="143"/>
      <c r="CX40" s="6"/>
      <c r="CY40" s="143"/>
      <c r="CZ40" s="143"/>
      <c r="DA40" s="143"/>
      <c r="DB40" s="143"/>
      <c r="DC40" s="143"/>
      <c r="DD40" s="6"/>
      <c r="DE40" s="6"/>
      <c r="DF40" s="6"/>
      <c r="DG40" s="6"/>
      <c r="DH40" s="6"/>
      <c r="DI40" s="6"/>
      <c r="DJ40" s="6"/>
      <c r="DK40" s="6"/>
      <c r="DL40" s="6"/>
      <c r="DM40" s="150"/>
      <c r="DN40" s="6"/>
      <c r="DO40" s="6"/>
    </row>
    <row r="41" spans="1:127" s="16" customFormat="1" ht="12.6" customHeight="1" thickBot="1">
      <c r="A41" s="661"/>
      <c r="B41" s="174"/>
      <c r="C41" s="174"/>
      <c r="D41" s="175"/>
      <c r="E41" s="176" t="s">
        <v>186</v>
      </c>
      <c r="F41" s="386">
        <f>SUM(F31:F40)</f>
        <v>0</v>
      </c>
      <c r="G41" s="21"/>
      <c r="H41" s="386">
        <f>SUM(H31:H40)</f>
        <v>0</v>
      </c>
      <c r="I41" s="386">
        <f>SUM(I31:I40)</f>
        <v>0</v>
      </c>
      <c r="J41" s="387">
        <f>SUM(J31:J40)</f>
        <v>0</v>
      </c>
      <c r="K41" s="21"/>
      <c r="L41" s="386">
        <f>SUM(L31:L40)</f>
        <v>0</v>
      </c>
      <c r="M41" s="386">
        <f>SUM(M31:M40)</f>
        <v>0</v>
      </c>
      <c r="N41" s="386">
        <f>SUM(N31:N40)</f>
        <v>0</v>
      </c>
      <c r="O41" s="386">
        <f>M41-N41</f>
        <v>0</v>
      </c>
      <c r="P41" s="387">
        <f>IF(N41&lt;&gt;0,O41/N41,1)</f>
        <v>1</v>
      </c>
      <c r="Q41" s="177"/>
      <c r="R41" s="174"/>
      <c r="S41" s="19"/>
      <c r="T41" s="19"/>
      <c r="U41" s="174"/>
      <c r="CM41" s="9"/>
      <c r="CN41" s="9"/>
      <c r="CO41" s="9"/>
      <c r="CP41" s="149"/>
      <c r="CQ41" s="149"/>
      <c r="CR41" s="149"/>
      <c r="CS41" s="149"/>
      <c r="CT41" s="149"/>
      <c r="CU41" s="149"/>
      <c r="CV41" s="149"/>
      <c r="CW41" s="149"/>
      <c r="CX41" s="9"/>
      <c r="CY41" s="149"/>
      <c r="CZ41" s="149"/>
      <c r="DA41" s="149"/>
      <c r="DB41" s="149"/>
      <c r="DC41" s="149"/>
      <c r="DD41" s="9"/>
      <c r="DE41" s="9"/>
      <c r="DF41" s="9"/>
      <c r="DG41" s="9"/>
      <c r="DH41" s="9"/>
      <c r="DI41" s="9"/>
      <c r="DJ41" s="9"/>
      <c r="DK41" s="9"/>
      <c r="DL41" s="9"/>
      <c r="DM41" s="178"/>
      <c r="DN41" s="9"/>
      <c r="DO41" s="9"/>
    </row>
    <row r="42" spans="1:127" s="16" customFormat="1" ht="12.6" customHeight="1" thickTop="1">
      <c r="A42" s="661"/>
      <c r="B42" s="174"/>
      <c r="C42" s="174"/>
      <c r="D42" s="179"/>
      <c r="E42" s="175"/>
      <c r="F42" s="131" t="s">
        <v>105</v>
      </c>
      <c r="G42" s="179"/>
      <c r="H42" s="201" t="s">
        <v>200</v>
      </c>
      <c r="I42" s="131" t="s">
        <v>105</v>
      </c>
      <c r="J42" s="131" t="s">
        <v>105</v>
      </c>
      <c r="K42" s="180"/>
      <c r="L42" s="131" t="s">
        <v>105</v>
      </c>
      <c r="M42" s="131" t="s">
        <v>105</v>
      </c>
      <c r="N42" s="131" t="s">
        <v>105</v>
      </c>
      <c r="O42" s="193"/>
      <c r="P42" s="182"/>
      <c r="Q42" s="183"/>
      <c r="R42" s="184"/>
      <c r="S42" s="19"/>
      <c r="T42" s="19"/>
      <c r="U42" s="174"/>
      <c r="CM42" s="6"/>
      <c r="CN42" s="6"/>
      <c r="CO42" s="6"/>
      <c r="CP42" s="143"/>
      <c r="CQ42" s="143"/>
      <c r="CR42" s="143"/>
      <c r="CS42" s="143"/>
      <c r="CT42" s="143"/>
      <c r="CU42" s="143"/>
      <c r="CV42" s="143"/>
      <c r="CW42" s="143"/>
      <c r="CX42" s="6"/>
      <c r="CY42" s="143"/>
      <c r="CZ42" s="143"/>
      <c r="DA42" s="143"/>
      <c r="DB42" s="143"/>
      <c r="DC42" s="143"/>
      <c r="DD42" s="6"/>
      <c r="DE42" s="6"/>
      <c r="DF42" s="6"/>
      <c r="DG42" s="6"/>
      <c r="DH42" s="6"/>
      <c r="DI42" s="6"/>
      <c r="DJ42" s="6"/>
      <c r="DK42" s="6"/>
      <c r="DL42" s="6"/>
      <c r="DM42" s="150"/>
      <c r="DN42" s="6"/>
      <c r="DO42" s="6"/>
    </row>
    <row r="43" spans="1:127" s="16" customFormat="1" ht="12.6" customHeight="1">
      <c r="A43" s="661"/>
      <c r="B43" s="174"/>
      <c r="C43" s="174"/>
      <c r="D43" s="179"/>
      <c r="F43" s="181"/>
      <c r="G43" s="179"/>
      <c r="H43" s="185" t="s">
        <v>91</v>
      </c>
      <c r="I43" s="181"/>
      <c r="J43" s="186"/>
      <c r="K43" s="181"/>
      <c r="M43" s="181"/>
      <c r="N43" s="181"/>
      <c r="O43" s="181"/>
      <c r="P43" s="182"/>
      <c r="Q43" s="182"/>
      <c r="R43" s="184"/>
      <c r="S43" s="174"/>
      <c r="T43" s="19"/>
      <c r="U43" s="174"/>
      <c r="CM43" s="6"/>
      <c r="CN43" s="6"/>
      <c r="CO43" s="6"/>
      <c r="CP43" s="143"/>
      <c r="CQ43" s="143"/>
      <c r="CR43" s="143"/>
      <c r="CS43" s="143"/>
      <c r="CT43" s="143"/>
      <c r="CU43" s="143"/>
      <c r="CV43" s="143"/>
      <c r="CW43" s="143"/>
      <c r="CX43" s="6"/>
      <c r="CY43" s="143"/>
      <c r="CZ43" s="143"/>
      <c r="DA43" s="143"/>
      <c r="DB43" s="143"/>
      <c r="DC43" s="143"/>
      <c r="DD43" s="6"/>
      <c r="DE43" s="6"/>
      <c r="DF43" s="6"/>
      <c r="DG43" s="6"/>
      <c r="DH43" s="6"/>
      <c r="DI43" s="6"/>
      <c r="DJ43" s="6"/>
      <c r="DK43" s="6"/>
      <c r="DL43" s="6"/>
      <c r="DM43" s="150"/>
      <c r="DN43" s="6"/>
      <c r="DO43" s="6"/>
    </row>
    <row r="44" spans="1:127" s="16" customFormat="1" ht="12.6" customHeight="1">
      <c r="A44" s="661"/>
      <c r="B44" s="174"/>
      <c r="C44" s="174"/>
      <c r="D44" s="13" t="s">
        <v>187</v>
      </c>
      <c r="E44" s="369" t="s">
        <v>188</v>
      </c>
      <c r="F44" s="181"/>
      <c r="G44" s="179"/>
      <c r="H44" s="187" t="s">
        <v>201</v>
      </c>
      <c r="I44" s="188">
        <f>I41-I43</f>
        <v>0</v>
      </c>
      <c r="J44" s="189"/>
      <c r="K44" s="181"/>
      <c r="M44" s="188">
        <f>M41-M43</f>
        <v>0</v>
      </c>
      <c r="N44" s="188">
        <f>N41-N43</f>
        <v>0</v>
      </c>
      <c r="O44" s="181"/>
      <c r="P44" s="182"/>
      <c r="Q44" s="182"/>
      <c r="R44" s="182"/>
      <c r="S44" s="182"/>
      <c r="T44" s="184"/>
      <c r="U44" s="174"/>
      <c r="V44" s="174"/>
      <c r="W44" s="174"/>
      <c r="CO44" s="6"/>
      <c r="CP44" s="6"/>
      <c r="CQ44" s="6"/>
      <c r="CR44" s="143"/>
      <c r="CS44" s="143"/>
      <c r="CT44" s="143"/>
      <c r="CU44" s="143"/>
      <c r="CV44" s="143"/>
      <c r="CW44" s="143"/>
      <c r="CX44" s="143"/>
      <c r="CY44" s="143"/>
      <c r="CZ44" s="6"/>
      <c r="DA44" s="143"/>
      <c r="DB44" s="143"/>
      <c r="DC44" s="143"/>
      <c r="DD44" s="143"/>
      <c r="DE44" s="143"/>
      <c r="DF44" s="6"/>
      <c r="DG44" s="6"/>
      <c r="DH44" s="6"/>
      <c r="DI44" s="6"/>
      <c r="DJ44" s="6"/>
      <c r="DK44" s="6"/>
      <c r="DL44" s="6"/>
      <c r="DM44" s="6"/>
      <c r="DN44" s="6"/>
      <c r="DO44" s="150"/>
      <c r="DP44" s="6"/>
      <c r="DQ44" s="6"/>
    </row>
    <row r="45" spans="1:127" s="20" customFormat="1" ht="13.35" customHeight="1">
      <c r="A45" s="656"/>
      <c r="G45" s="163"/>
      <c r="H45" s="202"/>
      <c r="I45" s="137"/>
      <c r="J45" s="163"/>
      <c r="CZ45" s="143"/>
      <c r="DA45" s="143"/>
      <c r="DB45" s="143"/>
      <c r="DC45" s="143"/>
      <c r="DD45" s="143"/>
      <c r="DE45" s="143"/>
      <c r="DF45" s="143"/>
      <c r="DG45" s="143"/>
      <c r="DI45" s="143"/>
      <c r="DJ45" s="143"/>
      <c r="DK45" s="143"/>
      <c r="DL45" s="143"/>
      <c r="DM45" s="143"/>
      <c r="DW45" s="203"/>
    </row>
    <row r="46" spans="1:127" s="13" customFormat="1" ht="13.35" customHeight="1" thickBot="1">
      <c r="A46" s="663"/>
      <c r="B46" s="88" t="s">
        <v>155</v>
      </c>
      <c r="C46" s="13" t="s">
        <v>189</v>
      </c>
      <c r="G46" s="137"/>
      <c r="H46" s="138"/>
      <c r="I46" s="137"/>
      <c r="J46" s="137"/>
      <c r="CV46" s="62"/>
      <c r="CW46" s="62"/>
      <c r="CX46" s="62"/>
      <c r="CY46" s="62"/>
      <c r="CZ46" s="62"/>
      <c r="DA46" s="62"/>
      <c r="DB46" s="62"/>
      <c r="DE46" s="62"/>
      <c r="DF46" s="62"/>
      <c r="DG46" s="62"/>
      <c r="DH46" s="62"/>
      <c r="DI46" s="62"/>
      <c r="DS46" s="69"/>
    </row>
    <row r="47" spans="1:127" s="17" customFormat="1" ht="12.6" customHeight="1">
      <c r="A47" s="664"/>
      <c r="C47" s="828"/>
      <c r="D47" s="829"/>
      <c r="E47" s="829"/>
      <c r="F47" s="829"/>
      <c r="G47" s="830"/>
      <c r="H47" s="139"/>
      <c r="I47" s="137"/>
      <c r="J47" s="139"/>
      <c r="CN47" s="13"/>
      <c r="CO47" s="13"/>
      <c r="CP47" s="13"/>
      <c r="CQ47" s="62"/>
      <c r="CR47" s="62"/>
      <c r="CS47" s="62"/>
      <c r="CT47" s="62"/>
      <c r="CU47" s="62"/>
      <c r="CV47" s="62"/>
      <c r="CW47" s="62"/>
      <c r="CX47" s="13"/>
      <c r="CY47" s="13"/>
      <c r="CZ47" s="62"/>
      <c r="DA47" s="62"/>
      <c r="DB47" s="62"/>
      <c r="DC47" s="62"/>
      <c r="DD47" s="62"/>
      <c r="DE47" s="13"/>
      <c r="DF47" s="13"/>
      <c r="DG47" s="13"/>
      <c r="DH47" s="13"/>
      <c r="DI47" s="13"/>
      <c r="DJ47" s="13"/>
      <c r="DK47" s="13"/>
      <c r="DL47" s="13"/>
      <c r="DM47" s="13"/>
      <c r="DN47" s="69"/>
      <c r="DO47" s="13"/>
      <c r="DP47" s="13"/>
    </row>
    <row r="48" spans="1:127" s="17" customFormat="1" ht="12.6" customHeight="1">
      <c r="A48" s="665"/>
      <c r="C48" s="831"/>
      <c r="D48" s="832"/>
      <c r="E48" s="832"/>
      <c r="F48" s="832"/>
      <c r="G48" s="833"/>
      <c r="H48" s="139"/>
      <c r="I48" s="139"/>
      <c r="J48" s="139"/>
      <c r="CN48" s="13"/>
      <c r="CO48" s="13"/>
      <c r="CP48" s="13"/>
      <c r="CQ48" s="62"/>
      <c r="CR48" s="62"/>
      <c r="CS48" s="62"/>
      <c r="CT48" s="62"/>
      <c r="CU48" s="62"/>
      <c r="CV48" s="62"/>
      <c r="CW48" s="62"/>
      <c r="CX48" s="13"/>
      <c r="CY48" s="13"/>
      <c r="CZ48" s="62"/>
      <c r="DA48" s="62"/>
      <c r="DB48" s="62"/>
      <c r="DC48" s="62"/>
      <c r="DD48" s="62"/>
      <c r="DE48" s="13"/>
      <c r="DF48" s="13"/>
      <c r="DG48" s="13"/>
      <c r="DH48" s="13"/>
      <c r="DI48" s="13"/>
      <c r="DJ48" s="13"/>
      <c r="DK48" s="13"/>
      <c r="DL48" s="13"/>
      <c r="DM48" s="13"/>
      <c r="DN48" s="69"/>
      <c r="DO48" s="13"/>
      <c r="DP48" s="13"/>
    </row>
    <row r="49" spans="1:129" s="17" customFormat="1" ht="12.6" customHeight="1" thickBot="1">
      <c r="A49" s="665"/>
      <c r="C49" s="834"/>
      <c r="D49" s="835"/>
      <c r="E49" s="835"/>
      <c r="F49" s="835"/>
      <c r="G49" s="836"/>
      <c r="H49" s="139"/>
      <c r="I49" s="139"/>
      <c r="J49" s="139"/>
      <c r="CN49" s="13"/>
      <c r="CO49" s="13"/>
      <c r="CP49" s="13"/>
      <c r="CQ49" s="62"/>
      <c r="CR49" s="62"/>
      <c r="CS49" s="62"/>
      <c r="CT49" s="62"/>
      <c r="CU49" s="62"/>
      <c r="CV49" s="62"/>
      <c r="CW49" s="62"/>
      <c r="CX49" s="13"/>
      <c r="CY49" s="13"/>
      <c r="CZ49" s="62"/>
      <c r="DA49" s="62"/>
      <c r="DB49" s="62"/>
      <c r="DC49" s="62"/>
      <c r="DD49" s="62"/>
      <c r="DE49" s="13"/>
      <c r="DF49" s="13"/>
      <c r="DG49" s="13"/>
      <c r="DH49" s="13"/>
      <c r="DI49" s="13"/>
      <c r="DJ49" s="13"/>
      <c r="DK49" s="13"/>
      <c r="DL49" s="13"/>
      <c r="DM49" s="13"/>
      <c r="DN49" s="13"/>
      <c r="DO49" s="13"/>
      <c r="DP49" s="13"/>
    </row>
    <row r="50" spans="1:129" ht="12.75" customHeight="1">
      <c r="A50" s="540"/>
      <c r="CW50" s="20"/>
      <c r="CX50" s="20"/>
      <c r="CY50" s="143"/>
      <c r="CZ50" s="143"/>
      <c r="DA50" s="143"/>
      <c r="DB50" s="143"/>
      <c r="DC50" s="143"/>
      <c r="DD50" s="143"/>
      <c r="DE50" s="143"/>
      <c r="DF50" s="143"/>
      <c r="DG50" s="143"/>
      <c r="DH50" s="20"/>
      <c r="DI50" s="143"/>
      <c r="DJ50" s="143"/>
      <c r="DK50" s="143"/>
      <c r="DL50" s="143"/>
      <c r="DM50" s="143"/>
      <c r="DN50" s="20"/>
      <c r="DO50" s="20"/>
      <c r="DP50" s="20"/>
      <c r="DQ50" s="20"/>
      <c r="DR50" s="20"/>
      <c r="DS50" s="20"/>
      <c r="DT50" s="20"/>
      <c r="DU50" s="20"/>
      <c r="DV50" s="20"/>
      <c r="DW50" s="203"/>
      <c r="DX50" s="20"/>
      <c r="DY50" s="20"/>
    </row>
    <row r="51" spans="1:129" ht="12.75" customHeight="1">
      <c r="A51" s="540"/>
      <c r="B51" s="204"/>
      <c r="C51" s="205"/>
      <c r="D51" s="205"/>
      <c r="E51" s="205"/>
      <c r="F51" s="205"/>
      <c r="G51" s="206"/>
      <c r="H51" s="205"/>
      <c r="I51" s="205"/>
      <c r="J51" s="205"/>
      <c r="K51" s="205"/>
      <c r="L51" s="204"/>
      <c r="M51" s="204"/>
      <c r="N51" s="204"/>
      <c r="O51" s="204"/>
      <c r="P51" s="204"/>
    </row>
    <row r="52" spans="1:129" ht="12.75" customHeight="1">
      <c r="A52" s="540"/>
      <c r="B52" s="204"/>
      <c r="C52" s="205"/>
      <c r="D52" s="205"/>
      <c r="E52" s="205"/>
      <c r="F52" s="205"/>
      <c r="G52" s="206"/>
      <c r="H52" s="205"/>
      <c r="I52" s="205"/>
      <c r="J52" s="205"/>
      <c r="K52" s="205"/>
      <c r="L52" s="204"/>
      <c r="M52" s="204"/>
      <c r="N52" s="204"/>
      <c r="O52" s="204"/>
      <c r="P52" s="204"/>
    </row>
  </sheetData>
  <mergeCells count="13">
    <mergeCell ref="C47:G49"/>
    <mergeCell ref="O5:O6"/>
    <mergeCell ref="L5:L6"/>
    <mergeCell ref="M5:M6"/>
    <mergeCell ref="D10:F10"/>
    <mergeCell ref="D9:F9"/>
    <mergeCell ref="D8:F8"/>
    <mergeCell ref="D14:F14"/>
    <mergeCell ref="D13:F13"/>
    <mergeCell ref="D12:F12"/>
    <mergeCell ref="D11:F11"/>
    <mergeCell ref="N5:N6"/>
    <mergeCell ref="C19:G21"/>
  </mergeCells>
  <phoneticPr fontId="136" type="noConversion"/>
  <conditionalFormatting sqref="G9:I14 C19:G21 D24 C29:F29 N29 C32:F39 N32:N39 I43 M43:N43 F44 C47:G49">
    <cfRule type="containsBlanks" dxfId="13" priority="1">
      <formula>LEN(TRIM(C9))=0</formula>
    </cfRule>
  </conditionalFormatting>
  <dataValidations count="2">
    <dataValidation type="list" allowBlank="1" showInputMessage="1" sqref="H9:H14" xr:uid="{9811A1DB-4A52-499D-BDB5-3A876265D2F9}">
      <formula1>"是,否"</formula1>
    </dataValidation>
    <dataValidation type="list" allowBlank="1" showInputMessage="1" sqref="I9:I14" xr:uid="{CA55154C-52D3-4EA0-9B22-4285C5288BC8}">
      <formula1>"是,不适用"</formula1>
    </dataValidation>
  </dataValidations>
  <hyperlinks>
    <hyperlink ref="J2" location="汇总!A1" display="返回汇总页" xr:uid="{00000000-0004-0000-0600-000000000000}"/>
  </hyperlinks>
  <pageMargins left="0.74791660000000004" right="0.74791660000000004" top="0.98402780000000001" bottom="0.98402780000000001" header="0.51180550000000002" footer="0.51180550000000002"/>
  <pageSetup paperSize="9" orientation="landscape" errors="blank"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dimension ref="A1:DW105"/>
  <sheetViews>
    <sheetView showGridLines="0" zoomScale="70" zoomScaleNormal="70" workbookViewId="0">
      <selection activeCell="P36" sqref="P36"/>
    </sheetView>
  </sheetViews>
  <sheetFormatPr defaultColWidth="9.5703125" defaultRowHeight="12.6" customHeight="1" outlineLevelRow="1" outlineLevelCol="1"/>
  <cols>
    <col min="1" max="1" width="0.140625" style="556" customWidth="1"/>
    <col min="2" max="2" width="6" style="19" customWidth="1"/>
    <col min="3" max="3" width="19.140625" style="19" customWidth="1"/>
    <col min="4" max="4" width="44.85546875" style="19" customWidth="1"/>
    <col min="5" max="5" width="22.28515625" style="19" customWidth="1"/>
    <col min="6" max="6" width="22.42578125" style="19" customWidth="1"/>
    <col min="7" max="7" width="32.7109375" style="19" customWidth="1"/>
    <col min="8" max="8" width="16.28515625" style="19" customWidth="1"/>
    <col min="9" max="9" width="25.42578125" style="19" customWidth="1"/>
    <col min="10" max="10" width="26.85546875" style="19" customWidth="1"/>
    <col min="11" max="11" width="26.28515625" style="19" customWidth="1" outlineLevel="1"/>
    <col min="12" max="12" width="11.140625" style="19" customWidth="1" outlineLevel="1"/>
    <col min="13" max="13" width="10.5703125" style="19" customWidth="1"/>
    <col min="14" max="14" width="12.85546875" style="19" customWidth="1"/>
    <col min="15" max="15" width="13.140625" style="19" customWidth="1"/>
    <col min="16" max="16" width="16.28515625" style="19" customWidth="1"/>
    <col min="17" max="17" width="11.140625" style="19" customWidth="1"/>
    <col min="18" max="18" width="13.85546875" style="19" customWidth="1"/>
    <col min="19" max="19" width="23" style="19" customWidth="1"/>
    <col min="20" max="20" width="15.140625" style="19" customWidth="1"/>
    <col min="21" max="23" width="8.7109375" style="19" customWidth="1"/>
    <col min="24" max="25" width="7.42578125" style="19" customWidth="1"/>
    <col min="26" max="27" width="13.140625" style="19" customWidth="1"/>
    <col min="28" max="33" width="8.7109375" style="19" customWidth="1"/>
    <col min="34" max="34" width="11.7109375" style="19" customWidth="1"/>
    <col min="35" max="35" width="7.5703125" style="19" customWidth="1"/>
    <col min="36" max="36" width="8.85546875" style="19" customWidth="1"/>
    <col min="37" max="16384" width="9.5703125" style="19"/>
  </cols>
  <sheetData>
    <row r="1" spans="1:127" ht="12.6" customHeight="1">
      <c r="A1" s="541" t="s">
        <v>202</v>
      </c>
      <c r="CS1" s="141"/>
      <c r="CT1" s="6"/>
      <c r="CU1" s="6"/>
      <c r="CV1" s="142"/>
      <c r="CW1" s="143"/>
      <c r="CX1" s="143"/>
      <c r="CY1" s="143"/>
      <c r="CZ1" s="143"/>
      <c r="DA1" s="143"/>
      <c r="DB1" s="6"/>
      <c r="DC1" s="143"/>
      <c r="DD1" s="6"/>
      <c r="DE1" s="143"/>
      <c r="DF1" s="143"/>
      <c r="DG1" s="143"/>
      <c r="DH1" s="143"/>
      <c r="DI1" s="143"/>
      <c r="DJ1" s="143"/>
      <c r="DK1" s="6"/>
      <c r="DL1" s="144"/>
      <c r="DM1" s="145"/>
      <c r="DN1" s="146"/>
      <c r="DO1" s="146"/>
      <c r="DP1" s="6"/>
      <c r="DQ1" s="143"/>
      <c r="DR1" s="147"/>
      <c r="DS1" s="148"/>
      <c r="DT1" s="143"/>
      <c r="DU1" s="149"/>
    </row>
    <row r="2" spans="1:127" s="9" customFormat="1" ht="17.850000000000001" customHeight="1">
      <c r="A2" s="539"/>
      <c r="C2" s="473"/>
      <c r="J2" s="48" t="s">
        <v>108</v>
      </c>
    </row>
    <row r="3" spans="1:127" ht="12.6" customHeight="1" thickBot="1">
      <c r="A3" s="541"/>
      <c r="CR3" s="143"/>
      <c r="CS3" s="6"/>
      <c r="CT3" s="6"/>
      <c r="CU3" s="143"/>
      <c r="CV3" s="143"/>
      <c r="CW3" s="143"/>
      <c r="CX3" s="143"/>
      <c r="CY3" s="143"/>
      <c r="CZ3" s="143"/>
      <c r="DA3" s="143"/>
      <c r="DB3" s="143"/>
      <c r="DC3" s="6"/>
      <c r="DD3" s="143"/>
      <c r="DE3" s="143"/>
      <c r="DF3" s="143"/>
      <c r="DG3" s="143"/>
      <c r="DH3" s="143"/>
      <c r="DI3" s="6"/>
      <c r="DJ3" s="6"/>
      <c r="DK3" s="6"/>
      <c r="DL3" s="6"/>
      <c r="DM3" s="6"/>
      <c r="DN3" s="6"/>
      <c r="DO3" s="6"/>
      <c r="DP3" s="6"/>
      <c r="DQ3" s="6"/>
      <c r="DR3" s="150"/>
      <c r="DS3" s="143"/>
      <c r="DT3" s="149"/>
    </row>
    <row r="4" spans="1:127" ht="21">
      <c r="A4" s="541"/>
      <c r="C4" s="757" t="s">
        <v>159</v>
      </c>
      <c r="D4" s="758"/>
      <c r="E4" s="758"/>
      <c r="F4" s="758"/>
      <c r="G4" s="758"/>
      <c r="H4" s="758"/>
      <c r="I4" s="758"/>
      <c r="J4" s="759"/>
      <c r="K4" s="151"/>
      <c r="L4" s="151"/>
      <c r="CS4" s="6"/>
      <c r="CT4" s="6"/>
      <c r="CU4" s="6"/>
      <c r="CV4" s="143"/>
      <c r="CW4" s="143"/>
      <c r="CX4" s="143"/>
      <c r="CY4" s="143"/>
      <c r="CZ4" s="143"/>
      <c r="DA4" s="143"/>
      <c r="DB4" s="143"/>
      <c r="DC4" s="143"/>
      <c r="DD4" s="6"/>
      <c r="DE4" s="143"/>
      <c r="DF4" s="143"/>
      <c r="DG4" s="143"/>
      <c r="DH4" s="143"/>
      <c r="DI4" s="143"/>
      <c r="DJ4" s="6"/>
      <c r="DK4" s="6"/>
      <c r="DL4" s="6"/>
      <c r="DM4" s="6"/>
      <c r="DN4" s="6"/>
      <c r="DO4" s="6"/>
      <c r="DP4" s="6"/>
      <c r="DQ4" s="6"/>
      <c r="DR4" s="6"/>
      <c r="DS4" s="150"/>
      <c r="DT4" s="6"/>
      <c r="DU4" s="6"/>
    </row>
    <row r="5" spans="1:127" ht="19.5" customHeight="1">
      <c r="A5" s="541"/>
      <c r="C5" s="49" t="s">
        <v>203</v>
      </c>
      <c r="D5" s="152"/>
      <c r="E5" s="152"/>
      <c r="F5" s="152"/>
      <c r="G5" s="152"/>
      <c r="H5" s="152"/>
      <c r="I5" s="152"/>
      <c r="J5" s="153"/>
      <c r="K5" s="843"/>
      <c r="L5" s="843"/>
      <c r="M5" s="843"/>
      <c r="N5" s="842"/>
      <c r="CS5" s="6"/>
      <c r="CT5" s="6"/>
      <c r="CU5" s="154"/>
      <c r="CV5" s="143"/>
      <c r="CW5" s="143"/>
      <c r="CX5" s="143"/>
      <c r="CY5" s="143"/>
      <c r="CZ5" s="143"/>
      <c r="DA5" s="143"/>
      <c r="DB5" s="143"/>
      <c r="DC5" s="143"/>
      <c r="DD5" s="6"/>
      <c r="DE5" s="143"/>
      <c r="DF5" s="143"/>
      <c r="DG5" s="143"/>
      <c r="DH5" s="143"/>
      <c r="DI5" s="143"/>
      <c r="DJ5" s="6"/>
      <c r="DK5" s="6"/>
      <c r="DL5" s="6"/>
      <c r="DM5" s="6"/>
      <c r="DN5" s="6"/>
      <c r="DO5" s="6"/>
      <c r="DP5" s="6"/>
      <c r="DQ5" s="6"/>
      <c r="DR5" s="6"/>
      <c r="DS5" s="150"/>
      <c r="DT5" s="6"/>
      <c r="DU5" s="6"/>
    </row>
    <row r="6" spans="1:127" ht="19.5" customHeight="1">
      <c r="A6" s="541"/>
      <c r="C6" s="49" t="s">
        <v>194</v>
      </c>
      <c r="D6" s="152"/>
      <c r="E6" s="152"/>
      <c r="F6" s="152"/>
      <c r="G6" s="152"/>
      <c r="H6" s="152"/>
      <c r="I6" s="152"/>
      <c r="J6" s="153"/>
      <c r="K6" s="843"/>
      <c r="L6" s="843"/>
      <c r="M6" s="843"/>
      <c r="N6" s="842"/>
      <c r="CS6" s="6"/>
      <c r="CT6" s="154"/>
      <c r="CU6" s="154"/>
      <c r="CV6" s="143"/>
      <c r="CW6" s="143"/>
      <c r="CX6" s="143"/>
      <c r="CY6" s="143"/>
      <c r="CZ6" s="143"/>
      <c r="DA6" s="143"/>
      <c r="DB6" s="143"/>
      <c r="DC6" s="143"/>
      <c r="DD6" s="154"/>
      <c r="DE6" s="143"/>
      <c r="DF6" s="143"/>
      <c r="DG6" s="143"/>
      <c r="DH6" s="143"/>
      <c r="DI6" s="143"/>
      <c r="DJ6" s="154"/>
      <c r="DK6" s="6"/>
      <c r="DL6" s="6"/>
      <c r="DM6" s="6"/>
      <c r="DN6" s="6"/>
      <c r="DO6" s="6"/>
      <c r="DP6" s="154"/>
      <c r="DQ6" s="154"/>
      <c r="DR6" s="154"/>
      <c r="DS6" s="155"/>
      <c r="DT6" s="6"/>
      <c r="DU6" s="6"/>
    </row>
    <row r="7" spans="1:127" ht="12.6" customHeight="1">
      <c r="A7" s="541"/>
      <c r="C7" s="49"/>
      <c r="D7" s="152"/>
      <c r="E7" s="152"/>
      <c r="F7" s="152"/>
      <c r="G7" s="152"/>
      <c r="H7" s="152"/>
      <c r="I7" s="152"/>
      <c r="J7" s="153"/>
      <c r="K7" s="353"/>
      <c r="L7" s="156"/>
      <c r="M7" s="156"/>
      <c r="N7" s="156"/>
      <c r="CS7" s="6"/>
      <c r="CT7" s="154"/>
      <c r="CU7" s="154"/>
      <c r="CV7" s="143"/>
      <c r="CW7" s="143"/>
      <c r="CX7" s="143"/>
      <c r="CY7" s="143"/>
      <c r="CZ7" s="143"/>
      <c r="DA7" s="143"/>
      <c r="DB7" s="143"/>
      <c r="DC7" s="143"/>
      <c r="DD7" s="154"/>
      <c r="DE7" s="143"/>
      <c r="DF7" s="143"/>
      <c r="DG7" s="143"/>
      <c r="DH7" s="143"/>
      <c r="DI7" s="143"/>
      <c r="DJ7" s="154"/>
      <c r="DK7" s="6"/>
      <c r="DL7" s="6"/>
      <c r="DM7" s="6"/>
      <c r="DN7" s="6"/>
      <c r="DO7" s="6"/>
      <c r="DP7" s="154"/>
      <c r="DQ7" s="154"/>
      <c r="DR7" s="154"/>
      <c r="DS7" s="155"/>
      <c r="DT7" s="6"/>
      <c r="DU7" s="6"/>
    </row>
    <row r="8" spans="1:127" ht="21">
      <c r="A8" s="541"/>
      <c r="C8" s="513" t="s">
        <v>111</v>
      </c>
      <c r="D8" s="845" t="s">
        <v>112</v>
      </c>
      <c r="E8" s="845"/>
      <c r="F8" s="845"/>
      <c r="G8" s="157" t="s">
        <v>113</v>
      </c>
      <c r="H8" s="507" t="s">
        <v>114</v>
      </c>
      <c r="I8" s="507" t="s">
        <v>115</v>
      </c>
      <c r="J8" s="514" t="s">
        <v>116</v>
      </c>
      <c r="K8" s="151"/>
      <c r="L8" s="151"/>
      <c r="M8" s="151"/>
      <c r="CT8" s="7"/>
      <c r="CU8" s="7"/>
      <c r="CV8" s="7"/>
      <c r="CW8" s="143"/>
      <c r="CX8" s="143"/>
      <c r="CY8" s="143"/>
      <c r="CZ8" s="143"/>
      <c r="DA8" s="143"/>
      <c r="DB8" s="143"/>
      <c r="DC8" s="143"/>
      <c r="DD8" s="143"/>
      <c r="DE8" s="7"/>
      <c r="DF8" s="143"/>
      <c r="DG8" s="143"/>
      <c r="DH8" s="143"/>
      <c r="DI8" s="143"/>
      <c r="DJ8" s="143"/>
      <c r="DK8" s="7"/>
      <c r="DL8" s="154"/>
      <c r="DM8" s="154"/>
      <c r="DN8" s="154"/>
      <c r="DO8" s="154"/>
      <c r="DP8" s="154"/>
      <c r="DQ8" s="7"/>
      <c r="DR8" s="7"/>
      <c r="DS8" s="7"/>
      <c r="DT8" s="155"/>
      <c r="DU8" s="7"/>
      <c r="DV8" s="159"/>
    </row>
    <row r="9" spans="1:127" ht="21" outlineLevel="1">
      <c r="A9" s="660"/>
      <c r="C9" s="515">
        <v>1</v>
      </c>
      <c r="D9" s="844" t="s">
        <v>204</v>
      </c>
      <c r="E9" s="844"/>
      <c r="F9" s="844"/>
      <c r="G9" s="560" t="s">
        <v>163</v>
      </c>
      <c r="H9" s="508" t="s">
        <v>119</v>
      </c>
      <c r="I9" s="509"/>
      <c r="J9" s="516"/>
      <c r="K9" s="158"/>
      <c r="L9" s="160"/>
      <c r="M9" s="160"/>
      <c r="N9" s="160"/>
      <c r="CU9" s="154"/>
      <c r="CV9" s="7"/>
      <c r="CW9" s="154"/>
      <c r="CX9" s="143"/>
      <c r="CY9" s="143"/>
      <c r="CZ9" s="143"/>
      <c r="DA9" s="143"/>
      <c r="DB9" s="143"/>
      <c r="DC9" s="143"/>
      <c r="DD9" s="143"/>
      <c r="DE9" s="143"/>
      <c r="DF9" s="7"/>
      <c r="DG9" s="143"/>
      <c r="DH9" s="143"/>
      <c r="DI9" s="143"/>
      <c r="DJ9" s="143"/>
      <c r="DK9" s="143"/>
      <c r="DL9" s="7"/>
      <c r="DM9" s="7"/>
      <c r="DN9" s="7"/>
      <c r="DO9" s="7"/>
      <c r="DP9" s="7"/>
      <c r="DQ9" s="7"/>
      <c r="DR9" s="7"/>
      <c r="DS9" s="7"/>
      <c r="DT9" s="7"/>
      <c r="DU9" s="155"/>
      <c r="DV9" s="154"/>
      <c r="DW9" s="8"/>
    </row>
    <row r="10" spans="1:127" ht="63" customHeight="1" outlineLevel="1">
      <c r="A10" s="660"/>
      <c r="C10" s="515">
        <v>2</v>
      </c>
      <c r="D10" s="844" t="s">
        <v>164</v>
      </c>
      <c r="E10" s="844"/>
      <c r="F10" s="844"/>
      <c r="G10" s="561" t="s">
        <v>163</v>
      </c>
      <c r="H10" s="508" t="s">
        <v>119</v>
      </c>
      <c r="I10" s="509"/>
      <c r="J10" s="516"/>
      <c r="K10" s="158"/>
      <c r="L10" s="160"/>
      <c r="M10" s="160"/>
      <c r="N10" s="160"/>
      <c r="CU10" s="154"/>
      <c r="CV10" s="7"/>
      <c r="CW10" s="154"/>
      <c r="CX10" s="143"/>
      <c r="CY10" s="143"/>
      <c r="CZ10" s="143"/>
      <c r="DA10" s="143"/>
      <c r="DB10" s="143"/>
      <c r="DC10" s="143"/>
      <c r="DD10" s="143"/>
      <c r="DE10" s="143"/>
      <c r="DF10" s="7"/>
      <c r="DG10" s="143"/>
      <c r="DH10" s="143"/>
      <c r="DI10" s="143"/>
      <c r="DJ10" s="143"/>
      <c r="DK10" s="143"/>
      <c r="DL10" s="7"/>
      <c r="DM10" s="7"/>
      <c r="DN10" s="7"/>
      <c r="DO10" s="7"/>
      <c r="DP10" s="7"/>
      <c r="DQ10" s="7"/>
      <c r="DR10" s="7"/>
      <c r="DS10" s="7"/>
      <c r="DT10" s="7"/>
      <c r="DU10" s="155"/>
      <c r="DV10" s="154"/>
      <c r="DW10" s="8"/>
    </row>
    <row r="11" spans="1:127" ht="21" outlineLevel="1">
      <c r="A11" s="660"/>
      <c r="C11" s="515">
        <v>3</v>
      </c>
      <c r="D11" s="844" t="s">
        <v>196</v>
      </c>
      <c r="E11" s="844"/>
      <c r="F11" s="844"/>
      <c r="G11" s="560" t="s">
        <v>163</v>
      </c>
      <c r="H11" s="508" t="s">
        <v>119</v>
      </c>
      <c r="I11" s="509"/>
      <c r="J11" s="516"/>
      <c r="K11" s="158"/>
      <c r="L11" s="151"/>
      <c r="M11" s="151"/>
      <c r="N11" s="151"/>
      <c r="CU11" s="7"/>
      <c r="CV11" s="154"/>
      <c r="CW11" s="162"/>
      <c r="CX11" s="143"/>
      <c r="CY11" s="143"/>
      <c r="CZ11" s="143"/>
      <c r="DA11" s="143"/>
      <c r="DB11" s="143"/>
      <c r="DC11" s="143"/>
      <c r="DD11" s="143"/>
      <c r="DE11" s="143"/>
      <c r="DF11" s="154"/>
      <c r="DG11" s="143"/>
      <c r="DH11" s="143"/>
      <c r="DI11" s="143"/>
      <c r="DJ11" s="143"/>
      <c r="DK11" s="143"/>
      <c r="DL11" s="154"/>
      <c r="DM11" s="7"/>
      <c r="DN11" s="7"/>
      <c r="DO11" s="7"/>
      <c r="DP11" s="7"/>
      <c r="DQ11" s="7"/>
      <c r="DR11" s="154"/>
      <c r="DS11" s="154"/>
      <c r="DT11" s="154"/>
      <c r="DU11" s="155"/>
      <c r="DV11" s="7"/>
      <c r="DW11" s="7"/>
    </row>
    <row r="12" spans="1:127" ht="60.75" customHeight="1" outlineLevel="1">
      <c r="A12" s="660"/>
      <c r="C12" s="515">
        <v>4</v>
      </c>
      <c r="D12" s="839" t="s">
        <v>205</v>
      </c>
      <c r="E12" s="840"/>
      <c r="F12" s="841"/>
      <c r="G12" s="510" t="s">
        <v>167</v>
      </c>
      <c r="H12" s="508" t="s">
        <v>119</v>
      </c>
      <c r="I12" s="509"/>
      <c r="J12" s="516"/>
      <c r="K12" s="158"/>
      <c r="L12" s="151"/>
      <c r="M12" s="151"/>
      <c r="N12" s="151"/>
      <c r="CU12" s="7"/>
      <c r="CV12" s="162"/>
      <c r="CW12" s="162"/>
      <c r="CX12" s="143"/>
      <c r="CY12" s="143"/>
      <c r="CZ12" s="143"/>
      <c r="DA12" s="143"/>
      <c r="DB12" s="143"/>
      <c r="DC12" s="143"/>
      <c r="DD12" s="143"/>
      <c r="DE12" s="143"/>
      <c r="DF12" s="162"/>
      <c r="DG12" s="143"/>
      <c r="DH12" s="143"/>
      <c r="DI12" s="143"/>
      <c r="DJ12" s="143"/>
      <c r="DK12" s="143"/>
      <c r="DL12" s="162"/>
      <c r="DM12" s="154"/>
      <c r="DN12" s="154"/>
      <c r="DO12" s="154"/>
      <c r="DP12" s="154"/>
      <c r="DQ12" s="154"/>
      <c r="DR12" s="162"/>
      <c r="DS12" s="162"/>
      <c r="DT12" s="162"/>
      <c r="DU12" s="150"/>
      <c r="DV12" s="7"/>
      <c r="DW12" s="159"/>
    </row>
    <row r="13" spans="1:127" ht="36" customHeight="1" outlineLevel="1">
      <c r="A13" s="660"/>
      <c r="C13" s="515">
        <v>5</v>
      </c>
      <c r="D13" s="844" t="s">
        <v>206</v>
      </c>
      <c r="E13" s="844"/>
      <c r="F13" s="844"/>
      <c r="G13" s="510" t="s">
        <v>207</v>
      </c>
      <c r="H13" s="508"/>
      <c r="I13" s="509"/>
      <c r="J13" s="604"/>
      <c r="K13" s="158"/>
      <c r="L13" s="151"/>
      <c r="M13" s="151"/>
      <c r="N13" s="151"/>
      <c r="CU13" s="7"/>
      <c r="CV13" s="162"/>
      <c r="CW13" s="162"/>
      <c r="CX13" s="143"/>
      <c r="CY13" s="143"/>
      <c r="CZ13" s="143"/>
      <c r="DA13" s="143"/>
      <c r="DB13" s="143"/>
      <c r="DC13" s="143"/>
      <c r="DD13" s="143"/>
      <c r="DE13" s="143"/>
      <c r="DF13" s="162"/>
      <c r="DG13" s="143"/>
      <c r="DH13" s="143"/>
      <c r="DI13" s="143"/>
      <c r="DJ13" s="143"/>
      <c r="DK13" s="143"/>
      <c r="DL13" s="162"/>
      <c r="DM13" s="154"/>
      <c r="DN13" s="154"/>
      <c r="DO13" s="154"/>
      <c r="DP13" s="154"/>
      <c r="DQ13" s="154"/>
      <c r="DR13" s="162"/>
      <c r="DS13" s="162"/>
      <c r="DT13" s="162"/>
      <c r="DU13" s="150"/>
      <c r="DV13" s="7"/>
      <c r="DW13" s="159"/>
    </row>
    <row r="14" spans="1:127" ht="35.85" customHeight="1" outlineLevel="1">
      <c r="A14" s="660"/>
      <c r="C14" s="515">
        <v>6</v>
      </c>
      <c r="D14" s="844" t="s">
        <v>170</v>
      </c>
      <c r="E14" s="844"/>
      <c r="F14" s="844"/>
      <c r="G14" s="560" t="s">
        <v>163</v>
      </c>
      <c r="H14" s="508" t="s">
        <v>119</v>
      </c>
      <c r="I14" s="509"/>
      <c r="J14" s="368"/>
      <c r="K14" s="158"/>
      <c r="L14" s="151"/>
      <c r="M14" s="151"/>
      <c r="N14" s="151"/>
      <c r="CU14" s="7"/>
      <c r="CV14" s="162"/>
      <c r="CW14" s="162"/>
      <c r="CX14" s="143"/>
      <c r="CY14" s="143"/>
      <c r="CZ14" s="143"/>
      <c r="DA14" s="143"/>
      <c r="DB14" s="143"/>
      <c r="DC14" s="143"/>
      <c r="DD14" s="143"/>
      <c r="DE14" s="143"/>
      <c r="DF14" s="162"/>
      <c r="DG14" s="143"/>
      <c r="DH14" s="143"/>
      <c r="DI14" s="143"/>
      <c r="DJ14" s="143"/>
      <c r="DK14" s="143"/>
      <c r="DL14" s="162"/>
      <c r="DM14" s="154"/>
      <c r="DN14" s="154"/>
      <c r="DO14" s="154"/>
      <c r="DP14" s="154"/>
      <c r="DQ14" s="154"/>
      <c r="DR14" s="162"/>
      <c r="DS14" s="162"/>
      <c r="DT14" s="162"/>
      <c r="DU14" s="150"/>
      <c r="DV14" s="7"/>
      <c r="DW14" s="159"/>
    </row>
    <row r="15" spans="1:127" ht="12.6" customHeight="1" thickBot="1">
      <c r="A15" s="660"/>
      <c r="C15" s="384"/>
      <c r="D15" s="208"/>
      <c r="E15" s="208"/>
      <c r="F15" s="208"/>
      <c r="G15" s="511"/>
      <c r="H15" s="511"/>
      <c r="I15" s="511"/>
      <c r="J15" s="518"/>
      <c r="K15" s="151"/>
      <c r="L15" s="151"/>
      <c r="CS15" s="7"/>
      <c r="CT15" s="162"/>
      <c r="CU15" s="162"/>
      <c r="CV15" s="143"/>
      <c r="CW15" s="143"/>
      <c r="CX15" s="143"/>
      <c r="CY15" s="143"/>
      <c r="CZ15" s="143"/>
      <c r="DA15" s="143"/>
      <c r="DB15" s="143"/>
      <c r="DC15" s="143"/>
      <c r="DD15" s="162"/>
      <c r="DE15" s="143"/>
      <c r="DF15" s="143"/>
      <c r="DG15" s="143"/>
      <c r="DH15" s="143"/>
      <c r="DI15" s="143"/>
      <c r="DJ15" s="162"/>
      <c r="DK15" s="154"/>
      <c r="DL15" s="154"/>
      <c r="DM15" s="154"/>
      <c r="DN15" s="154"/>
      <c r="DO15" s="154"/>
      <c r="DP15" s="162"/>
      <c r="DQ15" s="162"/>
      <c r="DR15" s="162"/>
      <c r="DS15" s="150"/>
      <c r="DT15" s="7"/>
      <c r="DU15" s="159"/>
    </row>
    <row r="16" spans="1:127" ht="12.6" customHeight="1">
      <c r="A16" s="660"/>
      <c r="C16" s="163"/>
      <c r="D16" s="209"/>
      <c r="E16" s="158"/>
      <c r="F16" s="158"/>
      <c r="G16" s="158"/>
      <c r="H16" s="158"/>
      <c r="I16" s="158"/>
      <c r="J16" s="151"/>
      <c r="K16" s="151"/>
      <c r="L16" s="151"/>
      <c r="CS16" s="162"/>
      <c r="CT16" s="162"/>
      <c r="CU16" s="6"/>
      <c r="CV16" s="143"/>
      <c r="CW16" s="143"/>
      <c r="CX16" s="143"/>
      <c r="CY16" s="143"/>
      <c r="CZ16" s="143"/>
      <c r="DA16" s="143"/>
      <c r="DB16" s="143"/>
      <c r="DC16" s="143"/>
      <c r="DD16" s="162"/>
      <c r="DE16" s="143"/>
      <c r="DF16" s="143"/>
      <c r="DG16" s="143"/>
      <c r="DH16" s="143"/>
      <c r="DI16" s="143"/>
      <c r="DJ16" s="162"/>
      <c r="DK16" s="162"/>
      <c r="DL16" s="162"/>
      <c r="DM16" s="162"/>
      <c r="DN16" s="162"/>
      <c r="DO16" s="162"/>
      <c r="DP16" s="162"/>
      <c r="DQ16" s="162"/>
      <c r="DR16" s="162"/>
      <c r="DS16" s="167"/>
      <c r="DT16" s="162"/>
      <c r="DU16" s="210"/>
    </row>
    <row r="17" spans="1:125" ht="12.6" customHeight="1">
      <c r="A17" s="660"/>
      <c r="C17" s="209"/>
      <c r="D17" s="209"/>
      <c r="E17" s="209"/>
      <c r="F17" s="209"/>
      <c r="G17" s="209"/>
      <c r="H17" s="209"/>
      <c r="I17" s="158"/>
      <c r="J17" s="151"/>
      <c r="K17" s="151"/>
      <c r="L17" s="151"/>
      <c r="CS17" s="162"/>
      <c r="CT17" s="162"/>
      <c r="CU17" s="6"/>
      <c r="CV17" s="143"/>
      <c r="CW17" s="143"/>
      <c r="CX17" s="143"/>
      <c r="CY17" s="143"/>
      <c r="CZ17" s="143"/>
      <c r="DA17" s="143"/>
      <c r="DB17" s="143"/>
      <c r="DC17" s="143"/>
      <c r="DD17" s="162"/>
      <c r="DE17" s="143"/>
      <c r="DF17" s="143"/>
      <c r="DG17" s="143"/>
      <c r="DH17" s="143"/>
      <c r="DI17" s="143"/>
      <c r="DJ17" s="162"/>
      <c r="DK17" s="162"/>
      <c r="DL17" s="162"/>
      <c r="DM17" s="162"/>
      <c r="DN17" s="162"/>
      <c r="DO17" s="162"/>
      <c r="DP17" s="162"/>
      <c r="DQ17" s="162"/>
      <c r="DR17" s="162"/>
      <c r="DS17" s="167"/>
      <c r="DT17" s="162"/>
      <c r="DU17" s="210"/>
    </row>
    <row r="18" spans="1:125" s="20" customFormat="1" ht="18.75" thickBot="1">
      <c r="A18" s="656"/>
      <c r="C18" s="474" t="s">
        <v>121</v>
      </c>
      <c r="D18" s="438"/>
      <c r="E18" s="438"/>
      <c r="F18" s="438"/>
      <c r="G18" s="438"/>
      <c r="H18" s="438"/>
      <c r="I18" s="438"/>
      <c r="J18" s="438"/>
      <c r="K18" s="23"/>
      <c r="L18" s="217"/>
      <c r="M18" s="217"/>
      <c r="Q18" s="158"/>
    </row>
    <row r="19" spans="1:125" s="20" customFormat="1" ht="18" customHeight="1">
      <c r="A19" s="656"/>
      <c r="C19" s="819"/>
      <c r="D19" s="820"/>
      <c r="E19" s="820"/>
      <c r="F19" s="820"/>
      <c r="G19" s="821"/>
      <c r="H19" s="438"/>
      <c r="I19" s="438"/>
      <c r="J19" s="438"/>
      <c r="K19" s="23"/>
      <c r="L19" s="217"/>
      <c r="M19" s="217"/>
      <c r="Q19" s="158"/>
    </row>
    <row r="20" spans="1:125" s="20" customFormat="1" ht="18" customHeight="1">
      <c r="A20" s="656"/>
      <c r="C20" s="822"/>
      <c r="D20" s="823"/>
      <c r="E20" s="823"/>
      <c r="F20" s="823"/>
      <c r="G20" s="824"/>
      <c r="H20" s="438"/>
      <c r="I20" s="438"/>
      <c r="J20" s="438"/>
      <c r="K20" s="23"/>
      <c r="L20" s="217"/>
      <c r="M20" s="217"/>
      <c r="Q20" s="158"/>
    </row>
    <row r="21" spans="1:125" s="20" customFormat="1" ht="18" customHeight="1" thickBot="1">
      <c r="A21" s="656"/>
      <c r="C21" s="825"/>
      <c r="D21" s="826"/>
      <c r="E21" s="826"/>
      <c r="F21" s="826"/>
      <c r="G21" s="827"/>
      <c r="H21" s="438"/>
      <c r="I21" s="438"/>
      <c r="J21" s="438"/>
      <c r="K21" s="23"/>
      <c r="L21" s="217"/>
      <c r="M21" s="217"/>
      <c r="Q21" s="158"/>
    </row>
    <row r="22" spans="1:125" s="4" customFormat="1" ht="13.5" thickBot="1">
      <c r="A22" s="545"/>
      <c r="C22" s="550"/>
      <c r="D22" s="551"/>
      <c r="E22" s="192"/>
      <c r="F22" s="192"/>
      <c r="G22" s="192"/>
      <c r="H22" s="192"/>
      <c r="I22" s="158"/>
      <c r="J22" s="158"/>
      <c r="K22" s="552"/>
      <c r="L22" s="424"/>
      <c r="M22" s="424"/>
      <c r="N22" s="424"/>
      <c r="O22" s="424"/>
      <c r="P22" s="424"/>
      <c r="Q22" s="424"/>
      <c r="R22" s="425"/>
    </row>
    <row r="23" spans="1:125" s="4" customFormat="1" ht="63.75">
      <c r="A23" s="545"/>
      <c r="C23" s="745" t="str">
        <f>"波动范围 ("&amp;D11&amp; "):"</f>
        <v>波动范围 (将明细账与管理层报表进行核对，并对差异大于SAD的项目进行调查。):</v>
      </c>
      <c r="D23" s="746">
        <f>汇总!$F$21</f>
        <v>0</v>
      </c>
      <c r="E23" s="553"/>
      <c r="F23" s="553"/>
      <c r="G23" s="553"/>
      <c r="H23" s="553"/>
      <c r="I23" s="553"/>
      <c r="J23" s="553"/>
      <c r="K23" s="553"/>
      <c r="L23" s="424"/>
      <c r="M23" s="424"/>
      <c r="N23" s="424"/>
      <c r="O23" s="424"/>
      <c r="P23" s="424"/>
      <c r="Q23" s="424"/>
      <c r="R23" s="425"/>
    </row>
    <row r="24" spans="1:125" s="4" customFormat="1" ht="17.25" thickBot="1">
      <c r="A24" s="545"/>
      <c r="C24" s="554" t="s">
        <v>171</v>
      </c>
      <c r="D24" s="476"/>
      <c r="E24" s="5"/>
      <c r="F24" s="5"/>
      <c r="G24" s="5"/>
      <c r="H24" s="5"/>
      <c r="I24" s="5"/>
      <c r="J24" s="5"/>
      <c r="K24" s="5"/>
      <c r="L24" s="424"/>
      <c r="M24" s="424"/>
      <c r="N24" s="424"/>
      <c r="O24" s="424"/>
      <c r="P24" s="424"/>
      <c r="Q24" s="424"/>
      <c r="R24" s="425"/>
    </row>
    <row r="25" spans="1:125" ht="12.6" customHeight="1">
      <c r="A25" s="660"/>
      <c r="C25" s="209"/>
      <c r="D25" s="209"/>
      <c r="E25" s="209"/>
      <c r="F25" s="209"/>
      <c r="G25" s="209"/>
      <c r="H25" s="158"/>
      <c r="I25" s="158"/>
      <c r="J25" s="151"/>
      <c r="K25" s="151"/>
      <c r="L25" s="151"/>
      <c r="CS25" s="162"/>
      <c r="CT25" s="162"/>
      <c r="CU25" s="6"/>
      <c r="CV25" s="143"/>
      <c r="CW25" s="143"/>
      <c r="CX25" s="143"/>
      <c r="CY25" s="143"/>
      <c r="CZ25" s="143"/>
      <c r="DA25" s="143"/>
      <c r="DB25" s="143"/>
      <c r="DC25" s="143"/>
      <c r="DD25" s="162"/>
      <c r="DE25" s="143"/>
      <c r="DF25" s="143"/>
      <c r="DG25" s="143"/>
      <c r="DH25" s="143"/>
      <c r="DI25" s="143"/>
      <c r="DJ25" s="162"/>
      <c r="DK25" s="162"/>
      <c r="DL25" s="162"/>
      <c r="DM25" s="162"/>
      <c r="DN25" s="162"/>
      <c r="DO25" s="162"/>
      <c r="DP25" s="162"/>
      <c r="DQ25" s="162"/>
      <c r="DR25" s="162"/>
      <c r="DS25" s="167"/>
      <c r="DT25" s="162"/>
      <c r="DU25" s="210"/>
    </row>
    <row r="26" spans="1:125" ht="12.75" customHeight="1">
      <c r="A26" s="660"/>
      <c r="C26" s="164"/>
      <c r="D26" s="211"/>
      <c r="E26" s="192"/>
      <c r="F26" s="192" t="s">
        <v>123</v>
      </c>
      <c r="G26" s="441"/>
      <c r="H26" s="164" t="s">
        <v>124</v>
      </c>
      <c r="I26" s="192" t="s">
        <v>125</v>
      </c>
      <c r="J26" s="164"/>
      <c r="K26" s="164"/>
      <c r="L26" s="164" t="s">
        <v>126</v>
      </c>
      <c r="M26" s="192" t="s">
        <v>127</v>
      </c>
      <c r="N26" s="164" t="s">
        <v>128</v>
      </c>
      <c r="O26" s="164" t="s">
        <v>129</v>
      </c>
      <c r="P26" s="164" t="s">
        <v>130</v>
      </c>
      <c r="CK26" s="6"/>
      <c r="CL26" s="6"/>
      <c r="CM26" s="6"/>
      <c r="CN26" s="143"/>
      <c r="CO26" s="143"/>
      <c r="CP26" s="143"/>
      <c r="CQ26" s="143"/>
      <c r="CR26" s="143"/>
      <c r="CS26" s="143"/>
      <c r="CT26" s="143"/>
      <c r="CU26" s="143"/>
      <c r="CV26" s="6"/>
      <c r="CW26" s="143"/>
      <c r="CX26" s="143"/>
      <c r="CY26" s="143"/>
      <c r="CZ26" s="143"/>
      <c r="DA26" s="143"/>
      <c r="DB26" s="6"/>
      <c r="DC26" s="6"/>
      <c r="DD26" s="6"/>
      <c r="DE26" s="6"/>
      <c r="DF26" s="6"/>
      <c r="DG26" s="6"/>
      <c r="DH26" s="6"/>
      <c r="DI26" s="6"/>
      <c r="DJ26" s="6"/>
      <c r="DK26" s="200"/>
      <c r="DL26" s="6"/>
      <c r="DM26" s="6"/>
    </row>
    <row r="27" spans="1:125" ht="13.5" thickBot="1">
      <c r="A27" s="660" t="s">
        <v>172</v>
      </c>
      <c r="C27" s="89" t="s">
        <v>95</v>
      </c>
      <c r="D27" s="90" t="s">
        <v>95</v>
      </c>
      <c r="E27" s="90" t="s">
        <v>95</v>
      </c>
      <c r="F27" s="91" t="s">
        <v>95</v>
      </c>
      <c r="G27" s="92"/>
      <c r="H27" s="92"/>
      <c r="I27" s="93"/>
      <c r="J27" s="94"/>
      <c r="K27" s="93"/>
      <c r="L27" s="92"/>
      <c r="M27" s="93"/>
      <c r="N27" s="165"/>
      <c r="O27" s="93"/>
      <c r="P27" s="95"/>
      <c r="Q27" s="96"/>
      <c r="R27" s="97"/>
      <c r="CJ27" s="6"/>
      <c r="CK27" s="6"/>
      <c r="CL27" s="6"/>
      <c r="CM27" s="143"/>
      <c r="CN27" s="143"/>
      <c r="CO27" s="143"/>
      <c r="CP27" s="143"/>
      <c r="CQ27" s="143"/>
      <c r="CR27" s="143"/>
      <c r="CS27" s="143"/>
      <c r="CT27" s="143"/>
      <c r="CU27" s="6"/>
      <c r="CV27" s="143"/>
      <c r="CW27" s="143"/>
      <c r="CX27" s="143"/>
      <c r="CY27" s="143"/>
      <c r="CZ27" s="143"/>
      <c r="DA27" s="6"/>
      <c r="DB27" s="6"/>
      <c r="DC27" s="6"/>
      <c r="DD27" s="6"/>
      <c r="DE27" s="6"/>
      <c r="DF27" s="6"/>
      <c r="DG27" s="6"/>
      <c r="DH27" s="6"/>
      <c r="DI27" s="6"/>
      <c r="DJ27" s="150"/>
      <c r="DK27" s="6"/>
      <c r="DL27" s="6"/>
    </row>
    <row r="28" spans="1:125" ht="0.2" customHeight="1" thickBot="1">
      <c r="A28" s="660"/>
      <c r="C28" s="585"/>
      <c r="D28" s="586"/>
      <c r="E28" s="365"/>
      <c r="F28" s="587"/>
      <c r="G28" s="586"/>
      <c r="H28" s="588"/>
      <c r="I28" s="588">
        <f t="shared" ref="I28" si="0">F28+H28</f>
        <v>0</v>
      </c>
      <c r="J28" s="589" t="str">
        <f>IF($I$35&lt;&gt;0,I28/$I$35,"")</f>
        <v/>
      </c>
      <c r="K28" s="586"/>
      <c r="L28" s="588"/>
      <c r="M28" s="590">
        <f t="shared" ref="M28" si="1">I28+L28</f>
        <v>0</v>
      </c>
      <c r="N28" s="590"/>
      <c r="O28" s="587">
        <f t="shared" ref="O28" si="2">M28-N28</f>
        <v>0</v>
      </c>
      <c r="P28" s="466">
        <f>IF(N28&lt;&gt;0,O28/N28,1)</f>
        <v>1</v>
      </c>
      <c r="Q28" s="586"/>
      <c r="R28" s="591"/>
      <c r="CJ28" s="6"/>
      <c r="CK28" s="6"/>
      <c r="CL28" s="6"/>
      <c r="CM28" s="143"/>
      <c r="CN28" s="143"/>
      <c r="CO28" s="143"/>
      <c r="CP28" s="143"/>
      <c r="CQ28" s="143"/>
      <c r="CR28" s="143"/>
      <c r="CS28" s="143"/>
      <c r="CT28" s="143"/>
      <c r="CU28" s="6"/>
      <c r="CV28" s="143"/>
      <c r="CW28" s="143"/>
      <c r="CX28" s="143"/>
      <c r="CY28" s="143"/>
      <c r="CZ28" s="143"/>
      <c r="DA28" s="6"/>
      <c r="DB28" s="6"/>
      <c r="DC28" s="6"/>
      <c r="DD28" s="6"/>
      <c r="DE28" s="6"/>
      <c r="DF28" s="6"/>
      <c r="DG28" s="6"/>
      <c r="DH28" s="6"/>
      <c r="DI28" s="6"/>
      <c r="DJ28" s="150"/>
      <c r="DK28" s="6"/>
      <c r="DL28" s="6"/>
    </row>
    <row r="29" spans="1:125" ht="12.6" customHeight="1">
      <c r="A29" s="660"/>
      <c r="B29" s="21" t="s">
        <v>174</v>
      </c>
      <c r="C29" s="592"/>
      <c r="D29" s="747"/>
      <c r="E29" s="593"/>
      <c r="F29" s="482"/>
      <c r="G29" s="594"/>
      <c r="H29" s="594"/>
      <c r="I29" s="594" t="s">
        <v>175</v>
      </c>
      <c r="J29" s="594"/>
      <c r="K29" s="594"/>
      <c r="L29" s="594"/>
      <c r="M29" s="596"/>
      <c r="N29" s="597">
        <f>DATE(YEAR(汇总!$D$5)-1,12,31)</f>
        <v>45291</v>
      </c>
      <c r="O29" s="483" t="s">
        <v>131</v>
      </c>
      <c r="P29" s="598"/>
      <c r="Q29" s="650"/>
      <c r="R29" s="602"/>
      <c r="CI29" s="6"/>
      <c r="CJ29" s="6"/>
      <c r="CK29" s="6"/>
      <c r="CL29" s="143"/>
      <c r="CM29" s="143"/>
      <c r="CN29" s="143"/>
      <c r="CO29" s="143"/>
      <c r="CP29" s="143"/>
      <c r="CQ29" s="143"/>
      <c r="CR29" s="143"/>
      <c r="CS29" s="143"/>
      <c r="CT29" s="6"/>
      <c r="CU29" s="143"/>
      <c r="CV29" s="143"/>
      <c r="CW29" s="143"/>
      <c r="CX29" s="143"/>
      <c r="CY29" s="143"/>
      <c r="CZ29" s="6"/>
      <c r="DA29" s="6"/>
      <c r="DB29" s="6"/>
      <c r="DC29" s="6"/>
      <c r="DD29" s="6"/>
      <c r="DE29" s="6"/>
      <c r="DF29" s="6"/>
      <c r="DG29" s="6"/>
      <c r="DH29" s="6"/>
      <c r="DI29" s="167"/>
      <c r="DJ29" s="6"/>
      <c r="DK29" s="6"/>
    </row>
    <row r="30" spans="1:125" ht="46.5" customHeight="1">
      <c r="A30" s="660"/>
      <c r="B30" s="14"/>
      <c r="C30" s="108" t="s">
        <v>176</v>
      </c>
      <c r="D30" s="109" t="s">
        <v>177</v>
      </c>
      <c r="E30" s="168" t="s">
        <v>178</v>
      </c>
      <c r="F30" s="366" t="s">
        <v>135</v>
      </c>
      <c r="G30" s="367" t="s">
        <v>179</v>
      </c>
      <c r="H30" s="367" t="s">
        <v>136</v>
      </c>
      <c r="I30" s="169" t="s">
        <v>137</v>
      </c>
      <c r="J30" s="169" t="s">
        <v>180</v>
      </c>
      <c r="K30" s="367" t="s">
        <v>181</v>
      </c>
      <c r="L30" s="170" t="s">
        <v>138</v>
      </c>
      <c r="M30" s="171" t="s">
        <v>139</v>
      </c>
      <c r="N30" s="555" t="s">
        <v>182</v>
      </c>
      <c r="O30" s="172" t="s">
        <v>141</v>
      </c>
      <c r="P30" s="465" t="s">
        <v>183</v>
      </c>
      <c r="Q30" s="464" t="s">
        <v>184</v>
      </c>
      <c r="R30" s="114" t="s">
        <v>155</v>
      </c>
      <c r="CI30" s="6"/>
      <c r="CJ30" s="6"/>
      <c r="CK30" s="6"/>
      <c r="CL30" s="143"/>
      <c r="CM30" s="143"/>
      <c r="CN30" s="143"/>
      <c r="CO30" s="143"/>
      <c r="CP30" s="143"/>
      <c r="CQ30" s="143"/>
      <c r="CR30" s="143"/>
      <c r="CS30" s="143"/>
      <c r="CT30" s="6"/>
      <c r="CU30" s="143"/>
      <c r="CV30" s="143"/>
      <c r="CW30" s="143"/>
      <c r="CX30" s="143"/>
      <c r="CY30" s="143"/>
      <c r="CZ30" s="6"/>
      <c r="DA30" s="6"/>
      <c r="DB30" s="6"/>
      <c r="DC30" s="6"/>
      <c r="DD30" s="6"/>
      <c r="DE30" s="6"/>
      <c r="DF30" s="6"/>
      <c r="DG30" s="6"/>
      <c r="DH30" s="6"/>
      <c r="DI30" s="167"/>
      <c r="DJ30" s="6"/>
      <c r="DK30" s="6"/>
    </row>
    <row r="31" spans="1:125" ht="12.6" customHeight="1">
      <c r="A31" s="660"/>
      <c r="B31" s="173"/>
      <c r="C31" s="98"/>
      <c r="D31" s="99"/>
      <c r="E31" s="100"/>
      <c r="F31" s="101"/>
      <c r="G31" s="99"/>
      <c r="H31" s="102"/>
      <c r="I31" s="102">
        <f>F31+H31</f>
        <v>0</v>
      </c>
      <c r="J31" s="103" t="str">
        <f>IF($I$35&lt;&gt;0,I31/$I$35,"")</f>
        <v/>
      </c>
      <c r="K31" s="99"/>
      <c r="L31" s="102"/>
      <c r="M31" s="104">
        <f>I31+L31</f>
        <v>0</v>
      </c>
      <c r="N31" s="104"/>
      <c r="O31" s="101">
        <f t="shared" ref="O31:O33" si="3">M31-N31</f>
        <v>0</v>
      </c>
      <c r="P31" s="463">
        <f>IF(N31&lt;&gt;0,O31/N31,1)</f>
        <v>1</v>
      </c>
      <c r="Q31" s="99"/>
      <c r="R31" s="105"/>
      <c r="CI31" s="6"/>
      <c r="CJ31" s="6"/>
      <c r="CK31" s="6"/>
      <c r="CL31" s="143"/>
      <c r="CM31" s="143"/>
      <c r="CN31" s="143"/>
      <c r="CO31" s="143"/>
      <c r="CP31" s="143"/>
      <c r="CQ31" s="143"/>
      <c r="CR31" s="143"/>
      <c r="CS31" s="143"/>
      <c r="CT31" s="6"/>
      <c r="CU31" s="143"/>
      <c r="CV31" s="143"/>
      <c r="CW31" s="143"/>
      <c r="CX31" s="143"/>
      <c r="CY31" s="143"/>
      <c r="CZ31" s="6"/>
      <c r="DA31" s="6"/>
      <c r="DB31" s="6"/>
      <c r="DC31" s="6"/>
      <c r="DD31" s="6"/>
      <c r="DE31" s="6"/>
      <c r="DF31" s="6"/>
      <c r="DG31" s="6"/>
      <c r="DH31" s="6"/>
      <c r="DI31" s="150"/>
      <c r="DJ31" s="6"/>
      <c r="DK31" s="6"/>
    </row>
    <row r="32" spans="1:125" ht="12.6" customHeight="1">
      <c r="A32" s="660"/>
      <c r="B32" s="15"/>
      <c r="C32" s="98"/>
      <c r="D32" s="99"/>
      <c r="E32" s="100"/>
      <c r="F32" s="101"/>
      <c r="G32" s="99"/>
      <c r="H32" s="102"/>
      <c r="I32" s="102">
        <f t="shared" ref="I32:I33" si="4">F32+H32</f>
        <v>0</v>
      </c>
      <c r="J32" s="103" t="str">
        <f t="shared" ref="J32:J33" si="5">IF($I$35&lt;&gt;0,I32/$I$35,"")</f>
        <v/>
      </c>
      <c r="K32" s="99"/>
      <c r="L32" s="102"/>
      <c r="M32" s="104">
        <f t="shared" ref="M32:M33" si="6">I32+L32</f>
        <v>0</v>
      </c>
      <c r="N32" s="104"/>
      <c r="O32" s="101">
        <f t="shared" si="3"/>
        <v>0</v>
      </c>
      <c r="P32" s="463">
        <f>IF(N32&lt;&gt;0,O32/N32,1)</f>
        <v>1</v>
      </c>
      <c r="Q32" s="99"/>
      <c r="R32" s="105"/>
      <c r="CI32" s="6"/>
      <c r="CJ32" s="6"/>
      <c r="CK32" s="6"/>
      <c r="CL32" s="143"/>
      <c r="CM32" s="143"/>
      <c r="CN32" s="143"/>
      <c r="CO32" s="143"/>
      <c r="CP32" s="143"/>
      <c r="CQ32" s="143"/>
      <c r="CR32" s="143"/>
      <c r="CS32" s="143"/>
      <c r="CT32" s="6"/>
      <c r="CU32" s="143"/>
      <c r="CV32" s="143"/>
      <c r="CW32" s="143"/>
      <c r="CX32" s="143"/>
      <c r="CY32" s="143"/>
      <c r="CZ32" s="6"/>
      <c r="DA32" s="6"/>
      <c r="DB32" s="6"/>
      <c r="DC32" s="6"/>
      <c r="DD32" s="6"/>
      <c r="DE32" s="6"/>
      <c r="DF32" s="6"/>
      <c r="DG32" s="6"/>
      <c r="DH32" s="6"/>
      <c r="DI32" s="150"/>
      <c r="DJ32" s="6"/>
      <c r="DK32" s="6"/>
    </row>
    <row r="33" spans="1:125" ht="12.6" customHeight="1" thickBot="1">
      <c r="A33" s="660" t="s">
        <v>185</v>
      </c>
      <c r="C33" s="371"/>
      <c r="D33" s="372"/>
      <c r="E33" s="385"/>
      <c r="F33" s="374"/>
      <c r="G33" s="372"/>
      <c r="H33" s="375"/>
      <c r="I33" s="102">
        <f t="shared" si="4"/>
        <v>0</v>
      </c>
      <c r="J33" s="103" t="str">
        <f t="shared" si="5"/>
        <v/>
      </c>
      <c r="K33" s="378"/>
      <c r="L33" s="379"/>
      <c r="M33" s="104">
        <f t="shared" si="6"/>
        <v>0</v>
      </c>
      <c r="N33" s="380"/>
      <c r="O33" s="101">
        <f t="shared" si="3"/>
        <v>0</v>
      </c>
      <c r="P33" s="463">
        <f>IF(N33&lt;&gt;0,O33/N33,1)</f>
        <v>1</v>
      </c>
      <c r="Q33" s="378"/>
      <c r="R33" s="373"/>
      <c r="CI33" s="6"/>
      <c r="CJ33" s="6"/>
      <c r="CK33" s="6"/>
      <c r="CL33" s="143"/>
      <c r="CM33" s="143"/>
      <c r="CN33" s="143"/>
      <c r="CO33" s="143"/>
      <c r="CP33" s="143"/>
      <c r="CQ33" s="143"/>
      <c r="CR33" s="143"/>
      <c r="CS33" s="143"/>
      <c r="CT33" s="6"/>
      <c r="CU33" s="143"/>
      <c r="CV33" s="143"/>
      <c r="CW33" s="143"/>
      <c r="CX33" s="143"/>
      <c r="CY33" s="143"/>
      <c r="CZ33" s="6"/>
      <c r="DA33" s="6"/>
      <c r="DB33" s="6"/>
      <c r="DC33" s="6"/>
      <c r="DD33" s="6"/>
      <c r="DE33" s="6"/>
      <c r="DF33" s="6"/>
      <c r="DG33" s="6"/>
      <c r="DH33" s="6"/>
      <c r="DI33" s="150"/>
      <c r="DJ33" s="6"/>
      <c r="DK33" s="6"/>
    </row>
    <row r="34" spans="1:125" s="16" customFormat="1" ht="12.6" customHeight="1">
      <c r="A34" s="661"/>
      <c r="B34" s="19"/>
      <c r="C34" s="760"/>
      <c r="D34" s="761"/>
      <c r="E34" s="762"/>
      <c r="F34" s="762"/>
      <c r="G34" s="762"/>
      <c r="H34" s="762"/>
      <c r="I34" s="763"/>
      <c r="J34" s="765"/>
      <c r="K34" s="765"/>
      <c r="L34" s="763"/>
      <c r="M34" s="763"/>
      <c r="N34" s="763"/>
      <c r="O34" s="753"/>
      <c r="P34" s="767"/>
      <c r="Q34" s="767"/>
      <c r="R34" s="768"/>
      <c r="CI34" s="6"/>
      <c r="CJ34" s="6"/>
      <c r="CK34" s="6"/>
      <c r="CL34" s="143"/>
      <c r="CM34" s="143"/>
      <c r="CN34" s="143"/>
      <c r="CO34" s="143"/>
      <c r="CP34" s="143"/>
      <c r="CQ34" s="143"/>
      <c r="CR34" s="143"/>
      <c r="CS34" s="143"/>
      <c r="CT34" s="6"/>
      <c r="CU34" s="143"/>
      <c r="CV34" s="143"/>
      <c r="CW34" s="143"/>
      <c r="CX34" s="143"/>
      <c r="CY34" s="143"/>
      <c r="CZ34" s="6"/>
      <c r="DA34" s="6"/>
      <c r="DB34" s="6"/>
      <c r="DC34" s="6"/>
      <c r="DD34" s="6"/>
      <c r="DE34" s="6"/>
      <c r="DF34" s="6"/>
      <c r="DG34" s="6"/>
      <c r="DH34" s="6"/>
      <c r="DI34" s="150"/>
      <c r="DJ34" s="6"/>
      <c r="DK34" s="6"/>
    </row>
    <row r="35" spans="1:125" s="16" customFormat="1" ht="12.6" customHeight="1" thickBot="1">
      <c r="A35" s="661"/>
      <c r="B35" s="174"/>
      <c r="C35" s="174"/>
      <c r="D35" s="179"/>
      <c r="E35" s="212" t="s">
        <v>208</v>
      </c>
      <c r="F35" s="388">
        <f>SUM(F30:F34)</f>
        <v>0</v>
      </c>
      <c r="G35" s="21"/>
      <c r="H35" s="388">
        <f>SUM(H30:H34)</f>
        <v>0</v>
      </c>
      <c r="I35" s="388">
        <f>SUM(I30:I34)</f>
        <v>0</v>
      </c>
      <c r="J35" s="389">
        <f>SUM(J30:J34)</f>
        <v>0</v>
      </c>
      <c r="K35" s="21"/>
      <c r="L35" s="388">
        <f>SUM(L30:L34)</f>
        <v>0</v>
      </c>
      <c r="M35" s="388">
        <f>SUM(M30:M34)</f>
        <v>0</v>
      </c>
      <c r="N35" s="388">
        <f>SUM(N30:N34)</f>
        <v>0</v>
      </c>
      <c r="O35" s="388">
        <f>M35-N35</f>
        <v>0</v>
      </c>
      <c r="P35" s="389">
        <f>IF(N35&lt;&gt;0,O35/N35,1)</f>
        <v>1</v>
      </c>
      <c r="Q35" s="177"/>
      <c r="R35" s="213"/>
      <c r="CI35" s="6"/>
      <c r="CJ35" s="6"/>
      <c r="CK35" s="6"/>
      <c r="CL35" s="143"/>
      <c r="CM35" s="143"/>
      <c r="CN35" s="143"/>
      <c r="CO35" s="143"/>
      <c r="CP35" s="143"/>
      <c r="CQ35" s="143"/>
      <c r="CR35" s="143"/>
      <c r="CS35" s="143"/>
      <c r="CT35" s="6"/>
      <c r="CU35" s="143"/>
      <c r="CV35" s="143"/>
      <c r="CW35" s="143"/>
      <c r="CX35" s="143"/>
      <c r="CY35" s="143"/>
      <c r="CZ35" s="6"/>
      <c r="DA35" s="6"/>
      <c r="DB35" s="6"/>
      <c r="DC35" s="6"/>
      <c r="DD35" s="6"/>
      <c r="DE35" s="6"/>
      <c r="DF35" s="6"/>
      <c r="DG35" s="6"/>
      <c r="DH35" s="6"/>
      <c r="DI35" s="150"/>
      <c r="DJ35" s="6"/>
      <c r="DK35" s="6"/>
    </row>
    <row r="36" spans="1:125" s="16" customFormat="1" ht="12.6" customHeight="1" thickTop="1">
      <c r="A36" s="661"/>
      <c r="B36" s="174"/>
      <c r="C36" s="174"/>
      <c r="D36" s="179"/>
      <c r="E36" s="175"/>
      <c r="F36" s="131" t="s">
        <v>105</v>
      </c>
      <c r="G36" s="179"/>
      <c r="H36" s="131" t="s">
        <v>105</v>
      </c>
      <c r="I36" s="131" t="s">
        <v>105</v>
      </c>
      <c r="J36" s="131" t="s">
        <v>105</v>
      </c>
      <c r="K36" s="180"/>
      <c r="L36" s="131" t="s">
        <v>105</v>
      </c>
      <c r="M36" s="131" t="s">
        <v>105</v>
      </c>
      <c r="N36" s="131" t="s">
        <v>105</v>
      </c>
      <c r="O36" s="193"/>
      <c r="P36" s="183"/>
      <c r="Q36" s="183"/>
      <c r="R36" s="184"/>
      <c r="CJ36" s="6"/>
      <c r="CK36" s="6"/>
      <c r="CL36" s="6"/>
      <c r="CM36" s="143"/>
      <c r="CN36" s="143"/>
      <c r="CO36" s="143"/>
      <c r="CP36" s="143"/>
      <c r="CQ36" s="143"/>
      <c r="CR36" s="143"/>
      <c r="CS36" s="143"/>
      <c r="CT36" s="143"/>
      <c r="CU36" s="6"/>
      <c r="CV36" s="143"/>
      <c r="CW36" s="143"/>
      <c r="CX36" s="143"/>
      <c r="CY36" s="143"/>
      <c r="CZ36" s="143"/>
      <c r="DA36" s="6"/>
      <c r="DB36" s="6"/>
      <c r="DC36" s="6"/>
      <c r="DD36" s="6"/>
      <c r="DE36" s="6"/>
      <c r="DF36" s="6"/>
      <c r="DG36" s="6"/>
      <c r="DH36" s="6"/>
      <c r="DI36" s="6"/>
      <c r="DJ36" s="150"/>
      <c r="DK36" s="6"/>
      <c r="DL36" s="6"/>
    </row>
    <row r="37" spans="1:125" s="16" customFormat="1" ht="12.6" customHeight="1">
      <c r="A37" s="661"/>
      <c r="B37" s="174"/>
      <c r="C37" s="174"/>
      <c r="D37" s="179"/>
      <c r="F37" s="181"/>
      <c r="G37" s="179"/>
      <c r="H37" s="185" t="s">
        <v>91</v>
      </c>
      <c r="I37" s="181"/>
      <c r="J37" s="186"/>
      <c r="K37" s="181"/>
      <c r="M37" s="181"/>
      <c r="N37" s="181"/>
      <c r="O37" s="181"/>
      <c r="P37" s="182"/>
      <c r="Q37" s="182"/>
      <c r="R37" s="184"/>
      <c r="CJ37" s="6"/>
      <c r="CK37" s="6"/>
      <c r="CL37" s="6"/>
      <c r="CM37" s="143"/>
      <c r="CN37" s="143"/>
      <c r="CO37" s="143"/>
      <c r="CP37" s="143"/>
      <c r="CQ37" s="143"/>
      <c r="CR37" s="143"/>
      <c r="CS37" s="143"/>
      <c r="CT37" s="143"/>
      <c r="CU37" s="6"/>
      <c r="CV37" s="143"/>
      <c r="CW37" s="143"/>
      <c r="CX37" s="143"/>
      <c r="CY37" s="143"/>
      <c r="CZ37" s="143"/>
      <c r="DA37" s="6"/>
      <c r="DB37" s="6"/>
      <c r="DC37" s="6"/>
      <c r="DD37" s="6"/>
      <c r="DE37" s="6"/>
      <c r="DF37" s="6"/>
      <c r="DG37" s="6"/>
      <c r="DH37" s="6"/>
      <c r="DI37" s="6"/>
      <c r="DJ37" s="150"/>
      <c r="DK37" s="6"/>
      <c r="DL37" s="6"/>
    </row>
    <row r="38" spans="1:125" s="22" customFormat="1" ht="12.6" customHeight="1">
      <c r="A38" s="667"/>
      <c r="B38" s="174"/>
      <c r="C38" s="174"/>
      <c r="D38" s="195"/>
      <c r="E38" s="194"/>
      <c r="F38" s="188"/>
      <c r="G38" s="179"/>
      <c r="H38" s="187" t="s">
        <v>201</v>
      </c>
      <c r="I38" s="188">
        <f>I35-I37</f>
        <v>0</v>
      </c>
      <c r="J38" s="189"/>
      <c r="K38" s="181"/>
      <c r="M38" s="188">
        <f>M35-M37</f>
        <v>0</v>
      </c>
      <c r="N38" s="188">
        <f>N35-N37</f>
        <v>0</v>
      </c>
      <c r="O38" s="181"/>
      <c r="P38" s="182"/>
      <c r="Q38" s="174"/>
      <c r="R38" s="174"/>
      <c r="S38" s="214"/>
      <c r="T38" s="214"/>
      <c r="U38" s="214"/>
      <c r="V38" s="214"/>
      <c r="W38" s="214"/>
      <c r="X38" s="175"/>
      <c r="Y38" s="175"/>
      <c r="Z38" s="175"/>
      <c r="AA38" s="175"/>
      <c r="AB38" s="175"/>
      <c r="AC38" s="175"/>
      <c r="CJ38" s="6"/>
      <c r="CK38" s="6"/>
      <c r="CL38" s="6"/>
      <c r="CM38" s="143"/>
      <c r="CN38" s="143"/>
      <c r="CO38" s="143"/>
      <c r="CP38" s="143"/>
      <c r="CQ38" s="143"/>
      <c r="CR38" s="143"/>
      <c r="CS38" s="143"/>
      <c r="CT38" s="6"/>
      <c r="CU38" s="6"/>
      <c r="CV38" s="143"/>
      <c r="CW38" s="143"/>
      <c r="CX38" s="143"/>
      <c r="CY38" s="143"/>
      <c r="CZ38" s="143"/>
      <c r="DA38" s="6"/>
      <c r="DB38" s="6"/>
      <c r="DC38" s="6"/>
      <c r="DD38" s="6"/>
      <c r="DE38" s="6"/>
      <c r="DF38" s="6"/>
      <c r="DG38" s="6"/>
      <c r="DH38" s="6"/>
      <c r="DI38" s="6"/>
      <c r="DJ38" s="150"/>
      <c r="DK38" s="6"/>
      <c r="DL38" s="6"/>
    </row>
    <row r="39" spans="1:125" s="6" customFormat="1" ht="13.35" customHeight="1">
      <c r="A39" s="655"/>
      <c r="B39" s="164"/>
      <c r="G39" s="215"/>
      <c r="H39" s="216"/>
      <c r="I39" s="137"/>
      <c r="J39" s="215"/>
      <c r="CT39" s="143"/>
      <c r="CU39" s="143"/>
      <c r="CV39" s="143"/>
      <c r="CW39" s="143"/>
      <c r="CX39" s="143"/>
      <c r="CY39" s="143"/>
      <c r="CZ39" s="143"/>
      <c r="DC39" s="143"/>
      <c r="DD39" s="143"/>
      <c r="DE39" s="143"/>
      <c r="DF39" s="143"/>
      <c r="DG39" s="143"/>
      <c r="DQ39" s="150"/>
    </row>
    <row r="40" spans="1:125" s="13" customFormat="1" ht="13.35" customHeight="1" thickBot="1">
      <c r="A40" s="663"/>
      <c r="B40" s="88" t="s">
        <v>155</v>
      </c>
      <c r="C40" s="13" t="s">
        <v>189</v>
      </c>
      <c r="G40" s="137"/>
      <c r="H40" s="138"/>
      <c r="I40" s="137"/>
      <c r="J40" s="137"/>
      <c r="CV40" s="62"/>
      <c r="CW40" s="62"/>
      <c r="CX40" s="62"/>
      <c r="CY40" s="62"/>
      <c r="CZ40" s="62"/>
      <c r="DA40" s="62"/>
      <c r="DB40" s="62"/>
      <c r="DE40" s="62"/>
      <c r="DF40" s="62"/>
      <c r="DG40" s="62"/>
      <c r="DH40" s="62"/>
      <c r="DI40" s="62"/>
      <c r="DS40" s="69"/>
    </row>
    <row r="41" spans="1:125" s="17" customFormat="1" ht="12.6" customHeight="1">
      <c r="A41" s="664"/>
      <c r="C41" s="828"/>
      <c r="D41" s="829"/>
      <c r="E41" s="829"/>
      <c r="F41" s="829"/>
      <c r="G41" s="830"/>
      <c r="H41" s="139"/>
      <c r="I41" s="139"/>
      <c r="J41" s="139"/>
      <c r="CN41" s="13"/>
      <c r="CO41" s="13"/>
      <c r="CP41" s="13"/>
      <c r="CQ41" s="62"/>
      <c r="CR41" s="62"/>
      <c r="CS41" s="62"/>
      <c r="CT41" s="62"/>
      <c r="CU41" s="62"/>
      <c r="CV41" s="62"/>
      <c r="CW41" s="62"/>
      <c r="CX41" s="13"/>
      <c r="CY41" s="13"/>
      <c r="CZ41" s="62"/>
      <c r="DA41" s="62"/>
      <c r="DB41" s="62"/>
      <c r="DC41" s="62"/>
      <c r="DD41" s="62"/>
      <c r="DE41" s="13"/>
      <c r="DF41" s="13"/>
      <c r="DG41" s="13"/>
      <c r="DH41" s="13"/>
      <c r="DI41" s="13"/>
      <c r="DJ41" s="13"/>
      <c r="DK41" s="13"/>
      <c r="DL41" s="13"/>
      <c r="DM41" s="13"/>
      <c r="DN41" s="69"/>
      <c r="DO41" s="13"/>
      <c r="DP41" s="13"/>
    </row>
    <row r="42" spans="1:125" s="17" customFormat="1" ht="12.6" customHeight="1">
      <c r="A42" s="665"/>
      <c r="C42" s="831"/>
      <c r="D42" s="832"/>
      <c r="E42" s="832"/>
      <c r="F42" s="832"/>
      <c r="G42" s="833"/>
      <c r="H42" s="139"/>
      <c r="I42" s="139"/>
      <c r="J42" s="139"/>
      <c r="CN42" s="13"/>
      <c r="CO42" s="13"/>
      <c r="CP42" s="13"/>
      <c r="CQ42" s="62"/>
      <c r="CR42" s="62"/>
      <c r="CS42" s="62"/>
      <c r="CT42" s="62"/>
      <c r="CU42" s="62"/>
      <c r="CV42" s="62"/>
      <c r="CW42" s="62"/>
      <c r="CX42" s="13"/>
      <c r="CY42" s="13"/>
      <c r="CZ42" s="62"/>
      <c r="DA42" s="62"/>
      <c r="DB42" s="62"/>
      <c r="DC42" s="62"/>
      <c r="DD42" s="62"/>
      <c r="DE42" s="13"/>
      <c r="DF42" s="13"/>
      <c r="DG42" s="13"/>
      <c r="DH42" s="13"/>
      <c r="DI42" s="13"/>
      <c r="DJ42" s="13"/>
      <c r="DK42" s="13"/>
      <c r="DL42" s="13"/>
      <c r="DM42" s="13"/>
      <c r="DN42" s="69"/>
      <c r="DO42" s="13"/>
      <c r="DP42" s="13"/>
    </row>
    <row r="43" spans="1:125" s="17" customFormat="1" ht="12.6" customHeight="1" thickBot="1">
      <c r="A43" s="665"/>
      <c r="C43" s="834"/>
      <c r="D43" s="835"/>
      <c r="E43" s="835"/>
      <c r="F43" s="835"/>
      <c r="G43" s="836"/>
      <c r="H43" s="139"/>
      <c r="I43" s="139"/>
      <c r="J43" s="139"/>
      <c r="CN43" s="13"/>
      <c r="CO43" s="13"/>
      <c r="CP43" s="13"/>
      <c r="CQ43" s="62"/>
      <c r="CR43" s="62"/>
      <c r="CS43" s="62"/>
      <c r="CT43" s="62"/>
      <c r="CU43" s="62"/>
      <c r="CV43" s="62"/>
      <c r="CW43" s="62"/>
      <c r="CX43" s="13"/>
      <c r="CY43" s="13"/>
      <c r="CZ43" s="62"/>
      <c r="DA43" s="62"/>
      <c r="DB43" s="62"/>
      <c r="DC43" s="62"/>
      <c r="DD43" s="62"/>
      <c r="DE43" s="13"/>
      <c r="DF43" s="13"/>
      <c r="DG43" s="13"/>
      <c r="DH43" s="13"/>
      <c r="DI43" s="13"/>
      <c r="DJ43" s="13"/>
      <c r="DK43" s="13"/>
      <c r="DL43" s="13"/>
      <c r="DM43" s="13"/>
      <c r="DN43" s="13"/>
      <c r="DO43" s="13"/>
      <c r="DP43" s="13"/>
    </row>
    <row r="44" spans="1:125" ht="12.6" customHeight="1">
      <c r="A44" s="660"/>
      <c r="CS44" s="6"/>
      <c r="CT44" s="6"/>
      <c r="CU44" s="6"/>
      <c r="CV44" s="143"/>
      <c r="CW44" s="143"/>
      <c r="CX44" s="143"/>
      <c r="CY44" s="143"/>
      <c r="CZ44" s="143"/>
      <c r="DA44" s="143"/>
      <c r="DB44" s="143"/>
      <c r="DC44" s="6"/>
      <c r="DD44" s="6"/>
      <c r="DE44" s="143"/>
      <c r="DF44" s="143"/>
      <c r="DG44" s="143"/>
      <c r="DH44" s="143"/>
      <c r="DI44" s="143"/>
      <c r="DJ44" s="6"/>
      <c r="DK44" s="6"/>
      <c r="DL44" s="6"/>
      <c r="DM44" s="6"/>
      <c r="DN44" s="6"/>
      <c r="DO44" s="6"/>
      <c r="DP44" s="6"/>
      <c r="DQ44" s="6"/>
      <c r="DR44" s="6"/>
      <c r="DS44" s="6"/>
      <c r="DT44" s="6"/>
      <c r="DU44" s="6"/>
    </row>
    <row r="45" spans="1:125" ht="12.6" customHeight="1">
      <c r="A45" s="660"/>
      <c r="CS45" s="6"/>
      <c r="CT45" s="6"/>
      <c r="CU45" s="6"/>
      <c r="CV45" s="143"/>
      <c r="CW45" s="143"/>
      <c r="CX45" s="143"/>
      <c r="CY45" s="143"/>
      <c r="CZ45" s="143"/>
      <c r="DA45" s="143"/>
      <c r="DB45" s="143"/>
      <c r="DC45" s="6"/>
      <c r="DD45" s="6"/>
      <c r="DE45" s="143"/>
      <c r="DF45" s="143"/>
      <c r="DG45" s="143"/>
      <c r="DH45" s="143"/>
      <c r="DI45" s="143"/>
      <c r="DJ45" s="6"/>
      <c r="DK45" s="6"/>
      <c r="DL45" s="6"/>
      <c r="DM45" s="6"/>
      <c r="DN45" s="6"/>
      <c r="DO45" s="6"/>
      <c r="DP45" s="6"/>
      <c r="DQ45" s="6"/>
      <c r="DR45" s="6"/>
      <c r="DS45" s="6"/>
      <c r="DT45" s="6"/>
      <c r="DU45" s="6"/>
    </row>
    <row r="46" spans="1:125" ht="12.6" customHeight="1">
      <c r="A46" s="541"/>
      <c r="CS46" s="6"/>
      <c r="CT46" s="6"/>
      <c r="CU46" s="6"/>
      <c r="CV46" s="143"/>
      <c r="CW46" s="143"/>
      <c r="CX46" s="143"/>
      <c r="CY46" s="143"/>
      <c r="CZ46" s="143"/>
      <c r="DA46" s="143"/>
      <c r="DB46" s="143"/>
      <c r="DC46" s="6"/>
      <c r="DD46" s="6"/>
      <c r="DE46" s="143"/>
      <c r="DF46" s="143"/>
      <c r="DG46" s="143"/>
      <c r="DH46" s="143"/>
      <c r="DI46" s="143"/>
      <c r="DJ46" s="6"/>
      <c r="DK46" s="6"/>
      <c r="DL46" s="6"/>
      <c r="DM46" s="6"/>
      <c r="DN46" s="6"/>
      <c r="DO46" s="6"/>
      <c r="DP46" s="6"/>
      <c r="DQ46" s="6"/>
      <c r="DR46" s="6"/>
      <c r="DS46" s="6"/>
      <c r="DT46" s="6"/>
      <c r="DU46" s="6"/>
    </row>
    <row r="47" spans="1:125" ht="12.6" customHeight="1">
      <c r="A47" s="541"/>
      <c r="CV47" s="143"/>
      <c r="CW47" s="143"/>
      <c r="CX47" s="143"/>
      <c r="CY47" s="143"/>
      <c r="CZ47" s="143"/>
      <c r="DA47" s="6"/>
      <c r="DB47" s="6"/>
      <c r="DC47" s="6"/>
      <c r="DD47" s="6"/>
      <c r="DE47" s="143"/>
      <c r="DF47" s="143"/>
      <c r="DG47" s="143"/>
      <c r="DH47" s="143"/>
      <c r="DI47" s="143"/>
    </row>
    <row r="48" spans="1:125" ht="12.6" customHeight="1">
      <c r="A48" s="541"/>
      <c r="CV48" s="143"/>
      <c r="CW48" s="143"/>
      <c r="CX48" s="143"/>
      <c r="CY48" s="143"/>
      <c r="CZ48" s="143"/>
      <c r="DA48" s="6"/>
      <c r="DB48" s="6"/>
      <c r="DC48" s="6"/>
      <c r="DD48" s="6"/>
      <c r="DE48" s="143"/>
      <c r="DF48" s="143"/>
      <c r="DG48" s="143"/>
      <c r="DH48" s="143"/>
      <c r="DI48" s="143"/>
    </row>
    <row r="49" spans="1:113" ht="12.6" customHeight="1">
      <c r="A49" s="541"/>
      <c r="CV49" s="143"/>
      <c r="CW49" s="143"/>
      <c r="CX49" s="143"/>
      <c r="CY49" s="143"/>
      <c r="CZ49" s="143"/>
      <c r="DA49" s="6"/>
      <c r="DB49" s="6"/>
      <c r="DC49" s="6"/>
      <c r="DD49" s="6"/>
      <c r="DE49" s="143"/>
      <c r="DF49" s="143"/>
      <c r="DG49" s="143"/>
      <c r="DH49" s="143"/>
      <c r="DI49" s="143"/>
    </row>
    <row r="50" spans="1:113" ht="12.6" customHeight="1">
      <c r="A50" s="541"/>
      <c r="CV50" s="143"/>
      <c r="CW50" s="143"/>
      <c r="CX50" s="143"/>
      <c r="CY50" s="143"/>
      <c r="CZ50" s="143"/>
      <c r="DA50" s="6"/>
      <c r="DB50" s="6"/>
      <c r="DC50" s="6"/>
      <c r="DD50" s="6"/>
      <c r="DE50" s="143"/>
      <c r="DF50" s="143"/>
      <c r="DG50" s="143"/>
      <c r="DH50" s="143"/>
      <c r="DI50" s="143"/>
    </row>
    <row r="51" spans="1:113" ht="12.6" customHeight="1">
      <c r="A51" s="541"/>
      <c r="CV51" s="143"/>
      <c r="CW51" s="143"/>
      <c r="CX51" s="143"/>
      <c r="CY51" s="143"/>
      <c r="CZ51" s="143"/>
      <c r="DA51" s="6"/>
      <c r="DB51" s="6"/>
      <c r="DC51" s="6"/>
      <c r="DD51" s="6"/>
      <c r="DE51" s="143"/>
      <c r="DF51" s="143"/>
      <c r="DG51" s="143"/>
      <c r="DH51" s="143"/>
      <c r="DI51" s="143"/>
    </row>
    <row r="52" spans="1:113" ht="12.6" customHeight="1">
      <c r="A52" s="541"/>
      <c r="CV52" s="143"/>
      <c r="CW52" s="143"/>
      <c r="CX52" s="143"/>
      <c r="CY52" s="143"/>
      <c r="CZ52" s="143"/>
      <c r="DA52" s="6"/>
      <c r="DB52" s="6"/>
      <c r="DC52" s="6"/>
      <c r="DD52" s="6"/>
      <c r="DE52" s="143"/>
      <c r="DF52" s="143"/>
      <c r="DG52" s="143"/>
      <c r="DH52" s="143"/>
      <c r="DI52" s="143"/>
    </row>
    <row r="53" spans="1:113" ht="12.6" customHeight="1">
      <c r="A53" s="541"/>
      <c r="CV53" s="143"/>
      <c r="CW53" s="143"/>
      <c r="CX53" s="143"/>
      <c r="CY53" s="143"/>
      <c r="CZ53" s="143"/>
      <c r="DA53" s="6"/>
      <c r="DB53" s="6"/>
      <c r="DC53" s="6"/>
      <c r="DD53" s="6"/>
      <c r="DE53" s="143"/>
      <c r="DF53" s="143"/>
      <c r="DG53" s="143"/>
      <c r="DH53" s="143"/>
      <c r="DI53" s="143"/>
    </row>
    <row r="54" spans="1:113" ht="12.6" customHeight="1">
      <c r="A54" s="541"/>
      <c r="CV54" s="143"/>
      <c r="CW54" s="143"/>
      <c r="CX54" s="143"/>
      <c r="CY54" s="143"/>
      <c r="CZ54" s="143"/>
      <c r="DA54" s="6"/>
      <c r="DB54" s="6"/>
      <c r="DC54" s="6"/>
      <c r="DD54" s="6"/>
      <c r="DE54" s="143"/>
      <c r="DF54" s="143"/>
      <c r="DG54" s="143"/>
      <c r="DH54" s="143"/>
      <c r="DI54" s="143"/>
    </row>
    <row r="55" spans="1:113" ht="12.6" customHeight="1">
      <c r="A55" s="541"/>
      <c r="CV55" s="143"/>
      <c r="CW55" s="143"/>
      <c r="CX55" s="143"/>
      <c r="CY55" s="143"/>
      <c r="CZ55" s="143"/>
      <c r="DA55" s="6"/>
      <c r="DB55" s="6"/>
      <c r="DC55" s="6"/>
      <c r="DD55" s="6"/>
      <c r="DE55" s="143"/>
      <c r="DF55" s="143"/>
      <c r="DG55" s="143"/>
      <c r="DH55" s="143"/>
      <c r="DI55" s="143"/>
    </row>
    <row r="56" spans="1:113" ht="12.6" customHeight="1">
      <c r="A56" s="541"/>
      <c r="CV56" s="143"/>
      <c r="CW56" s="143"/>
      <c r="CX56" s="143"/>
      <c r="CY56" s="143"/>
      <c r="CZ56" s="143"/>
      <c r="DA56" s="6"/>
      <c r="DB56" s="6"/>
      <c r="DC56" s="6"/>
      <c r="DD56" s="6"/>
      <c r="DE56" s="143"/>
      <c r="DF56" s="143"/>
      <c r="DG56" s="143"/>
      <c r="DH56" s="143"/>
      <c r="DI56" s="143"/>
    </row>
    <row r="57" spans="1:113" ht="12.6" customHeight="1">
      <c r="A57" s="541"/>
      <c r="CV57" s="143"/>
      <c r="CW57" s="143"/>
      <c r="CX57" s="143"/>
      <c r="CY57" s="143"/>
      <c r="CZ57" s="143"/>
      <c r="DA57" s="6"/>
      <c r="DB57" s="6"/>
      <c r="DC57" s="6"/>
      <c r="DD57" s="6"/>
      <c r="DE57" s="143"/>
      <c r="DF57" s="143"/>
      <c r="DG57" s="143"/>
      <c r="DH57" s="143"/>
      <c r="DI57" s="143"/>
    </row>
    <row r="58" spans="1:113" ht="12.6" customHeight="1">
      <c r="A58" s="541"/>
      <c r="CV58" s="143"/>
      <c r="CW58" s="143"/>
      <c r="CX58" s="143"/>
      <c r="CY58" s="143"/>
      <c r="CZ58" s="143"/>
      <c r="DA58" s="6"/>
      <c r="DB58" s="6"/>
      <c r="DC58" s="6"/>
      <c r="DD58" s="6"/>
      <c r="DE58" s="143"/>
      <c r="DF58" s="143"/>
      <c r="DG58" s="143"/>
      <c r="DH58" s="143"/>
      <c r="DI58" s="143"/>
    </row>
    <row r="59" spans="1:113" ht="12.6" customHeight="1">
      <c r="A59" s="541"/>
      <c r="CV59" s="143"/>
      <c r="CW59" s="143"/>
      <c r="CX59" s="143"/>
      <c r="CY59" s="143"/>
      <c r="CZ59" s="143"/>
      <c r="DA59" s="6"/>
      <c r="DB59" s="6"/>
      <c r="DC59" s="6"/>
      <c r="DD59" s="6"/>
      <c r="DE59" s="143"/>
      <c r="DF59" s="143"/>
      <c r="DG59" s="143"/>
      <c r="DH59" s="143"/>
      <c r="DI59" s="143"/>
    </row>
    <row r="60" spans="1:113" ht="12.6" customHeight="1">
      <c r="A60" s="541"/>
      <c r="CV60" s="143"/>
      <c r="CW60" s="143"/>
      <c r="CX60" s="143"/>
      <c r="CY60" s="143"/>
      <c r="CZ60" s="143"/>
      <c r="DA60" s="6"/>
      <c r="DB60" s="6"/>
      <c r="DC60" s="6"/>
      <c r="DD60" s="6"/>
      <c r="DE60" s="143"/>
      <c r="DF60" s="143"/>
      <c r="DG60" s="143"/>
      <c r="DH60" s="143"/>
      <c r="DI60" s="143"/>
    </row>
    <row r="61" spans="1:113" ht="12.6" customHeight="1">
      <c r="A61" s="541"/>
      <c r="CV61" s="143"/>
      <c r="CW61" s="143"/>
      <c r="CX61" s="143"/>
      <c r="CY61" s="143"/>
      <c r="CZ61" s="143"/>
      <c r="DA61" s="6"/>
      <c r="DB61" s="6"/>
      <c r="DC61" s="6"/>
      <c r="DD61" s="6"/>
      <c r="DE61" s="143"/>
      <c r="DF61" s="143"/>
      <c r="DG61" s="143"/>
      <c r="DH61" s="143"/>
      <c r="DI61" s="143"/>
    </row>
    <row r="62" spans="1:113" ht="12.6" customHeight="1">
      <c r="A62" s="541"/>
      <c r="CV62" s="143"/>
      <c r="CW62" s="143"/>
      <c r="CX62" s="143"/>
      <c r="CY62" s="143"/>
      <c r="CZ62" s="143"/>
      <c r="DA62" s="6"/>
      <c r="DB62" s="6"/>
      <c r="DC62" s="6"/>
      <c r="DD62" s="6"/>
      <c r="DE62" s="143"/>
      <c r="DF62" s="143"/>
      <c r="DG62" s="143"/>
      <c r="DH62" s="143"/>
      <c r="DI62" s="143"/>
    </row>
    <row r="63" spans="1:113" ht="12.6" customHeight="1">
      <c r="A63" s="541"/>
      <c r="CV63" s="143"/>
      <c r="CW63" s="143"/>
      <c r="CX63" s="143"/>
      <c r="CY63" s="143"/>
      <c r="CZ63" s="143"/>
      <c r="DA63" s="6"/>
      <c r="DB63" s="6"/>
      <c r="DC63" s="6"/>
      <c r="DD63" s="6"/>
      <c r="DE63" s="143"/>
      <c r="DF63" s="143"/>
      <c r="DG63" s="143"/>
      <c r="DH63" s="143"/>
      <c r="DI63" s="143"/>
    </row>
    <row r="64" spans="1:113" ht="12.6" customHeight="1">
      <c r="A64" s="541"/>
      <c r="CV64" s="143"/>
      <c r="CW64" s="143"/>
      <c r="CX64" s="143"/>
      <c r="CY64" s="143"/>
      <c r="CZ64" s="143"/>
      <c r="DA64" s="6"/>
      <c r="DB64" s="6"/>
      <c r="DC64" s="6"/>
      <c r="DD64" s="6"/>
      <c r="DE64" s="143"/>
      <c r="DF64" s="143"/>
      <c r="DG64" s="143"/>
      <c r="DH64" s="143"/>
      <c r="DI64" s="143"/>
    </row>
    <row r="65" spans="1:113" ht="12.6" customHeight="1">
      <c r="A65" s="541"/>
      <c r="CV65" s="143"/>
      <c r="CW65" s="143"/>
      <c r="CX65" s="143"/>
      <c r="CY65" s="143"/>
      <c r="CZ65" s="143"/>
      <c r="DA65" s="6"/>
      <c r="DB65" s="6"/>
      <c r="DC65" s="6"/>
      <c r="DD65" s="6"/>
      <c r="DE65" s="143"/>
      <c r="DF65" s="143"/>
      <c r="DG65" s="143"/>
      <c r="DH65" s="143"/>
      <c r="DI65" s="143"/>
    </row>
    <row r="66" spans="1:113" ht="12.6" customHeight="1">
      <c r="A66" s="541"/>
      <c r="CV66" s="143"/>
      <c r="CW66" s="143"/>
      <c r="CX66" s="143"/>
      <c r="CY66" s="143"/>
      <c r="CZ66" s="143"/>
      <c r="DA66" s="6"/>
      <c r="DB66" s="6"/>
      <c r="DC66" s="6"/>
      <c r="DD66" s="6"/>
      <c r="DE66" s="143"/>
      <c r="DF66" s="143"/>
      <c r="DG66" s="143"/>
      <c r="DH66" s="143"/>
      <c r="DI66" s="143"/>
    </row>
    <row r="67" spans="1:113" ht="12.6" customHeight="1">
      <c r="A67" s="541"/>
      <c r="CV67" s="143"/>
      <c r="CW67" s="143"/>
      <c r="CX67" s="143"/>
      <c r="CY67" s="143"/>
      <c r="CZ67" s="143"/>
      <c r="DA67" s="6"/>
      <c r="DB67" s="6"/>
      <c r="DC67" s="6"/>
      <c r="DD67" s="6"/>
      <c r="DE67" s="143"/>
      <c r="DF67" s="143"/>
      <c r="DG67" s="143"/>
      <c r="DH67" s="143"/>
      <c r="DI67" s="143"/>
    </row>
    <row r="68" spans="1:113" ht="12.6" customHeight="1">
      <c r="A68" s="541"/>
      <c r="CV68" s="143"/>
      <c r="CW68" s="143"/>
      <c r="CX68" s="143"/>
      <c r="CY68" s="143"/>
      <c r="CZ68" s="143"/>
      <c r="DA68" s="6"/>
      <c r="DB68" s="6"/>
      <c r="DC68" s="6"/>
      <c r="DD68" s="6"/>
      <c r="DE68" s="143"/>
      <c r="DF68" s="143"/>
      <c r="DG68" s="143"/>
      <c r="DH68" s="143"/>
      <c r="DI68" s="143"/>
    </row>
    <row r="69" spans="1:113" ht="12.6" customHeight="1">
      <c r="A69" s="541"/>
      <c r="CV69" s="143"/>
      <c r="CW69" s="143"/>
      <c r="CX69" s="143"/>
      <c r="CY69" s="143"/>
      <c r="CZ69" s="143"/>
      <c r="DA69" s="6"/>
      <c r="DB69" s="6"/>
      <c r="DC69" s="6"/>
      <c r="DD69" s="6"/>
      <c r="DE69" s="143"/>
      <c r="DF69" s="143"/>
      <c r="DG69" s="143"/>
      <c r="DH69" s="143"/>
      <c r="DI69" s="143"/>
    </row>
    <row r="70" spans="1:113" ht="12.6" customHeight="1">
      <c r="A70" s="541"/>
      <c r="CV70" s="143"/>
      <c r="CW70" s="143"/>
      <c r="CX70" s="143"/>
      <c r="CY70" s="143"/>
      <c r="CZ70" s="143"/>
      <c r="DA70" s="6"/>
      <c r="DB70" s="6"/>
      <c r="DC70" s="6"/>
      <c r="DD70" s="6"/>
      <c r="DE70" s="143"/>
      <c r="DF70" s="143"/>
      <c r="DG70" s="143"/>
      <c r="DH70" s="143"/>
      <c r="DI70" s="143"/>
    </row>
    <row r="71" spans="1:113" ht="12.6" customHeight="1">
      <c r="A71" s="541"/>
      <c r="CV71" s="143"/>
      <c r="CW71" s="143"/>
      <c r="CX71" s="143"/>
      <c r="CY71" s="143"/>
      <c r="CZ71" s="143"/>
      <c r="DA71" s="6"/>
      <c r="DB71" s="6"/>
      <c r="DC71" s="6"/>
      <c r="DD71" s="6"/>
      <c r="DE71" s="143"/>
      <c r="DF71" s="143"/>
      <c r="DG71" s="143"/>
      <c r="DH71" s="143"/>
      <c r="DI71" s="143"/>
    </row>
    <row r="72" spans="1:113" ht="12.6" customHeight="1">
      <c r="A72" s="541"/>
      <c r="CV72" s="143"/>
      <c r="CW72" s="143"/>
      <c r="CX72" s="143"/>
      <c r="CY72" s="143"/>
      <c r="CZ72" s="143"/>
      <c r="DA72" s="6"/>
      <c r="DB72" s="6"/>
      <c r="DC72" s="6"/>
      <c r="DD72" s="6"/>
      <c r="DE72" s="143"/>
      <c r="DF72" s="143"/>
      <c r="DG72" s="143"/>
      <c r="DH72" s="143"/>
      <c r="DI72" s="143"/>
    </row>
    <row r="73" spans="1:113" ht="12.6" customHeight="1">
      <c r="A73" s="541"/>
      <c r="CV73" s="143"/>
      <c r="CW73" s="143"/>
      <c r="CX73" s="143"/>
      <c r="CY73" s="143"/>
      <c r="CZ73" s="143"/>
      <c r="DA73" s="6"/>
      <c r="DB73" s="6"/>
      <c r="DC73" s="6"/>
      <c r="DD73" s="6"/>
      <c r="DE73" s="143"/>
      <c r="DF73" s="143"/>
      <c r="DG73" s="143"/>
      <c r="DH73" s="143"/>
      <c r="DI73" s="143"/>
    </row>
    <row r="74" spans="1:113" ht="12.6" customHeight="1">
      <c r="A74" s="541"/>
      <c r="CV74" s="143"/>
      <c r="CW74" s="143"/>
      <c r="CX74" s="143"/>
      <c r="CY74" s="143"/>
      <c r="CZ74" s="143"/>
      <c r="DA74" s="6"/>
      <c r="DB74" s="6"/>
      <c r="DC74" s="6"/>
      <c r="DD74" s="6"/>
      <c r="DE74" s="143"/>
      <c r="DF74" s="143"/>
      <c r="DG74" s="143"/>
      <c r="DH74" s="143"/>
      <c r="DI74" s="143"/>
    </row>
    <row r="75" spans="1:113" ht="12.6" customHeight="1">
      <c r="A75" s="541"/>
      <c r="CV75" s="143"/>
      <c r="CW75" s="143"/>
      <c r="CX75" s="143"/>
      <c r="CY75" s="143"/>
      <c r="CZ75" s="143"/>
      <c r="DA75" s="6"/>
      <c r="DB75" s="6"/>
      <c r="DC75" s="6"/>
      <c r="DD75" s="6"/>
      <c r="DE75" s="143"/>
      <c r="DF75" s="143"/>
      <c r="DG75" s="143"/>
      <c r="DH75" s="143"/>
      <c r="DI75" s="143"/>
    </row>
    <row r="76" spans="1:113" ht="12.6" customHeight="1">
      <c r="A76" s="541"/>
      <c r="CV76" s="143"/>
      <c r="CW76" s="143"/>
      <c r="CX76" s="143"/>
      <c r="CY76" s="143"/>
      <c r="CZ76" s="143"/>
      <c r="DA76" s="6"/>
      <c r="DB76" s="6"/>
      <c r="DC76" s="6"/>
      <c r="DD76" s="6"/>
      <c r="DE76" s="143"/>
      <c r="DF76" s="143"/>
      <c r="DG76" s="143"/>
      <c r="DH76" s="143"/>
      <c r="DI76" s="143"/>
    </row>
    <row r="77" spans="1:113" ht="12.6" customHeight="1">
      <c r="A77" s="541"/>
      <c r="CV77" s="143"/>
      <c r="CW77" s="143"/>
      <c r="CX77" s="143"/>
      <c r="CY77" s="143"/>
      <c r="CZ77" s="143"/>
      <c r="DA77" s="6"/>
      <c r="DB77" s="6"/>
      <c r="DC77" s="6"/>
      <c r="DD77" s="6"/>
      <c r="DE77" s="143"/>
      <c r="DF77" s="143"/>
      <c r="DG77" s="143"/>
      <c r="DH77" s="143"/>
      <c r="DI77" s="143"/>
    </row>
    <row r="78" spans="1:113" ht="12.6" customHeight="1">
      <c r="A78" s="541"/>
      <c r="CV78" s="143"/>
      <c r="CW78" s="143"/>
      <c r="CX78" s="143"/>
      <c r="CY78" s="143"/>
      <c r="CZ78" s="143"/>
      <c r="DA78" s="6"/>
      <c r="DB78" s="6"/>
      <c r="DC78" s="6"/>
      <c r="DD78" s="6"/>
      <c r="DE78" s="143"/>
      <c r="DF78" s="143"/>
      <c r="DG78" s="143"/>
      <c r="DH78" s="143"/>
      <c r="DI78" s="143"/>
    </row>
    <row r="79" spans="1:113" ht="12.6" customHeight="1">
      <c r="A79" s="541"/>
      <c r="CV79" s="143"/>
      <c r="CW79" s="143"/>
      <c r="CX79" s="143"/>
      <c r="CY79" s="143"/>
      <c r="CZ79" s="143"/>
      <c r="DA79" s="6"/>
      <c r="DB79" s="6"/>
      <c r="DC79" s="6"/>
      <c r="DD79" s="6"/>
      <c r="DE79" s="143"/>
      <c r="DF79" s="143"/>
      <c r="DG79" s="143"/>
      <c r="DH79" s="143"/>
      <c r="DI79" s="143"/>
    </row>
    <row r="80" spans="1:113" ht="12.6" customHeight="1">
      <c r="A80" s="541"/>
      <c r="CV80" s="143"/>
      <c r="CW80" s="143"/>
      <c r="CX80" s="143"/>
      <c r="CY80" s="143"/>
      <c r="CZ80" s="143"/>
      <c r="DA80" s="6"/>
      <c r="DB80" s="6"/>
      <c r="DC80" s="6"/>
      <c r="DD80" s="6"/>
      <c r="DE80" s="143"/>
      <c r="DF80" s="143"/>
      <c r="DG80" s="143"/>
      <c r="DH80" s="143"/>
      <c r="DI80" s="143"/>
    </row>
    <row r="81" spans="1:113" ht="12.6" customHeight="1">
      <c r="A81" s="541"/>
      <c r="CV81" s="143"/>
      <c r="CW81" s="143"/>
      <c r="CX81" s="143"/>
      <c r="CY81" s="143"/>
      <c r="CZ81" s="143"/>
      <c r="DA81" s="6"/>
      <c r="DB81" s="6"/>
      <c r="DC81" s="6"/>
      <c r="DD81" s="6"/>
      <c r="DE81" s="143"/>
      <c r="DF81" s="143"/>
      <c r="DG81" s="143"/>
      <c r="DH81" s="143"/>
      <c r="DI81" s="143"/>
    </row>
    <row r="82" spans="1:113" ht="12.6" customHeight="1">
      <c r="A82" s="541"/>
      <c r="CV82" s="143"/>
      <c r="CW82" s="143"/>
      <c r="CX82" s="143"/>
      <c r="CY82" s="143"/>
      <c r="CZ82" s="143"/>
      <c r="DA82" s="6"/>
      <c r="DB82" s="6"/>
      <c r="DC82" s="6"/>
      <c r="DD82" s="6"/>
      <c r="DE82" s="143"/>
      <c r="DF82" s="143"/>
      <c r="DG82" s="143"/>
      <c r="DH82" s="143"/>
      <c r="DI82" s="143"/>
    </row>
    <row r="83" spans="1:113" ht="12.6" customHeight="1">
      <c r="A83" s="541"/>
      <c r="CV83" s="143"/>
      <c r="CW83" s="143"/>
      <c r="CX83" s="143"/>
      <c r="CY83" s="143"/>
      <c r="CZ83" s="143"/>
      <c r="DA83" s="6"/>
      <c r="DB83" s="6"/>
      <c r="DC83" s="6"/>
      <c r="DD83" s="6"/>
      <c r="DE83" s="143"/>
      <c r="DF83" s="143"/>
      <c r="DG83" s="143"/>
      <c r="DH83" s="143"/>
      <c r="DI83" s="143"/>
    </row>
    <row r="84" spans="1:113" ht="12.6" customHeight="1">
      <c r="A84" s="541"/>
      <c r="CV84" s="143"/>
      <c r="CW84" s="143"/>
      <c r="CX84" s="143"/>
      <c r="CY84" s="143"/>
      <c r="CZ84" s="143"/>
      <c r="DA84" s="6"/>
      <c r="DB84" s="6"/>
      <c r="DC84" s="6"/>
      <c r="DD84" s="6"/>
      <c r="DE84" s="143"/>
      <c r="DF84" s="143"/>
      <c r="DG84" s="143"/>
      <c r="DH84" s="143"/>
      <c r="DI84" s="143"/>
    </row>
    <row r="85" spans="1:113" ht="12.6" customHeight="1">
      <c r="A85" s="541"/>
      <c r="CV85" s="143"/>
      <c r="CW85" s="143"/>
      <c r="CX85" s="143"/>
      <c r="CY85" s="143"/>
      <c r="CZ85" s="143"/>
      <c r="DA85" s="6"/>
      <c r="DB85" s="6"/>
      <c r="DC85" s="6"/>
      <c r="DD85" s="6"/>
      <c r="DE85" s="143"/>
      <c r="DF85" s="143"/>
      <c r="DG85" s="143"/>
      <c r="DH85" s="143"/>
      <c r="DI85" s="143"/>
    </row>
    <row r="86" spans="1:113" ht="12.6" customHeight="1">
      <c r="A86" s="541"/>
      <c r="CV86" s="143"/>
      <c r="CW86" s="143"/>
      <c r="CX86" s="143"/>
      <c r="CY86" s="143"/>
      <c r="CZ86" s="143"/>
      <c r="DA86" s="6"/>
      <c r="DB86" s="6"/>
      <c r="DC86" s="6"/>
      <c r="DD86" s="6"/>
      <c r="DE86" s="143"/>
      <c r="DF86" s="143"/>
      <c r="DG86" s="143"/>
      <c r="DH86" s="143"/>
      <c r="DI86" s="143"/>
    </row>
    <row r="87" spans="1:113" ht="12.6" customHeight="1">
      <c r="A87" s="541"/>
      <c r="CV87" s="143"/>
      <c r="CW87" s="143"/>
      <c r="CX87" s="143"/>
      <c r="CY87" s="143"/>
      <c r="CZ87" s="143"/>
      <c r="DA87" s="6"/>
      <c r="DB87" s="6"/>
      <c r="DC87" s="6"/>
      <c r="DD87" s="6"/>
      <c r="DE87" s="143"/>
      <c r="DF87" s="143"/>
      <c r="DG87" s="143"/>
      <c r="DH87" s="143"/>
      <c r="DI87" s="143"/>
    </row>
    <row r="88" spans="1:113" ht="12.6" customHeight="1">
      <c r="A88" s="541"/>
      <c r="CV88" s="143"/>
      <c r="CW88" s="143"/>
      <c r="CX88" s="143"/>
      <c r="CY88" s="143"/>
      <c r="CZ88" s="143"/>
      <c r="DA88" s="6"/>
      <c r="DB88" s="6"/>
      <c r="DC88" s="6"/>
      <c r="DD88" s="6"/>
      <c r="DE88" s="143"/>
      <c r="DF88" s="143"/>
      <c r="DG88" s="143"/>
      <c r="DH88" s="143"/>
      <c r="DI88" s="143"/>
    </row>
    <row r="89" spans="1:113" ht="12.6" customHeight="1">
      <c r="A89" s="541"/>
      <c r="CV89" s="143"/>
      <c r="CW89" s="143"/>
      <c r="CX89" s="143"/>
      <c r="CY89" s="143"/>
      <c r="CZ89" s="143"/>
      <c r="DA89" s="6"/>
      <c r="DB89" s="6"/>
      <c r="DC89" s="6"/>
      <c r="DD89" s="6"/>
      <c r="DE89" s="143"/>
      <c r="DF89" s="143"/>
      <c r="DG89" s="143"/>
      <c r="DH89" s="143"/>
      <c r="DI89" s="143"/>
    </row>
    <row r="90" spans="1:113" ht="12.6" customHeight="1">
      <c r="A90" s="541"/>
      <c r="CV90" s="143"/>
      <c r="CW90" s="143"/>
      <c r="CX90" s="143"/>
      <c r="CY90" s="143"/>
      <c r="CZ90" s="143"/>
      <c r="DA90" s="6"/>
      <c r="DB90" s="6"/>
      <c r="DC90" s="6"/>
      <c r="DD90" s="6"/>
      <c r="DE90" s="143"/>
      <c r="DF90" s="143"/>
      <c r="DG90" s="143"/>
      <c r="DH90" s="143"/>
      <c r="DI90" s="143"/>
    </row>
    <row r="91" spans="1:113" ht="12.6" customHeight="1">
      <c r="A91" s="541"/>
      <c r="CV91" s="143"/>
      <c r="CW91" s="143"/>
      <c r="CX91" s="143"/>
      <c r="CY91" s="143"/>
      <c r="CZ91" s="143"/>
      <c r="DA91" s="6"/>
      <c r="DB91" s="6"/>
      <c r="DC91" s="6"/>
      <c r="DD91" s="6"/>
      <c r="DE91" s="143"/>
      <c r="DF91" s="143"/>
      <c r="DG91" s="143"/>
      <c r="DH91" s="143"/>
      <c r="DI91" s="143"/>
    </row>
    <row r="92" spans="1:113" ht="12.6" customHeight="1">
      <c r="A92" s="541"/>
      <c r="CV92" s="143"/>
      <c r="CW92" s="143"/>
      <c r="CX92" s="143"/>
      <c r="CY92" s="143"/>
      <c r="CZ92" s="143"/>
      <c r="DA92" s="6"/>
      <c r="DB92" s="6"/>
      <c r="DC92" s="6"/>
      <c r="DD92" s="6"/>
      <c r="DE92" s="143"/>
      <c r="DF92" s="143"/>
      <c r="DG92" s="143"/>
      <c r="DH92" s="143"/>
      <c r="DI92" s="143"/>
    </row>
    <row r="93" spans="1:113" ht="12.6" customHeight="1">
      <c r="A93" s="541"/>
      <c r="CV93" s="143"/>
      <c r="CW93" s="143"/>
      <c r="CX93" s="143"/>
      <c r="CY93" s="143"/>
      <c r="CZ93" s="143"/>
      <c r="DA93" s="6"/>
      <c r="DB93" s="6"/>
      <c r="DC93" s="6"/>
      <c r="DD93" s="6"/>
      <c r="DE93" s="143"/>
      <c r="DF93" s="143"/>
      <c r="DG93" s="143"/>
      <c r="DH93" s="143"/>
      <c r="DI93" s="143"/>
    </row>
    <row r="94" spans="1:113" ht="12.6" customHeight="1">
      <c r="A94" s="541"/>
      <c r="CV94" s="143"/>
      <c r="CW94" s="143"/>
      <c r="CX94" s="143"/>
      <c r="CY94" s="143"/>
      <c r="CZ94" s="143"/>
      <c r="DA94" s="6"/>
      <c r="DB94" s="6"/>
      <c r="DC94" s="6"/>
      <c r="DD94" s="6"/>
      <c r="DE94" s="143"/>
      <c r="DF94" s="143"/>
      <c r="DG94" s="143"/>
      <c r="DH94" s="143"/>
      <c r="DI94" s="143"/>
    </row>
    <row r="95" spans="1:113" ht="12.6" customHeight="1">
      <c r="A95" s="541"/>
      <c r="CV95" s="143"/>
      <c r="CW95" s="143"/>
      <c r="CX95" s="143"/>
      <c r="CY95" s="143"/>
      <c r="CZ95" s="143"/>
      <c r="DA95" s="6"/>
      <c r="DB95" s="6"/>
      <c r="DC95" s="6"/>
      <c r="DD95" s="6"/>
      <c r="DE95" s="143"/>
      <c r="DF95" s="143"/>
      <c r="DG95" s="143"/>
      <c r="DH95" s="143"/>
      <c r="DI95" s="143"/>
    </row>
    <row r="96" spans="1:113" ht="12.6" customHeight="1">
      <c r="A96" s="541"/>
      <c r="CV96" s="143"/>
      <c r="CW96" s="143"/>
      <c r="CX96" s="143"/>
      <c r="CY96" s="143"/>
      <c r="CZ96" s="143"/>
      <c r="DA96" s="6"/>
      <c r="DB96" s="6"/>
      <c r="DC96" s="6"/>
      <c r="DD96" s="6"/>
      <c r="DE96" s="143"/>
      <c r="DF96" s="143"/>
      <c r="DG96" s="143"/>
      <c r="DH96" s="143"/>
      <c r="DI96" s="143"/>
    </row>
    <row r="97" spans="1:113" ht="12.6" customHeight="1">
      <c r="A97" s="541"/>
      <c r="CV97" s="143"/>
      <c r="CW97" s="143"/>
      <c r="CX97" s="143"/>
      <c r="CY97" s="143"/>
      <c r="CZ97" s="143"/>
      <c r="DA97" s="6"/>
      <c r="DB97" s="6"/>
      <c r="DC97" s="6"/>
      <c r="DD97" s="6"/>
      <c r="DE97" s="143"/>
      <c r="DF97" s="143"/>
      <c r="DG97" s="143"/>
      <c r="DH97" s="143"/>
      <c r="DI97" s="143"/>
    </row>
    <row r="98" spans="1:113" ht="12.6" customHeight="1">
      <c r="A98" s="541"/>
      <c r="CV98" s="143"/>
      <c r="CW98" s="143"/>
      <c r="CX98" s="143"/>
      <c r="CY98" s="143"/>
      <c r="CZ98" s="143"/>
      <c r="DA98" s="6"/>
      <c r="DB98" s="6"/>
      <c r="DC98" s="6"/>
      <c r="DD98" s="6"/>
      <c r="DE98" s="143"/>
      <c r="DF98" s="143"/>
      <c r="DG98" s="143"/>
      <c r="DH98" s="143"/>
      <c r="DI98" s="143"/>
    </row>
    <row r="99" spans="1:113" ht="12.6" customHeight="1">
      <c r="A99" s="541"/>
      <c r="CV99" s="143"/>
      <c r="CW99" s="143"/>
      <c r="CX99" s="143"/>
      <c r="CY99" s="143"/>
      <c r="CZ99" s="143"/>
      <c r="DA99" s="6"/>
      <c r="DB99" s="6"/>
      <c r="DC99" s="6"/>
      <c r="DD99" s="6"/>
      <c r="DE99" s="143"/>
      <c r="DF99" s="143"/>
      <c r="DG99" s="143"/>
      <c r="DH99" s="143"/>
      <c r="DI99" s="143"/>
    </row>
    <row r="100" spans="1:113" ht="12.6" customHeight="1">
      <c r="A100" s="541"/>
      <c r="CV100" s="143"/>
      <c r="CW100" s="143"/>
      <c r="CX100" s="143"/>
      <c r="CY100" s="143"/>
      <c r="CZ100" s="143"/>
      <c r="DA100" s="6"/>
      <c r="DB100" s="6"/>
      <c r="DC100" s="6"/>
      <c r="DD100" s="6"/>
      <c r="DE100" s="143"/>
      <c r="DF100" s="143"/>
      <c r="DG100" s="143"/>
      <c r="DH100" s="143"/>
      <c r="DI100" s="143"/>
    </row>
    <row r="101" spans="1:113" ht="12.6" customHeight="1">
      <c r="A101" s="541"/>
      <c r="CV101" s="143"/>
      <c r="CW101" s="143"/>
      <c r="CX101" s="143"/>
      <c r="CY101" s="143"/>
      <c r="CZ101" s="143"/>
      <c r="DA101" s="6"/>
      <c r="DB101" s="6"/>
      <c r="DC101" s="6"/>
      <c r="DD101" s="6"/>
      <c r="DE101" s="143"/>
      <c r="DF101" s="143"/>
      <c r="DG101" s="143"/>
      <c r="DH101" s="143"/>
      <c r="DI101" s="143"/>
    </row>
    <row r="102" spans="1:113" ht="12.6" customHeight="1">
      <c r="A102" s="541"/>
      <c r="CV102" s="143"/>
      <c r="CW102" s="143"/>
      <c r="CX102" s="143"/>
      <c r="CY102" s="143"/>
      <c r="CZ102" s="143"/>
      <c r="DA102" s="6"/>
      <c r="DB102" s="6"/>
      <c r="DC102" s="6"/>
      <c r="DD102" s="6"/>
      <c r="DE102" s="143"/>
      <c r="DF102" s="143"/>
      <c r="DG102" s="143"/>
      <c r="DH102" s="143"/>
      <c r="DI102" s="143"/>
    </row>
    <row r="103" spans="1:113" ht="12.6" customHeight="1">
      <c r="A103" s="541"/>
      <c r="CV103" s="143"/>
      <c r="CW103" s="143"/>
      <c r="CX103" s="143"/>
      <c r="CY103" s="143"/>
      <c r="CZ103" s="143"/>
      <c r="DA103" s="6"/>
      <c r="DB103" s="6"/>
      <c r="DC103" s="6"/>
      <c r="DD103" s="6"/>
      <c r="DE103" s="143"/>
      <c r="DF103" s="143"/>
      <c r="DG103" s="143"/>
      <c r="DH103" s="143"/>
      <c r="DI103" s="143"/>
    </row>
    <row r="104" spans="1:113" ht="12.6" customHeight="1">
      <c r="A104" s="541"/>
      <c r="CV104" s="143"/>
      <c r="CW104" s="143"/>
      <c r="CX104" s="143"/>
      <c r="CY104" s="143"/>
      <c r="CZ104" s="143"/>
      <c r="DA104" s="6"/>
      <c r="DB104" s="6"/>
      <c r="DC104" s="6"/>
      <c r="DD104" s="6"/>
      <c r="DE104" s="143"/>
      <c r="DF104" s="143"/>
      <c r="DG104" s="143"/>
      <c r="DH104" s="143"/>
      <c r="DI104" s="143"/>
    </row>
    <row r="105" spans="1:113" ht="12.6" customHeight="1">
      <c r="A105" s="541"/>
      <c r="CV105" s="143"/>
      <c r="CW105" s="143"/>
      <c r="CX105" s="143"/>
      <c r="CY105" s="143"/>
      <c r="CZ105" s="143"/>
      <c r="DA105" s="6"/>
      <c r="DB105" s="6"/>
      <c r="DC105" s="6"/>
      <c r="DD105" s="6"/>
      <c r="DE105" s="143"/>
      <c r="DF105" s="143"/>
      <c r="DG105" s="143"/>
      <c r="DH105" s="143"/>
      <c r="DI105" s="143"/>
    </row>
  </sheetData>
  <mergeCells count="13">
    <mergeCell ref="C41:G43"/>
    <mergeCell ref="K5:K6"/>
    <mergeCell ref="L5:L6"/>
    <mergeCell ref="M5:M6"/>
    <mergeCell ref="N5:N6"/>
    <mergeCell ref="D8:F8"/>
    <mergeCell ref="D9:F9"/>
    <mergeCell ref="D13:F13"/>
    <mergeCell ref="D14:F14"/>
    <mergeCell ref="D12:F12"/>
    <mergeCell ref="D11:F11"/>
    <mergeCell ref="D10:F10"/>
    <mergeCell ref="C19:G21"/>
  </mergeCells>
  <phoneticPr fontId="136" type="noConversion"/>
  <conditionalFormatting sqref="G9:I14 C19:G21 D24 C28:F28 N28 C31:F33 N31:N33 I37 M37:N37 C41:G43">
    <cfRule type="cellIs" dxfId="12" priority="1" operator="equal">
      <formula>0</formula>
    </cfRule>
  </conditionalFormatting>
  <dataValidations count="2">
    <dataValidation type="list" allowBlank="1" showInputMessage="1" sqref="H9:H14" xr:uid="{E269936F-FD4A-441B-870C-972151466208}">
      <formula1>"是,否"</formula1>
    </dataValidation>
    <dataValidation type="list" allowBlank="1" showInputMessage="1" sqref="I9:I14" xr:uid="{65195F87-43C4-4620-A7D9-392E241EB9A4}">
      <formula1>"是,不适用"</formula1>
    </dataValidation>
  </dataValidations>
  <hyperlinks>
    <hyperlink ref="J2" location="汇总!A1" display="返回汇总页" xr:uid="{00000000-0004-0000-0800-000000000000}"/>
  </hyperlink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N63"/>
  <sheetViews>
    <sheetView showGridLines="0" zoomScale="70" zoomScaleNormal="70" workbookViewId="0">
      <selection activeCell="M17" sqref="M17"/>
    </sheetView>
  </sheetViews>
  <sheetFormatPr defaultColWidth="17.7109375" defaultRowHeight="12.75" outlineLevelRow="1"/>
  <cols>
    <col min="1" max="1" width="0.140625" style="557" customWidth="1"/>
    <col min="2" max="2" width="8.28515625" style="217" customWidth="1"/>
    <col min="3" max="3" width="16.28515625" style="217" customWidth="1"/>
    <col min="4" max="5" width="18.7109375" style="217" customWidth="1"/>
    <col min="6" max="6" width="34.85546875" style="217" customWidth="1"/>
    <col min="7" max="7" width="25.28515625" style="217" customWidth="1"/>
    <col min="8" max="8" width="18.7109375" style="217" customWidth="1"/>
    <col min="9" max="9" width="19.140625" style="217" customWidth="1"/>
    <col min="10" max="10" width="37.7109375" style="217" customWidth="1"/>
    <col min="11" max="11" width="24.28515625" style="217" customWidth="1"/>
    <col min="12" max="12" width="18.7109375" style="217" customWidth="1"/>
    <col min="13" max="13" width="25" style="217" customWidth="1"/>
    <col min="14" max="14" width="22.5703125" style="217" customWidth="1"/>
    <col min="15" max="15" width="18.7109375" style="217" customWidth="1"/>
    <col min="16" max="16384" width="17.7109375" style="217"/>
  </cols>
  <sheetData>
    <row r="1" spans="1:13" ht="13.35" customHeight="1">
      <c r="A1" s="542" t="s">
        <v>209</v>
      </c>
    </row>
    <row r="2" spans="1:13" s="9" customFormat="1" ht="22.35" customHeight="1">
      <c r="A2" s="539"/>
      <c r="C2" s="473"/>
      <c r="J2" s="218" t="s">
        <v>108</v>
      </c>
    </row>
    <row r="3" spans="1:13" ht="13.35" customHeight="1">
      <c r="A3" s="542"/>
    </row>
    <row r="4" spans="1:13" ht="37.5" customHeight="1">
      <c r="A4" s="542"/>
      <c r="C4" s="558" t="s">
        <v>210</v>
      </c>
    </row>
    <row r="5" spans="1:13" ht="13.35" customHeight="1" thickBot="1">
      <c r="A5" s="542"/>
    </row>
    <row r="6" spans="1:13" s="23" customFormat="1" ht="21">
      <c r="A6" s="675"/>
      <c r="C6" s="628" t="s">
        <v>211</v>
      </c>
      <c r="D6" s="629"/>
      <c r="E6" s="629"/>
      <c r="F6" s="629"/>
      <c r="G6" s="629"/>
      <c r="H6" s="629"/>
      <c r="I6" s="629"/>
      <c r="J6" s="630"/>
      <c r="K6" s="217"/>
      <c r="L6" s="217"/>
      <c r="M6" s="217"/>
    </row>
    <row r="7" spans="1:13" s="23" customFormat="1" ht="20.25">
      <c r="A7" s="675"/>
      <c r="C7" s="220" t="s">
        <v>212</v>
      </c>
      <c r="D7" s="631"/>
      <c r="E7" s="631"/>
      <c r="F7" s="631"/>
      <c r="G7" s="631"/>
      <c r="H7" s="631"/>
      <c r="I7" s="631"/>
      <c r="J7" s="221"/>
      <c r="K7" s="217"/>
      <c r="L7" s="217"/>
      <c r="M7" s="217"/>
    </row>
    <row r="8" spans="1:13" s="23" customFormat="1" ht="18">
      <c r="A8" s="675"/>
      <c r="C8" s="222"/>
      <c r="D8" s="632"/>
      <c r="E8" s="632"/>
      <c r="F8" s="632"/>
      <c r="G8" s="632"/>
      <c r="H8" s="632"/>
      <c r="I8" s="632"/>
      <c r="J8" s="221"/>
      <c r="K8" s="217"/>
      <c r="L8" s="217"/>
      <c r="M8" s="217"/>
    </row>
    <row r="9" spans="1:13" s="23" customFormat="1" ht="28.5" customHeight="1">
      <c r="A9" s="675"/>
      <c r="C9" s="605" t="s">
        <v>213</v>
      </c>
      <c r="D9" s="857" t="s">
        <v>214</v>
      </c>
      <c r="E9" s="858"/>
      <c r="F9" s="859"/>
      <c r="G9" s="223" t="s">
        <v>215</v>
      </c>
      <c r="H9" s="507" t="s">
        <v>114</v>
      </c>
      <c r="I9" s="507" t="s">
        <v>115</v>
      </c>
      <c r="J9" s="606" t="s">
        <v>216</v>
      </c>
    </row>
    <row r="10" spans="1:13" s="23" customFormat="1" ht="21" outlineLevel="1">
      <c r="A10" s="675"/>
      <c r="C10" s="607">
        <v>1</v>
      </c>
      <c r="D10" s="860" t="s">
        <v>217</v>
      </c>
      <c r="E10" s="861"/>
      <c r="F10" s="862"/>
      <c r="G10" s="225" t="s">
        <v>218</v>
      </c>
      <c r="H10" s="508"/>
      <c r="I10" s="509"/>
      <c r="J10" s="608"/>
    </row>
    <row r="11" spans="1:13" s="23" customFormat="1" ht="18" outlineLevel="1">
      <c r="A11" s="675"/>
      <c r="C11" s="607">
        <v>1.1000000000000001</v>
      </c>
      <c r="D11" s="863" t="s">
        <v>219</v>
      </c>
      <c r="E11" s="864"/>
      <c r="F11" s="865"/>
      <c r="G11" s="224"/>
      <c r="H11" s="508"/>
      <c r="I11" s="509"/>
      <c r="J11" s="608"/>
    </row>
    <row r="12" spans="1:13" s="23" customFormat="1" ht="43.5" customHeight="1" outlineLevel="1">
      <c r="A12" s="675"/>
      <c r="C12" s="607">
        <v>1.2</v>
      </c>
      <c r="D12" s="863" t="s">
        <v>220</v>
      </c>
      <c r="E12" s="864"/>
      <c r="F12" s="865"/>
      <c r="G12" s="225" t="s">
        <v>118</v>
      </c>
      <c r="H12" s="508"/>
      <c r="I12" s="509"/>
      <c r="J12" s="608"/>
    </row>
    <row r="13" spans="1:13" s="23" customFormat="1" ht="60.6" customHeight="1" outlineLevel="1">
      <c r="A13" s="675"/>
      <c r="C13" s="607">
        <v>1.3</v>
      </c>
      <c r="D13" s="863" t="s">
        <v>221</v>
      </c>
      <c r="E13" s="864"/>
      <c r="F13" s="865"/>
      <c r="G13" s="225" t="s">
        <v>118</v>
      </c>
      <c r="H13" s="508"/>
      <c r="I13" s="509"/>
      <c r="J13" s="608"/>
    </row>
    <row r="14" spans="1:13" s="23" customFormat="1" ht="20.25" outlineLevel="1">
      <c r="A14" s="675"/>
      <c r="C14" s="607">
        <v>2</v>
      </c>
      <c r="D14" s="860" t="s">
        <v>222</v>
      </c>
      <c r="E14" s="861"/>
      <c r="F14" s="862"/>
      <c r="G14" s="224"/>
      <c r="H14" s="512"/>
      <c r="I14" s="512"/>
      <c r="J14" s="608"/>
    </row>
    <row r="15" spans="1:13" s="23" customFormat="1" ht="40.35" customHeight="1" outlineLevel="1">
      <c r="A15" s="675"/>
      <c r="C15" s="607">
        <v>2.1</v>
      </c>
      <c r="D15" s="866" t="s">
        <v>223</v>
      </c>
      <c r="E15" s="867"/>
      <c r="F15" s="868"/>
      <c r="G15" s="225" t="s">
        <v>224</v>
      </c>
      <c r="H15" s="508"/>
      <c r="I15" s="509"/>
      <c r="J15" s="608"/>
    </row>
    <row r="16" spans="1:13" s="23" customFormat="1" ht="42" customHeight="1" outlineLevel="1">
      <c r="A16" s="675"/>
      <c r="C16" s="607">
        <v>2.2000000000000002</v>
      </c>
      <c r="D16" s="863" t="s">
        <v>225</v>
      </c>
      <c r="E16" s="864"/>
      <c r="F16" s="865"/>
      <c r="G16" s="225" t="s">
        <v>224</v>
      </c>
      <c r="H16" s="508"/>
      <c r="I16" s="509"/>
      <c r="J16" s="608"/>
    </row>
    <row r="17" spans="1:13" s="23" customFormat="1" ht="41.1" customHeight="1" outlineLevel="1">
      <c r="A17" s="675"/>
      <c r="C17" s="607">
        <v>2.2999999999999998</v>
      </c>
      <c r="D17" s="863" t="s">
        <v>226</v>
      </c>
      <c r="E17" s="864"/>
      <c r="F17" s="865"/>
      <c r="G17" s="225" t="s">
        <v>224</v>
      </c>
      <c r="H17" s="508"/>
      <c r="I17" s="509"/>
      <c r="J17" s="608"/>
    </row>
    <row r="18" spans="1:13" s="23" customFormat="1" ht="54.6" customHeight="1" outlineLevel="1">
      <c r="A18" s="675"/>
      <c r="C18" s="607">
        <v>2.4</v>
      </c>
      <c r="D18" s="863" t="s">
        <v>227</v>
      </c>
      <c r="E18" s="864"/>
      <c r="F18" s="865"/>
      <c r="G18" s="225" t="s">
        <v>224</v>
      </c>
      <c r="H18" s="508"/>
      <c r="I18" s="509"/>
      <c r="J18" s="609"/>
    </row>
    <row r="19" spans="1:13" s="23" customFormat="1" ht="21" outlineLevel="1">
      <c r="A19" s="675"/>
      <c r="C19" s="607">
        <v>3</v>
      </c>
      <c r="D19" s="860" t="s">
        <v>228</v>
      </c>
      <c r="E19" s="861"/>
      <c r="F19" s="862"/>
      <c r="G19" s="225" t="s">
        <v>229</v>
      </c>
      <c r="H19" s="508"/>
      <c r="I19" s="509"/>
      <c r="J19" s="608"/>
    </row>
    <row r="20" spans="1:13" s="24" customFormat="1" ht="13.35" customHeight="1" thickBot="1">
      <c r="A20" s="676"/>
      <c r="C20" s="226"/>
      <c r="D20" s="633"/>
      <c r="E20" s="633"/>
      <c r="F20" s="633"/>
      <c r="G20" s="227"/>
      <c r="H20" s="227"/>
      <c r="I20" s="227"/>
      <c r="J20" s="228"/>
      <c r="K20" s="217"/>
      <c r="L20" s="217"/>
      <c r="M20" s="217"/>
    </row>
    <row r="21" spans="1:13">
      <c r="A21" s="542"/>
    </row>
    <row r="22" spans="1:13" s="23" customFormat="1">
      <c r="A22" s="675"/>
      <c r="G22" s="217"/>
    </row>
    <row r="23" spans="1:13" s="23" customFormat="1" ht="16.5" outlineLevel="1">
      <c r="A23" s="675"/>
      <c r="B23" s="219" t="s">
        <v>132</v>
      </c>
      <c r="C23" s="467" t="s">
        <v>230</v>
      </c>
    </row>
    <row r="24" spans="1:13" s="23" customFormat="1" ht="15" customHeight="1" outlineLevel="1" thickBot="1">
      <c r="A24" s="675"/>
      <c r="C24" s="856" t="s">
        <v>231</v>
      </c>
      <c r="D24" s="856"/>
      <c r="E24" s="856"/>
      <c r="F24" s="856"/>
      <c r="G24" s="724"/>
      <c r="H24" s="440" t="s">
        <v>123</v>
      </c>
      <c r="I24" s="229" t="s">
        <v>124</v>
      </c>
      <c r="J24" s="229" t="s">
        <v>232</v>
      </c>
      <c r="K24" s="229" t="s">
        <v>126</v>
      </c>
      <c r="L24" s="229" t="s">
        <v>233</v>
      </c>
      <c r="M24" s="229" t="s">
        <v>234</v>
      </c>
    </row>
    <row r="25" spans="1:13" s="25" customFormat="1" ht="38.25" outlineLevel="1">
      <c r="A25" s="677"/>
      <c r="C25" s="769" t="s">
        <v>235</v>
      </c>
      <c r="D25" s="770" t="s">
        <v>236</v>
      </c>
      <c r="E25" s="770" t="s">
        <v>237</v>
      </c>
      <c r="F25" s="770" t="s">
        <v>238</v>
      </c>
      <c r="G25" s="771" t="s">
        <v>239</v>
      </c>
      <c r="H25" s="771" t="s">
        <v>240</v>
      </c>
      <c r="I25" s="772" t="s">
        <v>241</v>
      </c>
      <c r="J25" s="772" t="s">
        <v>242</v>
      </c>
      <c r="K25" s="772" t="s">
        <v>243</v>
      </c>
      <c r="L25" s="772" t="s">
        <v>244</v>
      </c>
      <c r="M25" s="773" t="s">
        <v>245</v>
      </c>
    </row>
    <row r="26" spans="1:13" s="23" customFormat="1" outlineLevel="1">
      <c r="A26" s="675"/>
      <c r="C26" s="610"/>
      <c r="D26" s="525"/>
      <c r="E26" s="525"/>
      <c r="F26" s="525"/>
      <c r="G26" s="526"/>
      <c r="H26" s="526"/>
      <c r="I26" s="526"/>
      <c r="J26" s="611">
        <f>(H26+I26)/2</f>
        <v>0</v>
      </c>
      <c r="K26" s="612"/>
      <c r="L26" s="529"/>
      <c r="M26" s="613">
        <f>J26*K26*L26</f>
        <v>0</v>
      </c>
    </row>
    <row r="27" spans="1:13" s="23" customFormat="1" outlineLevel="1">
      <c r="A27" s="675"/>
      <c r="C27" s="610"/>
      <c r="D27" s="525"/>
      <c r="E27" s="525"/>
      <c r="F27" s="525"/>
      <c r="G27" s="526"/>
      <c r="H27" s="526"/>
      <c r="I27" s="526"/>
      <c r="J27" s="611">
        <f t="shared" ref="J27:J29" si="0">(H27+I27)/2</f>
        <v>0</v>
      </c>
      <c r="K27" s="614"/>
      <c r="L27" s="529"/>
      <c r="M27" s="613">
        <f t="shared" ref="M27:M29" si="1">J27*K27*L27</f>
        <v>0</v>
      </c>
    </row>
    <row r="28" spans="1:13" s="23" customFormat="1" outlineLevel="1">
      <c r="A28" s="675"/>
      <c r="C28" s="610"/>
      <c r="D28" s="525"/>
      <c r="E28" s="525"/>
      <c r="F28" s="525"/>
      <c r="G28" s="526"/>
      <c r="H28" s="526"/>
      <c r="I28" s="526"/>
      <c r="J28" s="611">
        <f t="shared" si="0"/>
        <v>0</v>
      </c>
      <c r="K28" s="614"/>
      <c r="L28" s="529"/>
      <c r="M28" s="613">
        <f>J28*K28*L28</f>
        <v>0</v>
      </c>
    </row>
    <row r="29" spans="1:13" s="23" customFormat="1" ht="13.5" outlineLevel="1" thickBot="1">
      <c r="A29" s="675"/>
      <c r="C29" s="390"/>
      <c r="D29" s="391"/>
      <c r="E29" s="391"/>
      <c r="F29" s="391"/>
      <c r="G29" s="392"/>
      <c r="H29" s="392"/>
      <c r="I29" s="392"/>
      <c r="J29" s="393">
        <f t="shared" si="0"/>
        <v>0</v>
      </c>
      <c r="K29" s="394"/>
      <c r="L29" s="395"/>
      <c r="M29" s="396">
        <f t="shared" si="1"/>
        <v>0</v>
      </c>
    </row>
    <row r="30" spans="1:13" s="23" customFormat="1" outlineLevel="1">
      <c r="A30" s="675"/>
      <c r="C30" s="217"/>
      <c r="D30" s="217"/>
      <c r="E30" s="217"/>
      <c r="F30" s="217"/>
      <c r="H30" s="230"/>
      <c r="I30" s="231"/>
      <c r="J30" s="230"/>
      <c r="K30" s="217"/>
      <c r="L30" s="217"/>
      <c r="M30" s="231"/>
    </row>
    <row r="31" spans="1:13" s="23" customFormat="1" ht="17.25" outlineLevel="1" thickBot="1">
      <c r="A31" s="675"/>
      <c r="F31" s="232" t="s">
        <v>246</v>
      </c>
      <c r="G31" s="233"/>
      <c r="H31" s="397">
        <f>SUM(H26:H29)</f>
        <v>0</v>
      </c>
      <c r="I31" s="234"/>
      <c r="J31" s="234"/>
      <c r="M31" s="397">
        <f>SUM(M26:M29)</f>
        <v>0</v>
      </c>
    </row>
    <row r="32" spans="1:13" s="23" customFormat="1" ht="17.25" outlineLevel="1" thickTop="1">
      <c r="A32" s="675"/>
      <c r="F32" s="235" t="s">
        <v>247</v>
      </c>
      <c r="G32" s="236" t="s">
        <v>248</v>
      </c>
      <c r="H32" s="237"/>
      <c r="J32" s="235"/>
      <c r="L32" s="238"/>
      <c r="M32" s="131" t="s">
        <v>105</v>
      </c>
    </row>
    <row r="33" spans="1:14" s="23" customFormat="1" outlineLevel="1">
      <c r="A33" s="675"/>
      <c r="G33" s="235" t="s">
        <v>201</v>
      </c>
      <c r="H33" s="239">
        <f>H31-H32</f>
        <v>0</v>
      </c>
      <c r="I33" s="239"/>
      <c r="L33" s="235"/>
      <c r="M33" s="239"/>
    </row>
    <row r="34" spans="1:14" s="23" customFormat="1">
      <c r="A34" s="675"/>
      <c r="F34" s="240"/>
      <c r="J34" s="241"/>
      <c r="K34" s="241"/>
    </row>
    <row r="35" spans="1:14" s="23" customFormat="1">
      <c r="A35" s="675"/>
      <c r="F35" s="240"/>
      <c r="I35" s="241"/>
      <c r="J35" s="241"/>
    </row>
    <row r="36" spans="1:14" s="23" customFormat="1" ht="16.5" outlineLevel="1">
      <c r="A36" s="675"/>
      <c r="B36" s="219" t="s">
        <v>249</v>
      </c>
      <c r="C36" s="467" t="s">
        <v>250</v>
      </c>
      <c r="H36" s="440" t="s">
        <v>123</v>
      </c>
      <c r="I36" s="440" t="s">
        <v>124</v>
      </c>
      <c r="J36" s="440"/>
      <c r="K36" s="440"/>
      <c r="L36" s="440" t="s">
        <v>251</v>
      </c>
      <c r="M36" s="440" t="s">
        <v>126</v>
      </c>
      <c r="N36" s="440" t="s">
        <v>252</v>
      </c>
    </row>
    <row r="37" spans="1:14" s="23" customFormat="1" ht="13.5" outlineLevel="1" thickBot="1">
      <c r="A37" s="675"/>
      <c r="C37" s="724" t="s">
        <v>253</v>
      </c>
      <c r="D37" s="724"/>
      <c r="E37" s="724"/>
      <c r="F37" s="724"/>
      <c r="G37" s="724"/>
      <c r="H37" s="724"/>
      <c r="K37" s="241"/>
      <c r="L37" s="242">
        <f>DATE(YEAR(汇总!D5)-1,12,31)+1</f>
        <v>45292</v>
      </c>
      <c r="N37" s="440"/>
    </row>
    <row r="38" spans="1:14" s="26" customFormat="1" ht="38.25" outlineLevel="1">
      <c r="A38" s="678"/>
      <c r="C38" s="520" t="s">
        <v>235</v>
      </c>
      <c r="D38" s="521" t="s">
        <v>236</v>
      </c>
      <c r="E38" s="521" t="s">
        <v>237</v>
      </c>
      <c r="F38" s="521" t="s">
        <v>238</v>
      </c>
      <c r="G38" s="522" t="s">
        <v>239</v>
      </c>
      <c r="H38" s="522" t="s">
        <v>240</v>
      </c>
      <c r="I38" s="522" t="s">
        <v>254</v>
      </c>
      <c r="J38" s="522" t="s">
        <v>255</v>
      </c>
      <c r="K38" s="522" t="s">
        <v>256</v>
      </c>
      <c r="L38" s="522" t="s">
        <v>257</v>
      </c>
      <c r="M38" s="523" t="s">
        <v>244</v>
      </c>
      <c r="N38" s="559" t="s">
        <v>245</v>
      </c>
    </row>
    <row r="39" spans="1:14" s="23" customFormat="1" outlineLevel="1">
      <c r="A39" s="675"/>
      <c r="C39" s="524"/>
      <c r="D39" s="525"/>
      <c r="E39" s="525"/>
      <c r="F39" s="525"/>
      <c r="G39" s="526"/>
      <c r="H39" s="526"/>
      <c r="I39" s="527"/>
      <c r="J39" s="528"/>
      <c r="K39" s="528"/>
      <c r="L39" s="519" t="str" cm="1">
        <f t="array" ref="L39">IFERROR(_xlfn.IFS((J39&lt;$L$37)*(K39&lt;汇总!$D$5),DATEDIF($L$37,K39,"D"),(J39&lt;$L$37)*(K39&gt;=汇总!$D$5),DATEDIF($L$37,汇总!$D$5,"D"),(J39&gt;=$L$37)*(K39&lt;汇总!$D$5),DATEDIF(J39,K39,"D"),(J39&gt;=$L$37)*(K39&gt;=汇总!$D$5),DATEDIF(J39,汇总!$D$5,"D"))+1,"")</f>
        <v/>
      </c>
      <c r="M39" s="529"/>
      <c r="N39" s="530">
        <f>IFERROR(H39*I39*L39/360,0)*M39</f>
        <v>0</v>
      </c>
    </row>
    <row r="40" spans="1:14" s="23" customFormat="1" outlineLevel="1">
      <c r="A40" s="675"/>
      <c r="C40" s="524"/>
      <c r="D40" s="525"/>
      <c r="E40" s="525"/>
      <c r="F40" s="525"/>
      <c r="G40" s="526"/>
      <c r="H40" s="526"/>
      <c r="I40" s="527"/>
      <c r="J40" s="528"/>
      <c r="K40" s="528"/>
      <c r="L40" s="519" t="str" cm="1">
        <f t="array" ref="L40">IFERROR(_xlfn.IFS((J40&lt;$L$37)*(K40&lt;汇总!$D$5),DATEDIF($L$37,K40,"D"),(J40&lt;$L$37)*(K40&gt;=汇总!$D$5),DATEDIF($L$37,汇总!$D$5,"D"),(J40&gt;=$L$37)*(K40&lt;汇总!$D$5),DATEDIF(J40,K40,"D"),(J40&gt;=$L$37)*(K40&gt;=汇总!$D$5),DATEDIF(J40,汇总!$D$5,"D"))+1,"")</f>
        <v/>
      </c>
      <c r="M40" s="529"/>
      <c r="N40" s="530">
        <f>IFERROR(H40*I40*L40/360,0)*M40</f>
        <v>0</v>
      </c>
    </row>
    <row r="41" spans="1:14" s="23" customFormat="1" outlineLevel="1">
      <c r="A41" s="675"/>
      <c r="C41" s="524"/>
      <c r="D41" s="525"/>
      <c r="E41" s="525"/>
      <c r="F41" s="525"/>
      <c r="G41" s="526"/>
      <c r="H41" s="526"/>
      <c r="I41" s="527"/>
      <c r="J41" s="528"/>
      <c r="K41" s="528"/>
      <c r="L41" s="519" t="str" cm="1">
        <f t="array" ref="L41">IFERROR(_xlfn.IFS((J41&lt;$L$37)*(K41&lt;汇总!$D$5),DATEDIF($L$37,K41,"D"),(J41&lt;$L$37)*(K41&gt;=汇总!$D$5),DATEDIF($L$37,汇总!$D$5,"D"),(J41&gt;=$L$37)*(K41&lt;汇总!$D$5),DATEDIF(J41,K41,"D"),(J41&gt;=$L$37)*(K41&gt;=汇总!$D$5),DATEDIF(J41,汇总!$D$5,"D"))+1,"")</f>
        <v/>
      </c>
      <c r="M41" s="529"/>
      <c r="N41" s="530">
        <f>IFERROR(H41*I41*L41/360,0)*M41</f>
        <v>0</v>
      </c>
    </row>
    <row r="42" spans="1:14" s="23" customFormat="1" outlineLevel="1">
      <c r="A42" s="675"/>
      <c r="C42" s="524"/>
      <c r="D42" s="525"/>
      <c r="E42" s="525"/>
      <c r="F42" s="525"/>
      <c r="G42" s="526"/>
      <c r="H42" s="526"/>
      <c r="I42" s="527"/>
      <c r="J42" s="528"/>
      <c r="K42" s="528"/>
      <c r="L42" s="519" t="str" cm="1">
        <f t="array" ref="L42">IFERROR(_xlfn.IFS((J42&lt;$L$37)*(K42&lt;汇总!$D$5),DATEDIF($L$37,K42,"D"),(J42&lt;$L$37)*(K42&gt;=汇总!$D$5),DATEDIF($L$37,汇总!$D$5,"D"),(J42&gt;=$L$37)*(K42&lt;汇总!$D$5),DATEDIF(J42,K42,"D"),(J42&gt;=$L$37)*(K42&gt;=汇总!$D$5),DATEDIF(J42,汇总!$D$5,"D"))+1,"")</f>
        <v/>
      </c>
      <c r="M42" s="519"/>
      <c r="N42" s="530">
        <f t="shared" ref="N42:N43" si="2">IFERROR(H42*I42*L42/360,0)*M42</f>
        <v>0</v>
      </c>
    </row>
    <row r="43" spans="1:14" s="23" customFormat="1" ht="13.5" outlineLevel="1" thickBot="1">
      <c r="A43" s="675"/>
      <c r="C43" s="531"/>
      <c r="D43" s="532"/>
      <c r="E43" s="532"/>
      <c r="F43" s="532"/>
      <c r="G43" s="533"/>
      <c r="H43" s="533"/>
      <c r="I43" s="534"/>
      <c r="J43" s="535"/>
      <c r="K43" s="535"/>
      <c r="L43" s="536" t="str" cm="1">
        <f t="array" ref="L43">IFERROR(_xlfn.IFS((J43&lt;$L$37)*(K43&lt;汇总!$D$5),DATEDIF($L$37,K43,"D"),(J43&lt;$L$37)*(K43&gt;=汇总!$D$5),DATEDIF($L$37,汇总!$D$5,"D"),(J43&gt;=$L$37)*(K43&lt;汇总!$D$5),DATEDIF(J43,K43,"D"),(J43&gt;=$L$37)*(K43&gt;=汇总!$D$5),DATEDIF(J43,汇总!$D$5,"D"))+1,"")</f>
        <v/>
      </c>
      <c r="M43" s="536"/>
      <c r="N43" s="537">
        <f t="shared" si="2"/>
        <v>0</v>
      </c>
    </row>
    <row r="44" spans="1:14" s="23" customFormat="1" outlineLevel="1">
      <c r="A44" s="675"/>
      <c r="C44" s="217"/>
      <c r="D44" s="217"/>
      <c r="E44" s="217"/>
      <c r="F44" s="217"/>
      <c r="G44" s="230"/>
      <c r="H44" s="230"/>
      <c r="I44" s="217"/>
      <c r="J44" s="217"/>
      <c r="K44" s="217"/>
      <c r="L44" s="217"/>
      <c r="N44" s="230"/>
    </row>
    <row r="45" spans="1:14" s="23" customFormat="1" ht="17.25" outlineLevel="1" thickBot="1">
      <c r="A45" s="675"/>
      <c r="D45" s="243"/>
      <c r="F45" s="244" t="s">
        <v>246</v>
      </c>
      <c r="G45" s="230"/>
      <c r="H45" s="398">
        <f>SUM(H39:H43)</f>
        <v>0</v>
      </c>
      <c r="N45" s="399">
        <f>SUM(N39:N43)</f>
        <v>0</v>
      </c>
    </row>
    <row r="46" spans="1:14" s="23" customFormat="1" ht="17.25" outlineLevel="1" thickTop="1">
      <c r="A46" s="675"/>
      <c r="F46" s="245" t="s">
        <v>247</v>
      </c>
      <c r="G46" s="246" t="s">
        <v>258</v>
      </c>
      <c r="H46" s="247"/>
      <c r="N46" s="131" t="s">
        <v>105</v>
      </c>
    </row>
    <row r="47" spans="1:14" s="23" customFormat="1" ht="16.5" outlineLevel="1">
      <c r="A47" s="675"/>
      <c r="F47" s="217"/>
      <c r="G47" s="245" t="s">
        <v>201</v>
      </c>
      <c r="H47" s="239">
        <f>H45-H46</f>
        <v>0</v>
      </c>
      <c r="L47" s="235" t="s">
        <v>259</v>
      </c>
      <c r="M47" s="248" t="s">
        <v>260</v>
      </c>
      <c r="N47" s="237"/>
    </row>
    <row r="48" spans="1:14" s="23" customFormat="1" ht="16.5" outlineLevel="1">
      <c r="A48" s="675"/>
      <c r="M48" s="236" t="s">
        <v>261</v>
      </c>
      <c r="N48" s="237"/>
    </row>
    <row r="49" spans="1:14" s="23" customFormat="1" ht="16.5" outlineLevel="1">
      <c r="A49" s="675"/>
      <c r="J49" s="241"/>
      <c r="M49" s="248" t="s">
        <v>262</v>
      </c>
      <c r="N49" s="237"/>
    </row>
    <row r="50" spans="1:14" s="23" customFormat="1" ht="17.25" outlineLevel="1" thickBot="1">
      <c r="A50" s="675"/>
      <c r="J50" s="241"/>
      <c r="L50" s="241"/>
      <c r="M50" s="236" t="s">
        <v>263</v>
      </c>
      <c r="N50" s="399">
        <f>SUM(N47:N49)</f>
        <v>0</v>
      </c>
    </row>
    <row r="51" spans="1:14" s="23" customFormat="1" ht="13.5" outlineLevel="1" thickTop="1">
      <c r="A51" s="675"/>
      <c r="L51" s="241"/>
      <c r="M51" s="234"/>
      <c r="N51" s="131" t="s">
        <v>105</v>
      </c>
    </row>
    <row r="52" spans="1:14" s="23" customFormat="1">
      <c r="A52" s="675"/>
      <c r="L52" s="241"/>
      <c r="M52" s="245" t="s">
        <v>264</v>
      </c>
      <c r="N52" s="239">
        <f>IFERROR(N45+M31-N50,0)</f>
        <v>0</v>
      </c>
    </row>
    <row r="53" spans="1:14" s="23" customFormat="1" ht="16.5" outlineLevel="1">
      <c r="A53" s="675"/>
      <c r="B53" s="219" t="s">
        <v>190</v>
      </c>
      <c r="C53" s="249" t="s">
        <v>265</v>
      </c>
      <c r="D53" s="217"/>
      <c r="E53" s="217"/>
      <c r="N53" s="250" t="s">
        <v>99</v>
      </c>
    </row>
    <row r="54" spans="1:14" s="23" customFormat="1" outlineLevel="1">
      <c r="A54" s="675"/>
      <c r="C54" s="217"/>
      <c r="K54" s="241"/>
      <c r="L54" s="217"/>
      <c r="M54" s="217"/>
      <c r="N54" s="217"/>
    </row>
    <row r="55" spans="1:14">
      <c r="A55" s="542"/>
    </row>
    <row r="56" spans="1:14">
      <c r="A56" s="542"/>
    </row>
    <row r="57" spans="1:14">
      <c r="A57" s="542"/>
    </row>
    <row r="58" spans="1:14">
      <c r="A58" s="542"/>
    </row>
    <row r="59" spans="1:14">
      <c r="A59" s="542"/>
    </row>
    <row r="60" spans="1:14" ht="13.5" thickBot="1">
      <c r="A60" s="542"/>
    </row>
    <row r="61" spans="1:14">
      <c r="A61" s="542"/>
      <c r="B61" s="245" t="s">
        <v>155</v>
      </c>
      <c r="C61" s="847"/>
      <c r="D61" s="848"/>
      <c r="E61" s="848"/>
      <c r="F61" s="848"/>
      <c r="G61" s="849"/>
    </row>
    <row r="62" spans="1:14">
      <c r="A62" s="542"/>
      <c r="C62" s="850"/>
      <c r="D62" s="851"/>
      <c r="E62" s="851"/>
      <c r="F62" s="851"/>
      <c r="G62" s="852"/>
    </row>
    <row r="63" spans="1:14" ht="13.5" thickBot="1">
      <c r="A63" s="542"/>
      <c r="C63" s="853"/>
      <c r="D63" s="854"/>
      <c r="E63" s="854"/>
      <c r="F63" s="854"/>
      <c r="G63" s="855"/>
    </row>
  </sheetData>
  <sheetProtection autoFilter="0"/>
  <mergeCells count="13">
    <mergeCell ref="C61:G63"/>
    <mergeCell ref="C24:F24"/>
    <mergeCell ref="D9:F9"/>
    <mergeCell ref="D10:F10"/>
    <mergeCell ref="D11:F11"/>
    <mergeCell ref="D12:F12"/>
    <mergeCell ref="D13:F13"/>
    <mergeCell ref="D14:F14"/>
    <mergeCell ref="D15:F15"/>
    <mergeCell ref="D16:F16"/>
    <mergeCell ref="D17:F17"/>
    <mergeCell ref="D18:F18"/>
    <mergeCell ref="D19:F19"/>
  </mergeCells>
  <phoneticPr fontId="136" type="noConversion"/>
  <conditionalFormatting sqref="G10 H10:I13 G12:G13 G15:I19 C26:I29 K26:L29 H32 C39:K43 M39:M43 H46 N47:N49 C61:G63">
    <cfRule type="containsBlanks" dxfId="11" priority="1">
      <formula>LEN(TRIM(C10))=0</formula>
    </cfRule>
  </conditionalFormatting>
  <dataValidations count="2">
    <dataValidation type="list" allowBlank="1" showInputMessage="1" sqref="I15:I19 I10:I13" xr:uid="{F65076DB-83D7-4D13-8347-31663C4C583C}">
      <formula1>"是,不适用"</formula1>
    </dataValidation>
    <dataValidation type="list" allowBlank="1" showInputMessage="1" sqref="H15:H19 H10:H13" xr:uid="{F531FFAD-0D4D-460F-BB15-AA50036B7975}">
      <formula1>"是,否"</formula1>
    </dataValidation>
  </dataValidations>
  <hyperlinks>
    <hyperlink ref="J2" location="汇总!A1" display="返回汇总页" xr:uid="{00000000-0004-0000-09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DY117"/>
  <sheetViews>
    <sheetView showGridLines="0" zoomScale="70" zoomScaleNormal="70" workbookViewId="0">
      <selection activeCell="L19" sqref="L19"/>
    </sheetView>
  </sheetViews>
  <sheetFormatPr defaultColWidth="9.5703125" defaultRowHeight="12.6" customHeight="1" outlineLevelRow="1"/>
  <cols>
    <col min="1" max="1" width="0.140625" style="164" customWidth="1"/>
    <col min="2" max="2" width="6.7109375" style="19" customWidth="1"/>
    <col min="3" max="3" width="20" style="19" customWidth="1"/>
    <col min="4" max="4" width="38.7109375" style="19" customWidth="1"/>
    <col min="5" max="5" width="22" style="19" customWidth="1"/>
    <col min="6" max="6" width="18.85546875" style="19" customWidth="1"/>
    <col min="7" max="7" width="27.5703125" style="19" customWidth="1"/>
    <col min="8" max="8" width="19.7109375" style="19" customWidth="1"/>
    <col min="9" max="9" width="19.85546875" style="19" customWidth="1"/>
    <col min="10" max="10" width="21.7109375" style="19" customWidth="1"/>
    <col min="11" max="11" width="19.7109375" style="19" customWidth="1"/>
    <col min="12" max="14" width="12.85546875" style="19" customWidth="1"/>
    <col min="15" max="16" width="13.7109375" style="19" customWidth="1"/>
    <col min="17" max="18" width="14.28515625" style="19" customWidth="1"/>
    <col min="19" max="19" width="22.85546875" style="19" customWidth="1"/>
    <col min="20" max="20" width="14.85546875" style="19" customWidth="1"/>
    <col min="21" max="21" width="8.7109375" style="19" customWidth="1"/>
    <col min="22" max="22" width="10.5703125" style="19" customWidth="1"/>
    <col min="23" max="23" width="10" style="19" customWidth="1"/>
    <col min="24" max="24" width="8.7109375" style="19" customWidth="1"/>
    <col min="25" max="25" width="11.140625" style="19" customWidth="1"/>
    <col min="26" max="28" width="10.140625" style="19" customWidth="1"/>
    <col min="29" max="29" width="13.140625" style="19" customWidth="1"/>
    <col min="30" max="34" width="8.7109375" style="19" customWidth="1"/>
    <col min="35" max="36" width="13.28515625" style="19" customWidth="1"/>
    <col min="37" max="37" width="10.42578125" style="19" customWidth="1"/>
    <col min="38" max="38" width="11.7109375" style="19" customWidth="1"/>
    <col min="39" max="39" width="7.5703125" style="19" customWidth="1"/>
    <col min="40" max="40" width="8.85546875" style="19" customWidth="1"/>
    <col min="41" max="16384" width="9.5703125" style="19"/>
  </cols>
  <sheetData>
    <row r="1" spans="1:129" ht="12.6" customHeight="1">
      <c r="A1" s="540" t="s">
        <v>266</v>
      </c>
      <c r="CW1" s="141"/>
      <c r="CX1" s="6"/>
      <c r="CY1" s="6"/>
      <c r="CZ1" s="142"/>
      <c r="DA1" s="143"/>
      <c r="DB1" s="143"/>
      <c r="DC1" s="143"/>
      <c r="DD1" s="143"/>
      <c r="DE1" s="143"/>
      <c r="DF1" s="143"/>
      <c r="DG1" s="143"/>
      <c r="DH1" s="6"/>
      <c r="DI1" s="143"/>
      <c r="DJ1" s="143"/>
      <c r="DK1" s="143"/>
      <c r="DL1" s="143"/>
      <c r="DM1" s="143"/>
      <c r="DN1" s="143"/>
      <c r="DO1" s="6"/>
      <c r="DP1" s="144"/>
      <c r="DQ1" s="145"/>
      <c r="DR1" s="146"/>
      <c r="DS1" s="146"/>
      <c r="DT1" s="6"/>
      <c r="DU1" s="143"/>
      <c r="DV1" s="147"/>
      <c r="DW1" s="148"/>
      <c r="DX1" s="143"/>
      <c r="DY1" s="149"/>
    </row>
    <row r="2" spans="1:129" s="9" customFormat="1" ht="17.850000000000001" customHeight="1">
      <c r="A2" s="539"/>
      <c r="C2" s="473"/>
      <c r="J2" s="48" t="s">
        <v>108</v>
      </c>
    </row>
    <row r="3" spans="1:129" ht="12.6" customHeight="1" thickBot="1">
      <c r="A3" s="540"/>
      <c r="CR3" s="143"/>
      <c r="CS3" s="6"/>
      <c r="CT3" s="6"/>
      <c r="CU3" s="143"/>
      <c r="CV3" s="143"/>
      <c r="CW3" s="143"/>
      <c r="CX3" s="143"/>
      <c r="CY3" s="143"/>
      <c r="CZ3" s="143"/>
      <c r="DA3" s="143"/>
      <c r="DB3" s="143"/>
      <c r="DC3" s="6"/>
      <c r="DD3" s="143"/>
      <c r="DE3" s="143"/>
      <c r="DF3" s="143"/>
      <c r="DG3" s="143"/>
      <c r="DH3" s="143"/>
      <c r="DI3" s="6"/>
      <c r="DJ3" s="6"/>
      <c r="DK3" s="6"/>
      <c r="DL3" s="6"/>
      <c r="DM3" s="6"/>
      <c r="DN3" s="6"/>
      <c r="DO3" s="6"/>
      <c r="DP3" s="6"/>
      <c r="DQ3" s="6"/>
      <c r="DR3" s="150"/>
      <c r="DS3" s="143"/>
      <c r="DT3" s="149"/>
    </row>
    <row r="4" spans="1:129" ht="21">
      <c r="A4" s="540"/>
      <c r="C4" s="757" t="s">
        <v>159</v>
      </c>
      <c r="D4" s="758"/>
      <c r="E4" s="758"/>
      <c r="F4" s="758"/>
      <c r="G4" s="758"/>
      <c r="H4" s="758"/>
      <c r="I4" s="758"/>
      <c r="J4" s="759"/>
      <c r="K4" s="151"/>
      <c r="L4" s="151"/>
      <c r="M4" s="151"/>
      <c r="CT4" s="6"/>
      <c r="CU4" s="6"/>
      <c r="CV4" s="6"/>
      <c r="CW4" s="143"/>
      <c r="CX4" s="143"/>
      <c r="CY4" s="143"/>
      <c r="CZ4" s="143"/>
      <c r="DA4" s="143"/>
      <c r="DB4" s="143"/>
      <c r="DC4" s="143"/>
      <c r="DD4" s="143"/>
      <c r="DE4" s="6"/>
      <c r="DF4" s="143"/>
      <c r="DG4" s="143"/>
      <c r="DH4" s="143"/>
      <c r="DI4" s="143"/>
      <c r="DJ4" s="143"/>
      <c r="DK4" s="6"/>
      <c r="DL4" s="6"/>
      <c r="DM4" s="6"/>
      <c r="DN4" s="6"/>
      <c r="DO4" s="6"/>
      <c r="DP4" s="6"/>
      <c r="DQ4" s="6"/>
      <c r="DR4" s="6"/>
      <c r="DS4" s="6"/>
      <c r="DT4" s="150"/>
      <c r="DU4" s="6"/>
      <c r="DV4" s="6"/>
    </row>
    <row r="5" spans="1:129" ht="17.25" customHeight="1">
      <c r="A5" s="540"/>
      <c r="C5" s="49" t="s">
        <v>267</v>
      </c>
      <c r="D5" s="152"/>
      <c r="E5" s="152"/>
      <c r="F5" s="152"/>
      <c r="G5" s="152"/>
      <c r="H5" s="152"/>
      <c r="I5" s="152"/>
      <c r="J5" s="153"/>
      <c r="K5" s="151"/>
      <c r="L5" s="843"/>
      <c r="M5" s="843"/>
      <c r="N5" s="843"/>
      <c r="O5" s="842"/>
      <c r="CT5" s="6"/>
      <c r="CU5" s="6"/>
      <c r="CV5" s="154"/>
      <c r="CW5" s="143"/>
      <c r="CX5" s="143"/>
      <c r="CY5" s="143"/>
      <c r="CZ5" s="143"/>
      <c r="DA5" s="143"/>
      <c r="DB5" s="143"/>
      <c r="DC5" s="143"/>
      <c r="DD5" s="143"/>
      <c r="DE5" s="6"/>
      <c r="DF5" s="143"/>
      <c r="DG5" s="143"/>
      <c r="DH5" s="143"/>
      <c r="DI5" s="143"/>
      <c r="DJ5" s="143"/>
      <c r="DK5" s="6"/>
      <c r="DL5" s="6"/>
      <c r="DM5" s="6"/>
      <c r="DN5" s="6"/>
      <c r="DO5" s="6"/>
      <c r="DP5" s="6"/>
      <c r="DQ5" s="6"/>
      <c r="DR5" s="6"/>
      <c r="DS5" s="6"/>
      <c r="DT5" s="150"/>
      <c r="DU5" s="6"/>
      <c r="DV5" s="6"/>
    </row>
    <row r="6" spans="1:129" ht="17.25" customHeight="1">
      <c r="A6" s="540"/>
      <c r="C6" s="49" t="s">
        <v>194</v>
      </c>
      <c r="D6" s="152"/>
      <c r="E6" s="152"/>
      <c r="F6" s="152"/>
      <c r="G6" s="152"/>
      <c r="H6" s="152"/>
      <c r="I6" s="152"/>
      <c r="J6" s="153"/>
      <c r="K6" s="151"/>
      <c r="L6" s="843"/>
      <c r="M6" s="843"/>
      <c r="N6" s="843"/>
      <c r="O6" s="842"/>
      <c r="CT6" s="6"/>
      <c r="CU6" s="154"/>
      <c r="CV6" s="154"/>
      <c r="CW6" s="143"/>
      <c r="CX6" s="143"/>
      <c r="CY6" s="143"/>
      <c r="CZ6" s="143"/>
      <c r="DA6" s="143"/>
      <c r="DB6" s="143"/>
      <c r="DC6" s="143"/>
      <c r="DD6" s="143"/>
      <c r="DE6" s="154"/>
      <c r="DF6" s="143"/>
      <c r="DG6" s="143"/>
      <c r="DH6" s="143"/>
      <c r="DI6" s="143"/>
      <c r="DJ6" s="143"/>
      <c r="DK6" s="154"/>
      <c r="DL6" s="6"/>
      <c r="DM6" s="6"/>
      <c r="DN6" s="6"/>
      <c r="DO6" s="6"/>
      <c r="DP6" s="6"/>
      <c r="DQ6" s="154"/>
      <c r="DR6" s="154"/>
      <c r="DS6" s="154"/>
      <c r="DT6" s="155"/>
      <c r="DU6" s="6"/>
      <c r="DV6" s="6"/>
    </row>
    <row r="7" spans="1:129" ht="12.6" customHeight="1">
      <c r="A7" s="540"/>
      <c r="C7" s="49"/>
      <c r="D7" s="152"/>
      <c r="E7" s="152"/>
      <c r="F7" s="152"/>
      <c r="G7" s="152"/>
      <c r="H7" s="152"/>
      <c r="I7" s="152"/>
      <c r="J7" s="153"/>
      <c r="K7" s="151"/>
      <c r="L7" s="353"/>
      <c r="M7" s="156"/>
      <c r="N7" s="156"/>
      <c r="O7" s="156"/>
      <c r="CT7" s="6"/>
      <c r="CU7" s="154"/>
      <c r="CV7" s="154"/>
      <c r="CW7" s="143"/>
      <c r="CX7" s="143"/>
      <c r="CY7" s="143"/>
      <c r="CZ7" s="143"/>
      <c r="DA7" s="143"/>
      <c r="DB7" s="143"/>
      <c r="DC7" s="143"/>
      <c r="DD7" s="143"/>
      <c r="DE7" s="154"/>
      <c r="DF7" s="143"/>
      <c r="DG7" s="143"/>
      <c r="DH7" s="143"/>
      <c r="DI7" s="143"/>
      <c r="DJ7" s="143"/>
      <c r="DK7" s="154"/>
      <c r="DL7" s="6"/>
      <c r="DM7" s="6"/>
      <c r="DN7" s="6"/>
      <c r="DO7" s="6"/>
      <c r="DP7" s="6"/>
      <c r="DQ7" s="154"/>
      <c r="DR7" s="154"/>
      <c r="DS7" s="154"/>
      <c r="DT7" s="155"/>
      <c r="DU7" s="6"/>
      <c r="DV7" s="6"/>
    </row>
    <row r="8" spans="1:129" ht="21">
      <c r="A8" s="540"/>
      <c r="C8" s="513" t="s">
        <v>111</v>
      </c>
      <c r="D8" s="845" t="s">
        <v>112</v>
      </c>
      <c r="E8" s="845"/>
      <c r="F8" s="845"/>
      <c r="G8" s="157" t="s">
        <v>113</v>
      </c>
      <c r="H8" s="507" t="s">
        <v>114</v>
      </c>
      <c r="I8" s="507" t="s">
        <v>115</v>
      </c>
      <c r="J8" s="514" t="s">
        <v>116</v>
      </c>
      <c r="K8" s="158"/>
      <c r="L8" s="151"/>
      <c r="M8" s="151"/>
      <c r="N8" s="151"/>
      <c r="CU8" s="7"/>
      <c r="CV8" s="7"/>
      <c r="CW8" s="7"/>
      <c r="CX8" s="143"/>
      <c r="CY8" s="143"/>
      <c r="CZ8" s="143"/>
      <c r="DA8" s="143"/>
      <c r="DB8" s="143"/>
      <c r="DC8" s="143"/>
      <c r="DD8" s="143"/>
      <c r="DE8" s="143"/>
      <c r="DF8" s="7"/>
      <c r="DG8" s="143"/>
      <c r="DH8" s="143"/>
      <c r="DI8" s="143"/>
      <c r="DJ8" s="143"/>
      <c r="DK8" s="143"/>
      <c r="DL8" s="7"/>
      <c r="DM8" s="154"/>
      <c r="DN8" s="154"/>
      <c r="DO8" s="154"/>
      <c r="DP8" s="154"/>
      <c r="DQ8" s="154"/>
      <c r="DR8" s="7"/>
      <c r="DS8" s="7"/>
      <c r="DT8" s="7"/>
      <c r="DU8" s="155"/>
      <c r="DV8" s="7"/>
      <c r="DW8" s="159"/>
    </row>
    <row r="9" spans="1:129" ht="45.6" customHeight="1" outlineLevel="1">
      <c r="A9" s="660"/>
      <c r="C9" s="515">
        <v>1</v>
      </c>
      <c r="D9" s="844" t="s">
        <v>268</v>
      </c>
      <c r="E9" s="844"/>
      <c r="F9" s="844"/>
      <c r="G9" s="560" t="s">
        <v>163</v>
      </c>
      <c r="H9" s="508" t="s">
        <v>119</v>
      </c>
      <c r="I9" s="509"/>
      <c r="J9" s="516"/>
      <c r="K9" s="158"/>
      <c r="L9" s="158"/>
      <c r="M9" s="160"/>
      <c r="N9" s="160"/>
      <c r="O9" s="160"/>
      <c r="CV9" s="154"/>
      <c r="CW9" s="7"/>
      <c r="CX9" s="154"/>
      <c r="CY9" s="143"/>
      <c r="CZ9" s="143"/>
      <c r="DA9" s="143"/>
      <c r="DB9" s="143"/>
      <c r="DC9" s="143"/>
      <c r="DD9" s="143"/>
      <c r="DE9" s="143"/>
      <c r="DF9" s="143"/>
      <c r="DG9" s="7"/>
      <c r="DH9" s="143"/>
      <c r="DI9" s="143"/>
      <c r="DJ9" s="143"/>
      <c r="DK9" s="143"/>
      <c r="DL9" s="143"/>
      <c r="DM9" s="7"/>
      <c r="DN9" s="7"/>
      <c r="DO9" s="7"/>
      <c r="DP9" s="7"/>
      <c r="DQ9" s="7"/>
      <c r="DR9" s="7"/>
      <c r="DS9" s="7"/>
      <c r="DT9" s="7"/>
      <c r="DU9" s="7"/>
      <c r="DV9" s="155"/>
      <c r="DW9" s="154"/>
      <c r="DX9" s="8"/>
    </row>
    <row r="10" spans="1:129" ht="57.6" customHeight="1" outlineLevel="1">
      <c r="A10" s="660"/>
      <c r="C10" s="515">
        <v>2</v>
      </c>
      <c r="D10" s="844" t="s">
        <v>164</v>
      </c>
      <c r="E10" s="844"/>
      <c r="F10" s="844"/>
      <c r="G10" s="560" t="s">
        <v>163</v>
      </c>
      <c r="H10" s="508" t="s">
        <v>119</v>
      </c>
      <c r="I10" s="509"/>
      <c r="J10" s="516"/>
      <c r="K10" s="158"/>
      <c r="L10" s="158"/>
      <c r="M10" s="160"/>
      <c r="N10" s="160"/>
      <c r="O10" s="160"/>
      <c r="CV10" s="154"/>
      <c r="CW10" s="7"/>
      <c r="CX10" s="154"/>
      <c r="CY10" s="143"/>
      <c r="CZ10" s="143"/>
      <c r="DA10" s="143"/>
      <c r="DB10" s="143"/>
      <c r="DC10" s="143"/>
      <c r="DD10" s="143"/>
      <c r="DE10" s="143"/>
      <c r="DF10" s="143"/>
      <c r="DG10" s="7"/>
      <c r="DH10" s="143"/>
      <c r="DI10" s="143"/>
      <c r="DJ10" s="143"/>
      <c r="DK10" s="143"/>
      <c r="DL10" s="143"/>
      <c r="DM10" s="7"/>
      <c r="DN10" s="7"/>
      <c r="DO10" s="7"/>
      <c r="DP10" s="7"/>
      <c r="DQ10" s="7"/>
      <c r="DR10" s="7"/>
      <c r="DS10" s="7"/>
      <c r="DT10" s="7"/>
      <c r="DU10" s="7"/>
      <c r="DV10" s="155"/>
      <c r="DW10" s="154"/>
      <c r="DX10" s="8"/>
    </row>
    <row r="11" spans="1:129" ht="40.5" customHeight="1" outlineLevel="1">
      <c r="A11" s="660"/>
      <c r="C11" s="515">
        <v>3</v>
      </c>
      <c r="D11" s="844" t="s">
        <v>196</v>
      </c>
      <c r="E11" s="844"/>
      <c r="F11" s="844"/>
      <c r="G11" s="560" t="s">
        <v>163</v>
      </c>
      <c r="H11" s="508" t="s">
        <v>119</v>
      </c>
      <c r="I11" s="509"/>
      <c r="J11" s="516"/>
      <c r="K11" s="158"/>
      <c r="L11" s="158"/>
      <c r="M11" s="160"/>
      <c r="N11" s="160"/>
      <c r="O11" s="160"/>
      <c r="CV11" s="154"/>
      <c r="CW11" s="7"/>
      <c r="CX11" s="154"/>
      <c r="CY11" s="143"/>
      <c r="CZ11" s="143"/>
      <c r="DA11" s="143"/>
      <c r="DB11" s="143"/>
      <c r="DC11" s="143"/>
      <c r="DD11" s="143"/>
      <c r="DE11" s="143"/>
      <c r="DF11" s="143"/>
      <c r="DG11" s="7"/>
      <c r="DH11" s="143"/>
      <c r="DI11" s="143"/>
      <c r="DJ11" s="143"/>
      <c r="DK11" s="143"/>
      <c r="DL11" s="143"/>
      <c r="DM11" s="7"/>
      <c r="DN11" s="7"/>
      <c r="DO11" s="7"/>
      <c r="DP11" s="7"/>
      <c r="DQ11" s="7"/>
      <c r="DR11" s="7"/>
      <c r="DS11" s="7"/>
      <c r="DT11" s="7"/>
      <c r="DU11" s="7"/>
      <c r="DV11" s="155"/>
      <c r="DW11" s="154"/>
      <c r="DX11" s="8"/>
    </row>
    <row r="12" spans="1:129" ht="40.5" customHeight="1" outlineLevel="1">
      <c r="A12" s="660"/>
      <c r="C12" s="515">
        <v>4</v>
      </c>
      <c r="D12" s="844" t="s">
        <v>269</v>
      </c>
      <c r="E12" s="844"/>
      <c r="F12" s="844"/>
      <c r="G12" s="560" t="s">
        <v>270</v>
      </c>
      <c r="H12" s="508" t="s">
        <v>119</v>
      </c>
      <c r="I12" s="509"/>
      <c r="J12" s="516"/>
      <c r="K12" s="158"/>
      <c r="L12" s="158"/>
      <c r="M12" s="160"/>
      <c r="N12" s="160"/>
      <c r="O12" s="160"/>
      <c r="CV12" s="154"/>
      <c r="CW12" s="7"/>
      <c r="CX12" s="154"/>
      <c r="CY12" s="143"/>
      <c r="CZ12" s="143"/>
      <c r="DA12" s="143"/>
      <c r="DB12" s="143"/>
      <c r="DC12" s="143"/>
      <c r="DD12" s="143"/>
      <c r="DE12" s="143"/>
      <c r="DF12" s="143"/>
      <c r="DG12" s="7"/>
      <c r="DH12" s="143"/>
      <c r="DI12" s="143"/>
      <c r="DJ12" s="143"/>
      <c r="DK12" s="143"/>
      <c r="DL12" s="143"/>
      <c r="DM12" s="7"/>
      <c r="DN12" s="7"/>
      <c r="DO12" s="7"/>
      <c r="DP12" s="7"/>
      <c r="DQ12" s="7"/>
      <c r="DR12" s="7"/>
      <c r="DS12" s="7"/>
      <c r="DT12" s="7"/>
      <c r="DU12" s="7"/>
      <c r="DV12" s="155"/>
      <c r="DW12" s="154"/>
      <c r="DX12" s="8"/>
    </row>
    <row r="13" spans="1:129" ht="40.5" customHeight="1" outlineLevel="1">
      <c r="A13" s="660"/>
      <c r="C13" s="515">
        <v>5</v>
      </c>
      <c r="D13" s="844" t="s">
        <v>198</v>
      </c>
      <c r="E13" s="844"/>
      <c r="F13" s="844"/>
      <c r="G13" s="517" t="s">
        <v>169</v>
      </c>
      <c r="H13" s="508" t="s">
        <v>119</v>
      </c>
      <c r="I13" s="509"/>
      <c r="J13" s="516"/>
      <c r="K13" s="158"/>
      <c r="L13" s="158"/>
      <c r="M13" s="151"/>
      <c r="N13" s="151"/>
      <c r="O13" s="151"/>
      <c r="CV13" s="7"/>
      <c r="CW13" s="154"/>
      <c r="CX13" s="162"/>
      <c r="CY13" s="143"/>
      <c r="CZ13" s="143"/>
      <c r="DA13" s="143"/>
      <c r="DB13" s="143"/>
      <c r="DC13" s="143"/>
      <c r="DD13" s="143"/>
      <c r="DE13" s="143"/>
      <c r="DF13" s="143"/>
      <c r="DG13" s="154"/>
      <c r="DH13" s="143"/>
      <c r="DI13" s="143"/>
      <c r="DJ13" s="143"/>
      <c r="DK13" s="143"/>
      <c r="DL13" s="143"/>
      <c r="DM13" s="154"/>
      <c r="DN13" s="7"/>
      <c r="DO13" s="7"/>
      <c r="DP13" s="7"/>
      <c r="DQ13" s="7"/>
      <c r="DR13" s="7"/>
      <c r="DS13" s="154"/>
      <c r="DT13" s="154"/>
      <c r="DU13" s="154"/>
      <c r="DV13" s="155"/>
      <c r="DW13" s="7"/>
      <c r="DX13" s="7"/>
    </row>
    <row r="14" spans="1:129" ht="38.85" customHeight="1" outlineLevel="1">
      <c r="A14" s="660"/>
      <c r="C14" s="515">
        <v>6</v>
      </c>
      <c r="D14" s="844" t="s">
        <v>170</v>
      </c>
      <c r="E14" s="844"/>
      <c r="F14" s="844"/>
      <c r="G14" s="560" t="s">
        <v>163</v>
      </c>
      <c r="H14" s="508" t="s">
        <v>119</v>
      </c>
      <c r="I14" s="509"/>
      <c r="J14" s="516"/>
      <c r="K14" s="158"/>
      <c r="L14" s="158"/>
      <c r="M14" s="151"/>
      <c r="N14" s="151"/>
      <c r="O14" s="151"/>
      <c r="CV14" s="7"/>
      <c r="CW14" s="162"/>
      <c r="CX14" s="162"/>
      <c r="CY14" s="143"/>
      <c r="CZ14" s="143"/>
      <c r="DA14" s="143"/>
      <c r="DB14" s="143"/>
      <c r="DC14" s="143"/>
      <c r="DD14" s="143"/>
      <c r="DE14" s="143"/>
      <c r="DF14" s="143"/>
      <c r="DG14" s="162"/>
      <c r="DH14" s="143"/>
      <c r="DI14" s="143"/>
      <c r="DJ14" s="143"/>
      <c r="DK14" s="143"/>
      <c r="DL14" s="143"/>
      <c r="DM14" s="162"/>
      <c r="DN14" s="154"/>
      <c r="DO14" s="154"/>
      <c r="DP14" s="154"/>
      <c r="DQ14" s="154"/>
      <c r="DR14" s="154"/>
      <c r="DS14" s="162"/>
      <c r="DT14" s="162"/>
      <c r="DU14" s="162"/>
      <c r="DV14" s="150"/>
      <c r="DW14" s="7"/>
      <c r="DX14" s="159"/>
    </row>
    <row r="15" spans="1:129" ht="45.6" customHeight="1" outlineLevel="1">
      <c r="A15" s="660"/>
      <c r="C15" s="515">
        <v>7</v>
      </c>
      <c r="D15" s="844" t="s">
        <v>271</v>
      </c>
      <c r="E15" s="844"/>
      <c r="F15" s="844"/>
      <c r="G15" s="560" t="s">
        <v>270</v>
      </c>
      <c r="H15" s="508" t="s">
        <v>119</v>
      </c>
      <c r="I15" s="509"/>
      <c r="J15" s="516"/>
      <c r="K15" s="158"/>
      <c r="L15" s="158"/>
      <c r="M15" s="151"/>
      <c r="N15" s="151"/>
      <c r="O15" s="151"/>
      <c r="CV15" s="7"/>
      <c r="CW15" s="162"/>
      <c r="CX15" s="162"/>
      <c r="CY15" s="143"/>
      <c r="CZ15" s="143"/>
      <c r="DA15" s="143"/>
      <c r="DB15" s="143"/>
      <c r="DC15" s="143"/>
      <c r="DD15" s="143"/>
      <c r="DE15" s="143"/>
      <c r="DF15" s="143"/>
      <c r="DG15" s="162"/>
      <c r="DH15" s="143"/>
      <c r="DI15" s="143"/>
      <c r="DJ15" s="143"/>
      <c r="DK15" s="143"/>
      <c r="DL15" s="143"/>
      <c r="DM15" s="162"/>
      <c r="DN15" s="154"/>
      <c r="DO15" s="154"/>
      <c r="DP15" s="154"/>
      <c r="DQ15" s="154"/>
      <c r="DR15" s="154"/>
      <c r="DS15" s="162"/>
      <c r="DT15" s="162"/>
      <c r="DU15" s="162"/>
      <c r="DV15" s="150"/>
      <c r="DW15" s="7"/>
      <c r="DX15" s="159"/>
    </row>
    <row r="16" spans="1:129" ht="18.75" thickBot="1">
      <c r="A16" s="660"/>
      <c r="C16" s="384"/>
      <c r="D16" s="208"/>
      <c r="E16" s="208"/>
      <c r="F16" s="208"/>
      <c r="G16" s="511"/>
      <c r="H16" s="511"/>
      <c r="I16" s="511"/>
      <c r="J16" s="518"/>
      <c r="K16" s="151"/>
      <c r="L16" s="151"/>
      <c r="M16" s="151"/>
      <c r="CT16" s="7"/>
      <c r="CU16" s="162"/>
      <c r="CV16" s="162"/>
      <c r="CW16" s="143"/>
      <c r="CX16" s="143"/>
      <c r="CY16" s="143"/>
      <c r="CZ16" s="143"/>
      <c r="DA16" s="143"/>
      <c r="DB16" s="143"/>
      <c r="DC16" s="143"/>
      <c r="DD16" s="143"/>
      <c r="DE16" s="162"/>
      <c r="DF16" s="143"/>
      <c r="DG16" s="143"/>
      <c r="DH16" s="143"/>
      <c r="DI16" s="143"/>
      <c r="DJ16" s="143"/>
      <c r="DK16" s="162"/>
      <c r="DL16" s="154"/>
      <c r="DM16" s="154"/>
      <c r="DN16" s="154"/>
      <c r="DO16" s="154"/>
      <c r="DP16" s="154"/>
      <c r="DQ16" s="162"/>
      <c r="DR16" s="162"/>
      <c r="DS16" s="162"/>
      <c r="DT16" s="150"/>
      <c r="DU16" s="7"/>
      <c r="DV16" s="159"/>
    </row>
    <row r="17" spans="1:126" ht="12.6" customHeight="1">
      <c r="A17" s="660"/>
      <c r="C17" s="163"/>
      <c r="CT17" s="6"/>
      <c r="CU17" s="6"/>
      <c r="CV17" s="6"/>
      <c r="CW17" s="143"/>
      <c r="CX17" s="143"/>
      <c r="CY17" s="143"/>
      <c r="CZ17" s="143"/>
      <c r="DA17" s="143"/>
      <c r="DB17" s="143"/>
      <c r="DC17" s="143"/>
      <c r="DD17" s="143"/>
      <c r="DE17" s="6"/>
      <c r="DF17" s="143"/>
      <c r="DG17" s="143"/>
      <c r="DH17" s="143"/>
      <c r="DI17" s="143"/>
      <c r="DJ17" s="143"/>
      <c r="DK17" s="6"/>
      <c r="DL17" s="6"/>
      <c r="DM17" s="6"/>
      <c r="DN17" s="6"/>
      <c r="DO17" s="6"/>
      <c r="DP17" s="6"/>
      <c r="DQ17" s="6"/>
      <c r="DR17" s="6"/>
      <c r="DS17" s="6"/>
      <c r="DT17" s="150"/>
      <c r="DU17" s="6"/>
      <c r="DV17" s="6"/>
    </row>
    <row r="18" spans="1:126" ht="12.6" customHeight="1">
      <c r="A18" s="660"/>
      <c r="CT18" s="6"/>
      <c r="CU18" s="6"/>
      <c r="CV18" s="6"/>
      <c r="CW18" s="143"/>
      <c r="CX18" s="143"/>
      <c r="CY18" s="143"/>
      <c r="CZ18" s="143"/>
      <c r="DA18" s="143"/>
      <c r="DB18" s="143"/>
      <c r="DC18" s="143"/>
      <c r="DD18" s="143"/>
      <c r="DE18" s="6"/>
      <c r="DF18" s="143"/>
      <c r="DG18" s="143"/>
      <c r="DH18" s="143"/>
      <c r="DI18" s="143"/>
      <c r="DJ18" s="143"/>
      <c r="DK18" s="6"/>
      <c r="DL18" s="6"/>
      <c r="DM18" s="6"/>
      <c r="DN18" s="6"/>
      <c r="DO18" s="6"/>
      <c r="DP18" s="6"/>
      <c r="DQ18" s="6"/>
      <c r="DR18" s="6"/>
      <c r="DS18" s="6"/>
      <c r="DT18" s="150"/>
      <c r="DU18" s="6"/>
      <c r="DV18" s="6"/>
    </row>
    <row r="19" spans="1:126" s="20" customFormat="1" ht="18.75" thickBot="1">
      <c r="A19" s="656"/>
      <c r="C19" s="474" t="s">
        <v>121</v>
      </c>
      <c r="D19" s="438"/>
      <c r="E19" s="438"/>
      <c r="F19" s="438"/>
      <c r="G19" s="438"/>
      <c r="H19" s="438"/>
      <c r="I19" s="438"/>
      <c r="J19" s="438"/>
      <c r="K19" s="23"/>
      <c r="L19" s="217"/>
      <c r="M19" s="217"/>
      <c r="Q19" s="158"/>
    </row>
    <row r="20" spans="1:126" s="20" customFormat="1" ht="18" customHeight="1">
      <c r="A20" s="656"/>
      <c r="C20" s="819"/>
      <c r="D20" s="820"/>
      <c r="E20" s="820"/>
      <c r="F20" s="820"/>
      <c r="G20" s="821"/>
      <c r="H20" s="438"/>
      <c r="I20" s="438"/>
      <c r="J20" s="438"/>
      <c r="K20" s="23"/>
      <c r="L20" s="217"/>
      <c r="M20" s="217"/>
      <c r="Q20" s="158"/>
    </row>
    <row r="21" spans="1:126" s="20" customFormat="1" ht="18" customHeight="1">
      <c r="A21" s="656"/>
      <c r="C21" s="822"/>
      <c r="D21" s="823"/>
      <c r="E21" s="823"/>
      <c r="F21" s="823"/>
      <c r="G21" s="824"/>
      <c r="H21" s="438"/>
      <c r="I21" s="438"/>
      <c r="J21" s="438"/>
      <c r="K21" s="23"/>
      <c r="L21" s="217"/>
      <c r="M21" s="217"/>
      <c r="Q21" s="158"/>
    </row>
    <row r="22" spans="1:126" s="20" customFormat="1" ht="18" customHeight="1" thickBot="1">
      <c r="A22" s="656"/>
      <c r="C22" s="825"/>
      <c r="D22" s="826"/>
      <c r="E22" s="826"/>
      <c r="F22" s="826"/>
      <c r="G22" s="827"/>
      <c r="H22" s="438"/>
      <c r="I22" s="438"/>
      <c r="J22" s="438"/>
      <c r="K22" s="23"/>
      <c r="L22" s="217"/>
      <c r="M22" s="217"/>
      <c r="Q22" s="158"/>
    </row>
    <row r="23" spans="1:126" s="4" customFormat="1" ht="13.5" thickBot="1">
      <c r="A23" s="545"/>
      <c r="C23" s="550"/>
      <c r="D23" s="551"/>
      <c r="E23" s="192"/>
      <c r="F23" s="192"/>
      <c r="G23" s="192"/>
      <c r="H23" s="192"/>
      <c r="I23" s="158"/>
      <c r="J23" s="158"/>
      <c r="K23" s="552"/>
      <c r="L23" s="424"/>
      <c r="M23" s="424"/>
      <c r="N23" s="424"/>
      <c r="O23" s="424"/>
      <c r="P23" s="424"/>
      <c r="Q23" s="424"/>
      <c r="R23" s="425"/>
    </row>
    <row r="24" spans="1:126" s="4" customFormat="1" ht="89.25">
      <c r="A24" s="545"/>
      <c r="C24" s="745" t="str">
        <f>"波动范围 ("&amp;D12&amp; "):"</f>
        <v>波动范围 (对于当期收到政府补助款项一次性计入其他收益的大额政府补助项目，获取并查看支持性文件和银行水单。):</v>
      </c>
      <c r="D24" s="746">
        <f>汇总!$F$21</f>
        <v>0</v>
      </c>
      <c r="E24" s="553"/>
      <c r="F24" s="553"/>
      <c r="G24" s="553"/>
      <c r="H24" s="553"/>
      <c r="I24" s="553"/>
      <c r="J24" s="553"/>
      <c r="K24" s="553"/>
      <c r="L24" s="424"/>
      <c r="M24" s="424"/>
      <c r="N24" s="424"/>
      <c r="O24" s="424"/>
      <c r="P24" s="424"/>
      <c r="Q24" s="424"/>
      <c r="R24" s="425"/>
    </row>
    <row r="25" spans="1:126" s="4" customFormat="1" ht="17.25" thickBot="1">
      <c r="A25" s="545"/>
      <c r="C25" s="554" t="s">
        <v>171</v>
      </c>
      <c r="D25" s="476"/>
      <c r="E25" s="5"/>
      <c r="F25" s="5"/>
      <c r="G25" s="5"/>
      <c r="H25" s="5"/>
      <c r="I25" s="5"/>
      <c r="J25" s="5"/>
      <c r="K25" s="5"/>
      <c r="L25" s="424"/>
      <c r="M25" s="424"/>
      <c r="N25" s="424"/>
      <c r="O25" s="424"/>
      <c r="P25" s="424"/>
      <c r="Q25" s="424"/>
      <c r="R25" s="425"/>
    </row>
    <row r="26" spans="1:126" ht="12.6" customHeight="1">
      <c r="A26" s="660"/>
      <c r="CR26" s="6"/>
      <c r="CS26" s="6"/>
      <c r="CT26" s="6"/>
      <c r="CU26" s="143"/>
      <c r="CV26" s="143"/>
      <c r="CW26" s="143"/>
      <c r="CX26" s="143"/>
      <c r="CY26" s="143"/>
      <c r="CZ26" s="143"/>
      <c r="DA26" s="143"/>
      <c r="DB26" s="143"/>
      <c r="DC26" s="6"/>
      <c r="DD26" s="143"/>
      <c r="DE26" s="143"/>
      <c r="DF26" s="143"/>
      <c r="DG26" s="143"/>
      <c r="DH26" s="143"/>
      <c r="DI26" s="6"/>
      <c r="DJ26" s="6"/>
      <c r="DK26" s="6"/>
      <c r="DL26" s="6"/>
      <c r="DM26" s="6"/>
      <c r="DN26" s="6"/>
      <c r="DO26" s="6"/>
      <c r="DP26" s="6"/>
      <c r="DQ26" s="6"/>
      <c r="DR26" s="150"/>
      <c r="DS26" s="6"/>
      <c r="DT26" s="6"/>
    </row>
    <row r="27" spans="1:126" ht="12.6" customHeight="1">
      <c r="A27" s="660"/>
      <c r="CR27" s="6"/>
      <c r="CS27" s="6"/>
      <c r="CT27" s="6"/>
      <c r="CU27" s="143"/>
      <c r="CV27" s="143"/>
      <c r="CW27" s="143"/>
      <c r="CX27" s="143"/>
      <c r="CY27" s="143"/>
      <c r="CZ27" s="143"/>
      <c r="DA27" s="143"/>
      <c r="DB27" s="143"/>
      <c r="DC27" s="6"/>
      <c r="DD27" s="143"/>
      <c r="DE27" s="143"/>
      <c r="DF27" s="143"/>
      <c r="DG27" s="143"/>
      <c r="DH27" s="143"/>
      <c r="DI27" s="6"/>
      <c r="DJ27" s="6"/>
      <c r="DK27" s="6"/>
      <c r="DL27" s="6"/>
      <c r="DM27" s="6"/>
      <c r="DN27" s="6"/>
      <c r="DO27" s="6"/>
      <c r="DP27" s="6"/>
      <c r="DQ27" s="6"/>
      <c r="DR27" s="150"/>
      <c r="DS27" s="6"/>
      <c r="DT27" s="6"/>
    </row>
    <row r="28" spans="1:126" ht="12.6" customHeight="1">
      <c r="A28" s="660"/>
      <c r="C28" s="164"/>
      <c r="D28" s="211"/>
      <c r="E28" s="192"/>
      <c r="F28" s="192" t="s">
        <v>123</v>
      </c>
      <c r="G28" s="441"/>
      <c r="H28" s="164" t="s">
        <v>124</v>
      </c>
      <c r="I28" s="192" t="s">
        <v>125</v>
      </c>
      <c r="J28" s="164"/>
      <c r="K28" s="164"/>
      <c r="L28" s="164" t="s">
        <v>126</v>
      </c>
      <c r="M28" s="192" t="s">
        <v>127</v>
      </c>
      <c r="N28" s="164" t="s">
        <v>128</v>
      </c>
      <c r="O28" s="164" t="s">
        <v>129</v>
      </c>
      <c r="P28" s="164" t="s">
        <v>130</v>
      </c>
      <c r="CK28" s="6"/>
      <c r="CL28" s="6"/>
      <c r="CM28" s="6"/>
      <c r="CN28" s="143"/>
      <c r="CO28" s="143"/>
      <c r="CP28" s="143"/>
      <c r="CQ28" s="143"/>
      <c r="CR28" s="143"/>
      <c r="CS28" s="143"/>
      <c r="CT28" s="143"/>
      <c r="CU28" s="143"/>
      <c r="CV28" s="6"/>
      <c r="CW28" s="143"/>
      <c r="CX28" s="143"/>
      <c r="CY28" s="143"/>
      <c r="CZ28" s="143"/>
      <c r="DA28" s="143"/>
      <c r="DB28" s="6"/>
      <c r="DC28" s="6"/>
      <c r="DD28" s="6"/>
      <c r="DE28" s="6"/>
      <c r="DF28" s="6"/>
      <c r="DG28" s="6"/>
      <c r="DH28" s="6"/>
      <c r="DI28" s="6"/>
      <c r="DJ28" s="6"/>
      <c r="DK28" s="200"/>
      <c r="DL28" s="6"/>
      <c r="DM28" s="6"/>
    </row>
    <row r="29" spans="1:126" ht="13.5" thickBot="1">
      <c r="A29" s="660" t="s">
        <v>172</v>
      </c>
      <c r="C29" s="89" t="s">
        <v>95</v>
      </c>
      <c r="D29" s="90" t="s">
        <v>95</v>
      </c>
      <c r="E29" s="90" t="s">
        <v>95</v>
      </c>
      <c r="F29" s="91" t="s">
        <v>95</v>
      </c>
      <c r="G29" s="92"/>
      <c r="H29" s="92"/>
      <c r="I29" s="93"/>
      <c r="J29" s="94"/>
      <c r="K29" s="93"/>
      <c r="L29" s="92"/>
      <c r="M29" s="93"/>
      <c r="N29" s="165"/>
      <c r="O29" s="93"/>
      <c r="P29" s="95"/>
      <c r="Q29" s="96"/>
      <c r="R29" s="97"/>
      <c r="CK29" s="6"/>
      <c r="CL29" s="6"/>
      <c r="CM29" s="6"/>
      <c r="CN29" s="143"/>
      <c r="CO29" s="143"/>
      <c r="CP29" s="143"/>
      <c r="CQ29" s="143"/>
      <c r="CR29" s="143"/>
      <c r="CS29" s="143"/>
      <c r="CT29" s="143"/>
      <c r="CU29" s="143"/>
      <c r="CV29" s="6"/>
      <c r="CW29" s="143"/>
      <c r="CX29" s="143"/>
      <c r="CY29" s="143"/>
      <c r="CZ29" s="143"/>
      <c r="DA29" s="143"/>
      <c r="DB29" s="6"/>
      <c r="DC29" s="6"/>
      <c r="DD29" s="6"/>
      <c r="DE29" s="6"/>
      <c r="DF29" s="6"/>
      <c r="DG29" s="6"/>
      <c r="DH29" s="6"/>
      <c r="DI29" s="6"/>
      <c r="DJ29" s="6"/>
      <c r="DK29" s="150"/>
      <c r="DL29" s="6"/>
      <c r="DM29" s="6"/>
    </row>
    <row r="30" spans="1:126" ht="0.2" customHeight="1" thickBot="1">
      <c r="A30" s="660"/>
      <c r="C30" s="585"/>
      <c r="D30" s="586"/>
      <c r="E30" s="365"/>
      <c r="F30" s="587"/>
      <c r="G30" s="586"/>
      <c r="H30" s="588"/>
      <c r="I30" s="588">
        <f t="shared" ref="I30" si="0">F30+H30</f>
        <v>0</v>
      </c>
      <c r="J30" s="589" t="str">
        <f>IF($I$37&lt;&gt;0,I30/$I$37,"")</f>
        <v/>
      </c>
      <c r="K30" s="586"/>
      <c r="L30" s="588"/>
      <c r="M30" s="590">
        <f t="shared" ref="M30" si="1">I30+L30</f>
        <v>0</v>
      </c>
      <c r="N30" s="590"/>
      <c r="O30" s="587">
        <f t="shared" ref="O30" si="2">M30-N30</f>
        <v>0</v>
      </c>
      <c r="P30" s="466">
        <f>IF(N30&lt;&gt;0,O30/N30,1)</f>
        <v>1</v>
      </c>
      <c r="Q30" s="586"/>
      <c r="R30" s="591"/>
      <c r="CK30" s="6"/>
      <c r="CL30" s="6"/>
      <c r="CM30" s="6"/>
      <c r="CN30" s="143"/>
      <c r="CO30" s="143"/>
      <c r="CP30" s="143"/>
      <c r="CQ30" s="143"/>
      <c r="CR30" s="143"/>
      <c r="CS30" s="143"/>
      <c r="CT30" s="143"/>
      <c r="CU30" s="143"/>
      <c r="CV30" s="6"/>
      <c r="CW30" s="143"/>
      <c r="CX30" s="143"/>
      <c r="CY30" s="143"/>
      <c r="CZ30" s="143"/>
      <c r="DA30" s="143"/>
      <c r="DB30" s="6"/>
      <c r="DC30" s="6"/>
      <c r="DD30" s="6"/>
      <c r="DE30" s="6"/>
      <c r="DF30" s="6"/>
      <c r="DG30" s="6"/>
      <c r="DH30" s="6"/>
      <c r="DI30" s="6"/>
      <c r="DJ30" s="6"/>
      <c r="DK30" s="150"/>
      <c r="DL30" s="6"/>
      <c r="DM30" s="6"/>
    </row>
    <row r="31" spans="1:126" ht="12.6" customHeight="1">
      <c r="A31" s="660"/>
      <c r="B31" s="21" t="s">
        <v>174</v>
      </c>
      <c r="C31" s="592"/>
      <c r="D31" s="747"/>
      <c r="E31" s="593"/>
      <c r="F31" s="482"/>
      <c r="G31" s="594"/>
      <c r="H31" s="594"/>
      <c r="I31" s="594" t="s">
        <v>175</v>
      </c>
      <c r="J31" s="594"/>
      <c r="K31" s="594"/>
      <c r="L31" s="594"/>
      <c r="M31" s="596"/>
      <c r="N31" s="597">
        <f>DATE(YEAR(汇总!$D$5)-1,12,31)</f>
        <v>45291</v>
      </c>
      <c r="O31" s="483" t="s">
        <v>131</v>
      </c>
      <c r="P31" s="598"/>
      <c r="Q31" s="650"/>
      <c r="R31" s="602"/>
      <c r="CJ31" s="6"/>
      <c r="CK31" s="6"/>
      <c r="CL31" s="6"/>
      <c r="CM31" s="143"/>
      <c r="CN31" s="143"/>
      <c r="CO31" s="143"/>
      <c r="CP31" s="143"/>
      <c r="CQ31" s="143"/>
      <c r="CR31" s="143"/>
      <c r="CS31" s="143"/>
      <c r="CT31" s="143"/>
      <c r="CU31" s="6"/>
      <c r="CV31" s="143"/>
      <c r="CW31" s="143"/>
      <c r="CX31" s="143"/>
      <c r="CY31" s="143"/>
      <c r="CZ31" s="143"/>
      <c r="DA31" s="6"/>
      <c r="DB31" s="6"/>
      <c r="DC31" s="6"/>
      <c r="DD31" s="6"/>
      <c r="DE31" s="6"/>
      <c r="DF31" s="6"/>
      <c r="DG31" s="6"/>
      <c r="DH31" s="6"/>
      <c r="DI31" s="6"/>
      <c r="DJ31" s="167"/>
      <c r="DK31" s="6"/>
      <c r="DL31" s="6"/>
    </row>
    <row r="32" spans="1:126" ht="43.5" customHeight="1">
      <c r="A32" s="660"/>
      <c r="B32" s="14"/>
      <c r="C32" s="108" t="s">
        <v>176</v>
      </c>
      <c r="D32" s="109" t="s">
        <v>177</v>
      </c>
      <c r="E32" s="168" t="s">
        <v>178</v>
      </c>
      <c r="F32" s="366" t="s">
        <v>135</v>
      </c>
      <c r="G32" s="367" t="s">
        <v>179</v>
      </c>
      <c r="H32" s="367" t="s">
        <v>136</v>
      </c>
      <c r="I32" s="169" t="s">
        <v>137</v>
      </c>
      <c r="J32" s="169" t="s">
        <v>180</v>
      </c>
      <c r="K32" s="367" t="s">
        <v>181</v>
      </c>
      <c r="L32" s="170" t="s">
        <v>138</v>
      </c>
      <c r="M32" s="171" t="s">
        <v>139</v>
      </c>
      <c r="N32" s="555" t="s">
        <v>182</v>
      </c>
      <c r="O32" s="172" t="s">
        <v>141</v>
      </c>
      <c r="P32" s="465" t="s">
        <v>183</v>
      </c>
      <c r="Q32" s="464" t="s">
        <v>184</v>
      </c>
      <c r="R32" s="114" t="s">
        <v>155</v>
      </c>
      <c r="CJ32" s="6"/>
      <c r="CK32" s="6"/>
      <c r="CL32" s="6"/>
      <c r="CM32" s="143"/>
      <c r="CN32" s="143"/>
      <c r="CO32" s="143"/>
      <c r="CP32" s="143"/>
      <c r="CQ32" s="143"/>
      <c r="CR32" s="143"/>
      <c r="CS32" s="143"/>
      <c r="CT32" s="143"/>
      <c r="CU32" s="6"/>
      <c r="CV32" s="143"/>
      <c r="CW32" s="143"/>
      <c r="CX32" s="143"/>
      <c r="CY32" s="143"/>
      <c r="CZ32" s="143"/>
      <c r="DA32" s="6"/>
      <c r="DB32" s="6"/>
      <c r="DC32" s="6"/>
      <c r="DD32" s="6"/>
      <c r="DE32" s="6"/>
      <c r="DF32" s="6"/>
      <c r="DG32" s="6"/>
      <c r="DH32" s="6"/>
      <c r="DI32" s="6"/>
      <c r="DJ32" s="167"/>
      <c r="DK32" s="6"/>
      <c r="DL32" s="6"/>
    </row>
    <row r="33" spans="1:129" ht="12.6" customHeight="1">
      <c r="A33" s="660"/>
      <c r="B33" s="173"/>
      <c r="C33" s="98"/>
      <c r="D33" s="99"/>
      <c r="E33" s="100"/>
      <c r="F33" s="101"/>
      <c r="G33" s="99"/>
      <c r="H33" s="102"/>
      <c r="I33" s="102">
        <f>F33+H33</f>
        <v>0</v>
      </c>
      <c r="J33" s="103" t="str">
        <f>IF($I$37&lt;&gt;0,I33/$I$37,"")</f>
        <v/>
      </c>
      <c r="K33" s="99"/>
      <c r="L33" s="102"/>
      <c r="M33" s="104">
        <f>I33+L33</f>
        <v>0</v>
      </c>
      <c r="N33" s="104"/>
      <c r="O33" s="101">
        <f>M33-N33</f>
        <v>0</v>
      </c>
      <c r="P33" s="463">
        <f>IF(N33&lt;&gt;0,O33/N33,1)</f>
        <v>1</v>
      </c>
      <c r="Q33" s="99"/>
      <c r="R33" s="105"/>
      <c r="CJ33" s="6"/>
      <c r="CK33" s="6"/>
      <c r="CL33" s="6"/>
      <c r="CM33" s="143"/>
      <c r="CN33" s="143"/>
      <c r="CO33" s="143"/>
      <c r="CP33" s="143"/>
      <c r="CQ33" s="143"/>
      <c r="CR33" s="143"/>
      <c r="CS33" s="143"/>
      <c r="CT33" s="143"/>
      <c r="CU33" s="6"/>
      <c r="CV33" s="143"/>
      <c r="CW33" s="143"/>
      <c r="CX33" s="143"/>
      <c r="CY33" s="143"/>
      <c r="CZ33" s="143"/>
      <c r="DA33" s="6"/>
      <c r="DB33" s="6"/>
      <c r="DC33" s="6"/>
      <c r="DD33" s="6"/>
      <c r="DE33" s="6"/>
      <c r="DF33" s="6"/>
      <c r="DG33" s="6"/>
      <c r="DH33" s="6"/>
      <c r="DI33" s="6"/>
      <c r="DJ33" s="150"/>
      <c r="DK33" s="6"/>
      <c r="DL33" s="6"/>
    </row>
    <row r="34" spans="1:129" ht="12.6" customHeight="1">
      <c r="A34" s="660"/>
      <c r="B34" s="15"/>
      <c r="C34" s="98"/>
      <c r="D34" s="99"/>
      <c r="E34" s="100"/>
      <c r="F34" s="101"/>
      <c r="G34" s="99"/>
      <c r="H34" s="102"/>
      <c r="I34" s="102">
        <f t="shared" ref="I34:I35" si="3">F34+H34</f>
        <v>0</v>
      </c>
      <c r="J34" s="103" t="str">
        <f t="shared" ref="J34:J35" si="4">IF($I$37&lt;&gt;0,I34/$I$37,"")</f>
        <v/>
      </c>
      <c r="K34" s="99"/>
      <c r="L34" s="102"/>
      <c r="M34" s="104">
        <f t="shared" ref="M34:M35" si="5">I34+L34</f>
        <v>0</v>
      </c>
      <c r="N34" s="104"/>
      <c r="O34" s="101">
        <f t="shared" ref="O34:O35" si="6">M34-N34</f>
        <v>0</v>
      </c>
      <c r="P34" s="463">
        <f>IF(N34&lt;&gt;0,O34/N34,1)</f>
        <v>1</v>
      </c>
      <c r="Q34" s="99"/>
      <c r="R34" s="105"/>
      <c r="CJ34" s="6"/>
      <c r="CK34" s="6"/>
      <c r="CL34" s="6"/>
      <c r="CM34" s="143"/>
      <c r="CN34" s="143"/>
      <c r="CO34" s="143"/>
      <c r="CP34" s="143"/>
      <c r="CQ34" s="143"/>
      <c r="CR34" s="143"/>
      <c r="CS34" s="143"/>
      <c r="CT34" s="143"/>
      <c r="CU34" s="6"/>
      <c r="CV34" s="143"/>
      <c r="CW34" s="143"/>
      <c r="CX34" s="143"/>
      <c r="CY34" s="143"/>
      <c r="CZ34" s="143"/>
      <c r="DA34" s="6"/>
      <c r="DB34" s="6"/>
      <c r="DC34" s="6"/>
      <c r="DD34" s="6"/>
      <c r="DE34" s="6"/>
      <c r="DF34" s="6"/>
      <c r="DG34" s="6"/>
      <c r="DH34" s="6"/>
      <c r="DI34" s="6"/>
      <c r="DJ34" s="150"/>
      <c r="DK34" s="6"/>
      <c r="DL34" s="6"/>
    </row>
    <row r="35" spans="1:129" ht="12.6" customHeight="1" thickBot="1">
      <c r="A35" s="660" t="s">
        <v>185</v>
      </c>
      <c r="B35" s="15"/>
      <c r="C35" s="371"/>
      <c r="D35" s="372"/>
      <c r="E35" s="385"/>
      <c r="F35" s="374"/>
      <c r="G35" s="372"/>
      <c r="H35" s="375"/>
      <c r="I35" s="102">
        <f t="shared" si="3"/>
        <v>0</v>
      </c>
      <c r="J35" s="103" t="str">
        <f t="shared" si="4"/>
        <v/>
      </c>
      <c r="K35" s="378"/>
      <c r="L35" s="379"/>
      <c r="M35" s="104">
        <f t="shared" si="5"/>
        <v>0</v>
      </c>
      <c r="N35" s="380"/>
      <c r="O35" s="101">
        <f t="shared" si="6"/>
        <v>0</v>
      </c>
      <c r="P35" s="463">
        <f>IF(N35&lt;&gt;0,O35/N35,1)</f>
        <v>1</v>
      </c>
      <c r="Q35" s="378"/>
      <c r="R35" s="373"/>
      <c r="CJ35" s="6"/>
      <c r="CK35" s="6"/>
      <c r="CL35" s="6"/>
      <c r="CM35" s="143"/>
      <c r="CN35" s="143"/>
      <c r="CO35" s="143"/>
      <c r="CP35" s="143"/>
      <c r="CQ35" s="143"/>
      <c r="CR35" s="143"/>
      <c r="CS35" s="143"/>
      <c r="CT35" s="143"/>
      <c r="CU35" s="6"/>
      <c r="CV35" s="143"/>
      <c r="CW35" s="143"/>
      <c r="CX35" s="143"/>
      <c r="CY35" s="143"/>
      <c r="CZ35" s="143"/>
      <c r="DA35" s="6"/>
      <c r="DB35" s="6"/>
      <c r="DC35" s="6"/>
      <c r="DD35" s="6"/>
      <c r="DE35" s="6"/>
      <c r="DF35" s="6"/>
      <c r="DG35" s="6"/>
      <c r="DH35" s="6"/>
      <c r="DI35" s="6"/>
      <c r="DJ35" s="150"/>
      <c r="DK35" s="6"/>
      <c r="DL35" s="6"/>
    </row>
    <row r="36" spans="1:129" s="16" customFormat="1" ht="12.6" customHeight="1">
      <c r="A36" s="661"/>
      <c r="B36" s="19"/>
      <c r="C36" s="760"/>
      <c r="D36" s="761"/>
      <c r="E36" s="762"/>
      <c r="F36" s="762"/>
      <c r="G36" s="762"/>
      <c r="H36" s="762"/>
      <c r="I36" s="763"/>
      <c r="J36" s="764"/>
      <c r="K36" s="765"/>
      <c r="L36" s="763"/>
      <c r="M36" s="763"/>
      <c r="N36" s="763"/>
      <c r="O36" s="753"/>
      <c r="P36" s="767"/>
      <c r="Q36" s="767"/>
      <c r="R36" s="768"/>
      <c r="S36" s="174"/>
      <c r="CK36" s="6"/>
      <c r="CL36" s="6"/>
      <c r="CM36" s="6"/>
      <c r="CN36" s="143"/>
      <c r="CO36" s="143"/>
      <c r="CP36" s="143"/>
      <c r="CQ36" s="143"/>
      <c r="CR36" s="143"/>
      <c r="CS36" s="143"/>
      <c r="CT36" s="143"/>
      <c r="CU36" s="143"/>
      <c r="CV36" s="6"/>
      <c r="CW36" s="143"/>
      <c r="CX36" s="143"/>
      <c r="CY36" s="143"/>
      <c r="CZ36" s="143"/>
      <c r="DA36" s="143"/>
      <c r="DB36" s="6"/>
      <c r="DC36" s="6"/>
      <c r="DD36" s="6"/>
      <c r="DE36" s="6"/>
      <c r="DF36" s="6"/>
      <c r="DG36" s="6"/>
      <c r="DH36" s="6"/>
      <c r="DI36" s="6"/>
      <c r="DJ36" s="6"/>
      <c r="DK36" s="150"/>
      <c r="DL36" s="6"/>
      <c r="DM36" s="6"/>
    </row>
    <row r="37" spans="1:129" s="16" customFormat="1" ht="12.6" customHeight="1" thickBot="1">
      <c r="A37" s="661"/>
      <c r="B37" s="174"/>
      <c r="C37" s="174"/>
      <c r="D37" s="179"/>
      <c r="E37" s="212" t="s">
        <v>208</v>
      </c>
      <c r="F37" s="388">
        <f>SUM(F32:F36)</f>
        <v>0</v>
      </c>
      <c r="G37" s="21"/>
      <c r="H37" s="388">
        <f>SUM(H32:H36)</f>
        <v>0</v>
      </c>
      <c r="I37" s="388">
        <f>SUM(I32:I36)</f>
        <v>0</v>
      </c>
      <c r="J37" s="389">
        <f>SUM(J32:J36)</f>
        <v>0</v>
      </c>
      <c r="K37" s="21"/>
      <c r="L37" s="388">
        <f>SUM(L32:L36)</f>
        <v>0</v>
      </c>
      <c r="M37" s="388">
        <f>SUM(M32:M36)</f>
        <v>0</v>
      </c>
      <c r="N37" s="388">
        <f>SUM(N32:N36)</f>
        <v>0</v>
      </c>
      <c r="O37" s="388">
        <f>M37-N37</f>
        <v>0</v>
      </c>
      <c r="P37" s="389">
        <f>IF(N37&lt;&gt;0,O37/N37,1)</f>
        <v>1</v>
      </c>
      <c r="Q37" s="177"/>
      <c r="R37" s="213"/>
      <c r="S37" s="174"/>
      <c r="CK37" s="6"/>
      <c r="CL37" s="6"/>
      <c r="CM37" s="6"/>
      <c r="CN37" s="143"/>
      <c r="CO37" s="143"/>
      <c r="CP37" s="143"/>
      <c r="CQ37" s="143"/>
      <c r="CR37" s="143"/>
      <c r="CS37" s="143"/>
      <c r="CT37" s="143"/>
      <c r="CU37" s="143"/>
      <c r="CV37" s="6"/>
      <c r="CW37" s="143"/>
      <c r="CX37" s="143"/>
      <c r="CY37" s="143"/>
      <c r="CZ37" s="143"/>
      <c r="DA37" s="143"/>
      <c r="DB37" s="6"/>
      <c r="DC37" s="6"/>
      <c r="DD37" s="6"/>
      <c r="DE37" s="6"/>
      <c r="DF37" s="6"/>
      <c r="DG37" s="6"/>
      <c r="DH37" s="6"/>
      <c r="DI37" s="6"/>
      <c r="DJ37" s="6"/>
      <c r="DK37" s="150"/>
      <c r="DL37" s="6"/>
      <c r="DM37" s="6"/>
    </row>
    <row r="38" spans="1:129" s="16" customFormat="1" ht="12.6" customHeight="1" thickTop="1">
      <c r="A38" s="661"/>
      <c r="B38" s="174"/>
      <c r="C38" s="174"/>
      <c r="D38" s="179"/>
      <c r="E38" s="175"/>
      <c r="F38" s="131" t="s">
        <v>105</v>
      </c>
      <c r="G38" s="179"/>
      <c r="H38" s="131" t="s">
        <v>105</v>
      </c>
      <c r="I38" s="131" t="s">
        <v>105</v>
      </c>
      <c r="J38" s="131" t="s">
        <v>105</v>
      </c>
      <c r="K38" s="180"/>
      <c r="L38" s="131" t="s">
        <v>105</v>
      </c>
      <c r="M38" s="131" t="s">
        <v>105</v>
      </c>
      <c r="N38" s="131" t="s">
        <v>105</v>
      </c>
      <c r="O38" s="193"/>
      <c r="P38" s="183"/>
      <c r="Q38" s="183"/>
      <c r="R38" s="184"/>
      <c r="S38" s="19"/>
      <c r="T38" s="19"/>
      <c r="U38" s="174"/>
      <c r="CM38" s="6"/>
      <c r="CN38" s="6"/>
      <c r="CO38" s="6"/>
      <c r="CP38" s="143"/>
      <c r="CQ38" s="143"/>
      <c r="CR38" s="143"/>
      <c r="CS38" s="143"/>
      <c r="CT38" s="143"/>
      <c r="CU38" s="143"/>
      <c r="CV38" s="143"/>
      <c r="CW38" s="143"/>
      <c r="CX38" s="6"/>
      <c r="CY38" s="143"/>
      <c r="CZ38" s="143"/>
      <c r="DA38" s="143"/>
      <c r="DB38" s="143"/>
      <c r="DC38" s="143"/>
      <c r="DD38" s="6"/>
      <c r="DE38" s="6"/>
      <c r="DF38" s="6"/>
      <c r="DG38" s="6"/>
      <c r="DH38" s="6"/>
      <c r="DI38" s="6"/>
      <c r="DJ38" s="6"/>
      <c r="DK38" s="6"/>
      <c r="DL38" s="6"/>
      <c r="DM38" s="150"/>
      <c r="DN38" s="6"/>
      <c r="DO38" s="6"/>
    </row>
    <row r="39" spans="1:129" s="16" customFormat="1" ht="12.6" customHeight="1">
      <c r="A39" s="661"/>
      <c r="B39" s="174"/>
      <c r="C39" s="174"/>
      <c r="D39" s="179"/>
      <c r="F39" s="181"/>
      <c r="G39" s="179"/>
      <c r="H39" s="185" t="s">
        <v>91</v>
      </c>
      <c r="I39" s="181"/>
      <c r="J39" s="186"/>
      <c r="K39" s="181"/>
      <c r="M39" s="181"/>
      <c r="N39" s="181"/>
      <c r="O39" s="181"/>
      <c r="P39" s="182"/>
      <c r="Q39" s="182"/>
      <c r="R39" s="184"/>
      <c r="S39" s="174"/>
      <c r="T39" s="19"/>
      <c r="U39" s="174"/>
      <c r="CM39" s="6"/>
      <c r="CN39" s="6"/>
      <c r="CO39" s="6"/>
      <c r="CP39" s="143"/>
      <c r="CQ39" s="143"/>
      <c r="CR39" s="143"/>
      <c r="CS39" s="143"/>
      <c r="CT39" s="143"/>
      <c r="CU39" s="143"/>
      <c r="CV39" s="143"/>
      <c r="CW39" s="143"/>
      <c r="CX39" s="6"/>
      <c r="CY39" s="143"/>
      <c r="CZ39" s="143"/>
      <c r="DA39" s="143"/>
      <c r="DB39" s="143"/>
      <c r="DC39" s="143"/>
      <c r="DD39" s="6"/>
      <c r="DE39" s="6"/>
      <c r="DF39" s="6"/>
      <c r="DG39" s="6"/>
      <c r="DH39" s="6"/>
      <c r="DI39" s="6"/>
      <c r="DJ39" s="6"/>
      <c r="DK39" s="6"/>
      <c r="DL39" s="6"/>
      <c r="DM39" s="150"/>
      <c r="DN39" s="6"/>
      <c r="DO39" s="6"/>
    </row>
    <row r="40" spans="1:129" s="16" customFormat="1" ht="12.6" customHeight="1">
      <c r="A40" s="661"/>
      <c r="B40" s="174"/>
      <c r="C40" s="174"/>
      <c r="D40" s="179"/>
      <c r="F40" s="188"/>
      <c r="G40" s="179"/>
      <c r="H40" s="187" t="s">
        <v>201</v>
      </c>
      <c r="I40" s="188">
        <f>I37-I39</f>
        <v>0</v>
      </c>
      <c r="J40" s="189"/>
      <c r="K40" s="181"/>
      <c r="M40" s="188">
        <f>M37-M39</f>
        <v>0</v>
      </c>
      <c r="N40" s="188">
        <f>N37-N39</f>
        <v>0</v>
      </c>
      <c r="O40" s="181"/>
      <c r="P40" s="182"/>
      <c r="Q40" s="182"/>
      <c r="R40" s="184"/>
      <c r="S40" s="174"/>
      <c r="T40" s="174"/>
      <c r="U40" s="174"/>
      <c r="CM40" s="6"/>
      <c r="CN40" s="6"/>
      <c r="CO40" s="6"/>
      <c r="CP40" s="143"/>
      <c r="CQ40" s="143"/>
      <c r="CR40" s="143"/>
      <c r="CS40" s="143"/>
      <c r="CT40" s="143"/>
      <c r="CU40" s="143"/>
      <c r="CV40" s="143"/>
      <c r="CW40" s="143"/>
      <c r="CX40" s="6"/>
      <c r="CY40" s="143"/>
      <c r="CZ40" s="143"/>
      <c r="DA40" s="143"/>
      <c r="DB40" s="143"/>
      <c r="DC40" s="143"/>
      <c r="DD40" s="6"/>
      <c r="DE40" s="6"/>
      <c r="DF40" s="6"/>
      <c r="DG40" s="6"/>
      <c r="DH40" s="6"/>
      <c r="DI40" s="6"/>
      <c r="DJ40" s="6"/>
      <c r="DK40" s="6"/>
      <c r="DL40" s="6"/>
      <c r="DM40" s="150"/>
      <c r="DN40" s="6"/>
      <c r="DO40" s="6"/>
    </row>
    <row r="41" spans="1:129" s="16" customFormat="1" ht="12.6" customHeight="1">
      <c r="A41" s="668"/>
      <c r="B41" s="174"/>
      <c r="C41" s="174"/>
      <c r="D41" s="179"/>
      <c r="E41" s="187"/>
      <c r="F41" s="188"/>
      <c r="G41" s="179"/>
      <c r="H41" s="174"/>
      <c r="I41" s="188"/>
      <c r="J41" s="189"/>
      <c r="K41" s="181"/>
      <c r="L41" s="181"/>
      <c r="M41" s="188"/>
      <c r="N41" s="188"/>
      <c r="O41" s="181"/>
      <c r="P41" s="182"/>
      <c r="Q41" s="182"/>
      <c r="R41" s="184"/>
      <c r="S41" s="174"/>
      <c r="T41" s="174"/>
      <c r="U41" s="174"/>
      <c r="CM41" s="6"/>
      <c r="CN41" s="6"/>
      <c r="CO41" s="6"/>
      <c r="CP41" s="143"/>
      <c r="CQ41" s="143"/>
      <c r="CR41" s="143"/>
      <c r="CS41" s="143"/>
      <c r="CT41" s="143"/>
      <c r="CU41" s="143"/>
      <c r="CV41" s="143"/>
      <c r="CW41" s="143"/>
      <c r="CX41" s="6"/>
      <c r="CY41" s="143"/>
      <c r="CZ41" s="143"/>
      <c r="DA41" s="143"/>
      <c r="DB41" s="143"/>
      <c r="DC41" s="143"/>
      <c r="DD41" s="6"/>
      <c r="DE41" s="6"/>
      <c r="DF41" s="6"/>
      <c r="DG41" s="6"/>
      <c r="DH41" s="6"/>
      <c r="DI41" s="6"/>
      <c r="DJ41" s="6"/>
      <c r="DK41" s="6"/>
      <c r="DL41" s="6"/>
      <c r="DM41" s="150"/>
      <c r="DN41" s="6"/>
      <c r="DO41" s="6"/>
    </row>
    <row r="42" spans="1:129" s="13" customFormat="1" ht="13.35" customHeight="1" thickBot="1">
      <c r="A42" s="663"/>
      <c r="B42" s="88" t="s">
        <v>155</v>
      </c>
      <c r="C42" s="13" t="s">
        <v>189</v>
      </c>
      <c r="G42" s="137"/>
      <c r="H42" s="138"/>
      <c r="I42" s="137"/>
      <c r="J42" s="137"/>
      <c r="CV42" s="62"/>
      <c r="CW42" s="62"/>
      <c r="CX42" s="62"/>
      <c r="CY42" s="62"/>
      <c r="CZ42" s="62"/>
      <c r="DA42" s="62"/>
      <c r="DB42" s="62"/>
      <c r="DE42" s="62"/>
      <c r="DF42" s="62"/>
      <c r="DG42" s="62"/>
      <c r="DH42" s="62"/>
      <c r="DI42" s="62"/>
      <c r="DS42" s="69"/>
    </row>
    <row r="43" spans="1:129" s="17" customFormat="1" ht="12.6" customHeight="1">
      <c r="A43" s="664"/>
      <c r="C43" s="828"/>
      <c r="D43" s="829"/>
      <c r="E43" s="829"/>
      <c r="F43" s="829"/>
      <c r="G43" s="830"/>
      <c r="H43" s="139"/>
      <c r="I43" s="139"/>
      <c r="J43" s="139"/>
      <c r="CN43" s="13"/>
      <c r="CO43" s="13"/>
      <c r="CP43" s="13"/>
      <c r="CQ43" s="62"/>
      <c r="CR43" s="62"/>
      <c r="CS43" s="62"/>
      <c r="CT43" s="62"/>
      <c r="CU43" s="62"/>
      <c r="CV43" s="62"/>
      <c r="CW43" s="62"/>
      <c r="CX43" s="13"/>
      <c r="CY43" s="13"/>
      <c r="CZ43" s="62"/>
      <c r="DA43" s="62"/>
      <c r="DB43" s="62"/>
      <c r="DC43" s="62"/>
      <c r="DD43" s="62"/>
      <c r="DE43" s="13"/>
      <c r="DF43" s="13"/>
      <c r="DG43" s="13"/>
      <c r="DH43" s="13"/>
      <c r="DI43" s="13"/>
      <c r="DJ43" s="13"/>
      <c r="DK43" s="13"/>
      <c r="DL43" s="13"/>
      <c r="DM43" s="13"/>
      <c r="DN43" s="69"/>
      <c r="DO43" s="13"/>
      <c r="DP43" s="13"/>
    </row>
    <row r="44" spans="1:129" s="17" customFormat="1" ht="12.6" customHeight="1">
      <c r="A44" s="665"/>
      <c r="C44" s="831"/>
      <c r="D44" s="832"/>
      <c r="E44" s="832"/>
      <c r="F44" s="832"/>
      <c r="G44" s="833"/>
      <c r="H44" s="139"/>
      <c r="I44" s="139"/>
      <c r="J44" s="139"/>
      <c r="CN44" s="13"/>
      <c r="CO44" s="13"/>
      <c r="CP44" s="13"/>
      <c r="CQ44" s="62"/>
      <c r="CR44" s="62"/>
      <c r="CS44" s="62"/>
      <c r="CT44" s="62"/>
      <c r="CU44" s="62"/>
      <c r="CV44" s="62"/>
      <c r="CW44" s="62"/>
      <c r="CX44" s="13"/>
      <c r="CY44" s="13"/>
      <c r="CZ44" s="62"/>
      <c r="DA44" s="62"/>
      <c r="DB44" s="62"/>
      <c r="DC44" s="62"/>
      <c r="DD44" s="62"/>
      <c r="DE44" s="13"/>
      <c r="DF44" s="13"/>
      <c r="DG44" s="13"/>
      <c r="DH44" s="13"/>
      <c r="DI44" s="13"/>
      <c r="DJ44" s="13"/>
      <c r="DK44" s="13"/>
      <c r="DL44" s="13"/>
      <c r="DM44" s="13"/>
      <c r="DN44" s="69"/>
      <c r="DO44" s="13"/>
      <c r="DP44" s="13"/>
    </row>
    <row r="45" spans="1:129" s="17" customFormat="1" ht="12.6" customHeight="1" thickBot="1">
      <c r="A45" s="665"/>
      <c r="C45" s="834"/>
      <c r="D45" s="835"/>
      <c r="E45" s="835"/>
      <c r="F45" s="835"/>
      <c r="G45" s="836"/>
      <c r="H45" s="139"/>
      <c r="I45" s="139"/>
      <c r="J45" s="139"/>
      <c r="CN45" s="13"/>
      <c r="CO45" s="13"/>
      <c r="CP45" s="13"/>
      <c r="CQ45" s="62"/>
      <c r="CR45" s="62"/>
      <c r="CS45" s="62"/>
      <c r="CT45" s="62"/>
      <c r="CU45" s="62"/>
      <c r="CV45" s="62"/>
      <c r="CW45" s="62"/>
      <c r="CX45" s="13"/>
      <c r="CY45" s="13"/>
      <c r="CZ45" s="62"/>
      <c r="DA45" s="62"/>
      <c r="DB45" s="62"/>
      <c r="DC45" s="62"/>
      <c r="DD45" s="62"/>
      <c r="DE45" s="13"/>
      <c r="DF45" s="13"/>
      <c r="DG45" s="13"/>
      <c r="DH45" s="13"/>
      <c r="DI45" s="13"/>
      <c r="DJ45" s="13"/>
      <c r="DK45" s="13"/>
      <c r="DL45" s="13"/>
      <c r="DM45" s="13"/>
      <c r="DN45" s="13"/>
      <c r="DO45" s="13"/>
      <c r="DP45" s="13"/>
    </row>
    <row r="46" spans="1:129" s="16" customFormat="1" ht="12.6" customHeight="1">
      <c r="A46" s="661"/>
      <c r="B46" s="174"/>
      <c r="C46" s="174"/>
      <c r="D46" s="179"/>
      <c r="E46" s="187"/>
      <c r="F46" s="188"/>
      <c r="G46" s="179"/>
      <c r="H46" s="174"/>
      <c r="I46" s="188"/>
      <c r="J46" s="189"/>
      <c r="K46" s="181"/>
      <c r="L46" s="181"/>
      <c r="M46" s="188"/>
      <c r="N46" s="188"/>
      <c r="O46" s="181"/>
      <c r="P46" s="182"/>
      <c r="Q46" s="182"/>
      <c r="R46" s="184"/>
      <c r="S46" s="174"/>
      <c r="T46" s="174"/>
      <c r="U46" s="174"/>
      <c r="CM46" s="6"/>
      <c r="CN46" s="6"/>
      <c r="CO46" s="6"/>
      <c r="CP46" s="143"/>
      <c r="CQ46" s="143"/>
      <c r="CR46" s="143"/>
      <c r="CS46" s="143"/>
      <c r="CT46" s="143"/>
      <c r="CU46" s="143"/>
      <c r="CV46" s="143"/>
      <c r="CW46" s="143"/>
      <c r="CX46" s="6"/>
      <c r="CY46" s="143"/>
      <c r="CZ46" s="143"/>
      <c r="DA46" s="143"/>
      <c r="DB46" s="143"/>
      <c r="DC46" s="143"/>
      <c r="DD46" s="6"/>
      <c r="DE46" s="6"/>
      <c r="DF46" s="6"/>
      <c r="DG46" s="6"/>
      <c r="DH46" s="6"/>
      <c r="DI46" s="6"/>
      <c r="DJ46" s="6"/>
      <c r="DK46" s="6"/>
      <c r="DL46" s="6"/>
      <c r="DM46" s="150"/>
      <c r="DN46" s="6"/>
      <c r="DO46" s="6"/>
    </row>
    <row r="47" spans="1:129" s="16" customFormat="1" ht="12.6" customHeight="1">
      <c r="A47" s="669"/>
      <c r="B47" s="174"/>
      <c r="C47" s="174"/>
      <c r="D47" s="179"/>
      <c r="E47" s="187"/>
      <c r="F47" s="188"/>
      <c r="G47" s="179"/>
      <c r="H47" s="174"/>
      <c r="I47" s="188"/>
      <c r="J47" s="189"/>
      <c r="K47" s="181"/>
      <c r="L47" s="181"/>
      <c r="M47" s="188"/>
      <c r="N47" s="188"/>
      <c r="O47" s="181"/>
      <c r="P47" s="182"/>
      <c r="Q47" s="182"/>
      <c r="R47" s="184"/>
      <c r="S47" s="174"/>
      <c r="T47" s="174"/>
      <c r="U47" s="174"/>
      <c r="CM47" s="6"/>
      <c r="CN47" s="6"/>
      <c r="CO47" s="6"/>
      <c r="CP47" s="143"/>
      <c r="CQ47" s="143"/>
      <c r="CR47" s="143"/>
      <c r="CS47" s="143"/>
      <c r="CT47" s="143"/>
      <c r="CU47" s="143"/>
      <c r="CV47" s="143"/>
      <c r="CW47" s="143"/>
      <c r="CX47" s="6"/>
      <c r="CY47" s="143"/>
      <c r="CZ47" s="143"/>
      <c r="DA47" s="143"/>
      <c r="DB47" s="143"/>
      <c r="DC47" s="143"/>
      <c r="DD47" s="6"/>
      <c r="DE47" s="6"/>
      <c r="DF47" s="6"/>
      <c r="DG47" s="6"/>
      <c r="DH47" s="6"/>
      <c r="DI47" s="6"/>
      <c r="DJ47" s="6"/>
      <c r="DK47" s="6"/>
      <c r="DL47" s="6"/>
      <c r="DM47" s="150"/>
      <c r="DN47" s="6"/>
      <c r="DO47" s="6"/>
    </row>
    <row r="48" spans="1:129" ht="12.6" customHeight="1">
      <c r="A48" s="660"/>
      <c r="CW48" s="143"/>
      <c r="CX48" s="143"/>
      <c r="CY48" s="143"/>
      <c r="CZ48" s="143"/>
      <c r="DA48" s="143"/>
      <c r="DB48" s="143"/>
      <c r="DC48" s="143"/>
      <c r="DD48" s="143"/>
      <c r="DE48" s="143"/>
      <c r="DF48" s="143"/>
      <c r="DG48" s="143"/>
      <c r="DH48" s="143"/>
      <c r="DI48" s="143"/>
      <c r="DJ48" s="143"/>
      <c r="DK48" s="143"/>
      <c r="DL48" s="143"/>
      <c r="DM48" s="143"/>
      <c r="DN48" s="143"/>
      <c r="DO48" s="143"/>
      <c r="DP48" s="143"/>
      <c r="DQ48" s="143"/>
      <c r="DR48" s="143"/>
      <c r="DS48" s="143"/>
      <c r="DT48" s="143"/>
      <c r="DU48" s="143"/>
      <c r="DV48" s="143"/>
      <c r="DW48" s="148"/>
      <c r="DX48" s="143"/>
      <c r="DY48" s="149"/>
    </row>
    <row r="49" spans="1:129" ht="12.6" customHeight="1">
      <c r="A49" s="660"/>
      <c r="CW49" s="143"/>
      <c r="CX49" s="143"/>
      <c r="CY49" s="143"/>
      <c r="CZ49" s="143"/>
      <c r="DA49" s="143"/>
      <c r="DB49" s="143"/>
      <c r="DC49" s="143"/>
      <c r="DD49" s="143"/>
      <c r="DE49" s="143"/>
      <c r="DF49" s="143"/>
      <c r="DG49" s="143"/>
      <c r="DH49" s="143"/>
      <c r="DI49" s="143"/>
      <c r="DJ49" s="143"/>
      <c r="DK49" s="143"/>
      <c r="DL49" s="143"/>
      <c r="DM49" s="143"/>
      <c r="DN49" s="143"/>
      <c r="DO49" s="143"/>
      <c r="DP49" s="143"/>
      <c r="DQ49" s="143"/>
      <c r="DR49" s="143"/>
      <c r="DS49" s="143"/>
      <c r="DT49" s="143"/>
      <c r="DU49" s="143"/>
      <c r="DV49" s="143"/>
      <c r="DW49" s="148"/>
      <c r="DX49" s="143"/>
      <c r="DY49" s="149"/>
    </row>
    <row r="50" spans="1:129" ht="12.6" customHeight="1" thickBot="1">
      <c r="A50" s="660"/>
      <c r="B50" s="164" t="s">
        <v>272</v>
      </c>
      <c r="C50" s="634" t="s">
        <v>273</v>
      </c>
      <c r="G50" s="164"/>
      <c r="CW50" s="143"/>
      <c r="CX50" s="143"/>
      <c r="CY50" s="143"/>
      <c r="CZ50" s="143"/>
      <c r="DA50" s="143"/>
      <c r="DB50" s="143"/>
      <c r="DC50" s="143"/>
      <c r="DD50" s="143"/>
      <c r="DE50" s="143"/>
      <c r="DF50" s="143"/>
      <c r="DG50" s="143"/>
      <c r="DH50" s="143"/>
      <c r="DI50" s="143"/>
      <c r="DJ50" s="143"/>
      <c r="DK50" s="143"/>
      <c r="DL50" s="143"/>
      <c r="DM50" s="143"/>
      <c r="DN50" s="143"/>
      <c r="DO50" s="143"/>
      <c r="DP50" s="143"/>
      <c r="DQ50" s="143"/>
      <c r="DR50" s="143"/>
      <c r="DS50" s="143"/>
      <c r="DT50" s="143"/>
      <c r="DU50" s="143"/>
      <c r="DV50" s="143"/>
      <c r="DW50" s="252"/>
      <c r="DX50" s="143"/>
      <c r="DY50" s="149"/>
    </row>
    <row r="51" spans="1:129" ht="24" customHeight="1">
      <c r="A51" s="660"/>
      <c r="B51" s="164"/>
      <c r="C51" s="774" t="s">
        <v>274</v>
      </c>
      <c r="D51" s="775" t="s">
        <v>275</v>
      </c>
      <c r="E51" s="775" t="s">
        <v>276</v>
      </c>
      <c r="F51" s="775" t="s">
        <v>277</v>
      </c>
      <c r="G51" s="776" t="s">
        <v>278</v>
      </c>
      <c r="H51" s="775" t="s">
        <v>279</v>
      </c>
      <c r="I51" s="775" t="s">
        <v>280</v>
      </c>
      <c r="J51" s="777" t="s">
        <v>281</v>
      </c>
      <c r="CW51" s="143"/>
      <c r="CX51" s="143"/>
      <c r="CY51" s="143"/>
      <c r="CZ51" s="143"/>
      <c r="DA51" s="143"/>
      <c r="DB51" s="143"/>
      <c r="DC51" s="143"/>
      <c r="DD51" s="143"/>
      <c r="DE51" s="143"/>
      <c r="DF51" s="143"/>
      <c r="DG51" s="143"/>
      <c r="DH51" s="143"/>
      <c r="DI51" s="143"/>
      <c r="DJ51" s="143"/>
      <c r="DK51" s="143"/>
      <c r="DL51" s="143"/>
      <c r="DM51" s="143"/>
      <c r="DN51" s="143"/>
      <c r="DO51" s="143"/>
      <c r="DP51" s="143"/>
      <c r="DQ51" s="143"/>
      <c r="DR51" s="143"/>
      <c r="DS51" s="143"/>
      <c r="DT51" s="143"/>
      <c r="DU51" s="143"/>
      <c r="DV51" s="143"/>
      <c r="DW51" s="148"/>
      <c r="DX51" s="143"/>
      <c r="DY51" s="149"/>
    </row>
    <row r="52" spans="1:129" ht="12.6" customHeight="1">
      <c r="A52" s="540"/>
      <c r="C52" s="615"/>
      <c r="D52" s="616"/>
      <c r="E52" s="617"/>
      <c r="F52" s="617"/>
      <c r="G52" s="618"/>
      <c r="H52" s="618"/>
      <c r="I52" s="618"/>
      <c r="J52" s="619"/>
      <c r="CW52" s="143"/>
      <c r="CX52" s="143"/>
      <c r="CY52" s="143"/>
      <c r="CZ52" s="143"/>
      <c r="DA52" s="143"/>
      <c r="DB52" s="143"/>
      <c r="DC52" s="143"/>
      <c r="DD52" s="143"/>
      <c r="DE52" s="143"/>
      <c r="DF52" s="143"/>
      <c r="DG52" s="143"/>
      <c r="DH52" s="143"/>
      <c r="DI52" s="143"/>
      <c r="DJ52" s="143"/>
      <c r="DK52" s="143"/>
      <c r="DL52" s="143"/>
      <c r="DM52" s="143"/>
      <c r="DN52" s="143"/>
      <c r="DO52" s="143"/>
      <c r="DP52" s="143"/>
      <c r="DQ52" s="143"/>
      <c r="DR52" s="143"/>
      <c r="DS52" s="143"/>
      <c r="DT52" s="143"/>
      <c r="DU52" s="143"/>
      <c r="DV52" s="143"/>
      <c r="DW52" s="148"/>
      <c r="DX52" s="143"/>
      <c r="DY52" s="149"/>
    </row>
    <row r="53" spans="1:129" ht="12.6" customHeight="1">
      <c r="A53" s="540"/>
      <c r="C53" s="615"/>
      <c r="D53" s="616"/>
      <c r="E53" s="617"/>
      <c r="F53" s="617"/>
      <c r="G53" s="618"/>
      <c r="H53" s="618"/>
      <c r="I53" s="618"/>
      <c r="J53" s="619"/>
      <c r="CW53" s="143"/>
      <c r="CX53" s="143"/>
      <c r="CY53" s="143"/>
      <c r="CZ53" s="143"/>
      <c r="DA53" s="143"/>
      <c r="DB53" s="143"/>
      <c r="DC53" s="143"/>
      <c r="DD53" s="143"/>
      <c r="DE53" s="143"/>
      <c r="DF53" s="143"/>
      <c r="DG53" s="143"/>
      <c r="DH53" s="143"/>
      <c r="DI53" s="143"/>
      <c r="DJ53" s="143"/>
      <c r="DK53" s="143"/>
      <c r="DL53" s="143"/>
      <c r="DM53" s="143"/>
      <c r="DN53" s="143"/>
      <c r="DO53" s="143"/>
      <c r="DP53" s="143"/>
      <c r="DQ53" s="143"/>
      <c r="DR53" s="143"/>
      <c r="DS53" s="143"/>
      <c r="DT53" s="143"/>
      <c r="DU53" s="143"/>
      <c r="DV53" s="143"/>
      <c r="DW53" s="148"/>
      <c r="DX53" s="143"/>
      <c r="DY53" s="149"/>
    </row>
    <row r="54" spans="1:129" ht="12.6" customHeight="1">
      <c r="A54" s="540"/>
      <c r="C54" s="615"/>
      <c r="D54" s="616"/>
      <c r="E54" s="617"/>
      <c r="F54" s="617"/>
      <c r="G54" s="618"/>
      <c r="H54" s="618"/>
      <c r="I54" s="618"/>
      <c r="J54" s="619"/>
      <c r="CW54" s="143"/>
      <c r="CX54" s="143"/>
      <c r="CY54" s="143"/>
      <c r="CZ54" s="143"/>
      <c r="DA54" s="143"/>
      <c r="DB54" s="143"/>
      <c r="DC54" s="143"/>
      <c r="DD54" s="143"/>
      <c r="DE54" s="143"/>
      <c r="DF54" s="143"/>
      <c r="DG54" s="143"/>
      <c r="DH54" s="143"/>
      <c r="DI54" s="143"/>
      <c r="DJ54" s="143"/>
      <c r="DK54" s="143"/>
      <c r="DL54" s="143"/>
      <c r="DM54" s="143"/>
      <c r="DN54" s="143"/>
      <c r="DO54" s="143"/>
      <c r="DP54" s="143"/>
      <c r="DQ54" s="143"/>
      <c r="DR54" s="143"/>
      <c r="DS54" s="143"/>
      <c r="DT54" s="143"/>
      <c r="DU54" s="143"/>
      <c r="DV54" s="143"/>
      <c r="DW54" s="148"/>
      <c r="DX54" s="143"/>
      <c r="DY54" s="149"/>
    </row>
    <row r="55" spans="1:129" ht="12.6" customHeight="1">
      <c r="A55" s="540"/>
      <c r="C55" s="615"/>
      <c r="D55" s="616"/>
      <c r="E55" s="617"/>
      <c r="F55" s="617"/>
      <c r="G55" s="618"/>
      <c r="H55" s="618"/>
      <c r="I55" s="618"/>
      <c r="J55" s="619"/>
      <c r="CW55" s="143"/>
      <c r="CX55" s="143"/>
      <c r="CY55" s="143"/>
      <c r="CZ55" s="143"/>
      <c r="DA55" s="143"/>
      <c r="DB55" s="143"/>
      <c r="DC55" s="143"/>
      <c r="DD55" s="143"/>
      <c r="DE55" s="143"/>
      <c r="DF55" s="143"/>
      <c r="DG55" s="143"/>
      <c r="DH55" s="143"/>
      <c r="DI55" s="143"/>
      <c r="DJ55" s="143"/>
      <c r="DK55" s="143"/>
      <c r="DL55" s="143"/>
      <c r="DM55" s="143"/>
      <c r="DN55" s="143"/>
      <c r="DO55" s="143"/>
      <c r="DP55" s="143"/>
      <c r="DQ55" s="143"/>
      <c r="DR55" s="143"/>
      <c r="DS55" s="143"/>
      <c r="DT55" s="143"/>
      <c r="DU55" s="143"/>
      <c r="DV55" s="143"/>
      <c r="DW55" s="148"/>
      <c r="DX55" s="143"/>
      <c r="DY55" s="149"/>
    </row>
    <row r="56" spans="1:129" ht="12.6" customHeight="1" thickBot="1">
      <c r="A56" s="540"/>
      <c r="C56" s="400"/>
      <c r="D56" s="401"/>
      <c r="E56" s="402"/>
      <c r="F56" s="402"/>
      <c r="G56" s="403"/>
      <c r="H56" s="403"/>
      <c r="I56" s="403"/>
      <c r="J56" s="404"/>
      <c r="CW56" s="143"/>
      <c r="CX56" s="143"/>
      <c r="CY56" s="143"/>
      <c r="CZ56" s="143"/>
      <c r="DA56" s="143"/>
      <c r="DB56" s="143"/>
      <c r="DC56" s="143"/>
      <c r="DD56" s="143"/>
      <c r="DE56" s="143"/>
      <c r="DF56" s="143"/>
      <c r="DG56" s="143"/>
      <c r="DH56" s="143"/>
      <c r="DI56" s="143"/>
      <c r="DJ56" s="143"/>
      <c r="DK56" s="143"/>
      <c r="DL56" s="143"/>
      <c r="DM56" s="143"/>
      <c r="DN56" s="143"/>
      <c r="DO56" s="143"/>
      <c r="DP56" s="143"/>
      <c r="DQ56" s="143"/>
      <c r="DR56" s="143"/>
      <c r="DS56" s="143"/>
      <c r="DT56" s="143"/>
      <c r="DU56" s="143"/>
      <c r="DV56" s="143"/>
      <c r="DW56" s="148"/>
      <c r="DX56" s="143"/>
      <c r="DY56" s="149"/>
    </row>
    <row r="57" spans="1:129" ht="12.6" customHeight="1">
      <c r="A57" s="540"/>
      <c r="CW57" s="143"/>
      <c r="CX57" s="143"/>
      <c r="CY57" s="143"/>
      <c r="CZ57" s="143"/>
      <c r="DA57" s="143"/>
      <c r="DB57" s="143"/>
      <c r="DC57" s="143"/>
      <c r="DD57" s="143"/>
      <c r="DE57" s="143"/>
      <c r="DF57" s="143"/>
      <c r="DG57" s="143"/>
      <c r="DH57" s="143"/>
      <c r="DI57" s="143"/>
      <c r="DJ57" s="143"/>
      <c r="DK57" s="143"/>
      <c r="DL57" s="143"/>
      <c r="DM57" s="143"/>
      <c r="DN57" s="143"/>
      <c r="DO57" s="143"/>
      <c r="DP57" s="143"/>
      <c r="DQ57" s="143"/>
      <c r="DR57" s="143"/>
      <c r="DS57" s="143"/>
      <c r="DT57" s="143"/>
      <c r="DU57" s="143"/>
      <c r="DV57" s="143"/>
      <c r="DW57" s="148"/>
      <c r="DX57" s="143"/>
      <c r="DY57" s="149"/>
    </row>
    <row r="58" spans="1:129" ht="12.6" customHeight="1">
      <c r="A58" s="540"/>
      <c r="CW58" s="143"/>
      <c r="CX58" s="143"/>
      <c r="CY58" s="143"/>
      <c r="CZ58" s="143"/>
      <c r="DA58" s="143"/>
      <c r="DB58" s="143"/>
      <c r="DC58" s="143"/>
      <c r="DD58" s="143"/>
      <c r="DE58" s="143"/>
      <c r="DF58" s="143"/>
      <c r="DG58" s="143"/>
      <c r="DH58" s="143"/>
      <c r="DI58" s="143"/>
      <c r="DJ58" s="143"/>
      <c r="DK58" s="143"/>
      <c r="DL58" s="143"/>
      <c r="DM58" s="143"/>
      <c r="DN58" s="143"/>
      <c r="DO58" s="143"/>
      <c r="DP58" s="143"/>
      <c r="DQ58" s="143"/>
      <c r="DR58" s="143"/>
      <c r="DS58" s="143"/>
      <c r="DT58" s="143"/>
      <c r="DU58" s="143"/>
      <c r="DV58" s="143"/>
      <c r="DW58" s="148"/>
      <c r="DX58" s="143"/>
      <c r="DY58" s="149"/>
    </row>
    <row r="59" spans="1:129" ht="12.6" customHeight="1">
      <c r="A59" s="540"/>
      <c r="CW59" s="143"/>
      <c r="CX59" s="143"/>
      <c r="CY59" s="143"/>
      <c r="CZ59" s="143"/>
      <c r="DA59" s="143"/>
      <c r="DB59" s="143"/>
      <c r="DC59" s="143"/>
      <c r="DD59" s="143"/>
      <c r="DE59" s="143"/>
      <c r="DF59" s="143"/>
      <c r="DG59" s="143"/>
      <c r="DH59" s="143"/>
      <c r="DI59" s="143"/>
      <c r="DJ59" s="143"/>
      <c r="DK59" s="143"/>
      <c r="DL59" s="143"/>
      <c r="DM59" s="143"/>
      <c r="DN59" s="143"/>
      <c r="DO59" s="143"/>
      <c r="DP59" s="143"/>
      <c r="DQ59" s="143"/>
      <c r="DR59" s="143"/>
      <c r="DS59" s="143"/>
      <c r="DT59" s="143"/>
      <c r="DU59" s="143"/>
      <c r="DV59" s="143"/>
      <c r="DW59" s="148"/>
      <c r="DX59" s="143"/>
      <c r="DY59" s="149"/>
    </row>
    <row r="60" spans="1:129" ht="12.6" customHeight="1">
      <c r="A60" s="540"/>
      <c r="CW60" s="143"/>
      <c r="CX60" s="143"/>
      <c r="CY60" s="143"/>
      <c r="CZ60" s="143"/>
      <c r="DA60" s="143"/>
      <c r="DB60" s="143"/>
      <c r="DC60" s="143"/>
      <c r="DD60" s="143"/>
      <c r="DE60" s="143"/>
      <c r="DF60" s="143"/>
      <c r="DG60" s="143"/>
      <c r="DH60" s="143"/>
      <c r="DI60" s="143"/>
      <c r="DJ60" s="143"/>
      <c r="DK60" s="143"/>
      <c r="DL60" s="143"/>
      <c r="DM60" s="143"/>
      <c r="DN60" s="143"/>
      <c r="DO60" s="143"/>
      <c r="DP60" s="143"/>
      <c r="DQ60" s="143"/>
      <c r="DR60" s="143"/>
      <c r="DS60" s="143"/>
      <c r="DT60" s="143"/>
      <c r="DU60" s="143"/>
      <c r="DV60" s="143"/>
      <c r="DW60" s="148"/>
      <c r="DX60" s="143"/>
      <c r="DY60" s="149"/>
    </row>
    <row r="61" spans="1:129" ht="12.6" customHeight="1">
      <c r="A61" s="540"/>
      <c r="CW61" s="143"/>
      <c r="CX61" s="143"/>
      <c r="CY61" s="143"/>
      <c r="CZ61" s="143"/>
      <c r="DA61" s="143"/>
      <c r="DB61" s="143"/>
      <c r="DC61" s="143"/>
      <c r="DD61" s="143"/>
      <c r="DE61" s="143"/>
      <c r="DF61" s="143"/>
      <c r="DG61" s="143"/>
      <c r="DH61" s="143"/>
      <c r="DI61" s="143"/>
      <c r="DJ61" s="143"/>
      <c r="DK61" s="143"/>
      <c r="DL61" s="143"/>
      <c r="DM61" s="143"/>
      <c r="DN61" s="143"/>
      <c r="DO61" s="143"/>
      <c r="DP61" s="143"/>
      <c r="DQ61" s="143"/>
      <c r="DR61" s="143"/>
      <c r="DS61" s="143"/>
      <c r="DT61" s="143"/>
      <c r="DU61" s="143"/>
      <c r="DV61" s="143"/>
      <c r="DW61" s="148"/>
      <c r="DX61" s="143"/>
      <c r="DY61" s="149"/>
    </row>
    <row r="62" spans="1:129" ht="12.6" customHeight="1">
      <c r="A62" s="540"/>
      <c r="CW62" s="143"/>
      <c r="CX62" s="143"/>
      <c r="CY62" s="143"/>
      <c r="CZ62" s="143"/>
      <c r="DA62" s="143"/>
      <c r="DB62" s="143"/>
      <c r="DC62" s="143"/>
      <c r="DD62" s="143"/>
      <c r="DE62" s="143"/>
      <c r="DF62" s="143"/>
      <c r="DG62" s="143"/>
      <c r="DH62" s="143"/>
      <c r="DI62" s="143"/>
      <c r="DJ62" s="143"/>
      <c r="DK62" s="143"/>
      <c r="DL62" s="143"/>
      <c r="DM62" s="143"/>
      <c r="DN62" s="143"/>
      <c r="DO62" s="143"/>
      <c r="DP62" s="143"/>
      <c r="DQ62" s="143"/>
      <c r="DR62" s="143"/>
      <c r="DS62" s="143"/>
      <c r="DT62" s="143"/>
      <c r="DU62" s="143"/>
      <c r="DV62" s="143"/>
      <c r="DW62" s="148"/>
      <c r="DX62" s="143"/>
      <c r="DY62" s="149"/>
    </row>
    <row r="63" spans="1:129" ht="12.6" customHeight="1">
      <c r="A63" s="540"/>
      <c r="CW63" s="143"/>
      <c r="CX63" s="143"/>
      <c r="CY63" s="143"/>
      <c r="CZ63" s="143"/>
      <c r="DA63" s="143"/>
      <c r="DB63" s="143"/>
      <c r="DC63" s="143"/>
      <c r="DD63" s="143"/>
      <c r="DE63" s="143"/>
      <c r="DF63" s="143"/>
      <c r="DG63" s="143"/>
      <c r="DH63" s="143"/>
      <c r="DI63" s="143"/>
      <c r="DJ63" s="143"/>
      <c r="DK63" s="143"/>
      <c r="DL63" s="143"/>
      <c r="DM63" s="143"/>
      <c r="DN63" s="143"/>
      <c r="DO63" s="143"/>
      <c r="DP63" s="143"/>
      <c r="DQ63" s="143"/>
      <c r="DR63" s="143"/>
      <c r="DS63" s="143"/>
      <c r="DT63" s="143"/>
      <c r="DU63" s="143"/>
      <c r="DV63" s="143"/>
      <c r="DW63" s="148"/>
      <c r="DX63" s="143"/>
      <c r="DY63" s="149"/>
    </row>
    <row r="64" spans="1:129" ht="12.6" customHeight="1">
      <c r="A64" s="540"/>
      <c r="CW64" s="143"/>
      <c r="CX64" s="143"/>
      <c r="CY64" s="143"/>
      <c r="CZ64" s="143"/>
      <c r="DA64" s="143"/>
      <c r="DB64" s="143"/>
      <c r="DC64" s="143"/>
      <c r="DD64" s="143"/>
      <c r="DE64" s="143"/>
      <c r="DF64" s="143"/>
      <c r="DG64" s="143"/>
      <c r="DH64" s="143"/>
      <c r="DI64" s="143"/>
      <c r="DJ64" s="143"/>
      <c r="DK64" s="143"/>
      <c r="DL64" s="143"/>
      <c r="DM64" s="143"/>
      <c r="DN64" s="143"/>
      <c r="DO64" s="143"/>
      <c r="DP64" s="143"/>
      <c r="DQ64" s="143"/>
      <c r="DR64" s="143"/>
      <c r="DS64" s="143"/>
      <c r="DT64" s="143"/>
      <c r="DU64" s="143"/>
      <c r="DV64" s="143"/>
      <c r="DW64" s="148"/>
      <c r="DX64" s="143"/>
      <c r="DY64" s="149"/>
    </row>
    <row r="65" spans="1:129" ht="12.6" customHeight="1">
      <c r="A65" s="540"/>
      <c r="CW65" s="143"/>
      <c r="CX65" s="143"/>
      <c r="CY65" s="143"/>
      <c r="CZ65" s="143"/>
      <c r="DA65" s="143"/>
      <c r="DB65" s="143"/>
      <c r="DC65" s="143"/>
      <c r="DD65" s="143"/>
      <c r="DE65" s="143"/>
      <c r="DF65" s="143"/>
      <c r="DG65" s="143"/>
      <c r="DH65" s="143"/>
      <c r="DI65" s="143"/>
      <c r="DJ65" s="143"/>
      <c r="DK65" s="143"/>
      <c r="DL65" s="143"/>
      <c r="DM65" s="143"/>
      <c r="DN65" s="143"/>
      <c r="DO65" s="143"/>
      <c r="DP65" s="143"/>
      <c r="DQ65" s="143"/>
      <c r="DR65" s="143"/>
      <c r="DS65" s="143"/>
      <c r="DT65" s="143"/>
      <c r="DU65" s="143"/>
      <c r="DV65" s="143"/>
      <c r="DW65" s="148"/>
      <c r="DX65" s="143"/>
      <c r="DY65" s="149"/>
    </row>
    <row r="66" spans="1:129" ht="12.6" customHeight="1">
      <c r="A66" s="540"/>
      <c r="CW66" s="143"/>
      <c r="CX66" s="143"/>
      <c r="CY66" s="143"/>
      <c r="CZ66" s="143"/>
      <c r="DA66" s="143"/>
      <c r="DB66" s="143"/>
      <c r="DC66" s="143"/>
      <c r="DD66" s="143"/>
      <c r="DE66" s="143"/>
      <c r="DF66" s="143"/>
      <c r="DG66" s="143"/>
      <c r="DH66" s="143"/>
      <c r="DI66" s="143"/>
      <c r="DJ66" s="143"/>
      <c r="DK66" s="143"/>
      <c r="DL66" s="143"/>
      <c r="DM66" s="143"/>
      <c r="DN66" s="143"/>
      <c r="DO66" s="143"/>
      <c r="DP66" s="143"/>
      <c r="DQ66" s="143"/>
      <c r="DR66" s="143"/>
      <c r="DS66" s="143"/>
      <c r="DT66" s="143"/>
      <c r="DU66" s="143"/>
      <c r="DV66" s="143"/>
      <c r="DW66" s="148"/>
      <c r="DX66" s="143"/>
      <c r="DY66" s="149"/>
    </row>
    <row r="67" spans="1:129" ht="12.6" customHeight="1">
      <c r="A67" s="540"/>
      <c r="CW67" s="143"/>
      <c r="CX67" s="143"/>
      <c r="CY67" s="143"/>
      <c r="CZ67" s="143"/>
      <c r="DA67" s="143"/>
      <c r="DB67" s="143"/>
      <c r="DC67" s="143"/>
      <c r="DD67" s="143"/>
      <c r="DE67" s="143"/>
      <c r="DF67" s="143"/>
      <c r="DG67" s="143"/>
      <c r="DH67" s="143"/>
      <c r="DI67" s="143"/>
      <c r="DJ67" s="143"/>
      <c r="DK67" s="143"/>
      <c r="DL67" s="143"/>
      <c r="DM67" s="143"/>
      <c r="DN67" s="143"/>
      <c r="DO67" s="143"/>
      <c r="DP67" s="143"/>
      <c r="DQ67" s="143"/>
      <c r="DR67" s="143"/>
      <c r="DS67" s="143"/>
      <c r="DT67" s="143"/>
      <c r="DU67" s="143"/>
      <c r="DV67" s="143"/>
      <c r="DW67" s="148"/>
      <c r="DX67" s="143"/>
      <c r="DY67" s="149"/>
    </row>
    <row r="68" spans="1:129" ht="12.6" customHeight="1">
      <c r="A68" s="540"/>
      <c r="CW68" s="143"/>
      <c r="CX68" s="143"/>
      <c r="CY68" s="143"/>
      <c r="CZ68" s="143"/>
      <c r="DA68" s="143"/>
      <c r="DB68" s="143"/>
      <c r="DC68" s="143"/>
      <c r="DD68" s="143"/>
      <c r="DE68" s="143"/>
      <c r="DF68" s="143"/>
      <c r="DG68" s="143"/>
      <c r="DH68" s="143"/>
      <c r="DI68" s="143"/>
      <c r="DJ68" s="143"/>
      <c r="DK68" s="143"/>
      <c r="DL68" s="143"/>
      <c r="DM68" s="143"/>
      <c r="DN68" s="143"/>
      <c r="DO68" s="143"/>
      <c r="DP68" s="143"/>
      <c r="DQ68" s="143"/>
      <c r="DR68" s="143"/>
      <c r="DS68" s="143"/>
      <c r="DT68" s="143"/>
      <c r="DU68" s="143"/>
      <c r="DV68" s="143"/>
      <c r="DW68" s="148"/>
      <c r="DX68" s="143"/>
      <c r="DY68" s="149"/>
    </row>
    <row r="69" spans="1:129" ht="12.6" customHeight="1">
      <c r="A69" s="540"/>
      <c r="CW69" s="143"/>
      <c r="CX69" s="143"/>
      <c r="CY69" s="143"/>
      <c r="CZ69" s="143"/>
      <c r="DA69" s="143"/>
      <c r="DB69" s="143"/>
      <c r="DC69" s="143"/>
      <c r="DD69" s="143"/>
      <c r="DE69" s="143"/>
      <c r="DF69" s="143"/>
      <c r="DG69" s="143"/>
      <c r="DH69" s="143"/>
      <c r="DI69" s="143"/>
      <c r="DJ69" s="143"/>
      <c r="DK69" s="143"/>
      <c r="DL69" s="143"/>
      <c r="DM69" s="143"/>
      <c r="DN69" s="143"/>
      <c r="DO69" s="143"/>
      <c r="DP69" s="143"/>
      <c r="DQ69" s="143"/>
      <c r="DR69" s="143"/>
      <c r="DS69" s="143"/>
      <c r="DT69" s="143"/>
      <c r="DU69" s="143"/>
      <c r="DV69" s="143"/>
      <c r="DW69" s="148"/>
      <c r="DX69" s="143"/>
      <c r="DY69" s="149"/>
    </row>
    <row r="70" spans="1:129" ht="12.6" customHeight="1">
      <c r="A70" s="540"/>
      <c r="CW70" s="143"/>
      <c r="CX70" s="143"/>
      <c r="CY70" s="143"/>
      <c r="CZ70" s="143"/>
      <c r="DA70" s="143"/>
      <c r="DB70" s="143"/>
      <c r="DC70" s="143"/>
      <c r="DD70" s="143"/>
      <c r="DE70" s="143"/>
      <c r="DF70" s="143"/>
      <c r="DG70" s="143"/>
      <c r="DH70" s="143"/>
      <c r="DI70" s="143"/>
      <c r="DJ70" s="143"/>
      <c r="DK70" s="143"/>
      <c r="DL70" s="143"/>
      <c r="DM70" s="143"/>
      <c r="DN70" s="143"/>
      <c r="DO70" s="143"/>
      <c r="DP70" s="143"/>
      <c r="DQ70" s="143"/>
      <c r="DR70" s="143"/>
      <c r="DS70" s="143"/>
      <c r="DT70" s="143"/>
      <c r="DU70" s="143"/>
      <c r="DV70" s="143"/>
      <c r="DW70" s="148"/>
      <c r="DX70" s="143"/>
      <c r="DY70" s="149"/>
    </row>
    <row r="71" spans="1:129" ht="12.6" customHeight="1">
      <c r="A71" s="540"/>
      <c r="CW71" s="143"/>
      <c r="CX71" s="143"/>
      <c r="CY71" s="143"/>
      <c r="CZ71" s="143"/>
      <c r="DA71" s="143"/>
      <c r="DB71" s="143"/>
      <c r="DC71" s="143"/>
      <c r="DD71" s="143"/>
      <c r="DE71" s="143"/>
      <c r="DF71" s="143"/>
      <c r="DG71" s="143"/>
      <c r="DH71" s="143"/>
      <c r="DI71" s="143"/>
      <c r="DJ71" s="143"/>
      <c r="DK71" s="143"/>
      <c r="DL71" s="143"/>
      <c r="DM71" s="143"/>
      <c r="DN71" s="143"/>
      <c r="DO71" s="143"/>
      <c r="DP71" s="143"/>
      <c r="DQ71" s="143"/>
      <c r="DR71" s="143"/>
      <c r="DS71" s="143"/>
      <c r="DT71" s="143"/>
      <c r="DU71" s="143"/>
      <c r="DV71" s="143"/>
      <c r="DW71" s="148"/>
      <c r="DX71" s="143"/>
      <c r="DY71" s="149"/>
    </row>
    <row r="72" spans="1:129" ht="12.6" customHeight="1">
      <c r="A72" s="540"/>
      <c r="CW72" s="143"/>
      <c r="CX72" s="143"/>
      <c r="CY72" s="143"/>
      <c r="CZ72" s="143"/>
      <c r="DA72" s="143"/>
      <c r="DB72" s="143"/>
      <c r="DC72" s="143"/>
      <c r="DD72" s="143"/>
      <c r="DE72" s="143"/>
      <c r="DF72" s="143"/>
      <c r="DG72" s="143"/>
      <c r="DH72" s="143"/>
      <c r="DI72" s="143"/>
      <c r="DJ72" s="143"/>
      <c r="DK72" s="143"/>
      <c r="DL72" s="143"/>
      <c r="DM72" s="143"/>
      <c r="DN72" s="143"/>
      <c r="DO72" s="143"/>
      <c r="DP72" s="143"/>
      <c r="DQ72" s="143"/>
      <c r="DR72" s="143"/>
      <c r="DS72" s="143"/>
      <c r="DT72" s="143"/>
      <c r="DU72" s="143"/>
      <c r="DV72" s="143"/>
      <c r="DW72" s="148"/>
      <c r="DX72" s="143"/>
      <c r="DY72" s="149"/>
    </row>
    <row r="73" spans="1:129" ht="12.6" customHeight="1">
      <c r="A73" s="540"/>
      <c r="CW73" s="143"/>
      <c r="CX73" s="143"/>
      <c r="CY73" s="143"/>
      <c r="CZ73" s="143"/>
      <c r="DA73" s="143"/>
      <c r="DB73" s="143"/>
      <c r="DC73" s="143"/>
      <c r="DD73" s="143"/>
      <c r="DE73" s="143"/>
      <c r="DF73" s="143"/>
      <c r="DG73" s="143"/>
      <c r="DH73" s="143"/>
      <c r="DI73" s="143"/>
      <c r="DJ73" s="143"/>
      <c r="DK73" s="143"/>
      <c r="DL73" s="143"/>
      <c r="DM73" s="143"/>
      <c r="DN73" s="143"/>
      <c r="DO73" s="143"/>
      <c r="DP73" s="143"/>
      <c r="DQ73" s="143"/>
      <c r="DR73" s="143"/>
      <c r="DS73" s="143"/>
      <c r="DT73" s="143"/>
      <c r="DU73" s="143"/>
      <c r="DV73" s="143"/>
      <c r="DW73" s="148"/>
      <c r="DX73" s="143"/>
      <c r="DY73" s="149"/>
    </row>
    <row r="74" spans="1:129" ht="12.6" customHeight="1">
      <c r="A74" s="540"/>
      <c r="CW74" s="143"/>
      <c r="CX74" s="143"/>
      <c r="CY74" s="143"/>
      <c r="CZ74" s="143"/>
      <c r="DA74" s="143"/>
      <c r="DB74" s="143"/>
      <c r="DC74" s="143"/>
      <c r="DD74" s="143"/>
      <c r="DE74" s="143"/>
      <c r="DF74" s="143"/>
      <c r="DG74" s="143"/>
      <c r="DH74" s="143"/>
      <c r="DI74" s="143"/>
      <c r="DJ74" s="143"/>
      <c r="DK74" s="143"/>
      <c r="DL74" s="143"/>
      <c r="DM74" s="143"/>
      <c r="DN74" s="143"/>
      <c r="DO74" s="143"/>
      <c r="DP74" s="143"/>
      <c r="DQ74" s="143"/>
      <c r="DR74" s="143"/>
      <c r="DS74" s="143"/>
      <c r="DT74" s="143"/>
      <c r="DU74" s="143"/>
      <c r="DV74" s="143"/>
      <c r="DW74" s="148"/>
      <c r="DX74" s="143"/>
      <c r="DY74" s="149"/>
    </row>
    <row r="75" spans="1:129" ht="12.6" customHeight="1">
      <c r="A75" s="540"/>
      <c r="CW75" s="143"/>
      <c r="CX75" s="143"/>
      <c r="CY75" s="143"/>
      <c r="CZ75" s="143"/>
      <c r="DA75" s="143"/>
      <c r="DB75" s="143"/>
      <c r="DC75" s="143"/>
      <c r="DD75" s="143"/>
      <c r="DE75" s="143"/>
      <c r="DF75" s="143"/>
      <c r="DG75" s="143"/>
      <c r="DH75" s="143"/>
      <c r="DI75" s="143"/>
      <c r="DJ75" s="143"/>
      <c r="DK75" s="143"/>
      <c r="DL75" s="143"/>
      <c r="DM75" s="143"/>
      <c r="DN75" s="143"/>
      <c r="DO75" s="143"/>
      <c r="DP75" s="143"/>
      <c r="DQ75" s="143"/>
      <c r="DR75" s="143"/>
      <c r="DS75" s="143"/>
      <c r="DT75" s="143"/>
      <c r="DU75" s="143"/>
      <c r="DV75" s="143"/>
      <c r="DW75" s="148"/>
      <c r="DX75" s="143"/>
      <c r="DY75" s="149"/>
    </row>
    <row r="76" spans="1:129" ht="12.6" customHeight="1">
      <c r="A76" s="540"/>
      <c r="CW76" s="143"/>
      <c r="CX76" s="143"/>
      <c r="CY76" s="143"/>
      <c r="CZ76" s="143"/>
      <c r="DA76" s="143"/>
      <c r="DB76" s="143"/>
      <c r="DC76" s="143"/>
      <c r="DD76" s="143"/>
      <c r="DE76" s="143"/>
      <c r="DF76" s="143"/>
      <c r="DG76" s="143"/>
      <c r="DH76" s="143"/>
      <c r="DI76" s="143"/>
      <c r="DJ76" s="143"/>
      <c r="DK76" s="143"/>
      <c r="DL76" s="143"/>
      <c r="DM76" s="143"/>
      <c r="DN76" s="143"/>
      <c r="DO76" s="143"/>
      <c r="DP76" s="143"/>
      <c r="DQ76" s="143"/>
      <c r="DR76" s="143"/>
      <c r="DS76" s="143"/>
      <c r="DT76" s="143"/>
      <c r="DU76" s="143"/>
      <c r="DV76" s="143"/>
      <c r="DW76" s="148"/>
      <c r="DX76" s="143"/>
      <c r="DY76" s="149"/>
    </row>
    <row r="77" spans="1:129" ht="12.6" customHeight="1">
      <c r="A77" s="540"/>
      <c r="CW77" s="143"/>
      <c r="CX77" s="143"/>
      <c r="CY77" s="143"/>
      <c r="CZ77" s="143"/>
      <c r="DA77" s="143"/>
      <c r="DB77" s="143"/>
      <c r="DC77" s="143"/>
      <c r="DD77" s="143"/>
      <c r="DE77" s="143"/>
      <c r="DF77" s="143"/>
      <c r="DG77" s="143"/>
      <c r="DH77" s="143"/>
      <c r="DI77" s="143"/>
      <c r="DJ77" s="143"/>
      <c r="DK77" s="143"/>
      <c r="DL77" s="143"/>
      <c r="DM77" s="143"/>
      <c r="DN77" s="143"/>
      <c r="DO77" s="143"/>
      <c r="DP77" s="143"/>
      <c r="DQ77" s="143"/>
      <c r="DR77" s="143"/>
      <c r="DS77" s="143"/>
      <c r="DT77" s="143"/>
      <c r="DU77" s="143"/>
      <c r="DV77" s="143"/>
      <c r="DW77" s="148"/>
      <c r="DX77" s="143"/>
      <c r="DY77" s="149"/>
    </row>
    <row r="78" spans="1:129" ht="12.6" customHeight="1">
      <c r="A78" s="540"/>
      <c r="CW78" s="143"/>
      <c r="CX78" s="143"/>
      <c r="CY78" s="143"/>
      <c r="CZ78" s="143"/>
      <c r="DA78" s="143"/>
      <c r="DB78" s="143"/>
      <c r="DC78" s="143"/>
      <c r="DD78" s="143"/>
      <c r="DE78" s="143"/>
      <c r="DF78" s="143"/>
      <c r="DG78" s="143"/>
      <c r="DH78" s="143"/>
      <c r="DI78" s="143"/>
      <c r="DJ78" s="143"/>
      <c r="DK78" s="143"/>
      <c r="DL78" s="143"/>
      <c r="DM78" s="143"/>
      <c r="DN78" s="143"/>
      <c r="DO78" s="143"/>
      <c r="DP78" s="143"/>
      <c r="DQ78" s="143"/>
      <c r="DR78" s="143"/>
      <c r="DS78" s="143"/>
      <c r="DT78" s="143"/>
      <c r="DU78" s="143"/>
      <c r="DV78" s="143"/>
      <c r="DW78" s="148"/>
      <c r="DX78" s="143"/>
      <c r="DY78" s="149"/>
    </row>
    <row r="79" spans="1:129" ht="12.6" customHeight="1">
      <c r="A79" s="540"/>
      <c r="CW79" s="143"/>
      <c r="CX79" s="143"/>
      <c r="CY79" s="143"/>
      <c r="CZ79" s="143"/>
      <c r="DA79" s="143"/>
      <c r="DB79" s="143"/>
      <c r="DC79" s="143"/>
      <c r="DD79" s="143"/>
      <c r="DE79" s="143"/>
      <c r="DF79" s="143"/>
      <c r="DG79" s="143"/>
      <c r="DH79" s="143"/>
      <c r="DI79" s="143"/>
      <c r="DJ79" s="143"/>
      <c r="DK79" s="143"/>
      <c r="DL79" s="143"/>
      <c r="DM79" s="143"/>
      <c r="DN79" s="143"/>
      <c r="DO79" s="143"/>
      <c r="DP79" s="143"/>
      <c r="DQ79" s="143"/>
      <c r="DR79" s="143"/>
      <c r="DS79" s="143"/>
      <c r="DT79" s="143"/>
      <c r="DU79" s="143"/>
      <c r="DV79" s="143"/>
      <c r="DW79" s="148"/>
      <c r="DX79" s="143"/>
      <c r="DY79" s="149"/>
    </row>
    <row r="80" spans="1:129" ht="12.6" customHeight="1">
      <c r="A80" s="540"/>
      <c r="CW80" s="143"/>
      <c r="CX80" s="143"/>
      <c r="CY80" s="143"/>
      <c r="CZ80" s="143"/>
      <c r="DA80" s="143"/>
      <c r="DB80" s="143"/>
      <c r="DC80" s="143"/>
      <c r="DD80" s="143"/>
      <c r="DE80" s="143"/>
      <c r="DF80" s="143"/>
      <c r="DG80" s="143"/>
      <c r="DH80" s="143"/>
      <c r="DI80" s="143"/>
      <c r="DJ80" s="143"/>
      <c r="DK80" s="143"/>
      <c r="DL80" s="143"/>
      <c r="DM80" s="143"/>
      <c r="DN80" s="143"/>
      <c r="DO80" s="143"/>
      <c r="DP80" s="143"/>
      <c r="DQ80" s="143"/>
      <c r="DR80" s="143"/>
      <c r="DS80" s="143"/>
      <c r="DT80" s="143"/>
      <c r="DU80" s="143"/>
      <c r="DV80" s="143"/>
      <c r="DW80" s="148"/>
      <c r="DX80" s="143"/>
      <c r="DY80" s="149"/>
    </row>
    <row r="81" spans="1:129" ht="12.6" customHeight="1">
      <c r="A81" s="540"/>
      <c r="CW81" s="143"/>
      <c r="CX81" s="143"/>
      <c r="CY81" s="143"/>
      <c r="CZ81" s="143"/>
      <c r="DA81" s="143"/>
      <c r="DB81" s="143"/>
      <c r="DC81" s="143"/>
      <c r="DD81" s="143"/>
      <c r="DE81" s="143"/>
      <c r="DF81" s="143"/>
      <c r="DG81" s="143"/>
      <c r="DH81" s="143"/>
      <c r="DI81" s="143"/>
      <c r="DJ81" s="143"/>
      <c r="DK81" s="143"/>
      <c r="DL81" s="143"/>
      <c r="DM81" s="143"/>
      <c r="DN81" s="143"/>
      <c r="DO81" s="143"/>
      <c r="DP81" s="143"/>
      <c r="DQ81" s="143"/>
      <c r="DR81" s="143"/>
      <c r="DS81" s="143"/>
      <c r="DT81" s="143"/>
      <c r="DU81" s="143"/>
      <c r="DV81" s="143"/>
      <c r="DW81" s="148"/>
      <c r="DX81" s="143"/>
      <c r="DY81" s="149"/>
    </row>
    <row r="82" spans="1:129" ht="12.6" customHeight="1">
      <c r="A82" s="540"/>
      <c r="CW82" s="143"/>
      <c r="CX82" s="143"/>
      <c r="CY82" s="143"/>
      <c r="CZ82" s="143"/>
      <c r="DA82" s="143"/>
      <c r="DB82" s="143"/>
      <c r="DC82" s="143"/>
      <c r="DD82" s="143"/>
      <c r="DE82" s="143"/>
      <c r="DF82" s="143"/>
      <c r="DG82" s="143"/>
      <c r="DH82" s="143"/>
      <c r="DI82" s="143"/>
      <c r="DJ82" s="143"/>
      <c r="DK82" s="143"/>
      <c r="DL82" s="143"/>
      <c r="DM82" s="143"/>
      <c r="DN82" s="143"/>
      <c r="DO82" s="143"/>
      <c r="DP82" s="143"/>
      <c r="DQ82" s="143"/>
      <c r="DR82" s="143"/>
      <c r="DS82" s="143"/>
      <c r="DT82" s="143"/>
      <c r="DU82" s="143"/>
      <c r="DV82" s="143"/>
      <c r="DW82" s="148"/>
      <c r="DX82" s="143"/>
      <c r="DY82" s="149"/>
    </row>
    <row r="83" spans="1:129" ht="12.6" customHeight="1">
      <c r="A83" s="540"/>
      <c r="CW83" s="143"/>
      <c r="CX83" s="143"/>
      <c r="CY83" s="143"/>
      <c r="CZ83" s="143"/>
      <c r="DA83" s="143"/>
      <c r="DB83" s="143"/>
      <c r="DC83" s="143"/>
      <c r="DD83" s="143"/>
      <c r="DE83" s="143"/>
      <c r="DF83" s="143"/>
      <c r="DG83" s="143"/>
      <c r="DH83" s="143"/>
      <c r="DI83" s="143"/>
      <c r="DJ83" s="143"/>
      <c r="DK83" s="143"/>
      <c r="DL83" s="143"/>
      <c r="DM83" s="143"/>
      <c r="DN83" s="143"/>
      <c r="DO83" s="143"/>
      <c r="DP83" s="143"/>
      <c r="DQ83" s="143"/>
      <c r="DR83" s="143"/>
      <c r="DS83" s="143"/>
      <c r="DT83" s="143"/>
      <c r="DU83" s="143"/>
      <c r="DV83" s="143"/>
      <c r="DW83" s="148"/>
      <c r="DX83" s="143"/>
      <c r="DY83" s="149"/>
    </row>
    <row r="84" spans="1:129" ht="12.6" customHeight="1">
      <c r="A84" s="540"/>
      <c r="CW84" s="143"/>
      <c r="CX84" s="143"/>
      <c r="CY84" s="143"/>
      <c r="CZ84" s="143"/>
      <c r="DA84" s="143"/>
      <c r="DB84" s="143"/>
      <c r="DC84" s="143"/>
      <c r="DD84" s="143"/>
      <c r="DE84" s="143"/>
      <c r="DF84" s="143"/>
      <c r="DG84" s="143"/>
      <c r="DH84" s="143"/>
      <c r="DI84" s="143"/>
      <c r="DJ84" s="143"/>
      <c r="DK84" s="143"/>
      <c r="DL84" s="143"/>
      <c r="DM84" s="143"/>
      <c r="DN84" s="143"/>
      <c r="DO84" s="143"/>
      <c r="DP84" s="143"/>
      <c r="DQ84" s="143"/>
      <c r="DR84" s="143"/>
      <c r="DS84" s="143"/>
      <c r="DT84" s="143"/>
      <c r="DU84" s="143"/>
      <c r="DV84" s="143"/>
      <c r="DW84" s="148"/>
      <c r="DX84" s="143"/>
      <c r="DY84" s="149"/>
    </row>
    <row r="85" spans="1:129" ht="12.6" customHeight="1">
      <c r="A85" s="540"/>
      <c r="CW85" s="143"/>
      <c r="CX85" s="143"/>
      <c r="CY85" s="143"/>
      <c r="CZ85" s="143"/>
      <c r="DA85" s="143"/>
      <c r="DB85" s="143"/>
      <c r="DC85" s="143"/>
      <c r="DD85" s="143"/>
      <c r="DE85" s="143"/>
      <c r="DF85" s="143"/>
      <c r="DG85" s="143"/>
      <c r="DH85" s="143"/>
      <c r="DI85" s="143"/>
      <c r="DJ85" s="143"/>
      <c r="DK85" s="143"/>
      <c r="DL85" s="143"/>
      <c r="DM85" s="143"/>
      <c r="DN85" s="143"/>
      <c r="DO85" s="143"/>
      <c r="DP85" s="143"/>
      <c r="DQ85" s="143"/>
      <c r="DR85" s="143"/>
      <c r="DS85" s="143"/>
      <c r="DT85" s="143"/>
      <c r="DU85" s="143"/>
      <c r="DV85" s="143"/>
      <c r="DW85" s="148"/>
      <c r="DX85" s="143"/>
      <c r="DY85" s="149"/>
    </row>
    <row r="86" spans="1:129" ht="12.6" customHeight="1">
      <c r="A86" s="540"/>
      <c r="CW86" s="143"/>
      <c r="CX86" s="143"/>
      <c r="CY86" s="143"/>
      <c r="CZ86" s="143"/>
      <c r="DA86" s="143"/>
      <c r="DB86" s="143"/>
      <c r="DC86" s="143"/>
      <c r="DD86" s="143"/>
      <c r="DE86" s="143"/>
      <c r="DF86" s="143"/>
      <c r="DG86" s="143"/>
      <c r="DH86" s="143"/>
      <c r="DI86" s="143"/>
      <c r="DJ86" s="143"/>
      <c r="DK86" s="143"/>
      <c r="DL86" s="143"/>
      <c r="DM86" s="143"/>
      <c r="DN86" s="143"/>
      <c r="DO86" s="143"/>
      <c r="DP86" s="143"/>
      <c r="DQ86" s="143"/>
      <c r="DR86" s="143"/>
      <c r="DS86" s="143"/>
      <c r="DT86" s="143"/>
      <c r="DU86" s="143"/>
      <c r="DV86" s="143"/>
      <c r="DW86" s="148"/>
      <c r="DX86" s="143"/>
      <c r="DY86" s="149"/>
    </row>
    <row r="87" spans="1:129" ht="12.6" customHeight="1">
      <c r="A87" s="540"/>
      <c r="CW87" s="143"/>
      <c r="CX87" s="143"/>
      <c r="CY87" s="143"/>
      <c r="CZ87" s="143"/>
      <c r="DA87" s="143"/>
      <c r="DB87" s="143"/>
      <c r="DC87" s="143"/>
      <c r="DD87" s="143"/>
      <c r="DE87" s="143"/>
      <c r="DF87" s="143"/>
      <c r="DG87" s="143"/>
      <c r="DH87" s="143"/>
      <c r="DI87" s="143"/>
      <c r="DJ87" s="143"/>
      <c r="DK87" s="143"/>
      <c r="DL87" s="143"/>
      <c r="DM87" s="143"/>
      <c r="DN87" s="143"/>
      <c r="DO87" s="143"/>
      <c r="DP87" s="143"/>
      <c r="DQ87" s="143"/>
      <c r="DR87" s="143"/>
      <c r="DS87" s="143"/>
      <c r="DT87" s="143"/>
      <c r="DU87" s="143"/>
      <c r="DV87" s="143"/>
      <c r="DW87" s="148"/>
      <c r="DX87" s="143"/>
      <c r="DY87" s="149"/>
    </row>
    <row r="88" spans="1:129" ht="12.6" customHeight="1">
      <c r="A88" s="540"/>
      <c r="CW88" s="143"/>
      <c r="CX88" s="143"/>
      <c r="CY88" s="143"/>
      <c r="CZ88" s="143"/>
      <c r="DA88" s="143"/>
      <c r="DB88" s="143"/>
      <c r="DC88" s="143"/>
      <c r="DD88" s="143"/>
      <c r="DE88" s="143"/>
      <c r="DF88" s="143"/>
      <c r="DG88" s="143"/>
      <c r="DH88" s="143"/>
      <c r="DI88" s="143"/>
      <c r="DJ88" s="143"/>
      <c r="DK88" s="143"/>
      <c r="DL88" s="143"/>
      <c r="DM88" s="143"/>
      <c r="DN88" s="143"/>
      <c r="DO88" s="143"/>
      <c r="DP88" s="143"/>
      <c r="DQ88" s="143"/>
      <c r="DR88" s="143"/>
      <c r="DS88" s="143"/>
      <c r="DT88" s="143"/>
      <c r="DU88" s="143"/>
      <c r="DV88" s="143"/>
      <c r="DW88" s="148"/>
      <c r="DX88" s="143"/>
      <c r="DY88" s="149"/>
    </row>
    <row r="89" spans="1:129" ht="12.6" customHeight="1">
      <c r="A89" s="540"/>
      <c r="CW89" s="143"/>
      <c r="CX89" s="143"/>
      <c r="CY89" s="143"/>
      <c r="CZ89" s="143"/>
      <c r="DA89" s="143"/>
      <c r="DB89" s="143"/>
      <c r="DC89" s="143"/>
      <c r="DD89" s="143"/>
      <c r="DE89" s="143"/>
      <c r="DF89" s="143"/>
      <c r="DG89" s="143"/>
      <c r="DH89" s="143"/>
      <c r="DI89" s="143"/>
      <c r="DJ89" s="143"/>
      <c r="DK89" s="143"/>
      <c r="DL89" s="143"/>
      <c r="DM89" s="143"/>
      <c r="DN89" s="143"/>
      <c r="DO89" s="143"/>
      <c r="DP89" s="143"/>
      <c r="DQ89" s="143"/>
      <c r="DR89" s="143"/>
      <c r="DS89" s="143"/>
      <c r="DT89" s="143"/>
      <c r="DU89" s="143"/>
      <c r="DV89" s="143"/>
      <c r="DW89" s="148"/>
      <c r="DX89" s="143"/>
      <c r="DY89" s="149"/>
    </row>
    <row r="90" spans="1:129" ht="12.6" customHeight="1">
      <c r="A90" s="540"/>
      <c r="CW90" s="143"/>
      <c r="CX90" s="143"/>
      <c r="CY90" s="143"/>
      <c r="CZ90" s="143"/>
      <c r="DA90" s="143"/>
      <c r="DB90" s="143"/>
      <c r="DC90" s="143"/>
      <c r="DD90" s="143"/>
      <c r="DE90" s="143"/>
      <c r="DF90" s="143"/>
      <c r="DG90" s="143"/>
      <c r="DH90" s="143"/>
      <c r="DI90" s="143"/>
      <c r="DJ90" s="143"/>
      <c r="DK90" s="143"/>
      <c r="DL90" s="143"/>
      <c r="DM90" s="143"/>
      <c r="DN90" s="143"/>
      <c r="DO90" s="143"/>
      <c r="DP90" s="143"/>
      <c r="DQ90" s="143"/>
      <c r="DR90" s="143"/>
      <c r="DS90" s="143"/>
      <c r="DT90" s="143"/>
      <c r="DU90" s="143"/>
      <c r="DV90" s="143"/>
      <c r="DW90" s="148"/>
      <c r="DX90" s="143"/>
      <c r="DY90" s="149"/>
    </row>
    <row r="91" spans="1:129" ht="12.6" customHeight="1">
      <c r="A91" s="540"/>
      <c r="CW91" s="143"/>
      <c r="CX91" s="143"/>
      <c r="CY91" s="143"/>
      <c r="CZ91" s="143"/>
      <c r="DA91" s="143"/>
      <c r="DB91" s="143"/>
      <c r="DC91" s="143"/>
      <c r="DD91" s="143"/>
      <c r="DE91" s="143"/>
      <c r="DF91" s="143"/>
      <c r="DG91" s="143"/>
      <c r="DH91" s="143"/>
      <c r="DI91" s="143"/>
      <c r="DJ91" s="143"/>
      <c r="DK91" s="143"/>
      <c r="DL91" s="143"/>
      <c r="DM91" s="143"/>
      <c r="DN91" s="143"/>
      <c r="DO91" s="143"/>
      <c r="DP91" s="143"/>
      <c r="DQ91" s="143"/>
      <c r="DR91" s="143"/>
      <c r="DS91" s="143"/>
      <c r="DT91" s="143"/>
      <c r="DU91" s="143"/>
      <c r="DV91" s="143"/>
      <c r="DW91" s="148"/>
      <c r="DX91" s="143"/>
      <c r="DY91" s="149"/>
    </row>
    <row r="92" spans="1:129" ht="12.6" customHeight="1">
      <c r="A92" s="540"/>
      <c r="CW92" s="143"/>
      <c r="CX92" s="143"/>
      <c r="CY92" s="143"/>
      <c r="CZ92" s="143"/>
      <c r="DA92" s="143"/>
      <c r="DB92" s="143"/>
      <c r="DC92" s="143"/>
      <c r="DD92" s="143"/>
      <c r="DE92" s="143"/>
      <c r="DF92" s="143"/>
      <c r="DG92" s="143"/>
      <c r="DH92" s="143"/>
      <c r="DI92" s="143"/>
      <c r="DJ92" s="143"/>
      <c r="DK92" s="143"/>
      <c r="DL92" s="143"/>
      <c r="DM92" s="143"/>
      <c r="DN92" s="143"/>
      <c r="DO92" s="143"/>
      <c r="DP92" s="143"/>
      <c r="DQ92" s="143"/>
      <c r="DR92" s="143"/>
      <c r="DS92" s="143"/>
      <c r="DT92" s="143"/>
      <c r="DU92" s="143"/>
      <c r="DV92" s="143"/>
      <c r="DW92" s="148"/>
      <c r="DX92" s="143"/>
      <c r="DY92" s="149"/>
    </row>
    <row r="93" spans="1:129" ht="12.6" customHeight="1">
      <c r="A93" s="540"/>
      <c r="CW93" s="143"/>
      <c r="CX93" s="143"/>
      <c r="CY93" s="143"/>
      <c r="CZ93" s="143"/>
      <c r="DA93" s="143"/>
      <c r="DB93" s="143"/>
      <c r="DC93" s="143"/>
      <c r="DD93" s="143"/>
      <c r="DE93" s="143"/>
      <c r="DF93" s="143"/>
      <c r="DG93" s="143"/>
      <c r="DH93" s="143"/>
      <c r="DI93" s="143"/>
      <c r="DJ93" s="143"/>
      <c r="DK93" s="143"/>
      <c r="DL93" s="143"/>
      <c r="DM93" s="143"/>
      <c r="DN93" s="143"/>
      <c r="DO93" s="143"/>
      <c r="DP93" s="143"/>
      <c r="DQ93" s="143"/>
      <c r="DR93" s="143"/>
      <c r="DS93" s="143"/>
      <c r="DT93" s="143"/>
      <c r="DU93" s="143"/>
      <c r="DV93" s="143"/>
      <c r="DW93" s="148"/>
      <c r="DX93" s="143"/>
      <c r="DY93" s="149"/>
    </row>
    <row r="94" spans="1:129" ht="12.6" customHeight="1">
      <c r="A94" s="540"/>
      <c r="CW94" s="143"/>
      <c r="CX94" s="143"/>
      <c r="CY94" s="143"/>
      <c r="CZ94" s="143"/>
      <c r="DA94" s="143"/>
      <c r="DB94" s="143"/>
      <c r="DC94" s="143"/>
      <c r="DD94" s="143"/>
      <c r="DE94" s="143"/>
      <c r="DF94" s="143"/>
      <c r="DG94" s="143"/>
      <c r="DH94" s="143"/>
      <c r="DI94" s="143"/>
      <c r="DJ94" s="143"/>
      <c r="DK94" s="143"/>
      <c r="DL94" s="143"/>
      <c r="DM94" s="143"/>
      <c r="DN94" s="143"/>
      <c r="DO94" s="143"/>
      <c r="DP94" s="143"/>
      <c r="DQ94" s="143"/>
      <c r="DR94" s="143"/>
      <c r="DS94" s="143"/>
      <c r="DT94" s="143"/>
      <c r="DU94" s="143"/>
      <c r="DV94" s="143"/>
      <c r="DW94" s="148"/>
      <c r="DX94" s="143"/>
      <c r="DY94" s="149"/>
    </row>
    <row r="95" spans="1:129" ht="12.6" customHeight="1">
      <c r="A95" s="540"/>
      <c r="CW95" s="143"/>
      <c r="CX95" s="143"/>
      <c r="CY95" s="143"/>
      <c r="CZ95" s="143"/>
      <c r="DA95" s="143"/>
      <c r="DB95" s="143"/>
      <c r="DC95" s="143"/>
      <c r="DD95" s="143"/>
      <c r="DE95" s="143"/>
      <c r="DF95" s="143"/>
      <c r="DG95" s="143"/>
      <c r="DH95" s="143"/>
      <c r="DI95" s="143"/>
      <c r="DJ95" s="143"/>
      <c r="DK95" s="143"/>
      <c r="DL95" s="143"/>
      <c r="DM95" s="143"/>
      <c r="DN95" s="143"/>
      <c r="DO95" s="143"/>
      <c r="DP95" s="143"/>
      <c r="DQ95" s="143"/>
      <c r="DR95" s="143"/>
      <c r="DS95" s="143"/>
      <c r="DT95" s="143"/>
      <c r="DU95" s="143"/>
      <c r="DV95" s="143"/>
      <c r="DW95" s="148"/>
      <c r="DX95" s="143"/>
      <c r="DY95" s="149"/>
    </row>
    <row r="96" spans="1:129" ht="12.6" customHeight="1">
      <c r="A96" s="540"/>
      <c r="CW96" s="143"/>
      <c r="CX96" s="143"/>
      <c r="CY96" s="143"/>
      <c r="CZ96" s="143"/>
      <c r="DA96" s="143"/>
      <c r="DB96" s="143"/>
      <c r="DC96" s="143"/>
      <c r="DD96" s="143"/>
      <c r="DE96" s="143"/>
      <c r="DF96" s="143"/>
      <c r="DG96" s="143"/>
      <c r="DH96" s="143"/>
      <c r="DI96" s="143"/>
      <c r="DJ96" s="143"/>
      <c r="DK96" s="143"/>
      <c r="DL96" s="143"/>
      <c r="DM96" s="143"/>
      <c r="DN96" s="143"/>
      <c r="DO96" s="143"/>
      <c r="DP96" s="143"/>
      <c r="DQ96" s="143"/>
      <c r="DR96" s="143"/>
      <c r="DS96" s="143"/>
      <c r="DT96" s="143"/>
      <c r="DU96" s="143"/>
      <c r="DV96" s="143"/>
      <c r="DW96" s="148"/>
      <c r="DX96" s="143"/>
      <c r="DY96" s="149"/>
    </row>
    <row r="97" spans="1:129" ht="12.6" customHeight="1">
      <c r="A97" s="540"/>
      <c r="CW97" s="143"/>
      <c r="CX97" s="143"/>
      <c r="CY97" s="143"/>
      <c r="CZ97" s="143"/>
      <c r="DA97" s="143"/>
      <c r="DB97" s="143"/>
      <c r="DC97" s="143"/>
      <c r="DD97" s="143"/>
      <c r="DE97" s="143"/>
      <c r="DF97" s="143"/>
      <c r="DG97" s="143"/>
      <c r="DH97" s="143"/>
      <c r="DI97" s="143"/>
      <c r="DJ97" s="143"/>
      <c r="DK97" s="143"/>
      <c r="DL97" s="143"/>
      <c r="DM97" s="143"/>
      <c r="DN97" s="143"/>
      <c r="DO97" s="143"/>
      <c r="DP97" s="143"/>
      <c r="DQ97" s="143"/>
      <c r="DR97" s="143"/>
      <c r="DS97" s="143"/>
      <c r="DT97" s="143"/>
      <c r="DU97" s="143"/>
      <c r="DV97" s="143"/>
      <c r="DW97" s="148"/>
      <c r="DX97" s="143"/>
      <c r="DY97" s="149"/>
    </row>
    <row r="98" spans="1:129" ht="12.6" customHeight="1">
      <c r="A98" s="540"/>
      <c r="CW98" s="143"/>
      <c r="CX98" s="143"/>
      <c r="CY98" s="143"/>
      <c r="CZ98" s="143"/>
      <c r="DA98" s="143"/>
      <c r="DB98" s="143"/>
      <c r="DC98" s="143"/>
      <c r="DD98" s="143"/>
      <c r="DE98" s="143"/>
      <c r="DF98" s="143"/>
      <c r="DG98" s="143"/>
      <c r="DH98" s="143"/>
      <c r="DI98" s="143"/>
      <c r="DJ98" s="143"/>
      <c r="DK98" s="143"/>
      <c r="DL98" s="143"/>
      <c r="DM98" s="143"/>
      <c r="DN98" s="143"/>
      <c r="DO98" s="143"/>
      <c r="DP98" s="143"/>
      <c r="DQ98" s="143"/>
      <c r="DR98" s="143"/>
      <c r="DS98" s="143"/>
      <c r="DT98" s="143"/>
      <c r="DU98" s="143"/>
      <c r="DV98" s="143"/>
      <c r="DW98" s="148"/>
      <c r="DX98" s="143"/>
      <c r="DY98" s="149"/>
    </row>
    <row r="99" spans="1:129" ht="12.6" customHeight="1">
      <c r="A99" s="540"/>
      <c r="CW99" s="143"/>
      <c r="CX99" s="143"/>
      <c r="CY99" s="143"/>
      <c r="CZ99" s="143"/>
      <c r="DA99" s="143"/>
      <c r="DB99" s="143"/>
      <c r="DC99" s="143"/>
      <c r="DD99" s="143"/>
      <c r="DE99" s="143"/>
      <c r="DF99" s="143"/>
      <c r="DG99" s="143"/>
      <c r="DH99" s="143"/>
      <c r="DI99" s="143"/>
      <c r="DJ99" s="143"/>
      <c r="DK99" s="143"/>
      <c r="DL99" s="143"/>
      <c r="DM99" s="143"/>
      <c r="DN99" s="143"/>
      <c r="DO99" s="143"/>
      <c r="DP99" s="143"/>
      <c r="DQ99" s="143"/>
      <c r="DR99" s="143"/>
      <c r="DS99" s="143"/>
      <c r="DT99" s="143"/>
      <c r="DU99" s="143"/>
      <c r="DV99" s="143"/>
      <c r="DW99" s="148"/>
      <c r="DX99" s="143"/>
      <c r="DY99" s="149"/>
    </row>
    <row r="100" spans="1:129" ht="12.6" customHeight="1">
      <c r="A100" s="540"/>
      <c r="CW100" s="143"/>
      <c r="CX100" s="143"/>
      <c r="CY100" s="143"/>
      <c r="CZ100" s="143"/>
      <c r="DA100" s="143"/>
      <c r="DB100" s="143"/>
      <c r="DC100" s="143"/>
      <c r="DD100" s="143"/>
      <c r="DE100" s="143"/>
      <c r="DF100" s="143"/>
      <c r="DG100" s="143"/>
      <c r="DH100" s="143"/>
      <c r="DI100" s="143"/>
      <c r="DJ100" s="143"/>
      <c r="DK100" s="143"/>
      <c r="DL100" s="143"/>
      <c r="DM100" s="143"/>
      <c r="DN100" s="143"/>
      <c r="DO100" s="143"/>
      <c r="DP100" s="143"/>
      <c r="DQ100" s="143"/>
      <c r="DR100" s="143"/>
      <c r="DS100" s="143"/>
      <c r="DT100" s="143"/>
      <c r="DU100" s="143"/>
      <c r="DV100" s="143"/>
      <c r="DW100" s="148"/>
      <c r="DX100" s="143"/>
      <c r="DY100" s="149"/>
    </row>
    <row r="101" spans="1:129" ht="12.6" customHeight="1">
      <c r="A101" s="540"/>
      <c r="CW101" s="143"/>
      <c r="CX101" s="143"/>
      <c r="CY101" s="143"/>
      <c r="CZ101" s="143"/>
      <c r="DA101" s="143"/>
      <c r="DB101" s="143"/>
      <c r="DC101" s="143"/>
      <c r="DD101" s="143"/>
      <c r="DE101" s="143"/>
      <c r="DF101" s="143"/>
      <c r="DG101" s="143"/>
      <c r="DH101" s="143"/>
      <c r="DI101" s="143"/>
      <c r="DJ101" s="143"/>
      <c r="DK101" s="143"/>
      <c r="DL101" s="143"/>
      <c r="DM101" s="143"/>
      <c r="DN101" s="143"/>
      <c r="DO101" s="143"/>
      <c r="DP101" s="143"/>
      <c r="DQ101" s="143"/>
      <c r="DR101" s="143"/>
      <c r="DS101" s="143"/>
      <c r="DT101" s="143"/>
      <c r="DU101" s="143"/>
      <c r="DV101" s="143"/>
      <c r="DW101" s="148"/>
      <c r="DX101" s="143"/>
      <c r="DY101" s="149"/>
    </row>
    <row r="102" spans="1:129" ht="12.6" customHeight="1">
      <c r="A102" s="540"/>
      <c r="CW102" s="143"/>
      <c r="CX102" s="143"/>
      <c r="CY102" s="143"/>
      <c r="CZ102" s="143"/>
      <c r="DA102" s="143"/>
      <c r="DB102" s="143"/>
      <c r="DC102" s="143"/>
      <c r="DD102" s="143"/>
      <c r="DE102" s="143"/>
      <c r="DF102" s="143"/>
      <c r="DG102" s="143"/>
      <c r="DH102" s="143"/>
      <c r="DI102" s="143"/>
      <c r="DJ102" s="143"/>
      <c r="DK102" s="143"/>
      <c r="DL102" s="143"/>
      <c r="DM102" s="143"/>
      <c r="DN102" s="143"/>
      <c r="DO102" s="143"/>
      <c r="DP102" s="143"/>
      <c r="DQ102" s="143"/>
      <c r="DR102" s="143"/>
      <c r="DS102" s="143"/>
      <c r="DT102" s="143"/>
      <c r="DU102" s="143"/>
      <c r="DV102" s="143"/>
      <c r="DW102" s="148"/>
      <c r="DX102" s="143"/>
      <c r="DY102" s="149"/>
    </row>
    <row r="103" spans="1:129" ht="12.6" customHeight="1">
      <c r="A103" s="540"/>
      <c r="CW103" s="143"/>
      <c r="CX103" s="143"/>
      <c r="CY103" s="143"/>
      <c r="CZ103" s="143"/>
      <c r="DA103" s="143"/>
      <c r="DB103" s="143"/>
      <c r="DC103" s="143"/>
      <c r="DD103" s="143"/>
      <c r="DE103" s="143"/>
      <c r="DF103" s="143"/>
      <c r="DG103" s="143"/>
      <c r="DH103" s="143"/>
      <c r="DI103" s="143"/>
      <c r="DJ103" s="143"/>
      <c r="DK103" s="143"/>
      <c r="DL103" s="143"/>
      <c r="DM103" s="143"/>
      <c r="DN103" s="143"/>
      <c r="DO103" s="143"/>
      <c r="DP103" s="143"/>
      <c r="DQ103" s="143"/>
      <c r="DR103" s="143"/>
      <c r="DS103" s="143"/>
      <c r="DT103" s="143"/>
      <c r="DU103" s="143"/>
      <c r="DV103" s="143"/>
      <c r="DW103" s="148"/>
      <c r="DX103" s="143"/>
      <c r="DY103" s="149"/>
    </row>
    <row r="104" spans="1:129" ht="12.6" customHeight="1">
      <c r="A104" s="540"/>
      <c r="CW104" s="143"/>
      <c r="CX104" s="143"/>
      <c r="CY104" s="143"/>
      <c r="CZ104" s="143"/>
      <c r="DA104" s="143"/>
      <c r="DB104" s="143"/>
      <c r="DC104" s="143"/>
      <c r="DD104" s="143"/>
      <c r="DE104" s="143"/>
      <c r="DF104" s="143"/>
      <c r="DG104" s="143"/>
      <c r="DH104" s="143"/>
      <c r="DI104" s="143"/>
      <c r="DJ104" s="143"/>
      <c r="DK104" s="143"/>
      <c r="DL104" s="143"/>
      <c r="DM104" s="143"/>
      <c r="DN104" s="143"/>
      <c r="DO104" s="143"/>
      <c r="DP104" s="143"/>
      <c r="DQ104" s="143"/>
      <c r="DR104" s="143"/>
      <c r="DS104" s="143"/>
      <c r="DT104" s="143"/>
      <c r="DU104" s="143"/>
      <c r="DV104" s="143"/>
      <c r="DW104" s="148"/>
      <c r="DX104" s="143"/>
      <c r="DY104" s="149"/>
    </row>
    <row r="105" spans="1:129" ht="12.6" customHeight="1">
      <c r="A105" s="540"/>
      <c r="CW105" s="143"/>
      <c r="CX105" s="143"/>
      <c r="CY105" s="143"/>
      <c r="CZ105" s="143"/>
      <c r="DA105" s="143"/>
      <c r="DB105" s="143"/>
      <c r="DC105" s="143"/>
      <c r="DD105" s="143"/>
      <c r="DE105" s="143"/>
      <c r="DF105" s="143"/>
      <c r="DG105" s="143"/>
      <c r="DH105" s="143"/>
      <c r="DI105" s="143"/>
      <c r="DJ105" s="143"/>
      <c r="DK105" s="143"/>
      <c r="DL105" s="143"/>
      <c r="DM105" s="143"/>
      <c r="DN105" s="143"/>
      <c r="DO105" s="143"/>
      <c r="DP105" s="143"/>
      <c r="DQ105" s="143"/>
      <c r="DR105" s="143"/>
      <c r="DS105" s="143"/>
      <c r="DT105" s="143"/>
      <c r="DU105" s="143"/>
      <c r="DV105" s="143"/>
      <c r="DW105" s="148"/>
      <c r="DX105" s="143"/>
      <c r="DY105" s="149"/>
    </row>
    <row r="106" spans="1:129" ht="12.6" customHeight="1">
      <c r="A106" s="540"/>
      <c r="CW106" s="143"/>
      <c r="CX106" s="143"/>
      <c r="CY106" s="143"/>
      <c r="CZ106" s="143"/>
      <c r="DA106" s="143"/>
      <c r="DB106" s="143"/>
      <c r="DC106" s="143"/>
      <c r="DD106" s="143"/>
      <c r="DE106" s="143"/>
      <c r="DF106" s="143"/>
      <c r="DG106" s="143"/>
      <c r="DH106" s="143"/>
      <c r="DI106" s="143"/>
      <c r="DJ106" s="143"/>
      <c r="DK106" s="143"/>
      <c r="DL106" s="143"/>
      <c r="DM106" s="143"/>
      <c r="DN106" s="143"/>
      <c r="DO106" s="143"/>
      <c r="DP106" s="143"/>
      <c r="DQ106" s="143"/>
      <c r="DR106" s="143"/>
      <c r="DS106" s="143"/>
      <c r="DT106" s="143"/>
      <c r="DU106" s="143"/>
      <c r="DV106" s="143"/>
      <c r="DW106" s="148"/>
      <c r="DX106" s="143"/>
      <c r="DY106" s="149"/>
    </row>
    <row r="107" spans="1:129" ht="12.6" customHeight="1">
      <c r="A107" s="540"/>
      <c r="CW107" s="143"/>
      <c r="CX107" s="143"/>
      <c r="CY107" s="143"/>
      <c r="CZ107" s="143"/>
      <c r="DA107" s="143"/>
      <c r="DB107" s="143"/>
      <c r="DC107" s="143"/>
      <c r="DD107" s="143"/>
      <c r="DE107" s="143"/>
      <c r="DF107" s="143"/>
      <c r="DG107" s="143"/>
      <c r="DH107" s="143"/>
      <c r="DI107" s="143"/>
      <c r="DJ107" s="143"/>
      <c r="DK107" s="143"/>
      <c r="DL107" s="143"/>
      <c r="DM107" s="143"/>
      <c r="DN107" s="143"/>
      <c r="DO107" s="143"/>
      <c r="DP107" s="143"/>
      <c r="DQ107" s="143"/>
      <c r="DR107" s="143"/>
      <c r="DS107" s="143"/>
      <c r="DT107" s="143"/>
      <c r="DU107" s="143"/>
      <c r="DV107" s="143"/>
      <c r="DW107" s="148"/>
      <c r="DX107" s="143"/>
      <c r="DY107" s="149"/>
    </row>
    <row r="108" spans="1:129" ht="12.6" customHeight="1">
      <c r="A108" s="540"/>
      <c r="CW108" s="143"/>
      <c r="CX108" s="143"/>
      <c r="CY108" s="143"/>
      <c r="CZ108" s="143"/>
      <c r="DA108" s="143"/>
      <c r="DB108" s="143"/>
      <c r="DC108" s="143"/>
      <c r="DD108" s="143"/>
      <c r="DE108" s="143"/>
      <c r="DF108" s="143"/>
      <c r="DG108" s="143"/>
      <c r="DH108" s="143"/>
      <c r="DI108" s="143"/>
      <c r="DJ108" s="143"/>
      <c r="DK108" s="143"/>
      <c r="DL108" s="143"/>
      <c r="DM108" s="143"/>
      <c r="DN108" s="143"/>
      <c r="DO108" s="143"/>
      <c r="DP108" s="143"/>
      <c r="DQ108" s="143"/>
      <c r="DR108" s="143"/>
      <c r="DS108" s="143"/>
      <c r="DT108" s="143"/>
      <c r="DU108" s="143"/>
      <c r="DV108" s="143"/>
      <c r="DW108" s="148"/>
      <c r="DX108" s="143"/>
      <c r="DY108" s="149"/>
    </row>
    <row r="109" spans="1:129" ht="12.6" customHeight="1">
      <c r="A109" s="540"/>
      <c r="CW109" s="143"/>
      <c r="CX109" s="143"/>
      <c r="CY109" s="143"/>
      <c r="CZ109" s="143"/>
      <c r="DA109" s="143"/>
      <c r="DB109" s="143"/>
      <c r="DC109" s="143"/>
      <c r="DD109" s="143"/>
      <c r="DE109" s="143"/>
      <c r="DF109" s="143"/>
      <c r="DG109" s="143"/>
      <c r="DH109" s="143"/>
      <c r="DI109" s="143"/>
      <c r="DJ109" s="143"/>
      <c r="DK109" s="143"/>
      <c r="DL109" s="143"/>
      <c r="DM109" s="143"/>
      <c r="DN109" s="143"/>
      <c r="DO109" s="143"/>
      <c r="DP109" s="143"/>
      <c r="DQ109" s="143"/>
      <c r="DR109" s="143"/>
      <c r="DS109" s="143"/>
      <c r="DT109" s="143"/>
      <c r="DU109" s="143"/>
      <c r="DV109" s="143"/>
      <c r="DW109" s="148"/>
      <c r="DX109" s="143"/>
      <c r="DY109" s="149"/>
    </row>
    <row r="110" spans="1:129" ht="12.6" customHeight="1">
      <c r="A110" s="540"/>
      <c r="CW110" s="143"/>
      <c r="CX110" s="143"/>
      <c r="CY110" s="143"/>
      <c r="CZ110" s="143"/>
      <c r="DA110" s="143"/>
      <c r="DB110" s="143"/>
      <c r="DC110" s="143"/>
      <c r="DD110" s="143"/>
      <c r="DE110" s="143"/>
      <c r="DF110" s="143"/>
      <c r="DG110" s="143"/>
      <c r="DH110" s="143"/>
      <c r="DI110" s="143"/>
      <c r="DJ110" s="143"/>
      <c r="DK110" s="143"/>
      <c r="DL110" s="143"/>
      <c r="DM110" s="143"/>
      <c r="DN110" s="143"/>
      <c r="DO110" s="143"/>
      <c r="DP110" s="143"/>
      <c r="DQ110" s="143"/>
      <c r="DR110" s="143"/>
      <c r="DS110" s="143"/>
      <c r="DT110" s="143"/>
      <c r="DU110" s="143"/>
      <c r="DV110" s="143"/>
      <c r="DW110" s="148"/>
      <c r="DX110" s="143"/>
      <c r="DY110" s="149"/>
    </row>
    <row r="111" spans="1:129" ht="12.6" customHeight="1">
      <c r="A111" s="540"/>
      <c r="CW111" s="143"/>
      <c r="CX111" s="143"/>
      <c r="CY111" s="143"/>
      <c r="CZ111" s="143"/>
      <c r="DA111" s="143"/>
      <c r="DB111" s="143"/>
      <c r="DC111" s="143"/>
      <c r="DD111" s="143"/>
      <c r="DE111" s="143"/>
      <c r="DF111" s="143"/>
      <c r="DG111" s="143"/>
      <c r="DH111" s="143"/>
      <c r="DI111" s="143"/>
      <c r="DJ111" s="143"/>
      <c r="DK111" s="143"/>
      <c r="DL111" s="143"/>
      <c r="DM111" s="143"/>
      <c r="DN111" s="143"/>
      <c r="DO111" s="143"/>
      <c r="DP111" s="143"/>
      <c r="DQ111" s="143"/>
      <c r="DR111" s="143"/>
      <c r="DS111" s="143"/>
      <c r="DT111" s="143"/>
      <c r="DU111" s="143"/>
      <c r="DV111" s="143"/>
      <c r="DW111" s="148"/>
      <c r="DX111" s="143"/>
      <c r="DY111" s="149"/>
    </row>
    <row r="112" spans="1:129" ht="12.6" customHeight="1">
      <c r="A112" s="540"/>
      <c r="CW112" s="143"/>
      <c r="CX112" s="143"/>
      <c r="CY112" s="143"/>
      <c r="CZ112" s="143"/>
      <c r="DA112" s="143"/>
      <c r="DB112" s="143"/>
      <c r="DC112" s="143"/>
      <c r="DD112" s="143"/>
      <c r="DE112" s="143"/>
      <c r="DF112" s="143"/>
      <c r="DG112" s="143"/>
      <c r="DH112" s="143"/>
      <c r="DI112" s="143"/>
      <c r="DJ112" s="143"/>
      <c r="DK112" s="143"/>
      <c r="DL112" s="143"/>
      <c r="DM112" s="143"/>
      <c r="DN112" s="143"/>
      <c r="DO112" s="143"/>
      <c r="DP112" s="143"/>
      <c r="DQ112" s="143"/>
      <c r="DR112" s="143"/>
      <c r="DS112" s="143"/>
      <c r="DT112" s="143"/>
      <c r="DU112" s="143"/>
      <c r="DV112" s="143"/>
      <c r="DW112" s="148"/>
      <c r="DX112" s="143"/>
      <c r="DY112" s="149"/>
    </row>
    <row r="113" spans="1:129" ht="12.6" customHeight="1">
      <c r="A113" s="540"/>
      <c r="CW113" s="143"/>
      <c r="CX113" s="143"/>
      <c r="CY113" s="143"/>
      <c r="CZ113" s="143"/>
      <c r="DA113" s="143"/>
      <c r="DB113" s="143"/>
      <c r="DC113" s="143"/>
      <c r="DD113" s="143"/>
      <c r="DE113" s="143"/>
      <c r="DF113" s="143"/>
      <c r="DG113" s="143"/>
      <c r="DH113" s="143"/>
      <c r="DI113" s="143"/>
      <c r="DJ113" s="143"/>
      <c r="DK113" s="143"/>
      <c r="DL113" s="143"/>
      <c r="DM113" s="143"/>
      <c r="DN113" s="143"/>
      <c r="DO113" s="143"/>
      <c r="DP113" s="143"/>
      <c r="DQ113" s="143"/>
      <c r="DR113" s="143"/>
      <c r="DS113" s="143"/>
      <c r="DT113" s="143"/>
      <c r="DU113" s="143"/>
      <c r="DV113" s="143"/>
      <c r="DW113" s="148"/>
      <c r="DX113" s="143"/>
      <c r="DY113" s="149"/>
    </row>
    <row r="114" spans="1:129" ht="12.6" customHeight="1">
      <c r="A114" s="540"/>
      <c r="CW114" s="143"/>
      <c r="CX114" s="143"/>
      <c r="CY114" s="143"/>
      <c r="CZ114" s="143"/>
      <c r="DA114" s="143"/>
      <c r="DB114" s="143"/>
      <c r="DC114" s="143"/>
      <c r="DD114" s="143"/>
      <c r="DE114" s="143"/>
      <c r="DF114" s="143"/>
      <c r="DG114" s="143"/>
      <c r="DH114" s="143"/>
      <c r="DI114" s="143"/>
      <c r="DJ114" s="143"/>
      <c r="DK114" s="143"/>
      <c r="DL114" s="143"/>
      <c r="DM114" s="143"/>
      <c r="DN114" s="143"/>
      <c r="DO114" s="143"/>
      <c r="DP114" s="143"/>
      <c r="DQ114" s="143"/>
      <c r="DR114" s="143"/>
      <c r="DS114" s="143"/>
      <c r="DT114" s="143"/>
      <c r="DU114" s="143"/>
      <c r="DV114" s="143"/>
      <c r="DW114" s="148"/>
      <c r="DX114" s="143"/>
      <c r="DY114" s="149"/>
    </row>
    <row r="115" spans="1:129" ht="12.6" customHeight="1">
      <c r="A115" s="540"/>
      <c r="CW115" s="143"/>
      <c r="CX115" s="143"/>
      <c r="CY115" s="143"/>
      <c r="CZ115" s="143"/>
      <c r="DA115" s="143"/>
      <c r="DB115" s="143"/>
      <c r="DC115" s="143"/>
      <c r="DD115" s="143"/>
      <c r="DE115" s="143"/>
      <c r="DF115" s="143"/>
      <c r="DG115" s="143"/>
      <c r="DH115" s="143"/>
      <c r="DI115" s="143"/>
      <c r="DJ115" s="143"/>
      <c r="DK115" s="143"/>
      <c r="DL115" s="143"/>
      <c r="DM115" s="143"/>
      <c r="DN115" s="143"/>
      <c r="DO115" s="143"/>
      <c r="DP115" s="143"/>
      <c r="DQ115" s="143"/>
      <c r="DR115" s="143"/>
      <c r="DS115" s="143"/>
      <c r="DT115" s="143"/>
      <c r="DU115" s="143"/>
      <c r="DV115" s="143"/>
      <c r="DW115" s="148"/>
      <c r="DX115" s="143"/>
      <c r="DY115" s="149"/>
    </row>
    <row r="116" spans="1:129" ht="12.6" customHeight="1">
      <c r="A116" s="540"/>
      <c r="CW116" s="143"/>
      <c r="CX116" s="143"/>
      <c r="CY116" s="143"/>
      <c r="CZ116" s="143"/>
      <c r="DA116" s="143"/>
      <c r="DB116" s="143"/>
      <c r="DC116" s="143"/>
      <c r="DD116" s="143"/>
      <c r="DE116" s="143"/>
      <c r="DF116" s="143"/>
      <c r="DG116" s="143"/>
      <c r="DH116" s="143"/>
      <c r="DI116" s="143"/>
      <c r="DJ116" s="143"/>
      <c r="DK116" s="143"/>
      <c r="DL116" s="143"/>
      <c r="DM116" s="143"/>
      <c r="DN116" s="143"/>
      <c r="DO116" s="143"/>
      <c r="DP116" s="143"/>
      <c r="DQ116" s="143"/>
      <c r="DR116" s="143"/>
      <c r="DS116" s="143"/>
      <c r="DT116" s="143"/>
      <c r="DU116" s="143"/>
      <c r="DV116" s="143"/>
      <c r="DW116" s="148"/>
      <c r="DX116" s="143"/>
      <c r="DY116" s="149"/>
    </row>
    <row r="117" spans="1:129" ht="12.6" customHeight="1">
      <c r="A117" s="540"/>
      <c r="CW117" s="143"/>
      <c r="CX117" s="143"/>
      <c r="CY117" s="143"/>
      <c r="CZ117" s="143"/>
      <c r="DA117" s="143"/>
      <c r="DB117" s="143"/>
      <c r="DC117" s="143"/>
      <c r="DD117" s="143"/>
      <c r="DE117" s="143"/>
      <c r="DF117" s="143"/>
      <c r="DG117" s="143"/>
      <c r="DH117" s="143"/>
      <c r="DI117" s="143"/>
      <c r="DJ117" s="143"/>
      <c r="DK117" s="143"/>
      <c r="DL117" s="143"/>
      <c r="DM117" s="143"/>
      <c r="DN117" s="143"/>
      <c r="DO117" s="143"/>
      <c r="DP117" s="143"/>
      <c r="DQ117" s="143"/>
      <c r="DR117" s="143"/>
      <c r="DS117" s="143"/>
      <c r="DT117" s="143"/>
      <c r="DU117" s="143"/>
      <c r="DV117" s="143"/>
      <c r="DW117" s="148"/>
      <c r="DX117" s="143"/>
      <c r="DY117" s="149"/>
    </row>
  </sheetData>
  <mergeCells count="14">
    <mergeCell ref="C43:G45"/>
    <mergeCell ref="L5:L6"/>
    <mergeCell ref="M5:M6"/>
    <mergeCell ref="N5:N6"/>
    <mergeCell ref="O5:O6"/>
    <mergeCell ref="D15:F15"/>
    <mergeCell ref="D13:F13"/>
    <mergeCell ref="D14:F14"/>
    <mergeCell ref="D12:F12"/>
    <mergeCell ref="D11:F11"/>
    <mergeCell ref="D10:F10"/>
    <mergeCell ref="D9:F9"/>
    <mergeCell ref="D8:F8"/>
    <mergeCell ref="C20:G22"/>
  </mergeCells>
  <phoneticPr fontId="136" type="noConversion"/>
  <conditionalFormatting sqref="G9:I15 C20:G22 D25 C30:F30 N30 C33:F35 N33:N35 I39 M39:N39 C43:G45 C52:F56 H52:J56">
    <cfRule type="cellIs" dxfId="10" priority="1" operator="equal">
      <formula>0</formula>
    </cfRule>
  </conditionalFormatting>
  <dataValidations count="2">
    <dataValidation type="list" allowBlank="1" showInputMessage="1" sqref="H9:H15" xr:uid="{2F0A02FC-27A9-46B6-948B-C92753AA9F13}">
      <formula1>"是,否"</formula1>
    </dataValidation>
    <dataValidation type="list" allowBlank="1" showInputMessage="1" sqref="I9:I15" xr:uid="{BE4A3EA9-F901-4C1D-8998-56C03A5C05BA}">
      <formula1>"是,不适用"</formula1>
    </dataValidation>
  </dataValidations>
  <hyperlinks>
    <hyperlink ref="J2" location="汇总!A1" display="返回汇总页" xr:uid="{00000000-0004-0000-0A00-000000000000}"/>
  </hyperlink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DX49"/>
  <sheetViews>
    <sheetView showGridLines="0" zoomScale="70" zoomScaleNormal="70" workbookViewId="0">
      <selection activeCell="P38" sqref="P38"/>
    </sheetView>
  </sheetViews>
  <sheetFormatPr defaultColWidth="9.5703125" defaultRowHeight="12.75" outlineLevelRow="1" outlineLevelCol="1"/>
  <cols>
    <col min="1" max="1" width="0.140625" style="556" customWidth="1"/>
    <col min="2" max="2" width="5.140625" style="19" customWidth="1"/>
    <col min="3" max="3" width="20.7109375" style="19" customWidth="1"/>
    <col min="4" max="4" width="37.42578125" style="19" customWidth="1"/>
    <col min="5" max="5" width="20.28515625" style="19" customWidth="1"/>
    <col min="6" max="7" width="22" style="19" customWidth="1"/>
    <col min="8" max="8" width="16.140625" style="19" customWidth="1"/>
    <col min="9" max="9" width="21.28515625" style="19" customWidth="1"/>
    <col min="10" max="10" width="19" style="19" customWidth="1"/>
    <col min="11" max="11" width="23" style="19" customWidth="1" outlineLevel="1"/>
    <col min="12" max="12" width="14.42578125" style="19" customWidth="1" outlineLevel="1"/>
    <col min="13" max="14" width="14.85546875" style="19" customWidth="1"/>
    <col min="15" max="16" width="15.140625" style="19" customWidth="1"/>
    <col min="17" max="18" width="13.140625" style="19" customWidth="1"/>
    <col min="19" max="19" width="23.42578125" style="19" customWidth="1"/>
    <col min="20" max="20" width="16.42578125" style="19" customWidth="1"/>
    <col min="21" max="25" width="8.7109375" style="19" customWidth="1"/>
    <col min="26" max="27" width="13.28515625" style="19" customWidth="1"/>
    <col min="28" max="28" width="16" style="19" customWidth="1"/>
    <col min="29" max="29" width="9.5703125" style="19"/>
    <col min="30" max="30" width="7.7109375" style="19" customWidth="1"/>
    <col min="31" max="32" width="13.28515625" style="19" customWidth="1"/>
    <col min="33" max="33" width="10.42578125" style="19" customWidth="1"/>
    <col min="34" max="34" width="11.7109375" style="19" customWidth="1"/>
    <col min="35" max="35" width="7.5703125" style="19" customWidth="1"/>
    <col min="36" max="36" width="8.85546875" style="19" customWidth="1"/>
    <col min="37" max="16384" width="9.5703125" style="19"/>
  </cols>
  <sheetData>
    <row r="1" spans="1:128" ht="12.6" customHeight="1">
      <c r="A1" s="541" t="s">
        <v>282</v>
      </c>
    </row>
    <row r="2" spans="1:128" s="9" customFormat="1" ht="18.600000000000001" customHeight="1">
      <c r="A2" s="539"/>
      <c r="C2" s="473"/>
      <c r="J2" s="48" t="s">
        <v>108</v>
      </c>
    </row>
    <row r="3" spans="1:128" ht="12.6" customHeight="1" thickBot="1">
      <c r="A3" s="541"/>
      <c r="CR3" s="143"/>
      <c r="CS3" s="6"/>
      <c r="CT3" s="6"/>
      <c r="CU3" s="143"/>
      <c r="CV3" s="143"/>
      <c r="CW3" s="143"/>
      <c r="CX3" s="143"/>
      <c r="CY3" s="143"/>
      <c r="CZ3" s="143"/>
      <c r="DA3" s="143"/>
      <c r="DB3" s="143"/>
      <c r="DC3" s="6"/>
      <c r="DD3" s="143"/>
      <c r="DE3" s="143"/>
      <c r="DF3" s="143"/>
      <c r="DG3" s="143"/>
      <c r="DH3" s="143"/>
      <c r="DI3" s="6"/>
      <c r="DJ3" s="6"/>
      <c r="DK3" s="6"/>
      <c r="DL3" s="6"/>
      <c r="DM3" s="6"/>
      <c r="DN3" s="6"/>
      <c r="DO3" s="6"/>
      <c r="DP3" s="6"/>
      <c r="DQ3" s="6"/>
      <c r="DR3" s="150"/>
      <c r="DS3" s="143"/>
      <c r="DT3" s="149"/>
    </row>
    <row r="4" spans="1:128" ht="21">
      <c r="A4" s="541"/>
      <c r="C4" s="757" t="s">
        <v>159</v>
      </c>
      <c r="D4" s="758"/>
      <c r="E4" s="758"/>
      <c r="F4" s="758"/>
      <c r="G4" s="758"/>
      <c r="H4" s="758"/>
      <c r="I4" s="758"/>
      <c r="J4" s="759"/>
      <c r="K4" s="151"/>
      <c r="L4" s="151"/>
      <c r="M4" s="151"/>
      <c r="CT4" s="6"/>
      <c r="CU4" s="6"/>
      <c r="CV4" s="6"/>
      <c r="CW4" s="143"/>
      <c r="CX4" s="143"/>
      <c r="CY4" s="143"/>
      <c r="CZ4" s="143"/>
      <c r="DA4" s="143"/>
      <c r="DB4" s="143"/>
      <c r="DC4" s="143"/>
      <c r="DD4" s="143"/>
      <c r="DE4" s="6"/>
      <c r="DF4" s="143"/>
      <c r="DG4" s="143"/>
      <c r="DH4" s="143"/>
      <c r="DI4" s="143"/>
      <c r="DJ4" s="143"/>
      <c r="DK4" s="6"/>
      <c r="DL4" s="6"/>
      <c r="DM4" s="6"/>
      <c r="DN4" s="6"/>
      <c r="DO4" s="6"/>
      <c r="DP4" s="6"/>
      <c r="DQ4" s="6"/>
      <c r="DR4" s="6"/>
      <c r="DS4" s="6"/>
      <c r="DT4" s="150"/>
      <c r="DU4" s="6"/>
      <c r="DV4" s="6"/>
    </row>
    <row r="5" spans="1:128" ht="16.5" customHeight="1">
      <c r="A5" s="541"/>
      <c r="C5" s="49" t="s">
        <v>283</v>
      </c>
      <c r="D5" s="152"/>
      <c r="E5" s="152"/>
      <c r="F5" s="152"/>
      <c r="G5" s="152"/>
      <c r="H5" s="152"/>
      <c r="I5" s="152"/>
      <c r="J5" s="153"/>
      <c r="K5" s="151"/>
      <c r="L5" s="843"/>
      <c r="M5" s="843"/>
      <c r="N5" s="843"/>
      <c r="O5" s="842"/>
      <c r="CT5" s="6"/>
      <c r="CU5" s="6"/>
      <c r="CV5" s="154"/>
      <c r="CW5" s="143"/>
      <c r="CX5" s="143"/>
      <c r="CY5" s="143"/>
      <c r="CZ5" s="143"/>
      <c r="DA5" s="143"/>
      <c r="DB5" s="143"/>
      <c r="DC5" s="143"/>
      <c r="DD5" s="143"/>
      <c r="DE5" s="6"/>
      <c r="DF5" s="143"/>
      <c r="DG5" s="143"/>
      <c r="DH5" s="143"/>
      <c r="DI5" s="143"/>
      <c r="DJ5" s="143"/>
      <c r="DK5" s="6"/>
      <c r="DL5" s="6"/>
      <c r="DM5" s="6"/>
      <c r="DN5" s="6"/>
      <c r="DO5" s="6"/>
      <c r="DP5" s="6"/>
      <c r="DQ5" s="6"/>
      <c r="DR5" s="6"/>
      <c r="DS5" s="6"/>
      <c r="DT5" s="150"/>
      <c r="DU5" s="6"/>
      <c r="DV5" s="6"/>
    </row>
    <row r="6" spans="1:128" ht="16.5" customHeight="1">
      <c r="A6" s="541"/>
      <c r="C6" s="49" t="s">
        <v>194</v>
      </c>
      <c r="D6" s="152"/>
      <c r="E6" s="152"/>
      <c r="F6" s="152"/>
      <c r="G6" s="152"/>
      <c r="H6" s="152"/>
      <c r="I6" s="152"/>
      <c r="J6" s="153"/>
      <c r="K6" s="151"/>
      <c r="L6" s="843"/>
      <c r="M6" s="843"/>
      <c r="N6" s="843"/>
      <c r="O6" s="842"/>
      <c r="CT6" s="6"/>
      <c r="CU6" s="154"/>
      <c r="CV6" s="154"/>
      <c r="CW6" s="143"/>
      <c r="CX6" s="143"/>
      <c r="CY6" s="143"/>
      <c r="CZ6" s="143"/>
      <c r="DA6" s="143"/>
      <c r="DB6" s="143"/>
      <c r="DC6" s="143"/>
      <c r="DD6" s="143"/>
      <c r="DE6" s="154"/>
      <c r="DF6" s="143"/>
      <c r="DG6" s="143"/>
      <c r="DH6" s="143"/>
      <c r="DI6" s="143"/>
      <c r="DJ6" s="143"/>
      <c r="DK6" s="154"/>
      <c r="DL6" s="6"/>
      <c r="DM6" s="6"/>
      <c r="DN6" s="6"/>
      <c r="DO6" s="6"/>
      <c r="DP6" s="6"/>
      <c r="DQ6" s="154"/>
      <c r="DR6" s="154"/>
      <c r="DS6" s="154"/>
      <c r="DT6" s="155"/>
      <c r="DU6" s="6"/>
      <c r="DV6" s="6"/>
    </row>
    <row r="7" spans="1:128" ht="14.1" customHeight="1">
      <c r="A7" s="541"/>
      <c r="C7" s="49"/>
      <c r="D7" s="152"/>
      <c r="E7" s="152"/>
      <c r="F7" s="152"/>
      <c r="G7" s="152"/>
      <c r="H7" s="152"/>
      <c r="I7" s="152"/>
      <c r="J7" s="153"/>
      <c r="K7" s="151"/>
      <c r="L7" s="353"/>
      <c r="M7" s="156"/>
      <c r="N7" s="156"/>
      <c r="O7" s="156"/>
      <c r="CT7" s="6"/>
      <c r="CU7" s="154"/>
      <c r="CV7" s="154"/>
      <c r="CW7" s="143"/>
      <c r="CX7" s="143"/>
      <c r="CY7" s="143"/>
      <c r="CZ7" s="143"/>
      <c r="DA7" s="143"/>
      <c r="DB7" s="143"/>
      <c r="DC7" s="143"/>
      <c r="DD7" s="143"/>
      <c r="DE7" s="154"/>
      <c r="DF7" s="143"/>
      <c r="DG7" s="143"/>
      <c r="DH7" s="143"/>
      <c r="DI7" s="143"/>
      <c r="DJ7" s="143"/>
      <c r="DK7" s="154"/>
      <c r="DL7" s="6"/>
      <c r="DM7" s="6"/>
      <c r="DN7" s="6"/>
      <c r="DO7" s="6"/>
      <c r="DP7" s="6"/>
      <c r="DQ7" s="154"/>
      <c r="DR7" s="154"/>
      <c r="DS7" s="154"/>
      <c r="DT7" s="155"/>
      <c r="DU7" s="6"/>
      <c r="DV7" s="6"/>
    </row>
    <row r="8" spans="1:128" ht="21">
      <c r="A8" s="541"/>
      <c r="C8" s="513" t="s">
        <v>111</v>
      </c>
      <c r="D8" s="845" t="s">
        <v>112</v>
      </c>
      <c r="E8" s="845"/>
      <c r="F8" s="845"/>
      <c r="G8" s="157" t="s">
        <v>113</v>
      </c>
      <c r="H8" s="507" t="s">
        <v>114</v>
      </c>
      <c r="I8" s="507" t="s">
        <v>115</v>
      </c>
      <c r="J8" s="514" t="s">
        <v>116</v>
      </c>
      <c r="K8" s="158"/>
      <c r="L8" s="151"/>
      <c r="M8" s="151"/>
      <c r="N8" s="151"/>
      <c r="CU8" s="7"/>
      <c r="CV8" s="7"/>
      <c r="CW8" s="7"/>
      <c r="CX8" s="143"/>
      <c r="CY8" s="143"/>
      <c r="CZ8" s="143"/>
      <c r="DA8" s="143"/>
      <c r="DB8" s="143"/>
      <c r="DC8" s="143"/>
      <c r="DD8" s="143"/>
      <c r="DE8" s="143"/>
      <c r="DF8" s="7"/>
      <c r="DG8" s="143"/>
      <c r="DH8" s="143"/>
      <c r="DI8" s="143"/>
      <c r="DJ8" s="143"/>
      <c r="DK8" s="143"/>
      <c r="DL8" s="7"/>
      <c r="DM8" s="154"/>
      <c r="DN8" s="154"/>
      <c r="DO8" s="154"/>
      <c r="DP8" s="154"/>
      <c r="DQ8" s="154"/>
      <c r="DR8" s="7"/>
      <c r="DS8" s="7"/>
      <c r="DT8" s="7"/>
      <c r="DU8" s="155"/>
      <c r="DV8" s="7"/>
      <c r="DW8" s="159"/>
    </row>
    <row r="9" spans="1:128" ht="21" outlineLevel="1">
      <c r="A9" s="660"/>
      <c r="C9" s="515">
        <v>1</v>
      </c>
      <c r="D9" s="844" t="s">
        <v>284</v>
      </c>
      <c r="E9" s="844"/>
      <c r="F9" s="844"/>
      <c r="G9" s="560" t="s">
        <v>163</v>
      </c>
      <c r="H9" s="508" t="s">
        <v>119</v>
      </c>
      <c r="I9" s="509"/>
      <c r="J9" s="516"/>
      <c r="K9" s="158"/>
      <c r="L9" s="158"/>
      <c r="M9" s="160"/>
      <c r="N9" s="160"/>
      <c r="O9" s="160"/>
      <c r="CV9" s="154"/>
      <c r="CW9" s="7"/>
      <c r="CX9" s="154"/>
      <c r="CY9" s="143"/>
      <c r="CZ9" s="143"/>
      <c r="DA9" s="143"/>
      <c r="DB9" s="143"/>
      <c r="DC9" s="143"/>
      <c r="DD9" s="143"/>
      <c r="DE9" s="143"/>
      <c r="DF9" s="143"/>
      <c r="DG9" s="7"/>
      <c r="DH9" s="143"/>
      <c r="DI9" s="143"/>
      <c r="DJ9" s="143"/>
      <c r="DK9" s="143"/>
      <c r="DL9" s="143"/>
      <c r="DM9" s="7"/>
      <c r="DN9" s="7"/>
      <c r="DO9" s="7"/>
      <c r="DP9" s="7"/>
      <c r="DQ9" s="7"/>
      <c r="DR9" s="7"/>
      <c r="DS9" s="7"/>
      <c r="DT9" s="7"/>
      <c r="DU9" s="7"/>
      <c r="DV9" s="155"/>
      <c r="DW9" s="154"/>
      <c r="DX9" s="8"/>
    </row>
    <row r="10" spans="1:128" ht="60.75" customHeight="1" outlineLevel="1">
      <c r="A10" s="660"/>
      <c r="C10" s="515">
        <v>2</v>
      </c>
      <c r="D10" s="844" t="s">
        <v>164</v>
      </c>
      <c r="E10" s="844"/>
      <c r="F10" s="844"/>
      <c r="G10" s="560" t="s">
        <v>163</v>
      </c>
      <c r="H10" s="508" t="s">
        <v>119</v>
      </c>
      <c r="I10" s="509"/>
      <c r="J10" s="516"/>
      <c r="K10" s="158"/>
      <c r="L10" s="158"/>
      <c r="M10" s="160"/>
      <c r="N10" s="160"/>
      <c r="O10" s="160"/>
      <c r="CV10" s="154"/>
      <c r="CW10" s="7"/>
      <c r="CX10" s="154"/>
      <c r="CY10" s="143"/>
      <c r="CZ10" s="143"/>
      <c r="DA10" s="143"/>
      <c r="DB10" s="143"/>
      <c r="DC10" s="143"/>
      <c r="DD10" s="143"/>
      <c r="DE10" s="143"/>
      <c r="DF10" s="143"/>
      <c r="DG10" s="7"/>
      <c r="DH10" s="143"/>
      <c r="DI10" s="143"/>
      <c r="DJ10" s="143"/>
      <c r="DK10" s="143"/>
      <c r="DL10" s="143"/>
      <c r="DM10" s="7"/>
      <c r="DN10" s="7"/>
      <c r="DO10" s="7"/>
      <c r="DP10" s="7"/>
      <c r="DQ10" s="7"/>
      <c r="DR10" s="7"/>
      <c r="DS10" s="7"/>
      <c r="DT10" s="7"/>
      <c r="DU10" s="7"/>
      <c r="DV10" s="155"/>
      <c r="DW10" s="154"/>
      <c r="DX10" s="8"/>
    </row>
    <row r="11" spans="1:128" ht="40.5" customHeight="1" outlineLevel="1">
      <c r="A11" s="660"/>
      <c r="C11" s="515">
        <v>3</v>
      </c>
      <c r="D11" s="844" t="s">
        <v>196</v>
      </c>
      <c r="E11" s="844"/>
      <c r="F11" s="844"/>
      <c r="G11" s="560" t="s">
        <v>163</v>
      </c>
      <c r="H11" s="508" t="s">
        <v>119</v>
      </c>
      <c r="I11" s="509"/>
      <c r="J11" s="516"/>
      <c r="K11" s="158"/>
      <c r="L11" s="158"/>
      <c r="M11" s="151"/>
      <c r="N11" s="151"/>
      <c r="O11" s="151"/>
      <c r="CV11" s="7"/>
      <c r="CW11" s="154"/>
      <c r="CX11" s="162"/>
      <c r="CY11" s="143"/>
      <c r="CZ11" s="143"/>
      <c r="DA11" s="143"/>
      <c r="DB11" s="143"/>
      <c r="DC11" s="143"/>
      <c r="DD11" s="143"/>
      <c r="DE11" s="143"/>
      <c r="DF11" s="143"/>
      <c r="DG11" s="154"/>
      <c r="DH11" s="143"/>
      <c r="DI11" s="143"/>
      <c r="DJ11" s="143"/>
      <c r="DK11" s="143"/>
      <c r="DL11" s="143"/>
      <c r="DM11" s="154"/>
      <c r="DN11" s="7"/>
      <c r="DO11" s="7"/>
      <c r="DP11" s="7"/>
      <c r="DQ11" s="7"/>
      <c r="DR11" s="7"/>
      <c r="DS11" s="154"/>
      <c r="DT11" s="154"/>
      <c r="DU11" s="154"/>
      <c r="DV11" s="155"/>
      <c r="DW11" s="7"/>
      <c r="DX11" s="7"/>
    </row>
    <row r="12" spans="1:128" ht="80.099999999999994" customHeight="1" outlineLevel="1">
      <c r="A12" s="660"/>
      <c r="C12" s="515">
        <v>4</v>
      </c>
      <c r="D12" s="839" t="s">
        <v>285</v>
      </c>
      <c r="E12" s="840"/>
      <c r="F12" s="841"/>
      <c r="G12" s="510" t="s">
        <v>167</v>
      </c>
      <c r="H12" s="508" t="s">
        <v>119</v>
      </c>
      <c r="I12" s="509"/>
      <c r="J12" s="516"/>
      <c r="K12" s="158"/>
      <c r="L12" s="158"/>
      <c r="M12" s="151"/>
      <c r="N12" s="151"/>
      <c r="O12" s="151"/>
      <c r="CV12" s="7"/>
      <c r="CW12" s="154"/>
      <c r="CX12" s="162"/>
      <c r="CY12" s="143"/>
      <c r="CZ12" s="143"/>
      <c r="DA12" s="143"/>
      <c r="DB12" s="143"/>
      <c r="DC12" s="143"/>
      <c r="DD12" s="143"/>
      <c r="DE12" s="143"/>
      <c r="DF12" s="143"/>
      <c r="DG12" s="154"/>
      <c r="DH12" s="143"/>
      <c r="DI12" s="143"/>
      <c r="DJ12" s="143"/>
      <c r="DK12" s="143"/>
      <c r="DL12" s="143"/>
      <c r="DM12" s="154"/>
      <c r="DN12" s="7"/>
      <c r="DO12" s="7"/>
      <c r="DP12" s="7"/>
      <c r="DQ12" s="7"/>
      <c r="DR12" s="7"/>
      <c r="DS12" s="154"/>
      <c r="DT12" s="154"/>
      <c r="DU12" s="154"/>
      <c r="DV12" s="155"/>
      <c r="DW12" s="7"/>
      <c r="DX12" s="7"/>
    </row>
    <row r="13" spans="1:128" ht="40.5" customHeight="1" outlineLevel="1">
      <c r="A13" s="660"/>
      <c r="C13" s="515">
        <v>5</v>
      </c>
      <c r="D13" s="844" t="s">
        <v>198</v>
      </c>
      <c r="E13" s="844"/>
      <c r="F13" s="844"/>
      <c r="G13" s="517" t="s">
        <v>169</v>
      </c>
      <c r="H13" s="508" t="s">
        <v>119</v>
      </c>
      <c r="I13" s="509"/>
      <c r="J13" s="207"/>
      <c r="K13" s="158"/>
      <c r="L13" s="158"/>
      <c r="M13" s="151"/>
      <c r="N13" s="151"/>
      <c r="O13" s="151"/>
      <c r="CV13" s="7"/>
      <c r="CW13" s="162"/>
      <c r="CX13" s="162"/>
      <c r="CY13" s="143"/>
      <c r="CZ13" s="143"/>
      <c r="DA13" s="143"/>
      <c r="DB13" s="143"/>
      <c r="DC13" s="143"/>
      <c r="DD13" s="143"/>
      <c r="DE13" s="143"/>
      <c r="DF13" s="143"/>
      <c r="DG13" s="162"/>
      <c r="DH13" s="143"/>
      <c r="DI13" s="143"/>
      <c r="DJ13" s="143"/>
      <c r="DK13" s="143"/>
      <c r="DL13" s="143"/>
      <c r="DM13" s="162"/>
      <c r="DN13" s="154"/>
      <c r="DO13" s="154"/>
      <c r="DP13" s="154"/>
      <c r="DQ13" s="154"/>
      <c r="DR13" s="154"/>
      <c r="DS13" s="162"/>
      <c r="DT13" s="162"/>
      <c r="DU13" s="162"/>
      <c r="DV13" s="150"/>
      <c r="DW13" s="7"/>
      <c r="DX13" s="159"/>
    </row>
    <row r="14" spans="1:128" ht="40.5" customHeight="1" outlineLevel="1">
      <c r="A14" s="660"/>
      <c r="C14" s="515">
        <v>6</v>
      </c>
      <c r="D14" s="844" t="s">
        <v>170</v>
      </c>
      <c r="E14" s="844"/>
      <c r="F14" s="844"/>
      <c r="G14" s="560" t="s">
        <v>163</v>
      </c>
      <c r="H14" s="508" t="s">
        <v>119</v>
      </c>
      <c r="I14" s="509"/>
      <c r="J14" s="516"/>
      <c r="K14" s="158"/>
      <c r="L14" s="158"/>
      <c r="M14" s="151"/>
      <c r="N14" s="151"/>
      <c r="O14" s="151"/>
      <c r="CV14" s="7"/>
      <c r="CW14" s="162"/>
      <c r="CX14" s="162"/>
      <c r="CY14" s="143"/>
      <c r="CZ14" s="143"/>
      <c r="DA14" s="143"/>
      <c r="DB14" s="143"/>
      <c r="DC14" s="143"/>
      <c r="DD14" s="143"/>
      <c r="DE14" s="143"/>
      <c r="DF14" s="143"/>
      <c r="DG14" s="162"/>
      <c r="DH14" s="143"/>
      <c r="DI14" s="143"/>
      <c r="DJ14" s="143"/>
      <c r="DK14" s="143"/>
      <c r="DL14" s="143"/>
      <c r="DM14" s="162"/>
      <c r="DN14" s="154"/>
      <c r="DO14" s="154"/>
      <c r="DP14" s="154"/>
      <c r="DQ14" s="154"/>
      <c r="DR14" s="154"/>
      <c r="DS14" s="162"/>
      <c r="DT14" s="162"/>
      <c r="DU14" s="162"/>
      <c r="DV14" s="150"/>
      <c r="DW14" s="7"/>
      <c r="DX14" s="159"/>
    </row>
    <row r="15" spans="1:128" ht="18.75" thickBot="1">
      <c r="A15" s="660"/>
      <c r="C15" s="253"/>
      <c r="D15" s="208"/>
      <c r="E15" s="208"/>
      <c r="F15" s="208"/>
      <c r="G15" s="208"/>
      <c r="H15" s="208"/>
      <c r="I15" s="208"/>
      <c r="J15" s="254"/>
      <c r="K15" s="151"/>
      <c r="L15" s="151"/>
      <c r="M15" s="151"/>
      <c r="CT15" s="7"/>
      <c r="CU15" s="162"/>
      <c r="CV15" s="162"/>
      <c r="CW15" s="143"/>
      <c r="CX15" s="143"/>
      <c r="CY15" s="143"/>
      <c r="CZ15" s="143"/>
      <c r="DA15" s="143"/>
      <c r="DB15" s="143"/>
      <c r="DC15" s="143"/>
      <c r="DD15" s="143"/>
      <c r="DE15" s="162"/>
      <c r="DF15" s="143"/>
      <c r="DG15" s="143"/>
      <c r="DH15" s="143"/>
      <c r="DI15" s="143"/>
      <c r="DJ15" s="143"/>
      <c r="DK15" s="162"/>
      <c r="DL15" s="154"/>
      <c r="DM15" s="154"/>
      <c r="DN15" s="154"/>
      <c r="DO15" s="154"/>
      <c r="DP15" s="154"/>
      <c r="DQ15" s="162"/>
      <c r="DR15" s="162"/>
      <c r="DS15" s="162"/>
      <c r="DT15" s="150"/>
      <c r="DU15" s="7"/>
      <c r="DV15" s="159"/>
    </row>
    <row r="16" spans="1:128" ht="12.6" customHeight="1">
      <c r="A16" s="660"/>
      <c r="C16" s="163"/>
      <c r="CT16" s="6"/>
      <c r="CU16" s="6"/>
      <c r="CV16" s="6"/>
      <c r="CW16" s="143"/>
      <c r="CX16" s="143"/>
      <c r="CY16" s="143"/>
      <c r="CZ16" s="143"/>
      <c r="DA16" s="143"/>
      <c r="DB16" s="143"/>
      <c r="DC16" s="143"/>
      <c r="DD16" s="143"/>
      <c r="DE16" s="6"/>
      <c r="DF16" s="143"/>
      <c r="DG16" s="143"/>
      <c r="DH16" s="143"/>
      <c r="DI16" s="143"/>
      <c r="DJ16" s="143"/>
      <c r="DK16" s="6"/>
      <c r="DL16" s="6"/>
      <c r="DM16" s="6"/>
      <c r="DN16" s="6"/>
      <c r="DO16" s="6"/>
      <c r="DP16" s="6"/>
      <c r="DQ16" s="6"/>
      <c r="DR16" s="6"/>
      <c r="DS16" s="6"/>
      <c r="DT16" s="150"/>
      <c r="DU16" s="6"/>
      <c r="DV16" s="6"/>
    </row>
    <row r="17" spans="1:126" ht="12.6" customHeight="1">
      <c r="A17" s="660"/>
      <c r="CT17" s="6"/>
      <c r="CU17" s="6"/>
      <c r="CV17" s="6"/>
      <c r="CW17" s="143"/>
      <c r="CX17" s="143"/>
      <c r="CY17" s="143"/>
      <c r="CZ17" s="143"/>
      <c r="DA17" s="143"/>
      <c r="DB17" s="143"/>
      <c r="DC17" s="143"/>
      <c r="DD17" s="143"/>
      <c r="DE17" s="6"/>
      <c r="DF17" s="143"/>
      <c r="DG17" s="143"/>
      <c r="DH17" s="143"/>
      <c r="DI17" s="143"/>
      <c r="DJ17" s="143"/>
      <c r="DK17" s="6"/>
      <c r="DL17" s="6"/>
      <c r="DM17" s="6"/>
      <c r="DN17" s="6"/>
      <c r="DO17" s="6"/>
      <c r="DP17" s="6"/>
      <c r="DQ17" s="6"/>
      <c r="DR17" s="6"/>
      <c r="DS17" s="6"/>
      <c r="DT17" s="150"/>
      <c r="DU17" s="6"/>
      <c r="DV17" s="6"/>
    </row>
    <row r="18" spans="1:126" ht="12.6" customHeight="1">
      <c r="A18" s="660"/>
      <c r="CT18" s="6"/>
      <c r="CU18" s="6"/>
      <c r="CV18" s="6"/>
      <c r="CW18" s="143"/>
      <c r="CX18" s="143"/>
      <c r="CY18" s="143"/>
      <c r="CZ18" s="143"/>
      <c r="DA18" s="143"/>
      <c r="DB18" s="143"/>
      <c r="DC18" s="143"/>
      <c r="DD18" s="143"/>
      <c r="DE18" s="6"/>
      <c r="DF18" s="143"/>
      <c r="DG18" s="143"/>
      <c r="DH18" s="143"/>
      <c r="DI18" s="143"/>
      <c r="DJ18" s="143"/>
      <c r="DK18" s="6"/>
      <c r="DL18" s="6"/>
      <c r="DM18" s="6"/>
      <c r="DN18" s="6"/>
      <c r="DO18" s="6"/>
      <c r="DP18" s="6"/>
      <c r="DQ18" s="6"/>
      <c r="DR18" s="6"/>
      <c r="DS18" s="6"/>
      <c r="DT18" s="150"/>
      <c r="DU18" s="6"/>
      <c r="DV18" s="6"/>
    </row>
    <row r="19" spans="1:126" s="20" customFormat="1" ht="18.75" thickBot="1">
      <c r="A19" s="656"/>
      <c r="C19" s="474" t="s">
        <v>121</v>
      </c>
      <c r="D19" s="438"/>
      <c r="E19" s="438"/>
      <c r="F19" s="438"/>
      <c r="G19" s="438"/>
      <c r="H19" s="438"/>
      <c r="I19" s="438"/>
      <c r="J19" s="438"/>
      <c r="K19" s="23"/>
      <c r="L19" s="217"/>
      <c r="M19" s="217"/>
      <c r="Q19" s="158"/>
    </row>
    <row r="20" spans="1:126" s="20" customFormat="1" ht="18" customHeight="1">
      <c r="A20" s="656"/>
      <c r="C20" s="819"/>
      <c r="D20" s="820"/>
      <c r="E20" s="820"/>
      <c r="F20" s="820"/>
      <c r="G20" s="821"/>
      <c r="H20" s="438"/>
      <c r="I20" s="438"/>
      <c r="J20" s="438"/>
      <c r="K20" s="23"/>
      <c r="L20" s="217"/>
      <c r="M20" s="217"/>
      <c r="Q20" s="158"/>
    </row>
    <row r="21" spans="1:126" s="20" customFormat="1" ht="18" customHeight="1">
      <c r="A21" s="656"/>
      <c r="C21" s="822"/>
      <c r="D21" s="823"/>
      <c r="E21" s="823"/>
      <c r="F21" s="823"/>
      <c r="G21" s="824"/>
      <c r="H21" s="438"/>
      <c r="I21" s="438"/>
      <c r="J21" s="438"/>
      <c r="K21" s="23"/>
      <c r="L21" s="217"/>
      <c r="M21" s="217"/>
      <c r="Q21" s="158"/>
    </row>
    <row r="22" spans="1:126" s="20" customFormat="1" ht="18" customHeight="1" thickBot="1">
      <c r="A22" s="656"/>
      <c r="C22" s="825"/>
      <c r="D22" s="826"/>
      <c r="E22" s="826"/>
      <c r="F22" s="826"/>
      <c r="G22" s="827"/>
      <c r="H22" s="438"/>
      <c r="I22" s="438"/>
      <c r="J22" s="438"/>
      <c r="K22" s="23"/>
      <c r="L22" s="217"/>
      <c r="M22" s="217"/>
      <c r="Q22" s="158"/>
    </row>
    <row r="23" spans="1:126" s="4" customFormat="1" ht="13.5" thickBot="1">
      <c r="A23" s="545"/>
      <c r="C23" s="550"/>
      <c r="D23" s="551"/>
      <c r="E23" s="192"/>
      <c r="F23" s="192"/>
      <c r="G23" s="192"/>
      <c r="H23" s="192"/>
      <c r="I23" s="158"/>
      <c r="J23" s="158"/>
      <c r="K23" s="552"/>
      <c r="L23" s="424"/>
      <c r="M23" s="424"/>
      <c r="N23" s="424"/>
      <c r="O23" s="424"/>
      <c r="P23" s="424"/>
      <c r="Q23" s="424"/>
      <c r="R23" s="425"/>
    </row>
    <row r="24" spans="1:126" s="4" customFormat="1" ht="89.25">
      <c r="A24" s="545"/>
      <c r="C24" s="745" t="str">
        <f>"波动范围 ("&amp;D12&amp; "):"</f>
        <v>波动范围 (对于单项重大的投资收益，需要获取该单项收益的组成明细，需要获取支持性文件如合同等，在必要时进行收入测试。):</v>
      </c>
      <c r="D24" s="746">
        <f>汇总!$F$21</f>
        <v>0</v>
      </c>
      <c r="E24" s="553"/>
      <c r="F24" s="553"/>
      <c r="G24" s="553"/>
      <c r="H24" s="553"/>
      <c r="I24" s="553"/>
      <c r="J24" s="553"/>
      <c r="K24" s="553"/>
      <c r="L24" s="424"/>
      <c r="M24" s="424"/>
      <c r="N24" s="424"/>
      <c r="O24" s="424"/>
      <c r="P24" s="424"/>
      <c r="Q24" s="424"/>
      <c r="R24" s="425"/>
    </row>
    <row r="25" spans="1:126" s="4" customFormat="1" ht="17.25" thickBot="1">
      <c r="A25" s="545"/>
      <c r="C25" s="554" t="s">
        <v>171</v>
      </c>
      <c r="D25" s="476"/>
      <c r="E25" s="5"/>
      <c r="F25" s="5"/>
      <c r="G25" s="5"/>
      <c r="H25" s="5"/>
      <c r="I25" s="5"/>
      <c r="J25" s="5"/>
      <c r="K25" s="5"/>
      <c r="L25" s="424"/>
      <c r="M25" s="424"/>
      <c r="N25" s="424"/>
      <c r="O25" s="424"/>
      <c r="P25" s="424"/>
    </row>
    <row r="26" spans="1:126" ht="12.6" customHeight="1">
      <c r="A26" s="660"/>
      <c r="CR26" s="6"/>
      <c r="CS26" s="6"/>
      <c r="CT26" s="6"/>
      <c r="CU26" s="143"/>
      <c r="CV26" s="143"/>
      <c r="CW26" s="143"/>
      <c r="CX26" s="143"/>
      <c r="CY26" s="143"/>
      <c r="CZ26" s="143"/>
      <c r="DA26" s="143"/>
      <c r="DB26" s="143"/>
      <c r="DC26" s="6"/>
      <c r="DD26" s="143"/>
      <c r="DE26" s="143"/>
      <c r="DF26" s="143"/>
      <c r="DG26" s="143"/>
      <c r="DH26" s="143"/>
      <c r="DI26" s="6"/>
      <c r="DJ26" s="6"/>
      <c r="DK26" s="6"/>
      <c r="DL26" s="6"/>
      <c r="DM26" s="6"/>
      <c r="DN26" s="6"/>
      <c r="DO26" s="6"/>
      <c r="DP26" s="6"/>
      <c r="DQ26" s="6"/>
      <c r="DR26" s="150"/>
      <c r="DS26" s="6"/>
      <c r="DT26" s="6"/>
    </row>
    <row r="27" spans="1:126" ht="12.75" customHeight="1">
      <c r="A27" s="660"/>
      <c r="CS27" s="6"/>
      <c r="CT27" s="6"/>
      <c r="CU27" s="6"/>
      <c r="CV27" s="143"/>
      <c r="CW27" s="143"/>
      <c r="CX27" s="143"/>
      <c r="CY27" s="143"/>
      <c r="CZ27" s="143"/>
      <c r="DA27" s="143"/>
      <c r="DB27" s="143"/>
      <c r="DC27" s="143"/>
      <c r="DD27" s="6"/>
      <c r="DE27" s="143"/>
      <c r="DF27" s="143"/>
      <c r="DG27" s="143"/>
      <c r="DH27" s="143"/>
      <c r="DI27" s="143"/>
      <c r="DJ27" s="6"/>
      <c r="DK27" s="6"/>
      <c r="DL27" s="6"/>
      <c r="DM27" s="6"/>
      <c r="DN27" s="6"/>
      <c r="DO27" s="6"/>
      <c r="DP27" s="6"/>
      <c r="DQ27" s="6"/>
      <c r="DR27" s="6"/>
      <c r="DS27" s="150"/>
      <c r="DT27" s="6"/>
      <c r="DU27" s="6"/>
    </row>
    <row r="28" spans="1:126" ht="12.6" customHeight="1">
      <c r="A28" s="660"/>
      <c r="C28" s="164"/>
      <c r="D28" s="211"/>
      <c r="E28" s="192"/>
      <c r="F28" s="192" t="s">
        <v>123</v>
      </c>
      <c r="G28" s="441"/>
      <c r="H28" s="164" t="s">
        <v>124</v>
      </c>
      <c r="I28" s="192" t="s">
        <v>125</v>
      </c>
      <c r="J28" s="164"/>
      <c r="K28" s="164"/>
      <c r="L28" s="164" t="s">
        <v>126</v>
      </c>
      <c r="M28" s="192" t="s">
        <v>127</v>
      </c>
      <c r="N28" s="164" t="s">
        <v>128</v>
      </c>
      <c r="O28" s="164" t="s">
        <v>129</v>
      </c>
      <c r="P28" s="164" t="s">
        <v>130</v>
      </c>
      <c r="S28" s="54"/>
      <c r="CL28" s="6"/>
      <c r="CM28" s="6"/>
      <c r="CN28" s="6"/>
      <c r="CO28" s="143"/>
      <c r="CP28" s="143"/>
      <c r="CQ28" s="143"/>
      <c r="CR28" s="143"/>
      <c r="CS28" s="143"/>
      <c r="CT28" s="143"/>
      <c r="CU28" s="143"/>
      <c r="CV28" s="143"/>
      <c r="CW28" s="6"/>
      <c r="CX28" s="143"/>
      <c r="CY28" s="143"/>
      <c r="CZ28" s="143"/>
      <c r="DA28" s="143"/>
      <c r="DB28" s="143"/>
      <c r="DC28" s="6"/>
      <c r="DD28" s="6"/>
      <c r="DE28" s="6"/>
      <c r="DF28" s="6"/>
      <c r="DG28" s="6"/>
      <c r="DH28" s="6"/>
      <c r="DI28" s="6"/>
      <c r="DJ28" s="6"/>
      <c r="DK28" s="6"/>
      <c r="DL28" s="200"/>
      <c r="DM28" s="6"/>
      <c r="DN28" s="6"/>
    </row>
    <row r="29" spans="1:126" ht="13.5" thickBot="1">
      <c r="A29" s="660" t="s">
        <v>172</v>
      </c>
      <c r="C29" s="89" t="s">
        <v>95</v>
      </c>
      <c r="D29" s="90" t="s">
        <v>95</v>
      </c>
      <c r="E29" s="90" t="s">
        <v>95</v>
      </c>
      <c r="F29" s="91" t="s">
        <v>95</v>
      </c>
      <c r="G29" s="92"/>
      <c r="H29" s="92"/>
      <c r="I29" s="93"/>
      <c r="J29" s="94"/>
      <c r="K29" s="93"/>
      <c r="L29" s="92"/>
      <c r="M29" s="93"/>
      <c r="N29" s="165"/>
      <c r="O29" s="93"/>
      <c r="P29" s="95"/>
      <c r="Q29" s="96"/>
      <c r="R29" s="97"/>
      <c r="S29" s="255"/>
      <c r="CL29" s="6"/>
      <c r="CM29" s="6"/>
      <c r="CN29" s="6"/>
      <c r="CO29" s="143"/>
      <c r="CP29" s="143"/>
      <c r="CQ29" s="143"/>
      <c r="CR29" s="143"/>
      <c r="CS29" s="143"/>
      <c r="CT29" s="143"/>
      <c r="CU29" s="143"/>
      <c r="CV29" s="143"/>
      <c r="CW29" s="6"/>
      <c r="CX29" s="143"/>
      <c r="CY29" s="143"/>
      <c r="CZ29" s="143"/>
      <c r="DA29" s="143"/>
      <c r="DB29" s="143"/>
      <c r="DC29" s="6"/>
      <c r="DD29" s="6"/>
      <c r="DE29" s="6"/>
      <c r="DF29" s="6"/>
      <c r="DG29" s="6"/>
      <c r="DH29" s="6"/>
      <c r="DI29" s="6"/>
      <c r="DJ29" s="6"/>
      <c r="DK29" s="6"/>
      <c r="DL29" s="150"/>
      <c r="DM29" s="6"/>
      <c r="DN29" s="6"/>
    </row>
    <row r="30" spans="1:126" ht="0.2" customHeight="1" thickBot="1">
      <c r="A30" s="660"/>
      <c r="C30" s="585"/>
      <c r="D30" s="586"/>
      <c r="E30" s="365"/>
      <c r="F30" s="587"/>
      <c r="G30" s="586"/>
      <c r="H30" s="588"/>
      <c r="I30" s="588">
        <f t="shared" ref="I30" si="0">F30+H30</f>
        <v>0</v>
      </c>
      <c r="J30" s="589" t="str">
        <f>IF($I$37&lt;&gt;0,I30/$I$37,"")</f>
        <v/>
      </c>
      <c r="K30" s="586"/>
      <c r="L30" s="588"/>
      <c r="M30" s="590">
        <f t="shared" ref="M30" si="1">I30+L30</f>
        <v>0</v>
      </c>
      <c r="N30" s="590"/>
      <c r="O30" s="587">
        <f t="shared" ref="O30" si="2">M30-N30</f>
        <v>0</v>
      </c>
      <c r="P30" s="466">
        <f>IF(N30&lt;&gt;0,O30/N30,1)</f>
        <v>1</v>
      </c>
      <c r="Q30" s="586"/>
      <c r="R30" s="591"/>
      <c r="CL30" s="6"/>
      <c r="CM30" s="6"/>
      <c r="CN30" s="6"/>
      <c r="CO30" s="143"/>
      <c r="CP30" s="143"/>
      <c r="CQ30" s="143"/>
      <c r="CR30" s="143"/>
      <c r="CS30" s="143"/>
      <c r="CT30" s="143"/>
      <c r="CU30" s="143"/>
      <c r="CV30" s="143"/>
      <c r="CW30" s="6"/>
      <c r="CX30" s="143"/>
      <c r="CY30" s="143"/>
      <c r="CZ30" s="143"/>
      <c r="DA30" s="143"/>
      <c r="DB30" s="143"/>
      <c r="DC30" s="6"/>
      <c r="DD30" s="6"/>
      <c r="DE30" s="6"/>
      <c r="DF30" s="6"/>
      <c r="DG30" s="6"/>
      <c r="DH30" s="6"/>
      <c r="DI30" s="6"/>
      <c r="DJ30" s="6"/>
      <c r="DK30" s="6"/>
      <c r="DL30" s="150"/>
      <c r="DM30" s="6"/>
      <c r="DN30" s="6"/>
    </row>
    <row r="31" spans="1:126" ht="12.6" customHeight="1">
      <c r="A31" s="660"/>
      <c r="B31" s="21" t="s">
        <v>174</v>
      </c>
      <c r="C31" s="592"/>
      <c r="D31" s="747"/>
      <c r="E31" s="593"/>
      <c r="F31" s="482"/>
      <c r="G31" s="594"/>
      <c r="H31" s="594"/>
      <c r="I31" s="594" t="s">
        <v>175</v>
      </c>
      <c r="J31" s="594"/>
      <c r="K31" s="594"/>
      <c r="L31" s="594"/>
      <c r="M31" s="596"/>
      <c r="N31" s="597">
        <f>DATE(YEAR(汇总!$D$5)-1,12,31)</f>
        <v>45291</v>
      </c>
      <c r="O31" s="483" t="s">
        <v>131</v>
      </c>
      <c r="P31" s="598"/>
      <c r="Q31" s="650"/>
      <c r="R31" s="602"/>
      <c r="CK31" s="6"/>
      <c r="CL31" s="6"/>
      <c r="CM31" s="6"/>
      <c r="CN31" s="143"/>
      <c r="CO31" s="143"/>
      <c r="CP31" s="143"/>
      <c r="CQ31" s="143"/>
      <c r="CR31" s="143"/>
      <c r="CS31" s="143"/>
      <c r="CT31" s="143"/>
      <c r="CU31" s="143"/>
      <c r="CV31" s="6"/>
      <c r="CW31" s="143"/>
      <c r="CX31" s="143"/>
      <c r="CY31" s="143"/>
      <c r="CZ31" s="143"/>
      <c r="DA31" s="143"/>
      <c r="DB31" s="6"/>
      <c r="DC31" s="6"/>
      <c r="DD31" s="6"/>
      <c r="DE31" s="6"/>
      <c r="DF31" s="6"/>
      <c r="DG31" s="6"/>
      <c r="DH31" s="6"/>
      <c r="DI31" s="6"/>
      <c r="DJ31" s="6"/>
      <c r="DK31" s="167"/>
      <c r="DL31" s="6"/>
      <c r="DM31" s="6"/>
    </row>
    <row r="32" spans="1:126" ht="43.5" customHeight="1">
      <c r="A32" s="660"/>
      <c r="C32" s="108" t="s">
        <v>176</v>
      </c>
      <c r="D32" s="109" t="s">
        <v>177</v>
      </c>
      <c r="E32" s="168" t="s">
        <v>178</v>
      </c>
      <c r="F32" s="366" t="s">
        <v>135</v>
      </c>
      <c r="G32" s="367" t="s">
        <v>179</v>
      </c>
      <c r="H32" s="367" t="s">
        <v>136</v>
      </c>
      <c r="I32" s="169" t="s">
        <v>137</v>
      </c>
      <c r="J32" s="169" t="s">
        <v>180</v>
      </c>
      <c r="K32" s="367" t="s">
        <v>181</v>
      </c>
      <c r="L32" s="170" t="s">
        <v>138</v>
      </c>
      <c r="M32" s="171" t="s">
        <v>139</v>
      </c>
      <c r="N32" s="555" t="s">
        <v>182</v>
      </c>
      <c r="O32" s="172" t="s">
        <v>141</v>
      </c>
      <c r="P32" s="465" t="s">
        <v>183</v>
      </c>
      <c r="Q32" s="464" t="s">
        <v>184</v>
      </c>
      <c r="R32" s="114" t="s">
        <v>155</v>
      </c>
      <c r="CK32" s="6"/>
      <c r="CL32" s="6"/>
      <c r="CM32" s="6"/>
      <c r="CN32" s="143"/>
      <c r="CO32" s="143"/>
      <c r="CP32" s="143"/>
      <c r="CQ32" s="143"/>
      <c r="CR32" s="143"/>
      <c r="CS32" s="143"/>
      <c r="CT32" s="143"/>
      <c r="CU32" s="143"/>
      <c r="CV32" s="6"/>
      <c r="CW32" s="143"/>
      <c r="CX32" s="143"/>
      <c r="CY32" s="143"/>
      <c r="CZ32" s="143"/>
      <c r="DA32" s="143"/>
      <c r="DB32" s="6"/>
      <c r="DC32" s="6"/>
      <c r="DD32" s="6"/>
      <c r="DE32" s="6"/>
      <c r="DF32" s="6"/>
      <c r="DG32" s="6"/>
      <c r="DH32" s="6"/>
      <c r="DI32" s="6"/>
      <c r="DJ32" s="6"/>
      <c r="DK32" s="167"/>
      <c r="DL32" s="6"/>
      <c r="DM32" s="6"/>
    </row>
    <row r="33" spans="1:123" ht="12.6" customHeight="1">
      <c r="A33" s="660"/>
      <c r="C33" s="119"/>
      <c r="D33" s="99"/>
      <c r="E33" s="100"/>
      <c r="F33" s="101"/>
      <c r="G33" s="99"/>
      <c r="H33" s="102"/>
      <c r="I33" s="102">
        <f>F33+H33</f>
        <v>0</v>
      </c>
      <c r="J33" s="103" t="str">
        <f>IF($I$37&lt;&gt;0,I33/$I$37,"")</f>
        <v/>
      </c>
      <c r="K33" s="99"/>
      <c r="L33" s="102"/>
      <c r="M33" s="104">
        <f>I33+L33</f>
        <v>0</v>
      </c>
      <c r="N33" s="104"/>
      <c r="O33" s="101">
        <f t="shared" ref="O33:O35" si="3">M33-N33</f>
        <v>0</v>
      </c>
      <c r="P33" s="463">
        <f>IF(N33&lt;&gt;0,O33/N33,1)</f>
        <v>1</v>
      </c>
      <c r="Q33" s="99"/>
      <c r="R33" s="105"/>
      <c r="CK33" s="6"/>
      <c r="CL33" s="6"/>
      <c r="CM33" s="6"/>
      <c r="CN33" s="143"/>
      <c r="CO33" s="143"/>
      <c r="CP33" s="143"/>
      <c r="CQ33" s="143"/>
      <c r="CR33" s="143"/>
      <c r="CS33" s="143"/>
      <c r="CT33" s="143"/>
      <c r="CU33" s="143"/>
      <c r="CV33" s="6"/>
      <c r="CW33" s="143"/>
      <c r="CX33" s="143"/>
      <c r="CY33" s="143"/>
      <c r="CZ33" s="143"/>
      <c r="DA33" s="143"/>
      <c r="DB33" s="6"/>
      <c r="DC33" s="6"/>
      <c r="DD33" s="6"/>
      <c r="DE33" s="6"/>
      <c r="DF33" s="6"/>
      <c r="DG33" s="6"/>
      <c r="DH33" s="6"/>
      <c r="DI33" s="6"/>
      <c r="DJ33" s="6"/>
      <c r="DK33" s="150"/>
      <c r="DL33" s="6"/>
      <c r="DM33" s="6"/>
    </row>
    <row r="34" spans="1:123" ht="12.6" customHeight="1">
      <c r="A34" s="660"/>
      <c r="C34" s="98"/>
      <c r="D34" s="99"/>
      <c r="E34" s="100"/>
      <c r="F34" s="101"/>
      <c r="G34" s="99"/>
      <c r="H34" s="102"/>
      <c r="I34" s="102">
        <f t="shared" ref="I34:I35" si="4">F34+H34</f>
        <v>0</v>
      </c>
      <c r="J34" s="103" t="str">
        <f>IF($I$37&lt;&gt;0,I34/$I$37,"")</f>
        <v/>
      </c>
      <c r="K34" s="99"/>
      <c r="L34" s="102"/>
      <c r="M34" s="104">
        <f t="shared" ref="M34:M35" si="5">I34+L34</f>
        <v>0</v>
      </c>
      <c r="N34" s="104"/>
      <c r="O34" s="101">
        <f t="shared" si="3"/>
        <v>0</v>
      </c>
      <c r="P34" s="463">
        <f>IF(N34&lt;&gt;0,O34/N34,1)</f>
        <v>1</v>
      </c>
      <c r="Q34" s="99"/>
      <c r="R34" s="105"/>
      <c r="CK34" s="6"/>
      <c r="CL34" s="6"/>
      <c r="CM34" s="6"/>
      <c r="CN34" s="143"/>
      <c r="CO34" s="143"/>
      <c r="CP34" s="143"/>
      <c r="CQ34" s="143"/>
      <c r="CR34" s="143"/>
      <c r="CS34" s="143"/>
      <c r="CT34" s="143"/>
      <c r="CU34" s="143"/>
      <c r="CV34" s="6"/>
      <c r="CW34" s="143"/>
      <c r="CX34" s="143"/>
      <c r="CY34" s="143"/>
      <c r="CZ34" s="143"/>
      <c r="DA34" s="143"/>
      <c r="DB34" s="6"/>
      <c r="DC34" s="6"/>
      <c r="DD34" s="6"/>
      <c r="DE34" s="6"/>
      <c r="DF34" s="6"/>
      <c r="DG34" s="6"/>
      <c r="DH34" s="6"/>
      <c r="DI34" s="6"/>
      <c r="DJ34" s="6"/>
      <c r="DK34" s="150"/>
      <c r="DL34" s="6"/>
      <c r="DM34" s="6"/>
    </row>
    <row r="35" spans="1:123" ht="12.6" customHeight="1" thickBot="1">
      <c r="A35" s="660" t="s">
        <v>185</v>
      </c>
      <c r="C35" s="371"/>
      <c r="D35" s="372"/>
      <c r="E35" s="385"/>
      <c r="F35" s="374"/>
      <c r="G35" s="372"/>
      <c r="H35" s="375"/>
      <c r="I35" s="102">
        <f t="shared" si="4"/>
        <v>0</v>
      </c>
      <c r="J35" s="103" t="str">
        <f>IF($I$37&lt;&gt;0,I35/$I$37,"")</f>
        <v/>
      </c>
      <c r="K35" s="378"/>
      <c r="L35" s="379"/>
      <c r="M35" s="104">
        <f t="shared" si="5"/>
        <v>0</v>
      </c>
      <c r="N35" s="380"/>
      <c r="O35" s="101">
        <f t="shared" si="3"/>
        <v>0</v>
      </c>
      <c r="P35" s="463">
        <f>IF(N35&lt;&gt;0,O35/N35,1)</f>
        <v>1</v>
      </c>
      <c r="Q35" s="378"/>
      <c r="R35" s="373"/>
      <c r="CK35" s="6"/>
      <c r="CL35" s="6"/>
      <c r="CM35" s="6"/>
      <c r="CN35" s="143"/>
      <c r="CO35" s="143"/>
      <c r="CP35" s="143"/>
      <c r="CQ35" s="143"/>
      <c r="CR35" s="143"/>
      <c r="CS35" s="143"/>
      <c r="CT35" s="143"/>
      <c r="CU35" s="143"/>
      <c r="CV35" s="6"/>
      <c r="CW35" s="143"/>
      <c r="CX35" s="143"/>
      <c r="CY35" s="143"/>
      <c r="CZ35" s="143"/>
      <c r="DA35" s="143"/>
      <c r="DB35" s="6"/>
      <c r="DC35" s="6"/>
      <c r="DD35" s="6"/>
      <c r="DE35" s="6"/>
      <c r="DF35" s="6"/>
      <c r="DG35" s="6"/>
      <c r="DH35" s="6"/>
      <c r="DI35" s="6"/>
      <c r="DJ35" s="6"/>
      <c r="DK35" s="150"/>
      <c r="DL35" s="6"/>
      <c r="DM35" s="6"/>
    </row>
    <row r="36" spans="1:123" s="16" customFormat="1" ht="12.6" customHeight="1">
      <c r="A36" s="661"/>
      <c r="B36" s="174"/>
      <c r="C36" s="760"/>
      <c r="D36" s="761"/>
      <c r="E36" s="762"/>
      <c r="F36" s="762"/>
      <c r="G36" s="762"/>
      <c r="H36" s="762"/>
      <c r="I36" s="763"/>
      <c r="J36" s="765"/>
      <c r="K36" s="765"/>
      <c r="L36" s="763"/>
      <c r="M36" s="763"/>
      <c r="N36" s="763"/>
      <c r="O36" s="753"/>
      <c r="P36" s="767"/>
      <c r="Q36" s="767"/>
      <c r="R36" s="768"/>
      <c r="S36" s="19"/>
      <c r="T36" s="174"/>
      <c r="CL36" s="6"/>
      <c r="CM36" s="6"/>
      <c r="CN36" s="6"/>
      <c r="CO36" s="143"/>
      <c r="CP36" s="143"/>
      <c r="CQ36" s="143"/>
      <c r="CR36" s="143"/>
      <c r="CS36" s="143"/>
      <c r="CT36" s="143"/>
      <c r="CU36" s="143"/>
      <c r="CV36" s="143"/>
      <c r="CW36" s="6"/>
      <c r="CX36" s="143"/>
      <c r="CY36" s="143"/>
      <c r="CZ36" s="143"/>
      <c r="DA36" s="143"/>
      <c r="DB36" s="143"/>
      <c r="DC36" s="6"/>
      <c r="DD36" s="6"/>
      <c r="DE36" s="6"/>
      <c r="DF36" s="6"/>
      <c r="DG36" s="6"/>
      <c r="DH36" s="6"/>
      <c r="DI36" s="6"/>
      <c r="DJ36" s="6"/>
      <c r="DK36" s="6"/>
      <c r="DL36" s="150"/>
      <c r="DM36" s="6"/>
      <c r="DN36" s="6"/>
    </row>
    <row r="37" spans="1:123" s="16" customFormat="1" ht="12.6" customHeight="1" thickBot="1">
      <c r="A37" s="661"/>
      <c r="B37" s="174"/>
      <c r="C37" s="174"/>
      <c r="D37" s="179"/>
      <c r="E37" s="212" t="s">
        <v>208</v>
      </c>
      <c r="F37" s="388">
        <f>SUM(F32:F36)</f>
        <v>0</v>
      </c>
      <c r="G37" s="21"/>
      <c r="H37" s="388">
        <f>SUM(H32:H36)</f>
        <v>0</v>
      </c>
      <c r="I37" s="388">
        <f>SUM(I32:I36)</f>
        <v>0</v>
      </c>
      <c r="J37" s="389">
        <f>SUM(J32:J36)</f>
        <v>0</v>
      </c>
      <c r="K37" s="21"/>
      <c r="L37" s="388">
        <f>SUM(L32:L36)</f>
        <v>0</v>
      </c>
      <c r="M37" s="388">
        <f>SUM(M32:M36)</f>
        <v>0</v>
      </c>
      <c r="N37" s="388">
        <f>SUM(N32:N36)</f>
        <v>0</v>
      </c>
      <c r="O37" s="388">
        <f>M37-N37</f>
        <v>0</v>
      </c>
      <c r="P37" s="389">
        <f>IF(N37&lt;&gt;0,O37/N37,1)</f>
        <v>1</v>
      </c>
      <c r="Q37" s="177"/>
      <c r="R37" s="213"/>
      <c r="S37" s="19"/>
      <c r="T37" s="174"/>
      <c r="CL37" s="6"/>
      <c r="CM37" s="6"/>
      <c r="CN37" s="6"/>
      <c r="CO37" s="143"/>
      <c r="CP37" s="143"/>
      <c r="CQ37" s="143"/>
      <c r="CR37" s="143"/>
      <c r="CS37" s="143"/>
      <c r="CT37" s="143"/>
      <c r="CU37" s="143"/>
      <c r="CV37" s="143"/>
      <c r="CW37" s="6"/>
      <c r="CX37" s="143"/>
      <c r="CY37" s="143"/>
      <c r="CZ37" s="143"/>
      <c r="DA37" s="143"/>
      <c r="DB37" s="143"/>
      <c r="DC37" s="6"/>
      <c r="DD37" s="6"/>
      <c r="DE37" s="6"/>
      <c r="DF37" s="6"/>
      <c r="DG37" s="6"/>
      <c r="DH37" s="6"/>
      <c r="DI37" s="6"/>
      <c r="DJ37" s="6"/>
      <c r="DK37" s="6"/>
      <c r="DL37" s="150"/>
      <c r="DM37" s="6"/>
      <c r="DN37" s="6"/>
    </row>
    <row r="38" spans="1:123" s="16" customFormat="1" ht="12.6" customHeight="1" thickTop="1">
      <c r="A38" s="661"/>
      <c r="B38" s="174"/>
      <c r="C38" s="174"/>
      <c r="D38" s="179"/>
      <c r="E38" s="175"/>
      <c r="F38" s="131" t="s">
        <v>105</v>
      </c>
      <c r="G38" s="179"/>
      <c r="H38" s="131" t="s">
        <v>105</v>
      </c>
      <c r="I38" s="131" t="s">
        <v>105</v>
      </c>
      <c r="J38" s="131" t="s">
        <v>105</v>
      </c>
      <c r="K38" s="180"/>
      <c r="L38" s="131" t="s">
        <v>105</v>
      </c>
      <c r="M38" s="131" t="s">
        <v>105</v>
      </c>
      <c r="N38" s="131" t="s">
        <v>105</v>
      </c>
      <c r="O38" s="193"/>
      <c r="P38" s="183"/>
      <c r="Q38" s="183"/>
      <c r="R38" s="184"/>
      <c r="S38" s="19"/>
      <c r="T38" s="174"/>
      <c r="CL38" s="6"/>
      <c r="CM38" s="6"/>
      <c r="CN38" s="6"/>
      <c r="CO38" s="143"/>
      <c r="CP38" s="143"/>
      <c r="CQ38" s="143"/>
      <c r="CR38" s="143"/>
      <c r="CS38" s="143"/>
      <c r="CT38" s="143"/>
      <c r="CU38" s="143"/>
      <c r="CV38" s="143"/>
      <c r="CW38" s="6"/>
      <c r="CX38" s="143"/>
      <c r="CY38" s="143"/>
      <c r="CZ38" s="143"/>
      <c r="DA38" s="143"/>
      <c r="DB38" s="143"/>
      <c r="DC38" s="6"/>
      <c r="DD38" s="6"/>
      <c r="DE38" s="6"/>
      <c r="DF38" s="6"/>
      <c r="DG38" s="6"/>
      <c r="DH38" s="6"/>
      <c r="DI38" s="6"/>
      <c r="DJ38" s="6"/>
      <c r="DK38" s="6"/>
      <c r="DL38" s="150"/>
      <c r="DM38" s="6"/>
      <c r="DN38" s="6"/>
    </row>
    <row r="39" spans="1:123" s="16" customFormat="1" ht="12.6" customHeight="1">
      <c r="A39" s="661"/>
      <c r="B39" s="174"/>
      <c r="C39" s="174"/>
      <c r="D39" s="179"/>
      <c r="F39" s="181"/>
      <c r="G39" s="179"/>
      <c r="H39" s="185" t="s">
        <v>91</v>
      </c>
      <c r="I39" s="181"/>
      <c r="J39" s="186"/>
      <c r="K39" s="181"/>
      <c r="M39" s="181"/>
      <c r="N39" s="181"/>
      <c r="O39" s="181"/>
      <c r="P39" s="182"/>
      <c r="Q39" s="182"/>
      <c r="R39" s="184"/>
      <c r="S39" s="19"/>
      <c r="T39" s="174"/>
      <c r="CL39" s="6"/>
      <c r="CM39" s="6"/>
      <c r="CN39" s="6"/>
      <c r="CO39" s="143"/>
      <c r="CP39" s="143"/>
      <c r="CQ39" s="143"/>
      <c r="CR39" s="143"/>
      <c r="CS39" s="143"/>
      <c r="CT39" s="143"/>
      <c r="CU39" s="143"/>
      <c r="CV39" s="143"/>
      <c r="CW39" s="6"/>
      <c r="CX39" s="143"/>
      <c r="CY39" s="143"/>
      <c r="CZ39" s="143"/>
      <c r="DA39" s="143"/>
      <c r="DB39" s="143"/>
      <c r="DC39" s="6"/>
      <c r="DD39" s="6"/>
      <c r="DE39" s="6"/>
      <c r="DF39" s="6"/>
      <c r="DG39" s="6"/>
      <c r="DH39" s="6"/>
      <c r="DI39" s="6"/>
      <c r="DJ39" s="6"/>
      <c r="DK39" s="6"/>
      <c r="DL39" s="150"/>
      <c r="DM39" s="6"/>
      <c r="DN39" s="6"/>
    </row>
    <row r="40" spans="1:123" s="27" customFormat="1" ht="12.6" customHeight="1">
      <c r="A40" s="670"/>
      <c r="C40" s="174"/>
      <c r="D40" s="179"/>
      <c r="F40" s="188"/>
      <c r="G40" s="179"/>
      <c r="H40" s="187" t="s">
        <v>201</v>
      </c>
      <c r="I40" s="188">
        <f>I37-I39</f>
        <v>0</v>
      </c>
      <c r="J40" s="189"/>
      <c r="K40" s="181"/>
      <c r="M40" s="188">
        <f>M37-M39</f>
        <v>0</v>
      </c>
      <c r="N40" s="188">
        <f>N37-N39</f>
        <v>0</v>
      </c>
      <c r="O40" s="181"/>
      <c r="P40" s="182"/>
      <c r="Q40" s="174"/>
      <c r="R40" s="174"/>
      <c r="S40" s="256"/>
      <c r="T40" s="256"/>
      <c r="U40" s="256"/>
      <c r="V40" s="256"/>
      <c r="W40" s="256"/>
      <c r="X40" s="256"/>
      <c r="Y40" s="257"/>
      <c r="Z40" s="257"/>
      <c r="AA40" s="257"/>
      <c r="AB40" s="257"/>
      <c r="AC40" s="257"/>
      <c r="AD40" s="257"/>
    </row>
    <row r="41" spans="1:123" s="27" customFormat="1" ht="12.6" customHeight="1">
      <c r="A41" s="670"/>
      <c r="C41" s="16"/>
      <c r="D41" s="179"/>
      <c r="E41" s="187"/>
      <c r="F41" s="258"/>
      <c r="G41" s="179"/>
      <c r="H41" s="174"/>
      <c r="I41" s="258"/>
      <c r="J41" s="201"/>
      <c r="K41" s="193"/>
      <c r="L41" s="193"/>
      <c r="M41" s="258"/>
      <c r="N41" s="193"/>
      <c r="O41" s="193"/>
      <c r="P41" s="193"/>
      <c r="Q41" s="258"/>
      <c r="R41" s="201"/>
      <c r="S41" s="259"/>
      <c r="T41" s="193"/>
      <c r="U41" s="193"/>
      <c r="V41" s="193"/>
      <c r="W41" s="182"/>
      <c r="X41" s="182"/>
      <c r="Y41" s="184"/>
      <c r="Z41" s="174"/>
      <c r="AA41" s="174"/>
      <c r="AB41" s="256"/>
      <c r="AC41" s="256"/>
      <c r="AD41" s="256"/>
      <c r="AE41" s="256"/>
      <c r="AF41" s="256"/>
      <c r="AG41" s="256"/>
      <c r="AH41" s="257"/>
      <c r="AI41" s="257"/>
      <c r="AJ41" s="257"/>
      <c r="AK41" s="257"/>
      <c r="AL41" s="257"/>
      <c r="AM41" s="257"/>
    </row>
    <row r="42" spans="1:123" s="13" customFormat="1" ht="13.35" customHeight="1" thickBot="1">
      <c r="A42" s="663"/>
      <c r="B42" s="88" t="s">
        <v>155</v>
      </c>
      <c r="C42" s="13" t="s">
        <v>189</v>
      </c>
      <c r="G42" s="137"/>
      <c r="H42" s="138"/>
      <c r="I42" s="137"/>
      <c r="J42" s="137"/>
      <c r="CV42" s="62"/>
      <c r="CW42" s="62"/>
      <c r="CX42" s="62"/>
      <c r="CY42" s="62"/>
      <c r="CZ42" s="62"/>
      <c r="DA42" s="62"/>
      <c r="DB42" s="62"/>
      <c r="DE42" s="62"/>
      <c r="DF42" s="62"/>
      <c r="DG42" s="62"/>
      <c r="DH42" s="62"/>
      <c r="DI42" s="62"/>
      <c r="DS42" s="69"/>
    </row>
    <row r="43" spans="1:123" s="17" customFormat="1" ht="12.6" customHeight="1">
      <c r="A43" s="664"/>
      <c r="C43" s="828"/>
      <c r="D43" s="829"/>
      <c r="E43" s="829"/>
      <c r="F43" s="829"/>
      <c r="G43" s="830"/>
      <c r="H43" s="139"/>
      <c r="I43" s="139"/>
      <c r="J43" s="139"/>
      <c r="CN43" s="13"/>
      <c r="CO43" s="13"/>
      <c r="CP43" s="13"/>
      <c r="CQ43" s="62"/>
      <c r="CR43" s="62"/>
      <c r="CS43" s="62"/>
      <c r="CT43" s="62"/>
      <c r="CU43" s="62"/>
      <c r="CV43" s="62"/>
      <c r="CW43" s="62"/>
      <c r="CX43" s="13"/>
      <c r="CY43" s="13"/>
      <c r="CZ43" s="62"/>
      <c r="DA43" s="62"/>
      <c r="DB43" s="62"/>
      <c r="DC43" s="62"/>
      <c r="DD43" s="62"/>
      <c r="DE43" s="13"/>
      <c r="DF43" s="13"/>
      <c r="DG43" s="13"/>
      <c r="DH43" s="13"/>
      <c r="DI43" s="13"/>
      <c r="DJ43" s="13"/>
      <c r="DK43" s="13"/>
      <c r="DL43" s="13"/>
      <c r="DM43" s="13"/>
      <c r="DN43" s="69"/>
      <c r="DO43" s="13"/>
      <c r="DP43" s="13"/>
    </row>
    <row r="44" spans="1:123" s="17" customFormat="1" ht="12.6" customHeight="1">
      <c r="A44" s="665"/>
      <c r="C44" s="831"/>
      <c r="D44" s="832"/>
      <c r="E44" s="832"/>
      <c r="F44" s="832"/>
      <c r="G44" s="833"/>
      <c r="H44" s="139"/>
      <c r="I44" s="139"/>
      <c r="J44" s="139"/>
      <c r="CN44" s="13"/>
      <c r="CO44" s="13"/>
      <c r="CP44" s="13"/>
      <c r="CQ44" s="62"/>
      <c r="CR44" s="62"/>
      <c r="CS44" s="62"/>
      <c r="CT44" s="62"/>
      <c r="CU44" s="62"/>
      <c r="CV44" s="62"/>
      <c r="CW44" s="62"/>
      <c r="CX44" s="13"/>
      <c r="CY44" s="13"/>
      <c r="CZ44" s="62"/>
      <c r="DA44" s="62"/>
      <c r="DB44" s="62"/>
      <c r="DC44" s="62"/>
      <c r="DD44" s="62"/>
      <c r="DE44" s="13"/>
      <c r="DF44" s="13"/>
      <c r="DG44" s="13"/>
      <c r="DH44" s="13"/>
      <c r="DI44" s="13"/>
      <c r="DJ44" s="13"/>
      <c r="DK44" s="13"/>
      <c r="DL44" s="13"/>
      <c r="DM44" s="13"/>
      <c r="DN44" s="69"/>
      <c r="DO44" s="13"/>
      <c r="DP44" s="13"/>
    </row>
    <row r="45" spans="1:123" s="17" customFormat="1" ht="12.6" customHeight="1" thickBot="1">
      <c r="A45" s="665"/>
      <c r="C45" s="834"/>
      <c r="D45" s="835"/>
      <c r="E45" s="835"/>
      <c r="F45" s="835"/>
      <c r="G45" s="836"/>
      <c r="H45" s="139"/>
      <c r="I45" s="139"/>
      <c r="J45" s="139"/>
      <c r="CN45" s="13"/>
      <c r="CO45" s="13"/>
      <c r="CP45" s="13"/>
      <c r="CQ45" s="62"/>
      <c r="CR45" s="62"/>
      <c r="CS45" s="62"/>
      <c r="CT45" s="62"/>
      <c r="CU45" s="62"/>
      <c r="CV45" s="62"/>
      <c r="CW45" s="62"/>
      <c r="CX45" s="13"/>
      <c r="CY45" s="13"/>
      <c r="CZ45" s="62"/>
      <c r="DA45" s="62"/>
      <c r="DB45" s="62"/>
      <c r="DC45" s="62"/>
      <c r="DD45" s="62"/>
      <c r="DE45" s="13"/>
      <c r="DF45" s="13"/>
      <c r="DG45" s="13"/>
      <c r="DH45" s="13"/>
      <c r="DI45" s="13"/>
      <c r="DJ45" s="13"/>
      <c r="DK45" s="13"/>
      <c r="DL45" s="13"/>
      <c r="DM45" s="13"/>
      <c r="DN45" s="13"/>
      <c r="DO45" s="13"/>
      <c r="DP45" s="13"/>
    </row>
    <row r="46" spans="1:123">
      <c r="A46" s="660"/>
    </row>
    <row r="47" spans="1:123">
      <c r="A47" s="660"/>
    </row>
    <row r="48" spans="1:123">
      <c r="A48" s="541"/>
    </row>
    <row r="49" spans="1:3" ht="16.5">
      <c r="A49" s="541"/>
      <c r="B49" s="21" t="s">
        <v>272</v>
      </c>
      <c r="C49" s="140" t="s">
        <v>286</v>
      </c>
    </row>
  </sheetData>
  <mergeCells count="13">
    <mergeCell ref="C43:G45"/>
    <mergeCell ref="L5:L6"/>
    <mergeCell ref="M5:M6"/>
    <mergeCell ref="N5:N6"/>
    <mergeCell ref="O5:O6"/>
    <mergeCell ref="D9:F9"/>
    <mergeCell ref="D8:F8"/>
    <mergeCell ref="D14:F14"/>
    <mergeCell ref="D13:F13"/>
    <mergeCell ref="D12:F12"/>
    <mergeCell ref="D11:F11"/>
    <mergeCell ref="D10:F10"/>
    <mergeCell ref="C20:G22"/>
  </mergeCells>
  <phoneticPr fontId="136" type="noConversion"/>
  <conditionalFormatting sqref="G9:I14 C20:G22 D25 C30:F30 N30 C33:F35 N33:N35 I39 M39:N39 C43:G45">
    <cfRule type="cellIs" dxfId="9" priority="1" operator="equal">
      <formula>0</formula>
    </cfRule>
  </conditionalFormatting>
  <dataValidations count="2">
    <dataValidation type="list" allowBlank="1" showInputMessage="1" sqref="H9:H14" xr:uid="{A27DBDD7-B599-4D6C-8499-78377BCC542F}">
      <formula1>"是,否"</formula1>
    </dataValidation>
    <dataValidation type="list" allowBlank="1" showInputMessage="1" sqref="I9:I14" xr:uid="{83757D43-4544-40CF-8950-8A3BF9800BDE}">
      <formula1>"是,不适用"</formula1>
    </dataValidation>
  </dataValidations>
  <hyperlinks>
    <hyperlink ref="J2" location="汇总!A1" display="返回汇总页" xr:uid="{00000000-0004-0000-0B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9"/>
  <dimension ref="A1:DX49"/>
  <sheetViews>
    <sheetView showGridLines="0" zoomScale="70" zoomScaleNormal="70" workbookViewId="0">
      <selection activeCell="P37" sqref="P37"/>
    </sheetView>
  </sheetViews>
  <sheetFormatPr defaultColWidth="9.5703125" defaultRowHeight="12.75" outlineLevelRow="1" outlineLevelCol="1"/>
  <cols>
    <col min="1" max="1" width="0.140625" style="164" customWidth="1"/>
    <col min="2" max="2" width="5" style="19" customWidth="1"/>
    <col min="3" max="3" width="19" style="19" customWidth="1"/>
    <col min="4" max="4" width="50.7109375" style="19" customWidth="1"/>
    <col min="5" max="5" width="19.5703125" style="19" customWidth="1"/>
    <col min="6" max="6" width="20.7109375" style="19" customWidth="1"/>
    <col min="7" max="7" width="18.5703125" style="19" customWidth="1"/>
    <col min="8" max="8" width="17.5703125" style="19" customWidth="1"/>
    <col min="9" max="9" width="19.7109375" style="19" customWidth="1"/>
    <col min="10" max="10" width="18.28515625" style="19" customWidth="1"/>
    <col min="11" max="11" width="27.140625" style="19" customWidth="1" outlineLevel="1"/>
    <col min="12" max="12" width="13.42578125" style="19" customWidth="1" outlineLevel="1"/>
    <col min="13" max="13" width="13.42578125" style="19" customWidth="1"/>
    <col min="14" max="14" width="14.140625" style="19" customWidth="1"/>
    <col min="15" max="16" width="14.42578125" style="19" customWidth="1"/>
    <col min="17" max="18" width="12.85546875" style="19" customWidth="1"/>
    <col min="19" max="19" width="22.42578125" style="19" customWidth="1"/>
    <col min="20" max="20" width="16.140625" style="19" customWidth="1"/>
    <col min="21" max="25" width="8.7109375" style="19" customWidth="1"/>
    <col min="26" max="27" width="13.28515625" style="19" customWidth="1"/>
    <col min="28" max="28" width="16" style="19" customWidth="1"/>
    <col min="29" max="29" width="9.5703125" style="19"/>
    <col min="30" max="30" width="7.7109375" style="19" customWidth="1"/>
    <col min="31" max="32" width="13.28515625" style="19" customWidth="1"/>
    <col min="33" max="33" width="10.42578125" style="19" customWidth="1"/>
    <col min="34" max="34" width="11.7109375" style="19" customWidth="1"/>
    <col min="35" max="35" width="7.5703125" style="19" customWidth="1"/>
    <col min="36" max="36" width="8.85546875" style="19" customWidth="1"/>
    <col min="37" max="16384" width="9.5703125" style="19"/>
  </cols>
  <sheetData>
    <row r="1" spans="1:128" ht="13.35" customHeight="1">
      <c r="A1" s="540" t="s">
        <v>287</v>
      </c>
    </row>
    <row r="2" spans="1:128" s="9" customFormat="1" ht="14.85" customHeight="1">
      <c r="A2" s="539"/>
      <c r="C2" s="473"/>
      <c r="J2" s="48" t="s">
        <v>108</v>
      </c>
    </row>
    <row r="3" spans="1:128" ht="12.6" customHeight="1" thickBot="1">
      <c r="A3" s="540"/>
      <c r="CR3" s="143"/>
      <c r="CS3" s="6"/>
      <c r="CT3" s="6"/>
      <c r="CU3" s="143"/>
      <c r="CV3" s="143"/>
      <c r="CW3" s="143"/>
      <c r="CX3" s="143"/>
      <c r="CY3" s="143"/>
      <c r="CZ3" s="143"/>
      <c r="DA3" s="143"/>
      <c r="DB3" s="143"/>
      <c r="DC3" s="6"/>
      <c r="DD3" s="143"/>
      <c r="DE3" s="143"/>
      <c r="DF3" s="143"/>
      <c r="DG3" s="143"/>
      <c r="DH3" s="143"/>
      <c r="DI3" s="6"/>
      <c r="DJ3" s="6"/>
      <c r="DK3" s="6"/>
      <c r="DL3" s="6"/>
      <c r="DM3" s="6"/>
      <c r="DN3" s="6"/>
      <c r="DO3" s="6"/>
      <c r="DP3" s="6"/>
      <c r="DQ3" s="6"/>
      <c r="DR3" s="150"/>
      <c r="DS3" s="143"/>
      <c r="DT3" s="149"/>
    </row>
    <row r="4" spans="1:128" ht="21">
      <c r="A4" s="540"/>
      <c r="C4" s="757" t="s">
        <v>159</v>
      </c>
      <c r="D4" s="758"/>
      <c r="E4" s="758"/>
      <c r="F4" s="758"/>
      <c r="G4" s="758"/>
      <c r="H4" s="758"/>
      <c r="I4" s="758"/>
      <c r="J4" s="759"/>
      <c r="K4" s="151"/>
      <c r="L4" s="151"/>
      <c r="M4" s="151"/>
      <c r="CT4" s="6"/>
      <c r="CU4" s="6"/>
      <c r="CV4" s="6"/>
      <c r="CW4" s="143"/>
      <c r="CX4" s="143"/>
      <c r="CY4" s="143"/>
      <c r="CZ4" s="143"/>
      <c r="DA4" s="143"/>
      <c r="DB4" s="143"/>
      <c r="DC4" s="143"/>
      <c r="DD4" s="143"/>
      <c r="DE4" s="6"/>
      <c r="DF4" s="143"/>
      <c r="DG4" s="143"/>
      <c r="DH4" s="143"/>
      <c r="DI4" s="143"/>
      <c r="DJ4" s="143"/>
      <c r="DK4" s="6"/>
      <c r="DL4" s="6"/>
      <c r="DM4" s="6"/>
      <c r="DN4" s="6"/>
      <c r="DO4" s="6"/>
      <c r="DP4" s="6"/>
      <c r="DQ4" s="6"/>
      <c r="DR4" s="6"/>
      <c r="DS4" s="6"/>
      <c r="DT4" s="150"/>
      <c r="DU4" s="6"/>
      <c r="DV4" s="6"/>
    </row>
    <row r="5" spans="1:128" ht="22.5" customHeight="1">
      <c r="A5" s="540"/>
      <c r="C5" s="49" t="s">
        <v>288</v>
      </c>
      <c r="D5" s="152"/>
      <c r="E5" s="152"/>
      <c r="F5" s="152"/>
      <c r="G5" s="152"/>
      <c r="H5" s="152"/>
      <c r="I5" s="152"/>
      <c r="J5" s="153"/>
      <c r="K5" s="151"/>
      <c r="L5" s="843"/>
      <c r="M5" s="843"/>
      <c r="N5" s="843"/>
      <c r="O5" s="842"/>
      <c r="CT5" s="6"/>
      <c r="CU5" s="6"/>
      <c r="CV5" s="154"/>
      <c r="CW5" s="143"/>
      <c r="CX5" s="143"/>
      <c r="CY5" s="143"/>
      <c r="CZ5" s="143"/>
      <c r="DA5" s="143"/>
      <c r="DB5" s="143"/>
      <c r="DC5" s="143"/>
      <c r="DD5" s="143"/>
      <c r="DE5" s="6"/>
      <c r="DF5" s="143"/>
      <c r="DG5" s="143"/>
      <c r="DH5" s="143"/>
      <c r="DI5" s="143"/>
      <c r="DJ5" s="143"/>
      <c r="DK5" s="6"/>
      <c r="DL5" s="6"/>
      <c r="DM5" s="6"/>
      <c r="DN5" s="6"/>
      <c r="DO5" s="6"/>
      <c r="DP5" s="6"/>
      <c r="DQ5" s="6"/>
      <c r="DR5" s="6"/>
      <c r="DS5" s="6"/>
      <c r="DT5" s="150"/>
      <c r="DU5" s="6"/>
      <c r="DV5" s="6"/>
    </row>
    <row r="6" spans="1:128" ht="22.5" customHeight="1">
      <c r="A6" s="540"/>
      <c r="C6" s="49" t="s">
        <v>194</v>
      </c>
      <c r="D6" s="152"/>
      <c r="E6" s="152"/>
      <c r="F6" s="152"/>
      <c r="G6" s="152"/>
      <c r="H6" s="152"/>
      <c r="I6" s="152"/>
      <c r="J6" s="153"/>
      <c r="K6" s="151"/>
      <c r="L6" s="843"/>
      <c r="M6" s="843"/>
      <c r="N6" s="843"/>
      <c r="O6" s="842"/>
      <c r="CT6" s="6"/>
      <c r="CU6" s="154"/>
      <c r="CV6" s="154"/>
      <c r="CW6" s="143"/>
      <c r="CX6" s="143"/>
      <c r="CY6" s="143"/>
      <c r="CZ6" s="143"/>
      <c r="DA6" s="143"/>
      <c r="DB6" s="143"/>
      <c r="DC6" s="143"/>
      <c r="DD6" s="143"/>
      <c r="DE6" s="154"/>
      <c r="DF6" s="143"/>
      <c r="DG6" s="143"/>
      <c r="DH6" s="143"/>
      <c r="DI6" s="143"/>
      <c r="DJ6" s="143"/>
      <c r="DK6" s="154"/>
      <c r="DL6" s="6"/>
      <c r="DM6" s="6"/>
      <c r="DN6" s="6"/>
      <c r="DO6" s="6"/>
      <c r="DP6" s="6"/>
      <c r="DQ6" s="154"/>
      <c r="DR6" s="154"/>
      <c r="DS6" s="154"/>
      <c r="DT6" s="155"/>
      <c r="DU6" s="6"/>
      <c r="DV6" s="6"/>
    </row>
    <row r="7" spans="1:128" ht="12.6" customHeight="1">
      <c r="A7" s="540"/>
      <c r="C7" s="49"/>
      <c r="D7" s="152"/>
      <c r="E7" s="152"/>
      <c r="F7" s="152"/>
      <c r="G7" s="152"/>
      <c r="H7" s="152"/>
      <c r="I7" s="152"/>
      <c r="J7" s="153"/>
      <c r="K7" s="151"/>
      <c r="L7" s="151"/>
      <c r="M7" s="151"/>
      <c r="CT7" s="6"/>
      <c r="CU7" s="154"/>
      <c r="CV7" s="154"/>
      <c r="CW7" s="143"/>
      <c r="CX7" s="143"/>
      <c r="CY7" s="143"/>
      <c r="CZ7" s="143"/>
      <c r="DA7" s="143"/>
      <c r="DB7" s="143"/>
      <c r="DC7" s="143"/>
      <c r="DD7" s="143"/>
      <c r="DE7" s="154"/>
      <c r="DF7" s="143"/>
      <c r="DG7" s="143"/>
      <c r="DH7" s="143"/>
      <c r="DI7" s="143"/>
      <c r="DJ7" s="143"/>
      <c r="DK7" s="154"/>
      <c r="DL7" s="6"/>
      <c r="DM7" s="6"/>
      <c r="DN7" s="6"/>
      <c r="DO7" s="6"/>
      <c r="DP7" s="6"/>
      <c r="DQ7" s="154"/>
      <c r="DR7" s="154"/>
      <c r="DS7" s="154"/>
      <c r="DT7" s="155"/>
      <c r="DU7" s="6"/>
      <c r="DV7" s="6"/>
    </row>
    <row r="8" spans="1:128" ht="21">
      <c r="A8" s="540"/>
      <c r="C8" s="513" t="s">
        <v>111</v>
      </c>
      <c r="D8" s="845" t="s">
        <v>112</v>
      </c>
      <c r="E8" s="845"/>
      <c r="F8" s="845"/>
      <c r="G8" s="157" t="s">
        <v>113</v>
      </c>
      <c r="H8" s="507" t="s">
        <v>114</v>
      </c>
      <c r="I8" s="507" t="s">
        <v>115</v>
      </c>
      <c r="J8" s="514" t="s">
        <v>116</v>
      </c>
      <c r="K8" s="158"/>
      <c r="L8" s="151"/>
      <c r="M8" s="151"/>
      <c r="N8" s="151"/>
      <c r="CU8" s="7"/>
      <c r="CV8" s="7"/>
      <c r="CW8" s="7"/>
      <c r="CX8" s="143"/>
      <c r="CY8" s="143"/>
      <c r="CZ8" s="143"/>
      <c r="DA8" s="143"/>
      <c r="DB8" s="143"/>
      <c r="DC8" s="143"/>
      <c r="DD8" s="143"/>
      <c r="DE8" s="143"/>
      <c r="DF8" s="7"/>
      <c r="DG8" s="143"/>
      <c r="DH8" s="143"/>
      <c r="DI8" s="143"/>
      <c r="DJ8" s="143"/>
      <c r="DK8" s="143"/>
      <c r="DL8" s="7"/>
      <c r="DM8" s="154"/>
      <c r="DN8" s="154"/>
      <c r="DO8" s="154"/>
      <c r="DP8" s="154"/>
      <c r="DQ8" s="154"/>
      <c r="DR8" s="7"/>
      <c r="DS8" s="7"/>
      <c r="DT8" s="7"/>
      <c r="DU8" s="155"/>
      <c r="DV8" s="7"/>
      <c r="DW8" s="159"/>
    </row>
    <row r="9" spans="1:128" ht="21" outlineLevel="1">
      <c r="A9" s="660"/>
      <c r="C9" s="515">
        <v>1</v>
      </c>
      <c r="D9" s="844" t="s">
        <v>289</v>
      </c>
      <c r="E9" s="844"/>
      <c r="F9" s="844"/>
      <c r="G9" s="560" t="s">
        <v>163</v>
      </c>
      <c r="H9" s="508" t="s">
        <v>119</v>
      </c>
      <c r="I9" s="509"/>
      <c r="J9" s="516"/>
      <c r="K9" s="158"/>
      <c r="L9" s="158"/>
      <c r="M9" s="160"/>
      <c r="N9" s="160"/>
      <c r="O9" s="160"/>
      <c r="CV9" s="154"/>
      <c r="CW9" s="7"/>
      <c r="CX9" s="154"/>
      <c r="CY9" s="143"/>
      <c r="CZ9" s="143"/>
      <c r="DA9" s="143"/>
      <c r="DB9" s="143"/>
      <c r="DC9" s="143"/>
      <c r="DD9" s="143"/>
      <c r="DE9" s="143"/>
      <c r="DF9" s="143"/>
      <c r="DG9" s="7"/>
      <c r="DH9" s="143"/>
      <c r="DI9" s="143"/>
      <c r="DJ9" s="143"/>
      <c r="DK9" s="143"/>
      <c r="DL9" s="143"/>
      <c r="DM9" s="7"/>
      <c r="DN9" s="7"/>
      <c r="DO9" s="7"/>
      <c r="DP9" s="7"/>
      <c r="DQ9" s="7"/>
      <c r="DR9" s="7"/>
      <c r="DS9" s="7"/>
      <c r="DT9" s="7"/>
      <c r="DU9" s="7"/>
      <c r="DV9" s="155"/>
      <c r="DW9" s="154"/>
      <c r="DX9" s="8"/>
    </row>
    <row r="10" spans="1:128" ht="62.85" customHeight="1" outlineLevel="1">
      <c r="A10" s="660"/>
      <c r="C10" s="515">
        <v>2</v>
      </c>
      <c r="D10" s="844" t="s">
        <v>164</v>
      </c>
      <c r="E10" s="844"/>
      <c r="F10" s="844"/>
      <c r="G10" s="560" t="s">
        <v>163</v>
      </c>
      <c r="H10" s="508" t="s">
        <v>119</v>
      </c>
      <c r="I10" s="509"/>
      <c r="J10" s="516"/>
      <c r="K10" s="158"/>
      <c r="L10" s="158"/>
      <c r="M10" s="160"/>
      <c r="N10" s="160"/>
      <c r="O10" s="160"/>
      <c r="CV10" s="154"/>
      <c r="CW10" s="7"/>
      <c r="CX10" s="154"/>
      <c r="CY10" s="143"/>
      <c r="CZ10" s="143"/>
      <c r="DA10" s="143"/>
      <c r="DB10" s="143"/>
      <c r="DC10" s="143"/>
      <c r="DD10" s="143"/>
      <c r="DE10" s="143"/>
      <c r="DF10" s="143"/>
      <c r="DG10" s="7"/>
      <c r="DH10" s="143"/>
      <c r="DI10" s="143"/>
      <c r="DJ10" s="143"/>
      <c r="DK10" s="143"/>
      <c r="DL10" s="143"/>
      <c r="DM10" s="7"/>
      <c r="DN10" s="7"/>
      <c r="DO10" s="7"/>
      <c r="DP10" s="7"/>
      <c r="DQ10" s="7"/>
      <c r="DR10" s="7"/>
      <c r="DS10" s="7"/>
      <c r="DT10" s="7"/>
      <c r="DU10" s="7"/>
      <c r="DV10" s="155"/>
      <c r="DW10" s="154"/>
      <c r="DX10" s="8"/>
    </row>
    <row r="11" spans="1:128" ht="21" outlineLevel="1">
      <c r="A11" s="660"/>
      <c r="C11" s="515">
        <v>3</v>
      </c>
      <c r="D11" s="844" t="s">
        <v>196</v>
      </c>
      <c r="E11" s="844"/>
      <c r="F11" s="844"/>
      <c r="G11" s="560" t="s">
        <v>163</v>
      </c>
      <c r="H11" s="508" t="s">
        <v>119</v>
      </c>
      <c r="I11" s="509"/>
      <c r="J11" s="516"/>
      <c r="K11" s="158"/>
      <c r="L11" s="158"/>
      <c r="M11" s="151"/>
      <c r="N11" s="151"/>
      <c r="O11" s="151"/>
      <c r="CV11" s="7"/>
      <c r="CW11" s="154"/>
      <c r="CX11" s="162"/>
      <c r="CY11" s="143"/>
      <c r="CZ11" s="143"/>
      <c r="DA11" s="143"/>
      <c r="DB11" s="143"/>
      <c r="DC11" s="143"/>
      <c r="DD11" s="143"/>
      <c r="DE11" s="143"/>
      <c r="DF11" s="143"/>
      <c r="DG11" s="154"/>
      <c r="DH11" s="143"/>
      <c r="DI11" s="143"/>
      <c r="DJ11" s="143"/>
      <c r="DK11" s="143"/>
      <c r="DL11" s="143"/>
      <c r="DM11" s="154"/>
      <c r="DN11" s="7"/>
      <c r="DO11" s="7"/>
      <c r="DP11" s="7"/>
      <c r="DQ11" s="7"/>
      <c r="DR11" s="7"/>
      <c r="DS11" s="154"/>
      <c r="DT11" s="154"/>
      <c r="DU11" s="154"/>
      <c r="DV11" s="155"/>
      <c r="DW11" s="7"/>
      <c r="DX11" s="7"/>
    </row>
    <row r="12" spans="1:128" ht="83.1" customHeight="1" outlineLevel="1">
      <c r="A12" s="660"/>
      <c r="C12" s="515">
        <v>4</v>
      </c>
      <c r="D12" s="839" t="s">
        <v>290</v>
      </c>
      <c r="E12" s="840"/>
      <c r="F12" s="841"/>
      <c r="G12" s="510" t="s">
        <v>167</v>
      </c>
      <c r="H12" s="508" t="s">
        <v>119</v>
      </c>
      <c r="I12" s="509"/>
      <c r="J12" s="516"/>
      <c r="K12" s="158"/>
      <c r="L12" s="158"/>
      <c r="M12" s="151"/>
      <c r="N12" s="151"/>
      <c r="O12" s="151"/>
      <c r="CV12" s="7"/>
      <c r="CW12" s="154"/>
      <c r="CX12" s="162"/>
      <c r="CY12" s="143"/>
      <c r="CZ12" s="143"/>
      <c r="DA12" s="143"/>
      <c r="DB12" s="143"/>
      <c r="DC12" s="143"/>
      <c r="DD12" s="143"/>
      <c r="DE12" s="143"/>
      <c r="DF12" s="143"/>
      <c r="DG12" s="154"/>
      <c r="DH12" s="143"/>
      <c r="DI12" s="143"/>
      <c r="DJ12" s="143"/>
      <c r="DK12" s="143"/>
      <c r="DL12" s="143"/>
      <c r="DM12" s="154"/>
      <c r="DN12" s="7"/>
      <c r="DO12" s="7"/>
      <c r="DP12" s="7"/>
      <c r="DQ12" s="7"/>
      <c r="DR12" s="7"/>
      <c r="DS12" s="154"/>
      <c r="DT12" s="154"/>
      <c r="DU12" s="154"/>
      <c r="DV12" s="155"/>
      <c r="DW12" s="7"/>
      <c r="DX12" s="7"/>
    </row>
    <row r="13" spans="1:128" ht="42" outlineLevel="1">
      <c r="A13" s="660"/>
      <c r="C13" s="515">
        <v>5</v>
      </c>
      <c r="D13" s="844" t="s">
        <v>198</v>
      </c>
      <c r="E13" s="844"/>
      <c r="F13" s="844"/>
      <c r="G13" s="517" t="s">
        <v>169</v>
      </c>
      <c r="H13" s="508" t="s">
        <v>119</v>
      </c>
      <c r="I13" s="509"/>
      <c r="J13" s="207"/>
      <c r="K13" s="158"/>
      <c r="L13" s="158"/>
      <c r="M13" s="151"/>
      <c r="N13" s="151"/>
      <c r="O13" s="151"/>
      <c r="CV13" s="7"/>
      <c r="CW13" s="162"/>
      <c r="CX13" s="162"/>
      <c r="CY13" s="143"/>
      <c r="CZ13" s="143"/>
      <c r="DA13" s="143"/>
      <c r="DB13" s="143"/>
      <c r="DC13" s="143"/>
      <c r="DD13" s="143"/>
      <c r="DE13" s="143"/>
      <c r="DF13" s="143"/>
      <c r="DG13" s="162"/>
      <c r="DH13" s="143"/>
      <c r="DI13" s="143"/>
      <c r="DJ13" s="143"/>
      <c r="DK13" s="143"/>
      <c r="DL13" s="143"/>
      <c r="DM13" s="162"/>
      <c r="DN13" s="154"/>
      <c r="DO13" s="154"/>
      <c r="DP13" s="154"/>
      <c r="DQ13" s="154"/>
      <c r="DR13" s="154"/>
      <c r="DS13" s="162"/>
      <c r="DT13" s="162"/>
      <c r="DU13" s="162"/>
      <c r="DV13" s="150"/>
      <c r="DW13" s="7"/>
      <c r="DX13" s="159"/>
    </row>
    <row r="14" spans="1:128" ht="101.25" outlineLevel="1">
      <c r="A14" s="660"/>
      <c r="C14" s="515">
        <v>6</v>
      </c>
      <c r="D14" s="844" t="s">
        <v>170</v>
      </c>
      <c r="E14" s="844"/>
      <c r="F14" s="844"/>
      <c r="G14" s="560" t="s">
        <v>163</v>
      </c>
      <c r="H14" s="508" t="s">
        <v>119</v>
      </c>
      <c r="I14" s="509"/>
      <c r="J14" s="368" t="s">
        <v>291</v>
      </c>
      <c r="K14" s="158"/>
      <c r="L14" s="158"/>
      <c r="M14" s="151"/>
      <c r="N14" s="151"/>
      <c r="O14" s="151"/>
      <c r="CV14" s="7"/>
      <c r="CW14" s="162"/>
      <c r="CX14" s="162"/>
      <c r="CY14" s="143"/>
      <c r="CZ14" s="143"/>
      <c r="DA14" s="143"/>
      <c r="DB14" s="143"/>
      <c r="DC14" s="143"/>
      <c r="DD14" s="143"/>
      <c r="DE14" s="143"/>
      <c r="DF14" s="143"/>
      <c r="DG14" s="162"/>
      <c r="DH14" s="143"/>
      <c r="DI14" s="143"/>
      <c r="DJ14" s="143"/>
      <c r="DK14" s="143"/>
      <c r="DL14" s="143"/>
      <c r="DM14" s="162"/>
      <c r="DN14" s="154"/>
      <c r="DO14" s="154"/>
      <c r="DP14" s="154"/>
      <c r="DQ14" s="154"/>
      <c r="DR14" s="154"/>
      <c r="DS14" s="162"/>
      <c r="DT14" s="162"/>
      <c r="DU14" s="162"/>
      <c r="DV14" s="150"/>
      <c r="DW14" s="7"/>
      <c r="DX14" s="159"/>
    </row>
    <row r="15" spans="1:128" ht="18.75" thickBot="1">
      <c r="A15" s="660"/>
      <c r="C15" s="253"/>
      <c r="D15" s="208"/>
      <c r="E15" s="208"/>
      <c r="F15" s="208"/>
      <c r="G15" s="208"/>
      <c r="H15" s="208"/>
      <c r="I15" s="208"/>
      <c r="J15" s="254"/>
      <c r="K15" s="151"/>
      <c r="L15" s="151"/>
      <c r="M15" s="151"/>
      <c r="CT15" s="7"/>
      <c r="CU15" s="162"/>
      <c r="CV15" s="162"/>
      <c r="CW15" s="143"/>
      <c r="CX15" s="143"/>
      <c r="CY15" s="143"/>
      <c r="CZ15" s="143"/>
      <c r="DA15" s="143"/>
      <c r="DB15" s="143"/>
      <c r="DC15" s="143"/>
      <c r="DD15" s="143"/>
      <c r="DE15" s="162"/>
      <c r="DF15" s="143"/>
      <c r="DG15" s="143"/>
      <c r="DH15" s="143"/>
      <c r="DI15" s="143"/>
      <c r="DJ15" s="143"/>
      <c r="DK15" s="162"/>
      <c r="DL15" s="154"/>
      <c r="DM15" s="154"/>
      <c r="DN15" s="154"/>
      <c r="DO15" s="154"/>
      <c r="DP15" s="154"/>
      <c r="DQ15" s="162"/>
      <c r="DR15" s="162"/>
      <c r="DS15" s="162"/>
      <c r="DT15" s="150"/>
      <c r="DU15" s="7"/>
      <c r="DV15" s="159"/>
    </row>
    <row r="16" spans="1:128" ht="12.6" customHeight="1">
      <c r="A16" s="660"/>
      <c r="C16" s="163"/>
      <c r="CT16" s="6"/>
      <c r="CU16" s="6"/>
      <c r="CV16" s="6"/>
      <c r="CW16" s="143"/>
      <c r="CX16" s="143"/>
      <c r="CY16" s="143"/>
      <c r="CZ16" s="143"/>
      <c r="DA16" s="143"/>
      <c r="DB16" s="143"/>
      <c r="DC16" s="143"/>
      <c r="DD16" s="143"/>
      <c r="DE16" s="6"/>
      <c r="DF16" s="143"/>
      <c r="DG16" s="143"/>
      <c r="DH16" s="143"/>
      <c r="DI16" s="143"/>
      <c r="DJ16" s="143"/>
      <c r="DK16" s="6"/>
      <c r="DL16" s="6"/>
      <c r="DM16" s="6"/>
      <c r="DN16" s="6"/>
      <c r="DO16" s="6"/>
      <c r="DP16" s="6"/>
      <c r="DQ16" s="6"/>
      <c r="DR16" s="6"/>
      <c r="DS16" s="6"/>
      <c r="DT16" s="150"/>
      <c r="DU16" s="6"/>
      <c r="DV16" s="6"/>
    </row>
    <row r="17" spans="1:126" ht="12.6" customHeight="1">
      <c r="A17" s="660"/>
      <c r="CT17" s="6"/>
      <c r="CU17" s="6"/>
      <c r="CV17" s="6"/>
      <c r="CW17" s="143"/>
      <c r="CX17" s="143"/>
      <c r="CY17" s="143"/>
      <c r="CZ17" s="143"/>
      <c r="DA17" s="143"/>
      <c r="DB17" s="143"/>
      <c r="DC17" s="143"/>
      <c r="DD17" s="143"/>
      <c r="DE17" s="6"/>
      <c r="DF17" s="143"/>
      <c r="DG17" s="143"/>
      <c r="DH17" s="143"/>
      <c r="DI17" s="143"/>
      <c r="DJ17" s="143"/>
      <c r="DK17" s="6"/>
      <c r="DL17" s="6"/>
      <c r="DM17" s="6"/>
      <c r="DN17" s="6"/>
      <c r="DO17" s="6"/>
      <c r="DP17" s="6"/>
      <c r="DQ17" s="6"/>
      <c r="DR17" s="6"/>
      <c r="DS17" s="6"/>
      <c r="DT17" s="150"/>
      <c r="DU17" s="6"/>
      <c r="DV17" s="6"/>
    </row>
    <row r="18" spans="1:126" ht="12.6" customHeight="1">
      <c r="A18" s="660"/>
      <c r="CT18" s="6"/>
      <c r="CU18" s="6"/>
      <c r="CV18" s="6"/>
      <c r="CW18" s="143"/>
      <c r="CX18" s="143"/>
      <c r="CY18" s="143"/>
      <c r="CZ18" s="143"/>
      <c r="DA18" s="143"/>
      <c r="DB18" s="143"/>
      <c r="DC18" s="143"/>
      <c r="DD18" s="143"/>
      <c r="DE18" s="6"/>
      <c r="DF18" s="143"/>
      <c r="DG18" s="143"/>
      <c r="DH18" s="143"/>
      <c r="DI18" s="143"/>
      <c r="DJ18" s="143"/>
      <c r="DK18" s="6"/>
      <c r="DL18" s="6"/>
      <c r="DM18" s="6"/>
      <c r="DN18" s="6"/>
      <c r="DO18" s="6"/>
      <c r="DP18" s="6"/>
      <c r="DQ18" s="6"/>
      <c r="DR18" s="6"/>
      <c r="DS18" s="6"/>
      <c r="DT18" s="150"/>
      <c r="DU18" s="6"/>
      <c r="DV18" s="6"/>
    </row>
    <row r="19" spans="1:126" s="20" customFormat="1" ht="18.75" thickBot="1">
      <c r="A19" s="656"/>
      <c r="C19" s="474" t="s">
        <v>121</v>
      </c>
      <c r="D19" s="438"/>
      <c r="E19" s="438"/>
      <c r="F19" s="438"/>
      <c r="G19" s="438"/>
      <c r="H19" s="438"/>
      <c r="I19" s="438"/>
      <c r="J19" s="438"/>
      <c r="K19" s="23"/>
      <c r="L19" s="217"/>
      <c r="M19" s="217"/>
      <c r="Q19" s="158"/>
    </row>
    <row r="20" spans="1:126" s="20" customFormat="1" ht="18" customHeight="1">
      <c r="A20" s="656"/>
      <c r="C20" s="819"/>
      <c r="D20" s="820"/>
      <c r="E20" s="820"/>
      <c r="F20" s="820"/>
      <c r="G20" s="821"/>
      <c r="H20" s="438"/>
      <c r="I20" s="438"/>
      <c r="J20" s="438"/>
      <c r="K20" s="23"/>
      <c r="L20" s="217"/>
      <c r="M20" s="217"/>
      <c r="Q20" s="158"/>
    </row>
    <row r="21" spans="1:126" s="20" customFormat="1" ht="18" customHeight="1">
      <c r="A21" s="656"/>
      <c r="C21" s="822"/>
      <c r="D21" s="823"/>
      <c r="E21" s="823"/>
      <c r="F21" s="823"/>
      <c r="G21" s="824"/>
      <c r="H21" s="438"/>
      <c r="I21" s="438"/>
      <c r="J21" s="438"/>
      <c r="K21" s="23"/>
      <c r="L21" s="217"/>
      <c r="M21" s="217"/>
      <c r="Q21" s="158"/>
    </row>
    <row r="22" spans="1:126" s="20" customFormat="1" ht="18" customHeight="1" thickBot="1">
      <c r="A22" s="656"/>
      <c r="C22" s="825"/>
      <c r="D22" s="826"/>
      <c r="E22" s="826"/>
      <c r="F22" s="826"/>
      <c r="G22" s="827"/>
      <c r="H22" s="438"/>
      <c r="I22" s="438"/>
      <c r="J22" s="438"/>
      <c r="K22" s="23"/>
      <c r="L22" s="217"/>
      <c r="M22" s="217"/>
      <c r="Q22" s="158"/>
    </row>
    <row r="23" spans="1:126" s="4" customFormat="1" ht="13.5" thickBot="1">
      <c r="A23" s="545"/>
      <c r="C23" s="550"/>
      <c r="D23" s="551"/>
      <c r="E23" s="192"/>
      <c r="F23" s="192"/>
      <c r="G23" s="192"/>
      <c r="H23" s="192"/>
      <c r="I23" s="158"/>
      <c r="J23" s="158"/>
      <c r="K23" s="552"/>
      <c r="L23" s="424"/>
      <c r="M23" s="424"/>
      <c r="N23" s="424"/>
      <c r="O23" s="424"/>
      <c r="P23" s="424"/>
      <c r="Q23" s="424"/>
      <c r="R23" s="425"/>
    </row>
    <row r="24" spans="1:126" s="4" customFormat="1" ht="63.75">
      <c r="A24" s="545"/>
      <c r="C24" s="745" t="str">
        <f>"波动范围 ("&amp;D13&amp; "):"</f>
        <v>波动范围 (调查任何异常交易，并基于综合风险评估和已确定的测试临界值测试交易。):</v>
      </c>
      <c r="D24" s="746">
        <f>汇总!$F$21</f>
        <v>0</v>
      </c>
      <c r="E24" s="553"/>
      <c r="F24" s="553"/>
      <c r="G24" s="553"/>
      <c r="H24" s="553"/>
      <c r="I24" s="553"/>
      <c r="J24" s="553"/>
      <c r="K24" s="553"/>
      <c r="L24" s="424"/>
      <c r="M24" s="424"/>
      <c r="N24" s="424"/>
      <c r="O24" s="424"/>
      <c r="P24" s="424"/>
    </row>
    <row r="25" spans="1:126" s="4" customFormat="1" ht="17.25" thickBot="1">
      <c r="A25" s="545"/>
      <c r="C25" s="554" t="s">
        <v>171</v>
      </c>
      <c r="D25" s="476"/>
      <c r="E25" s="5"/>
      <c r="F25" s="5"/>
      <c r="G25" s="5"/>
      <c r="H25" s="5"/>
      <c r="I25" s="5"/>
      <c r="J25" s="5"/>
      <c r="K25" s="5"/>
      <c r="L25" s="424"/>
      <c r="M25" s="424"/>
      <c r="N25" s="424"/>
      <c r="O25" s="424"/>
      <c r="P25" s="424"/>
    </row>
    <row r="26" spans="1:126" ht="12.6" customHeight="1">
      <c r="A26" s="660"/>
      <c r="CT26" s="6"/>
      <c r="CU26" s="6"/>
      <c r="CV26" s="6"/>
      <c r="CW26" s="143"/>
      <c r="CX26" s="143"/>
      <c r="CY26" s="143"/>
      <c r="CZ26" s="143"/>
      <c r="DA26" s="143"/>
      <c r="DB26" s="143"/>
      <c r="DC26" s="143"/>
      <c r="DD26" s="143"/>
      <c r="DE26" s="6"/>
      <c r="DF26" s="143"/>
      <c r="DG26" s="143"/>
      <c r="DH26" s="143"/>
      <c r="DI26" s="143"/>
      <c r="DJ26" s="143"/>
      <c r="DK26" s="6"/>
      <c r="DL26" s="6"/>
      <c r="DM26" s="6"/>
      <c r="DN26" s="6"/>
      <c r="DO26" s="6"/>
      <c r="DP26" s="6"/>
      <c r="DQ26" s="6"/>
      <c r="DR26" s="6"/>
      <c r="DS26" s="6"/>
      <c r="DT26" s="150"/>
      <c r="DU26" s="6"/>
      <c r="DV26" s="6"/>
    </row>
    <row r="27" spans="1:126" ht="12.6" customHeight="1">
      <c r="A27" s="660"/>
      <c r="C27" s="164"/>
      <c r="D27" s="211"/>
      <c r="E27" s="192"/>
      <c r="F27" s="192" t="s">
        <v>123</v>
      </c>
      <c r="G27" s="441"/>
      <c r="H27" s="164" t="s">
        <v>124</v>
      </c>
      <c r="I27" s="192" t="s">
        <v>125</v>
      </c>
      <c r="J27" s="164"/>
      <c r="K27" s="164"/>
      <c r="L27" s="164" t="s">
        <v>126</v>
      </c>
      <c r="M27" s="192" t="s">
        <v>127</v>
      </c>
      <c r="N27" s="164" t="s">
        <v>128</v>
      </c>
      <c r="O27" s="164" t="s">
        <v>129</v>
      </c>
      <c r="P27" s="164" t="s">
        <v>130</v>
      </c>
      <c r="S27" s="260"/>
      <c r="CL27" s="6"/>
      <c r="CM27" s="6"/>
      <c r="CN27" s="6"/>
      <c r="CO27" s="143"/>
      <c r="CP27" s="143"/>
      <c r="CQ27" s="143"/>
      <c r="CR27" s="143"/>
      <c r="CS27" s="143"/>
      <c r="CT27" s="143"/>
      <c r="CU27" s="143"/>
      <c r="CV27" s="143"/>
      <c r="CW27" s="6"/>
      <c r="CX27" s="143"/>
      <c r="CY27" s="143"/>
      <c r="CZ27" s="143"/>
      <c r="DA27" s="143"/>
      <c r="DB27" s="143"/>
      <c r="DC27" s="6"/>
      <c r="DD27" s="6"/>
      <c r="DE27" s="6"/>
      <c r="DF27" s="6"/>
      <c r="DG27" s="6"/>
      <c r="DH27" s="6"/>
      <c r="DI27" s="6"/>
      <c r="DJ27" s="6"/>
      <c r="DK27" s="6"/>
      <c r="DL27" s="200"/>
      <c r="DM27" s="6"/>
      <c r="DN27" s="6"/>
    </row>
    <row r="28" spans="1:126" ht="13.5" thickBot="1">
      <c r="A28" s="660" t="s">
        <v>172</v>
      </c>
      <c r="C28" s="89" t="s">
        <v>95</v>
      </c>
      <c r="D28" s="90" t="s">
        <v>95</v>
      </c>
      <c r="E28" s="90" t="s">
        <v>95</v>
      </c>
      <c r="F28" s="91" t="s">
        <v>95</v>
      </c>
      <c r="G28" s="92"/>
      <c r="H28" s="92"/>
      <c r="I28" s="93"/>
      <c r="J28" s="94"/>
      <c r="K28" s="93"/>
      <c r="L28" s="92"/>
      <c r="M28" s="93"/>
      <c r="N28" s="165"/>
      <c r="O28" s="93"/>
      <c r="P28" s="95"/>
      <c r="Q28" s="96"/>
      <c r="R28" s="97"/>
      <c r="S28" s="261"/>
      <c r="CL28" s="6"/>
      <c r="CM28" s="6"/>
      <c r="CN28" s="6"/>
      <c r="CO28" s="143"/>
      <c r="CP28" s="143"/>
      <c r="CQ28" s="143"/>
      <c r="CR28" s="143"/>
      <c r="CS28" s="143"/>
      <c r="CT28" s="143"/>
      <c r="CU28" s="143"/>
      <c r="CV28" s="143"/>
      <c r="CW28" s="6"/>
      <c r="CX28" s="143"/>
      <c r="CY28" s="143"/>
      <c r="CZ28" s="143"/>
      <c r="DA28" s="143"/>
      <c r="DB28" s="143"/>
      <c r="DC28" s="6"/>
      <c r="DD28" s="6"/>
      <c r="DE28" s="6"/>
      <c r="DF28" s="6"/>
      <c r="DG28" s="6"/>
      <c r="DH28" s="6"/>
      <c r="DI28" s="6"/>
      <c r="DJ28" s="6"/>
      <c r="DK28" s="6"/>
      <c r="DL28" s="150"/>
      <c r="DM28" s="6"/>
      <c r="DN28" s="6"/>
    </row>
    <row r="29" spans="1:126" ht="0.2" customHeight="1" thickBot="1">
      <c r="A29" s="660"/>
      <c r="C29" s="585"/>
      <c r="D29" s="586"/>
      <c r="E29" s="365"/>
      <c r="F29" s="587"/>
      <c r="G29" s="586"/>
      <c r="H29" s="588"/>
      <c r="I29" s="588">
        <f t="shared" ref="I29" si="0">F29+H29</f>
        <v>0</v>
      </c>
      <c r="J29" s="589" t="str">
        <f>IF($I$36&lt;&gt;0,I29/$I$36,"")</f>
        <v/>
      </c>
      <c r="K29" s="586"/>
      <c r="L29" s="588"/>
      <c r="M29" s="590">
        <f t="shared" ref="M29" si="1">I29+L29</f>
        <v>0</v>
      </c>
      <c r="N29" s="590"/>
      <c r="O29" s="587">
        <f t="shared" ref="O29" si="2">M29-N29</f>
        <v>0</v>
      </c>
      <c r="P29" s="466">
        <f>IF(N29&lt;&gt;0,O29/N29,1)</f>
        <v>1</v>
      </c>
      <c r="Q29" s="586"/>
      <c r="R29" s="591"/>
      <c r="CL29" s="6"/>
      <c r="CM29" s="6"/>
      <c r="CN29" s="6"/>
      <c r="CO29" s="143"/>
      <c r="CP29" s="143"/>
      <c r="CQ29" s="143"/>
      <c r="CR29" s="143"/>
      <c r="CS29" s="143"/>
      <c r="CT29" s="143"/>
      <c r="CU29" s="143"/>
      <c r="CV29" s="143"/>
      <c r="CW29" s="6"/>
      <c r="CX29" s="143"/>
      <c r="CY29" s="143"/>
      <c r="CZ29" s="143"/>
      <c r="DA29" s="143"/>
      <c r="DB29" s="143"/>
      <c r="DC29" s="6"/>
      <c r="DD29" s="6"/>
      <c r="DE29" s="6"/>
      <c r="DF29" s="6"/>
      <c r="DG29" s="6"/>
      <c r="DH29" s="6"/>
      <c r="DI29" s="6"/>
      <c r="DJ29" s="6"/>
      <c r="DK29" s="6"/>
      <c r="DL29" s="150"/>
      <c r="DM29" s="6"/>
      <c r="DN29" s="6"/>
    </row>
    <row r="30" spans="1:126" ht="12.6" customHeight="1">
      <c r="A30" s="660"/>
      <c r="B30" s="21" t="s">
        <v>174</v>
      </c>
      <c r="C30" s="592"/>
      <c r="D30" s="747"/>
      <c r="E30" s="593"/>
      <c r="F30" s="482"/>
      <c r="G30" s="594"/>
      <c r="H30" s="594"/>
      <c r="I30" s="594" t="s">
        <v>175</v>
      </c>
      <c r="J30" s="594"/>
      <c r="K30" s="594"/>
      <c r="L30" s="594"/>
      <c r="M30" s="596"/>
      <c r="N30" s="597">
        <f>DATE(YEAR(汇总!$D$5)-1,12,31)</f>
        <v>45291</v>
      </c>
      <c r="O30" s="483" t="s">
        <v>131</v>
      </c>
      <c r="P30" s="598"/>
      <c r="Q30" s="650"/>
      <c r="R30" s="602"/>
      <c r="CK30" s="6"/>
      <c r="CL30" s="6"/>
      <c r="CM30" s="6"/>
      <c r="CN30" s="143"/>
      <c r="CO30" s="143"/>
      <c r="CP30" s="143"/>
      <c r="CQ30" s="143"/>
      <c r="CR30" s="143"/>
      <c r="CS30" s="143"/>
      <c r="CT30" s="143"/>
      <c r="CU30" s="143"/>
      <c r="CV30" s="6"/>
      <c r="CW30" s="143"/>
      <c r="CX30" s="143"/>
      <c r="CY30" s="143"/>
      <c r="CZ30" s="143"/>
      <c r="DA30" s="143"/>
      <c r="DB30" s="6"/>
      <c r="DC30" s="6"/>
      <c r="DD30" s="6"/>
      <c r="DE30" s="6"/>
      <c r="DF30" s="6"/>
      <c r="DG30" s="6"/>
      <c r="DH30" s="6"/>
      <c r="DI30" s="6"/>
      <c r="DJ30" s="6"/>
      <c r="DK30" s="167"/>
      <c r="DL30" s="6"/>
      <c r="DM30" s="6"/>
    </row>
    <row r="31" spans="1:126" ht="54" customHeight="1">
      <c r="A31" s="660"/>
      <c r="C31" s="108" t="s">
        <v>176</v>
      </c>
      <c r="D31" s="109" t="s">
        <v>177</v>
      </c>
      <c r="E31" s="168" t="s">
        <v>178</v>
      </c>
      <c r="F31" s="366" t="s">
        <v>135</v>
      </c>
      <c r="G31" s="367" t="s">
        <v>179</v>
      </c>
      <c r="H31" s="367" t="s">
        <v>136</v>
      </c>
      <c r="I31" s="169" t="s">
        <v>137</v>
      </c>
      <c r="J31" s="169" t="s">
        <v>180</v>
      </c>
      <c r="K31" s="367" t="s">
        <v>181</v>
      </c>
      <c r="L31" s="170" t="s">
        <v>138</v>
      </c>
      <c r="M31" s="171" t="s">
        <v>139</v>
      </c>
      <c r="N31" s="555" t="s">
        <v>182</v>
      </c>
      <c r="O31" s="172" t="s">
        <v>141</v>
      </c>
      <c r="P31" s="465" t="s">
        <v>183</v>
      </c>
      <c r="Q31" s="464" t="s">
        <v>184</v>
      </c>
      <c r="R31" s="114" t="s">
        <v>155</v>
      </c>
      <c r="CK31" s="6"/>
      <c r="CL31" s="6"/>
      <c r="CM31" s="6"/>
      <c r="CN31" s="143"/>
      <c r="CO31" s="143"/>
      <c r="CP31" s="143"/>
      <c r="CQ31" s="143"/>
      <c r="CR31" s="143"/>
      <c r="CS31" s="143"/>
      <c r="CT31" s="143"/>
      <c r="CU31" s="143"/>
      <c r="CV31" s="6"/>
      <c r="CW31" s="143"/>
      <c r="CX31" s="143"/>
      <c r="CY31" s="143"/>
      <c r="CZ31" s="143"/>
      <c r="DA31" s="143"/>
      <c r="DB31" s="6"/>
      <c r="DC31" s="6"/>
      <c r="DD31" s="6"/>
      <c r="DE31" s="6"/>
      <c r="DF31" s="6"/>
      <c r="DG31" s="6"/>
      <c r="DH31" s="6"/>
      <c r="DI31" s="6"/>
      <c r="DJ31" s="6"/>
      <c r="DK31" s="167"/>
      <c r="DL31" s="6"/>
      <c r="DM31" s="6"/>
    </row>
    <row r="32" spans="1:126" ht="12.6" customHeight="1">
      <c r="A32" s="660"/>
      <c r="C32" s="98"/>
      <c r="D32" s="99"/>
      <c r="E32" s="100"/>
      <c r="F32" s="101"/>
      <c r="G32" s="99"/>
      <c r="H32" s="102"/>
      <c r="I32" s="102">
        <f>F32+H32</f>
        <v>0</v>
      </c>
      <c r="J32" s="103" t="str">
        <f>IF($I$36&lt;&gt;0,I32/$I$36,"")</f>
        <v/>
      </c>
      <c r="K32" s="99"/>
      <c r="L32" s="102"/>
      <c r="M32" s="104">
        <f>I32+L32</f>
        <v>0</v>
      </c>
      <c r="N32" s="104"/>
      <c r="O32" s="101">
        <f>M32-N32</f>
        <v>0</v>
      </c>
      <c r="P32" s="463">
        <f>IF(N32&lt;&gt;0,O32/N32,1)</f>
        <v>1</v>
      </c>
      <c r="Q32" s="99"/>
      <c r="R32" s="105"/>
      <c r="CK32" s="6"/>
      <c r="CL32" s="6"/>
      <c r="CM32" s="6"/>
      <c r="CN32" s="143"/>
      <c r="CO32" s="143"/>
      <c r="CP32" s="143"/>
      <c r="CQ32" s="143"/>
      <c r="CR32" s="143"/>
      <c r="CS32" s="143"/>
      <c r="CT32" s="143"/>
      <c r="CU32" s="143"/>
      <c r="CV32" s="6"/>
      <c r="CW32" s="143"/>
      <c r="CX32" s="143"/>
      <c r="CY32" s="143"/>
      <c r="CZ32" s="143"/>
      <c r="DA32" s="143"/>
      <c r="DB32" s="6"/>
      <c r="DC32" s="6"/>
      <c r="DD32" s="6"/>
      <c r="DE32" s="6"/>
      <c r="DF32" s="6"/>
      <c r="DG32" s="6"/>
      <c r="DH32" s="6"/>
      <c r="DI32" s="6"/>
      <c r="DJ32" s="6"/>
      <c r="DK32" s="150"/>
      <c r="DL32" s="6"/>
      <c r="DM32" s="6"/>
    </row>
    <row r="33" spans="1:121" ht="12.6" customHeight="1">
      <c r="A33" s="660"/>
      <c r="C33" s="98"/>
      <c r="D33" s="99"/>
      <c r="E33" s="100"/>
      <c r="F33" s="101"/>
      <c r="G33" s="99"/>
      <c r="H33" s="102"/>
      <c r="I33" s="102">
        <f t="shared" ref="I33:I34" si="3">F33+H33</f>
        <v>0</v>
      </c>
      <c r="J33" s="103" t="str">
        <f t="shared" ref="J33:J34" si="4">IF($I$36&lt;&gt;0,I33/$I$36,"")</f>
        <v/>
      </c>
      <c r="K33" s="99"/>
      <c r="L33" s="102"/>
      <c r="M33" s="104">
        <f t="shared" ref="M33:M34" si="5">I33+L33</f>
        <v>0</v>
      </c>
      <c r="N33" s="104"/>
      <c r="O33" s="101">
        <f t="shared" ref="O33:O34" si="6">M33-N33</f>
        <v>0</v>
      </c>
      <c r="P33" s="463">
        <f>IF(N33&lt;&gt;0,O33/N33,1)</f>
        <v>1</v>
      </c>
      <c r="Q33" s="99"/>
      <c r="R33" s="105"/>
      <c r="CK33" s="6"/>
      <c r="CL33" s="6"/>
      <c r="CM33" s="6"/>
      <c r="CN33" s="143"/>
      <c r="CO33" s="143"/>
      <c r="CP33" s="143"/>
      <c r="CQ33" s="143"/>
      <c r="CR33" s="143"/>
      <c r="CS33" s="143"/>
      <c r="CT33" s="143"/>
      <c r="CU33" s="143"/>
      <c r="CV33" s="6"/>
      <c r="CW33" s="143"/>
      <c r="CX33" s="143"/>
      <c r="CY33" s="143"/>
      <c r="CZ33" s="143"/>
      <c r="DA33" s="143"/>
      <c r="DB33" s="6"/>
      <c r="DC33" s="6"/>
      <c r="DD33" s="6"/>
      <c r="DE33" s="6"/>
      <c r="DF33" s="6"/>
      <c r="DG33" s="6"/>
      <c r="DH33" s="6"/>
      <c r="DI33" s="6"/>
      <c r="DJ33" s="6"/>
      <c r="DK33" s="150"/>
      <c r="DL33" s="6"/>
      <c r="DM33" s="6"/>
    </row>
    <row r="34" spans="1:121" ht="12.6" customHeight="1" thickBot="1">
      <c r="A34" s="660" t="s">
        <v>185</v>
      </c>
      <c r="C34" s="371"/>
      <c r="D34" s="372"/>
      <c r="E34" s="385"/>
      <c r="F34" s="374"/>
      <c r="G34" s="372"/>
      <c r="H34" s="375"/>
      <c r="I34" s="102">
        <f t="shared" si="3"/>
        <v>0</v>
      </c>
      <c r="J34" s="103" t="str">
        <f t="shared" si="4"/>
        <v/>
      </c>
      <c r="K34" s="378"/>
      <c r="L34" s="379"/>
      <c r="M34" s="104">
        <f t="shared" si="5"/>
        <v>0</v>
      </c>
      <c r="N34" s="380"/>
      <c r="O34" s="101">
        <f t="shared" si="6"/>
        <v>0</v>
      </c>
      <c r="P34" s="463">
        <f>IF(N34&lt;&gt;0,O34/N34,1)</f>
        <v>1</v>
      </c>
      <c r="Q34" s="378"/>
      <c r="R34" s="373"/>
      <c r="CK34" s="6"/>
      <c r="CL34" s="6"/>
      <c r="CM34" s="6"/>
      <c r="CN34" s="143"/>
      <c r="CO34" s="143"/>
      <c r="CP34" s="143"/>
      <c r="CQ34" s="143"/>
      <c r="CR34" s="143"/>
      <c r="CS34" s="143"/>
      <c r="CT34" s="143"/>
      <c r="CU34" s="143"/>
      <c r="CV34" s="6"/>
      <c r="CW34" s="143"/>
      <c r="CX34" s="143"/>
      <c r="CY34" s="143"/>
      <c r="CZ34" s="143"/>
      <c r="DA34" s="143"/>
      <c r="DB34" s="6"/>
      <c r="DC34" s="6"/>
      <c r="DD34" s="6"/>
      <c r="DE34" s="6"/>
      <c r="DF34" s="6"/>
      <c r="DG34" s="6"/>
      <c r="DH34" s="6"/>
      <c r="DI34" s="6"/>
      <c r="DJ34" s="6"/>
      <c r="DK34" s="150"/>
      <c r="DL34" s="6"/>
      <c r="DM34" s="6"/>
    </row>
    <row r="35" spans="1:121" ht="12.6" customHeight="1">
      <c r="A35" s="660"/>
      <c r="B35" s="174"/>
      <c r="C35" s="760"/>
      <c r="D35" s="761"/>
      <c r="E35" s="762"/>
      <c r="F35" s="762"/>
      <c r="G35" s="762"/>
      <c r="H35" s="762"/>
      <c r="I35" s="763"/>
      <c r="J35" s="765"/>
      <c r="K35" s="765"/>
      <c r="L35" s="763"/>
      <c r="M35" s="763"/>
      <c r="N35" s="763"/>
      <c r="O35" s="753"/>
      <c r="P35" s="767"/>
      <c r="Q35" s="767"/>
      <c r="R35" s="768"/>
      <c r="CL35" s="6"/>
      <c r="CM35" s="6"/>
      <c r="CN35" s="6"/>
      <c r="CO35" s="143"/>
      <c r="CP35" s="143"/>
      <c r="CQ35" s="143"/>
      <c r="CR35" s="143"/>
      <c r="CS35" s="143"/>
      <c r="CT35" s="143"/>
      <c r="CU35" s="143"/>
      <c r="CV35" s="143"/>
      <c r="CW35" s="6"/>
      <c r="CX35" s="143"/>
      <c r="CY35" s="143"/>
      <c r="CZ35" s="143"/>
      <c r="DA35" s="143"/>
      <c r="DB35" s="143"/>
      <c r="DC35" s="6"/>
      <c r="DD35" s="6"/>
      <c r="DE35" s="6"/>
      <c r="DF35" s="6"/>
      <c r="DG35" s="6"/>
      <c r="DH35" s="6"/>
      <c r="DI35" s="6"/>
      <c r="DJ35" s="6"/>
      <c r="DK35" s="6"/>
      <c r="DL35" s="150"/>
      <c r="DM35" s="6"/>
      <c r="DN35" s="6"/>
    </row>
    <row r="36" spans="1:121" s="16" customFormat="1" ht="12.6" customHeight="1" thickBot="1">
      <c r="A36" s="661"/>
      <c r="B36" s="174"/>
      <c r="C36" s="174"/>
      <c r="D36" s="179"/>
      <c r="E36" s="212" t="s">
        <v>208</v>
      </c>
      <c r="F36" s="388">
        <f>SUM(F31:F35)</f>
        <v>0</v>
      </c>
      <c r="G36" s="21"/>
      <c r="H36" s="388">
        <f>SUM(H31:H35)</f>
        <v>0</v>
      </c>
      <c r="I36" s="388">
        <f>SUM(I31:I35)</f>
        <v>0</v>
      </c>
      <c r="J36" s="389">
        <f>SUM(J31:J35)</f>
        <v>0</v>
      </c>
      <c r="K36" s="21"/>
      <c r="L36" s="388">
        <f>SUM(L31:L35)</f>
        <v>0</v>
      </c>
      <c r="M36" s="388">
        <f>SUM(M31:M35)</f>
        <v>0</v>
      </c>
      <c r="N36" s="388">
        <f>SUM(N31:N35)</f>
        <v>0</v>
      </c>
      <c r="O36" s="388">
        <f>M36-N36</f>
        <v>0</v>
      </c>
      <c r="P36" s="389">
        <f>IF(N36&lt;&gt;0,O36/N36,1)</f>
        <v>1</v>
      </c>
      <c r="Q36" s="177"/>
      <c r="R36" s="213"/>
      <c r="S36" s="19"/>
      <c r="T36" s="174"/>
      <c r="CL36" s="6"/>
      <c r="CM36" s="6"/>
      <c r="CN36" s="6"/>
      <c r="CO36" s="143"/>
      <c r="CP36" s="143"/>
      <c r="CQ36" s="143"/>
      <c r="CR36" s="143"/>
      <c r="CS36" s="143"/>
      <c r="CT36" s="143"/>
      <c r="CU36" s="143"/>
      <c r="CV36" s="143"/>
      <c r="CW36" s="6"/>
      <c r="CX36" s="143"/>
      <c r="CY36" s="143"/>
      <c r="CZ36" s="143"/>
      <c r="DA36" s="143"/>
      <c r="DB36" s="143"/>
      <c r="DC36" s="6"/>
      <c r="DD36" s="6"/>
      <c r="DE36" s="6"/>
      <c r="DF36" s="6"/>
      <c r="DG36" s="6"/>
      <c r="DH36" s="6"/>
      <c r="DI36" s="6"/>
      <c r="DJ36" s="6"/>
      <c r="DK36" s="6"/>
      <c r="DL36" s="150"/>
      <c r="DM36" s="6"/>
      <c r="DN36" s="6"/>
    </row>
    <row r="37" spans="1:121" s="16" customFormat="1" ht="12.6" customHeight="1" thickTop="1">
      <c r="A37" s="661"/>
      <c r="B37" s="174"/>
      <c r="C37" s="174"/>
      <c r="D37" s="179"/>
      <c r="E37" s="175"/>
      <c r="F37" s="131" t="s">
        <v>105</v>
      </c>
      <c r="G37" s="179"/>
      <c r="H37" s="131" t="s">
        <v>105</v>
      </c>
      <c r="I37" s="131" t="s">
        <v>105</v>
      </c>
      <c r="J37" s="131" t="s">
        <v>105</v>
      </c>
      <c r="K37" s="180"/>
      <c r="L37" s="131" t="s">
        <v>105</v>
      </c>
      <c r="M37" s="131" t="s">
        <v>105</v>
      </c>
      <c r="N37" s="131" t="s">
        <v>105</v>
      </c>
      <c r="O37" s="193"/>
      <c r="P37" s="183"/>
      <c r="Q37" s="183"/>
      <c r="R37" s="184"/>
      <c r="S37" s="19"/>
      <c r="T37" s="19"/>
      <c r="U37" s="174"/>
      <c r="CM37" s="6"/>
      <c r="CN37" s="6"/>
      <c r="CO37" s="6"/>
      <c r="CP37" s="143"/>
      <c r="CQ37" s="143"/>
      <c r="CR37" s="143"/>
      <c r="CS37" s="143"/>
      <c r="CT37" s="143"/>
      <c r="CU37" s="143"/>
      <c r="CV37" s="143"/>
      <c r="CW37" s="143"/>
      <c r="CX37" s="6"/>
      <c r="CY37" s="143"/>
      <c r="CZ37" s="143"/>
      <c r="DA37" s="143"/>
      <c r="DB37" s="143"/>
      <c r="DC37" s="143"/>
      <c r="DD37" s="6"/>
      <c r="DE37" s="6"/>
      <c r="DF37" s="6"/>
      <c r="DG37" s="6"/>
      <c r="DH37" s="6"/>
      <c r="DI37" s="6"/>
      <c r="DJ37" s="6"/>
      <c r="DK37" s="6"/>
      <c r="DL37" s="6"/>
      <c r="DM37" s="150"/>
      <c r="DN37" s="6"/>
      <c r="DO37" s="6"/>
    </row>
    <row r="38" spans="1:121" s="16" customFormat="1" ht="12.6" customHeight="1">
      <c r="A38" s="661"/>
      <c r="B38" s="174"/>
      <c r="C38" s="174"/>
      <c r="D38" s="179"/>
      <c r="F38" s="181"/>
      <c r="G38" s="179"/>
      <c r="H38" s="185" t="s">
        <v>91</v>
      </c>
      <c r="I38" s="181"/>
      <c r="J38" s="186"/>
      <c r="K38" s="181"/>
      <c r="M38" s="181"/>
      <c r="N38" s="181"/>
      <c r="O38" s="181"/>
      <c r="P38" s="182"/>
      <c r="Q38" s="182"/>
      <c r="R38" s="184"/>
      <c r="S38" s="174"/>
      <c r="T38" s="19"/>
      <c r="U38" s="174"/>
      <c r="CM38" s="6"/>
      <c r="CN38" s="6"/>
      <c r="CO38" s="6"/>
      <c r="CP38" s="143"/>
      <c r="CQ38" s="143"/>
      <c r="CR38" s="143"/>
      <c r="CS38" s="143"/>
      <c r="CT38" s="143"/>
      <c r="CU38" s="143"/>
      <c r="CV38" s="143"/>
      <c r="CW38" s="143"/>
      <c r="CX38" s="6"/>
      <c r="CY38" s="143"/>
      <c r="CZ38" s="143"/>
      <c r="DA38" s="143"/>
      <c r="DB38" s="143"/>
      <c r="DC38" s="143"/>
      <c r="DD38" s="6"/>
      <c r="DE38" s="6"/>
      <c r="DF38" s="6"/>
      <c r="DG38" s="6"/>
      <c r="DH38" s="6"/>
      <c r="DI38" s="6"/>
      <c r="DJ38" s="6"/>
      <c r="DK38" s="6"/>
      <c r="DL38" s="6"/>
      <c r="DM38" s="150"/>
      <c r="DN38" s="6"/>
      <c r="DO38" s="6"/>
    </row>
    <row r="39" spans="1:121" s="16" customFormat="1" ht="12.6" customHeight="1">
      <c r="A39" s="661"/>
      <c r="B39" s="27"/>
      <c r="C39" s="174"/>
      <c r="D39" s="179"/>
      <c r="F39" s="188"/>
      <c r="G39" s="179"/>
      <c r="H39" s="187" t="s">
        <v>201</v>
      </c>
      <c r="I39" s="188">
        <f>I36-I38</f>
        <v>0</v>
      </c>
      <c r="J39" s="189"/>
      <c r="K39" s="181"/>
      <c r="M39" s="188">
        <f>M36-M38</f>
        <v>0</v>
      </c>
      <c r="N39" s="188">
        <f>N36-N38</f>
        <v>0</v>
      </c>
      <c r="O39" s="181"/>
      <c r="P39" s="182"/>
      <c r="Q39" s="182"/>
      <c r="R39" s="184"/>
      <c r="S39" s="174"/>
      <c r="T39" s="174"/>
      <c r="U39" s="174"/>
      <c r="CM39" s="6"/>
      <c r="CN39" s="6"/>
      <c r="CO39" s="6"/>
      <c r="CP39" s="143"/>
      <c r="CQ39" s="143"/>
      <c r="CR39" s="143"/>
      <c r="CS39" s="143"/>
      <c r="CT39" s="143"/>
      <c r="CU39" s="143"/>
      <c r="CV39" s="143"/>
      <c r="CW39" s="143"/>
      <c r="CX39" s="6"/>
      <c r="CY39" s="143"/>
      <c r="CZ39" s="143"/>
      <c r="DA39" s="143"/>
      <c r="DB39" s="143"/>
      <c r="DC39" s="143"/>
      <c r="DD39" s="6"/>
      <c r="DE39" s="6"/>
      <c r="DF39" s="6"/>
      <c r="DG39" s="6"/>
      <c r="DH39" s="6"/>
      <c r="DI39" s="6"/>
      <c r="DJ39" s="6"/>
      <c r="DK39" s="6"/>
      <c r="DL39" s="6"/>
      <c r="DM39" s="150"/>
      <c r="DN39" s="6"/>
      <c r="DO39" s="6"/>
    </row>
    <row r="40" spans="1:121" s="22" customFormat="1" ht="12.75" customHeight="1">
      <c r="A40" s="667"/>
      <c r="C40" s="8"/>
      <c r="H40" s="262"/>
      <c r="I40" s="190"/>
      <c r="K40" s="262"/>
      <c r="L40" s="262"/>
      <c r="M40" s="262"/>
      <c r="O40" s="251"/>
      <c r="P40" s="251"/>
      <c r="S40" s="251"/>
      <c r="T40" s="251"/>
      <c r="W40" s="251"/>
      <c r="Z40" s="214"/>
      <c r="AA40" s="214"/>
      <c r="AB40" s="214"/>
      <c r="AC40" s="214"/>
      <c r="AD40" s="214"/>
      <c r="AE40" s="214"/>
      <c r="AF40" s="175"/>
      <c r="AG40" s="175"/>
      <c r="AH40" s="175"/>
      <c r="AI40" s="175"/>
      <c r="AJ40" s="175"/>
      <c r="AK40" s="175"/>
    </row>
    <row r="41" spans="1:121" s="13" customFormat="1" ht="13.35" customHeight="1" thickBot="1">
      <c r="A41" s="663"/>
      <c r="B41" s="88" t="s">
        <v>155</v>
      </c>
      <c r="C41" s="13" t="s">
        <v>189</v>
      </c>
      <c r="G41" s="137"/>
      <c r="H41" s="138"/>
      <c r="I41" s="137"/>
      <c r="J41" s="137"/>
      <c r="CT41" s="62"/>
      <c r="CU41" s="62"/>
      <c r="CV41" s="62"/>
      <c r="CW41" s="62"/>
      <c r="CX41" s="62"/>
      <c r="CY41" s="62"/>
      <c r="CZ41" s="62"/>
      <c r="DC41" s="62"/>
      <c r="DD41" s="62"/>
      <c r="DE41" s="62"/>
      <c r="DF41" s="62"/>
      <c r="DG41" s="62"/>
      <c r="DQ41" s="69"/>
    </row>
    <row r="42" spans="1:121" s="17" customFormat="1" ht="12.6" customHeight="1">
      <c r="A42" s="664"/>
      <c r="C42" s="828"/>
      <c r="D42" s="829"/>
      <c r="E42" s="829"/>
      <c r="F42" s="829"/>
      <c r="G42" s="830"/>
      <c r="H42" s="139"/>
      <c r="I42" s="139"/>
      <c r="J42" s="139"/>
      <c r="CN42" s="13"/>
      <c r="CO42" s="13"/>
      <c r="CP42" s="13"/>
      <c r="CQ42" s="62"/>
      <c r="CR42" s="62"/>
      <c r="CS42" s="62"/>
      <c r="CT42" s="62"/>
      <c r="CU42" s="62"/>
      <c r="CV42" s="62"/>
      <c r="CW42" s="62"/>
      <c r="CX42" s="13"/>
      <c r="CY42" s="13"/>
      <c r="CZ42" s="62"/>
      <c r="DA42" s="62"/>
      <c r="DB42" s="62"/>
      <c r="DC42" s="62"/>
      <c r="DD42" s="62"/>
      <c r="DE42" s="13"/>
      <c r="DF42" s="13"/>
      <c r="DG42" s="13"/>
      <c r="DH42" s="13"/>
      <c r="DI42" s="13"/>
      <c r="DJ42" s="13"/>
      <c r="DK42" s="13"/>
      <c r="DL42" s="13"/>
      <c r="DM42" s="13"/>
      <c r="DN42" s="69"/>
      <c r="DO42" s="13"/>
      <c r="DP42" s="13"/>
    </row>
    <row r="43" spans="1:121" s="17" customFormat="1" ht="12.6" customHeight="1">
      <c r="A43" s="665"/>
      <c r="C43" s="831"/>
      <c r="D43" s="832"/>
      <c r="E43" s="832"/>
      <c r="F43" s="832"/>
      <c r="G43" s="833"/>
      <c r="H43" s="139"/>
      <c r="I43" s="139"/>
      <c r="J43" s="139"/>
      <c r="CN43" s="13"/>
      <c r="CO43" s="13"/>
      <c r="CP43" s="13"/>
      <c r="CQ43" s="62"/>
      <c r="CR43" s="62"/>
      <c r="CS43" s="62"/>
      <c r="CT43" s="62"/>
      <c r="CU43" s="62"/>
      <c r="CV43" s="62"/>
      <c r="CW43" s="62"/>
      <c r="CX43" s="13"/>
      <c r="CY43" s="13"/>
      <c r="CZ43" s="62"/>
      <c r="DA43" s="62"/>
      <c r="DB43" s="62"/>
      <c r="DC43" s="62"/>
      <c r="DD43" s="62"/>
      <c r="DE43" s="13"/>
      <c r="DF43" s="13"/>
      <c r="DG43" s="13"/>
      <c r="DH43" s="13"/>
      <c r="DI43" s="13"/>
      <c r="DJ43" s="13"/>
      <c r="DK43" s="13"/>
      <c r="DL43" s="13"/>
      <c r="DM43" s="13"/>
      <c r="DN43" s="69"/>
      <c r="DO43" s="13"/>
      <c r="DP43" s="13"/>
    </row>
    <row r="44" spans="1:121" s="17" customFormat="1" ht="12.6" customHeight="1" thickBot="1">
      <c r="A44" s="665"/>
      <c r="C44" s="834"/>
      <c r="D44" s="835"/>
      <c r="E44" s="835"/>
      <c r="F44" s="835"/>
      <c r="G44" s="836"/>
      <c r="H44" s="139"/>
      <c r="I44" s="139"/>
      <c r="J44" s="139"/>
      <c r="CN44" s="13"/>
      <c r="CO44" s="13"/>
      <c r="CP44" s="13"/>
      <c r="CQ44" s="62"/>
      <c r="CR44" s="62"/>
      <c r="CS44" s="62"/>
      <c r="CT44" s="62"/>
      <c r="CU44" s="62"/>
      <c r="CV44" s="62"/>
      <c r="CW44" s="62"/>
      <c r="CX44" s="13"/>
      <c r="CY44" s="13"/>
      <c r="CZ44" s="62"/>
      <c r="DA44" s="62"/>
      <c r="DB44" s="62"/>
      <c r="DC44" s="62"/>
      <c r="DD44" s="62"/>
      <c r="DE44" s="13"/>
      <c r="DF44" s="13"/>
      <c r="DG44" s="13"/>
      <c r="DH44" s="13"/>
      <c r="DI44" s="13"/>
      <c r="DJ44" s="13"/>
      <c r="DK44" s="13"/>
      <c r="DL44" s="13"/>
      <c r="DM44" s="13"/>
      <c r="DN44" s="13"/>
      <c r="DO44" s="13"/>
      <c r="DP44" s="13"/>
    </row>
    <row r="45" spans="1:121">
      <c r="A45" s="660"/>
    </row>
    <row r="46" spans="1:121">
      <c r="A46" s="660"/>
    </row>
    <row r="47" spans="1:121">
      <c r="A47" s="540"/>
    </row>
    <row r="48" spans="1:121">
      <c r="A48" s="540"/>
    </row>
    <row r="49" spans="1:3" ht="16.5">
      <c r="A49" s="540"/>
      <c r="B49" s="21" t="s">
        <v>292</v>
      </c>
      <c r="C49" s="140" t="s">
        <v>293</v>
      </c>
    </row>
  </sheetData>
  <mergeCells count="13">
    <mergeCell ref="C42:G44"/>
    <mergeCell ref="L5:L6"/>
    <mergeCell ref="M5:M6"/>
    <mergeCell ref="N5:N6"/>
    <mergeCell ref="O5:O6"/>
    <mergeCell ref="D9:F9"/>
    <mergeCell ref="D8:F8"/>
    <mergeCell ref="D14:F14"/>
    <mergeCell ref="D13:F13"/>
    <mergeCell ref="D12:F12"/>
    <mergeCell ref="D11:F11"/>
    <mergeCell ref="D10:F10"/>
    <mergeCell ref="C20:G22"/>
  </mergeCells>
  <phoneticPr fontId="136" type="noConversion"/>
  <conditionalFormatting sqref="G9:I14 C20:G22 D25 C29:F29 N29 C32:F34 N32:N34 I38 M38:N38 C42:G44">
    <cfRule type="containsBlanks" dxfId="8" priority="1">
      <formula>LEN(TRIM(C9))=0</formula>
    </cfRule>
  </conditionalFormatting>
  <dataValidations count="2">
    <dataValidation type="list" allowBlank="1" showInputMessage="1" sqref="H9:H14" xr:uid="{6532C75F-0879-4C34-BB7D-35E5A0B00BD5}">
      <formula1>"是,否"</formula1>
    </dataValidation>
    <dataValidation type="list" allowBlank="1" showInputMessage="1" sqref="I9:I14" xr:uid="{B39E9052-8260-486B-9ED7-7DA4E179D89D}">
      <formula1>"是,不适用"</formula1>
    </dataValidation>
  </dataValidations>
  <hyperlinks>
    <hyperlink ref="J2" location="汇总!A1" display="返回汇总页" xr:uid="{00000000-0004-0000-0C00-000000000000}"/>
  </hyperlinks>
  <pageMargins left="0.7" right="0.7" top="0.75" bottom="0.75" header="0.3" footer="0.3"/>
  <pageSetup paperSize="9"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dimension ref="A1:DZ99"/>
  <sheetViews>
    <sheetView showGridLines="0" zoomScale="70" zoomScaleNormal="70" workbookViewId="0">
      <selection activeCell="G22" sqref="G22"/>
    </sheetView>
  </sheetViews>
  <sheetFormatPr defaultColWidth="9.5703125" defaultRowHeight="12.6" customHeight="1" outlineLevelRow="1" outlineLevelCol="1"/>
  <cols>
    <col min="1" max="1" width="0.140625" style="164" customWidth="1"/>
    <col min="2" max="2" width="4.85546875" style="19" customWidth="1"/>
    <col min="3" max="3" width="21.42578125" style="19" customWidth="1"/>
    <col min="4" max="4" width="37.28515625" style="19" customWidth="1"/>
    <col min="5" max="6" width="24.5703125" style="19" customWidth="1"/>
    <col min="7" max="7" width="19.7109375" style="19" customWidth="1"/>
    <col min="8" max="8" width="17.140625" style="19" customWidth="1"/>
    <col min="9" max="9" width="26.5703125" style="19" customWidth="1"/>
    <col min="10" max="10" width="29.7109375" style="19" customWidth="1"/>
    <col min="11" max="11" width="25.28515625" style="19" customWidth="1" outlineLevel="1"/>
    <col min="12" max="12" width="17.42578125" style="19" customWidth="1" outlineLevel="1"/>
    <col min="13" max="14" width="13.42578125" style="19" customWidth="1"/>
    <col min="15" max="16" width="14.85546875" style="19" customWidth="1"/>
    <col min="17" max="18" width="15" style="19" customWidth="1"/>
    <col min="19" max="19" width="22.85546875" style="19" customWidth="1"/>
    <col min="20" max="20" width="16.7109375" style="19" customWidth="1"/>
    <col min="21" max="21" width="10.28515625" style="19" customWidth="1"/>
    <col min="22" max="25" width="8.7109375" style="19" customWidth="1"/>
    <col min="26" max="27" width="14" style="19" customWidth="1"/>
    <col min="28" max="29" width="8.7109375" style="19" customWidth="1"/>
    <col min="30" max="31" width="13.28515625" style="19" customWidth="1"/>
    <col min="32" max="32" width="16" style="19" customWidth="1"/>
    <col min="33" max="33" width="9.5703125" style="19" customWidth="1"/>
    <col min="34" max="34" width="7.7109375" style="19" customWidth="1"/>
    <col min="35" max="36" width="13.28515625" style="19" customWidth="1"/>
    <col min="37" max="37" width="10.42578125" style="19" customWidth="1"/>
    <col min="38" max="38" width="11.7109375" style="19" customWidth="1"/>
    <col min="39" max="39" width="7.5703125" style="19" customWidth="1"/>
    <col min="40" max="40" width="8.85546875" style="19" customWidth="1"/>
    <col min="41" max="16384" width="9.5703125" style="19"/>
  </cols>
  <sheetData>
    <row r="1" spans="1:129" ht="12.6" customHeight="1">
      <c r="A1" s="540" t="s">
        <v>294</v>
      </c>
      <c r="CW1" s="141"/>
      <c r="CX1" s="6"/>
      <c r="CY1" s="6"/>
      <c r="CZ1" s="142"/>
      <c r="DA1" s="143"/>
      <c r="DB1" s="143"/>
      <c r="DC1" s="143"/>
      <c r="DD1" s="143"/>
      <c r="DE1" s="143"/>
      <c r="DF1" s="143"/>
      <c r="DG1" s="143"/>
      <c r="DH1" s="6"/>
      <c r="DI1" s="143"/>
      <c r="DJ1" s="143"/>
      <c r="DK1" s="143"/>
      <c r="DL1" s="143"/>
      <c r="DM1" s="143"/>
      <c r="DN1" s="143"/>
      <c r="DO1" s="6"/>
      <c r="DP1" s="144"/>
      <c r="DQ1" s="145"/>
      <c r="DR1" s="146"/>
      <c r="DS1" s="146"/>
      <c r="DT1" s="6"/>
      <c r="DU1" s="143"/>
      <c r="DV1" s="147"/>
      <c r="DW1" s="148"/>
      <c r="DX1" s="143"/>
      <c r="DY1" s="149"/>
    </row>
    <row r="2" spans="1:129" s="9" customFormat="1" ht="18.600000000000001" customHeight="1">
      <c r="A2" s="539"/>
      <c r="C2" s="473"/>
      <c r="J2" s="48" t="s">
        <v>108</v>
      </c>
    </row>
    <row r="3" spans="1:129" ht="12.6" customHeight="1" thickBot="1">
      <c r="A3" s="540"/>
      <c r="CR3" s="143"/>
      <c r="CS3" s="6"/>
      <c r="CT3" s="6"/>
      <c r="CU3" s="143"/>
      <c r="CV3" s="143"/>
      <c r="CW3" s="143"/>
      <c r="CX3" s="143"/>
      <c r="CY3" s="143"/>
      <c r="CZ3" s="143"/>
      <c r="DA3" s="143"/>
      <c r="DB3" s="143"/>
      <c r="DC3" s="6"/>
      <c r="DD3" s="143"/>
      <c r="DE3" s="143"/>
      <c r="DF3" s="143"/>
      <c r="DG3" s="143"/>
      <c r="DH3" s="143"/>
      <c r="DI3" s="6"/>
      <c r="DJ3" s="6"/>
      <c r="DK3" s="6"/>
      <c r="DL3" s="6"/>
      <c r="DM3" s="6"/>
      <c r="DN3" s="6"/>
      <c r="DO3" s="6"/>
      <c r="DP3" s="6"/>
      <c r="DQ3" s="6"/>
      <c r="DR3" s="150"/>
      <c r="DS3" s="143"/>
      <c r="DT3" s="149"/>
    </row>
    <row r="4" spans="1:129" ht="21">
      <c r="A4" s="540"/>
      <c r="C4" s="757" t="s">
        <v>159</v>
      </c>
      <c r="D4" s="758"/>
      <c r="E4" s="758"/>
      <c r="F4" s="758"/>
      <c r="G4" s="758"/>
      <c r="H4" s="758"/>
      <c r="I4" s="758"/>
      <c r="J4" s="759"/>
      <c r="K4" s="151"/>
      <c r="L4" s="151"/>
      <c r="CS4" s="6"/>
      <c r="CT4" s="6"/>
      <c r="CU4" s="6"/>
      <c r="CV4" s="143"/>
      <c r="CW4" s="143"/>
      <c r="CX4" s="143"/>
      <c r="CY4" s="143"/>
      <c r="CZ4" s="143"/>
      <c r="DA4" s="143"/>
      <c r="DB4" s="143"/>
      <c r="DC4" s="143"/>
      <c r="DD4" s="6"/>
      <c r="DE4" s="143"/>
      <c r="DF4" s="143"/>
      <c r="DG4" s="143"/>
      <c r="DH4" s="143"/>
      <c r="DI4" s="143"/>
      <c r="DJ4" s="6"/>
      <c r="DK4" s="6"/>
      <c r="DL4" s="6"/>
      <c r="DM4" s="6"/>
      <c r="DN4" s="6"/>
      <c r="DO4" s="6"/>
      <c r="DP4" s="6"/>
      <c r="DQ4" s="6"/>
      <c r="DR4" s="6"/>
      <c r="DS4" s="150"/>
      <c r="DT4" s="6"/>
      <c r="DU4" s="6"/>
    </row>
    <row r="5" spans="1:129" ht="19.5" customHeight="1">
      <c r="A5" s="540"/>
      <c r="C5" s="49" t="s">
        <v>295</v>
      </c>
      <c r="D5" s="152"/>
      <c r="E5" s="152"/>
      <c r="F5" s="152"/>
      <c r="G5" s="152"/>
      <c r="H5" s="152"/>
      <c r="I5" s="152"/>
      <c r="J5" s="153"/>
      <c r="K5" s="151"/>
      <c r="L5" s="843"/>
      <c r="M5" s="843"/>
      <c r="N5" s="843"/>
      <c r="O5" s="842"/>
      <c r="CT5" s="6"/>
      <c r="CU5" s="6"/>
      <c r="CV5" s="154"/>
      <c r="CW5" s="143"/>
      <c r="CX5" s="143"/>
      <c r="CY5" s="143"/>
      <c r="CZ5" s="143"/>
      <c r="DA5" s="143"/>
      <c r="DB5" s="143"/>
      <c r="DC5" s="143"/>
      <c r="DD5" s="143"/>
      <c r="DE5" s="6"/>
      <c r="DF5" s="143"/>
      <c r="DG5" s="143"/>
      <c r="DH5" s="143"/>
      <c r="DI5" s="143"/>
      <c r="DJ5" s="143"/>
      <c r="DK5" s="6"/>
      <c r="DL5" s="6"/>
      <c r="DM5" s="6"/>
      <c r="DN5" s="6"/>
      <c r="DO5" s="6"/>
      <c r="DP5" s="6"/>
      <c r="DQ5" s="6"/>
      <c r="DR5" s="6"/>
      <c r="DS5" s="6"/>
      <c r="DT5" s="150"/>
      <c r="DU5" s="6"/>
      <c r="DV5" s="6"/>
    </row>
    <row r="6" spans="1:129" ht="19.5" customHeight="1">
      <c r="A6" s="540"/>
      <c r="C6" s="49" t="s">
        <v>194</v>
      </c>
      <c r="D6" s="152"/>
      <c r="E6" s="152"/>
      <c r="F6" s="152"/>
      <c r="G6" s="152"/>
      <c r="H6" s="152"/>
      <c r="I6" s="152"/>
      <c r="J6" s="153"/>
      <c r="K6" s="151"/>
      <c r="L6" s="843"/>
      <c r="M6" s="843"/>
      <c r="N6" s="843"/>
      <c r="O6" s="842"/>
      <c r="CT6" s="6"/>
      <c r="CU6" s="154"/>
      <c r="CV6" s="154"/>
      <c r="CW6" s="143"/>
      <c r="CX6" s="143"/>
      <c r="CY6" s="143"/>
      <c r="CZ6" s="143"/>
      <c r="DA6" s="143"/>
      <c r="DB6" s="143"/>
      <c r="DC6" s="143"/>
      <c r="DD6" s="143"/>
      <c r="DE6" s="154"/>
      <c r="DF6" s="143"/>
      <c r="DG6" s="143"/>
      <c r="DH6" s="143"/>
      <c r="DI6" s="143"/>
      <c r="DJ6" s="143"/>
      <c r="DK6" s="154"/>
      <c r="DL6" s="6"/>
      <c r="DM6" s="6"/>
      <c r="DN6" s="6"/>
      <c r="DO6" s="6"/>
      <c r="DP6" s="6"/>
      <c r="DQ6" s="154"/>
      <c r="DR6" s="154"/>
      <c r="DS6" s="154"/>
      <c r="DT6" s="155"/>
      <c r="DU6" s="6"/>
      <c r="DV6" s="6"/>
    </row>
    <row r="7" spans="1:129" ht="12.6" customHeight="1">
      <c r="A7" s="540"/>
      <c r="C7" s="49"/>
      <c r="D7" s="152"/>
      <c r="E7" s="152"/>
      <c r="F7" s="152"/>
      <c r="G7" s="152"/>
      <c r="H7" s="152"/>
      <c r="I7" s="152"/>
      <c r="J7" s="153"/>
      <c r="K7" s="151"/>
      <c r="L7" s="353"/>
      <c r="M7" s="156"/>
      <c r="N7" s="156"/>
      <c r="O7" s="156"/>
      <c r="CT7" s="6"/>
      <c r="CU7" s="154"/>
      <c r="CV7" s="154"/>
      <c r="CW7" s="143"/>
      <c r="CX7" s="143"/>
      <c r="CY7" s="143"/>
      <c r="CZ7" s="143"/>
      <c r="DA7" s="143"/>
      <c r="DB7" s="143"/>
      <c r="DC7" s="143"/>
      <c r="DD7" s="143"/>
      <c r="DE7" s="154"/>
      <c r="DF7" s="143"/>
      <c r="DG7" s="143"/>
      <c r="DH7" s="143"/>
      <c r="DI7" s="143"/>
      <c r="DJ7" s="143"/>
      <c r="DK7" s="154"/>
      <c r="DL7" s="6"/>
      <c r="DM7" s="6"/>
      <c r="DN7" s="6"/>
      <c r="DO7" s="6"/>
      <c r="DP7" s="6"/>
      <c r="DQ7" s="154"/>
      <c r="DR7" s="154"/>
      <c r="DS7" s="154"/>
      <c r="DT7" s="155"/>
      <c r="DU7" s="6"/>
      <c r="DV7" s="6"/>
    </row>
    <row r="8" spans="1:129" ht="21">
      <c r="A8" s="540"/>
      <c r="C8" s="513" t="s">
        <v>111</v>
      </c>
      <c r="D8" s="798" t="s">
        <v>112</v>
      </c>
      <c r="E8" s="799"/>
      <c r="F8" s="800"/>
      <c r="G8" s="157" t="s">
        <v>113</v>
      </c>
      <c r="H8" s="507" t="s">
        <v>114</v>
      </c>
      <c r="I8" s="507" t="s">
        <v>115</v>
      </c>
      <c r="J8" s="514" t="s">
        <v>116</v>
      </c>
      <c r="K8" s="158"/>
      <c r="L8" s="151"/>
      <c r="M8" s="151"/>
      <c r="N8" s="151"/>
      <c r="CU8" s="7"/>
      <c r="CV8" s="7"/>
      <c r="CW8" s="7"/>
      <c r="CX8" s="143"/>
      <c r="CY8" s="143"/>
      <c r="CZ8" s="143"/>
      <c r="DA8" s="143"/>
      <c r="DB8" s="143"/>
      <c r="DC8" s="143"/>
      <c r="DD8" s="143"/>
      <c r="DE8" s="143"/>
      <c r="DF8" s="7"/>
      <c r="DG8" s="143"/>
      <c r="DH8" s="143"/>
      <c r="DI8" s="143"/>
      <c r="DJ8" s="143"/>
      <c r="DK8" s="143"/>
      <c r="DL8" s="7"/>
      <c r="DM8" s="154"/>
      <c r="DN8" s="154"/>
      <c r="DO8" s="154"/>
      <c r="DP8" s="154"/>
      <c r="DQ8" s="154"/>
      <c r="DR8" s="7"/>
      <c r="DS8" s="7"/>
      <c r="DT8" s="7"/>
      <c r="DU8" s="155"/>
      <c r="DV8" s="7"/>
      <c r="DW8" s="159"/>
    </row>
    <row r="9" spans="1:129" ht="21" outlineLevel="1">
      <c r="A9" s="660"/>
      <c r="C9" s="515">
        <v>1</v>
      </c>
      <c r="D9" s="795" t="s">
        <v>296</v>
      </c>
      <c r="E9" s="796"/>
      <c r="F9" s="797"/>
      <c r="G9" s="560" t="s">
        <v>163</v>
      </c>
      <c r="H9" s="508" t="s">
        <v>119</v>
      </c>
      <c r="I9" s="509"/>
      <c r="J9" s="516"/>
      <c r="K9" s="158"/>
      <c r="L9" s="158"/>
      <c r="M9" s="160"/>
      <c r="N9" s="160"/>
      <c r="O9" s="160"/>
      <c r="CV9" s="154"/>
      <c r="CW9" s="7"/>
      <c r="CX9" s="154"/>
      <c r="CY9" s="143"/>
      <c r="CZ9" s="143"/>
      <c r="DA9" s="143"/>
      <c r="DB9" s="143"/>
      <c r="DC9" s="143"/>
      <c r="DD9" s="143"/>
      <c r="DE9" s="143"/>
      <c r="DF9" s="143"/>
      <c r="DG9" s="7"/>
      <c r="DH9" s="143"/>
      <c r="DI9" s="143"/>
      <c r="DJ9" s="143"/>
      <c r="DK9" s="143"/>
      <c r="DL9" s="143"/>
      <c r="DM9" s="7"/>
      <c r="DN9" s="7"/>
      <c r="DO9" s="7"/>
      <c r="DP9" s="7"/>
      <c r="DQ9" s="7"/>
      <c r="DR9" s="7"/>
      <c r="DS9" s="7"/>
      <c r="DT9" s="7"/>
      <c r="DU9" s="7"/>
      <c r="DV9" s="155"/>
      <c r="DW9" s="154"/>
      <c r="DX9" s="8"/>
    </row>
    <row r="10" spans="1:129" ht="59.1" customHeight="1" outlineLevel="1">
      <c r="A10" s="660"/>
      <c r="C10" s="515">
        <v>2</v>
      </c>
      <c r="D10" s="795" t="s">
        <v>164</v>
      </c>
      <c r="E10" s="796"/>
      <c r="F10" s="797"/>
      <c r="G10" s="560" t="s">
        <v>163</v>
      </c>
      <c r="H10" s="508" t="s">
        <v>119</v>
      </c>
      <c r="I10" s="509"/>
      <c r="J10" s="516"/>
      <c r="K10" s="158"/>
      <c r="L10" s="158"/>
      <c r="M10" s="160"/>
      <c r="N10" s="160"/>
      <c r="O10" s="160"/>
      <c r="CV10" s="154"/>
      <c r="CW10" s="7"/>
      <c r="CX10" s="154"/>
      <c r="CY10" s="143"/>
      <c r="CZ10" s="143"/>
      <c r="DA10" s="143"/>
      <c r="DB10" s="143"/>
      <c r="DC10" s="143"/>
      <c r="DD10" s="143"/>
      <c r="DE10" s="143"/>
      <c r="DF10" s="143"/>
      <c r="DG10" s="7"/>
      <c r="DH10" s="143"/>
      <c r="DI10" s="143"/>
      <c r="DJ10" s="143"/>
      <c r="DK10" s="143"/>
      <c r="DL10" s="143"/>
      <c r="DM10" s="7"/>
      <c r="DN10" s="7"/>
      <c r="DO10" s="7"/>
      <c r="DP10" s="7"/>
      <c r="DQ10" s="7"/>
      <c r="DR10" s="7"/>
      <c r="DS10" s="7"/>
      <c r="DT10" s="7"/>
      <c r="DU10" s="7"/>
      <c r="DV10" s="155"/>
      <c r="DW10" s="154"/>
      <c r="DX10" s="8"/>
    </row>
    <row r="11" spans="1:129" ht="40.35" customHeight="1" outlineLevel="1">
      <c r="A11" s="660"/>
      <c r="C11" s="515">
        <v>3</v>
      </c>
      <c r="D11" s="795" t="s">
        <v>196</v>
      </c>
      <c r="E11" s="796"/>
      <c r="F11" s="797"/>
      <c r="G11" s="560" t="s">
        <v>163</v>
      </c>
      <c r="H11" s="508" t="s">
        <v>119</v>
      </c>
      <c r="I11" s="509"/>
      <c r="J11" s="516"/>
      <c r="K11" s="158"/>
      <c r="L11" s="158"/>
      <c r="M11" s="151"/>
      <c r="N11" s="151"/>
      <c r="O11" s="151"/>
      <c r="CV11" s="7"/>
      <c r="CW11" s="154"/>
      <c r="CX11" s="162"/>
      <c r="CY11" s="143"/>
      <c r="CZ11" s="143"/>
      <c r="DA11" s="143"/>
      <c r="DB11" s="143"/>
      <c r="DC11" s="143"/>
      <c r="DD11" s="143"/>
      <c r="DE11" s="143"/>
      <c r="DF11" s="143"/>
      <c r="DG11" s="154"/>
      <c r="DH11" s="143"/>
      <c r="DI11" s="143"/>
      <c r="DJ11" s="143"/>
      <c r="DK11" s="143"/>
      <c r="DL11" s="143"/>
      <c r="DM11" s="154"/>
      <c r="DN11" s="7"/>
      <c r="DO11" s="7"/>
      <c r="DP11" s="7"/>
      <c r="DQ11" s="7"/>
      <c r="DR11" s="7"/>
      <c r="DS11" s="154"/>
      <c r="DT11" s="154"/>
      <c r="DU11" s="154"/>
      <c r="DV11" s="155"/>
      <c r="DW11" s="7"/>
      <c r="DX11" s="7"/>
    </row>
    <row r="12" spans="1:129" ht="75.95" customHeight="1" outlineLevel="1">
      <c r="A12" s="660"/>
      <c r="C12" s="515">
        <v>4</v>
      </c>
      <c r="D12" s="839" t="s">
        <v>297</v>
      </c>
      <c r="E12" s="840"/>
      <c r="F12" s="841"/>
      <c r="G12" s="510" t="s">
        <v>167</v>
      </c>
      <c r="H12" s="508" t="s">
        <v>119</v>
      </c>
      <c r="I12" s="509"/>
      <c r="J12" s="516"/>
      <c r="K12" s="158"/>
      <c r="L12" s="158"/>
      <c r="M12" s="151"/>
      <c r="N12" s="151"/>
      <c r="O12" s="151"/>
      <c r="CV12" s="7"/>
      <c r="CW12" s="154"/>
      <c r="CX12" s="162"/>
      <c r="CY12" s="143"/>
      <c r="CZ12" s="143"/>
      <c r="DA12" s="143"/>
      <c r="DB12" s="143"/>
      <c r="DC12" s="143"/>
      <c r="DD12" s="143"/>
      <c r="DE12" s="143"/>
      <c r="DF12" s="143"/>
      <c r="DG12" s="154"/>
      <c r="DH12" s="143"/>
      <c r="DI12" s="143"/>
      <c r="DJ12" s="143"/>
      <c r="DK12" s="143"/>
      <c r="DL12" s="143"/>
      <c r="DM12" s="154"/>
      <c r="DN12" s="7"/>
      <c r="DO12" s="7"/>
      <c r="DP12" s="7"/>
      <c r="DQ12" s="7"/>
      <c r="DR12" s="7"/>
      <c r="DS12" s="154"/>
      <c r="DT12" s="154"/>
      <c r="DU12" s="154"/>
      <c r="DV12" s="155"/>
      <c r="DW12" s="7"/>
      <c r="DX12" s="7"/>
    </row>
    <row r="13" spans="1:129" ht="42" outlineLevel="1">
      <c r="A13" s="660"/>
      <c r="C13" s="515">
        <v>5</v>
      </c>
      <c r="D13" s="795" t="s">
        <v>198</v>
      </c>
      <c r="E13" s="796"/>
      <c r="F13" s="797"/>
      <c r="G13" s="517" t="s">
        <v>169</v>
      </c>
      <c r="H13" s="508" t="s">
        <v>119</v>
      </c>
      <c r="I13" s="509"/>
      <c r="J13" s="207"/>
      <c r="K13" s="158"/>
      <c r="L13" s="158"/>
      <c r="M13" s="151"/>
      <c r="N13" s="151"/>
      <c r="O13" s="151"/>
      <c r="CV13" s="7"/>
      <c r="CW13" s="162"/>
      <c r="CX13" s="162"/>
      <c r="CY13" s="143"/>
      <c r="CZ13" s="143"/>
      <c r="DA13" s="143"/>
      <c r="DB13" s="143"/>
      <c r="DC13" s="143"/>
      <c r="DD13" s="143"/>
      <c r="DE13" s="143"/>
      <c r="DF13" s="143"/>
      <c r="DG13" s="162"/>
      <c r="DH13" s="143"/>
      <c r="DI13" s="143"/>
      <c r="DJ13" s="143"/>
      <c r="DK13" s="143"/>
      <c r="DL13" s="143"/>
      <c r="DM13" s="162"/>
      <c r="DN13" s="154"/>
      <c r="DO13" s="154"/>
      <c r="DP13" s="154"/>
      <c r="DQ13" s="154"/>
      <c r="DR13" s="154"/>
      <c r="DS13" s="162"/>
      <c r="DT13" s="162"/>
      <c r="DU13" s="162"/>
      <c r="DV13" s="150"/>
      <c r="DW13" s="7"/>
      <c r="DX13" s="159"/>
    </row>
    <row r="14" spans="1:129" ht="82.5" customHeight="1" outlineLevel="1">
      <c r="A14" s="660"/>
      <c r="C14" s="515">
        <v>6</v>
      </c>
      <c r="D14" s="795" t="s">
        <v>170</v>
      </c>
      <c r="E14" s="796"/>
      <c r="F14" s="797"/>
      <c r="G14" s="560" t="s">
        <v>163</v>
      </c>
      <c r="H14" s="508" t="s">
        <v>119</v>
      </c>
      <c r="I14" s="509"/>
      <c r="J14" s="368" t="s">
        <v>291</v>
      </c>
      <c r="K14" s="158"/>
      <c r="L14" s="158"/>
      <c r="M14" s="151"/>
      <c r="N14" s="151"/>
      <c r="O14" s="151"/>
      <c r="CV14" s="7"/>
      <c r="CW14" s="162"/>
      <c r="CX14" s="162"/>
      <c r="CY14" s="143"/>
      <c r="CZ14" s="143"/>
      <c r="DA14" s="143"/>
      <c r="DB14" s="143"/>
      <c r="DC14" s="143"/>
      <c r="DD14" s="143"/>
      <c r="DE14" s="143"/>
      <c r="DF14" s="143"/>
      <c r="DG14" s="162"/>
      <c r="DH14" s="143"/>
      <c r="DI14" s="143"/>
      <c r="DJ14" s="143"/>
      <c r="DK14" s="143"/>
      <c r="DL14" s="143"/>
      <c r="DM14" s="162"/>
      <c r="DN14" s="154"/>
      <c r="DO14" s="154"/>
      <c r="DP14" s="154"/>
      <c r="DQ14" s="154"/>
      <c r="DR14" s="154"/>
      <c r="DS14" s="162"/>
      <c r="DT14" s="162"/>
      <c r="DU14" s="162"/>
      <c r="DV14" s="150"/>
      <c r="DW14" s="7"/>
      <c r="DX14" s="159"/>
    </row>
    <row r="15" spans="1:129" ht="18.75" thickBot="1">
      <c r="A15" s="660"/>
      <c r="C15" s="253"/>
      <c r="D15" s="208"/>
      <c r="E15" s="208"/>
      <c r="F15" s="208"/>
      <c r="G15" s="208"/>
      <c r="H15" s="208"/>
      <c r="I15" s="208"/>
      <c r="J15" s="254"/>
      <c r="K15" s="151"/>
      <c r="L15" s="151"/>
      <c r="M15" s="151"/>
      <c r="CT15" s="7"/>
      <c r="CU15" s="162"/>
      <c r="CV15" s="162"/>
      <c r="CW15" s="143"/>
      <c r="CX15" s="143"/>
      <c r="CY15" s="143"/>
      <c r="CZ15" s="143"/>
      <c r="DA15" s="143"/>
      <c r="DB15" s="143"/>
      <c r="DC15" s="143"/>
      <c r="DD15" s="143"/>
      <c r="DE15" s="162"/>
      <c r="DF15" s="143"/>
      <c r="DG15" s="143"/>
      <c r="DH15" s="143"/>
      <c r="DI15" s="143"/>
      <c r="DJ15" s="143"/>
      <c r="DK15" s="162"/>
      <c r="DL15" s="154"/>
      <c r="DM15" s="154"/>
      <c r="DN15" s="154"/>
      <c r="DO15" s="154"/>
      <c r="DP15" s="154"/>
      <c r="DQ15" s="162"/>
      <c r="DR15" s="162"/>
      <c r="DS15" s="162"/>
      <c r="DT15" s="150"/>
      <c r="DU15" s="7"/>
      <c r="DV15" s="159"/>
    </row>
    <row r="16" spans="1:129" ht="12.6" customHeight="1">
      <c r="A16" s="660"/>
      <c r="C16" s="163"/>
      <c r="CS16" s="6"/>
      <c r="CT16" s="6"/>
      <c r="CU16" s="6"/>
      <c r="CV16" s="143"/>
      <c r="CW16" s="143"/>
      <c r="CX16" s="143"/>
      <c r="CY16" s="143"/>
      <c r="CZ16" s="143"/>
      <c r="DA16" s="143"/>
      <c r="DB16" s="143"/>
      <c r="DC16" s="143"/>
      <c r="DD16" s="6"/>
      <c r="DE16" s="143"/>
      <c r="DF16" s="143"/>
      <c r="DG16" s="143"/>
      <c r="DH16" s="143"/>
      <c r="DI16" s="143"/>
      <c r="DJ16" s="6"/>
      <c r="DK16" s="6"/>
      <c r="DL16" s="6"/>
      <c r="DM16" s="6"/>
      <c r="DN16" s="6"/>
      <c r="DO16" s="6"/>
      <c r="DP16" s="6"/>
      <c r="DQ16" s="6"/>
      <c r="DR16" s="6"/>
      <c r="DS16" s="150"/>
      <c r="DT16" s="6"/>
      <c r="DU16" s="6"/>
    </row>
    <row r="17" spans="1:126" ht="12.6" customHeight="1">
      <c r="A17" s="660"/>
      <c r="CT17" s="6"/>
      <c r="CU17" s="6"/>
      <c r="CV17" s="6"/>
      <c r="CW17" s="143"/>
      <c r="CX17" s="143"/>
      <c r="CY17" s="143"/>
      <c r="CZ17" s="143"/>
      <c r="DA17" s="143"/>
      <c r="DB17" s="143"/>
      <c r="DC17" s="143"/>
      <c r="DD17" s="143"/>
      <c r="DE17" s="6"/>
      <c r="DF17" s="143"/>
      <c r="DG17" s="143"/>
      <c r="DH17" s="143"/>
      <c r="DI17" s="143"/>
      <c r="DJ17" s="143"/>
      <c r="DK17" s="6"/>
      <c r="DL17" s="6"/>
      <c r="DM17" s="6"/>
      <c r="DN17" s="6"/>
      <c r="DO17" s="6"/>
      <c r="DP17" s="6"/>
      <c r="DQ17" s="6"/>
      <c r="DR17" s="6"/>
      <c r="DS17" s="6"/>
      <c r="DT17" s="150"/>
      <c r="DU17" s="6"/>
      <c r="DV17" s="6"/>
    </row>
    <row r="18" spans="1:126" s="20" customFormat="1" ht="18.75" thickBot="1">
      <c r="A18" s="656"/>
      <c r="C18" s="474" t="s">
        <v>121</v>
      </c>
      <c r="D18" s="438"/>
      <c r="E18" s="438"/>
      <c r="F18" s="438"/>
      <c r="G18" s="438"/>
      <c r="H18" s="438"/>
      <c r="I18" s="438"/>
      <c r="J18" s="438"/>
      <c r="K18" s="23"/>
      <c r="L18" s="217"/>
      <c r="M18" s="217"/>
      <c r="Q18" s="158"/>
    </row>
    <row r="19" spans="1:126" s="20" customFormat="1" ht="18" customHeight="1">
      <c r="A19" s="656"/>
      <c r="C19" s="819"/>
      <c r="D19" s="820"/>
      <c r="E19" s="820"/>
      <c r="F19" s="820"/>
      <c r="G19" s="821"/>
      <c r="H19" s="438"/>
      <c r="I19" s="438"/>
      <c r="J19" s="438"/>
      <c r="K19" s="23"/>
      <c r="L19" s="217"/>
      <c r="M19" s="217"/>
      <c r="Q19" s="158"/>
    </row>
    <row r="20" spans="1:126" s="20" customFormat="1" ht="18" customHeight="1">
      <c r="A20" s="656"/>
      <c r="C20" s="822"/>
      <c r="D20" s="823"/>
      <c r="E20" s="823"/>
      <c r="F20" s="823"/>
      <c r="G20" s="824"/>
      <c r="H20" s="438"/>
      <c r="I20" s="438"/>
      <c r="J20" s="438"/>
      <c r="K20" s="23"/>
      <c r="L20" s="217"/>
      <c r="M20" s="217"/>
      <c r="Q20" s="158"/>
    </row>
    <row r="21" spans="1:126" s="20" customFormat="1" ht="18" customHeight="1" thickBot="1">
      <c r="A21" s="656"/>
      <c r="C21" s="825"/>
      <c r="D21" s="826"/>
      <c r="E21" s="826"/>
      <c r="F21" s="826"/>
      <c r="G21" s="827"/>
      <c r="H21" s="438"/>
      <c r="I21" s="438"/>
      <c r="J21" s="438"/>
      <c r="K21" s="23"/>
      <c r="L21" s="217"/>
      <c r="M21" s="217"/>
      <c r="Q21" s="158"/>
    </row>
    <row r="22" spans="1:126" s="4" customFormat="1" ht="13.5" thickBot="1">
      <c r="A22" s="545"/>
      <c r="C22" s="550"/>
      <c r="D22" s="551"/>
      <c r="E22" s="192"/>
      <c r="F22" s="192"/>
      <c r="G22" s="192"/>
      <c r="H22" s="192"/>
      <c r="I22" s="158"/>
      <c r="J22" s="158"/>
      <c r="K22" s="552"/>
      <c r="L22" s="424"/>
      <c r="M22" s="424"/>
      <c r="N22" s="424"/>
      <c r="O22" s="424"/>
      <c r="P22" s="424"/>
      <c r="Q22" s="424"/>
      <c r="R22" s="425"/>
    </row>
    <row r="23" spans="1:126" s="4" customFormat="1" ht="76.5">
      <c r="A23" s="545"/>
      <c r="C23" s="745" t="str">
        <f>"波动范围 ("&amp;D12&amp; "):"</f>
        <v>波动范围 (对于单项重大的损失，需要获取该单项损失的组成明细，需要获取支持性文件如合同等，在必要时进行费用测试。):</v>
      </c>
      <c r="D23" s="746">
        <f>汇总!$F$21</f>
        <v>0</v>
      </c>
      <c r="E23" s="553"/>
      <c r="F23" s="553"/>
      <c r="G23" s="553"/>
      <c r="H23" s="553"/>
      <c r="I23" s="553"/>
      <c r="J23" s="553"/>
      <c r="K23" s="553"/>
      <c r="L23" s="424"/>
      <c r="M23" s="424"/>
      <c r="N23" s="424"/>
      <c r="O23" s="424"/>
      <c r="P23" s="424"/>
      <c r="Q23" s="424"/>
      <c r="R23" s="425"/>
    </row>
    <row r="24" spans="1:126" s="4" customFormat="1" ht="17.25" thickBot="1">
      <c r="A24" s="545"/>
      <c r="C24" s="554" t="s">
        <v>171</v>
      </c>
      <c r="D24" s="476"/>
      <c r="E24" s="5"/>
      <c r="F24" s="5"/>
      <c r="G24" s="5"/>
      <c r="H24" s="5"/>
      <c r="I24" s="5"/>
      <c r="J24" s="5"/>
      <c r="K24" s="5"/>
      <c r="L24" s="424"/>
      <c r="M24" s="424"/>
      <c r="N24" s="424"/>
      <c r="O24" s="424"/>
      <c r="P24" s="424"/>
      <c r="Q24" s="424"/>
      <c r="R24" s="424"/>
      <c r="S24" s="424"/>
      <c r="T24" s="425"/>
    </row>
    <row r="25" spans="1:126" ht="12.6" customHeight="1">
      <c r="A25" s="660"/>
      <c r="CS25" s="6"/>
      <c r="CT25" s="6"/>
      <c r="CU25" s="6"/>
      <c r="CV25" s="143"/>
      <c r="CW25" s="143"/>
      <c r="CX25" s="143"/>
      <c r="CY25" s="143"/>
      <c r="CZ25" s="143"/>
      <c r="DA25" s="143"/>
      <c r="DB25" s="143"/>
      <c r="DC25" s="143"/>
      <c r="DD25" s="6"/>
      <c r="DE25" s="143"/>
      <c r="DF25" s="143"/>
      <c r="DG25" s="143"/>
      <c r="DH25" s="143"/>
      <c r="DI25" s="143"/>
      <c r="DJ25" s="6"/>
      <c r="DK25" s="6"/>
      <c r="DL25" s="6"/>
      <c r="DM25" s="6"/>
      <c r="DN25" s="6"/>
      <c r="DO25" s="6"/>
      <c r="DP25" s="6"/>
      <c r="DQ25" s="6"/>
      <c r="DR25" s="6"/>
      <c r="DS25" s="150"/>
      <c r="DT25" s="6"/>
      <c r="DU25" s="6"/>
    </row>
    <row r="26" spans="1:126" ht="12.6" customHeight="1">
      <c r="A26" s="660"/>
      <c r="C26" s="164"/>
      <c r="D26" s="211"/>
      <c r="E26" s="192"/>
      <c r="F26" s="192" t="s">
        <v>123</v>
      </c>
      <c r="G26" s="441"/>
      <c r="H26" s="164" t="s">
        <v>124</v>
      </c>
      <c r="I26" s="192" t="s">
        <v>125</v>
      </c>
      <c r="J26" s="164"/>
      <c r="K26" s="164"/>
      <c r="L26" s="164" t="s">
        <v>126</v>
      </c>
      <c r="M26" s="192" t="s">
        <v>127</v>
      </c>
      <c r="N26" s="164" t="s">
        <v>128</v>
      </c>
      <c r="O26" s="164" t="s">
        <v>129</v>
      </c>
      <c r="P26" s="164" t="s">
        <v>130</v>
      </c>
      <c r="S26" s="54"/>
      <c r="CL26" s="6"/>
      <c r="CM26" s="6"/>
      <c r="CN26" s="6"/>
      <c r="CO26" s="143"/>
      <c r="CP26" s="143"/>
      <c r="CQ26" s="143"/>
      <c r="CR26" s="143"/>
      <c r="CS26" s="143"/>
      <c r="CT26" s="143"/>
      <c r="CU26" s="143"/>
      <c r="CV26" s="143"/>
      <c r="CW26" s="6"/>
      <c r="CX26" s="143"/>
      <c r="CY26" s="143"/>
      <c r="CZ26" s="143"/>
      <c r="DA26" s="143"/>
      <c r="DB26" s="143"/>
      <c r="DC26" s="6"/>
      <c r="DD26" s="6"/>
      <c r="DE26" s="6"/>
      <c r="DF26" s="6"/>
      <c r="DG26" s="6"/>
      <c r="DH26" s="6"/>
      <c r="DI26" s="6"/>
      <c r="DJ26" s="6"/>
      <c r="DK26" s="6"/>
      <c r="DL26" s="200"/>
      <c r="DM26" s="6"/>
      <c r="DN26" s="6"/>
    </row>
    <row r="27" spans="1:126" ht="13.5" thickBot="1">
      <c r="A27" s="660" t="s">
        <v>172</v>
      </c>
      <c r="C27" s="89" t="s">
        <v>95</v>
      </c>
      <c r="D27" s="90" t="s">
        <v>95</v>
      </c>
      <c r="E27" s="90" t="s">
        <v>95</v>
      </c>
      <c r="F27" s="91" t="s">
        <v>95</v>
      </c>
      <c r="G27" s="92"/>
      <c r="H27" s="92"/>
      <c r="I27" s="93"/>
      <c r="J27" s="94"/>
      <c r="K27" s="93"/>
      <c r="L27" s="92"/>
      <c r="M27" s="93"/>
      <c r="N27" s="165"/>
      <c r="O27" s="93"/>
      <c r="P27" s="95"/>
      <c r="Q27" s="96"/>
      <c r="R27" s="97"/>
      <c r="CK27" s="6"/>
      <c r="CL27" s="6"/>
      <c r="CM27" s="6"/>
      <c r="CN27" s="143"/>
      <c r="CO27" s="143"/>
      <c r="CP27" s="143"/>
      <c r="CQ27" s="143"/>
      <c r="CR27" s="143"/>
      <c r="CS27" s="143"/>
      <c r="CT27" s="143"/>
      <c r="CU27" s="143"/>
      <c r="CV27" s="6"/>
      <c r="CW27" s="143"/>
      <c r="CX27" s="143"/>
      <c r="CY27" s="143"/>
      <c r="CZ27" s="143"/>
      <c r="DA27" s="143"/>
      <c r="DB27" s="6"/>
      <c r="DC27" s="6"/>
      <c r="DD27" s="6"/>
      <c r="DE27" s="6"/>
      <c r="DF27" s="6"/>
      <c r="DG27" s="6"/>
      <c r="DH27" s="6"/>
      <c r="DI27" s="6"/>
      <c r="DJ27" s="6"/>
      <c r="DK27" s="150"/>
      <c r="DL27" s="6"/>
      <c r="DM27" s="6"/>
    </row>
    <row r="28" spans="1:126" ht="0.2" customHeight="1" thickBot="1">
      <c r="A28" s="660"/>
      <c r="C28" s="585"/>
      <c r="D28" s="586"/>
      <c r="E28" s="365"/>
      <c r="F28" s="587"/>
      <c r="G28" s="586"/>
      <c r="H28" s="588"/>
      <c r="I28" s="588">
        <f t="shared" ref="I28" si="0">F28+H28</f>
        <v>0</v>
      </c>
      <c r="J28" s="589" t="str">
        <f>IF($I$35&lt;&gt;0,I28/$I$35,"")</f>
        <v/>
      </c>
      <c r="K28" s="586"/>
      <c r="L28" s="588"/>
      <c r="M28" s="590">
        <f t="shared" ref="M28" si="1">I28+L28</f>
        <v>0</v>
      </c>
      <c r="N28" s="590"/>
      <c r="O28" s="587">
        <f t="shared" ref="O28" si="2">M28-N28</f>
        <v>0</v>
      </c>
      <c r="P28" s="466">
        <f>IF(N28&lt;&gt;0,O28/N28,1)</f>
        <v>1</v>
      </c>
      <c r="Q28" s="586"/>
      <c r="R28" s="591"/>
      <c r="CK28" s="6"/>
      <c r="CL28" s="6"/>
      <c r="CM28" s="6"/>
      <c r="CN28" s="143"/>
      <c r="CO28" s="143"/>
      <c r="CP28" s="143"/>
      <c r="CQ28" s="143"/>
      <c r="CR28" s="143"/>
      <c r="CS28" s="143"/>
      <c r="CT28" s="143"/>
      <c r="CU28" s="143"/>
      <c r="CV28" s="6"/>
      <c r="CW28" s="143"/>
      <c r="CX28" s="143"/>
      <c r="CY28" s="143"/>
      <c r="CZ28" s="143"/>
      <c r="DA28" s="143"/>
      <c r="DB28" s="6"/>
      <c r="DC28" s="6"/>
      <c r="DD28" s="6"/>
      <c r="DE28" s="6"/>
      <c r="DF28" s="6"/>
      <c r="DG28" s="6"/>
      <c r="DH28" s="6"/>
      <c r="DI28" s="6"/>
      <c r="DJ28" s="6"/>
      <c r="DK28" s="150"/>
      <c r="DL28" s="6"/>
      <c r="DM28" s="6"/>
    </row>
    <row r="29" spans="1:126" ht="12.6" customHeight="1">
      <c r="A29" s="660"/>
      <c r="B29" s="21" t="s">
        <v>174</v>
      </c>
      <c r="C29" s="592"/>
      <c r="D29" s="747"/>
      <c r="E29" s="593"/>
      <c r="F29" s="482"/>
      <c r="G29" s="594"/>
      <c r="H29" s="594"/>
      <c r="I29" s="594" t="s">
        <v>175</v>
      </c>
      <c r="J29" s="594"/>
      <c r="K29" s="594"/>
      <c r="L29" s="594"/>
      <c r="M29" s="596"/>
      <c r="N29" s="597">
        <f>DATE(YEAR(汇总!$D$5)-1,12,31)</f>
        <v>45291</v>
      </c>
      <c r="O29" s="483" t="s">
        <v>131</v>
      </c>
      <c r="P29" s="598"/>
      <c r="Q29" s="650"/>
      <c r="R29" s="602"/>
      <c r="CK29" s="6"/>
      <c r="CL29" s="6"/>
      <c r="CM29" s="6"/>
      <c r="CN29" s="143"/>
      <c r="CO29" s="143"/>
      <c r="CP29" s="143"/>
      <c r="CQ29" s="143"/>
      <c r="CR29" s="143"/>
      <c r="CS29" s="143"/>
      <c r="CT29" s="143"/>
      <c r="CU29" s="143"/>
      <c r="CV29" s="6"/>
      <c r="CW29" s="143"/>
      <c r="CX29" s="143"/>
      <c r="CY29" s="143"/>
      <c r="CZ29" s="143"/>
      <c r="DA29" s="143"/>
      <c r="DB29" s="6"/>
      <c r="DC29" s="6"/>
      <c r="DD29" s="6"/>
      <c r="DE29" s="6"/>
      <c r="DF29" s="6"/>
      <c r="DG29" s="6"/>
      <c r="DH29" s="6"/>
      <c r="DI29" s="6"/>
      <c r="DJ29" s="6"/>
      <c r="DK29" s="167"/>
      <c r="DL29" s="6"/>
      <c r="DM29" s="6"/>
    </row>
    <row r="30" spans="1:126" ht="43.5" customHeight="1">
      <c r="A30" s="660"/>
      <c r="C30" s="108" t="s">
        <v>176</v>
      </c>
      <c r="D30" s="109" t="s">
        <v>177</v>
      </c>
      <c r="E30" s="168" t="s">
        <v>178</v>
      </c>
      <c r="F30" s="366" t="s">
        <v>135</v>
      </c>
      <c r="G30" s="367" t="s">
        <v>179</v>
      </c>
      <c r="H30" s="367" t="s">
        <v>136</v>
      </c>
      <c r="I30" s="169" t="s">
        <v>137</v>
      </c>
      <c r="J30" s="169" t="s">
        <v>180</v>
      </c>
      <c r="K30" s="367" t="s">
        <v>181</v>
      </c>
      <c r="L30" s="170" t="s">
        <v>138</v>
      </c>
      <c r="M30" s="171" t="s">
        <v>139</v>
      </c>
      <c r="N30" s="555" t="s">
        <v>182</v>
      </c>
      <c r="O30" s="172" t="s">
        <v>141</v>
      </c>
      <c r="P30" s="465" t="s">
        <v>183</v>
      </c>
      <c r="Q30" s="464" t="s">
        <v>184</v>
      </c>
      <c r="R30" s="114" t="s">
        <v>155</v>
      </c>
      <c r="CK30" s="6"/>
      <c r="CL30" s="6"/>
      <c r="CM30" s="6"/>
      <c r="CN30" s="143"/>
      <c r="CO30" s="143"/>
      <c r="CP30" s="143"/>
      <c r="CQ30" s="143"/>
      <c r="CR30" s="143"/>
      <c r="CS30" s="143"/>
      <c r="CT30" s="143"/>
      <c r="CU30" s="143"/>
      <c r="CV30" s="6"/>
      <c r="CW30" s="143"/>
      <c r="CX30" s="143"/>
      <c r="CY30" s="143"/>
      <c r="CZ30" s="143"/>
      <c r="DA30" s="143"/>
      <c r="DB30" s="6"/>
      <c r="DC30" s="6"/>
      <c r="DD30" s="6"/>
      <c r="DE30" s="6"/>
      <c r="DF30" s="6"/>
      <c r="DG30" s="6"/>
      <c r="DH30" s="6"/>
      <c r="DI30" s="6"/>
      <c r="DJ30" s="6"/>
      <c r="DK30" s="167"/>
      <c r="DL30" s="6"/>
      <c r="DM30" s="6"/>
    </row>
    <row r="31" spans="1:126" ht="12.6" customHeight="1">
      <c r="A31" s="660"/>
      <c r="C31" s="98"/>
      <c r="D31" s="99"/>
      <c r="E31" s="100"/>
      <c r="F31" s="101"/>
      <c r="G31" s="99"/>
      <c r="H31" s="102"/>
      <c r="I31" s="102">
        <f>F31+H31</f>
        <v>0</v>
      </c>
      <c r="J31" s="103" t="str">
        <f>IF($I$35&lt;&gt;0,I31/$I$35,"")</f>
        <v/>
      </c>
      <c r="K31" s="99"/>
      <c r="L31" s="102"/>
      <c r="M31" s="104">
        <f>I31+L31</f>
        <v>0</v>
      </c>
      <c r="N31" s="104"/>
      <c r="O31" s="101">
        <f>M31-N31</f>
        <v>0</v>
      </c>
      <c r="P31" s="463">
        <f>IF(N31&lt;&gt;0,O31/N31,1)</f>
        <v>1</v>
      </c>
      <c r="Q31" s="99"/>
      <c r="R31" s="105"/>
      <c r="CK31" s="6"/>
      <c r="CL31" s="6"/>
      <c r="CM31" s="6"/>
      <c r="CN31" s="143"/>
      <c r="CO31" s="143"/>
      <c r="CP31" s="143"/>
      <c r="CQ31" s="143"/>
      <c r="CR31" s="143"/>
      <c r="CS31" s="143"/>
      <c r="CT31" s="143"/>
      <c r="CU31" s="143"/>
      <c r="CV31" s="6"/>
      <c r="CW31" s="143"/>
      <c r="CX31" s="143"/>
      <c r="CY31" s="143"/>
      <c r="CZ31" s="143"/>
      <c r="DA31" s="143"/>
      <c r="DB31" s="6"/>
      <c r="DC31" s="6"/>
      <c r="DD31" s="6"/>
      <c r="DE31" s="6"/>
      <c r="DF31" s="6"/>
      <c r="DG31" s="6"/>
      <c r="DH31" s="6"/>
      <c r="DI31" s="6"/>
      <c r="DJ31" s="6"/>
      <c r="DK31" s="150"/>
      <c r="DL31" s="6"/>
      <c r="DM31" s="6"/>
    </row>
    <row r="32" spans="1:126" ht="12.6" customHeight="1">
      <c r="A32" s="660"/>
      <c r="C32" s="98"/>
      <c r="D32" s="99"/>
      <c r="E32" s="100"/>
      <c r="F32" s="101"/>
      <c r="G32" s="99"/>
      <c r="H32" s="102"/>
      <c r="I32" s="102">
        <f t="shared" ref="I32:I33" si="3">F32+H32</f>
        <v>0</v>
      </c>
      <c r="J32" s="103" t="str">
        <f t="shared" ref="J32:J33" si="4">IF($I$35&lt;&gt;0,I32/$I$35,"")</f>
        <v/>
      </c>
      <c r="K32" s="99"/>
      <c r="L32" s="102"/>
      <c r="M32" s="104">
        <f t="shared" ref="M32:M33" si="5">I32+L32</f>
        <v>0</v>
      </c>
      <c r="N32" s="104"/>
      <c r="O32" s="101">
        <f t="shared" ref="O32:O33" si="6">M32-N32</f>
        <v>0</v>
      </c>
      <c r="P32" s="463">
        <f>IF(N32&lt;&gt;0,O32/N32,1)</f>
        <v>1</v>
      </c>
      <c r="Q32" s="99"/>
      <c r="R32" s="105"/>
      <c r="CK32" s="6"/>
      <c r="CL32" s="6"/>
      <c r="CM32" s="6"/>
      <c r="CN32" s="143"/>
      <c r="CO32" s="143"/>
      <c r="CP32" s="143"/>
      <c r="CQ32" s="143"/>
      <c r="CR32" s="143"/>
      <c r="CS32" s="143"/>
      <c r="CT32" s="143"/>
      <c r="CU32" s="143"/>
      <c r="CV32" s="6"/>
      <c r="CW32" s="143"/>
      <c r="CX32" s="143"/>
      <c r="CY32" s="143"/>
      <c r="CZ32" s="143"/>
      <c r="DA32" s="143"/>
      <c r="DB32" s="6"/>
      <c r="DC32" s="6"/>
      <c r="DD32" s="6"/>
      <c r="DE32" s="6"/>
      <c r="DF32" s="6"/>
      <c r="DG32" s="6"/>
      <c r="DH32" s="6"/>
      <c r="DI32" s="6"/>
      <c r="DJ32" s="6"/>
      <c r="DK32" s="150"/>
      <c r="DL32" s="6"/>
      <c r="DM32" s="6"/>
    </row>
    <row r="33" spans="1:130" ht="12.6" customHeight="1" thickBot="1">
      <c r="A33" s="660" t="s">
        <v>185</v>
      </c>
      <c r="C33" s="371"/>
      <c r="D33" s="372"/>
      <c r="E33" s="385"/>
      <c r="F33" s="374"/>
      <c r="G33" s="372"/>
      <c r="H33" s="375"/>
      <c r="I33" s="102">
        <f t="shared" si="3"/>
        <v>0</v>
      </c>
      <c r="J33" s="103" t="str">
        <f t="shared" si="4"/>
        <v/>
      </c>
      <c r="K33" s="378"/>
      <c r="L33" s="379"/>
      <c r="M33" s="104">
        <f t="shared" si="5"/>
        <v>0</v>
      </c>
      <c r="N33" s="380"/>
      <c r="O33" s="101">
        <f t="shared" si="6"/>
        <v>0</v>
      </c>
      <c r="P33" s="463">
        <f>IF(N33&lt;&gt;0,O33/N33,1)</f>
        <v>1</v>
      </c>
      <c r="Q33" s="378"/>
      <c r="R33" s="373"/>
      <c r="CK33" s="6"/>
      <c r="CL33" s="6"/>
      <c r="CM33" s="6"/>
      <c r="CN33" s="143"/>
      <c r="CO33" s="143"/>
      <c r="CP33" s="143"/>
      <c r="CQ33" s="143"/>
      <c r="CR33" s="143"/>
      <c r="CS33" s="143"/>
      <c r="CT33" s="143"/>
      <c r="CU33" s="143"/>
      <c r="CV33" s="6"/>
      <c r="CW33" s="143"/>
      <c r="CX33" s="143"/>
      <c r="CY33" s="143"/>
      <c r="CZ33" s="143"/>
      <c r="DA33" s="143"/>
      <c r="DB33" s="6"/>
      <c r="DC33" s="6"/>
      <c r="DD33" s="6"/>
      <c r="DE33" s="6"/>
      <c r="DF33" s="6"/>
      <c r="DG33" s="6"/>
      <c r="DH33" s="6"/>
      <c r="DI33" s="6"/>
      <c r="DJ33" s="6"/>
      <c r="DK33" s="150"/>
      <c r="DL33" s="6"/>
      <c r="DM33" s="6"/>
    </row>
    <row r="34" spans="1:130" ht="12.6" customHeight="1">
      <c r="A34" s="660"/>
      <c r="B34" s="174"/>
      <c r="C34" s="760"/>
      <c r="D34" s="761"/>
      <c r="E34" s="762"/>
      <c r="F34" s="762"/>
      <c r="G34" s="762"/>
      <c r="H34" s="762"/>
      <c r="I34" s="763"/>
      <c r="J34" s="765"/>
      <c r="K34" s="765"/>
      <c r="L34" s="763"/>
      <c r="M34" s="763"/>
      <c r="N34" s="763"/>
      <c r="O34" s="753"/>
      <c r="P34" s="767"/>
      <c r="Q34" s="767"/>
      <c r="R34" s="768"/>
      <c r="CK34" s="6"/>
      <c r="CL34" s="6"/>
      <c r="CM34" s="6"/>
      <c r="CN34" s="143"/>
      <c r="CO34" s="143"/>
      <c r="CP34" s="143"/>
      <c r="CQ34" s="143"/>
      <c r="CR34" s="143"/>
      <c r="CS34" s="143"/>
      <c r="CT34" s="143"/>
      <c r="CU34" s="143"/>
      <c r="CV34" s="6"/>
      <c r="CW34" s="143"/>
      <c r="CX34" s="143"/>
      <c r="CY34" s="143"/>
      <c r="CZ34" s="143"/>
      <c r="DA34" s="143"/>
      <c r="DB34" s="6"/>
      <c r="DC34" s="6"/>
      <c r="DD34" s="6"/>
      <c r="DE34" s="6"/>
      <c r="DF34" s="6"/>
      <c r="DG34" s="6"/>
      <c r="DH34" s="6"/>
      <c r="DI34" s="6"/>
      <c r="DJ34" s="6"/>
      <c r="DK34" s="150"/>
      <c r="DL34" s="6"/>
      <c r="DM34" s="6"/>
    </row>
    <row r="35" spans="1:130" s="16" customFormat="1" ht="12.6" customHeight="1" thickBot="1">
      <c r="A35" s="661"/>
      <c r="B35" s="174"/>
      <c r="C35" s="174"/>
      <c r="D35" s="179"/>
      <c r="E35" s="212" t="s">
        <v>208</v>
      </c>
      <c r="F35" s="388">
        <f>SUM(F30:F34)</f>
        <v>0</v>
      </c>
      <c r="G35" s="21"/>
      <c r="H35" s="388">
        <f>SUM(H30:H34)</f>
        <v>0</v>
      </c>
      <c r="I35" s="388">
        <f>SUM(I30:I34)</f>
        <v>0</v>
      </c>
      <c r="J35" s="389">
        <f>SUM(J30:J34)</f>
        <v>0</v>
      </c>
      <c r="K35" s="21"/>
      <c r="L35" s="388">
        <f>SUM(L30:L34)</f>
        <v>0</v>
      </c>
      <c r="M35" s="388">
        <f>SUM(M30:M34)</f>
        <v>0</v>
      </c>
      <c r="N35" s="388">
        <f>SUM(N30:N34)</f>
        <v>0</v>
      </c>
      <c r="O35" s="388">
        <f>M35-N35</f>
        <v>0</v>
      </c>
      <c r="P35" s="389">
        <f>IF(N35&lt;&gt;0,O35/N35,1)</f>
        <v>1</v>
      </c>
      <c r="Q35" s="177"/>
      <c r="R35" s="213"/>
      <c r="S35" s="19"/>
      <c r="T35" s="174"/>
      <c r="CL35" s="6"/>
      <c r="CM35" s="6"/>
      <c r="CN35" s="6"/>
      <c r="CO35" s="143"/>
      <c r="CP35" s="143"/>
      <c r="CQ35" s="143"/>
      <c r="CR35" s="143"/>
      <c r="CS35" s="143"/>
      <c r="CT35" s="143"/>
      <c r="CU35" s="143"/>
      <c r="CV35" s="143"/>
      <c r="CW35" s="6"/>
      <c r="CX35" s="143"/>
      <c r="CY35" s="143"/>
      <c r="CZ35" s="143"/>
      <c r="DA35" s="143"/>
      <c r="DB35" s="143"/>
      <c r="DC35" s="6"/>
      <c r="DD35" s="6"/>
      <c r="DE35" s="6"/>
      <c r="DF35" s="6"/>
      <c r="DG35" s="6"/>
      <c r="DH35" s="6"/>
      <c r="DI35" s="6"/>
      <c r="DJ35" s="6"/>
      <c r="DK35" s="6"/>
      <c r="DL35" s="150"/>
      <c r="DM35" s="6"/>
      <c r="DN35" s="6"/>
    </row>
    <row r="36" spans="1:130" s="16" customFormat="1" ht="12.6" customHeight="1" thickTop="1">
      <c r="A36" s="661"/>
      <c r="B36" s="174"/>
      <c r="C36" s="174"/>
      <c r="D36" s="179"/>
      <c r="E36" s="175"/>
      <c r="F36" s="131" t="s">
        <v>105</v>
      </c>
      <c r="G36" s="179"/>
      <c r="H36" s="131" t="s">
        <v>105</v>
      </c>
      <c r="I36" s="131" t="s">
        <v>105</v>
      </c>
      <c r="J36" s="131" t="s">
        <v>105</v>
      </c>
      <c r="K36" s="180"/>
      <c r="L36" s="131" t="s">
        <v>105</v>
      </c>
      <c r="M36" s="131" t="s">
        <v>105</v>
      </c>
      <c r="N36" s="131" t="s">
        <v>105</v>
      </c>
      <c r="O36" s="193"/>
      <c r="P36" s="183"/>
      <c r="Q36" s="183"/>
      <c r="R36" s="184"/>
      <c r="S36" s="19"/>
      <c r="T36" s="19"/>
      <c r="U36" s="174"/>
      <c r="CM36" s="6"/>
      <c r="CN36" s="6"/>
      <c r="CO36" s="6"/>
      <c r="CP36" s="143"/>
      <c r="CQ36" s="143"/>
      <c r="CR36" s="143"/>
      <c r="CS36" s="143"/>
      <c r="CT36" s="143"/>
      <c r="CU36" s="143"/>
      <c r="CV36" s="143"/>
      <c r="CW36" s="143"/>
      <c r="CX36" s="6"/>
      <c r="CY36" s="143"/>
      <c r="CZ36" s="143"/>
      <c r="DA36" s="143"/>
      <c r="DB36" s="143"/>
      <c r="DC36" s="143"/>
      <c r="DD36" s="6"/>
      <c r="DE36" s="6"/>
      <c r="DF36" s="6"/>
      <c r="DG36" s="6"/>
      <c r="DH36" s="6"/>
      <c r="DI36" s="6"/>
      <c r="DJ36" s="6"/>
      <c r="DK36" s="6"/>
      <c r="DL36" s="6"/>
      <c r="DM36" s="150"/>
      <c r="DN36" s="6"/>
      <c r="DO36" s="6"/>
    </row>
    <row r="37" spans="1:130" s="16" customFormat="1" ht="12.6" customHeight="1">
      <c r="A37" s="661"/>
      <c r="B37" s="174"/>
      <c r="C37" s="174"/>
      <c r="D37" s="179"/>
      <c r="F37" s="181"/>
      <c r="G37" s="179"/>
      <c r="H37" s="185" t="s">
        <v>91</v>
      </c>
      <c r="I37" s="181"/>
      <c r="J37" s="186"/>
      <c r="K37" s="181"/>
      <c r="M37" s="181"/>
      <c r="N37" s="181"/>
      <c r="O37" s="181"/>
      <c r="P37" s="182"/>
      <c r="Q37" s="182"/>
      <c r="R37" s="184"/>
      <c r="S37" s="174"/>
      <c r="T37" s="19"/>
      <c r="U37" s="174"/>
      <c r="CM37" s="6"/>
      <c r="CN37" s="6"/>
      <c r="CO37" s="6"/>
      <c r="CP37" s="143"/>
      <c r="CQ37" s="143"/>
      <c r="CR37" s="143"/>
      <c r="CS37" s="143"/>
      <c r="CT37" s="143"/>
      <c r="CU37" s="143"/>
      <c r="CV37" s="143"/>
      <c r="CW37" s="143"/>
      <c r="CX37" s="6"/>
      <c r="CY37" s="143"/>
      <c r="CZ37" s="143"/>
      <c r="DA37" s="143"/>
      <c r="DB37" s="143"/>
      <c r="DC37" s="143"/>
      <c r="DD37" s="6"/>
      <c r="DE37" s="6"/>
      <c r="DF37" s="6"/>
      <c r="DG37" s="6"/>
      <c r="DH37" s="6"/>
      <c r="DI37" s="6"/>
      <c r="DJ37" s="6"/>
      <c r="DK37" s="6"/>
      <c r="DL37" s="6"/>
      <c r="DM37" s="150"/>
      <c r="DN37" s="6"/>
      <c r="DO37" s="6"/>
    </row>
    <row r="38" spans="1:130" s="16" customFormat="1" ht="12.6" customHeight="1">
      <c r="A38" s="661"/>
      <c r="B38" s="27"/>
      <c r="C38" s="174"/>
      <c r="D38" s="179"/>
      <c r="F38" s="188"/>
      <c r="G38" s="179"/>
      <c r="H38" s="187" t="s">
        <v>201</v>
      </c>
      <c r="I38" s="188">
        <f>I35-I37</f>
        <v>0</v>
      </c>
      <c r="J38" s="189"/>
      <c r="K38" s="181"/>
      <c r="M38" s="188">
        <f>M35-M37</f>
        <v>0</v>
      </c>
      <c r="N38" s="188">
        <f>N35-N37</f>
        <v>0</v>
      </c>
      <c r="O38" s="181"/>
      <c r="P38" s="182"/>
      <c r="Q38" s="182"/>
      <c r="R38" s="182"/>
      <c r="S38" s="182"/>
      <c r="T38" s="184"/>
      <c r="U38" s="174"/>
      <c r="V38" s="174"/>
      <c r="W38" s="174"/>
      <c r="CO38" s="6"/>
      <c r="CP38" s="6"/>
      <c r="CQ38" s="6"/>
      <c r="CR38" s="143"/>
      <c r="CS38" s="143"/>
      <c r="CT38" s="143"/>
      <c r="CU38" s="143"/>
      <c r="CV38" s="143"/>
      <c r="CW38" s="143"/>
      <c r="CX38" s="143"/>
      <c r="CY38" s="143"/>
      <c r="CZ38" s="6"/>
      <c r="DA38" s="143"/>
      <c r="DB38" s="143"/>
      <c r="DC38" s="143"/>
      <c r="DD38" s="143"/>
      <c r="DE38" s="143"/>
      <c r="DF38" s="6"/>
      <c r="DG38" s="6"/>
      <c r="DH38" s="6"/>
      <c r="DI38" s="6"/>
      <c r="DJ38" s="6"/>
      <c r="DK38" s="6"/>
      <c r="DL38" s="6"/>
      <c r="DM38" s="6"/>
      <c r="DN38" s="6"/>
      <c r="DO38" s="150"/>
      <c r="DP38" s="6"/>
      <c r="DQ38" s="6"/>
    </row>
    <row r="39" spans="1:130" s="28" customFormat="1" ht="12.6" customHeight="1">
      <c r="A39" s="671"/>
      <c r="B39" s="263"/>
      <c r="C39" s="8"/>
      <c r="D39" s="264"/>
      <c r="E39" s="264"/>
      <c r="F39" s="137"/>
      <c r="G39" s="264"/>
      <c r="H39" s="264"/>
      <c r="I39" s="201"/>
      <c r="J39" s="265"/>
      <c r="K39" s="265"/>
      <c r="L39" s="193"/>
      <c r="M39" s="201"/>
      <c r="N39" s="201"/>
      <c r="O39" s="201"/>
      <c r="P39" s="201"/>
      <c r="Q39" s="201"/>
      <c r="R39" s="265"/>
      <c r="S39" s="265"/>
      <c r="T39" s="201"/>
      <c r="U39" s="201"/>
      <c r="V39" s="201"/>
      <c r="W39" s="201"/>
      <c r="X39" s="201"/>
      <c r="Y39" s="201"/>
      <c r="Z39" s="193"/>
      <c r="AA39" s="266"/>
      <c r="AB39" s="267"/>
      <c r="CX39" s="6"/>
      <c r="CY39" s="6"/>
      <c r="CZ39" s="6"/>
      <c r="DA39" s="143"/>
      <c r="DB39" s="143"/>
      <c r="DC39" s="143"/>
      <c r="DD39" s="143"/>
      <c r="DE39" s="143"/>
      <c r="DF39" s="143"/>
      <c r="DG39" s="143"/>
      <c r="DH39" s="143"/>
      <c r="DI39" s="6"/>
      <c r="DJ39" s="143"/>
      <c r="DK39" s="143"/>
      <c r="DL39" s="143"/>
      <c r="DM39" s="143"/>
      <c r="DN39" s="143"/>
      <c r="DO39" s="6"/>
      <c r="DP39" s="6"/>
      <c r="DQ39" s="6"/>
      <c r="DR39" s="6"/>
      <c r="DS39" s="6"/>
      <c r="DT39" s="6"/>
      <c r="DU39" s="6"/>
      <c r="DV39" s="6"/>
      <c r="DW39" s="6"/>
      <c r="DX39" s="150"/>
      <c r="DY39" s="6"/>
      <c r="DZ39" s="6"/>
    </row>
    <row r="40" spans="1:130" s="29" customFormat="1" ht="12.6" customHeight="1">
      <c r="A40" s="662"/>
      <c r="G40" s="268"/>
      <c r="J40" s="268"/>
      <c r="K40" s="268"/>
      <c r="L40" s="268"/>
      <c r="N40" s="269"/>
      <c r="O40" s="269"/>
      <c r="P40" s="269"/>
      <c r="Q40" s="269"/>
      <c r="T40" s="269"/>
      <c r="U40" s="269"/>
      <c r="V40" s="269"/>
      <c r="W40" s="269"/>
      <c r="X40" s="269"/>
      <c r="Y40" s="269"/>
      <c r="AB40" s="269"/>
      <c r="AE40" s="270"/>
      <c r="AF40" s="270"/>
      <c r="AG40" s="270"/>
      <c r="AH40" s="270"/>
      <c r="AI40" s="270"/>
      <c r="AJ40" s="270"/>
      <c r="AK40" s="271"/>
      <c r="AL40" s="271"/>
      <c r="AM40" s="271"/>
      <c r="AN40" s="271"/>
      <c r="AO40" s="271"/>
      <c r="AP40" s="271"/>
      <c r="CW40" s="6"/>
      <c r="CX40" s="6"/>
      <c r="CY40" s="6"/>
      <c r="CZ40" s="143"/>
      <c r="DA40" s="143"/>
      <c r="DB40" s="143"/>
      <c r="DC40" s="143"/>
      <c r="DD40" s="143"/>
      <c r="DE40" s="143"/>
      <c r="DF40" s="143"/>
      <c r="DG40" s="143"/>
      <c r="DH40" s="6"/>
      <c r="DI40" s="143"/>
      <c r="DJ40" s="143"/>
      <c r="DK40" s="143"/>
      <c r="DL40" s="143"/>
      <c r="DM40" s="143"/>
      <c r="DN40" s="6"/>
      <c r="DO40" s="6"/>
      <c r="DP40" s="6"/>
      <c r="DQ40" s="6"/>
      <c r="DR40" s="6"/>
      <c r="DS40" s="6"/>
      <c r="DT40" s="6"/>
      <c r="DU40" s="6"/>
      <c r="DV40" s="6"/>
      <c r="DW40" s="150"/>
      <c r="DX40" s="6"/>
      <c r="DY40" s="6"/>
    </row>
    <row r="41" spans="1:130" ht="12.6" customHeight="1" thickBot="1">
      <c r="A41" s="660"/>
      <c r="C41" s="272"/>
      <c r="D41" s="6"/>
      <c r="E41" s="272"/>
      <c r="F41" s="272"/>
      <c r="G41" s="272"/>
      <c r="H41" s="272"/>
      <c r="I41" s="272"/>
      <c r="J41" s="272"/>
      <c r="K41" s="272"/>
      <c r="L41" s="272"/>
      <c r="CW41" s="143"/>
      <c r="CX41" s="143"/>
      <c r="CY41" s="143"/>
      <c r="CZ41" s="143"/>
      <c r="DA41" s="143"/>
      <c r="DB41" s="143"/>
      <c r="DC41" s="143"/>
      <c r="DD41" s="143"/>
      <c r="DE41" s="143"/>
      <c r="DF41" s="143"/>
      <c r="DG41" s="143"/>
      <c r="DH41" s="143"/>
      <c r="DI41" s="143"/>
      <c r="DJ41" s="143"/>
      <c r="DK41" s="143"/>
      <c r="DL41" s="143"/>
      <c r="DM41" s="143"/>
      <c r="DN41" s="143"/>
      <c r="DO41" s="143"/>
      <c r="DP41" s="143"/>
      <c r="DQ41" s="143"/>
      <c r="DR41" s="143"/>
      <c r="DS41" s="143"/>
      <c r="DT41" s="143"/>
      <c r="DU41" s="143"/>
      <c r="DV41" s="143"/>
      <c r="DW41" s="148"/>
      <c r="DX41" s="143"/>
      <c r="DY41" s="149"/>
    </row>
    <row r="42" spans="1:130" ht="12.6" customHeight="1">
      <c r="A42" s="660"/>
      <c r="C42" s="778" t="s">
        <v>298</v>
      </c>
      <c r="D42" s="779"/>
      <c r="E42" s="780"/>
      <c r="F42" s="781"/>
      <c r="G42" s="272"/>
      <c r="H42" s="272"/>
      <c r="I42" s="272"/>
      <c r="J42" s="272"/>
      <c r="K42" s="272"/>
      <c r="L42" s="272"/>
      <c r="CW42" s="143"/>
      <c r="CX42" s="143"/>
      <c r="CY42" s="143"/>
      <c r="CZ42" s="143"/>
      <c r="DA42" s="143"/>
      <c r="DB42" s="143"/>
      <c r="DC42" s="143"/>
      <c r="DD42" s="143"/>
      <c r="DE42" s="143"/>
      <c r="DF42" s="143"/>
      <c r="DG42" s="143"/>
      <c r="DH42" s="143"/>
      <c r="DI42" s="143"/>
      <c r="DJ42" s="143"/>
      <c r="DK42" s="143"/>
      <c r="DL42" s="143"/>
      <c r="DM42" s="143"/>
      <c r="DN42" s="143"/>
      <c r="DO42" s="143"/>
      <c r="DP42" s="143"/>
      <c r="DQ42" s="143"/>
      <c r="DR42" s="143"/>
      <c r="DS42" s="143"/>
      <c r="DT42" s="143"/>
      <c r="DU42" s="143"/>
      <c r="DV42" s="143"/>
      <c r="DW42" s="148"/>
      <c r="DX42" s="143"/>
      <c r="DY42" s="149"/>
    </row>
    <row r="43" spans="1:130" ht="12.6" customHeight="1">
      <c r="A43" s="660"/>
      <c r="C43" s="273" t="s">
        <v>299</v>
      </c>
      <c r="D43" s="274"/>
      <c r="E43" s="275" t="s">
        <v>300</v>
      </c>
      <c r="F43" s="276"/>
      <c r="G43" s="272"/>
      <c r="H43" s="272"/>
      <c r="I43" s="272"/>
      <c r="J43" s="272"/>
      <c r="K43" s="272"/>
      <c r="L43" s="272"/>
      <c r="CW43" s="143"/>
      <c r="CX43" s="143"/>
      <c r="CY43" s="143"/>
      <c r="CZ43" s="143"/>
      <c r="DA43" s="143"/>
      <c r="DB43" s="143"/>
      <c r="DC43" s="143"/>
      <c r="DD43" s="143"/>
      <c r="DE43" s="143"/>
      <c r="DF43" s="143"/>
      <c r="DG43" s="143"/>
      <c r="DH43" s="143"/>
      <c r="DI43" s="143"/>
      <c r="DJ43" s="143"/>
      <c r="DK43" s="143"/>
      <c r="DL43" s="143"/>
      <c r="DM43" s="143"/>
      <c r="DN43" s="143"/>
      <c r="DO43" s="143"/>
      <c r="DP43" s="143"/>
      <c r="DQ43" s="143"/>
      <c r="DR43" s="143"/>
      <c r="DS43" s="143"/>
      <c r="DT43" s="143"/>
      <c r="DU43" s="143"/>
      <c r="DV43" s="143"/>
      <c r="DW43" s="148"/>
      <c r="DX43" s="143"/>
      <c r="DY43" s="149"/>
    </row>
    <row r="44" spans="1:130" ht="12.6" customHeight="1">
      <c r="A44" s="660"/>
      <c r="C44" s="277"/>
      <c r="D44" s="278" t="s">
        <v>301</v>
      </c>
      <c r="E44" s="15"/>
      <c r="F44" s="279"/>
      <c r="G44" s="272"/>
      <c r="H44" s="272"/>
      <c r="I44" s="272"/>
      <c r="J44" s="272"/>
      <c r="K44" s="272"/>
      <c r="L44" s="272"/>
      <c r="CW44" s="143"/>
      <c r="CX44" s="143"/>
      <c r="CY44" s="143"/>
      <c r="CZ44" s="143"/>
      <c r="DA44" s="143"/>
      <c r="DB44" s="143"/>
      <c r="DC44" s="143"/>
      <c r="DD44" s="143"/>
      <c r="DE44" s="143"/>
      <c r="DF44" s="143"/>
      <c r="DG44" s="143"/>
      <c r="DH44" s="143"/>
      <c r="DI44" s="143"/>
      <c r="DJ44" s="143"/>
      <c r="DK44" s="143"/>
      <c r="DL44" s="143"/>
      <c r="DM44" s="143"/>
      <c r="DN44" s="143"/>
      <c r="DO44" s="143"/>
      <c r="DP44" s="143"/>
      <c r="DQ44" s="143"/>
      <c r="DR44" s="143"/>
      <c r="DS44" s="143"/>
      <c r="DT44" s="143"/>
      <c r="DU44" s="143"/>
      <c r="DV44" s="143"/>
      <c r="DW44" s="148"/>
      <c r="DX44" s="143"/>
      <c r="DY44" s="149"/>
    </row>
    <row r="45" spans="1:130" ht="12.6" customHeight="1">
      <c r="A45" s="660"/>
      <c r="C45" s="280"/>
      <c r="D45" s="22" t="s">
        <v>302</v>
      </c>
      <c r="E45" s="15"/>
      <c r="F45" s="279"/>
      <c r="G45" s="272"/>
      <c r="H45" s="272"/>
      <c r="I45" s="272"/>
      <c r="J45" s="272"/>
      <c r="K45" s="272"/>
      <c r="L45" s="272"/>
      <c r="CW45" s="143"/>
      <c r="CX45" s="143"/>
      <c r="CY45" s="143"/>
      <c r="CZ45" s="143"/>
      <c r="DA45" s="143"/>
      <c r="DB45" s="143"/>
      <c r="DC45" s="143"/>
      <c r="DD45" s="143"/>
      <c r="DE45" s="143"/>
      <c r="DF45" s="143"/>
      <c r="DG45" s="143"/>
      <c r="DH45" s="143"/>
      <c r="DI45" s="143"/>
      <c r="DJ45" s="143"/>
      <c r="DK45" s="143"/>
      <c r="DL45" s="143"/>
      <c r="DM45" s="143"/>
      <c r="DN45" s="143"/>
      <c r="DO45" s="143"/>
      <c r="DP45" s="143"/>
      <c r="DQ45" s="143"/>
      <c r="DR45" s="143"/>
      <c r="DS45" s="143"/>
      <c r="DT45" s="143"/>
      <c r="DU45" s="143"/>
      <c r="DV45" s="143"/>
      <c r="DW45" s="148"/>
      <c r="DX45" s="143"/>
      <c r="DY45" s="149"/>
    </row>
    <row r="46" spans="1:130" ht="12.6" customHeight="1">
      <c r="A46" s="540"/>
      <c r="C46" s="280"/>
      <c r="D46" s="22" t="s">
        <v>303</v>
      </c>
      <c r="E46" s="15"/>
      <c r="F46" s="279"/>
      <c r="G46" s="272"/>
      <c r="H46" s="272"/>
      <c r="I46" s="272"/>
      <c r="J46" s="272"/>
      <c r="K46" s="272"/>
      <c r="L46" s="272"/>
      <c r="CW46" s="143"/>
      <c r="CX46" s="143"/>
      <c r="CY46" s="143"/>
      <c r="CZ46" s="143"/>
      <c r="DA46" s="143"/>
      <c r="DB46" s="143"/>
      <c r="DC46" s="143"/>
      <c r="DD46" s="143"/>
      <c r="DE46" s="143"/>
      <c r="DF46" s="143"/>
      <c r="DG46" s="143"/>
      <c r="DH46" s="143"/>
      <c r="DI46" s="143"/>
      <c r="DJ46" s="143"/>
      <c r="DK46" s="143"/>
      <c r="DL46" s="143"/>
      <c r="DM46" s="143"/>
      <c r="DN46" s="143"/>
      <c r="DO46" s="143"/>
      <c r="DP46" s="143"/>
      <c r="DQ46" s="143"/>
      <c r="DR46" s="143"/>
      <c r="DS46" s="143"/>
      <c r="DT46" s="143"/>
      <c r="DU46" s="143"/>
      <c r="DV46" s="143"/>
      <c r="DW46" s="148"/>
      <c r="DX46" s="143"/>
      <c r="DY46" s="149"/>
    </row>
    <row r="47" spans="1:130" ht="12.6" customHeight="1">
      <c r="A47" s="540"/>
      <c r="C47" s="280"/>
      <c r="D47" s="22" t="s">
        <v>304</v>
      </c>
      <c r="E47" s="15"/>
      <c r="F47" s="279"/>
      <c r="G47" s="272"/>
      <c r="H47" s="272"/>
      <c r="I47" s="272"/>
      <c r="J47" s="272"/>
      <c r="K47" s="272"/>
      <c r="L47" s="272"/>
      <c r="CW47" s="143"/>
      <c r="CX47" s="143"/>
      <c r="CY47" s="143"/>
      <c r="CZ47" s="143"/>
      <c r="DA47" s="143"/>
      <c r="DB47" s="143"/>
      <c r="DC47" s="143"/>
      <c r="DD47" s="143"/>
      <c r="DE47" s="143"/>
      <c r="DF47" s="143"/>
      <c r="DG47" s="143"/>
      <c r="DH47" s="143"/>
      <c r="DI47" s="143"/>
      <c r="DJ47" s="143"/>
      <c r="DK47" s="143"/>
      <c r="DL47" s="143"/>
      <c r="DM47" s="143"/>
      <c r="DN47" s="143"/>
      <c r="DO47" s="143"/>
      <c r="DP47" s="143"/>
      <c r="DQ47" s="143"/>
      <c r="DR47" s="143"/>
      <c r="DS47" s="143"/>
      <c r="DT47" s="143"/>
      <c r="DU47" s="143"/>
      <c r="DV47" s="143"/>
      <c r="DW47" s="148"/>
      <c r="DX47" s="143"/>
      <c r="DY47" s="149"/>
    </row>
    <row r="48" spans="1:130" ht="12.6" customHeight="1">
      <c r="A48" s="540"/>
      <c r="C48" s="280"/>
      <c r="D48" s="22" t="s">
        <v>305</v>
      </c>
      <c r="E48" s="15"/>
      <c r="F48" s="279"/>
      <c r="G48" s="272"/>
      <c r="H48" s="272"/>
      <c r="I48" s="272"/>
      <c r="J48" s="272"/>
      <c r="K48" s="272"/>
      <c r="L48" s="272"/>
      <c r="CW48" s="143"/>
      <c r="CX48" s="143"/>
      <c r="CY48" s="143"/>
      <c r="CZ48" s="143"/>
      <c r="DA48" s="143"/>
      <c r="DB48" s="143"/>
      <c r="DC48" s="143"/>
      <c r="DD48" s="143"/>
      <c r="DE48" s="143"/>
      <c r="DF48" s="143"/>
      <c r="DG48" s="143"/>
      <c r="DH48" s="143"/>
      <c r="DI48" s="143"/>
      <c r="DJ48" s="143"/>
      <c r="DK48" s="143"/>
      <c r="DL48" s="143"/>
      <c r="DM48" s="143"/>
      <c r="DN48" s="143"/>
      <c r="DO48" s="143"/>
      <c r="DP48" s="143"/>
      <c r="DQ48" s="143"/>
      <c r="DR48" s="143"/>
      <c r="DS48" s="143"/>
      <c r="DT48" s="143"/>
      <c r="DU48" s="143"/>
      <c r="DV48" s="143"/>
      <c r="DW48" s="148"/>
      <c r="DX48" s="143"/>
      <c r="DY48" s="149"/>
    </row>
    <row r="49" spans="1:129" ht="12.6" customHeight="1">
      <c r="A49" s="540"/>
      <c r="C49" s="280"/>
      <c r="D49" s="22" t="s">
        <v>306</v>
      </c>
      <c r="E49" s="15"/>
      <c r="F49" s="279"/>
      <c r="G49" s="272"/>
      <c r="H49" s="272"/>
      <c r="I49" s="272"/>
      <c r="J49" s="272"/>
      <c r="K49" s="272"/>
      <c r="L49" s="272"/>
      <c r="CW49" s="143"/>
      <c r="CX49" s="143"/>
      <c r="CY49" s="143"/>
      <c r="CZ49" s="143"/>
      <c r="DA49" s="143"/>
      <c r="DB49" s="143"/>
      <c r="DC49" s="143"/>
      <c r="DD49" s="143"/>
      <c r="DE49" s="143"/>
      <c r="DF49" s="143"/>
      <c r="DG49" s="143"/>
      <c r="DH49" s="143"/>
      <c r="DI49" s="143"/>
      <c r="DJ49" s="143"/>
      <c r="DK49" s="143"/>
      <c r="DL49" s="143"/>
      <c r="DM49" s="143"/>
      <c r="DN49" s="143"/>
      <c r="DO49" s="143"/>
      <c r="DP49" s="143"/>
      <c r="DQ49" s="143"/>
      <c r="DR49" s="143"/>
      <c r="DS49" s="143"/>
      <c r="DT49" s="143"/>
      <c r="DU49" s="143"/>
      <c r="DV49" s="143"/>
      <c r="DW49" s="148"/>
      <c r="DX49" s="143"/>
      <c r="DY49" s="149"/>
    </row>
    <row r="50" spans="1:129" ht="12.6" customHeight="1">
      <c r="A50" s="540"/>
      <c r="C50" s="280"/>
      <c r="D50" s="272" t="s">
        <v>307</v>
      </c>
      <c r="E50" s="15"/>
      <c r="F50" s="279"/>
      <c r="G50" s="272"/>
      <c r="H50" s="272"/>
      <c r="I50" s="272"/>
      <c r="J50" s="272"/>
      <c r="K50" s="272"/>
      <c r="L50" s="272"/>
      <c r="CW50" s="143"/>
      <c r="CX50" s="143"/>
      <c r="CY50" s="143"/>
      <c r="CZ50" s="143"/>
      <c r="DA50" s="143"/>
      <c r="DB50" s="143"/>
      <c r="DC50" s="143"/>
      <c r="DD50" s="143"/>
      <c r="DE50" s="143"/>
      <c r="DF50" s="143"/>
      <c r="DG50" s="143"/>
      <c r="DH50" s="143"/>
      <c r="DI50" s="143"/>
      <c r="DJ50" s="143"/>
      <c r="DK50" s="143"/>
      <c r="DL50" s="143"/>
      <c r="DM50" s="143"/>
      <c r="DN50" s="143"/>
      <c r="DO50" s="143"/>
      <c r="DP50" s="143"/>
      <c r="DQ50" s="143"/>
      <c r="DR50" s="143"/>
      <c r="DS50" s="143"/>
      <c r="DT50" s="143"/>
      <c r="DU50" s="143"/>
      <c r="DV50" s="143"/>
      <c r="DW50" s="148"/>
      <c r="DX50" s="143"/>
      <c r="DY50" s="149"/>
    </row>
    <row r="51" spans="1:129" ht="12.6" customHeight="1">
      <c r="A51" s="540"/>
      <c r="C51" s="280"/>
      <c r="D51" s="22" t="s">
        <v>308</v>
      </c>
      <c r="E51" s="15"/>
      <c r="F51" s="279"/>
      <c r="G51" s="272"/>
      <c r="H51" s="272"/>
      <c r="I51" s="272"/>
      <c r="J51" s="272"/>
      <c r="K51" s="272"/>
      <c r="L51" s="272"/>
      <c r="CW51" s="143"/>
      <c r="CX51" s="143"/>
      <c r="CY51" s="143"/>
      <c r="CZ51" s="143"/>
      <c r="DA51" s="143"/>
      <c r="DB51" s="143"/>
      <c r="DC51" s="143"/>
      <c r="DD51" s="143"/>
      <c r="DE51" s="143"/>
      <c r="DF51" s="143"/>
      <c r="DG51" s="143"/>
      <c r="DH51" s="143"/>
      <c r="DI51" s="143"/>
      <c r="DJ51" s="143"/>
      <c r="DK51" s="143"/>
      <c r="DL51" s="143"/>
      <c r="DM51" s="143"/>
      <c r="DN51" s="143"/>
      <c r="DO51" s="143"/>
      <c r="DP51" s="143"/>
      <c r="DQ51" s="143"/>
      <c r="DR51" s="143"/>
      <c r="DS51" s="143"/>
      <c r="DT51" s="143"/>
      <c r="DU51" s="143"/>
      <c r="DV51" s="143"/>
      <c r="DW51" s="148"/>
      <c r="DX51" s="143"/>
      <c r="DY51" s="149"/>
    </row>
    <row r="52" spans="1:129" ht="12.6" customHeight="1" thickBot="1">
      <c r="A52" s="540"/>
      <c r="C52" s="280"/>
      <c r="D52" s="22" t="s">
        <v>309</v>
      </c>
      <c r="E52" s="281">
        <f>SUM(E44:E51)-I35</f>
        <v>0</v>
      </c>
      <c r="F52" s="279"/>
      <c r="G52" s="272"/>
      <c r="H52" s="272"/>
      <c r="I52" s="272"/>
      <c r="J52" s="272"/>
      <c r="K52" s="272"/>
      <c r="L52" s="272"/>
      <c r="CW52" s="143"/>
      <c r="CX52" s="143"/>
      <c r="CY52" s="143"/>
      <c r="CZ52" s="143"/>
      <c r="DA52" s="143"/>
      <c r="DB52" s="143"/>
      <c r="DC52" s="143"/>
      <c r="DD52" s="143"/>
      <c r="DE52" s="143"/>
      <c r="DF52" s="143"/>
      <c r="DG52" s="143"/>
      <c r="DH52" s="143"/>
      <c r="DI52" s="143"/>
      <c r="DJ52" s="143"/>
      <c r="DK52" s="143"/>
      <c r="DL52" s="143"/>
      <c r="DM52" s="143"/>
      <c r="DN52" s="143"/>
      <c r="DO52" s="143"/>
      <c r="DP52" s="143"/>
      <c r="DQ52" s="143"/>
      <c r="DR52" s="143"/>
      <c r="DS52" s="143"/>
      <c r="DT52" s="143"/>
      <c r="DU52" s="143"/>
      <c r="DV52" s="143"/>
      <c r="DW52" s="148"/>
      <c r="DX52" s="143"/>
      <c r="DY52" s="149"/>
    </row>
    <row r="53" spans="1:129" ht="12.6" customHeight="1" thickTop="1">
      <c r="A53" s="540"/>
      <c r="C53" s="280"/>
      <c r="D53" s="282"/>
      <c r="E53" s="275"/>
      <c r="F53" s="279"/>
      <c r="G53" s="272"/>
      <c r="H53" s="272"/>
      <c r="I53" s="272"/>
      <c r="J53" s="272"/>
      <c r="K53" s="272"/>
      <c r="L53" s="272"/>
      <c r="CW53" s="143"/>
      <c r="CX53" s="143"/>
      <c r="CY53" s="143"/>
      <c r="CZ53" s="143"/>
      <c r="DA53" s="143"/>
      <c r="DB53" s="143"/>
      <c r="DC53" s="143"/>
      <c r="DD53" s="143"/>
      <c r="DE53" s="143"/>
      <c r="DF53" s="143"/>
      <c r="DG53" s="143"/>
      <c r="DH53" s="143"/>
      <c r="DI53" s="143"/>
      <c r="DJ53" s="143"/>
      <c r="DK53" s="143"/>
      <c r="DL53" s="143"/>
      <c r="DM53" s="143"/>
      <c r="DN53" s="143"/>
      <c r="DO53" s="143"/>
      <c r="DP53" s="143"/>
      <c r="DQ53" s="143"/>
      <c r="DR53" s="143"/>
      <c r="DS53" s="143"/>
      <c r="DT53" s="143"/>
      <c r="DU53" s="143"/>
      <c r="DV53" s="143"/>
      <c r="DW53" s="148"/>
      <c r="DX53" s="143"/>
      <c r="DY53" s="149"/>
    </row>
    <row r="54" spans="1:129" ht="12.6" customHeight="1" thickBot="1">
      <c r="A54" s="660"/>
      <c r="C54" s="283"/>
      <c r="D54" s="284"/>
      <c r="E54" s="284"/>
      <c r="F54" s="285"/>
      <c r="G54" s="272"/>
      <c r="H54" s="272"/>
      <c r="I54" s="272"/>
      <c r="J54" s="272"/>
      <c r="K54" s="272"/>
      <c r="L54" s="272"/>
      <c r="CW54" s="143"/>
      <c r="CX54" s="143"/>
      <c r="CY54" s="143"/>
      <c r="CZ54" s="143"/>
      <c r="DA54" s="143"/>
      <c r="DB54" s="143"/>
      <c r="DC54" s="143"/>
      <c r="DD54" s="143"/>
      <c r="DE54" s="143"/>
      <c r="DF54" s="143"/>
      <c r="DG54" s="143"/>
      <c r="DH54" s="143"/>
      <c r="DI54" s="143"/>
      <c r="DJ54" s="143"/>
      <c r="DK54" s="143"/>
      <c r="DL54" s="143"/>
      <c r="DM54" s="143"/>
      <c r="DN54" s="143"/>
      <c r="DO54" s="143"/>
      <c r="DP54" s="143"/>
      <c r="DQ54" s="143"/>
      <c r="DR54" s="143"/>
      <c r="DS54" s="143"/>
      <c r="DT54" s="143"/>
      <c r="DU54" s="143"/>
      <c r="DV54" s="143"/>
      <c r="DW54" s="148"/>
      <c r="DX54" s="143"/>
      <c r="DY54" s="149"/>
    </row>
    <row r="55" spans="1:129" ht="12.6" customHeight="1">
      <c r="A55" s="660"/>
      <c r="C55" s="272"/>
      <c r="D55" s="6"/>
      <c r="E55" s="272"/>
      <c r="F55" s="272"/>
      <c r="G55" s="272"/>
      <c r="H55" s="272"/>
      <c r="I55" s="272"/>
      <c r="J55" s="272"/>
      <c r="K55" s="272"/>
      <c r="L55" s="272"/>
      <c r="CW55" s="143"/>
      <c r="CX55" s="143"/>
      <c r="CY55" s="143"/>
      <c r="CZ55" s="143"/>
      <c r="DA55" s="143"/>
      <c r="DB55" s="143"/>
      <c r="DC55" s="143"/>
      <c r="DD55" s="143"/>
      <c r="DE55" s="143"/>
      <c r="DF55" s="143"/>
      <c r="DG55" s="143"/>
      <c r="DH55" s="143"/>
      <c r="DI55" s="143"/>
      <c r="DJ55" s="143"/>
      <c r="DK55" s="143"/>
      <c r="DL55" s="143"/>
      <c r="DM55" s="143"/>
      <c r="DN55" s="143"/>
      <c r="DO55" s="143"/>
      <c r="DP55" s="143"/>
      <c r="DQ55" s="143"/>
      <c r="DR55" s="143"/>
      <c r="DS55" s="143"/>
      <c r="DT55" s="143"/>
      <c r="DU55" s="143"/>
      <c r="DV55" s="143"/>
      <c r="DW55" s="148"/>
      <c r="DX55" s="143"/>
      <c r="DY55" s="149"/>
    </row>
    <row r="56" spans="1:129" s="13" customFormat="1" ht="13.35" customHeight="1" thickBot="1">
      <c r="A56" s="663"/>
      <c r="B56" s="88" t="s">
        <v>155</v>
      </c>
      <c r="C56" s="13" t="s">
        <v>189</v>
      </c>
      <c r="G56" s="137"/>
      <c r="H56" s="138"/>
      <c r="I56" s="137"/>
      <c r="J56" s="137"/>
      <c r="CV56" s="62"/>
      <c r="CW56" s="62"/>
      <c r="CX56" s="62"/>
      <c r="CY56" s="62"/>
      <c r="CZ56" s="62"/>
      <c r="DA56" s="62"/>
      <c r="DB56" s="62"/>
      <c r="DE56" s="62"/>
      <c r="DF56" s="62"/>
      <c r="DG56" s="62"/>
      <c r="DH56" s="62"/>
      <c r="DI56" s="62"/>
      <c r="DS56" s="69"/>
    </row>
    <row r="57" spans="1:129" s="17" customFormat="1" ht="12.6" customHeight="1">
      <c r="A57" s="664"/>
      <c r="C57" s="828"/>
      <c r="D57" s="829"/>
      <c r="E57" s="829"/>
      <c r="F57" s="829"/>
      <c r="G57" s="830"/>
      <c r="H57" s="139"/>
      <c r="I57" s="139"/>
      <c r="J57" s="139"/>
      <c r="CN57" s="13"/>
      <c r="CO57" s="13"/>
      <c r="CP57" s="13"/>
      <c r="CQ57" s="62"/>
      <c r="CR57" s="62"/>
      <c r="CS57" s="62"/>
      <c r="CT57" s="62"/>
      <c r="CU57" s="62"/>
      <c r="CV57" s="62"/>
      <c r="CW57" s="62"/>
      <c r="CX57" s="13"/>
      <c r="CY57" s="13"/>
      <c r="CZ57" s="62"/>
      <c r="DA57" s="62"/>
      <c r="DB57" s="62"/>
      <c r="DC57" s="62"/>
      <c r="DD57" s="62"/>
      <c r="DE57" s="13"/>
      <c r="DF57" s="13"/>
      <c r="DG57" s="13"/>
      <c r="DH57" s="13"/>
      <c r="DI57" s="13"/>
      <c r="DJ57" s="13"/>
      <c r="DK57" s="13"/>
      <c r="DL57" s="13"/>
      <c r="DM57" s="13"/>
      <c r="DN57" s="69"/>
      <c r="DO57" s="13"/>
      <c r="DP57" s="13"/>
    </row>
    <row r="58" spans="1:129" s="17" customFormat="1" ht="12.6" customHeight="1">
      <c r="A58" s="665"/>
      <c r="C58" s="831"/>
      <c r="D58" s="832"/>
      <c r="E58" s="832"/>
      <c r="F58" s="832"/>
      <c r="G58" s="833"/>
      <c r="H58" s="139"/>
      <c r="I58" s="139"/>
      <c r="J58" s="139"/>
      <c r="CN58" s="13"/>
      <c r="CO58" s="13"/>
      <c r="CP58" s="13"/>
      <c r="CQ58" s="62"/>
      <c r="CR58" s="62"/>
      <c r="CS58" s="62"/>
      <c r="CT58" s="62"/>
      <c r="CU58" s="62"/>
      <c r="CV58" s="62"/>
      <c r="CW58" s="62"/>
      <c r="CX58" s="13"/>
      <c r="CY58" s="13"/>
      <c r="CZ58" s="62"/>
      <c r="DA58" s="62"/>
      <c r="DB58" s="62"/>
      <c r="DC58" s="62"/>
      <c r="DD58" s="62"/>
      <c r="DE58" s="13"/>
      <c r="DF58" s="13"/>
      <c r="DG58" s="13"/>
      <c r="DH58" s="13"/>
      <c r="DI58" s="13"/>
      <c r="DJ58" s="13"/>
      <c r="DK58" s="13"/>
      <c r="DL58" s="13"/>
      <c r="DM58" s="13"/>
      <c r="DN58" s="69"/>
      <c r="DO58" s="13"/>
      <c r="DP58" s="13"/>
    </row>
    <row r="59" spans="1:129" s="17" customFormat="1" ht="12.6" customHeight="1" thickBot="1">
      <c r="A59" s="665"/>
      <c r="C59" s="834"/>
      <c r="D59" s="835"/>
      <c r="E59" s="835"/>
      <c r="F59" s="835"/>
      <c r="G59" s="836"/>
      <c r="H59" s="139"/>
      <c r="I59" s="139"/>
      <c r="J59" s="139"/>
      <c r="CN59" s="13"/>
      <c r="CO59" s="13"/>
      <c r="CP59" s="13"/>
      <c r="CQ59" s="62"/>
      <c r="CR59" s="62"/>
      <c r="CS59" s="62"/>
      <c r="CT59" s="62"/>
      <c r="CU59" s="62"/>
      <c r="CV59" s="62"/>
      <c r="CW59" s="62"/>
      <c r="CX59" s="13"/>
      <c r="CY59" s="13"/>
      <c r="CZ59" s="62"/>
      <c r="DA59" s="62"/>
      <c r="DB59" s="62"/>
      <c r="DC59" s="62"/>
      <c r="DD59" s="62"/>
      <c r="DE59" s="13"/>
      <c r="DF59" s="13"/>
      <c r="DG59" s="13"/>
      <c r="DH59" s="13"/>
      <c r="DI59" s="13"/>
      <c r="DJ59" s="13"/>
      <c r="DK59" s="13"/>
      <c r="DL59" s="13"/>
      <c r="DM59" s="13"/>
      <c r="DN59" s="13"/>
      <c r="DO59" s="13"/>
      <c r="DP59" s="13"/>
    </row>
    <row r="60" spans="1:129" ht="12.6" customHeight="1">
      <c r="A60" s="660"/>
      <c r="CW60" s="143"/>
      <c r="CX60" s="143"/>
      <c r="CY60" s="143"/>
      <c r="CZ60" s="143"/>
      <c r="DA60" s="143"/>
      <c r="DB60" s="143"/>
      <c r="DC60" s="143"/>
      <c r="DD60" s="143"/>
      <c r="DE60" s="143"/>
      <c r="DF60" s="143"/>
      <c r="DG60" s="143"/>
      <c r="DH60" s="143"/>
      <c r="DI60" s="143"/>
      <c r="DJ60" s="143"/>
      <c r="DK60" s="143"/>
      <c r="DL60" s="143"/>
      <c r="DM60" s="143"/>
      <c r="DN60" s="143"/>
      <c r="DO60" s="143"/>
      <c r="DP60" s="143"/>
      <c r="DQ60" s="143"/>
      <c r="DR60" s="143"/>
      <c r="DS60" s="143"/>
      <c r="DT60" s="143"/>
      <c r="DU60" s="143"/>
      <c r="DV60" s="143"/>
      <c r="DW60" s="148"/>
      <c r="DX60" s="143"/>
      <c r="DY60" s="149"/>
    </row>
    <row r="61" spans="1:129" ht="12.6" customHeight="1">
      <c r="A61" s="660"/>
      <c r="CW61" s="143"/>
      <c r="CX61" s="143"/>
      <c r="CY61" s="143"/>
      <c r="CZ61" s="143"/>
      <c r="DA61" s="143"/>
      <c r="DB61" s="143"/>
      <c r="DC61" s="143"/>
      <c r="DD61" s="143"/>
      <c r="DE61" s="143"/>
      <c r="DF61" s="143"/>
      <c r="DG61" s="143"/>
      <c r="DH61" s="143"/>
      <c r="DI61" s="143"/>
      <c r="DJ61" s="143"/>
      <c r="DK61" s="143"/>
      <c r="DL61" s="143"/>
      <c r="DM61" s="143"/>
      <c r="DN61" s="143"/>
      <c r="DO61" s="143"/>
      <c r="DP61" s="143"/>
      <c r="DQ61" s="143"/>
      <c r="DR61" s="143"/>
      <c r="DS61" s="143"/>
      <c r="DT61" s="143"/>
      <c r="DU61" s="143"/>
      <c r="DV61" s="143"/>
      <c r="DW61" s="148"/>
      <c r="DX61" s="143"/>
      <c r="DY61" s="149"/>
    </row>
    <row r="62" spans="1:129" ht="12.6" customHeight="1">
      <c r="A62" s="540"/>
      <c r="CW62" s="143"/>
      <c r="CX62" s="143"/>
      <c r="CY62" s="143"/>
      <c r="CZ62" s="143"/>
      <c r="DA62" s="143"/>
      <c r="DB62" s="143"/>
      <c r="DC62" s="143"/>
      <c r="DD62" s="143"/>
      <c r="DE62" s="143"/>
      <c r="DF62" s="143"/>
      <c r="DG62" s="143"/>
      <c r="DH62" s="143"/>
      <c r="DI62" s="143"/>
      <c r="DJ62" s="143"/>
      <c r="DK62" s="143"/>
      <c r="DL62" s="143"/>
      <c r="DM62" s="143"/>
      <c r="DN62" s="143"/>
      <c r="DO62" s="143"/>
      <c r="DP62" s="143"/>
      <c r="DQ62" s="143"/>
      <c r="DR62" s="143"/>
      <c r="DS62" s="143"/>
      <c r="DT62" s="143"/>
      <c r="DU62" s="143"/>
      <c r="DV62" s="143"/>
      <c r="DW62" s="148"/>
      <c r="DX62" s="143"/>
      <c r="DY62" s="149"/>
    </row>
    <row r="63" spans="1:129" ht="12.6" customHeight="1">
      <c r="A63" s="540"/>
      <c r="B63" s="21" t="s">
        <v>292</v>
      </c>
      <c r="C63" s="140" t="s">
        <v>310</v>
      </c>
      <c r="CW63" s="143"/>
      <c r="CX63" s="143"/>
      <c r="CY63" s="143"/>
      <c r="CZ63" s="143"/>
      <c r="DA63" s="143"/>
      <c r="DB63" s="143"/>
      <c r="DC63" s="143"/>
      <c r="DD63" s="143"/>
      <c r="DE63" s="143"/>
      <c r="DF63" s="143"/>
      <c r="DG63" s="143"/>
      <c r="DH63" s="143"/>
      <c r="DI63" s="143"/>
      <c r="DJ63" s="143"/>
      <c r="DK63" s="143"/>
      <c r="DL63" s="143"/>
      <c r="DM63" s="143"/>
      <c r="DN63" s="143"/>
      <c r="DO63" s="143"/>
      <c r="DP63" s="143"/>
      <c r="DQ63" s="143"/>
      <c r="DR63" s="143"/>
      <c r="DS63" s="143"/>
      <c r="DT63" s="143"/>
      <c r="DU63" s="143"/>
      <c r="DV63" s="143"/>
      <c r="DW63" s="148"/>
      <c r="DX63" s="143"/>
      <c r="DY63" s="149"/>
    </row>
    <row r="64" spans="1:129" ht="12.6" customHeight="1">
      <c r="A64" s="540"/>
      <c r="CW64" s="143"/>
      <c r="CX64" s="143"/>
      <c r="CY64" s="143"/>
      <c r="CZ64" s="143"/>
      <c r="DA64" s="143"/>
      <c r="DB64" s="143"/>
      <c r="DC64" s="143"/>
      <c r="DD64" s="143"/>
      <c r="DE64" s="143"/>
      <c r="DF64" s="143"/>
      <c r="DG64" s="143"/>
      <c r="DH64" s="143"/>
      <c r="DI64" s="143"/>
      <c r="DJ64" s="143"/>
      <c r="DK64" s="143"/>
      <c r="DL64" s="143"/>
      <c r="DM64" s="143"/>
      <c r="DN64" s="143"/>
      <c r="DO64" s="143"/>
      <c r="DP64" s="143"/>
      <c r="DQ64" s="143"/>
      <c r="DR64" s="143"/>
      <c r="DS64" s="143"/>
      <c r="DT64" s="143"/>
      <c r="DU64" s="143"/>
      <c r="DV64" s="143"/>
      <c r="DW64" s="148"/>
      <c r="DX64" s="143"/>
      <c r="DY64" s="149"/>
    </row>
    <row r="65" spans="1:129" ht="12.6" customHeight="1">
      <c r="A65" s="540"/>
      <c r="CW65" s="143"/>
      <c r="CX65" s="143"/>
      <c r="CY65" s="143"/>
      <c r="CZ65" s="143"/>
      <c r="DA65" s="143"/>
      <c r="DB65" s="143"/>
      <c r="DC65" s="143"/>
      <c r="DD65" s="143"/>
      <c r="DE65" s="143"/>
      <c r="DF65" s="143"/>
      <c r="DG65" s="143"/>
      <c r="DH65" s="143"/>
      <c r="DI65" s="143"/>
      <c r="DJ65" s="143"/>
      <c r="DK65" s="143"/>
      <c r="DL65" s="143"/>
      <c r="DM65" s="143"/>
      <c r="DN65" s="143"/>
      <c r="DO65" s="143"/>
      <c r="DP65" s="143"/>
      <c r="DQ65" s="143"/>
      <c r="DR65" s="143"/>
      <c r="DS65" s="143"/>
      <c r="DT65" s="143"/>
      <c r="DU65" s="143"/>
      <c r="DV65" s="143"/>
      <c r="DW65" s="148"/>
      <c r="DX65" s="143"/>
      <c r="DY65" s="149"/>
    </row>
    <row r="66" spans="1:129" ht="12.6" customHeight="1">
      <c r="A66" s="540"/>
      <c r="CW66" s="143"/>
      <c r="CX66" s="143"/>
      <c r="CY66" s="143"/>
      <c r="CZ66" s="143"/>
      <c r="DA66" s="143"/>
      <c r="DB66" s="143"/>
      <c r="DC66" s="143"/>
      <c r="DD66" s="143"/>
      <c r="DE66" s="143"/>
      <c r="DF66" s="143"/>
      <c r="DG66" s="143"/>
      <c r="DH66" s="143"/>
      <c r="DI66" s="143"/>
      <c r="DJ66" s="143"/>
      <c r="DK66" s="143"/>
      <c r="DL66" s="143"/>
      <c r="DM66" s="143"/>
      <c r="DN66" s="143"/>
      <c r="DO66" s="143"/>
      <c r="DP66" s="143"/>
      <c r="DQ66" s="143"/>
      <c r="DR66" s="143"/>
      <c r="DS66" s="143"/>
      <c r="DT66" s="143"/>
      <c r="DU66" s="143"/>
      <c r="DV66" s="143"/>
      <c r="DW66" s="148"/>
      <c r="DX66" s="143"/>
      <c r="DY66" s="149"/>
    </row>
    <row r="67" spans="1:129" ht="12.6" customHeight="1">
      <c r="A67" s="540"/>
      <c r="CW67" s="143"/>
      <c r="CX67" s="143"/>
      <c r="CY67" s="143"/>
      <c r="CZ67" s="143"/>
      <c r="DA67" s="143"/>
      <c r="DB67" s="143"/>
      <c r="DC67" s="143"/>
      <c r="DD67" s="143"/>
      <c r="DE67" s="143"/>
      <c r="DF67" s="143"/>
      <c r="DG67" s="143"/>
      <c r="DH67" s="143"/>
      <c r="DI67" s="143"/>
      <c r="DJ67" s="143"/>
      <c r="DK67" s="143"/>
      <c r="DL67" s="143"/>
      <c r="DM67" s="143"/>
      <c r="DN67" s="143"/>
      <c r="DO67" s="143"/>
      <c r="DP67" s="143"/>
      <c r="DQ67" s="143"/>
      <c r="DR67" s="143"/>
      <c r="DS67" s="143"/>
      <c r="DT67" s="143"/>
      <c r="DU67" s="143"/>
      <c r="DV67" s="143"/>
      <c r="DW67" s="148"/>
      <c r="DX67" s="143"/>
      <c r="DY67" s="149"/>
    </row>
    <row r="68" spans="1:129" ht="12.6" customHeight="1">
      <c r="A68" s="540"/>
      <c r="CW68" s="143"/>
      <c r="CX68" s="143"/>
      <c r="CY68" s="143"/>
      <c r="CZ68" s="143"/>
      <c r="DA68" s="143"/>
      <c r="DB68" s="143"/>
      <c r="DC68" s="143"/>
      <c r="DD68" s="143"/>
      <c r="DE68" s="143"/>
      <c r="DF68" s="143"/>
      <c r="DG68" s="143"/>
      <c r="DH68" s="143"/>
      <c r="DI68" s="143"/>
      <c r="DJ68" s="143"/>
      <c r="DK68" s="143"/>
      <c r="DL68" s="143"/>
      <c r="DM68" s="143"/>
      <c r="DN68" s="143"/>
      <c r="DO68" s="143"/>
      <c r="DP68" s="143"/>
      <c r="DQ68" s="143"/>
      <c r="DR68" s="143"/>
      <c r="DS68" s="143"/>
      <c r="DT68" s="143"/>
      <c r="DU68" s="143"/>
      <c r="DV68" s="143"/>
      <c r="DW68" s="148"/>
      <c r="DX68" s="143"/>
      <c r="DY68" s="149"/>
    </row>
    <row r="69" spans="1:129" ht="12.6" customHeight="1">
      <c r="A69" s="540"/>
      <c r="CW69" s="143"/>
      <c r="CX69" s="143"/>
      <c r="CY69" s="143"/>
      <c r="CZ69" s="143"/>
      <c r="DA69" s="143"/>
      <c r="DB69" s="143"/>
      <c r="DC69" s="143"/>
      <c r="DD69" s="143"/>
      <c r="DE69" s="143"/>
      <c r="DF69" s="143"/>
      <c r="DG69" s="143"/>
      <c r="DH69" s="143"/>
      <c r="DI69" s="143"/>
      <c r="DJ69" s="143"/>
      <c r="DK69" s="143"/>
      <c r="DL69" s="143"/>
      <c r="DM69" s="143"/>
      <c r="DN69" s="143"/>
      <c r="DO69" s="143"/>
      <c r="DP69" s="143"/>
      <c r="DQ69" s="143"/>
      <c r="DR69" s="143"/>
      <c r="DS69" s="143"/>
      <c r="DT69" s="143"/>
      <c r="DU69" s="143"/>
      <c r="DV69" s="143"/>
      <c r="DW69" s="148"/>
      <c r="DX69" s="143"/>
      <c r="DY69" s="149"/>
    </row>
    <row r="70" spans="1:129" ht="12.6" customHeight="1">
      <c r="A70" s="540"/>
      <c r="CW70" s="143"/>
      <c r="CX70" s="143"/>
      <c r="CY70" s="143"/>
      <c r="CZ70" s="143"/>
      <c r="DA70" s="143"/>
      <c r="DB70" s="143"/>
      <c r="DC70" s="143"/>
      <c r="DD70" s="143"/>
      <c r="DE70" s="143"/>
      <c r="DF70" s="143"/>
      <c r="DG70" s="143"/>
      <c r="DH70" s="143"/>
      <c r="DI70" s="143"/>
      <c r="DJ70" s="143"/>
      <c r="DK70" s="143"/>
      <c r="DL70" s="143"/>
      <c r="DM70" s="143"/>
      <c r="DN70" s="143"/>
      <c r="DO70" s="143"/>
      <c r="DP70" s="143"/>
      <c r="DQ70" s="143"/>
      <c r="DR70" s="143"/>
      <c r="DS70" s="143"/>
      <c r="DT70" s="143"/>
      <c r="DU70" s="143"/>
      <c r="DV70" s="143"/>
      <c r="DW70" s="148"/>
      <c r="DX70" s="143"/>
      <c r="DY70" s="149"/>
    </row>
    <row r="71" spans="1:129" ht="12.6" customHeight="1">
      <c r="A71" s="540"/>
      <c r="CW71" s="143"/>
      <c r="CX71" s="143"/>
      <c r="CY71" s="143"/>
      <c r="CZ71" s="143"/>
      <c r="DA71" s="143"/>
      <c r="DB71" s="143"/>
      <c r="DC71" s="143"/>
      <c r="DD71" s="143"/>
      <c r="DE71" s="143"/>
      <c r="DF71" s="143"/>
      <c r="DG71" s="143"/>
      <c r="DH71" s="143"/>
      <c r="DI71" s="143"/>
      <c r="DJ71" s="143"/>
      <c r="DK71" s="143"/>
      <c r="DL71" s="143"/>
      <c r="DM71" s="143"/>
      <c r="DN71" s="143"/>
      <c r="DO71" s="143"/>
      <c r="DP71" s="143"/>
      <c r="DQ71" s="143"/>
      <c r="DR71" s="143"/>
      <c r="DS71" s="143"/>
      <c r="DT71" s="143"/>
      <c r="DU71" s="143"/>
      <c r="DV71" s="143"/>
      <c r="DW71" s="148"/>
      <c r="DX71" s="143"/>
      <c r="DY71" s="149"/>
    </row>
    <row r="72" spans="1:129" ht="12.6" customHeight="1">
      <c r="A72" s="540"/>
      <c r="CW72" s="143"/>
      <c r="CX72" s="143"/>
      <c r="CY72" s="143"/>
      <c r="CZ72" s="143"/>
      <c r="DA72" s="143"/>
      <c r="DB72" s="143"/>
      <c r="DC72" s="143"/>
      <c r="DD72" s="143"/>
      <c r="DE72" s="143"/>
      <c r="DF72" s="143"/>
      <c r="DG72" s="143"/>
      <c r="DH72" s="143"/>
      <c r="DI72" s="143"/>
      <c r="DJ72" s="143"/>
      <c r="DK72" s="143"/>
      <c r="DL72" s="143"/>
      <c r="DM72" s="143"/>
      <c r="DN72" s="143"/>
      <c r="DO72" s="143"/>
      <c r="DP72" s="143"/>
      <c r="DQ72" s="143"/>
      <c r="DR72" s="143"/>
      <c r="DS72" s="143"/>
      <c r="DT72" s="143"/>
      <c r="DU72" s="143"/>
      <c r="DV72" s="143"/>
      <c r="DW72" s="148"/>
      <c r="DX72" s="143"/>
      <c r="DY72" s="149"/>
    </row>
    <row r="73" spans="1:129" ht="12.6" customHeight="1">
      <c r="A73" s="540"/>
      <c r="CW73" s="143"/>
      <c r="CX73" s="143"/>
      <c r="CY73" s="143"/>
      <c r="CZ73" s="143"/>
      <c r="DA73" s="143"/>
      <c r="DB73" s="143"/>
      <c r="DC73" s="143"/>
      <c r="DD73" s="143"/>
      <c r="DE73" s="143"/>
      <c r="DF73" s="143"/>
      <c r="DG73" s="143"/>
      <c r="DH73" s="143"/>
      <c r="DI73" s="143"/>
      <c r="DJ73" s="143"/>
      <c r="DK73" s="143"/>
      <c r="DL73" s="143"/>
      <c r="DM73" s="143"/>
      <c r="DN73" s="143"/>
      <c r="DO73" s="143"/>
      <c r="DP73" s="143"/>
      <c r="DQ73" s="143"/>
      <c r="DR73" s="143"/>
      <c r="DS73" s="143"/>
      <c r="DT73" s="143"/>
      <c r="DU73" s="143"/>
      <c r="DV73" s="143"/>
      <c r="DW73" s="148"/>
      <c r="DX73" s="143"/>
      <c r="DY73" s="149"/>
    </row>
    <row r="74" spans="1:129" ht="12.6" customHeight="1">
      <c r="A74" s="540"/>
      <c r="CW74" s="143"/>
      <c r="CX74" s="143"/>
      <c r="CY74" s="143"/>
      <c r="CZ74" s="143"/>
      <c r="DA74" s="143"/>
      <c r="DB74" s="143"/>
      <c r="DC74" s="143"/>
      <c r="DD74" s="143"/>
      <c r="DE74" s="143"/>
      <c r="DF74" s="143"/>
      <c r="DG74" s="143"/>
      <c r="DH74" s="143"/>
      <c r="DI74" s="143"/>
      <c r="DJ74" s="143"/>
      <c r="DK74" s="143"/>
      <c r="DL74" s="143"/>
      <c r="DM74" s="143"/>
      <c r="DN74" s="143"/>
      <c r="DO74" s="143"/>
      <c r="DP74" s="143"/>
      <c r="DQ74" s="143"/>
      <c r="DR74" s="143"/>
      <c r="DS74" s="143"/>
      <c r="DT74" s="143"/>
      <c r="DU74" s="143"/>
      <c r="DV74" s="143"/>
      <c r="DW74" s="148"/>
      <c r="DX74" s="143"/>
      <c r="DY74" s="149"/>
    </row>
    <row r="75" spans="1:129" ht="12.6" customHeight="1">
      <c r="A75" s="540"/>
      <c r="CW75" s="143"/>
      <c r="CX75" s="143"/>
      <c r="CY75" s="143"/>
      <c r="CZ75" s="143"/>
      <c r="DA75" s="143"/>
      <c r="DB75" s="143"/>
      <c r="DC75" s="143"/>
      <c r="DD75" s="143"/>
      <c r="DE75" s="143"/>
      <c r="DF75" s="143"/>
      <c r="DG75" s="143"/>
      <c r="DH75" s="143"/>
      <c r="DI75" s="143"/>
      <c r="DJ75" s="143"/>
      <c r="DK75" s="143"/>
      <c r="DL75" s="143"/>
      <c r="DM75" s="143"/>
      <c r="DN75" s="143"/>
      <c r="DO75" s="143"/>
      <c r="DP75" s="143"/>
      <c r="DQ75" s="143"/>
      <c r="DR75" s="143"/>
      <c r="DS75" s="143"/>
      <c r="DT75" s="143"/>
      <c r="DU75" s="143"/>
      <c r="DV75" s="143"/>
      <c r="DW75" s="148"/>
      <c r="DX75" s="143"/>
      <c r="DY75" s="149"/>
    </row>
    <row r="76" spans="1:129" ht="12.6" customHeight="1">
      <c r="A76" s="540"/>
      <c r="CW76" s="143"/>
      <c r="CX76" s="143"/>
      <c r="CY76" s="143"/>
      <c r="CZ76" s="143"/>
      <c r="DA76" s="143"/>
      <c r="DB76" s="143"/>
      <c r="DC76" s="143"/>
      <c r="DD76" s="143"/>
      <c r="DE76" s="143"/>
      <c r="DF76" s="143"/>
      <c r="DG76" s="143"/>
      <c r="DH76" s="143"/>
      <c r="DI76" s="143"/>
      <c r="DJ76" s="143"/>
      <c r="DK76" s="143"/>
      <c r="DL76" s="143"/>
      <c r="DM76" s="143"/>
      <c r="DN76" s="143"/>
      <c r="DO76" s="143"/>
      <c r="DP76" s="143"/>
      <c r="DQ76" s="143"/>
      <c r="DR76" s="143"/>
      <c r="DS76" s="143"/>
      <c r="DT76" s="143"/>
      <c r="DU76" s="143"/>
      <c r="DV76" s="143"/>
      <c r="DW76" s="148"/>
      <c r="DX76" s="143"/>
      <c r="DY76" s="149"/>
    </row>
    <row r="77" spans="1:129" ht="12.6" customHeight="1">
      <c r="A77" s="540"/>
      <c r="CW77" s="143"/>
      <c r="CX77" s="143"/>
      <c r="CY77" s="143"/>
      <c r="CZ77" s="143"/>
      <c r="DA77" s="143"/>
      <c r="DB77" s="143"/>
      <c r="DC77" s="143"/>
      <c r="DD77" s="143"/>
      <c r="DE77" s="143"/>
      <c r="DF77" s="143"/>
      <c r="DG77" s="143"/>
      <c r="DH77" s="143"/>
      <c r="DI77" s="143"/>
      <c r="DJ77" s="143"/>
      <c r="DK77" s="143"/>
      <c r="DL77" s="143"/>
      <c r="DM77" s="143"/>
      <c r="DN77" s="143"/>
      <c r="DO77" s="143"/>
      <c r="DP77" s="143"/>
      <c r="DQ77" s="143"/>
      <c r="DR77" s="143"/>
      <c r="DS77" s="143"/>
      <c r="DT77" s="143"/>
      <c r="DU77" s="143"/>
      <c r="DV77" s="143"/>
      <c r="DW77" s="148"/>
      <c r="DX77" s="143"/>
      <c r="DY77" s="149"/>
    </row>
    <row r="78" spans="1:129" ht="12.6" customHeight="1">
      <c r="A78" s="540"/>
      <c r="CW78" s="143"/>
      <c r="CX78" s="143"/>
      <c r="CY78" s="143"/>
      <c r="CZ78" s="143"/>
      <c r="DA78" s="143"/>
      <c r="DB78" s="143"/>
      <c r="DC78" s="143"/>
      <c r="DD78" s="143"/>
      <c r="DE78" s="143"/>
      <c r="DF78" s="143"/>
      <c r="DG78" s="143"/>
      <c r="DH78" s="143"/>
      <c r="DI78" s="143"/>
      <c r="DJ78" s="143"/>
      <c r="DK78" s="143"/>
      <c r="DL78" s="143"/>
      <c r="DM78" s="143"/>
      <c r="DN78" s="143"/>
      <c r="DO78" s="143"/>
      <c r="DP78" s="143"/>
      <c r="DQ78" s="143"/>
      <c r="DR78" s="143"/>
      <c r="DS78" s="143"/>
      <c r="DT78" s="143"/>
      <c r="DU78" s="143"/>
      <c r="DV78" s="143"/>
      <c r="DW78" s="148"/>
      <c r="DX78" s="143"/>
      <c r="DY78" s="149"/>
    </row>
    <row r="79" spans="1:129" ht="12.6" customHeight="1">
      <c r="A79" s="540"/>
      <c r="CW79" s="143"/>
      <c r="CX79" s="143"/>
      <c r="CY79" s="143"/>
      <c r="CZ79" s="143"/>
      <c r="DA79" s="143"/>
      <c r="DB79" s="143"/>
      <c r="DC79" s="143"/>
      <c r="DD79" s="143"/>
      <c r="DE79" s="143"/>
      <c r="DF79" s="143"/>
      <c r="DG79" s="143"/>
      <c r="DH79" s="143"/>
      <c r="DI79" s="143"/>
      <c r="DJ79" s="143"/>
      <c r="DK79" s="143"/>
      <c r="DL79" s="143"/>
      <c r="DM79" s="143"/>
      <c r="DN79" s="143"/>
      <c r="DO79" s="143"/>
      <c r="DP79" s="143"/>
      <c r="DQ79" s="143"/>
      <c r="DR79" s="143"/>
      <c r="DS79" s="143"/>
      <c r="DT79" s="143"/>
      <c r="DU79" s="143"/>
      <c r="DV79" s="143"/>
      <c r="DW79" s="148"/>
      <c r="DX79" s="143"/>
      <c r="DY79" s="149"/>
    </row>
    <row r="80" spans="1:129" ht="12.6" customHeight="1">
      <c r="A80" s="540"/>
      <c r="CW80" s="143"/>
      <c r="CX80" s="143"/>
      <c r="CY80" s="143"/>
      <c r="CZ80" s="143"/>
      <c r="DA80" s="143"/>
      <c r="DB80" s="143"/>
      <c r="DC80" s="143"/>
      <c r="DD80" s="143"/>
      <c r="DE80" s="143"/>
      <c r="DF80" s="143"/>
      <c r="DG80" s="143"/>
      <c r="DH80" s="143"/>
      <c r="DI80" s="143"/>
      <c r="DJ80" s="143"/>
      <c r="DK80" s="143"/>
      <c r="DL80" s="143"/>
      <c r="DM80" s="143"/>
      <c r="DN80" s="143"/>
      <c r="DO80" s="143"/>
      <c r="DP80" s="143"/>
      <c r="DQ80" s="143"/>
      <c r="DR80" s="143"/>
      <c r="DS80" s="143"/>
      <c r="DT80" s="143"/>
      <c r="DU80" s="143"/>
      <c r="DV80" s="143"/>
      <c r="DW80" s="148"/>
      <c r="DX80" s="143"/>
      <c r="DY80" s="149"/>
    </row>
    <row r="81" spans="1:129" ht="12.6" customHeight="1">
      <c r="A81" s="540"/>
      <c r="CW81" s="143"/>
      <c r="CX81" s="143"/>
      <c r="CY81" s="143"/>
      <c r="CZ81" s="143"/>
      <c r="DA81" s="143"/>
      <c r="DB81" s="143"/>
      <c r="DC81" s="143"/>
      <c r="DD81" s="143"/>
      <c r="DE81" s="143"/>
      <c r="DF81" s="143"/>
      <c r="DG81" s="143"/>
      <c r="DH81" s="143"/>
      <c r="DI81" s="143"/>
      <c r="DJ81" s="143"/>
      <c r="DK81" s="143"/>
      <c r="DL81" s="143"/>
      <c r="DM81" s="143"/>
      <c r="DN81" s="143"/>
      <c r="DO81" s="143"/>
      <c r="DP81" s="143"/>
      <c r="DQ81" s="143"/>
      <c r="DR81" s="143"/>
      <c r="DS81" s="143"/>
      <c r="DT81" s="143"/>
      <c r="DU81" s="143"/>
      <c r="DV81" s="143"/>
      <c r="DW81" s="148"/>
      <c r="DX81" s="143"/>
      <c r="DY81" s="149"/>
    </row>
    <row r="82" spans="1:129" ht="12.6" customHeight="1">
      <c r="A82" s="540"/>
      <c r="CW82" s="143"/>
      <c r="CX82" s="143"/>
      <c r="CY82" s="143"/>
      <c r="CZ82" s="143"/>
      <c r="DA82" s="143"/>
      <c r="DB82" s="143"/>
      <c r="DC82" s="143"/>
      <c r="DD82" s="143"/>
      <c r="DE82" s="143"/>
      <c r="DF82" s="143"/>
      <c r="DG82" s="143"/>
      <c r="DH82" s="143"/>
      <c r="DI82" s="143"/>
      <c r="DJ82" s="143"/>
      <c r="DK82" s="143"/>
      <c r="DL82" s="143"/>
      <c r="DM82" s="143"/>
      <c r="DN82" s="143"/>
      <c r="DO82" s="143"/>
      <c r="DP82" s="143"/>
      <c r="DQ82" s="143"/>
      <c r="DR82" s="143"/>
      <c r="DS82" s="143"/>
      <c r="DT82" s="143"/>
      <c r="DU82" s="143"/>
      <c r="DV82" s="143"/>
      <c r="DW82" s="148"/>
      <c r="DX82" s="143"/>
      <c r="DY82" s="149"/>
    </row>
    <row r="83" spans="1:129" ht="12.6" customHeight="1">
      <c r="A83" s="540"/>
      <c r="CW83" s="143"/>
      <c r="CX83" s="143"/>
      <c r="CY83" s="143"/>
      <c r="CZ83" s="143"/>
      <c r="DA83" s="143"/>
      <c r="DB83" s="143"/>
      <c r="DC83" s="143"/>
      <c r="DD83" s="143"/>
      <c r="DE83" s="143"/>
      <c r="DF83" s="143"/>
      <c r="DG83" s="143"/>
      <c r="DH83" s="143"/>
      <c r="DI83" s="143"/>
      <c r="DJ83" s="143"/>
      <c r="DK83" s="143"/>
      <c r="DL83" s="143"/>
      <c r="DM83" s="143"/>
      <c r="DN83" s="143"/>
      <c r="DO83" s="143"/>
      <c r="DP83" s="143"/>
      <c r="DQ83" s="143"/>
      <c r="DR83" s="143"/>
      <c r="DS83" s="143"/>
      <c r="DT83" s="143"/>
      <c r="DU83" s="143"/>
      <c r="DV83" s="143"/>
      <c r="DW83" s="148"/>
      <c r="DX83" s="143"/>
      <c r="DY83" s="149"/>
    </row>
    <row r="84" spans="1:129" ht="12.6" customHeight="1">
      <c r="A84" s="540"/>
      <c r="CW84" s="143"/>
      <c r="CX84" s="143"/>
      <c r="CY84" s="143"/>
      <c r="CZ84" s="143"/>
      <c r="DA84" s="143"/>
      <c r="DB84" s="143"/>
      <c r="DC84" s="143"/>
      <c r="DD84" s="143"/>
      <c r="DE84" s="143"/>
      <c r="DF84" s="143"/>
      <c r="DG84" s="143"/>
      <c r="DH84" s="143"/>
      <c r="DI84" s="143"/>
      <c r="DJ84" s="143"/>
      <c r="DK84" s="143"/>
      <c r="DL84" s="143"/>
      <c r="DM84" s="143"/>
      <c r="DN84" s="143"/>
      <c r="DO84" s="143"/>
      <c r="DP84" s="143"/>
      <c r="DQ84" s="143"/>
      <c r="DR84" s="143"/>
      <c r="DS84" s="143"/>
      <c r="DT84" s="143"/>
      <c r="DU84" s="143"/>
      <c r="DV84" s="143"/>
      <c r="DW84" s="148"/>
      <c r="DX84" s="143"/>
      <c r="DY84" s="149"/>
    </row>
    <row r="85" spans="1:129" ht="12.6" customHeight="1">
      <c r="A85" s="540"/>
      <c r="CW85" s="143"/>
      <c r="CX85" s="143"/>
      <c r="CY85" s="143"/>
      <c r="CZ85" s="143"/>
      <c r="DA85" s="143"/>
      <c r="DB85" s="143"/>
      <c r="DC85" s="143"/>
      <c r="DD85" s="143"/>
      <c r="DE85" s="143"/>
      <c r="DF85" s="143"/>
      <c r="DG85" s="143"/>
      <c r="DH85" s="143"/>
      <c r="DI85" s="143"/>
      <c r="DJ85" s="143"/>
      <c r="DK85" s="143"/>
      <c r="DL85" s="143"/>
      <c r="DM85" s="143"/>
      <c r="DN85" s="143"/>
      <c r="DO85" s="143"/>
      <c r="DP85" s="143"/>
      <c r="DQ85" s="143"/>
      <c r="DR85" s="143"/>
      <c r="DS85" s="143"/>
      <c r="DT85" s="143"/>
      <c r="DU85" s="143"/>
      <c r="DV85" s="143"/>
      <c r="DW85" s="148"/>
      <c r="DX85" s="143"/>
      <c r="DY85" s="149"/>
    </row>
    <row r="86" spans="1:129" ht="12.6" customHeight="1">
      <c r="A86" s="540"/>
      <c r="CW86" s="143"/>
      <c r="CX86" s="143"/>
      <c r="CY86" s="143"/>
      <c r="CZ86" s="143"/>
      <c r="DA86" s="143"/>
      <c r="DB86" s="143"/>
      <c r="DC86" s="143"/>
      <c r="DD86" s="143"/>
      <c r="DE86" s="143"/>
      <c r="DF86" s="143"/>
      <c r="DG86" s="143"/>
      <c r="DH86" s="143"/>
      <c r="DI86" s="143"/>
      <c r="DJ86" s="143"/>
      <c r="DK86" s="143"/>
      <c r="DL86" s="143"/>
      <c r="DM86" s="143"/>
      <c r="DN86" s="143"/>
      <c r="DO86" s="143"/>
      <c r="DP86" s="143"/>
      <c r="DQ86" s="143"/>
      <c r="DR86" s="143"/>
      <c r="DS86" s="143"/>
      <c r="DT86" s="143"/>
      <c r="DU86" s="143"/>
      <c r="DV86" s="143"/>
      <c r="DW86" s="148"/>
      <c r="DX86" s="143"/>
      <c r="DY86" s="149"/>
    </row>
    <row r="87" spans="1:129" ht="12.6" customHeight="1">
      <c r="A87" s="540"/>
      <c r="CW87" s="143"/>
      <c r="CX87" s="143"/>
      <c r="CY87" s="143"/>
      <c r="CZ87" s="143"/>
      <c r="DA87" s="143"/>
      <c r="DB87" s="143"/>
      <c r="DC87" s="143"/>
      <c r="DD87" s="143"/>
      <c r="DE87" s="143"/>
      <c r="DF87" s="143"/>
      <c r="DG87" s="143"/>
      <c r="DH87" s="143"/>
      <c r="DI87" s="143"/>
      <c r="DJ87" s="143"/>
      <c r="DK87" s="143"/>
      <c r="DL87" s="143"/>
      <c r="DM87" s="143"/>
      <c r="DN87" s="143"/>
      <c r="DO87" s="143"/>
      <c r="DP87" s="143"/>
      <c r="DQ87" s="143"/>
      <c r="DR87" s="143"/>
      <c r="DS87" s="143"/>
      <c r="DT87" s="143"/>
      <c r="DU87" s="143"/>
      <c r="DV87" s="143"/>
      <c r="DW87" s="148"/>
      <c r="DX87" s="143"/>
      <c r="DY87" s="149"/>
    </row>
    <row r="88" spans="1:129" ht="12.6" customHeight="1">
      <c r="A88" s="540"/>
      <c r="CW88" s="143"/>
      <c r="CX88" s="143"/>
      <c r="CY88" s="143"/>
      <c r="CZ88" s="143"/>
      <c r="DA88" s="143"/>
      <c r="DB88" s="143"/>
      <c r="DC88" s="143"/>
      <c r="DD88" s="143"/>
      <c r="DE88" s="143"/>
      <c r="DF88" s="143"/>
      <c r="DG88" s="143"/>
      <c r="DH88" s="143"/>
      <c r="DI88" s="143"/>
      <c r="DJ88" s="143"/>
      <c r="DK88" s="143"/>
      <c r="DL88" s="143"/>
      <c r="DM88" s="143"/>
      <c r="DN88" s="143"/>
      <c r="DO88" s="143"/>
      <c r="DP88" s="143"/>
      <c r="DQ88" s="143"/>
      <c r="DR88" s="143"/>
      <c r="DS88" s="143"/>
      <c r="DT88" s="143"/>
      <c r="DU88" s="143"/>
      <c r="DV88" s="143"/>
      <c r="DW88" s="148"/>
      <c r="DX88" s="143"/>
      <c r="DY88" s="149"/>
    </row>
    <row r="89" spans="1:129" ht="12.6" customHeight="1">
      <c r="A89" s="540"/>
      <c r="CW89" s="143"/>
      <c r="CX89" s="143"/>
      <c r="CY89" s="143"/>
      <c r="CZ89" s="143"/>
      <c r="DA89" s="143"/>
      <c r="DB89" s="143"/>
      <c r="DC89" s="143"/>
      <c r="DD89" s="143"/>
      <c r="DE89" s="143"/>
      <c r="DF89" s="143"/>
      <c r="DG89" s="143"/>
      <c r="DH89" s="143"/>
      <c r="DI89" s="143"/>
      <c r="DJ89" s="143"/>
      <c r="DK89" s="143"/>
      <c r="DL89" s="143"/>
      <c r="DM89" s="143"/>
      <c r="DN89" s="143"/>
      <c r="DO89" s="143"/>
      <c r="DP89" s="143"/>
      <c r="DQ89" s="143"/>
      <c r="DR89" s="143"/>
      <c r="DS89" s="143"/>
      <c r="DT89" s="143"/>
      <c r="DU89" s="143"/>
      <c r="DV89" s="143"/>
      <c r="DW89" s="148"/>
      <c r="DX89" s="143"/>
      <c r="DY89" s="149"/>
    </row>
    <row r="90" spans="1:129" ht="12.6" customHeight="1">
      <c r="A90" s="540"/>
      <c r="CW90" s="143"/>
      <c r="CX90" s="143"/>
      <c r="CY90" s="143"/>
      <c r="CZ90" s="143"/>
      <c r="DA90" s="143"/>
      <c r="DB90" s="143"/>
      <c r="DC90" s="143"/>
      <c r="DD90" s="143"/>
      <c r="DE90" s="143"/>
      <c r="DF90" s="143"/>
      <c r="DG90" s="143"/>
      <c r="DH90" s="143"/>
      <c r="DI90" s="143"/>
      <c r="DJ90" s="143"/>
      <c r="DK90" s="143"/>
      <c r="DL90" s="143"/>
      <c r="DM90" s="143"/>
      <c r="DN90" s="143"/>
      <c r="DO90" s="143"/>
      <c r="DP90" s="143"/>
      <c r="DQ90" s="143"/>
      <c r="DR90" s="143"/>
      <c r="DS90" s="143"/>
      <c r="DT90" s="143"/>
      <c r="DU90" s="143"/>
      <c r="DV90" s="143"/>
      <c r="DW90" s="148"/>
      <c r="DX90" s="143"/>
      <c r="DY90" s="149"/>
    </row>
    <row r="91" spans="1:129" ht="12.6" customHeight="1">
      <c r="A91" s="540"/>
      <c r="CW91" s="143"/>
      <c r="CX91" s="143"/>
      <c r="CY91" s="143"/>
      <c r="CZ91" s="143"/>
      <c r="DA91" s="143"/>
      <c r="DB91" s="143"/>
      <c r="DC91" s="143"/>
      <c r="DD91" s="143"/>
      <c r="DE91" s="143"/>
      <c r="DF91" s="143"/>
      <c r="DG91" s="143"/>
      <c r="DH91" s="143"/>
      <c r="DI91" s="143"/>
      <c r="DJ91" s="143"/>
      <c r="DK91" s="143"/>
      <c r="DL91" s="143"/>
      <c r="DM91" s="143"/>
      <c r="DN91" s="143"/>
      <c r="DO91" s="143"/>
      <c r="DP91" s="143"/>
      <c r="DQ91" s="143"/>
      <c r="DR91" s="143"/>
      <c r="DS91" s="143"/>
      <c r="DT91" s="143"/>
      <c r="DU91" s="143"/>
      <c r="DV91" s="143"/>
      <c r="DW91" s="148"/>
      <c r="DX91" s="143"/>
      <c r="DY91" s="149"/>
    </row>
    <row r="92" spans="1:129" ht="12.6" customHeight="1">
      <c r="A92" s="540"/>
      <c r="CW92" s="143"/>
      <c r="CX92" s="143"/>
      <c r="CY92" s="143"/>
      <c r="CZ92" s="143"/>
      <c r="DA92" s="143"/>
      <c r="DB92" s="143"/>
      <c r="DC92" s="143"/>
      <c r="DD92" s="143"/>
      <c r="DE92" s="143"/>
      <c r="DF92" s="143"/>
      <c r="DG92" s="143"/>
      <c r="DH92" s="143"/>
      <c r="DI92" s="143"/>
      <c r="DJ92" s="143"/>
      <c r="DK92" s="143"/>
      <c r="DL92" s="143"/>
      <c r="DM92" s="143"/>
      <c r="DN92" s="143"/>
      <c r="DO92" s="143"/>
      <c r="DP92" s="143"/>
      <c r="DQ92" s="143"/>
      <c r="DR92" s="143"/>
      <c r="DS92" s="143"/>
      <c r="DT92" s="143"/>
      <c r="DU92" s="143"/>
      <c r="DV92" s="143"/>
      <c r="DW92" s="148"/>
      <c r="DX92" s="143"/>
      <c r="DY92" s="149"/>
    </row>
    <row r="93" spans="1:129" ht="12.6" customHeight="1">
      <c r="A93" s="540"/>
      <c r="CW93" s="143"/>
      <c r="CX93" s="143"/>
      <c r="CY93" s="143"/>
      <c r="CZ93" s="143"/>
      <c r="DA93" s="143"/>
      <c r="DB93" s="143"/>
      <c r="DC93" s="143"/>
      <c r="DD93" s="143"/>
      <c r="DE93" s="143"/>
      <c r="DF93" s="143"/>
      <c r="DG93" s="143"/>
      <c r="DH93" s="143"/>
      <c r="DI93" s="143"/>
      <c r="DJ93" s="143"/>
      <c r="DK93" s="143"/>
      <c r="DL93" s="143"/>
      <c r="DM93" s="143"/>
      <c r="DN93" s="143"/>
      <c r="DO93" s="143"/>
      <c r="DP93" s="143"/>
      <c r="DQ93" s="143"/>
      <c r="DR93" s="143"/>
      <c r="DS93" s="143"/>
      <c r="DT93" s="143"/>
      <c r="DU93" s="143"/>
      <c r="DV93" s="143"/>
      <c r="DW93" s="148"/>
      <c r="DX93" s="143"/>
      <c r="DY93" s="149"/>
    </row>
    <row r="94" spans="1:129" ht="12.6" customHeight="1">
      <c r="A94" s="540"/>
      <c r="CW94" s="143"/>
      <c r="CX94" s="143"/>
      <c r="CY94" s="143"/>
      <c r="CZ94" s="143"/>
      <c r="DA94" s="143"/>
      <c r="DB94" s="143"/>
      <c r="DC94" s="143"/>
      <c r="DD94" s="143"/>
      <c r="DE94" s="143"/>
      <c r="DF94" s="143"/>
      <c r="DG94" s="143"/>
      <c r="DH94" s="143"/>
      <c r="DI94" s="143"/>
      <c r="DJ94" s="143"/>
      <c r="DK94" s="143"/>
      <c r="DL94" s="143"/>
      <c r="DM94" s="143"/>
      <c r="DN94" s="143"/>
      <c r="DO94" s="143"/>
      <c r="DP94" s="143"/>
      <c r="DQ94" s="143"/>
      <c r="DR94" s="143"/>
      <c r="DS94" s="143"/>
      <c r="DT94" s="143"/>
      <c r="DU94" s="143"/>
      <c r="DV94" s="143"/>
      <c r="DW94" s="148"/>
      <c r="DX94" s="143"/>
      <c r="DY94" s="149"/>
    </row>
    <row r="95" spans="1:129" ht="12.6" customHeight="1">
      <c r="A95" s="540"/>
      <c r="CW95" s="143"/>
      <c r="CX95" s="143"/>
      <c r="CY95" s="143"/>
      <c r="CZ95" s="143"/>
      <c r="DA95" s="143"/>
      <c r="DB95" s="143"/>
      <c r="DC95" s="143"/>
      <c r="DD95" s="143"/>
      <c r="DE95" s="143"/>
      <c r="DF95" s="143"/>
      <c r="DG95" s="143"/>
      <c r="DH95" s="143"/>
      <c r="DI95" s="143"/>
      <c r="DJ95" s="143"/>
      <c r="DK95" s="143"/>
      <c r="DL95" s="143"/>
      <c r="DM95" s="143"/>
      <c r="DN95" s="143"/>
      <c r="DO95" s="143"/>
      <c r="DP95" s="143"/>
      <c r="DQ95" s="143"/>
      <c r="DR95" s="143"/>
      <c r="DS95" s="143"/>
      <c r="DT95" s="143"/>
      <c r="DU95" s="143"/>
      <c r="DV95" s="143"/>
      <c r="DW95" s="148"/>
      <c r="DX95" s="143"/>
      <c r="DY95" s="149"/>
    </row>
    <row r="96" spans="1:129" ht="12.6" customHeight="1">
      <c r="A96" s="540"/>
      <c r="CW96" s="143"/>
      <c r="CX96" s="143"/>
      <c r="CY96" s="143"/>
      <c r="CZ96" s="143"/>
      <c r="DA96" s="143"/>
      <c r="DB96" s="143"/>
      <c r="DC96" s="143"/>
      <c r="DD96" s="143"/>
      <c r="DE96" s="143"/>
      <c r="DF96" s="143"/>
      <c r="DG96" s="143"/>
      <c r="DH96" s="143"/>
      <c r="DI96" s="143"/>
      <c r="DJ96" s="143"/>
      <c r="DK96" s="143"/>
      <c r="DL96" s="143"/>
      <c r="DM96" s="143"/>
      <c r="DN96" s="143"/>
      <c r="DO96" s="143"/>
      <c r="DP96" s="143"/>
      <c r="DQ96" s="143"/>
      <c r="DR96" s="143"/>
      <c r="DS96" s="143"/>
      <c r="DT96" s="143"/>
      <c r="DU96" s="143"/>
      <c r="DV96" s="143"/>
      <c r="DW96" s="148"/>
      <c r="DX96" s="143"/>
      <c r="DY96" s="149"/>
    </row>
    <row r="97" spans="1:129" ht="12.6" customHeight="1">
      <c r="A97" s="540"/>
      <c r="CW97" s="143"/>
      <c r="CX97" s="143"/>
      <c r="CY97" s="143"/>
      <c r="CZ97" s="143"/>
      <c r="DA97" s="143"/>
      <c r="DB97" s="143"/>
      <c r="DC97" s="143"/>
      <c r="DD97" s="143"/>
      <c r="DE97" s="143"/>
      <c r="DF97" s="143"/>
      <c r="DG97" s="143"/>
      <c r="DH97" s="143"/>
      <c r="DI97" s="143"/>
      <c r="DJ97" s="143"/>
      <c r="DK97" s="143"/>
      <c r="DL97" s="143"/>
      <c r="DM97" s="143"/>
      <c r="DN97" s="143"/>
      <c r="DO97" s="143"/>
      <c r="DP97" s="143"/>
      <c r="DQ97" s="143"/>
      <c r="DR97" s="143"/>
      <c r="DS97" s="143"/>
      <c r="DT97" s="143"/>
      <c r="DU97" s="143"/>
      <c r="DV97" s="143"/>
      <c r="DW97" s="148"/>
      <c r="DX97" s="143"/>
      <c r="DY97" s="149"/>
    </row>
    <row r="98" spans="1:129" ht="12.6" customHeight="1">
      <c r="A98" s="540"/>
      <c r="CW98" s="143"/>
      <c r="CX98" s="143"/>
      <c r="CY98" s="143"/>
      <c r="CZ98" s="143"/>
      <c r="DA98" s="143"/>
      <c r="DB98" s="143"/>
      <c r="DC98" s="143"/>
      <c r="DD98" s="143"/>
      <c r="DE98" s="143"/>
      <c r="DF98" s="143"/>
      <c r="DG98" s="143"/>
      <c r="DH98" s="143"/>
      <c r="DI98" s="143"/>
      <c r="DJ98" s="143"/>
      <c r="DK98" s="143"/>
      <c r="DL98" s="143"/>
      <c r="DM98" s="143"/>
      <c r="DN98" s="143"/>
      <c r="DO98" s="143"/>
      <c r="DP98" s="143"/>
      <c r="DQ98" s="143"/>
      <c r="DR98" s="143"/>
      <c r="DS98" s="143"/>
      <c r="DT98" s="143"/>
      <c r="DU98" s="143"/>
      <c r="DV98" s="143"/>
      <c r="DW98" s="148"/>
      <c r="DX98" s="143"/>
      <c r="DY98" s="149"/>
    </row>
    <row r="99" spans="1:129" ht="12.6" customHeight="1">
      <c r="A99" s="540"/>
      <c r="CW99" s="143"/>
      <c r="CX99" s="143"/>
      <c r="CY99" s="143"/>
      <c r="CZ99" s="143"/>
      <c r="DA99" s="143"/>
      <c r="DB99" s="143"/>
      <c r="DC99" s="143"/>
      <c r="DD99" s="143"/>
      <c r="DE99" s="143"/>
      <c r="DF99" s="143"/>
      <c r="DG99" s="143"/>
      <c r="DH99" s="143"/>
      <c r="DI99" s="143"/>
      <c r="DJ99" s="143"/>
      <c r="DK99" s="143"/>
      <c r="DL99" s="143"/>
      <c r="DM99" s="143"/>
      <c r="DN99" s="143"/>
      <c r="DO99" s="143"/>
      <c r="DP99" s="143"/>
      <c r="DQ99" s="143"/>
      <c r="DR99" s="143"/>
      <c r="DS99" s="143"/>
      <c r="DT99" s="143"/>
      <c r="DU99" s="143"/>
      <c r="DV99" s="143"/>
      <c r="DW99" s="148"/>
      <c r="DX99" s="143"/>
      <c r="DY99" s="149"/>
    </row>
  </sheetData>
  <mergeCells count="13">
    <mergeCell ref="C57:G59"/>
    <mergeCell ref="L5:L6"/>
    <mergeCell ref="M5:M6"/>
    <mergeCell ref="N5:N6"/>
    <mergeCell ref="O5:O6"/>
    <mergeCell ref="D9:F9"/>
    <mergeCell ref="D8:F8"/>
    <mergeCell ref="D14:F14"/>
    <mergeCell ref="D13:F13"/>
    <mergeCell ref="D12:F12"/>
    <mergeCell ref="D11:F11"/>
    <mergeCell ref="D10:F10"/>
    <mergeCell ref="C19:G21"/>
  </mergeCells>
  <phoneticPr fontId="136" type="noConversion"/>
  <conditionalFormatting sqref="G9:I14 C19:G21 D24 C28:F28 N28 C31:F33 N31:N33 I37 M37:N37 C44:E51 C57:G59">
    <cfRule type="containsBlanks" dxfId="7" priority="1">
      <formula>LEN(TRIM(C9))=0</formula>
    </cfRule>
  </conditionalFormatting>
  <dataValidations count="2">
    <dataValidation type="list" allowBlank="1" showInputMessage="1" sqref="H9:H14" xr:uid="{72EC19BA-AE5E-4976-8927-F8195E1F51DF}">
      <formula1>"是,否"</formula1>
    </dataValidation>
    <dataValidation type="list" allowBlank="1" showInputMessage="1" sqref="I9:I14" xr:uid="{26FDBB8C-0D3A-475F-82CE-2514235AF4E4}">
      <formula1>"是,不适用"</formula1>
    </dataValidation>
  </dataValidations>
  <hyperlinks>
    <hyperlink ref="J2" location="汇总!A1" display="返回汇总页" xr:uid="{00000000-0004-0000-0D00-000000000000}"/>
  </hyperlinks>
  <pageMargins left="0.74791660000000004" right="0.74791660000000004" top="0.98402780000000001" bottom="0.98402780000000001" header="0.51180550000000002" footer="0.51180550000000002"/>
  <pageSetup paperSize="9" orientation="portrait" errors="blank"/>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EA113"/>
  <sheetViews>
    <sheetView showGridLines="0" zoomScale="70" zoomScaleNormal="70" workbookViewId="0">
      <selection activeCell="S20" sqref="S20"/>
    </sheetView>
  </sheetViews>
  <sheetFormatPr defaultColWidth="9.5703125" defaultRowHeight="12.75" outlineLevelRow="1" outlineLevelCol="1"/>
  <cols>
    <col min="1" max="1" width="0.140625" style="164" customWidth="1"/>
    <col min="2" max="2" width="5" style="19" customWidth="1"/>
    <col min="3" max="3" width="22" style="19" customWidth="1"/>
    <col min="4" max="4" width="37.42578125" style="19" customWidth="1"/>
    <col min="5" max="5" width="19" style="19" customWidth="1"/>
    <col min="6" max="6" width="29" style="19" customWidth="1"/>
    <col min="7" max="7" width="17.42578125" style="19" customWidth="1"/>
    <col min="8" max="8" width="18.28515625" style="19" customWidth="1"/>
    <col min="9" max="9" width="21.28515625" style="19" customWidth="1"/>
    <col min="10" max="10" width="26.7109375" style="19" customWidth="1"/>
    <col min="11" max="11" width="22.7109375" style="19" customWidth="1" outlineLevel="1"/>
    <col min="12" max="12" width="12" style="19" customWidth="1" outlineLevel="1"/>
    <col min="13" max="13" width="11.42578125" style="19" customWidth="1"/>
    <col min="14" max="14" width="16.7109375" style="19" customWidth="1"/>
    <col min="15" max="16" width="13.85546875" style="19" customWidth="1"/>
    <col min="17" max="18" width="11.7109375" style="19" customWidth="1"/>
    <col min="19" max="19" width="23.140625" style="19" customWidth="1"/>
    <col min="20" max="20" width="10.7109375" style="19" customWidth="1"/>
    <col min="21" max="25" width="8.7109375" style="19" customWidth="1"/>
    <col min="26" max="27" width="12.140625" style="19" customWidth="1"/>
    <col min="28" max="31" width="8.7109375" style="19" customWidth="1"/>
    <col min="32" max="32" width="16" style="19" customWidth="1"/>
    <col min="33" max="33" width="9.5703125" style="19"/>
    <col min="34" max="34" width="7.7109375" style="19" customWidth="1"/>
    <col min="35" max="36" width="13.28515625" style="19" customWidth="1"/>
    <col min="37" max="37" width="10.42578125" style="19" customWidth="1"/>
    <col min="38" max="38" width="11.7109375" style="19" customWidth="1"/>
    <col min="39" max="39" width="7.5703125" style="19" customWidth="1"/>
    <col min="40" max="40" width="8.85546875" style="19" customWidth="1"/>
    <col min="41" max="16384" width="9.5703125" style="19"/>
  </cols>
  <sheetData>
    <row r="1" spans="1:129" ht="12" customHeight="1">
      <c r="A1" s="540" t="s">
        <v>311</v>
      </c>
      <c r="CW1" s="141"/>
      <c r="CX1" s="6"/>
      <c r="CY1" s="6"/>
      <c r="CZ1" s="142"/>
      <c r="DA1" s="143"/>
      <c r="DB1" s="143"/>
      <c r="DC1" s="143"/>
      <c r="DD1" s="143"/>
      <c r="DE1" s="143"/>
      <c r="DF1" s="143"/>
      <c r="DG1" s="143"/>
      <c r="DH1" s="6"/>
      <c r="DI1" s="143"/>
      <c r="DJ1" s="143"/>
      <c r="DK1" s="143"/>
      <c r="DL1" s="143"/>
      <c r="DM1" s="143"/>
      <c r="DN1" s="143"/>
      <c r="DO1" s="6"/>
      <c r="DP1" s="144"/>
      <c r="DQ1" s="145"/>
      <c r="DR1" s="146"/>
      <c r="DS1" s="146"/>
      <c r="DT1" s="6"/>
      <c r="DU1" s="143"/>
      <c r="DV1" s="147"/>
      <c r="DW1" s="148"/>
      <c r="DX1" s="143"/>
      <c r="DY1" s="149"/>
    </row>
    <row r="2" spans="1:129" s="9" customFormat="1" ht="19.5" customHeight="1">
      <c r="A2" s="539"/>
      <c r="C2" s="473"/>
      <c r="J2" s="48" t="s">
        <v>108</v>
      </c>
    </row>
    <row r="3" spans="1:129" ht="12.6" customHeight="1" thickBot="1">
      <c r="A3" s="540"/>
      <c r="CR3" s="143"/>
      <c r="CS3" s="6"/>
      <c r="CT3" s="6"/>
      <c r="CU3" s="143"/>
      <c r="CV3" s="143"/>
      <c r="CW3" s="143"/>
      <c r="CX3" s="143"/>
      <c r="CY3" s="143"/>
      <c r="CZ3" s="143"/>
      <c r="DA3" s="143"/>
      <c r="DB3" s="143"/>
      <c r="DC3" s="6"/>
      <c r="DD3" s="143"/>
      <c r="DE3" s="143"/>
      <c r="DF3" s="143"/>
      <c r="DG3" s="143"/>
      <c r="DH3" s="143"/>
      <c r="DI3" s="6"/>
      <c r="DJ3" s="6"/>
      <c r="DK3" s="6"/>
      <c r="DL3" s="6"/>
      <c r="DM3" s="6"/>
      <c r="DN3" s="6"/>
      <c r="DO3" s="6"/>
      <c r="DP3" s="6"/>
      <c r="DQ3" s="6"/>
      <c r="DR3" s="150"/>
      <c r="DS3" s="143"/>
      <c r="DT3" s="149"/>
    </row>
    <row r="4" spans="1:129" ht="21">
      <c r="A4" s="540"/>
      <c r="C4" s="757" t="s">
        <v>159</v>
      </c>
      <c r="D4" s="758"/>
      <c r="E4" s="758"/>
      <c r="F4" s="758"/>
      <c r="G4" s="758"/>
      <c r="H4" s="758"/>
      <c r="I4" s="758"/>
      <c r="J4" s="759"/>
      <c r="K4" s="151"/>
      <c r="L4" s="151"/>
      <c r="M4" s="151"/>
      <c r="CT4" s="6"/>
      <c r="CU4" s="6"/>
      <c r="CV4" s="6"/>
      <c r="CW4" s="143"/>
      <c r="CX4" s="143"/>
      <c r="CY4" s="143"/>
      <c r="CZ4" s="143"/>
      <c r="DA4" s="143"/>
      <c r="DB4" s="143"/>
      <c r="DC4" s="143"/>
      <c r="DD4" s="143"/>
      <c r="DE4" s="6"/>
      <c r="DF4" s="143"/>
      <c r="DG4" s="143"/>
      <c r="DH4" s="143"/>
      <c r="DI4" s="143"/>
      <c r="DJ4" s="143"/>
      <c r="DK4" s="6"/>
      <c r="DL4" s="6"/>
      <c r="DM4" s="6"/>
      <c r="DN4" s="6"/>
      <c r="DO4" s="6"/>
      <c r="DP4" s="6"/>
      <c r="DQ4" s="6"/>
      <c r="DR4" s="6"/>
      <c r="DS4" s="6"/>
      <c r="DT4" s="150"/>
      <c r="DU4" s="6"/>
      <c r="DV4" s="6"/>
    </row>
    <row r="5" spans="1:129" ht="16.5" customHeight="1">
      <c r="A5" s="540"/>
      <c r="C5" s="49" t="s">
        <v>312</v>
      </c>
      <c r="D5" s="152"/>
      <c r="E5" s="152"/>
      <c r="F5" s="152"/>
      <c r="G5" s="152"/>
      <c r="H5" s="152"/>
      <c r="I5" s="152"/>
      <c r="J5" s="153"/>
      <c r="K5" s="151"/>
      <c r="L5" s="843"/>
      <c r="M5" s="843"/>
      <c r="N5" s="843"/>
      <c r="O5" s="842"/>
      <c r="CT5" s="6"/>
      <c r="CU5" s="6"/>
      <c r="CV5" s="154"/>
      <c r="CW5" s="143"/>
      <c r="CX5" s="143"/>
      <c r="CY5" s="143"/>
      <c r="CZ5" s="143"/>
      <c r="DA5" s="143"/>
      <c r="DB5" s="143"/>
      <c r="DC5" s="143"/>
      <c r="DD5" s="143"/>
      <c r="DE5" s="6"/>
      <c r="DF5" s="143"/>
      <c r="DG5" s="143"/>
      <c r="DH5" s="143"/>
      <c r="DI5" s="143"/>
      <c r="DJ5" s="143"/>
      <c r="DK5" s="6"/>
      <c r="DL5" s="6"/>
      <c r="DM5" s="6"/>
      <c r="DN5" s="6"/>
      <c r="DO5" s="6"/>
      <c r="DP5" s="6"/>
      <c r="DQ5" s="6"/>
      <c r="DR5" s="6"/>
      <c r="DS5" s="6"/>
      <c r="DT5" s="150"/>
      <c r="DU5" s="6"/>
      <c r="DV5" s="6"/>
    </row>
    <row r="6" spans="1:129" ht="16.5" customHeight="1">
      <c r="A6" s="540"/>
      <c r="C6" s="49" t="s">
        <v>194</v>
      </c>
      <c r="D6" s="152"/>
      <c r="E6" s="152"/>
      <c r="F6" s="152"/>
      <c r="G6" s="152"/>
      <c r="H6" s="152"/>
      <c r="I6" s="152"/>
      <c r="J6" s="153"/>
      <c r="K6" s="151"/>
      <c r="L6" s="843"/>
      <c r="M6" s="843"/>
      <c r="N6" s="843"/>
      <c r="O6" s="842"/>
      <c r="CT6" s="6"/>
      <c r="CU6" s="154"/>
      <c r="CV6" s="154"/>
      <c r="CW6" s="143"/>
      <c r="CX6" s="143"/>
      <c r="CY6" s="143"/>
      <c r="CZ6" s="143"/>
      <c r="DA6" s="143"/>
      <c r="DB6" s="143"/>
      <c r="DC6" s="143"/>
      <c r="DD6" s="143"/>
      <c r="DE6" s="154"/>
      <c r="DF6" s="143"/>
      <c r="DG6" s="143"/>
      <c r="DH6" s="143"/>
      <c r="DI6" s="143"/>
      <c r="DJ6" s="143"/>
      <c r="DK6" s="154"/>
      <c r="DL6" s="6"/>
      <c r="DM6" s="6"/>
      <c r="DN6" s="6"/>
      <c r="DO6" s="6"/>
      <c r="DP6" s="6"/>
      <c r="DQ6" s="154"/>
      <c r="DR6" s="154"/>
      <c r="DS6" s="154"/>
      <c r="DT6" s="155"/>
      <c r="DU6" s="6"/>
      <c r="DV6" s="6"/>
    </row>
    <row r="7" spans="1:129" ht="12.6" customHeight="1">
      <c r="A7" s="540"/>
      <c r="C7" s="49"/>
      <c r="D7" s="152"/>
      <c r="E7" s="152"/>
      <c r="F7" s="152"/>
      <c r="G7" s="152"/>
      <c r="H7" s="152"/>
      <c r="I7" s="152"/>
      <c r="J7" s="153"/>
      <c r="K7" s="151"/>
      <c r="L7" s="353"/>
      <c r="M7" s="156"/>
      <c r="N7" s="156"/>
      <c r="O7" s="156"/>
      <c r="CT7" s="6"/>
      <c r="CU7" s="154"/>
      <c r="CV7" s="154"/>
      <c r="CW7" s="143"/>
      <c r="CX7" s="143"/>
      <c r="CY7" s="143"/>
      <c r="CZ7" s="143"/>
      <c r="DA7" s="143"/>
      <c r="DB7" s="143"/>
      <c r="DC7" s="143"/>
      <c r="DD7" s="143"/>
      <c r="DE7" s="154"/>
      <c r="DF7" s="143"/>
      <c r="DG7" s="143"/>
      <c r="DH7" s="143"/>
      <c r="DI7" s="143"/>
      <c r="DJ7" s="143"/>
      <c r="DK7" s="154"/>
      <c r="DL7" s="6"/>
      <c r="DM7" s="6"/>
      <c r="DN7" s="6"/>
      <c r="DO7" s="6"/>
      <c r="DP7" s="6"/>
      <c r="DQ7" s="154"/>
      <c r="DR7" s="154"/>
      <c r="DS7" s="154"/>
      <c r="DT7" s="155"/>
      <c r="DU7" s="6"/>
      <c r="DV7" s="6"/>
    </row>
    <row r="8" spans="1:129" ht="21">
      <c r="A8" s="540"/>
      <c r="C8" s="513" t="s">
        <v>111</v>
      </c>
      <c r="D8" s="845" t="s">
        <v>112</v>
      </c>
      <c r="E8" s="845"/>
      <c r="F8" s="845"/>
      <c r="G8" s="157" t="s">
        <v>113</v>
      </c>
      <c r="H8" s="507" t="s">
        <v>114</v>
      </c>
      <c r="I8" s="507" t="s">
        <v>115</v>
      </c>
      <c r="J8" s="514" t="s">
        <v>116</v>
      </c>
      <c r="K8" s="158"/>
      <c r="L8" s="151"/>
      <c r="M8" s="151"/>
      <c r="N8" s="151"/>
      <c r="CU8" s="7"/>
      <c r="CV8" s="7"/>
      <c r="CW8" s="7"/>
      <c r="CX8" s="143"/>
      <c r="CY8" s="143"/>
      <c r="CZ8" s="143"/>
      <c r="DA8" s="143"/>
      <c r="DB8" s="143"/>
      <c r="DC8" s="143"/>
      <c r="DD8" s="143"/>
      <c r="DE8" s="143"/>
      <c r="DF8" s="7"/>
      <c r="DG8" s="143"/>
      <c r="DH8" s="143"/>
      <c r="DI8" s="143"/>
      <c r="DJ8" s="143"/>
      <c r="DK8" s="143"/>
      <c r="DL8" s="7"/>
      <c r="DM8" s="154"/>
      <c r="DN8" s="154"/>
      <c r="DO8" s="154"/>
      <c r="DP8" s="154"/>
      <c r="DQ8" s="154"/>
      <c r="DR8" s="7"/>
      <c r="DS8" s="7"/>
      <c r="DT8" s="7"/>
      <c r="DU8" s="155"/>
      <c r="DV8" s="7"/>
      <c r="DW8" s="159"/>
    </row>
    <row r="9" spans="1:129" ht="21" outlineLevel="1">
      <c r="A9" s="660"/>
      <c r="C9" s="515">
        <v>1</v>
      </c>
      <c r="D9" s="844" t="s">
        <v>313</v>
      </c>
      <c r="E9" s="844"/>
      <c r="F9" s="844"/>
      <c r="G9" s="560" t="s">
        <v>163</v>
      </c>
      <c r="H9" s="508" t="s">
        <v>119</v>
      </c>
      <c r="I9" s="509"/>
      <c r="J9" s="516"/>
      <c r="K9" s="158"/>
      <c r="L9" s="158"/>
      <c r="M9" s="160"/>
      <c r="N9" s="160"/>
      <c r="O9" s="160"/>
      <c r="CV9" s="154"/>
      <c r="CW9" s="7"/>
      <c r="CX9" s="154"/>
      <c r="CY9" s="143"/>
      <c r="CZ9" s="143"/>
      <c r="DA9" s="143"/>
      <c r="DB9" s="143"/>
      <c r="DC9" s="143"/>
      <c r="DD9" s="143"/>
      <c r="DE9" s="143"/>
      <c r="DF9" s="143"/>
      <c r="DG9" s="7"/>
      <c r="DH9" s="143"/>
      <c r="DI9" s="143"/>
      <c r="DJ9" s="143"/>
      <c r="DK9" s="143"/>
      <c r="DL9" s="143"/>
      <c r="DM9" s="7"/>
      <c r="DN9" s="7"/>
      <c r="DO9" s="7"/>
      <c r="DP9" s="7"/>
      <c r="DQ9" s="7"/>
      <c r="DR9" s="7"/>
      <c r="DS9" s="7"/>
      <c r="DT9" s="7"/>
      <c r="DU9" s="7"/>
      <c r="DV9" s="155"/>
      <c r="DW9" s="154"/>
      <c r="DX9" s="8"/>
    </row>
    <row r="10" spans="1:129" ht="60.75" customHeight="1" outlineLevel="1">
      <c r="A10" s="660"/>
      <c r="C10" s="515">
        <v>2</v>
      </c>
      <c r="D10" s="844" t="s">
        <v>164</v>
      </c>
      <c r="E10" s="844"/>
      <c r="F10" s="844"/>
      <c r="G10" s="560" t="s">
        <v>163</v>
      </c>
      <c r="H10" s="508" t="s">
        <v>119</v>
      </c>
      <c r="I10" s="509"/>
      <c r="J10" s="516"/>
      <c r="K10" s="158"/>
      <c r="L10" s="158"/>
      <c r="M10" s="160"/>
      <c r="N10" s="160"/>
      <c r="O10" s="160"/>
      <c r="CV10" s="154"/>
      <c r="CW10" s="7"/>
      <c r="CX10" s="154"/>
      <c r="CY10" s="143"/>
      <c r="CZ10" s="143"/>
      <c r="DA10" s="143"/>
      <c r="DB10" s="143"/>
      <c r="DC10" s="143"/>
      <c r="DD10" s="143"/>
      <c r="DE10" s="143"/>
      <c r="DF10" s="143"/>
      <c r="DG10" s="7"/>
      <c r="DH10" s="143"/>
      <c r="DI10" s="143"/>
      <c r="DJ10" s="143"/>
      <c r="DK10" s="143"/>
      <c r="DL10" s="143"/>
      <c r="DM10" s="7"/>
      <c r="DN10" s="7"/>
      <c r="DO10" s="7"/>
      <c r="DP10" s="7"/>
      <c r="DQ10" s="7"/>
      <c r="DR10" s="7"/>
      <c r="DS10" s="7"/>
      <c r="DT10" s="7"/>
      <c r="DU10" s="7"/>
      <c r="DV10" s="155"/>
      <c r="DW10" s="154"/>
      <c r="DX10" s="8"/>
    </row>
    <row r="11" spans="1:129" ht="40.5" customHeight="1" outlineLevel="1">
      <c r="A11" s="660"/>
      <c r="C11" s="515">
        <v>3</v>
      </c>
      <c r="D11" s="844" t="s">
        <v>196</v>
      </c>
      <c r="E11" s="844"/>
      <c r="F11" s="844"/>
      <c r="G11" s="560" t="s">
        <v>163</v>
      </c>
      <c r="H11" s="508" t="s">
        <v>119</v>
      </c>
      <c r="I11" s="509"/>
      <c r="J11" s="516"/>
      <c r="K11" s="158"/>
      <c r="L11" s="158"/>
      <c r="M11" s="151"/>
      <c r="N11" s="151"/>
      <c r="O11" s="151"/>
      <c r="CV11" s="7"/>
      <c r="CW11" s="154"/>
      <c r="CX11" s="162"/>
      <c r="CY11" s="143"/>
      <c r="CZ11" s="143"/>
      <c r="DA11" s="143"/>
      <c r="DB11" s="143"/>
      <c r="DC11" s="143"/>
      <c r="DD11" s="143"/>
      <c r="DE11" s="143"/>
      <c r="DF11" s="143"/>
      <c r="DG11" s="154"/>
      <c r="DH11" s="143"/>
      <c r="DI11" s="143"/>
      <c r="DJ11" s="143"/>
      <c r="DK11" s="143"/>
      <c r="DL11" s="143"/>
      <c r="DM11" s="154"/>
      <c r="DN11" s="7"/>
      <c r="DO11" s="7"/>
      <c r="DP11" s="7"/>
      <c r="DQ11" s="7"/>
      <c r="DR11" s="7"/>
      <c r="DS11" s="154"/>
      <c r="DT11" s="154"/>
      <c r="DU11" s="154"/>
      <c r="DV11" s="155"/>
      <c r="DW11" s="7"/>
      <c r="DX11" s="7"/>
    </row>
    <row r="12" spans="1:129" ht="85.5" customHeight="1" outlineLevel="1">
      <c r="A12" s="660"/>
      <c r="C12" s="515">
        <v>4</v>
      </c>
      <c r="D12" s="839" t="s">
        <v>314</v>
      </c>
      <c r="E12" s="840"/>
      <c r="F12" s="841"/>
      <c r="G12" s="510" t="s">
        <v>167</v>
      </c>
      <c r="H12" s="508" t="s">
        <v>119</v>
      </c>
      <c r="I12" s="509"/>
      <c r="J12" s="516"/>
      <c r="K12" s="158"/>
      <c r="L12" s="158"/>
      <c r="M12" s="151"/>
      <c r="N12" s="151"/>
      <c r="O12" s="151"/>
      <c r="CV12" s="7"/>
      <c r="CW12" s="154"/>
      <c r="CX12" s="162"/>
      <c r="CY12" s="143"/>
      <c r="CZ12" s="143"/>
      <c r="DA12" s="143"/>
      <c r="DB12" s="143"/>
      <c r="DC12" s="143"/>
      <c r="DD12" s="143"/>
      <c r="DE12" s="143"/>
      <c r="DF12" s="143"/>
      <c r="DG12" s="154"/>
      <c r="DH12" s="143"/>
      <c r="DI12" s="143"/>
      <c r="DJ12" s="143"/>
      <c r="DK12" s="143"/>
      <c r="DL12" s="143"/>
      <c r="DM12" s="154"/>
      <c r="DN12" s="7"/>
      <c r="DO12" s="7"/>
      <c r="DP12" s="7"/>
      <c r="DQ12" s="7"/>
      <c r="DR12" s="7"/>
      <c r="DS12" s="154"/>
      <c r="DT12" s="154"/>
      <c r="DU12" s="154"/>
      <c r="DV12" s="155"/>
      <c r="DW12" s="7"/>
      <c r="DX12" s="7"/>
    </row>
    <row r="13" spans="1:129" ht="42" outlineLevel="1">
      <c r="A13" s="660"/>
      <c r="C13" s="515">
        <v>5</v>
      </c>
      <c r="D13" s="844" t="s">
        <v>198</v>
      </c>
      <c r="E13" s="844"/>
      <c r="F13" s="844"/>
      <c r="G13" s="517" t="s">
        <v>169</v>
      </c>
      <c r="H13" s="508" t="s">
        <v>119</v>
      </c>
      <c r="I13" s="509"/>
      <c r="J13" s="516"/>
      <c r="K13" s="158"/>
      <c r="L13" s="158"/>
      <c r="M13" s="151"/>
      <c r="N13" s="151"/>
      <c r="O13" s="151"/>
      <c r="CV13" s="7"/>
      <c r="CW13" s="162"/>
      <c r="CX13" s="162"/>
      <c r="CY13" s="143"/>
      <c r="CZ13" s="143"/>
      <c r="DA13" s="143"/>
      <c r="DB13" s="143"/>
      <c r="DC13" s="143"/>
      <c r="DD13" s="143"/>
      <c r="DE13" s="143"/>
      <c r="DF13" s="143"/>
      <c r="DG13" s="162"/>
      <c r="DH13" s="143"/>
      <c r="DI13" s="143"/>
      <c r="DJ13" s="143"/>
      <c r="DK13" s="143"/>
      <c r="DL13" s="143"/>
      <c r="DM13" s="162"/>
      <c r="DN13" s="154"/>
      <c r="DO13" s="154"/>
      <c r="DP13" s="154"/>
      <c r="DQ13" s="154"/>
      <c r="DR13" s="154"/>
      <c r="DS13" s="162"/>
      <c r="DT13" s="162"/>
      <c r="DU13" s="162"/>
      <c r="DV13" s="150"/>
      <c r="DW13" s="7"/>
      <c r="DX13" s="159"/>
    </row>
    <row r="14" spans="1:129" ht="60.75" outlineLevel="1">
      <c r="A14" s="660"/>
      <c r="C14" s="515">
        <v>6</v>
      </c>
      <c r="D14" s="844" t="s">
        <v>170</v>
      </c>
      <c r="E14" s="844"/>
      <c r="F14" s="844"/>
      <c r="G14" s="560" t="s">
        <v>163</v>
      </c>
      <c r="H14" s="508" t="s">
        <v>119</v>
      </c>
      <c r="I14" s="509"/>
      <c r="J14" s="368" t="s">
        <v>291</v>
      </c>
      <c r="K14" s="158"/>
      <c r="L14" s="158"/>
      <c r="M14" s="151"/>
      <c r="N14" s="151"/>
      <c r="O14" s="151"/>
      <c r="CV14" s="7"/>
      <c r="CW14" s="162"/>
      <c r="CX14" s="162"/>
      <c r="CY14" s="143"/>
      <c r="CZ14" s="143"/>
      <c r="DA14" s="143"/>
      <c r="DB14" s="143"/>
      <c r="DC14" s="143"/>
      <c r="DD14" s="143"/>
      <c r="DE14" s="143"/>
      <c r="DF14" s="143"/>
      <c r="DG14" s="162"/>
      <c r="DH14" s="143"/>
      <c r="DI14" s="143"/>
      <c r="DJ14" s="143"/>
      <c r="DK14" s="143"/>
      <c r="DL14" s="143"/>
      <c r="DM14" s="162"/>
      <c r="DN14" s="154"/>
      <c r="DO14" s="154"/>
      <c r="DP14" s="154"/>
      <c r="DQ14" s="154"/>
      <c r="DR14" s="154"/>
      <c r="DS14" s="162"/>
      <c r="DT14" s="162"/>
      <c r="DU14" s="162"/>
      <c r="DV14" s="150"/>
      <c r="DW14" s="7"/>
      <c r="DX14" s="159"/>
    </row>
    <row r="15" spans="1:129" ht="18.75" thickBot="1">
      <c r="A15" s="660"/>
      <c r="C15" s="253"/>
      <c r="D15" s="208"/>
      <c r="E15" s="208"/>
      <c r="F15" s="208"/>
      <c r="G15" s="208"/>
      <c r="H15" s="208"/>
      <c r="I15" s="208"/>
      <c r="J15" s="254"/>
      <c r="K15" s="151"/>
      <c r="L15" s="151"/>
      <c r="M15" s="151"/>
      <c r="CT15" s="7"/>
      <c r="CU15" s="162"/>
      <c r="CV15" s="162"/>
      <c r="CW15" s="143"/>
      <c r="CX15" s="143"/>
      <c r="CY15" s="143"/>
      <c r="CZ15" s="143"/>
      <c r="DA15" s="143"/>
      <c r="DB15" s="143"/>
      <c r="DC15" s="143"/>
      <c r="DD15" s="143"/>
      <c r="DE15" s="162"/>
      <c r="DF15" s="143"/>
      <c r="DG15" s="143"/>
      <c r="DH15" s="143"/>
      <c r="DI15" s="143"/>
      <c r="DJ15" s="143"/>
      <c r="DK15" s="162"/>
      <c r="DL15" s="154"/>
      <c r="DM15" s="154"/>
      <c r="DN15" s="154"/>
      <c r="DO15" s="154"/>
      <c r="DP15" s="154"/>
      <c r="DQ15" s="162"/>
      <c r="DR15" s="162"/>
      <c r="DS15" s="162"/>
      <c r="DT15" s="150"/>
      <c r="DU15" s="7"/>
      <c r="DV15" s="159"/>
    </row>
    <row r="16" spans="1:129" ht="12.6" customHeight="1">
      <c r="A16" s="660"/>
      <c r="C16" s="163"/>
      <c r="CT16" s="6"/>
      <c r="CU16" s="6"/>
      <c r="CV16" s="6"/>
      <c r="CW16" s="143"/>
      <c r="CX16" s="143"/>
      <c r="CY16" s="143"/>
      <c r="CZ16" s="143"/>
      <c r="DA16" s="143"/>
      <c r="DB16" s="143"/>
      <c r="DC16" s="143"/>
      <c r="DD16" s="143"/>
      <c r="DE16" s="6"/>
      <c r="DF16" s="143"/>
      <c r="DG16" s="143"/>
      <c r="DH16" s="143"/>
      <c r="DI16" s="143"/>
      <c r="DJ16" s="143"/>
      <c r="DK16" s="6"/>
      <c r="DL16" s="6"/>
      <c r="DM16" s="6"/>
      <c r="DN16" s="6"/>
      <c r="DO16" s="6"/>
      <c r="DP16" s="6"/>
      <c r="DQ16" s="6"/>
      <c r="DR16" s="6"/>
      <c r="DS16" s="6"/>
      <c r="DT16" s="150"/>
      <c r="DU16" s="6"/>
      <c r="DV16" s="6"/>
    </row>
    <row r="17" spans="1:125" ht="12.6" customHeight="1">
      <c r="A17" s="660"/>
      <c r="CS17" s="6"/>
      <c r="CT17" s="6"/>
      <c r="CU17" s="6"/>
      <c r="CV17" s="143"/>
      <c r="CW17" s="143"/>
      <c r="CX17" s="143"/>
      <c r="CY17" s="143"/>
      <c r="CZ17" s="143"/>
      <c r="DA17" s="143"/>
      <c r="DB17" s="143"/>
      <c r="DC17" s="143"/>
      <c r="DD17" s="6"/>
      <c r="DE17" s="143"/>
      <c r="DF17" s="143"/>
      <c r="DG17" s="143"/>
      <c r="DH17" s="143"/>
      <c r="DI17" s="143"/>
      <c r="DJ17" s="6"/>
      <c r="DK17" s="6"/>
      <c r="DL17" s="6"/>
      <c r="DM17" s="6"/>
      <c r="DN17" s="6"/>
      <c r="DO17" s="6"/>
      <c r="DP17" s="6"/>
      <c r="DQ17" s="6"/>
      <c r="DR17" s="6"/>
      <c r="DS17" s="150"/>
      <c r="DT17" s="6"/>
      <c r="DU17" s="6"/>
    </row>
    <row r="18" spans="1:125" s="20" customFormat="1" ht="18.75" thickBot="1">
      <c r="A18" s="656"/>
      <c r="C18" s="474" t="s">
        <v>121</v>
      </c>
      <c r="D18" s="438"/>
      <c r="E18" s="438"/>
      <c r="F18" s="438"/>
      <c r="G18" s="438"/>
      <c r="H18" s="438"/>
      <c r="I18" s="438"/>
      <c r="J18" s="438"/>
      <c r="K18" s="23"/>
      <c r="L18" s="217"/>
      <c r="M18" s="217"/>
      <c r="Q18" s="158"/>
    </row>
    <row r="19" spans="1:125" s="20" customFormat="1" ht="18" customHeight="1">
      <c r="A19" s="656"/>
      <c r="C19" s="819"/>
      <c r="D19" s="820"/>
      <c r="E19" s="820"/>
      <c r="F19" s="820"/>
      <c r="G19" s="821"/>
      <c r="H19" s="438"/>
      <c r="I19" s="438"/>
      <c r="J19" s="438"/>
      <c r="K19" s="23"/>
      <c r="L19" s="217"/>
      <c r="M19" s="217"/>
      <c r="Q19" s="158"/>
    </row>
    <row r="20" spans="1:125" s="20" customFormat="1" ht="18" customHeight="1">
      <c r="A20" s="656"/>
      <c r="C20" s="822"/>
      <c r="D20" s="823"/>
      <c r="E20" s="823"/>
      <c r="F20" s="823"/>
      <c r="G20" s="824"/>
      <c r="H20" s="438"/>
      <c r="I20" s="438"/>
      <c r="J20" s="438"/>
      <c r="K20" s="23"/>
      <c r="L20" s="217"/>
      <c r="M20" s="217"/>
      <c r="Q20" s="158"/>
    </row>
    <row r="21" spans="1:125" s="20" customFormat="1" ht="18" customHeight="1" thickBot="1">
      <c r="A21" s="656"/>
      <c r="C21" s="825"/>
      <c r="D21" s="826"/>
      <c r="E21" s="826"/>
      <c r="F21" s="826"/>
      <c r="G21" s="827"/>
      <c r="H21" s="438"/>
      <c r="I21" s="438"/>
      <c r="J21" s="438"/>
      <c r="K21" s="23"/>
      <c r="L21" s="217"/>
      <c r="M21" s="217"/>
      <c r="Q21" s="158"/>
    </row>
    <row r="22" spans="1:125" s="4" customFormat="1" ht="13.5" thickBot="1">
      <c r="A22" s="545"/>
      <c r="C22" s="550"/>
      <c r="D22" s="551"/>
      <c r="E22" s="192"/>
      <c r="F22" s="192"/>
      <c r="G22" s="192"/>
      <c r="H22" s="192"/>
      <c r="I22" s="158"/>
      <c r="J22" s="158"/>
      <c r="K22" s="552"/>
      <c r="L22" s="424"/>
      <c r="M22" s="424"/>
      <c r="N22" s="424"/>
      <c r="O22" s="424"/>
      <c r="P22" s="424"/>
      <c r="Q22" s="424"/>
      <c r="R22" s="425"/>
    </row>
    <row r="23" spans="1:125" s="4" customFormat="1" ht="89.25">
      <c r="A23" s="545"/>
      <c r="C23" s="745" t="str">
        <f>"波动范围 ("&amp;D12&amp; "):"</f>
        <v>波动范围 (对于单项重大的减值损失，需要获取该单项费用的组成明细，需要获取支持性文件如合同等，在必要时进行费用测试。):</v>
      </c>
      <c r="D23" s="746">
        <f>汇总!$F$21</f>
        <v>0</v>
      </c>
      <c r="E23" s="553"/>
      <c r="F23" s="553"/>
      <c r="G23" s="553"/>
      <c r="H23" s="553"/>
      <c r="I23" s="553"/>
      <c r="J23" s="553"/>
      <c r="K23" s="553"/>
      <c r="L23" s="424"/>
      <c r="M23" s="424"/>
      <c r="N23" s="424"/>
      <c r="O23" s="424"/>
      <c r="P23" s="424"/>
      <c r="Q23" s="424"/>
      <c r="R23" s="425"/>
    </row>
    <row r="24" spans="1:125" s="4" customFormat="1" ht="17.25" thickBot="1">
      <c r="A24" s="545"/>
      <c r="C24" s="554" t="s">
        <v>171</v>
      </c>
      <c r="D24" s="476"/>
      <c r="E24" s="5"/>
      <c r="F24" s="5"/>
      <c r="G24" s="5"/>
      <c r="H24" s="5"/>
      <c r="I24" s="5"/>
      <c r="J24" s="5"/>
      <c r="K24" s="5"/>
      <c r="L24" s="424"/>
      <c r="M24" s="424"/>
      <c r="N24" s="424"/>
      <c r="O24" s="424"/>
      <c r="P24" s="424"/>
      <c r="Q24" s="424"/>
      <c r="R24" s="425"/>
    </row>
    <row r="25" spans="1:125" ht="12.6" customHeight="1">
      <c r="A25" s="660"/>
      <c r="CQ25" s="6"/>
      <c r="CR25" s="6"/>
      <c r="CS25" s="6"/>
      <c r="CT25" s="143"/>
      <c r="CU25" s="143"/>
      <c r="CV25" s="143"/>
      <c r="CW25" s="143"/>
      <c r="CX25" s="143"/>
      <c r="CY25" s="143"/>
      <c r="CZ25" s="143"/>
      <c r="DA25" s="143"/>
      <c r="DB25" s="6"/>
      <c r="DC25" s="143"/>
      <c r="DD25" s="143"/>
      <c r="DE25" s="143"/>
      <c r="DF25" s="143"/>
      <c r="DG25" s="143"/>
      <c r="DH25" s="6"/>
      <c r="DI25" s="6"/>
      <c r="DJ25" s="6"/>
      <c r="DK25" s="6"/>
      <c r="DL25" s="6"/>
      <c r="DM25" s="6"/>
      <c r="DN25" s="6"/>
      <c r="DO25" s="6"/>
      <c r="DP25" s="6"/>
      <c r="DQ25" s="150"/>
      <c r="DR25" s="6"/>
      <c r="DS25" s="6"/>
    </row>
    <row r="26" spans="1:125" ht="12.75" customHeight="1">
      <c r="A26" s="660"/>
      <c r="CS26" s="6"/>
      <c r="CT26" s="6"/>
      <c r="CU26" s="6"/>
      <c r="CV26" s="143"/>
      <c r="CW26" s="143"/>
      <c r="CX26" s="143"/>
      <c r="CY26" s="143"/>
      <c r="CZ26" s="143"/>
      <c r="DA26" s="143"/>
      <c r="DB26" s="143"/>
      <c r="DC26" s="143"/>
      <c r="DD26" s="6"/>
      <c r="DE26" s="143"/>
      <c r="DF26" s="143"/>
      <c r="DG26" s="143"/>
      <c r="DH26" s="143"/>
      <c r="DI26" s="143"/>
      <c r="DJ26" s="6"/>
      <c r="DK26" s="6"/>
      <c r="DL26" s="6"/>
      <c r="DM26" s="6"/>
      <c r="DN26" s="6"/>
      <c r="DO26" s="6"/>
      <c r="DP26" s="6"/>
      <c r="DQ26" s="6"/>
      <c r="DR26" s="6"/>
      <c r="DS26" s="150"/>
      <c r="DT26" s="6"/>
      <c r="DU26" s="6"/>
    </row>
    <row r="27" spans="1:125" ht="12.6" customHeight="1">
      <c r="A27" s="660"/>
      <c r="C27" s="164"/>
      <c r="D27" s="211"/>
      <c r="E27" s="192"/>
      <c r="F27" s="192" t="s">
        <v>123</v>
      </c>
      <c r="G27" s="441"/>
      <c r="H27" s="164" t="s">
        <v>124</v>
      </c>
      <c r="I27" s="192" t="s">
        <v>125</v>
      </c>
      <c r="J27" s="164"/>
      <c r="K27" s="164"/>
      <c r="L27" s="164" t="s">
        <v>126</v>
      </c>
      <c r="M27" s="192" t="s">
        <v>127</v>
      </c>
      <c r="N27" s="164" t="s">
        <v>128</v>
      </c>
      <c r="O27" s="164" t="s">
        <v>129</v>
      </c>
      <c r="P27" s="164" t="s">
        <v>130</v>
      </c>
      <c r="S27" s="260"/>
      <c r="CL27" s="6"/>
      <c r="CM27" s="6"/>
      <c r="CN27" s="6"/>
      <c r="CO27" s="143"/>
      <c r="CP27" s="143"/>
      <c r="CQ27" s="143"/>
      <c r="CR27" s="143"/>
      <c r="CS27" s="143"/>
      <c r="CT27" s="143"/>
      <c r="CU27" s="143"/>
      <c r="CV27" s="143"/>
      <c r="CW27" s="6"/>
      <c r="CX27" s="143"/>
      <c r="CY27" s="143"/>
      <c r="CZ27" s="143"/>
      <c r="DA27" s="143"/>
      <c r="DB27" s="143"/>
      <c r="DC27" s="6"/>
      <c r="DD27" s="6"/>
      <c r="DE27" s="6"/>
      <c r="DF27" s="6"/>
      <c r="DG27" s="6"/>
      <c r="DH27" s="6"/>
      <c r="DI27" s="6"/>
      <c r="DJ27" s="6"/>
      <c r="DK27" s="6"/>
      <c r="DL27" s="200"/>
      <c r="DM27" s="6"/>
      <c r="DN27" s="6"/>
    </row>
    <row r="28" spans="1:125" ht="13.5" thickBot="1">
      <c r="A28" s="660" t="s">
        <v>172</v>
      </c>
      <c r="C28" s="89" t="s">
        <v>95</v>
      </c>
      <c r="D28" s="90" t="s">
        <v>95</v>
      </c>
      <c r="E28" s="90" t="s">
        <v>95</v>
      </c>
      <c r="F28" s="91" t="s">
        <v>95</v>
      </c>
      <c r="G28" s="92"/>
      <c r="H28" s="92"/>
      <c r="I28" s="93"/>
      <c r="J28" s="94"/>
      <c r="K28" s="93"/>
      <c r="L28" s="92"/>
      <c r="M28" s="93"/>
      <c r="N28" s="165"/>
      <c r="O28" s="93"/>
      <c r="P28" s="95"/>
      <c r="Q28" s="96"/>
      <c r="R28" s="97"/>
      <c r="CK28" s="6"/>
      <c r="CL28" s="6"/>
      <c r="CM28" s="6"/>
      <c r="CN28" s="143"/>
      <c r="CO28" s="143"/>
      <c r="CP28" s="143"/>
      <c r="CQ28" s="143"/>
      <c r="CR28" s="143"/>
      <c r="CS28" s="143"/>
      <c r="CT28" s="143"/>
      <c r="CU28" s="143"/>
      <c r="CV28" s="6"/>
      <c r="CW28" s="143"/>
      <c r="CX28" s="143"/>
      <c r="CY28" s="143"/>
      <c r="CZ28" s="143"/>
      <c r="DA28" s="143"/>
      <c r="DB28" s="6"/>
      <c r="DC28" s="6"/>
      <c r="DD28" s="6"/>
      <c r="DE28" s="6"/>
      <c r="DF28" s="6"/>
      <c r="DG28" s="6"/>
      <c r="DH28" s="6"/>
      <c r="DI28" s="6"/>
      <c r="DJ28" s="6"/>
      <c r="DK28" s="150"/>
      <c r="DL28" s="6"/>
      <c r="DM28" s="6"/>
    </row>
    <row r="29" spans="1:125" ht="0.2" customHeight="1" thickBot="1">
      <c r="A29" s="660"/>
      <c r="C29" s="585"/>
      <c r="D29" s="586"/>
      <c r="E29" s="365"/>
      <c r="F29" s="587"/>
      <c r="G29" s="586"/>
      <c r="H29" s="588"/>
      <c r="I29" s="588">
        <f t="shared" ref="I29" si="0">F29+H29</f>
        <v>0</v>
      </c>
      <c r="J29" s="589" t="str">
        <f>IF($I$36&lt;&gt;0,I29/$I$36,"")</f>
        <v/>
      </c>
      <c r="K29" s="586"/>
      <c r="L29" s="588"/>
      <c r="M29" s="590">
        <f t="shared" ref="M29" si="1">I29+L29</f>
        <v>0</v>
      </c>
      <c r="N29" s="590"/>
      <c r="O29" s="587">
        <f t="shared" ref="O29" si="2">M29-N29</f>
        <v>0</v>
      </c>
      <c r="P29" s="466">
        <f>IF(N29&lt;&gt;0,O29/N29,1)</f>
        <v>1</v>
      </c>
      <c r="Q29" s="586"/>
      <c r="R29" s="591"/>
      <c r="CK29" s="6"/>
      <c r="CL29" s="6"/>
      <c r="CM29" s="6"/>
      <c r="CN29" s="143"/>
      <c r="CO29" s="143"/>
      <c r="CP29" s="143"/>
      <c r="CQ29" s="143"/>
      <c r="CR29" s="143"/>
      <c r="CS29" s="143"/>
      <c r="CT29" s="143"/>
      <c r="CU29" s="143"/>
      <c r="CV29" s="6"/>
      <c r="CW29" s="143"/>
      <c r="CX29" s="143"/>
      <c r="CY29" s="143"/>
      <c r="CZ29" s="143"/>
      <c r="DA29" s="143"/>
      <c r="DB29" s="6"/>
      <c r="DC29" s="6"/>
      <c r="DD29" s="6"/>
      <c r="DE29" s="6"/>
      <c r="DF29" s="6"/>
      <c r="DG29" s="6"/>
      <c r="DH29" s="6"/>
      <c r="DI29" s="6"/>
      <c r="DJ29" s="6"/>
      <c r="DK29" s="150"/>
      <c r="DL29" s="6"/>
      <c r="DM29" s="6"/>
    </row>
    <row r="30" spans="1:125" ht="12.6" customHeight="1">
      <c r="A30" s="660"/>
      <c r="B30" s="21" t="s">
        <v>174</v>
      </c>
      <c r="C30" s="592"/>
      <c r="D30" s="747"/>
      <c r="E30" s="593"/>
      <c r="F30" s="482"/>
      <c r="G30" s="594"/>
      <c r="H30" s="594"/>
      <c r="I30" s="594" t="s">
        <v>175</v>
      </c>
      <c r="J30" s="594"/>
      <c r="K30" s="594"/>
      <c r="L30" s="594"/>
      <c r="M30" s="596"/>
      <c r="N30" s="597">
        <f>DATE(YEAR(汇总!$D$5)-1,12,31)</f>
        <v>45291</v>
      </c>
      <c r="O30" s="483" t="s">
        <v>131</v>
      </c>
      <c r="P30" s="598"/>
      <c r="Q30" s="650"/>
      <c r="R30" s="602"/>
      <c r="CJ30" s="6"/>
      <c r="CK30" s="6"/>
      <c r="CL30" s="6"/>
      <c r="CM30" s="143"/>
      <c r="CN30" s="143"/>
      <c r="CO30" s="143"/>
      <c r="CP30" s="143"/>
      <c r="CQ30" s="143"/>
      <c r="CR30" s="143"/>
      <c r="CS30" s="143"/>
      <c r="CT30" s="143"/>
      <c r="CU30" s="6"/>
      <c r="CV30" s="143"/>
      <c r="CW30" s="143"/>
      <c r="CX30" s="143"/>
      <c r="CY30" s="143"/>
      <c r="CZ30" s="143"/>
      <c r="DA30" s="6"/>
      <c r="DB30" s="6"/>
      <c r="DC30" s="6"/>
      <c r="DD30" s="6"/>
      <c r="DE30" s="6"/>
      <c r="DF30" s="6"/>
      <c r="DG30" s="6"/>
      <c r="DH30" s="6"/>
      <c r="DI30" s="6"/>
      <c r="DJ30" s="167"/>
      <c r="DK30" s="6"/>
      <c r="DL30" s="6"/>
    </row>
    <row r="31" spans="1:125" ht="43.5" customHeight="1">
      <c r="A31" s="660"/>
      <c r="C31" s="108" t="s">
        <v>176</v>
      </c>
      <c r="D31" s="109" t="s">
        <v>177</v>
      </c>
      <c r="E31" s="168" t="s">
        <v>178</v>
      </c>
      <c r="F31" s="366" t="s">
        <v>135</v>
      </c>
      <c r="G31" s="367" t="s">
        <v>179</v>
      </c>
      <c r="H31" s="367" t="s">
        <v>136</v>
      </c>
      <c r="I31" s="169" t="s">
        <v>137</v>
      </c>
      <c r="J31" s="169" t="s">
        <v>180</v>
      </c>
      <c r="K31" s="367" t="s">
        <v>181</v>
      </c>
      <c r="L31" s="170" t="s">
        <v>138</v>
      </c>
      <c r="M31" s="171" t="s">
        <v>139</v>
      </c>
      <c r="N31" s="555" t="s">
        <v>182</v>
      </c>
      <c r="O31" s="172" t="s">
        <v>141</v>
      </c>
      <c r="P31" s="465" t="s">
        <v>183</v>
      </c>
      <c r="Q31" s="464" t="s">
        <v>184</v>
      </c>
      <c r="R31" s="114" t="s">
        <v>155</v>
      </c>
      <c r="CJ31" s="6"/>
      <c r="CK31" s="6"/>
      <c r="CL31" s="6"/>
      <c r="CM31" s="143"/>
      <c r="CN31" s="143"/>
      <c r="CO31" s="143"/>
      <c r="CP31" s="143"/>
      <c r="CQ31" s="143"/>
      <c r="CR31" s="143"/>
      <c r="CS31" s="143"/>
      <c r="CT31" s="143"/>
      <c r="CU31" s="6"/>
      <c r="CV31" s="143"/>
      <c r="CW31" s="143"/>
      <c r="CX31" s="143"/>
      <c r="CY31" s="143"/>
      <c r="CZ31" s="143"/>
      <c r="DA31" s="6"/>
      <c r="DB31" s="6"/>
      <c r="DC31" s="6"/>
      <c r="DD31" s="6"/>
      <c r="DE31" s="6"/>
      <c r="DF31" s="6"/>
      <c r="DG31" s="6"/>
      <c r="DH31" s="6"/>
      <c r="DI31" s="6"/>
      <c r="DJ31" s="167"/>
      <c r="DK31" s="6"/>
      <c r="DL31" s="6"/>
    </row>
    <row r="32" spans="1:125" ht="12.6" customHeight="1">
      <c r="A32" s="660"/>
      <c r="C32" s="98"/>
      <c r="D32" s="99"/>
      <c r="E32" s="100"/>
      <c r="F32" s="101"/>
      <c r="G32" s="99"/>
      <c r="H32" s="102"/>
      <c r="I32" s="102">
        <f>F32+H32</f>
        <v>0</v>
      </c>
      <c r="J32" s="103" t="str">
        <f>IF($I$36&lt;&gt;0,I32/$I$36,"")</f>
        <v/>
      </c>
      <c r="K32" s="99"/>
      <c r="L32" s="102"/>
      <c r="M32" s="104">
        <f>I32+L32</f>
        <v>0</v>
      </c>
      <c r="N32" s="104"/>
      <c r="O32" s="101">
        <f>M32-N32</f>
        <v>0</v>
      </c>
      <c r="P32" s="463">
        <f>IF(N32&lt;&gt;0,O32/N32,1)</f>
        <v>1</v>
      </c>
      <c r="Q32" s="99"/>
      <c r="R32" s="105"/>
      <c r="CJ32" s="6"/>
      <c r="CK32" s="6"/>
      <c r="CL32" s="6"/>
      <c r="CM32" s="143"/>
      <c r="CN32" s="143"/>
      <c r="CO32" s="143"/>
      <c r="CP32" s="143"/>
      <c r="CQ32" s="143"/>
      <c r="CR32" s="143"/>
      <c r="CS32" s="143"/>
      <c r="CT32" s="143"/>
      <c r="CU32" s="6"/>
      <c r="CV32" s="143"/>
      <c r="CW32" s="143"/>
      <c r="CX32" s="143"/>
      <c r="CY32" s="143"/>
      <c r="CZ32" s="143"/>
      <c r="DA32" s="6"/>
      <c r="DB32" s="6"/>
      <c r="DC32" s="6"/>
      <c r="DD32" s="6"/>
      <c r="DE32" s="6"/>
      <c r="DF32" s="6"/>
      <c r="DG32" s="6"/>
      <c r="DH32" s="6"/>
      <c r="DI32" s="6"/>
      <c r="DJ32" s="150"/>
      <c r="DK32" s="6"/>
      <c r="DL32" s="6"/>
    </row>
    <row r="33" spans="1:131" ht="12.6" customHeight="1">
      <c r="A33" s="660"/>
      <c r="C33" s="98"/>
      <c r="D33" s="99"/>
      <c r="E33" s="100"/>
      <c r="F33" s="101"/>
      <c r="G33" s="99"/>
      <c r="H33" s="102"/>
      <c r="I33" s="102">
        <f t="shared" ref="I33:I34" si="3">F33+H33</f>
        <v>0</v>
      </c>
      <c r="J33" s="103" t="str">
        <f t="shared" ref="J33:J34" si="4">IF($I$36&lt;&gt;0,I33/$I$36,"")</f>
        <v/>
      </c>
      <c r="K33" s="99"/>
      <c r="L33" s="102"/>
      <c r="M33" s="104">
        <f t="shared" ref="M33:M34" si="5">I33+L33</f>
        <v>0</v>
      </c>
      <c r="N33" s="104"/>
      <c r="O33" s="101">
        <f t="shared" ref="O33:O34" si="6">M33-N33</f>
        <v>0</v>
      </c>
      <c r="P33" s="463">
        <f>IF(N33&lt;&gt;0,O33/N33,1)</f>
        <v>1</v>
      </c>
      <c r="Q33" s="99"/>
      <c r="R33" s="105"/>
      <c r="CJ33" s="6"/>
      <c r="CK33" s="6"/>
      <c r="CL33" s="6"/>
      <c r="CM33" s="143"/>
      <c r="CN33" s="143"/>
      <c r="CO33" s="143"/>
      <c r="CP33" s="143"/>
      <c r="CQ33" s="143"/>
      <c r="CR33" s="143"/>
      <c r="CS33" s="143"/>
      <c r="CT33" s="143"/>
      <c r="CU33" s="6"/>
      <c r="CV33" s="143"/>
      <c r="CW33" s="143"/>
      <c r="CX33" s="143"/>
      <c r="CY33" s="143"/>
      <c r="CZ33" s="143"/>
      <c r="DA33" s="6"/>
      <c r="DB33" s="6"/>
      <c r="DC33" s="6"/>
      <c r="DD33" s="6"/>
      <c r="DE33" s="6"/>
      <c r="DF33" s="6"/>
      <c r="DG33" s="6"/>
      <c r="DH33" s="6"/>
      <c r="DI33" s="6"/>
      <c r="DJ33" s="150"/>
      <c r="DK33" s="6"/>
      <c r="DL33" s="6"/>
    </row>
    <row r="34" spans="1:131" ht="12.6" customHeight="1" thickBot="1">
      <c r="A34" s="660" t="s">
        <v>185</v>
      </c>
      <c r="C34" s="371"/>
      <c r="D34" s="372"/>
      <c r="E34" s="385"/>
      <c r="F34" s="374"/>
      <c r="G34" s="372"/>
      <c r="H34" s="375"/>
      <c r="I34" s="102">
        <f t="shared" si="3"/>
        <v>0</v>
      </c>
      <c r="J34" s="103" t="str">
        <f t="shared" si="4"/>
        <v/>
      </c>
      <c r="K34" s="378"/>
      <c r="L34" s="379"/>
      <c r="M34" s="104">
        <f t="shared" si="5"/>
        <v>0</v>
      </c>
      <c r="N34" s="380"/>
      <c r="O34" s="101">
        <f t="shared" si="6"/>
        <v>0</v>
      </c>
      <c r="P34" s="463">
        <f>IF(N34&lt;&gt;0,O34/N34,1)</f>
        <v>1</v>
      </c>
      <c r="Q34" s="378"/>
      <c r="R34" s="373"/>
      <c r="CJ34" s="6"/>
      <c r="CK34" s="6"/>
      <c r="CL34" s="6"/>
      <c r="CM34" s="143"/>
      <c r="CN34" s="143"/>
      <c r="CO34" s="143"/>
      <c r="CP34" s="143"/>
      <c r="CQ34" s="143"/>
      <c r="CR34" s="143"/>
      <c r="CS34" s="143"/>
      <c r="CT34" s="143"/>
      <c r="CU34" s="6"/>
      <c r="CV34" s="143"/>
      <c r="CW34" s="143"/>
      <c r="CX34" s="143"/>
      <c r="CY34" s="143"/>
      <c r="CZ34" s="143"/>
      <c r="DA34" s="6"/>
      <c r="DB34" s="6"/>
      <c r="DC34" s="6"/>
      <c r="DD34" s="6"/>
      <c r="DE34" s="6"/>
      <c r="DF34" s="6"/>
      <c r="DG34" s="6"/>
      <c r="DH34" s="6"/>
      <c r="DI34" s="6"/>
      <c r="DJ34" s="150"/>
      <c r="DK34" s="6"/>
      <c r="DL34" s="6"/>
    </row>
    <row r="35" spans="1:131" ht="12.6" customHeight="1">
      <c r="A35" s="660"/>
      <c r="B35" s="174"/>
      <c r="C35" s="760"/>
      <c r="D35" s="761"/>
      <c r="E35" s="762"/>
      <c r="F35" s="762"/>
      <c r="G35" s="762"/>
      <c r="H35" s="762"/>
      <c r="I35" s="763"/>
      <c r="J35" s="765"/>
      <c r="K35" s="765"/>
      <c r="L35" s="763"/>
      <c r="M35" s="763"/>
      <c r="N35" s="763"/>
      <c r="O35" s="753"/>
      <c r="P35" s="767"/>
      <c r="Q35" s="767"/>
      <c r="R35" s="768"/>
      <c r="CK35" s="6"/>
      <c r="CL35" s="6"/>
      <c r="CM35" s="6"/>
      <c r="CN35" s="143"/>
      <c r="CO35" s="143"/>
      <c r="CP35" s="143"/>
      <c r="CQ35" s="143"/>
      <c r="CR35" s="143"/>
      <c r="CS35" s="143"/>
      <c r="CT35" s="143"/>
      <c r="CU35" s="143"/>
      <c r="CV35" s="6"/>
      <c r="CW35" s="143"/>
      <c r="CX35" s="143"/>
      <c r="CY35" s="143"/>
      <c r="CZ35" s="143"/>
      <c r="DA35" s="143"/>
      <c r="DB35" s="6"/>
      <c r="DC35" s="6"/>
      <c r="DD35" s="6"/>
      <c r="DE35" s="6"/>
      <c r="DF35" s="6"/>
      <c r="DG35" s="6"/>
      <c r="DH35" s="6"/>
      <c r="DI35" s="6"/>
      <c r="DJ35" s="6"/>
      <c r="DK35" s="150"/>
      <c r="DL35" s="6"/>
      <c r="DM35" s="6"/>
    </row>
    <row r="36" spans="1:131" s="16" customFormat="1" ht="12.6" customHeight="1" thickBot="1">
      <c r="A36" s="661"/>
      <c r="B36" s="174"/>
      <c r="C36" s="174"/>
      <c r="D36" s="179"/>
      <c r="E36" s="212" t="s">
        <v>208</v>
      </c>
      <c r="F36" s="388">
        <f>SUM(F31:F35)</f>
        <v>0</v>
      </c>
      <c r="G36" s="21"/>
      <c r="H36" s="388">
        <f>SUM(H31:H35)</f>
        <v>0</v>
      </c>
      <c r="I36" s="388">
        <f>SUM(I31:I35)</f>
        <v>0</v>
      </c>
      <c r="J36" s="389">
        <f>SUM(J31:J35)</f>
        <v>0</v>
      </c>
      <c r="K36" s="21"/>
      <c r="L36" s="388">
        <f>SUM(L31:L35)</f>
        <v>0</v>
      </c>
      <c r="M36" s="388">
        <f>SUM(M31:M35)</f>
        <v>0</v>
      </c>
      <c r="N36" s="388">
        <f>SUM(N31:N35)</f>
        <v>0</v>
      </c>
      <c r="O36" s="388">
        <f>M36-N36</f>
        <v>0</v>
      </c>
      <c r="P36" s="389">
        <f>IF(N36&lt;&gt;0,O36/N36,1)</f>
        <v>1</v>
      </c>
      <c r="Q36" s="177"/>
      <c r="R36" s="213"/>
      <c r="S36" s="19"/>
      <c r="T36" s="174"/>
      <c r="CL36" s="6"/>
      <c r="CM36" s="6"/>
      <c r="CN36" s="6"/>
      <c r="CO36" s="143"/>
      <c r="CP36" s="143"/>
      <c r="CQ36" s="143"/>
      <c r="CR36" s="143"/>
      <c r="CS36" s="143"/>
      <c r="CT36" s="143"/>
      <c r="CU36" s="143"/>
      <c r="CV36" s="143"/>
      <c r="CW36" s="6"/>
      <c r="CX36" s="143"/>
      <c r="CY36" s="143"/>
      <c r="CZ36" s="143"/>
      <c r="DA36" s="143"/>
      <c r="DB36" s="143"/>
      <c r="DC36" s="6"/>
      <c r="DD36" s="6"/>
      <c r="DE36" s="6"/>
      <c r="DF36" s="6"/>
      <c r="DG36" s="6"/>
      <c r="DH36" s="6"/>
      <c r="DI36" s="6"/>
      <c r="DJ36" s="6"/>
      <c r="DK36" s="6"/>
      <c r="DL36" s="150"/>
      <c r="DM36" s="6"/>
      <c r="DN36" s="6"/>
    </row>
    <row r="37" spans="1:131" s="16" customFormat="1" ht="12.6" customHeight="1" thickTop="1">
      <c r="A37" s="661"/>
      <c r="B37" s="174"/>
      <c r="C37" s="174"/>
      <c r="D37" s="179"/>
      <c r="E37" s="175"/>
      <c r="F37" s="131" t="s">
        <v>105</v>
      </c>
      <c r="G37" s="179"/>
      <c r="H37" s="131" t="s">
        <v>105</v>
      </c>
      <c r="I37" s="131" t="s">
        <v>105</v>
      </c>
      <c r="J37" s="131" t="s">
        <v>105</v>
      </c>
      <c r="K37" s="180"/>
      <c r="L37" s="131" t="s">
        <v>105</v>
      </c>
      <c r="M37" s="131" t="s">
        <v>105</v>
      </c>
      <c r="N37" s="131" t="s">
        <v>105</v>
      </c>
      <c r="O37" s="193"/>
      <c r="P37" s="183"/>
      <c r="Q37" s="183"/>
      <c r="R37" s="184"/>
      <c r="S37" s="19"/>
      <c r="T37" s="174"/>
      <c r="CL37" s="6"/>
      <c r="CM37" s="6"/>
      <c r="CN37" s="6"/>
      <c r="CO37" s="143"/>
      <c r="CP37" s="143"/>
      <c r="CQ37" s="143"/>
      <c r="CR37" s="143"/>
      <c r="CS37" s="143"/>
      <c r="CT37" s="143"/>
      <c r="CU37" s="143"/>
      <c r="CV37" s="143"/>
      <c r="CW37" s="6"/>
      <c r="CX37" s="143"/>
      <c r="CY37" s="143"/>
      <c r="CZ37" s="143"/>
      <c r="DA37" s="143"/>
      <c r="DB37" s="143"/>
      <c r="DC37" s="6"/>
      <c r="DD37" s="6"/>
      <c r="DE37" s="6"/>
      <c r="DF37" s="6"/>
      <c r="DG37" s="6"/>
      <c r="DH37" s="6"/>
      <c r="DI37" s="6"/>
      <c r="DJ37" s="6"/>
      <c r="DK37" s="6"/>
      <c r="DL37" s="150"/>
      <c r="DM37" s="6"/>
      <c r="DN37" s="6"/>
    </row>
    <row r="38" spans="1:131" s="16" customFormat="1" ht="12.6" customHeight="1">
      <c r="A38" s="661"/>
      <c r="B38" s="174"/>
      <c r="C38" s="174"/>
      <c r="D38" s="179"/>
      <c r="F38" s="181"/>
      <c r="G38" s="179"/>
      <c r="H38" s="185" t="s">
        <v>91</v>
      </c>
      <c r="I38" s="181"/>
      <c r="J38" s="186"/>
      <c r="K38" s="181"/>
      <c r="M38" s="181"/>
      <c r="N38" s="181"/>
      <c r="O38" s="181"/>
      <c r="P38" s="182"/>
      <c r="Q38" s="182"/>
      <c r="R38" s="184"/>
      <c r="S38" s="174"/>
      <c r="T38" s="19"/>
      <c r="U38" s="174"/>
      <c r="CM38" s="6"/>
      <c r="CN38" s="6"/>
      <c r="CO38" s="6"/>
      <c r="CP38" s="143"/>
      <c r="CQ38" s="143"/>
      <c r="CR38" s="143"/>
      <c r="CS38" s="143"/>
      <c r="CT38" s="143"/>
      <c r="CU38" s="143"/>
      <c r="CV38" s="143"/>
      <c r="CW38" s="143"/>
      <c r="CX38" s="6"/>
      <c r="CY38" s="143"/>
      <c r="CZ38" s="143"/>
      <c r="DA38" s="143"/>
      <c r="DB38" s="143"/>
      <c r="DC38" s="143"/>
      <c r="DD38" s="6"/>
      <c r="DE38" s="6"/>
      <c r="DF38" s="6"/>
      <c r="DG38" s="6"/>
      <c r="DH38" s="6"/>
      <c r="DI38" s="6"/>
      <c r="DJ38" s="6"/>
      <c r="DK38" s="6"/>
      <c r="DL38" s="6"/>
      <c r="DM38" s="150"/>
      <c r="DN38" s="6"/>
      <c r="DO38" s="6"/>
    </row>
    <row r="39" spans="1:131" s="16" customFormat="1" ht="12.6" customHeight="1">
      <c r="A39" s="661"/>
      <c r="B39" s="27"/>
      <c r="C39" s="174"/>
      <c r="D39" s="179"/>
      <c r="F39" s="188"/>
      <c r="G39" s="179"/>
      <c r="H39" s="187" t="s">
        <v>201</v>
      </c>
      <c r="I39" s="188">
        <f>I36-I38</f>
        <v>0</v>
      </c>
      <c r="J39" s="189"/>
      <c r="K39" s="181"/>
      <c r="M39" s="188">
        <f>M36-M38</f>
        <v>0</v>
      </c>
      <c r="N39" s="188">
        <f>N36-N38</f>
        <v>0</v>
      </c>
      <c r="O39" s="181"/>
      <c r="P39" s="182"/>
      <c r="Q39" s="182"/>
      <c r="R39" s="184"/>
      <c r="S39" s="174"/>
      <c r="T39" s="174"/>
      <c r="U39" s="174"/>
      <c r="CM39" s="6"/>
      <c r="CN39" s="6"/>
      <c r="CO39" s="6"/>
      <c r="CP39" s="143"/>
      <c r="CQ39" s="143"/>
      <c r="CR39" s="143"/>
      <c r="CS39" s="143"/>
      <c r="CT39" s="143"/>
      <c r="CU39" s="143"/>
      <c r="CV39" s="143"/>
      <c r="CW39" s="143"/>
      <c r="CX39" s="6"/>
      <c r="CY39" s="143"/>
      <c r="CZ39" s="143"/>
      <c r="DA39" s="143"/>
      <c r="DB39" s="143"/>
      <c r="DC39" s="143"/>
      <c r="DD39" s="6"/>
      <c r="DE39" s="6"/>
      <c r="DF39" s="6"/>
      <c r="DG39" s="6"/>
      <c r="DH39" s="6"/>
      <c r="DI39" s="6"/>
      <c r="DJ39" s="6"/>
      <c r="DK39" s="6"/>
      <c r="DL39" s="6"/>
      <c r="DM39" s="150"/>
      <c r="DN39" s="6"/>
      <c r="DO39" s="6"/>
    </row>
    <row r="40" spans="1:131" s="22" customFormat="1" ht="12.75" customHeight="1">
      <c r="A40" s="667"/>
      <c r="C40" s="8"/>
      <c r="H40" s="262"/>
      <c r="I40" s="190"/>
      <c r="K40" s="262"/>
      <c r="L40" s="262"/>
      <c r="M40" s="262"/>
      <c r="O40" s="251"/>
      <c r="P40" s="251"/>
      <c r="Q40" s="251"/>
      <c r="R40" s="251"/>
      <c r="U40" s="251"/>
      <c r="V40" s="251"/>
      <c r="Y40" s="251"/>
      <c r="AB40" s="214"/>
      <c r="AC40" s="214"/>
      <c r="AD40" s="214"/>
      <c r="AE40" s="214"/>
      <c r="AF40" s="214"/>
      <c r="AG40" s="214"/>
      <c r="AH40" s="175"/>
      <c r="AI40" s="175"/>
      <c r="AJ40" s="175"/>
      <c r="AK40" s="175"/>
      <c r="AL40" s="175"/>
      <c r="AM40" s="175"/>
    </row>
    <row r="41" spans="1:131" s="16" customFormat="1" ht="12.6" customHeight="1" thickBot="1">
      <c r="A41" s="668"/>
      <c r="B41" s="174"/>
      <c r="C41" s="8"/>
      <c r="D41" s="179"/>
      <c r="E41" s="179"/>
      <c r="F41" s="180"/>
      <c r="G41" s="179"/>
      <c r="H41" s="179"/>
      <c r="I41" s="201"/>
      <c r="J41" s="180"/>
      <c r="K41" s="180"/>
      <c r="L41" s="193"/>
      <c r="M41" s="201"/>
      <c r="N41" s="201"/>
      <c r="O41" s="201"/>
      <c r="P41" s="201"/>
      <c r="Q41" s="201"/>
      <c r="R41" s="180"/>
      <c r="S41" s="180"/>
      <c r="T41" s="201"/>
      <c r="U41" s="201"/>
      <c r="V41" s="201"/>
      <c r="W41" s="201"/>
      <c r="X41" s="201"/>
      <c r="Y41" s="201"/>
      <c r="Z41" s="193"/>
      <c r="AA41" s="183"/>
      <c r="AB41" s="184"/>
      <c r="CX41" s="6"/>
      <c r="CY41" s="6"/>
      <c r="CZ41" s="6"/>
      <c r="DA41" s="143"/>
      <c r="DB41" s="143"/>
      <c r="DC41" s="143"/>
      <c r="DD41" s="143"/>
      <c r="DE41" s="143"/>
      <c r="DF41" s="143"/>
      <c r="DG41" s="143"/>
      <c r="DH41" s="143"/>
      <c r="DI41" s="6"/>
      <c r="DJ41" s="143"/>
      <c r="DK41" s="143"/>
      <c r="DL41" s="143"/>
      <c r="DM41" s="143"/>
      <c r="DN41" s="143"/>
      <c r="DO41" s="6"/>
      <c r="DP41" s="6"/>
      <c r="DQ41" s="6"/>
      <c r="DR41" s="6"/>
      <c r="DS41" s="6"/>
      <c r="DT41" s="6"/>
      <c r="DU41" s="6"/>
      <c r="DV41" s="6"/>
      <c r="DW41" s="6"/>
      <c r="DX41" s="150"/>
      <c r="DY41" s="6"/>
      <c r="DZ41" s="6"/>
    </row>
    <row r="42" spans="1:131" s="16" customFormat="1" ht="12.6" customHeight="1">
      <c r="A42" s="661"/>
      <c r="B42" s="174"/>
      <c r="C42" s="635" t="s">
        <v>315</v>
      </c>
      <c r="D42" s="636"/>
      <c r="E42" s="636"/>
      <c r="F42" s="637"/>
      <c r="G42" s="637"/>
      <c r="H42" s="638"/>
      <c r="I42" s="639"/>
      <c r="J42" s="190"/>
      <c r="K42" s="180"/>
      <c r="L42" s="180"/>
      <c r="M42" s="193"/>
      <c r="N42" s="201"/>
      <c r="O42" s="201"/>
      <c r="P42" s="201"/>
      <c r="Q42" s="201"/>
      <c r="R42" s="201"/>
      <c r="S42" s="180"/>
      <c r="T42" s="180"/>
      <c r="U42" s="201"/>
      <c r="V42" s="201"/>
      <c r="W42" s="201"/>
      <c r="X42" s="201"/>
      <c r="Y42" s="201"/>
      <c r="Z42" s="201"/>
      <c r="AA42" s="193"/>
      <c r="AB42" s="183"/>
      <c r="AC42" s="184"/>
      <c r="CY42" s="6"/>
      <c r="CZ42" s="6"/>
      <c r="DA42" s="6"/>
      <c r="DB42" s="143"/>
      <c r="DC42" s="143"/>
      <c r="DD42" s="143"/>
      <c r="DE42" s="143"/>
      <c r="DF42" s="143"/>
      <c r="DG42" s="143"/>
      <c r="DH42" s="143"/>
      <c r="DI42" s="143"/>
      <c r="DJ42" s="6"/>
      <c r="DK42" s="143"/>
      <c r="DL42" s="143"/>
      <c r="DM42" s="143"/>
      <c r="DN42" s="143"/>
      <c r="DO42" s="143"/>
      <c r="DP42" s="6"/>
      <c r="DQ42" s="6"/>
      <c r="DR42" s="6"/>
      <c r="DS42" s="6"/>
      <c r="DT42" s="6"/>
      <c r="DU42" s="6"/>
      <c r="DV42" s="6"/>
      <c r="DW42" s="6"/>
      <c r="DX42" s="6"/>
      <c r="DY42" s="150"/>
      <c r="DZ42" s="6"/>
      <c r="EA42" s="6"/>
    </row>
    <row r="43" spans="1:131" s="16" customFormat="1" ht="12.6" customHeight="1">
      <c r="A43" s="661"/>
      <c r="B43" s="174"/>
      <c r="C43" s="286" t="s">
        <v>316</v>
      </c>
      <c r="D43" s="287" t="s">
        <v>317</v>
      </c>
      <c r="E43" s="287" t="s">
        <v>318</v>
      </c>
      <c r="F43" s="287" t="s">
        <v>319</v>
      </c>
      <c r="G43" s="640" t="s">
        <v>320</v>
      </c>
      <c r="H43" s="179"/>
      <c r="I43" s="288"/>
      <c r="J43" s="216"/>
      <c r="K43" s="180"/>
      <c r="L43" s="180"/>
      <c r="M43" s="193"/>
      <c r="N43" s="201"/>
      <c r="O43" s="201"/>
      <c r="P43" s="201"/>
      <c r="Q43" s="201"/>
      <c r="R43" s="201"/>
      <c r="S43" s="180"/>
      <c r="T43" s="180"/>
      <c r="U43" s="201"/>
      <c r="V43" s="201"/>
      <c r="W43" s="201"/>
      <c r="X43" s="201"/>
      <c r="Y43" s="201"/>
      <c r="Z43" s="201"/>
      <c r="AA43" s="193"/>
      <c r="AB43" s="183"/>
      <c r="AC43" s="184"/>
      <c r="CY43" s="6"/>
      <c r="CZ43" s="6"/>
      <c r="DA43" s="143"/>
      <c r="DB43" s="143"/>
      <c r="DC43" s="143"/>
      <c r="DD43" s="143"/>
      <c r="DE43" s="143"/>
      <c r="DF43" s="143"/>
      <c r="DG43" s="143"/>
      <c r="DH43" s="143"/>
      <c r="DI43" s="143"/>
      <c r="DJ43" s="6"/>
      <c r="DK43" s="143"/>
      <c r="DL43" s="143"/>
      <c r="DM43" s="143"/>
      <c r="DN43" s="143"/>
      <c r="DO43" s="143"/>
      <c r="DP43" s="6"/>
      <c r="DQ43" s="6"/>
      <c r="DR43" s="6"/>
      <c r="DS43" s="6"/>
      <c r="DT43" s="6"/>
      <c r="DU43" s="6"/>
      <c r="DV43" s="6"/>
      <c r="DW43" s="6"/>
      <c r="DX43" s="6"/>
      <c r="DY43" s="150"/>
      <c r="DZ43" s="6"/>
      <c r="EA43" s="6"/>
    </row>
    <row r="44" spans="1:131" s="16" customFormat="1" ht="12.6" customHeight="1">
      <c r="A44" s="661"/>
      <c r="B44" s="174"/>
      <c r="C44" s="289"/>
      <c r="D44" s="290"/>
      <c r="E44" s="290"/>
      <c r="F44" s="9" t="s">
        <v>321</v>
      </c>
      <c r="G44" s="291"/>
      <c r="H44" s="179"/>
      <c r="I44" s="288"/>
      <c r="J44" s="216"/>
      <c r="K44" s="180"/>
      <c r="L44" s="180"/>
      <c r="M44" s="193"/>
      <c r="N44" s="201"/>
      <c r="O44" s="201"/>
      <c r="P44" s="201"/>
      <c r="Q44" s="201"/>
      <c r="R44" s="201"/>
      <c r="S44" s="180"/>
      <c r="T44" s="180"/>
      <c r="U44" s="201"/>
      <c r="V44" s="201"/>
      <c r="W44" s="201"/>
      <c r="X44" s="201"/>
      <c r="Y44" s="201"/>
      <c r="Z44" s="201"/>
      <c r="AA44" s="193"/>
      <c r="AB44" s="183"/>
      <c r="AC44" s="184"/>
      <c r="CY44" s="6"/>
      <c r="CZ44" s="143"/>
      <c r="DA44" s="143"/>
      <c r="DB44" s="143"/>
      <c r="DC44" s="143"/>
      <c r="DD44" s="143"/>
      <c r="DE44" s="143"/>
      <c r="DF44" s="143"/>
      <c r="DG44" s="143"/>
      <c r="DH44" s="143"/>
      <c r="DI44" s="143"/>
      <c r="DJ44" s="143"/>
      <c r="DK44" s="143"/>
      <c r="DL44" s="143"/>
      <c r="DM44" s="143"/>
      <c r="DN44" s="143"/>
      <c r="DO44" s="143"/>
      <c r="DP44" s="143"/>
      <c r="DQ44" s="6"/>
      <c r="DR44" s="6"/>
      <c r="DS44" s="6"/>
      <c r="DT44" s="6"/>
      <c r="DU44" s="6"/>
      <c r="DV44" s="143"/>
      <c r="DW44" s="143"/>
      <c r="DX44" s="143"/>
      <c r="DY44" s="148"/>
      <c r="DZ44" s="6"/>
      <c r="EA44" s="6"/>
    </row>
    <row r="45" spans="1:131" s="16" customFormat="1" ht="12.6" customHeight="1">
      <c r="A45" s="661"/>
      <c r="B45" s="174"/>
      <c r="C45" s="292"/>
      <c r="D45" s="293"/>
      <c r="E45" s="293"/>
      <c r="F45" s="294" t="s">
        <v>322</v>
      </c>
      <c r="G45" s="291"/>
      <c r="H45" s="179"/>
      <c r="I45" s="288"/>
      <c r="J45" s="295"/>
      <c r="K45" s="180"/>
      <c r="L45" s="180"/>
      <c r="M45" s="193"/>
      <c r="N45" s="201"/>
      <c r="O45" s="201"/>
      <c r="P45" s="201"/>
      <c r="Q45" s="201"/>
      <c r="R45" s="201"/>
      <c r="S45" s="180"/>
      <c r="T45" s="180"/>
      <c r="U45" s="201"/>
      <c r="V45" s="201"/>
      <c r="W45" s="201"/>
      <c r="X45" s="201"/>
      <c r="Y45" s="201"/>
      <c r="Z45" s="201"/>
      <c r="AA45" s="193"/>
      <c r="AB45" s="183"/>
      <c r="AC45" s="184"/>
      <c r="CY45" s="6"/>
      <c r="CZ45" s="143"/>
      <c r="DA45" s="143"/>
      <c r="DB45" s="143"/>
      <c r="DC45" s="143"/>
      <c r="DD45" s="143"/>
      <c r="DE45" s="143"/>
      <c r="DF45" s="143"/>
      <c r="DG45" s="143"/>
      <c r="DH45" s="143"/>
      <c r="DI45" s="143"/>
      <c r="DJ45" s="143"/>
      <c r="DK45" s="143"/>
      <c r="DL45" s="143"/>
      <c r="DM45" s="143"/>
      <c r="DN45" s="143"/>
      <c r="DO45" s="143"/>
      <c r="DP45" s="143"/>
      <c r="DQ45" s="143"/>
      <c r="DR45" s="143"/>
      <c r="DS45" s="143"/>
      <c r="DT45" s="143"/>
      <c r="DU45" s="143"/>
      <c r="DV45" s="143"/>
      <c r="DW45" s="143"/>
      <c r="DX45" s="143"/>
      <c r="DY45" s="148"/>
      <c r="DZ45" s="6"/>
      <c r="EA45" s="6"/>
    </row>
    <row r="46" spans="1:131" s="16" customFormat="1" ht="12.6" customHeight="1">
      <c r="A46" s="661"/>
      <c r="B46" s="174"/>
      <c r="C46" s="292"/>
      <c r="D46" s="293"/>
      <c r="E46" s="293"/>
      <c r="F46" s="294" t="s">
        <v>323</v>
      </c>
      <c r="G46" s="291"/>
      <c r="H46" s="179"/>
      <c r="I46" s="288"/>
      <c r="J46" s="295"/>
      <c r="K46" s="180"/>
      <c r="L46" s="180"/>
      <c r="M46" s="193"/>
      <c r="N46" s="201"/>
      <c r="O46" s="201"/>
      <c r="P46" s="201"/>
      <c r="Q46" s="201"/>
      <c r="R46" s="201"/>
      <c r="S46" s="180"/>
      <c r="T46" s="180"/>
      <c r="U46" s="201"/>
      <c r="V46" s="201"/>
      <c r="W46" s="201"/>
      <c r="X46" s="201"/>
      <c r="Y46" s="201"/>
      <c r="Z46" s="201"/>
      <c r="AA46" s="193"/>
      <c r="AB46" s="183"/>
      <c r="AC46" s="184"/>
      <c r="CY46" s="143"/>
      <c r="CZ46" s="143"/>
      <c r="DA46" s="143"/>
      <c r="DB46" s="143"/>
      <c r="DC46" s="143"/>
      <c r="DD46" s="143"/>
      <c r="DE46" s="143"/>
      <c r="DF46" s="143"/>
      <c r="DG46" s="143"/>
      <c r="DH46" s="143"/>
      <c r="DI46" s="143"/>
      <c r="DJ46" s="143"/>
      <c r="DK46" s="143"/>
      <c r="DL46" s="143"/>
      <c r="DM46" s="143"/>
      <c r="DN46" s="143"/>
      <c r="DO46" s="143"/>
      <c r="DP46" s="143"/>
      <c r="DQ46" s="143"/>
      <c r="DR46" s="143"/>
      <c r="DS46" s="143"/>
      <c r="DT46" s="143"/>
      <c r="DU46" s="143"/>
      <c r="DV46" s="143"/>
      <c r="DW46" s="143"/>
      <c r="DX46" s="143"/>
      <c r="DY46" s="148"/>
      <c r="DZ46" s="143"/>
      <c r="EA46" s="149"/>
    </row>
    <row r="47" spans="1:131" s="16" customFormat="1" ht="12.6" customHeight="1">
      <c r="A47" s="669"/>
      <c r="B47" s="174"/>
      <c r="C47" s="292"/>
      <c r="D47" s="293"/>
      <c r="E47" s="293"/>
      <c r="F47" s="294" t="s">
        <v>324</v>
      </c>
      <c r="G47" s="291"/>
      <c r="H47" s="179"/>
      <c r="I47" s="288"/>
      <c r="J47" s="295"/>
      <c r="K47" s="180"/>
      <c r="L47" s="180"/>
      <c r="M47" s="193"/>
      <c r="N47" s="201"/>
      <c r="O47" s="201"/>
      <c r="P47" s="201"/>
      <c r="Q47" s="201"/>
      <c r="R47" s="201"/>
      <c r="S47" s="180"/>
      <c r="T47" s="180"/>
      <c r="U47" s="201"/>
      <c r="V47" s="201"/>
      <c r="W47" s="201"/>
      <c r="X47" s="201"/>
      <c r="Y47" s="201"/>
      <c r="Z47" s="201"/>
      <c r="AA47" s="193"/>
      <c r="AB47" s="183"/>
      <c r="AC47" s="184"/>
      <c r="CY47" s="143"/>
      <c r="CZ47" s="143"/>
      <c r="DA47" s="143"/>
      <c r="DB47" s="143"/>
      <c r="DC47" s="143"/>
      <c r="DD47" s="143"/>
      <c r="DE47" s="143"/>
      <c r="DF47" s="143"/>
      <c r="DG47" s="143"/>
      <c r="DH47" s="143"/>
      <c r="DI47" s="143"/>
      <c r="DJ47" s="143"/>
      <c r="DK47" s="143"/>
      <c r="DL47" s="143"/>
      <c r="DM47" s="143"/>
      <c r="DN47" s="143"/>
      <c r="DO47" s="143"/>
      <c r="DP47" s="143"/>
      <c r="DQ47" s="143"/>
      <c r="DR47" s="143"/>
      <c r="DS47" s="143"/>
      <c r="DT47" s="143"/>
      <c r="DU47" s="143"/>
      <c r="DV47" s="143"/>
      <c r="DW47" s="143"/>
      <c r="DX47" s="143"/>
      <c r="DY47" s="148"/>
      <c r="DZ47" s="143"/>
      <c r="EA47" s="149"/>
    </row>
    <row r="48" spans="1:131" s="16" customFormat="1" ht="12.6" customHeight="1">
      <c r="A48" s="669"/>
      <c r="B48" s="174"/>
      <c r="C48" s="292"/>
      <c r="D48" s="293"/>
      <c r="E48" s="293"/>
      <c r="F48" s="294" t="s">
        <v>325</v>
      </c>
      <c r="G48" s="291"/>
      <c r="H48" s="179"/>
      <c r="I48" s="288"/>
      <c r="J48" s="19"/>
      <c r="K48" s="180"/>
      <c r="L48" s="180"/>
      <c r="M48" s="193"/>
      <c r="N48" s="201"/>
      <c r="O48" s="201"/>
      <c r="P48" s="201"/>
      <c r="Q48" s="201"/>
      <c r="R48" s="201"/>
      <c r="S48" s="180"/>
      <c r="T48" s="180"/>
      <c r="U48" s="201"/>
      <c r="V48" s="201"/>
      <c r="W48" s="201"/>
      <c r="X48" s="201"/>
      <c r="Y48" s="201"/>
      <c r="Z48" s="201"/>
      <c r="AA48" s="193"/>
      <c r="AB48" s="183"/>
      <c r="AC48" s="184"/>
      <c r="CY48" s="143"/>
      <c r="CZ48" s="143"/>
      <c r="DA48" s="143"/>
      <c r="DB48" s="143"/>
      <c r="DC48" s="143"/>
      <c r="DD48" s="143"/>
      <c r="DE48" s="143"/>
      <c r="DF48" s="143"/>
      <c r="DG48" s="143"/>
      <c r="DH48" s="143"/>
      <c r="DI48" s="143"/>
      <c r="DJ48" s="143"/>
      <c r="DK48" s="143"/>
      <c r="DL48" s="143"/>
      <c r="DM48" s="143"/>
      <c r="DN48" s="143"/>
      <c r="DO48" s="143"/>
      <c r="DP48" s="143"/>
      <c r="DQ48" s="143"/>
      <c r="DR48" s="143"/>
      <c r="DS48" s="143"/>
      <c r="DT48" s="143"/>
      <c r="DU48" s="143"/>
      <c r="DV48" s="143"/>
      <c r="DW48" s="143"/>
      <c r="DX48" s="143"/>
      <c r="DY48" s="148"/>
      <c r="DZ48" s="143"/>
      <c r="EA48" s="149"/>
    </row>
    <row r="49" spans="1:131" s="16" customFormat="1" ht="12.6" customHeight="1">
      <c r="A49" s="669"/>
      <c r="B49" s="174"/>
      <c r="C49" s="289"/>
      <c r="D49" s="290"/>
      <c r="E49" s="290"/>
      <c r="F49" s="296" t="s">
        <v>326</v>
      </c>
      <c r="G49" s="291"/>
      <c r="H49" s="179"/>
      <c r="I49" s="288"/>
      <c r="J49" s="19"/>
      <c r="K49" s="180"/>
      <c r="L49" s="180"/>
      <c r="M49" s="193"/>
      <c r="N49" s="201"/>
      <c r="O49" s="201"/>
      <c r="P49" s="201"/>
      <c r="Q49" s="201"/>
      <c r="R49" s="201"/>
      <c r="S49" s="180"/>
      <c r="T49" s="180"/>
      <c r="U49" s="201"/>
      <c r="V49" s="201"/>
      <c r="W49" s="201"/>
      <c r="X49" s="201"/>
      <c r="Y49" s="201"/>
      <c r="Z49" s="201"/>
      <c r="AA49" s="193"/>
      <c r="AB49" s="183"/>
      <c r="AC49" s="184"/>
      <c r="CY49" s="143"/>
      <c r="CZ49" s="143"/>
      <c r="DA49" s="143"/>
      <c r="DB49" s="143"/>
      <c r="DC49" s="143"/>
      <c r="DD49" s="143"/>
      <c r="DE49" s="143"/>
      <c r="DF49" s="143"/>
      <c r="DG49" s="143"/>
      <c r="DH49" s="143"/>
      <c r="DI49" s="143"/>
      <c r="DJ49" s="143"/>
      <c r="DK49" s="143"/>
      <c r="DL49" s="143"/>
      <c r="DM49" s="143"/>
      <c r="DN49" s="143"/>
      <c r="DO49" s="143"/>
      <c r="DP49" s="143"/>
      <c r="DQ49" s="143"/>
      <c r="DR49" s="143"/>
      <c r="DS49" s="143"/>
      <c r="DT49" s="143"/>
      <c r="DU49" s="143"/>
      <c r="DV49" s="143"/>
      <c r="DW49" s="143"/>
      <c r="DX49" s="143"/>
      <c r="DY49" s="148"/>
      <c r="DZ49" s="143"/>
      <c r="EA49" s="149"/>
    </row>
    <row r="50" spans="1:131" s="16" customFormat="1" ht="12.6" customHeight="1">
      <c r="A50" s="669"/>
      <c r="B50" s="174"/>
      <c r="C50" s="292"/>
      <c r="D50" s="293"/>
      <c r="E50" s="293"/>
      <c r="F50" s="294" t="s">
        <v>327</v>
      </c>
      <c r="G50" s="297">
        <f>SUM(G44:G49)</f>
        <v>0</v>
      </c>
      <c r="H50" s="179"/>
      <c r="I50" s="288"/>
      <c r="J50" s="19"/>
      <c r="K50" s="180"/>
      <c r="L50" s="180"/>
      <c r="M50" s="193"/>
      <c r="N50" s="201"/>
      <c r="O50" s="201"/>
      <c r="P50" s="201"/>
      <c r="Q50" s="201"/>
      <c r="R50" s="201"/>
      <c r="S50" s="180"/>
      <c r="T50" s="180"/>
      <c r="U50" s="201"/>
      <c r="V50" s="201"/>
      <c r="W50" s="201"/>
      <c r="X50" s="201"/>
      <c r="Y50" s="201"/>
      <c r="Z50" s="201"/>
      <c r="AA50" s="193"/>
      <c r="AB50" s="183"/>
      <c r="AC50" s="184"/>
      <c r="CY50" s="143"/>
      <c r="CZ50" s="143"/>
      <c r="DA50" s="143"/>
      <c r="DB50" s="143"/>
      <c r="DC50" s="143"/>
      <c r="DD50" s="143"/>
      <c r="DE50" s="143"/>
      <c r="DF50" s="143"/>
      <c r="DG50" s="143"/>
      <c r="DH50" s="143"/>
      <c r="DI50" s="143"/>
      <c r="DJ50" s="143"/>
      <c r="DK50" s="143"/>
      <c r="DL50" s="143"/>
      <c r="DM50" s="143"/>
      <c r="DN50" s="143"/>
      <c r="DO50" s="143"/>
      <c r="DP50" s="143"/>
      <c r="DQ50" s="143"/>
      <c r="DR50" s="143"/>
      <c r="DS50" s="143"/>
      <c r="DT50" s="143"/>
      <c r="DU50" s="143"/>
      <c r="DV50" s="143"/>
      <c r="DW50" s="143"/>
      <c r="DX50" s="143"/>
      <c r="DY50" s="148"/>
      <c r="DZ50" s="143"/>
      <c r="EA50" s="149"/>
    </row>
    <row r="51" spans="1:131" s="16" customFormat="1" ht="12.6" customHeight="1">
      <c r="A51" s="669"/>
      <c r="B51" s="174"/>
      <c r="C51" s="292"/>
      <c r="D51" s="293"/>
      <c r="E51" s="293"/>
      <c r="F51" s="294" t="s">
        <v>328</v>
      </c>
      <c r="G51" s="298">
        <f>$I$36</f>
        <v>0</v>
      </c>
      <c r="H51" s="179"/>
      <c r="I51" s="288"/>
      <c r="J51" s="19"/>
      <c r="K51" s="180"/>
      <c r="L51" s="180"/>
      <c r="M51" s="193"/>
      <c r="N51" s="201"/>
      <c r="O51" s="201"/>
      <c r="P51" s="201"/>
      <c r="Q51" s="201"/>
      <c r="R51" s="201"/>
      <c r="S51" s="180"/>
      <c r="T51" s="180"/>
      <c r="U51" s="201"/>
      <c r="V51" s="201"/>
      <c r="W51" s="201"/>
      <c r="X51" s="201"/>
      <c r="Y51" s="201"/>
      <c r="Z51" s="201"/>
      <c r="AA51" s="193"/>
      <c r="AB51" s="183"/>
      <c r="AC51" s="184"/>
      <c r="CY51" s="143"/>
      <c r="CZ51" s="143"/>
      <c r="DA51" s="143"/>
      <c r="DB51" s="143"/>
      <c r="DC51" s="143"/>
      <c r="DD51" s="143"/>
      <c r="DE51" s="143"/>
      <c r="DF51" s="143"/>
      <c r="DG51" s="143"/>
      <c r="DH51" s="143"/>
      <c r="DI51" s="143"/>
      <c r="DJ51" s="143"/>
      <c r="DK51" s="143"/>
      <c r="DL51" s="143"/>
      <c r="DM51" s="143"/>
      <c r="DN51" s="143"/>
      <c r="DO51" s="143"/>
      <c r="DP51" s="143"/>
      <c r="DQ51" s="143"/>
      <c r="DR51" s="143"/>
      <c r="DS51" s="143"/>
      <c r="DT51" s="143"/>
      <c r="DU51" s="143"/>
      <c r="DV51" s="143"/>
      <c r="DW51" s="143"/>
      <c r="DX51" s="143"/>
      <c r="DY51" s="148"/>
      <c r="DZ51" s="143"/>
      <c r="EA51" s="149"/>
    </row>
    <row r="52" spans="1:131" s="16" customFormat="1" ht="12.6" customHeight="1">
      <c r="A52" s="669"/>
      <c r="B52" s="174"/>
      <c r="C52" s="292"/>
      <c r="D52" s="293"/>
      <c r="E52" s="293"/>
      <c r="F52" s="294"/>
      <c r="G52" s="298"/>
      <c r="H52" s="179"/>
      <c r="I52" s="288"/>
      <c r="J52" s="19"/>
      <c r="K52" s="180"/>
      <c r="L52" s="180"/>
      <c r="M52" s="193"/>
      <c r="N52" s="201"/>
      <c r="O52" s="201"/>
      <c r="P52" s="201"/>
      <c r="Q52" s="201"/>
      <c r="R52" s="201"/>
      <c r="S52" s="180"/>
      <c r="T52" s="180"/>
      <c r="U52" s="201"/>
      <c r="V52" s="201"/>
      <c r="W52" s="201"/>
      <c r="X52" s="201"/>
      <c r="Y52" s="201"/>
      <c r="Z52" s="201"/>
      <c r="AA52" s="193"/>
      <c r="AB52" s="183"/>
      <c r="AC52" s="184"/>
      <c r="CY52" s="143"/>
      <c r="CZ52" s="143"/>
      <c r="DA52" s="143"/>
      <c r="DB52" s="143"/>
      <c r="DC52" s="143"/>
      <c r="DD52" s="143"/>
      <c r="DE52" s="143"/>
      <c r="DF52" s="143"/>
      <c r="DG52" s="143"/>
      <c r="DH52" s="143"/>
      <c r="DI52" s="143"/>
      <c r="DJ52" s="143"/>
      <c r="DK52" s="143"/>
      <c r="DL52" s="143"/>
      <c r="DM52" s="143"/>
      <c r="DN52" s="143"/>
      <c r="DO52" s="143"/>
      <c r="DP52" s="143"/>
      <c r="DQ52" s="143"/>
      <c r="DR52" s="143"/>
      <c r="DS52" s="143"/>
      <c r="DT52" s="143"/>
      <c r="DU52" s="143"/>
      <c r="DV52" s="143"/>
      <c r="DW52" s="143"/>
      <c r="DX52" s="143"/>
      <c r="DY52" s="148"/>
      <c r="DZ52" s="143"/>
      <c r="EA52" s="149"/>
    </row>
    <row r="53" spans="1:131" s="16" customFormat="1" ht="12.6" customHeight="1" thickBot="1">
      <c r="A53" s="669"/>
      <c r="B53" s="174"/>
      <c r="C53" s="292"/>
      <c r="D53" s="293"/>
      <c r="E53" s="293"/>
      <c r="F53" s="294" t="s">
        <v>329</v>
      </c>
      <c r="G53" s="299">
        <f>G50-G51</f>
        <v>0</v>
      </c>
      <c r="H53" s="179"/>
      <c r="I53" s="288"/>
      <c r="J53" s="19"/>
      <c r="K53" s="180"/>
      <c r="L53" s="180"/>
      <c r="M53" s="193"/>
      <c r="N53" s="201"/>
      <c r="O53" s="201"/>
      <c r="P53" s="201"/>
      <c r="Q53" s="201"/>
      <c r="R53" s="201"/>
      <c r="S53" s="180"/>
      <c r="T53" s="180"/>
      <c r="U53" s="201"/>
      <c r="V53" s="201"/>
      <c r="W53" s="201"/>
      <c r="X53" s="201"/>
      <c r="Y53" s="201"/>
      <c r="Z53" s="201"/>
      <c r="AA53" s="193"/>
      <c r="AB53" s="183"/>
      <c r="AC53" s="184"/>
      <c r="CY53" s="143"/>
      <c r="CZ53" s="143"/>
      <c r="DA53" s="143"/>
      <c r="DB53" s="143"/>
      <c r="DC53" s="143"/>
      <c r="DD53" s="143"/>
      <c r="DE53" s="143"/>
      <c r="DF53" s="143"/>
      <c r="DG53" s="143"/>
      <c r="DH53" s="143"/>
      <c r="DI53" s="143"/>
      <c r="DJ53" s="143"/>
      <c r="DK53" s="143"/>
      <c r="DL53" s="143"/>
      <c r="DM53" s="143"/>
      <c r="DN53" s="143"/>
      <c r="DO53" s="143"/>
      <c r="DP53" s="143"/>
      <c r="DQ53" s="143"/>
      <c r="DR53" s="143"/>
      <c r="DS53" s="143"/>
      <c r="DT53" s="143"/>
      <c r="DU53" s="143"/>
      <c r="DV53" s="143"/>
      <c r="DW53" s="143"/>
      <c r="DX53" s="143"/>
      <c r="DY53" s="148"/>
      <c r="DZ53" s="143"/>
      <c r="EA53" s="149"/>
    </row>
    <row r="54" spans="1:131" s="16" customFormat="1" ht="12.6" customHeight="1" thickTop="1">
      <c r="A54" s="669"/>
      <c r="B54" s="174"/>
      <c r="C54" s="292"/>
      <c r="D54" s="293"/>
      <c r="E54" s="293"/>
      <c r="F54" s="294"/>
      <c r="G54" s="300"/>
      <c r="H54" s="179"/>
      <c r="I54" s="288"/>
      <c r="J54" s="19"/>
      <c r="K54" s="180"/>
      <c r="L54" s="180"/>
      <c r="M54" s="193"/>
      <c r="N54" s="201"/>
      <c r="O54" s="201"/>
      <c r="P54" s="201"/>
      <c r="Q54" s="201"/>
      <c r="R54" s="201"/>
      <c r="S54" s="180"/>
      <c r="T54" s="180"/>
      <c r="U54" s="201"/>
      <c r="V54" s="201"/>
      <c r="W54" s="201"/>
      <c r="X54" s="201"/>
      <c r="Y54" s="201"/>
      <c r="Z54" s="201"/>
      <c r="AA54" s="193"/>
      <c r="AB54" s="183"/>
      <c r="AC54" s="184"/>
      <c r="CY54" s="143"/>
      <c r="CZ54" s="143"/>
      <c r="DA54" s="143"/>
      <c r="DB54" s="143"/>
      <c r="DC54" s="143"/>
      <c r="DD54" s="143"/>
      <c r="DE54" s="143"/>
      <c r="DF54" s="143"/>
      <c r="DG54" s="143"/>
      <c r="DH54" s="143"/>
      <c r="DI54" s="143"/>
      <c r="DJ54" s="143"/>
      <c r="DK54" s="143"/>
      <c r="DL54" s="143"/>
      <c r="DM54" s="143"/>
      <c r="DN54" s="143"/>
      <c r="DO54" s="143"/>
      <c r="DP54" s="143"/>
      <c r="DQ54" s="143"/>
      <c r="DR54" s="143"/>
      <c r="DS54" s="143"/>
      <c r="DT54" s="143"/>
      <c r="DU54" s="143"/>
      <c r="DV54" s="143"/>
      <c r="DW54" s="143"/>
      <c r="DX54" s="143"/>
      <c r="DY54" s="148"/>
      <c r="DZ54" s="143"/>
      <c r="EA54" s="149"/>
    </row>
    <row r="55" spans="1:131" s="16" customFormat="1" ht="12.6" customHeight="1" thickBot="1">
      <c r="A55" s="661"/>
      <c r="B55" s="174"/>
      <c r="C55" s="301"/>
      <c r="D55" s="302"/>
      <c r="E55" s="302"/>
      <c r="F55" s="302"/>
      <c r="G55" s="641"/>
      <c r="H55" s="302"/>
      <c r="I55" s="303"/>
      <c r="J55" s="19"/>
      <c r="K55" s="180"/>
      <c r="L55" s="180"/>
      <c r="M55" s="193"/>
      <c r="N55" s="201"/>
      <c r="O55" s="201"/>
      <c r="P55" s="201"/>
      <c r="Q55" s="201"/>
      <c r="R55" s="201"/>
      <c r="S55" s="180"/>
      <c r="T55" s="180"/>
      <c r="U55" s="201"/>
      <c r="V55" s="201"/>
      <c r="W55" s="201"/>
      <c r="X55" s="201"/>
      <c r="Y55" s="201"/>
      <c r="Z55" s="201"/>
      <c r="AA55" s="193"/>
      <c r="AB55" s="183"/>
      <c r="AC55" s="184"/>
      <c r="CY55" s="143"/>
      <c r="CZ55" s="143"/>
      <c r="DA55" s="143"/>
      <c r="DB55" s="143"/>
      <c r="DC55" s="143"/>
      <c r="DD55" s="143"/>
      <c r="DE55" s="143"/>
      <c r="DF55" s="143"/>
      <c r="DG55" s="143"/>
      <c r="DH55" s="143"/>
      <c r="DI55" s="143"/>
      <c r="DJ55" s="143"/>
      <c r="DK55" s="143"/>
      <c r="DL55" s="143"/>
      <c r="DM55" s="143"/>
      <c r="DN55" s="143"/>
      <c r="DO55" s="143"/>
      <c r="DP55" s="143"/>
      <c r="DQ55" s="143"/>
      <c r="DR55" s="143"/>
      <c r="DS55" s="143"/>
      <c r="DT55" s="143"/>
      <c r="DU55" s="143"/>
      <c r="DV55" s="143"/>
      <c r="DW55" s="143"/>
      <c r="DX55" s="143"/>
      <c r="DY55" s="148"/>
      <c r="DZ55" s="143"/>
      <c r="EA55" s="149"/>
    </row>
    <row r="56" spans="1:131" s="22" customFormat="1" ht="12.6" customHeight="1">
      <c r="A56" s="667"/>
      <c r="G56" s="262"/>
      <c r="H56" s="19"/>
      <c r="J56" s="262"/>
      <c r="K56" s="262"/>
      <c r="L56" s="262"/>
      <c r="N56" s="251"/>
      <c r="O56" s="251"/>
      <c r="P56" s="251"/>
      <c r="Q56" s="251"/>
      <c r="T56" s="251"/>
      <c r="U56" s="251"/>
      <c r="V56" s="251"/>
      <c r="W56" s="251"/>
      <c r="X56" s="251"/>
      <c r="Y56" s="251"/>
      <c r="AB56" s="251"/>
      <c r="AE56" s="214"/>
      <c r="AF56" s="214"/>
      <c r="AG56" s="214"/>
      <c r="AH56" s="214"/>
      <c r="AI56" s="214"/>
      <c r="AJ56" s="214"/>
      <c r="AK56" s="175"/>
      <c r="AL56" s="175"/>
      <c r="AM56" s="175"/>
      <c r="AN56" s="175"/>
      <c r="AO56" s="175"/>
      <c r="AP56" s="175"/>
      <c r="CW56" s="143"/>
      <c r="CX56" s="143"/>
      <c r="CY56" s="143"/>
      <c r="CZ56" s="143"/>
      <c r="DA56" s="143"/>
      <c r="DB56" s="143"/>
      <c r="DC56" s="143"/>
      <c r="DD56" s="143"/>
      <c r="DE56" s="143"/>
      <c r="DF56" s="143"/>
      <c r="DG56" s="143"/>
      <c r="DH56" s="143"/>
      <c r="DI56" s="143"/>
      <c r="DJ56" s="143"/>
      <c r="DK56" s="143"/>
      <c r="DL56" s="143"/>
      <c r="DM56" s="143"/>
      <c r="DN56" s="143"/>
      <c r="DO56" s="143"/>
      <c r="DP56" s="143"/>
      <c r="DQ56" s="143"/>
      <c r="DR56" s="143"/>
      <c r="DS56" s="143"/>
      <c r="DT56" s="143"/>
      <c r="DU56" s="143"/>
      <c r="DV56" s="143"/>
      <c r="DW56" s="148"/>
      <c r="DX56" s="143"/>
      <c r="DY56" s="149"/>
    </row>
    <row r="57" spans="1:131" s="6" customFormat="1" ht="13.35" customHeight="1">
      <c r="A57" s="655"/>
      <c r="G57" s="215"/>
      <c r="H57" s="19"/>
      <c r="I57" s="180"/>
      <c r="J57" s="215"/>
      <c r="CW57" s="143"/>
      <c r="CX57" s="143"/>
      <c r="CY57" s="143"/>
      <c r="CZ57" s="143"/>
      <c r="DA57" s="143"/>
      <c r="DB57" s="143"/>
      <c r="DC57" s="143"/>
      <c r="DD57" s="143"/>
      <c r="DE57" s="143"/>
      <c r="DF57" s="143"/>
      <c r="DG57" s="143"/>
      <c r="DH57" s="143"/>
      <c r="DI57" s="143"/>
      <c r="DJ57" s="143"/>
      <c r="DK57" s="143"/>
      <c r="DL57" s="143"/>
      <c r="DM57" s="143"/>
      <c r="DN57" s="143"/>
      <c r="DO57" s="143"/>
      <c r="DP57" s="143"/>
      <c r="DQ57" s="143"/>
      <c r="DR57" s="143"/>
      <c r="DS57" s="143"/>
      <c r="DT57" s="143"/>
      <c r="DU57" s="143"/>
      <c r="DV57" s="143"/>
      <c r="DW57" s="148"/>
      <c r="DX57" s="143"/>
      <c r="DY57" s="149"/>
    </row>
    <row r="58" spans="1:131" s="6" customFormat="1" ht="13.35" customHeight="1">
      <c r="A58" s="655"/>
      <c r="G58" s="215"/>
      <c r="H58" s="19"/>
      <c r="I58" s="180"/>
      <c r="J58" s="215"/>
      <c r="CW58" s="143"/>
      <c r="CX58" s="143"/>
      <c r="CY58" s="143"/>
      <c r="CZ58" s="143"/>
      <c r="DA58" s="143"/>
      <c r="DB58" s="143"/>
      <c r="DC58" s="143"/>
      <c r="DD58" s="143"/>
      <c r="DE58" s="143"/>
      <c r="DF58" s="143"/>
      <c r="DG58" s="143"/>
      <c r="DH58" s="143"/>
      <c r="DI58" s="143"/>
      <c r="DJ58" s="143"/>
      <c r="DK58" s="143"/>
      <c r="DL58" s="143"/>
      <c r="DM58" s="143"/>
      <c r="DN58" s="143"/>
      <c r="DO58" s="143"/>
      <c r="DP58" s="143"/>
      <c r="DQ58" s="143"/>
      <c r="DR58" s="143"/>
      <c r="DS58" s="143"/>
      <c r="DT58" s="143"/>
      <c r="DU58" s="143"/>
      <c r="DV58" s="143"/>
      <c r="DW58" s="148"/>
      <c r="DX58" s="143"/>
      <c r="DY58" s="149"/>
    </row>
    <row r="59" spans="1:131" s="13" customFormat="1" ht="13.35" customHeight="1" thickBot="1">
      <c r="A59" s="663"/>
      <c r="B59" s="88" t="s">
        <v>155</v>
      </c>
      <c r="C59" s="13" t="s">
        <v>189</v>
      </c>
      <c r="G59" s="137"/>
      <c r="H59" s="138"/>
      <c r="I59" s="180"/>
      <c r="J59" s="137"/>
      <c r="CV59" s="62"/>
      <c r="CW59" s="62"/>
      <c r="CX59" s="62"/>
      <c r="CY59" s="62"/>
      <c r="CZ59" s="62"/>
      <c r="DA59" s="62"/>
      <c r="DB59" s="62"/>
      <c r="DE59" s="62"/>
      <c r="DF59" s="62"/>
      <c r="DG59" s="62"/>
      <c r="DH59" s="62"/>
      <c r="DI59" s="62"/>
      <c r="DS59" s="69"/>
    </row>
    <row r="60" spans="1:131" s="17" customFormat="1" ht="12.6" customHeight="1">
      <c r="A60" s="664"/>
      <c r="C60" s="828"/>
      <c r="D60" s="829"/>
      <c r="E60" s="829"/>
      <c r="F60" s="829"/>
      <c r="G60" s="830"/>
      <c r="H60" s="139"/>
      <c r="I60" s="139"/>
      <c r="J60" s="139"/>
      <c r="CN60" s="13"/>
      <c r="CO60" s="13"/>
      <c r="CP60" s="13"/>
      <c r="CQ60" s="62"/>
      <c r="CR60" s="62"/>
      <c r="CS60" s="62"/>
      <c r="CT60" s="62"/>
      <c r="CU60" s="62"/>
      <c r="CV60" s="62"/>
      <c r="CW60" s="62"/>
      <c r="CX60" s="13"/>
      <c r="CY60" s="13"/>
      <c r="CZ60" s="62"/>
      <c r="DA60" s="62"/>
      <c r="DB60" s="62"/>
      <c r="DC60" s="62"/>
      <c r="DD60" s="62"/>
      <c r="DE60" s="13"/>
      <c r="DF60" s="13"/>
      <c r="DG60" s="13"/>
      <c r="DH60" s="13"/>
      <c r="DI60" s="13"/>
      <c r="DJ60" s="13"/>
      <c r="DK60" s="13"/>
      <c r="DL60" s="13"/>
      <c r="DM60" s="13"/>
      <c r="DN60" s="69"/>
      <c r="DO60" s="13"/>
      <c r="DP60" s="13"/>
    </row>
    <row r="61" spans="1:131" s="17" customFormat="1" ht="12.6" customHeight="1">
      <c r="A61" s="665"/>
      <c r="C61" s="831"/>
      <c r="D61" s="832"/>
      <c r="E61" s="832"/>
      <c r="F61" s="832"/>
      <c r="G61" s="833"/>
      <c r="H61" s="139"/>
      <c r="I61" s="139"/>
      <c r="J61" s="139"/>
      <c r="CN61" s="13"/>
      <c r="CO61" s="13"/>
      <c r="CP61" s="13"/>
      <c r="CQ61" s="62"/>
      <c r="CR61" s="62"/>
      <c r="CS61" s="62"/>
      <c r="CT61" s="62"/>
      <c r="CU61" s="62"/>
      <c r="CV61" s="62"/>
      <c r="CW61" s="62"/>
      <c r="CX61" s="13"/>
      <c r="CY61" s="13"/>
      <c r="CZ61" s="62"/>
      <c r="DA61" s="62"/>
      <c r="DB61" s="62"/>
      <c r="DC61" s="62"/>
      <c r="DD61" s="62"/>
      <c r="DE61" s="13"/>
      <c r="DF61" s="13"/>
      <c r="DG61" s="13"/>
      <c r="DH61" s="13"/>
      <c r="DI61" s="13"/>
      <c r="DJ61" s="13"/>
      <c r="DK61" s="13"/>
      <c r="DL61" s="13"/>
      <c r="DM61" s="13"/>
      <c r="DN61" s="69"/>
      <c r="DO61" s="13"/>
      <c r="DP61" s="13"/>
    </row>
    <row r="62" spans="1:131" s="17" customFormat="1" ht="12.6" customHeight="1" thickBot="1">
      <c r="A62" s="665"/>
      <c r="C62" s="834"/>
      <c r="D62" s="835"/>
      <c r="E62" s="835"/>
      <c r="F62" s="835"/>
      <c r="G62" s="836"/>
      <c r="H62" s="139"/>
      <c r="I62" s="139"/>
      <c r="J62" s="139"/>
      <c r="CN62" s="13"/>
      <c r="CO62" s="13"/>
      <c r="CP62" s="13"/>
      <c r="CQ62" s="62"/>
      <c r="CR62" s="62"/>
      <c r="CS62" s="62"/>
      <c r="CT62" s="62"/>
      <c r="CU62" s="62"/>
      <c r="CV62" s="62"/>
      <c r="CW62" s="62"/>
      <c r="CX62" s="13"/>
      <c r="CY62" s="13"/>
      <c r="CZ62" s="62"/>
      <c r="DA62" s="62"/>
      <c r="DB62" s="62"/>
      <c r="DC62" s="62"/>
      <c r="DD62" s="62"/>
      <c r="DE62" s="13"/>
      <c r="DF62" s="13"/>
      <c r="DG62" s="13"/>
      <c r="DH62" s="13"/>
      <c r="DI62" s="13"/>
      <c r="DJ62" s="13"/>
      <c r="DK62" s="13"/>
      <c r="DL62" s="13"/>
      <c r="DM62" s="13"/>
      <c r="DN62" s="13"/>
      <c r="DO62" s="13"/>
      <c r="DP62" s="13"/>
    </row>
    <row r="63" spans="1:131">
      <c r="A63" s="540"/>
      <c r="CW63" s="143"/>
      <c r="CX63" s="143"/>
      <c r="CY63" s="143"/>
      <c r="CZ63" s="143"/>
      <c r="DA63" s="143"/>
      <c r="DB63" s="143"/>
      <c r="DC63" s="143"/>
      <c r="DD63" s="143"/>
      <c r="DE63" s="143"/>
      <c r="DF63" s="143"/>
      <c r="DG63" s="143"/>
      <c r="DH63" s="143"/>
      <c r="DI63" s="143"/>
      <c r="DJ63" s="143"/>
      <c r="DK63" s="143"/>
      <c r="DL63" s="143"/>
      <c r="DM63" s="143"/>
      <c r="DN63" s="143"/>
      <c r="DO63" s="143"/>
      <c r="DP63" s="143"/>
      <c r="DQ63" s="143"/>
      <c r="DR63" s="143"/>
      <c r="DS63" s="143"/>
      <c r="DT63" s="143"/>
      <c r="DU63" s="143"/>
      <c r="DV63" s="143"/>
      <c r="DW63" s="148"/>
      <c r="DX63" s="143"/>
      <c r="DY63" s="149"/>
    </row>
    <row r="64" spans="1:131">
      <c r="A64" s="540"/>
      <c r="CW64" s="143"/>
      <c r="CX64" s="143"/>
      <c r="CY64" s="143"/>
      <c r="CZ64" s="143"/>
      <c r="DA64" s="143"/>
      <c r="DB64" s="143"/>
      <c r="DC64" s="143"/>
      <c r="DD64" s="143"/>
      <c r="DE64" s="143"/>
      <c r="DF64" s="143"/>
      <c r="DG64" s="143"/>
      <c r="DH64" s="143"/>
      <c r="DI64" s="143"/>
      <c r="DJ64" s="143"/>
      <c r="DK64" s="143"/>
      <c r="DL64" s="143"/>
      <c r="DM64" s="143"/>
      <c r="DN64" s="143"/>
      <c r="DO64" s="143"/>
      <c r="DP64" s="143"/>
      <c r="DQ64" s="143"/>
      <c r="DR64" s="143"/>
      <c r="DS64" s="143"/>
      <c r="DT64" s="143"/>
      <c r="DU64" s="143"/>
      <c r="DV64" s="143"/>
      <c r="DW64" s="148"/>
      <c r="DX64" s="143"/>
      <c r="DY64" s="149"/>
    </row>
    <row r="65" spans="1:129">
      <c r="A65" s="540"/>
      <c r="CW65" s="143"/>
      <c r="CX65" s="143"/>
      <c r="CY65" s="143"/>
      <c r="CZ65" s="143"/>
      <c r="DA65" s="143"/>
      <c r="DB65" s="143"/>
      <c r="DC65" s="143"/>
      <c r="DD65" s="143"/>
      <c r="DE65" s="143"/>
      <c r="DF65" s="143"/>
      <c r="DG65" s="143"/>
      <c r="DH65" s="143"/>
      <c r="DI65" s="143"/>
      <c r="DJ65" s="143"/>
      <c r="DK65" s="143"/>
      <c r="DL65" s="143"/>
      <c r="DM65" s="143"/>
      <c r="DN65" s="143"/>
      <c r="DO65" s="143"/>
      <c r="DP65" s="143"/>
      <c r="DQ65" s="143"/>
      <c r="DR65" s="143"/>
      <c r="DS65" s="143"/>
      <c r="DT65" s="143"/>
      <c r="DU65" s="143"/>
      <c r="DV65" s="143"/>
      <c r="DW65" s="148"/>
      <c r="DX65" s="143"/>
      <c r="DY65" s="149"/>
    </row>
    <row r="66" spans="1:129" ht="16.5">
      <c r="A66" s="540"/>
      <c r="B66" s="21" t="s">
        <v>292</v>
      </c>
      <c r="C66" s="140" t="s">
        <v>330</v>
      </c>
      <c r="CW66" s="143"/>
      <c r="CX66" s="143"/>
      <c r="CY66" s="143"/>
      <c r="CZ66" s="143"/>
      <c r="DA66" s="143"/>
      <c r="DB66" s="143"/>
      <c r="DC66" s="143"/>
      <c r="DD66" s="143"/>
      <c r="DE66" s="143"/>
      <c r="DF66" s="143"/>
      <c r="DG66" s="143"/>
      <c r="DH66" s="143"/>
      <c r="DI66" s="143"/>
      <c r="DJ66" s="143"/>
      <c r="DK66" s="143"/>
      <c r="DL66" s="143"/>
      <c r="DM66" s="143"/>
      <c r="DN66" s="143"/>
      <c r="DO66" s="143"/>
      <c r="DP66" s="143"/>
      <c r="DQ66" s="143"/>
      <c r="DR66" s="143"/>
      <c r="DS66" s="143"/>
      <c r="DT66" s="143"/>
      <c r="DU66" s="143"/>
      <c r="DV66" s="143"/>
      <c r="DW66" s="148"/>
      <c r="DX66" s="143"/>
      <c r="DY66" s="149"/>
    </row>
    <row r="67" spans="1:129">
      <c r="A67" s="540"/>
      <c r="CW67" s="143"/>
      <c r="CX67" s="143"/>
      <c r="CY67" s="143"/>
      <c r="CZ67" s="143"/>
      <c r="DA67" s="143"/>
      <c r="DB67" s="143"/>
      <c r="DC67" s="143"/>
      <c r="DD67" s="143"/>
      <c r="DE67" s="143"/>
      <c r="DF67" s="143"/>
      <c r="DG67" s="143"/>
      <c r="DH67" s="143"/>
      <c r="DI67" s="143"/>
      <c r="DJ67" s="143"/>
      <c r="DK67" s="143"/>
      <c r="DL67" s="143"/>
      <c r="DM67" s="143"/>
      <c r="DN67" s="143"/>
      <c r="DO67" s="143"/>
      <c r="DP67" s="143"/>
      <c r="DQ67" s="143"/>
      <c r="DR67" s="143"/>
      <c r="DS67" s="143"/>
      <c r="DT67" s="143"/>
      <c r="DU67" s="143"/>
      <c r="DV67" s="143"/>
      <c r="DW67" s="148"/>
      <c r="DX67" s="143"/>
      <c r="DY67" s="149"/>
    </row>
    <row r="68" spans="1:129">
      <c r="A68" s="540"/>
      <c r="CW68" s="143"/>
      <c r="CX68" s="143"/>
      <c r="CY68" s="143"/>
      <c r="CZ68" s="143"/>
      <c r="DA68" s="143"/>
      <c r="DB68" s="143"/>
      <c r="DC68" s="143"/>
      <c r="DD68" s="143"/>
      <c r="DE68" s="143"/>
      <c r="DF68" s="143"/>
      <c r="DG68" s="143"/>
      <c r="DH68" s="143"/>
      <c r="DI68" s="143"/>
      <c r="DJ68" s="143"/>
      <c r="DK68" s="143"/>
      <c r="DL68" s="143"/>
      <c r="DM68" s="143"/>
      <c r="DN68" s="143"/>
      <c r="DO68" s="143"/>
      <c r="DP68" s="143"/>
      <c r="DQ68" s="143"/>
      <c r="DR68" s="143"/>
      <c r="DS68" s="143"/>
      <c r="DT68" s="143"/>
      <c r="DU68" s="143"/>
      <c r="DV68" s="143"/>
      <c r="DW68" s="148"/>
      <c r="DX68" s="143"/>
      <c r="DY68" s="149"/>
    </row>
    <row r="69" spans="1:129">
      <c r="A69" s="540"/>
      <c r="CW69" s="143"/>
      <c r="CX69" s="143"/>
      <c r="CY69" s="143"/>
      <c r="CZ69" s="143"/>
      <c r="DA69" s="143"/>
      <c r="DB69" s="143"/>
      <c r="DC69" s="143"/>
      <c r="DD69" s="143"/>
      <c r="DE69" s="143"/>
      <c r="DF69" s="143"/>
      <c r="DG69" s="143"/>
      <c r="DH69" s="143"/>
      <c r="DI69" s="143"/>
      <c r="DJ69" s="143"/>
      <c r="DK69" s="143"/>
      <c r="DL69" s="143"/>
      <c r="DM69" s="143"/>
      <c r="DN69" s="143"/>
      <c r="DO69" s="143"/>
      <c r="DP69" s="143"/>
      <c r="DQ69" s="143"/>
      <c r="DR69" s="143"/>
      <c r="DS69" s="143"/>
      <c r="DT69" s="143"/>
      <c r="DU69" s="143"/>
      <c r="DV69" s="143"/>
      <c r="DW69" s="148"/>
      <c r="DX69" s="143"/>
      <c r="DY69" s="149"/>
    </row>
    <row r="70" spans="1:129">
      <c r="A70" s="540"/>
      <c r="CW70" s="143"/>
      <c r="CX70" s="143"/>
      <c r="CY70" s="143"/>
      <c r="CZ70" s="143"/>
      <c r="DA70" s="143"/>
      <c r="DB70" s="143"/>
      <c r="DC70" s="143"/>
      <c r="DD70" s="143"/>
      <c r="DE70" s="143"/>
      <c r="DF70" s="143"/>
      <c r="DG70" s="143"/>
      <c r="DH70" s="143"/>
      <c r="DI70" s="143"/>
      <c r="DJ70" s="143"/>
      <c r="DK70" s="143"/>
      <c r="DL70" s="143"/>
      <c r="DM70" s="143"/>
      <c r="DN70" s="143"/>
      <c r="DO70" s="143"/>
      <c r="DP70" s="143"/>
      <c r="DQ70" s="143"/>
      <c r="DR70" s="143"/>
      <c r="DS70" s="143"/>
      <c r="DT70" s="143"/>
      <c r="DU70" s="143"/>
      <c r="DV70" s="143"/>
      <c r="DW70" s="148"/>
      <c r="DX70" s="143"/>
      <c r="DY70" s="149"/>
    </row>
    <row r="71" spans="1:129">
      <c r="A71" s="540"/>
      <c r="CW71" s="143"/>
      <c r="CX71" s="143"/>
      <c r="CY71" s="143"/>
      <c r="CZ71" s="143"/>
      <c r="DA71" s="143"/>
      <c r="DB71" s="143"/>
      <c r="DC71" s="143"/>
      <c r="DD71" s="143"/>
      <c r="DE71" s="143"/>
      <c r="DF71" s="143"/>
      <c r="DG71" s="143"/>
      <c r="DH71" s="143"/>
      <c r="DI71" s="143"/>
      <c r="DJ71" s="143"/>
      <c r="DK71" s="143"/>
      <c r="DL71" s="143"/>
      <c r="DM71" s="143"/>
      <c r="DN71" s="143"/>
      <c r="DO71" s="143"/>
      <c r="DP71" s="143"/>
      <c r="DQ71" s="143"/>
      <c r="DR71" s="143"/>
      <c r="DS71" s="143"/>
      <c r="DT71" s="143"/>
      <c r="DU71" s="143"/>
      <c r="DV71" s="143"/>
      <c r="DW71" s="148"/>
      <c r="DX71" s="143"/>
      <c r="DY71" s="149"/>
    </row>
    <row r="72" spans="1:129">
      <c r="A72" s="540"/>
      <c r="CW72" s="143"/>
      <c r="CX72" s="143"/>
      <c r="CY72" s="143"/>
      <c r="CZ72" s="143"/>
      <c r="DA72" s="143"/>
      <c r="DB72" s="143"/>
      <c r="DC72" s="143"/>
      <c r="DD72" s="143"/>
      <c r="DE72" s="143"/>
      <c r="DF72" s="143"/>
      <c r="DG72" s="143"/>
      <c r="DH72" s="143"/>
      <c r="DI72" s="143"/>
      <c r="DJ72" s="143"/>
      <c r="DK72" s="143"/>
      <c r="DL72" s="143"/>
      <c r="DM72" s="143"/>
      <c r="DN72" s="143"/>
      <c r="DO72" s="143"/>
      <c r="DP72" s="143"/>
      <c r="DQ72" s="143"/>
      <c r="DR72" s="143"/>
      <c r="DS72" s="143"/>
      <c r="DT72" s="143"/>
      <c r="DU72" s="143"/>
      <c r="DV72" s="143"/>
      <c r="DW72" s="148"/>
      <c r="DX72" s="143"/>
      <c r="DY72" s="149"/>
    </row>
    <row r="73" spans="1:129">
      <c r="A73" s="540"/>
      <c r="CW73" s="143"/>
      <c r="CX73" s="143"/>
      <c r="CY73" s="143"/>
      <c r="CZ73" s="143"/>
      <c r="DA73" s="143"/>
      <c r="DB73" s="143"/>
      <c r="DC73" s="143"/>
      <c r="DD73" s="143"/>
      <c r="DE73" s="143"/>
      <c r="DF73" s="143"/>
      <c r="DG73" s="143"/>
      <c r="DH73" s="143"/>
      <c r="DI73" s="143"/>
      <c r="DJ73" s="143"/>
      <c r="DK73" s="143"/>
      <c r="DL73" s="143"/>
      <c r="DM73" s="143"/>
      <c r="DN73" s="143"/>
      <c r="DO73" s="143"/>
      <c r="DP73" s="143"/>
      <c r="DQ73" s="143"/>
      <c r="DR73" s="143"/>
      <c r="DS73" s="143"/>
      <c r="DT73" s="143"/>
      <c r="DU73" s="143"/>
      <c r="DV73" s="143"/>
      <c r="DW73" s="148"/>
      <c r="DX73" s="143"/>
      <c r="DY73" s="149"/>
    </row>
    <row r="74" spans="1:129">
      <c r="A74" s="540"/>
      <c r="CW74" s="143"/>
      <c r="CX74" s="143"/>
      <c r="CY74" s="143"/>
      <c r="CZ74" s="143"/>
      <c r="DA74" s="143"/>
      <c r="DB74" s="143"/>
      <c r="DC74" s="143"/>
      <c r="DD74" s="143"/>
      <c r="DE74" s="143"/>
      <c r="DF74" s="143"/>
      <c r="DG74" s="143"/>
      <c r="DH74" s="143"/>
      <c r="DI74" s="143"/>
      <c r="DJ74" s="143"/>
      <c r="DK74" s="143"/>
      <c r="DL74" s="143"/>
      <c r="DM74" s="143"/>
      <c r="DN74" s="143"/>
      <c r="DO74" s="143"/>
      <c r="DP74" s="143"/>
      <c r="DQ74" s="143"/>
      <c r="DR74" s="143"/>
      <c r="DS74" s="143"/>
      <c r="DT74" s="143"/>
      <c r="DU74" s="143"/>
      <c r="DV74" s="143"/>
      <c r="DW74" s="148"/>
      <c r="DX74" s="143"/>
      <c r="DY74" s="149"/>
    </row>
    <row r="75" spans="1:129">
      <c r="A75" s="540"/>
      <c r="CW75" s="143"/>
      <c r="CX75" s="143"/>
      <c r="CY75" s="143"/>
      <c r="CZ75" s="143"/>
      <c r="DA75" s="143"/>
      <c r="DB75" s="143"/>
      <c r="DC75" s="143"/>
      <c r="DD75" s="143"/>
      <c r="DE75" s="143"/>
      <c r="DF75" s="143"/>
      <c r="DG75" s="143"/>
      <c r="DH75" s="143"/>
      <c r="DI75" s="143"/>
      <c r="DJ75" s="143"/>
      <c r="DK75" s="143"/>
      <c r="DL75" s="143"/>
      <c r="DM75" s="143"/>
      <c r="DN75" s="143"/>
      <c r="DO75" s="143"/>
      <c r="DP75" s="143"/>
      <c r="DQ75" s="143"/>
      <c r="DR75" s="143"/>
      <c r="DS75" s="143"/>
      <c r="DT75" s="143"/>
      <c r="DU75" s="143"/>
      <c r="DV75" s="143"/>
      <c r="DW75" s="148"/>
      <c r="DX75" s="143"/>
      <c r="DY75" s="149"/>
    </row>
    <row r="76" spans="1:129">
      <c r="A76" s="540"/>
      <c r="CW76" s="143"/>
      <c r="CX76" s="143"/>
      <c r="CY76" s="143"/>
      <c r="CZ76" s="143"/>
      <c r="DA76" s="143"/>
      <c r="DB76" s="143"/>
      <c r="DC76" s="143"/>
      <c r="DD76" s="143"/>
      <c r="DE76" s="143"/>
      <c r="DF76" s="143"/>
      <c r="DG76" s="143"/>
      <c r="DH76" s="143"/>
      <c r="DI76" s="143"/>
      <c r="DJ76" s="143"/>
      <c r="DK76" s="143"/>
      <c r="DL76" s="143"/>
      <c r="DM76" s="143"/>
      <c r="DN76" s="143"/>
      <c r="DO76" s="143"/>
      <c r="DP76" s="143"/>
      <c r="DQ76" s="143"/>
      <c r="DR76" s="143"/>
      <c r="DS76" s="143"/>
      <c r="DT76" s="143"/>
      <c r="DU76" s="143"/>
      <c r="DV76" s="143"/>
      <c r="DW76" s="148"/>
      <c r="DX76" s="143"/>
      <c r="DY76" s="149"/>
    </row>
    <row r="77" spans="1:129">
      <c r="A77" s="540"/>
      <c r="CW77" s="143"/>
      <c r="CX77" s="143"/>
      <c r="CY77" s="143"/>
      <c r="CZ77" s="143"/>
      <c r="DA77" s="143"/>
      <c r="DB77" s="143"/>
      <c r="DC77" s="143"/>
      <c r="DD77" s="143"/>
      <c r="DE77" s="143"/>
      <c r="DF77" s="143"/>
      <c r="DG77" s="143"/>
      <c r="DH77" s="143"/>
      <c r="DI77" s="143"/>
      <c r="DJ77" s="143"/>
      <c r="DK77" s="143"/>
      <c r="DL77" s="143"/>
      <c r="DM77" s="143"/>
      <c r="DN77" s="143"/>
      <c r="DO77" s="143"/>
      <c r="DP77" s="143"/>
      <c r="DQ77" s="143"/>
      <c r="DR77" s="143"/>
      <c r="DS77" s="143"/>
      <c r="DT77" s="143"/>
      <c r="DU77" s="143"/>
      <c r="DV77" s="143"/>
      <c r="DW77" s="148"/>
      <c r="DX77" s="143"/>
      <c r="DY77" s="149"/>
    </row>
    <row r="78" spans="1:129">
      <c r="A78" s="540"/>
      <c r="CW78" s="143"/>
      <c r="CX78" s="143"/>
      <c r="CY78" s="143"/>
      <c r="CZ78" s="143"/>
      <c r="DA78" s="143"/>
      <c r="DB78" s="143"/>
      <c r="DC78" s="143"/>
      <c r="DD78" s="143"/>
      <c r="DE78" s="143"/>
      <c r="DF78" s="143"/>
      <c r="DG78" s="143"/>
      <c r="DH78" s="143"/>
      <c r="DI78" s="143"/>
      <c r="DJ78" s="143"/>
      <c r="DK78" s="143"/>
      <c r="DL78" s="143"/>
      <c r="DM78" s="143"/>
      <c r="DN78" s="143"/>
      <c r="DO78" s="143"/>
      <c r="DP78" s="143"/>
      <c r="DQ78" s="143"/>
      <c r="DR78" s="143"/>
      <c r="DS78" s="143"/>
      <c r="DT78" s="143"/>
      <c r="DU78" s="143"/>
      <c r="DV78" s="143"/>
      <c r="DW78" s="148"/>
      <c r="DX78" s="143"/>
      <c r="DY78" s="149"/>
    </row>
    <row r="79" spans="1:129">
      <c r="A79" s="540"/>
      <c r="CW79" s="143"/>
      <c r="CX79" s="143"/>
      <c r="CY79" s="143"/>
      <c r="CZ79" s="143"/>
      <c r="DA79" s="143"/>
      <c r="DB79" s="143"/>
      <c r="DC79" s="143"/>
      <c r="DD79" s="143"/>
      <c r="DE79" s="143"/>
      <c r="DF79" s="143"/>
      <c r="DG79" s="143"/>
      <c r="DH79" s="143"/>
      <c r="DI79" s="143"/>
      <c r="DJ79" s="143"/>
      <c r="DK79" s="143"/>
      <c r="DL79" s="143"/>
      <c r="DM79" s="143"/>
      <c r="DN79" s="143"/>
      <c r="DO79" s="143"/>
      <c r="DP79" s="143"/>
      <c r="DQ79" s="143"/>
      <c r="DR79" s="143"/>
      <c r="DS79" s="143"/>
      <c r="DT79" s="143"/>
      <c r="DU79" s="143"/>
      <c r="DV79" s="143"/>
      <c r="DW79" s="148"/>
      <c r="DX79" s="143"/>
      <c r="DY79" s="149"/>
    </row>
    <row r="80" spans="1:129">
      <c r="A80" s="540"/>
      <c r="CW80" s="143"/>
      <c r="CX80" s="143"/>
      <c r="CY80" s="143"/>
      <c r="CZ80" s="143"/>
      <c r="DA80" s="143"/>
      <c r="DB80" s="143"/>
      <c r="DC80" s="143"/>
      <c r="DD80" s="143"/>
      <c r="DE80" s="143"/>
      <c r="DF80" s="143"/>
      <c r="DG80" s="143"/>
      <c r="DH80" s="143"/>
      <c r="DI80" s="143"/>
      <c r="DJ80" s="143"/>
      <c r="DK80" s="143"/>
      <c r="DL80" s="143"/>
      <c r="DM80" s="143"/>
      <c r="DN80" s="143"/>
      <c r="DO80" s="143"/>
      <c r="DP80" s="143"/>
      <c r="DQ80" s="143"/>
      <c r="DR80" s="143"/>
      <c r="DS80" s="143"/>
      <c r="DT80" s="143"/>
      <c r="DU80" s="143"/>
      <c r="DV80" s="143"/>
      <c r="DW80" s="148"/>
      <c r="DX80" s="143"/>
      <c r="DY80" s="149"/>
    </row>
    <row r="81" spans="1:129">
      <c r="A81" s="540"/>
      <c r="CW81" s="143"/>
      <c r="CX81" s="143"/>
      <c r="CY81" s="143"/>
      <c r="CZ81" s="143"/>
      <c r="DA81" s="143"/>
      <c r="DB81" s="143"/>
      <c r="DC81" s="143"/>
      <c r="DD81" s="143"/>
      <c r="DE81" s="143"/>
      <c r="DF81" s="143"/>
      <c r="DG81" s="143"/>
      <c r="DH81" s="143"/>
      <c r="DI81" s="143"/>
      <c r="DJ81" s="143"/>
      <c r="DK81" s="143"/>
      <c r="DL81" s="143"/>
      <c r="DM81" s="143"/>
      <c r="DN81" s="143"/>
      <c r="DO81" s="143"/>
      <c r="DP81" s="143"/>
      <c r="DQ81" s="143"/>
      <c r="DR81" s="143"/>
      <c r="DS81" s="143"/>
      <c r="DT81" s="143"/>
      <c r="DU81" s="143"/>
      <c r="DV81" s="143"/>
      <c r="DW81" s="148"/>
      <c r="DX81" s="143"/>
      <c r="DY81" s="149"/>
    </row>
    <row r="82" spans="1:129">
      <c r="A82" s="540"/>
      <c r="CW82" s="143"/>
      <c r="CX82" s="143"/>
      <c r="CY82" s="143"/>
      <c r="CZ82" s="143"/>
      <c r="DA82" s="143"/>
      <c r="DB82" s="143"/>
      <c r="DC82" s="143"/>
      <c r="DD82" s="143"/>
      <c r="DE82" s="143"/>
      <c r="DF82" s="143"/>
      <c r="DG82" s="143"/>
      <c r="DH82" s="143"/>
      <c r="DI82" s="143"/>
      <c r="DJ82" s="143"/>
      <c r="DK82" s="143"/>
      <c r="DL82" s="143"/>
      <c r="DM82" s="143"/>
      <c r="DN82" s="143"/>
      <c r="DO82" s="143"/>
      <c r="DP82" s="143"/>
      <c r="DQ82" s="143"/>
      <c r="DR82" s="143"/>
      <c r="DS82" s="143"/>
      <c r="DT82" s="143"/>
      <c r="DU82" s="143"/>
      <c r="DV82" s="143"/>
      <c r="DW82" s="148"/>
      <c r="DX82" s="143"/>
      <c r="DY82" s="149"/>
    </row>
    <row r="83" spans="1:129">
      <c r="A83" s="540"/>
      <c r="CW83" s="143"/>
      <c r="CX83" s="143"/>
      <c r="CY83" s="143"/>
      <c r="CZ83" s="143"/>
      <c r="DA83" s="143"/>
      <c r="DB83" s="143"/>
      <c r="DC83" s="143"/>
      <c r="DD83" s="143"/>
      <c r="DE83" s="143"/>
      <c r="DF83" s="143"/>
      <c r="DG83" s="143"/>
      <c r="DH83" s="143"/>
      <c r="DI83" s="143"/>
      <c r="DJ83" s="143"/>
      <c r="DK83" s="143"/>
      <c r="DL83" s="143"/>
      <c r="DM83" s="143"/>
      <c r="DN83" s="143"/>
      <c r="DO83" s="143"/>
      <c r="DP83" s="143"/>
      <c r="DQ83" s="143"/>
      <c r="DR83" s="143"/>
      <c r="DS83" s="143"/>
      <c r="DT83" s="143"/>
      <c r="DU83" s="143"/>
      <c r="DV83" s="143"/>
      <c r="DW83" s="148"/>
      <c r="DX83" s="143"/>
      <c r="DY83" s="149"/>
    </row>
    <row r="84" spans="1:129">
      <c r="A84" s="540"/>
      <c r="CW84" s="143"/>
      <c r="CX84" s="143"/>
      <c r="CY84" s="143"/>
      <c r="CZ84" s="143"/>
      <c r="DA84" s="143"/>
      <c r="DB84" s="143"/>
      <c r="DC84" s="143"/>
      <c r="DD84" s="143"/>
      <c r="DE84" s="143"/>
      <c r="DF84" s="143"/>
      <c r="DG84" s="143"/>
      <c r="DH84" s="143"/>
      <c r="DI84" s="143"/>
      <c r="DJ84" s="143"/>
      <c r="DK84" s="143"/>
      <c r="DL84" s="143"/>
      <c r="DM84" s="143"/>
      <c r="DN84" s="143"/>
      <c r="DO84" s="143"/>
      <c r="DP84" s="143"/>
      <c r="DQ84" s="143"/>
      <c r="DR84" s="143"/>
      <c r="DS84" s="143"/>
      <c r="DT84" s="143"/>
      <c r="DU84" s="143"/>
      <c r="DV84" s="143"/>
      <c r="DW84" s="148"/>
      <c r="DX84" s="143"/>
      <c r="DY84" s="149"/>
    </row>
    <row r="85" spans="1:129">
      <c r="A85" s="540"/>
      <c r="CW85" s="143"/>
      <c r="CX85" s="143"/>
      <c r="CY85" s="143"/>
      <c r="CZ85" s="143"/>
      <c r="DA85" s="143"/>
      <c r="DB85" s="143"/>
      <c r="DC85" s="143"/>
      <c r="DD85" s="143"/>
      <c r="DE85" s="143"/>
      <c r="DF85" s="143"/>
      <c r="DG85" s="143"/>
      <c r="DH85" s="143"/>
      <c r="DI85" s="143"/>
      <c r="DJ85" s="143"/>
      <c r="DK85" s="143"/>
      <c r="DL85" s="143"/>
      <c r="DM85" s="143"/>
      <c r="DN85" s="143"/>
      <c r="DO85" s="143"/>
      <c r="DP85" s="143"/>
      <c r="DQ85" s="143"/>
      <c r="DR85" s="143"/>
      <c r="DS85" s="143"/>
      <c r="DT85" s="143"/>
      <c r="DU85" s="143"/>
      <c r="DV85" s="143"/>
      <c r="DW85" s="148"/>
      <c r="DX85" s="143"/>
      <c r="DY85" s="149"/>
    </row>
    <row r="86" spans="1:129">
      <c r="A86" s="540"/>
      <c r="CW86" s="143"/>
      <c r="CX86" s="143"/>
      <c r="CY86" s="143"/>
      <c r="CZ86" s="143"/>
      <c r="DA86" s="143"/>
      <c r="DB86" s="143"/>
      <c r="DC86" s="143"/>
      <c r="DD86" s="143"/>
      <c r="DE86" s="143"/>
      <c r="DF86" s="143"/>
      <c r="DG86" s="143"/>
      <c r="DH86" s="143"/>
      <c r="DI86" s="143"/>
      <c r="DJ86" s="143"/>
      <c r="DK86" s="143"/>
      <c r="DL86" s="143"/>
      <c r="DM86" s="143"/>
      <c r="DN86" s="143"/>
      <c r="DO86" s="143"/>
      <c r="DP86" s="143"/>
      <c r="DQ86" s="143"/>
      <c r="DR86" s="143"/>
      <c r="DS86" s="143"/>
      <c r="DT86" s="143"/>
      <c r="DU86" s="143"/>
      <c r="DV86" s="143"/>
      <c r="DW86" s="148"/>
      <c r="DX86" s="143"/>
      <c r="DY86" s="149"/>
    </row>
    <row r="87" spans="1:129">
      <c r="A87" s="540"/>
      <c r="CW87" s="143"/>
      <c r="CX87" s="143"/>
      <c r="CY87" s="143"/>
      <c r="CZ87" s="143"/>
      <c r="DA87" s="143"/>
      <c r="DB87" s="143"/>
      <c r="DC87" s="143"/>
      <c r="DD87" s="143"/>
      <c r="DE87" s="143"/>
      <c r="DF87" s="143"/>
      <c r="DG87" s="143"/>
      <c r="DH87" s="143"/>
      <c r="DI87" s="143"/>
      <c r="DJ87" s="143"/>
      <c r="DK87" s="143"/>
      <c r="DL87" s="143"/>
      <c r="DM87" s="143"/>
      <c r="DN87" s="143"/>
      <c r="DO87" s="143"/>
      <c r="DP87" s="143"/>
      <c r="DQ87" s="143"/>
      <c r="DR87" s="143"/>
      <c r="DS87" s="143"/>
      <c r="DT87" s="143"/>
      <c r="DU87" s="143"/>
      <c r="DV87" s="143"/>
      <c r="DW87" s="148"/>
      <c r="DX87" s="143"/>
      <c r="DY87" s="149"/>
    </row>
    <row r="88" spans="1:129">
      <c r="A88" s="540"/>
      <c r="CW88" s="143"/>
      <c r="CX88" s="143"/>
      <c r="CY88" s="143"/>
      <c r="CZ88" s="143"/>
      <c r="DA88" s="143"/>
      <c r="DB88" s="143"/>
      <c r="DC88" s="143"/>
      <c r="DD88" s="143"/>
      <c r="DE88" s="143"/>
      <c r="DF88" s="143"/>
      <c r="DG88" s="143"/>
      <c r="DH88" s="143"/>
      <c r="DI88" s="143"/>
      <c r="DJ88" s="143"/>
      <c r="DK88" s="143"/>
      <c r="DL88" s="143"/>
      <c r="DM88" s="143"/>
      <c r="DN88" s="143"/>
      <c r="DO88" s="143"/>
      <c r="DP88" s="143"/>
      <c r="DQ88" s="143"/>
      <c r="DR88" s="143"/>
      <c r="DS88" s="143"/>
      <c r="DT88" s="143"/>
      <c r="DU88" s="143"/>
      <c r="DV88" s="143"/>
      <c r="DW88" s="148"/>
      <c r="DX88" s="143"/>
      <c r="DY88" s="149"/>
    </row>
    <row r="89" spans="1:129">
      <c r="A89" s="540"/>
      <c r="CW89" s="143"/>
      <c r="CX89" s="143"/>
      <c r="CY89" s="143"/>
      <c r="CZ89" s="143"/>
      <c r="DA89" s="143"/>
      <c r="DB89" s="143"/>
      <c r="DC89" s="143"/>
      <c r="DD89" s="143"/>
      <c r="DE89" s="143"/>
      <c r="DF89" s="143"/>
      <c r="DG89" s="143"/>
      <c r="DH89" s="143"/>
      <c r="DI89" s="143"/>
      <c r="DJ89" s="143"/>
      <c r="DK89" s="143"/>
      <c r="DL89" s="143"/>
      <c r="DM89" s="143"/>
      <c r="DN89" s="143"/>
      <c r="DO89" s="143"/>
      <c r="DP89" s="143"/>
      <c r="DQ89" s="143"/>
      <c r="DR89" s="143"/>
      <c r="DS89" s="143"/>
      <c r="DT89" s="143"/>
      <c r="DU89" s="143"/>
      <c r="DV89" s="143"/>
      <c r="DW89" s="148"/>
      <c r="DX89" s="143"/>
      <c r="DY89" s="149"/>
    </row>
    <row r="90" spans="1:129">
      <c r="A90" s="540"/>
      <c r="CW90" s="143"/>
      <c r="CX90" s="143"/>
      <c r="CY90" s="143"/>
      <c r="CZ90" s="143"/>
      <c r="DA90" s="143"/>
      <c r="DB90" s="143"/>
      <c r="DC90" s="143"/>
      <c r="DD90" s="143"/>
      <c r="DE90" s="143"/>
      <c r="DF90" s="143"/>
      <c r="DG90" s="143"/>
      <c r="DH90" s="143"/>
      <c r="DI90" s="143"/>
      <c r="DJ90" s="143"/>
      <c r="DK90" s="143"/>
      <c r="DL90" s="143"/>
      <c r="DM90" s="143"/>
      <c r="DN90" s="143"/>
      <c r="DO90" s="143"/>
      <c r="DP90" s="143"/>
      <c r="DQ90" s="143"/>
      <c r="DR90" s="143"/>
      <c r="DS90" s="143"/>
      <c r="DT90" s="143"/>
      <c r="DU90" s="143"/>
      <c r="DV90" s="143"/>
      <c r="DW90" s="148"/>
      <c r="DX90" s="143"/>
      <c r="DY90" s="149"/>
    </row>
    <row r="91" spans="1:129">
      <c r="A91" s="540"/>
      <c r="CW91" s="143"/>
      <c r="CX91" s="143"/>
      <c r="CY91" s="143"/>
      <c r="CZ91" s="143"/>
      <c r="DA91" s="143"/>
      <c r="DB91" s="143"/>
      <c r="DC91" s="143"/>
      <c r="DD91" s="143"/>
      <c r="DE91" s="143"/>
      <c r="DF91" s="143"/>
      <c r="DG91" s="143"/>
      <c r="DH91" s="143"/>
      <c r="DI91" s="143"/>
      <c r="DJ91" s="143"/>
      <c r="DK91" s="143"/>
      <c r="DL91" s="143"/>
      <c r="DM91" s="143"/>
      <c r="DN91" s="143"/>
      <c r="DO91" s="143"/>
      <c r="DP91" s="143"/>
      <c r="DQ91" s="143"/>
      <c r="DR91" s="143"/>
      <c r="DS91" s="143"/>
      <c r="DT91" s="143"/>
      <c r="DU91" s="143"/>
      <c r="DV91" s="143"/>
      <c r="DW91" s="148"/>
      <c r="DX91" s="143"/>
      <c r="DY91" s="149"/>
    </row>
    <row r="92" spans="1:129">
      <c r="A92" s="540"/>
      <c r="CW92" s="143"/>
      <c r="CX92" s="143"/>
      <c r="CY92" s="143"/>
      <c r="CZ92" s="143"/>
      <c r="DA92" s="143"/>
      <c r="DB92" s="143"/>
      <c r="DC92" s="143"/>
      <c r="DD92" s="143"/>
      <c r="DE92" s="143"/>
      <c r="DF92" s="143"/>
      <c r="DG92" s="143"/>
      <c r="DH92" s="143"/>
      <c r="DI92" s="143"/>
      <c r="DJ92" s="143"/>
      <c r="DK92" s="143"/>
      <c r="DL92" s="143"/>
      <c r="DM92" s="143"/>
      <c r="DN92" s="143"/>
      <c r="DO92" s="143"/>
      <c r="DP92" s="143"/>
      <c r="DQ92" s="143"/>
      <c r="DR92" s="143"/>
      <c r="DS92" s="143"/>
      <c r="DT92" s="143"/>
      <c r="DU92" s="143"/>
      <c r="DV92" s="143"/>
      <c r="DW92" s="148"/>
      <c r="DX92" s="143"/>
      <c r="DY92" s="149"/>
    </row>
    <row r="93" spans="1:129">
      <c r="A93" s="540"/>
      <c r="CW93" s="143"/>
      <c r="CX93" s="143"/>
      <c r="CY93" s="143"/>
      <c r="CZ93" s="143"/>
      <c r="DA93" s="143"/>
      <c r="DB93" s="143"/>
      <c r="DC93" s="143"/>
      <c r="DD93" s="143"/>
      <c r="DE93" s="143"/>
      <c r="DF93" s="143"/>
      <c r="DG93" s="143"/>
      <c r="DH93" s="143"/>
      <c r="DI93" s="143"/>
      <c r="DJ93" s="143"/>
      <c r="DK93" s="143"/>
      <c r="DL93" s="143"/>
      <c r="DM93" s="143"/>
      <c r="DN93" s="143"/>
      <c r="DO93" s="143"/>
      <c r="DP93" s="143"/>
      <c r="DQ93" s="143"/>
      <c r="DR93" s="143"/>
      <c r="DS93" s="143"/>
      <c r="DT93" s="143"/>
      <c r="DU93" s="143"/>
      <c r="DV93" s="143"/>
      <c r="DW93" s="148"/>
      <c r="DX93" s="143"/>
      <c r="DY93" s="149"/>
    </row>
    <row r="94" spans="1:129">
      <c r="A94" s="540"/>
      <c r="CW94" s="143"/>
      <c r="CX94" s="143"/>
      <c r="CY94" s="143"/>
      <c r="CZ94" s="143"/>
      <c r="DA94" s="143"/>
      <c r="DB94" s="143"/>
      <c r="DC94" s="143"/>
      <c r="DD94" s="143"/>
      <c r="DE94" s="143"/>
      <c r="DF94" s="143"/>
      <c r="DG94" s="143"/>
      <c r="DH94" s="143"/>
      <c r="DI94" s="143"/>
      <c r="DJ94" s="143"/>
      <c r="DK94" s="143"/>
      <c r="DL94" s="143"/>
      <c r="DM94" s="143"/>
      <c r="DN94" s="143"/>
      <c r="DO94" s="143"/>
      <c r="DP94" s="143"/>
      <c r="DQ94" s="143"/>
      <c r="DR94" s="143"/>
      <c r="DS94" s="143"/>
      <c r="DT94" s="143"/>
      <c r="DU94" s="143"/>
      <c r="DV94" s="143"/>
      <c r="DW94" s="148"/>
      <c r="DX94" s="143"/>
      <c r="DY94" s="149"/>
    </row>
    <row r="95" spans="1:129">
      <c r="A95" s="540"/>
      <c r="CW95" s="143"/>
      <c r="CX95" s="143"/>
      <c r="CY95" s="143"/>
      <c r="CZ95" s="143"/>
      <c r="DA95" s="143"/>
      <c r="DB95" s="143"/>
      <c r="DC95" s="143"/>
      <c r="DD95" s="143"/>
      <c r="DE95" s="143"/>
      <c r="DF95" s="143"/>
      <c r="DG95" s="143"/>
      <c r="DH95" s="143"/>
      <c r="DI95" s="143"/>
      <c r="DJ95" s="143"/>
      <c r="DK95" s="143"/>
      <c r="DL95" s="143"/>
      <c r="DM95" s="143"/>
      <c r="DN95" s="143"/>
      <c r="DO95" s="143"/>
      <c r="DP95" s="143"/>
      <c r="DQ95" s="143"/>
      <c r="DR95" s="143"/>
      <c r="DS95" s="143"/>
      <c r="DT95" s="143"/>
      <c r="DU95" s="143"/>
      <c r="DV95" s="143"/>
      <c r="DW95" s="148"/>
      <c r="DX95" s="143"/>
      <c r="DY95" s="149"/>
    </row>
    <row r="96" spans="1:129">
      <c r="A96" s="540"/>
      <c r="CW96" s="143"/>
      <c r="CX96" s="143"/>
      <c r="CY96" s="143"/>
      <c r="CZ96" s="143"/>
      <c r="DA96" s="143"/>
      <c r="DB96" s="143"/>
      <c r="DC96" s="143"/>
      <c r="DD96" s="143"/>
      <c r="DE96" s="143"/>
      <c r="DF96" s="143"/>
      <c r="DG96" s="143"/>
      <c r="DH96" s="143"/>
      <c r="DI96" s="143"/>
      <c r="DJ96" s="143"/>
      <c r="DK96" s="143"/>
      <c r="DL96" s="143"/>
      <c r="DM96" s="143"/>
      <c r="DN96" s="143"/>
      <c r="DO96" s="143"/>
      <c r="DP96" s="143"/>
      <c r="DQ96" s="143"/>
      <c r="DR96" s="143"/>
      <c r="DS96" s="143"/>
      <c r="DT96" s="143"/>
      <c r="DU96" s="143"/>
      <c r="DV96" s="143"/>
      <c r="DW96" s="148"/>
      <c r="DX96" s="143"/>
      <c r="DY96" s="149"/>
    </row>
    <row r="97" spans="1:129">
      <c r="A97" s="540"/>
      <c r="CW97" s="143"/>
      <c r="CX97" s="143"/>
      <c r="CY97" s="143"/>
      <c r="CZ97" s="143"/>
      <c r="DA97" s="143"/>
      <c r="DB97" s="143"/>
      <c r="DC97" s="143"/>
      <c r="DD97" s="143"/>
      <c r="DE97" s="143"/>
      <c r="DF97" s="143"/>
      <c r="DG97" s="143"/>
      <c r="DH97" s="143"/>
      <c r="DI97" s="143"/>
      <c r="DJ97" s="143"/>
      <c r="DK97" s="143"/>
      <c r="DL97" s="143"/>
      <c r="DM97" s="143"/>
      <c r="DN97" s="143"/>
      <c r="DO97" s="143"/>
      <c r="DP97" s="143"/>
      <c r="DQ97" s="143"/>
      <c r="DR97" s="143"/>
      <c r="DS97" s="143"/>
      <c r="DT97" s="143"/>
      <c r="DU97" s="143"/>
      <c r="DV97" s="143"/>
      <c r="DW97" s="148"/>
      <c r="DX97" s="143"/>
      <c r="DY97" s="149"/>
    </row>
    <row r="98" spans="1:129">
      <c r="A98" s="540"/>
      <c r="CW98" s="143"/>
      <c r="CX98" s="143"/>
      <c r="CY98" s="143"/>
      <c r="CZ98" s="143"/>
      <c r="DA98" s="143"/>
      <c r="DB98" s="143"/>
      <c r="DC98" s="143"/>
      <c r="DD98" s="143"/>
      <c r="DE98" s="143"/>
      <c r="DF98" s="143"/>
      <c r="DG98" s="143"/>
      <c r="DH98" s="143"/>
      <c r="DI98" s="143"/>
      <c r="DJ98" s="143"/>
      <c r="DK98" s="143"/>
      <c r="DL98" s="143"/>
      <c r="DM98" s="143"/>
      <c r="DN98" s="143"/>
      <c r="DO98" s="143"/>
      <c r="DP98" s="143"/>
      <c r="DQ98" s="143"/>
      <c r="DR98" s="143"/>
      <c r="DS98" s="143"/>
      <c r="DT98" s="143"/>
      <c r="DU98" s="143"/>
      <c r="DV98" s="143"/>
      <c r="DW98" s="148"/>
      <c r="DX98" s="143"/>
      <c r="DY98" s="149"/>
    </row>
    <row r="99" spans="1:129">
      <c r="A99" s="540"/>
      <c r="CW99" s="143"/>
      <c r="CX99" s="143"/>
      <c r="CY99" s="143"/>
      <c r="CZ99" s="143"/>
      <c r="DA99" s="143"/>
      <c r="DB99" s="143"/>
      <c r="DC99" s="143"/>
      <c r="DD99" s="143"/>
      <c r="DE99" s="143"/>
      <c r="DF99" s="143"/>
      <c r="DG99" s="143"/>
      <c r="DH99" s="143"/>
      <c r="DI99" s="143"/>
      <c r="DJ99" s="143"/>
      <c r="DK99" s="143"/>
      <c r="DL99" s="143"/>
      <c r="DM99" s="143"/>
      <c r="DN99" s="143"/>
      <c r="DO99" s="143"/>
      <c r="DP99" s="143"/>
      <c r="DQ99" s="143"/>
      <c r="DR99" s="143"/>
      <c r="DS99" s="143"/>
      <c r="DT99" s="143"/>
      <c r="DU99" s="143"/>
      <c r="DV99" s="143"/>
      <c r="DW99" s="148"/>
      <c r="DX99" s="143"/>
      <c r="DY99" s="149"/>
    </row>
    <row r="100" spans="1:129">
      <c r="A100" s="540"/>
      <c r="CW100" s="143"/>
      <c r="CX100" s="143"/>
      <c r="CY100" s="143"/>
      <c r="CZ100" s="143"/>
      <c r="DA100" s="143"/>
      <c r="DB100" s="143"/>
      <c r="DC100" s="143"/>
      <c r="DD100" s="143"/>
      <c r="DE100" s="143"/>
      <c r="DF100" s="143"/>
      <c r="DG100" s="143"/>
      <c r="DH100" s="143"/>
      <c r="DI100" s="143"/>
      <c r="DJ100" s="143"/>
      <c r="DK100" s="143"/>
      <c r="DL100" s="143"/>
      <c r="DM100" s="143"/>
      <c r="DN100" s="143"/>
      <c r="DO100" s="143"/>
      <c r="DP100" s="143"/>
      <c r="DQ100" s="143"/>
      <c r="DR100" s="143"/>
      <c r="DS100" s="143"/>
      <c r="DT100" s="143"/>
      <c r="DU100" s="143"/>
      <c r="DV100" s="143"/>
      <c r="DW100" s="148"/>
      <c r="DX100" s="143"/>
      <c r="DY100" s="149"/>
    </row>
    <row r="101" spans="1:129">
      <c r="A101" s="540"/>
      <c r="CW101" s="143"/>
      <c r="CX101" s="143"/>
      <c r="CY101" s="143"/>
      <c r="CZ101" s="143"/>
      <c r="DA101" s="143"/>
      <c r="DB101" s="143"/>
      <c r="DC101" s="143"/>
      <c r="DD101" s="143"/>
      <c r="DE101" s="143"/>
      <c r="DF101" s="143"/>
      <c r="DG101" s="143"/>
      <c r="DH101" s="143"/>
      <c r="DI101" s="143"/>
      <c r="DJ101" s="143"/>
      <c r="DK101" s="143"/>
      <c r="DL101" s="143"/>
      <c r="DM101" s="143"/>
      <c r="DN101" s="143"/>
      <c r="DO101" s="143"/>
      <c r="DP101" s="143"/>
      <c r="DQ101" s="143"/>
      <c r="DR101" s="143"/>
      <c r="DS101" s="143"/>
      <c r="DT101" s="143"/>
      <c r="DU101" s="143"/>
      <c r="DV101" s="143"/>
      <c r="DW101" s="148"/>
      <c r="DX101" s="143"/>
      <c r="DY101" s="149"/>
    </row>
    <row r="102" spans="1:129">
      <c r="A102" s="540"/>
      <c r="CW102" s="143"/>
      <c r="CX102" s="143"/>
      <c r="CY102" s="143"/>
      <c r="CZ102" s="143"/>
      <c r="DA102" s="143"/>
      <c r="DB102" s="143"/>
      <c r="DC102" s="143"/>
      <c r="DD102" s="143"/>
      <c r="DE102" s="143"/>
      <c r="DF102" s="143"/>
      <c r="DG102" s="143"/>
      <c r="DH102" s="143"/>
      <c r="DI102" s="143"/>
      <c r="DJ102" s="143"/>
      <c r="DK102" s="143"/>
      <c r="DL102" s="143"/>
      <c r="DM102" s="143"/>
      <c r="DN102" s="143"/>
      <c r="DO102" s="143"/>
      <c r="DP102" s="143"/>
      <c r="DQ102" s="143"/>
      <c r="DR102" s="143"/>
      <c r="DS102" s="143"/>
      <c r="DT102" s="143"/>
      <c r="DU102" s="143"/>
      <c r="DV102" s="143"/>
      <c r="DW102" s="148"/>
      <c r="DX102" s="143"/>
      <c r="DY102" s="149"/>
    </row>
    <row r="103" spans="1:129">
      <c r="A103" s="540"/>
      <c r="CW103" s="143"/>
      <c r="CX103" s="143"/>
      <c r="CY103" s="143"/>
      <c r="CZ103" s="143"/>
      <c r="DA103" s="143"/>
      <c r="DB103" s="143"/>
      <c r="DC103" s="143"/>
      <c r="DD103" s="143"/>
      <c r="DE103" s="143"/>
      <c r="DF103" s="143"/>
      <c r="DG103" s="143"/>
      <c r="DH103" s="143"/>
      <c r="DI103" s="143"/>
      <c r="DJ103" s="143"/>
      <c r="DK103" s="143"/>
      <c r="DL103" s="143"/>
      <c r="DM103" s="143"/>
      <c r="DN103" s="143"/>
      <c r="DO103" s="143"/>
      <c r="DP103" s="143"/>
      <c r="DQ103" s="143"/>
      <c r="DR103" s="143"/>
      <c r="DS103" s="143"/>
      <c r="DT103" s="143"/>
      <c r="DU103" s="143"/>
      <c r="DV103" s="143"/>
      <c r="DW103" s="148"/>
      <c r="DX103" s="143"/>
      <c r="DY103" s="149"/>
    </row>
    <row r="104" spans="1:129">
      <c r="A104" s="540"/>
      <c r="CW104" s="143"/>
      <c r="CX104" s="143"/>
      <c r="CY104" s="143"/>
      <c r="CZ104" s="143"/>
      <c r="DA104" s="143"/>
      <c r="DB104" s="143"/>
      <c r="DC104" s="143"/>
      <c r="DD104" s="143"/>
      <c r="DE104" s="143"/>
      <c r="DF104" s="143"/>
      <c r="DG104" s="143"/>
      <c r="DH104" s="143"/>
      <c r="DI104" s="143"/>
      <c r="DJ104" s="143"/>
      <c r="DK104" s="143"/>
      <c r="DL104" s="143"/>
      <c r="DM104" s="143"/>
      <c r="DN104" s="143"/>
      <c r="DO104" s="143"/>
      <c r="DP104" s="143"/>
      <c r="DQ104" s="143"/>
      <c r="DR104" s="143"/>
      <c r="DS104" s="143"/>
      <c r="DT104" s="143"/>
      <c r="DU104" s="143"/>
      <c r="DV104" s="143"/>
      <c r="DW104" s="148"/>
      <c r="DX104" s="143"/>
      <c r="DY104" s="149"/>
    </row>
    <row r="105" spans="1:129">
      <c r="A105" s="540"/>
      <c r="CW105" s="143"/>
      <c r="CX105" s="143"/>
      <c r="CY105" s="143"/>
      <c r="CZ105" s="143"/>
      <c r="DA105" s="143"/>
      <c r="DB105" s="143"/>
      <c r="DC105" s="143"/>
      <c r="DD105" s="143"/>
      <c r="DE105" s="143"/>
      <c r="DF105" s="143"/>
      <c r="DG105" s="143"/>
      <c r="DH105" s="143"/>
      <c r="DI105" s="143"/>
      <c r="DJ105" s="143"/>
      <c r="DK105" s="143"/>
      <c r="DL105" s="143"/>
      <c r="DM105" s="143"/>
      <c r="DN105" s="143"/>
      <c r="DO105" s="143"/>
      <c r="DP105" s="143"/>
      <c r="DQ105" s="143"/>
      <c r="DR105" s="143"/>
      <c r="DS105" s="143"/>
      <c r="DT105" s="143"/>
      <c r="DU105" s="143"/>
      <c r="DV105" s="143"/>
      <c r="DW105" s="148"/>
      <c r="DX105" s="143"/>
      <c r="DY105" s="149"/>
    </row>
    <row r="106" spans="1:129">
      <c r="A106" s="540"/>
      <c r="CW106" s="143"/>
      <c r="CX106" s="143"/>
      <c r="CY106" s="143"/>
      <c r="CZ106" s="143"/>
      <c r="DA106" s="143"/>
      <c r="DB106" s="143"/>
      <c r="DC106" s="143"/>
      <c r="DD106" s="143"/>
      <c r="DE106" s="143"/>
      <c r="DF106" s="143"/>
      <c r="DG106" s="143"/>
      <c r="DH106" s="143"/>
      <c r="DI106" s="143"/>
      <c r="DJ106" s="143"/>
      <c r="DK106" s="143"/>
      <c r="DL106" s="143"/>
      <c r="DM106" s="143"/>
      <c r="DN106" s="143"/>
      <c r="DO106" s="143"/>
      <c r="DP106" s="143"/>
      <c r="DQ106" s="143"/>
      <c r="DR106" s="143"/>
      <c r="DS106" s="143"/>
      <c r="DT106" s="143"/>
      <c r="DU106" s="143"/>
      <c r="DV106" s="143"/>
      <c r="DW106" s="148"/>
      <c r="DX106" s="143"/>
      <c r="DY106" s="149"/>
    </row>
    <row r="107" spans="1:129">
      <c r="A107" s="540"/>
      <c r="CW107" s="143"/>
      <c r="CX107" s="143"/>
      <c r="CY107" s="143"/>
      <c r="CZ107" s="143"/>
      <c r="DA107" s="143"/>
      <c r="DB107" s="143"/>
      <c r="DC107" s="143"/>
      <c r="DD107" s="143"/>
      <c r="DE107" s="143"/>
      <c r="DF107" s="143"/>
      <c r="DG107" s="143"/>
      <c r="DH107" s="143"/>
      <c r="DI107" s="143"/>
      <c r="DJ107" s="143"/>
      <c r="DK107" s="143"/>
      <c r="DL107" s="143"/>
      <c r="DM107" s="143"/>
      <c r="DN107" s="143"/>
      <c r="DO107" s="143"/>
      <c r="DP107" s="143"/>
      <c r="DQ107" s="143"/>
      <c r="DR107" s="143"/>
      <c r="DS107" s="143"/>
      <c r="DT107" s="143"/>
      <c r="DU107" s="143"/>
      <c r="DV107" s="143"/>
      <c r="DW107" s="148"/>
      <c r="DX107" s="143"/>
      <c r="DY107" s="149"/>
    </row>
    <row r="108" spans="1:129">
      <c r="A108" s="540"/>
      <c r="CW108" s="143"/>
      <c r="CX108" s="143"/>
      <c r="CY108" s="143"/>
      <c r="CZ108" s="143"/>
      <c r="DA108" s="143"/>
      <c r="DB108" s="143"/>
      <c r="DC108" s="143"/>
      <c r="DD108" s="143"/>
      <c r="DE108" s="143"/>
      <c r="DF108" s="143"/>
      <c r="DG108" s="143"/>
      <c r="DH108" s="143"/>
      <c r="DI108" s="143"/>
      <c r="DJ108" s="143"/>
      <c r="DK108" s="143"/>
      <c r="DL108" s="143"/>
      <c r="DM108" s="143"/>
      <c r="DN108" s="143"/>
      <c r="DO108" s="143"/>
      <c r="DP108" s="143"/>
      <c r="DQ108" s="143"/>
      <c r="DR108" s="143"/>
      <c r="DS108" s="143"/>
      <c r="DT108" s="143"/>
      <c r="DU108" s="143"/>
      <c r="DV108" s="143"/>
      <c r="DW108" s="148"/>
      <c r="DX108" s="143"/>
      <c r="DY108" s="149"/>
    </row>
    <row r="109" spans="1:129">
      <c r="A109" s="540"/>
      <c r="CW109" s="143"/>
      <c r="CX109" s="143"/>
      <c r="CY109" s="143"/>
      <c r="CZ109" s="143"/>
      <c r="DA109" s="143"/>
      <c r="DB109" s="143"/>
      <c r="DC109" s="143"/>
      <c r="DD109" s="143"/>
      <c r="DE109" s="143"/>
      <c r="DF109" s="143"/>
      <c r="DG109" s="143"/>
      <c r="DH109" s="143"/>
      <c r="DI109" s="143"/>
      <c r="DJ109" s="143"/>
      <c r="DK109" s="143"/>
      <c r="DL109" s="143"/>
      <c r="DM109" s="143"/>
      <c r="DN109" s="143"/>
      <c r="DO109" s="143"/>
      <c r="DP109" s="143"/>
      <c r="DQ109" s="143"/>
      <c r="DR109" s="143"/>
      <c r="DS109" s="143"/>
      <c r="DT109" s="143"/>
      <c r="DU109" s="143"/>
      <c r="DV109" s="143"/>
      <c r="DW109" s="148"/>
      <c r="DX109" s="143"/>
      <c r="DY109" s="149"/>
    </row>
    <row r="110" spans="1:129">
      <c r="A110" s="540"/>
      <c r="CW110" s="143"/>
      <c r="CX110" s="143"/>
      <c r="CY110" s="143"/>
      <c r="CZ110" s="143"/>
      <c r="DA110" s="143"/>
      <c r="DB110" s="143"/>
      <c r="DC110" s="143"/>
      <c r="DD110" s="143"/>
      <c r="DE110" s="143"/>
      <c r="DF110" s="143"/>
      <c r="DG110" s="143"/>
      <c r="DH110" s="143"/>
      <c r="DI110" s="143"/>
      <c r="DJ110" s="143"/>
      <c r="DK110" s="143"/>
      <c r="DL110" s="143"/>
      <c r="DM110" s="143"/>
      <c r="DN110" s="143"/>
      <c r="DO110" s="143"/>
      <c r="DP110" s="143"/>
      <c r="DQ110" s="143"/>
      <c r="DR110" s="143"/>
      <c r="DS110" s="143"/>
      <c r="DT110" s="143"/>
      <c r="DU110" s="143"/>
      <c r="DV110" s="143"/>
      <c r="DW110" s="148"/>
      <c r="DX110" s="143"/>
      <c r="DY110" s="149"/>
    </row>
    <row r="111" spans="1:129">
      <c r="A111" s="540"/>
      <c r="CW111" s="143"/>
      <c r="CX111" s="143"/>
      <c r="CY111" s="143"/>
      <c r="CZ111" s="143"/>
      <c r="DA111" s="143"/>
      <c r="DB111" s="143"/>
      <c r="DC111" s="143"/>
      <c r="DD111" s="143"/>
      <c r="DE111" s="143"/>
      <c r="DF111" s="143"/>
      <c r="DG111" s="143"/>
      <c r="DH111" s="143"/>
      <c r="DI111" s="143"/>
      <c r="DJ111" s="143"/>
      <c r="DK111" s="143"/>
      <c r="DL111" s="143"/>
      <c r="DM111" s="143"/>
      <c r="DN111" s="143"/>
      <c r="DO111" s="143"/>
      <c r="DP111" s="143"/>
      <c r="DQ111" s="143"/>
      <c r="DR111" s="143"/>
      <c r="DS111" s="143"/>
      <c r="DT111" s="143"/>
      <c r="DU111" s="143"/>
      <c r="DV111" s="143"/>
      <c r="DW111" s="148"/>
      <c r="DX111" s="143"/>
      <c r="DY111" s="149"/>
    </row>
    <row r="112" spans="1:129">
      <c r="A112" s="540"/>
      <c r="CW112" s="143"/>
      <c r="CX112" s="143"/>
      <c r="CY112" s="143"/>
      <c r="CZ112" s="143"/>
      <c r="DA112" s="143"/>
      <c r="DB112" s="143"/>
      <c r="DC112" s="143"/>
      <c r="DD112" s="143"/>
      <c r="DE112" s="143"/>
      <c r="DF112" s="143"/>
      <c r="DG112" s="143"/>
      <c r="DH112" s="143"/>
      <c r="DI112" s="143"/>
      <c r="DJ112" s="143"/>
      <c r="DK112" s="143"/>
      <c r="DL112" s="143"/>
      <c r="DM112" s="143"/>
      <c r="DN112" s="143"/>
      <c r="DO112" s="143"/>
      <c r="DP112" s="143"/>
      <c r="DQ112" s="143"/>
      <c r="DR112" s="143"/>
      <c r="DS112" s="143"/>
      <c r="DT112" s="143"/>
      <c r="DU112" s="143"/>
      <c r="DV112" s="143"/>
      <c r="DW112" s="148"/>
      <c r="DX112" s="143"/>
      <c r="DY112" s="149"/>
    </row>
    <row r="113" spans="1:129">
      <c r="A113" s="540"/>
      <c r="CW113" s="143"/>
      <c r="CX113" s="143"/>
      <c r="CY113" s="143"/>
      <c r="CZ113" s="143"/>
      <c r="DA113" s="143"/>
      <c r="DB113" s="143"/>
      <c r="DC113" s="143"/>
      <c r="DD113" s="143"/>
      <c r="DE113" s="143"/>
      <c r="DF113" s="143"/>
      <c r="DG113" s="143"/>
      <c r="DH113" s="143"/>
      <c r="DI113" s="143"/>
      <c r="DJ113" s="143"/>
      <c r="DK113" s="143"/>
      <c r="DL113" s="143"/>
      <c r="DM113" s="143"/>
      <c r="DN113" s="143"/>
      <c r="DO113" s="143"/>
      <c r="DP113" s="143"/>
      <c r="DQ113" s="143"/>
      <c r="DR113" s="143"/>
      <c r="DS113" s="143"/>
      <c r="DT113" s="143"/>
      <c r="DU113" s="143"/>
      <c r="DV113" s="143"/>
      <c r="DW113" s="148"/>
      <c r="DX113" s="143"/>
      <c r="DY113" s="149"/>
    </row>
  </sheetData>
  <mergeCells count="13">
    <mergeCell ref="C60:G62"/>
    <mergeCell ref="L5:L6"/>
    <mergeCell ref="M5:M6"/>
    <mergeCell ref="N5:N6"/>
    <mergeCell ref="O5:O6"/>
    <mergeCell ref="D9:F9"/>
    <mergeCell ref="D8:F8"/>
    <mergeCell ref="D14:F14"/>
    <mergeCell ref="D13:F13"/>
    <mergeCell ref="D12:F12"/>
    <mergeCell ref="D11:F11"/>
    <mergeCell ref="D10:F10"/>
    <mergeCell ref="C19:G21"/>
  </mergeCells>
  <phoneticPr fontId="136" type="noConversion"/>
  <conditionalFormatting sqref="C44:G49">
    <cfRule type="containsBlanks" dxfId="6" priority="1">
      <formula>LEN(TRIM(C44))=0</formula>
    </cfRule>
  </conditionalFormatting>
  <conditionalFormatting sqref="G9:I14 C19:G21 D24 C29:F29 N29 C32:F34 N32:N34 I38 M38:N38 C60:G62">
    <cfRule type="containsBlanks" dxfId="5" priority="2">
      <formula>LEN(TRIM(C9))=0</formula>
    </cfRule>
  </conditionalFormatting>
  <dataValidations count="2">
    <dataValidation type="list" allowBlank="1" showInputMessage="1" sqref="H9:H14" xr:uid="{1755A56E-142C-4A4F-AFA1-79FB96DE4BD2}">
      <formula1>"是,否"</formula1>
    </dataValidation>
    <dataValidation type="list" allowBlank="1" showInputMessage="1" sqref="I9:I14" xr:uid="{3171BFDD-403A-4C55-8F9C-8CE4B4A13178}">
      <formula1>"是,不适用"</formula1>
    </dataValidation>
  </dataValidations>
  <hyperlinks>
    <hyperlink ref="J2" location="汇总!A1" display="返回汇总页" xr:uid="{00000000-0004-0000-0E00-000000000000}"/>
  </hyperlinks>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EA105"/>
  <sheetViews>
    <sheetView showGridLines="0" zoomScale="70" zoomScaleNormal="70" workbookViewId="0">
      <selection activeCell="P37" sqref="P37"/>
    </sheetView>
  </sheetViews>
  <sheetFormatPr defaultColWidth="9.5703125" defaultRowHeight="12.75" customHeight="1" outlineLevelRow="1" outlineLevelCol="1"/>
  <cols>
    <col min="1" max="1" width="0.140625" style="164" customWidth="1"/>
    <col min="2" max="2" width="5.28515625" style="19" customWidth="1"/>
    <col min="3" max="3" width="25" style="19" customWidth="1"/>
    <col min="4" max="4" width="37.140625" style="19" customWidth="1"/>
    <col min="5" max="5" width="24.5703125" style="19" customWidth="1"/>
    <col min="6" max="6" width="22" style="19" customWidth="1"/>
    <col min="7" max="7" width="17.7109375" style="19" customWidth="1"/>
    <col min="8" max="8" width="22.140625" style="19" customWidth="1"/>
    <col min="9" max="9" width="22.42578125" style="19" customWidth="1"/>
    <col min="10" max="10" width="25.7109375" style="19" customWidth="1"/>
    <col min="11" max="11" width="24.85546875" style="19" customWidth="1" outlineLevel="1"/>
    <col min="12" max="12" width="14.42578125" style="19" customWidth="1" outlineLevel="1"/>
    <col min="13" max="14" width="14.42578125" style="19" customWidth="1"/>
    <col min="15" max="16" width="14.140625" style="19" customWidth="1"/>
    <col min="17" max="17" width="11.140625" style="19" customWidth="1"/>
    <col min="18" max="18" width="12.28515625" style="19" customWidth="1"/>
    <col min="19" max="19" width="22.7109375" style="19" customWidth="1"/>
    <col min="20" max="20" width="14.85546875" style="19" customWidth="1"/>
    <col min="21" max="25" width="8.7109375" style="19" customWidth="1"/>
    <col min="26" max="26" width="14.85546875" style="19" customWidth="1"/>
    <col min="27" max="28" width="13.28515625" style="19" customWidth="1"/>
    <col min="29" max="29" width="10.42578125" style="19" customWidth="1"/>
    <col min="30" max="31" width="13.28515625" style="19" customWidth="1"/>
    <col min="32" max="32" width="16" style="19" customWidth="1"/>
    <col min="33" max="33" width="9.5703125" style="19"/>
    <col min="34" max="34" width="7.7109375" style="19" customWidth="1"/>
    <col min="35" max="36" width="13.28515625" style="19" customWidth="1"/>
    <col min="37" max="37" width="10.42578125" style="19" customWidth="1"/>
    <col min="38" max="38" width="11.7109375" style="19" customWidth="1"/>
    <col min="39" max="39" width="7.5703125" style="19" customWidth="1"/>
    <col min="40" max="40" width="8.85546875" style="19" customWidth="1"/>
    <col min="41" max="16384" width="9.5703125" style="19"/>
  </cols>
  <sheetData>
    <row r="1" spans="1:129" ht="12.75" customHeight="1">
      <c r="A1" s="540" t="s">
        <v>331</v>
      </c>
      <c r="CW1" s="141"/>
      <c r="CX1" s="6"/>
      <c r="CY1" s="6"/>
      <c r="CZ1" s="142"/>
      <c r="DA1" s="143"/>
      <c r="DB1" s="143"/>
      <c r="DC1" s="143"/>
      <c r="DD1" s="143"/>
      <c r="DE1" s="143"/>
      <c r="DF1" s="143"/>
      <c r="DG1" s="143"/>
      <c r="DH1" s="6"/>
      <c r="DI1" s="143"/>
      <c r="DJ1" s="143"/>
      <c r="DK1" s="143"/>
      <c r="DL1" s="143"/>
      <c r="DM1" s="143"/>
      <c r="DN1" s="143"/>
      <c r="DO1" s="6"/>
      <c r="DP1" s="144"/>
      <c r="DQ1" s="145"/>
      <c r="DR1" s="146"/>
      <c r="DS1" s="146"/>
      <c r="DT1" s="6"/>
      <c r="DU1" s="143"/>
      <c r="DV1" s="147"/>
      <c r="DW1" s="148"/>
      <c r="DX1" s="143"/>
      <c r="DY1" s="149"/>
    </row>
    <row r="2" spans="1:129" s="9" customFormat="1" ht="16.350000000000001" customHeight="1">
      <c r="A2" s="539"/>
      <c r="C2" s="473"/>
      <c r="J2" s="48" t="s">
        <v>108</v>
      </c>
    </row>
    <row r="3" spans="1:129" ht="12.6" customHeight="1" thickBot="1">
      <c r="A3" s="540"/>
      <c r="CR3" s="143"/>
      <c r="CS3" s="6"/>
      <c r="CT3" s="6"/>
      <c r="CU3" s="143"/>
      <c r="CV3" s="143"/>
      <c r="CW3" s="143"/>
      <c r="CX3" s="143"/>
      <c r="CY3" s="143"/>
      <c r="CZ3" s="143"/>
      <c r="DA3" s="143"/>
      <c r="DB3" s="143"/>
      <c r="DC3" s="6"/>
      <c r="DD3" s="143"/>
      <c r="DE3" s="143"/>
      <c r="DF3" s="143"/>
      <c r="DG3" s="143"/>
      <c r="DH3" s="143"/>
      <c r="DI3" s="6"/>
      <c r="DJ3" s="6"/>
      <c r="DK3" s="6"/>
      <c r="DL3" s="6"/>
      <c r="DM3" s="6"/>
      <c r="DN3" s="6"/>
      <c r="DO3" s="6"/>
      <c r="DP3" s="6"/>
      <c r="DQ3" s="6"/>
      <c r="DR3" s="150"/>
      <c r="DS3" s="143"/>
      <c r="DT3" s="149"/>
    </row>
    <row r="4" spans="1:129" ht="21">
      <c r="A4" s="540"/>
      <c r="C4" s="757" t="s">
        <v>159</v>
      </c>
      <c r="D4" s="758"/>
      <c r="E4" s="758"/>
      <c r="F4" s="758"/>
      <c r="G4" s="758"/>
      <c r="H4" s="758"/>
      <c r="I4" s="758"/>
      <c r="J4" s="759"/>
      <c r="K4" s="151"/>
      <c r="L4" s="151"/>
      <c r="M4" s="151"/>
      <c r="CT4" s="6"/>
      <c r="CU4" s="6"/>
      <c r="CV4" s="6"/>
      <c r="CW4" s="143"/>
      <c r="CX4" s="143"/>
      <c r="CY4" s="143"/>
      <c r="CZ4" s="143"/>
      <c r="DA4" s="143"/>
      <c r="DB4" s="143"/>
      <c r="DC4" s="143"/>
      <c r="DD4" s="143"/>
      <c r="DE4" s="6"/>
      <c r="DF4" s="143"/>
      <c r="DG4" s="143"/>
      <c r="DH4" s="143"/>
      <c r="DI4" s="143"/>
      <c r="DJ4" s="143"/>
      <c r="DK4" s="6"/>
      <c r="DL4" s="6"/>
      <c r="DM4" s="6"/>
      <c r="DN4" s="6"/>
      <c r="DO4" s="6"/>
      <c r="DP4" s="6"/>
      <c r="DQ4" s="6"/>
      <c r="DR4" s="6"/>
      <c r="DS4" s="6"/>
      <c r="DT4" s="150"/>
      <c r="DU4" s="6"/>
      <c r="DV4" s="6"/>
    </row>
    <row r="5" spans="1:129" ht="17.25" customHeight="1">
      <c r="A5" s="540"/>
      <c r="C5" s="49" t="s">
        <v>332</v>
      </c>
      <c r="D5" s="152"/>
      <c r="E5" s="152"/>
      <c r="F5" s="152"/>
      <c r="G5" s="152"/>
      <c r="H5" s="152"/>
      <c r="I5" s="152"/>
      <c r="J5" s="153"/>
      <c r="K5" s="151"/>
      <c r="L5" s="843"/>
      <c r="M5" s="843"/>
      <c r="N5" s="843"/>
      <c r="O5" s="842"/>
      <c r="CT5" s="6"/>
      <c r="CU5" s="6"/>
      <c r="CV5" s="154"/>
      <c r="CW5" s="143"/>
      <c r="CX5" s="143"/>
      <c r="CY5" s="143"/>
      <c r="CZ5" s="143"/>
      <c r="DA5" s="143"/>
      <c r="DB5" s="143"/>
      <c r="DC5" s="143"/>
      <c r="DD5" s="143"/>
      <c r="DE5" s="6"/>
      <c r="DF5" s="143"/>
      <c r="DG5" s="143"/>
      <c r="DH5" s="143"/>
      <c r="DI5" s="143"/>
      <c r="DJ5" s="143"/>
      <c r="DK5" s="6"/>
      <c r="DL5" s="6"/>
      <c r="DM5" s="6"/>
      <c r="DN5" s="6"/>
      <c r="DO5" s="6"/>
      <c r="DP5" s="6"/>
      <c r="DQ5" s="6"/>
      <c r="DR5" s="6"/>
      <c r="DS5" s="6"/>
      <c r="DT5" s="150"/>
      <c r="DU5" s="6"/>
      <c r="DV5" s="6"/>
    </row>
    <row r="6" spans="1:129" ht="17.25" customHeight="1">
      <c r="A6" s="540"/>
      <c r="C6" s="49" t="s">
        <v>194</v>
      </c>
      <c r="D6" s="152"/>
      <c r="E6" s="152"/>
      <c r="F6" s="152"/>
      <c r="G6" s="152"/>
      <c r="H6" s="152"/>
      <c r="I6" s="152"/>
      <c r="J6" s="153"/>
      <c r="K6" s="151"/>
      <c r="L6" s="843"/>
      <c r="M6" s="843"/>
      <c r="N6" s="843"/>
      <c r="O6" s="842"/>
      <c r="CT6" s="6"/>
      <c r="CU6" s="154"/>
      <c r="CV6" s="154"/>
      <c r="CW6" s="143"/>
      <c r="CX6" s="143"/>
      <c r="CY6" s="143"/>
      <c r="CZ6" s="143"/>
      <c r="DA6" s="143"/>
      <c r="DB6" s="143"/>
      <c r="DC6" s="143"/>
      <c r="DD6" s="143"/>
      <c r="DE6" s="154"/>
      <c r="DF6" s="143"/>
      <c r="DG6" s="143"/>
      <c r="DH6" s="143"/>
      <c r="DI6" s="143"/>
      <c r="DJ6" s="143"/>
      <c r="DK6" s="154"/>
      <c r="DL6" s="6"/>
      <c r="DM6" s="6"/>
      <c r="DN6" s="6"/>
      <c r="DO6" s="6"/>
      <c r="DP6" s="6"/>
      <c r="DQ6" s="154"/>
      <c r="DR6" s="154"/>
      <c r="DS6" s="154"/>
      <c r="DT6" s="155"/>
      <c r="DU6" s="6"/>
      <c r="DV6" s="6"/>
    </row>
    <row r="7" spans="1:129" ht="12.6" customHeight="1">
      <c r="A7" s="540"/>
      <c r="C7" s="49"/>
      <c r="D7" s="152"/>
      <c r="E7" s="152"/>
      <c r="F7" s="152"/>
      <c r="G7" s="152"/>
      <c r="H7" s="152"/>
      <c r="I7" s="152"/>
      <c r="J7" s="153"/>
      <c r="K7" s="151"/>
      <c r="L7" s="353"/>
      <c r="M7" s="156"/>
      <c r="N7" s="156"/>
      <c r="O7" s="156"/>
      <c r="CT7" s="6"/>
      <c r="CU7" s="154"/>
      <c r="CV7" s="154"/>
      <c r="CW7" s="143"/>
      <c r="CX7" s="143"/>
      <c r="CY7" s="143"/>
      <c r="CZ7" s="143"/>
      <c r="DA7" s="143"/>
      <c r="DB7" s="143"/>
      <c r="DC7" s="143"/>
      <c r="DD7" s="143"/>
      <c r="DE7" s="154"/>
      <c r="DF7" s="143"/>
      <c r="DG7" s="143"/>
      <c r="DH7" s="143"/>
      <c r="DI7" s="143"/>
      <c r="DJ7" s="143"/>
      <c r="DK7" s="154"/>
      <c r="DL7" s="6"/>
      <c r="DM7" s="6"/>
      <c r="DN7" s="6"/>
      <c r="DO7" s="6"/>
      <c r="DP7" s="6"/>
      <c r="DQ7" s="154"/>
      <c r="DR7" s="154"/>
      <c r="DS7" s="154"/>
      <c r="DT7" s="155"/>
      <c r="DU7" s="6"/>
      <c r="DV7" s="6"/>
    </row>
    <row r="8" spans="1:129" ht="21">
      <c r="A8" s="540"/>
      <c r="C8" s="513" t="s">
        <v>111</v>
      </c>
      <c r="D8" s="845" t="s">
        <v>112</v>
      </c>
      <c r="E8" s="845"/>
      <c r="F8" s="845"/>
      <c r="G8" s="157" t="s">
        <v>113</v>
      </c>
      <c r="H8" s="507" t="s">
        <v>114</v>
      </c>
      <c r="I8" s="507" t="s">
        <v>115</v>
      </c>
      <c r="J8" s="514" t="s">
        <v>116</v>
      </c>
      <c r="K8" s="158"/>
      <c r="L8" s="151"/>
      <c r="M8" s="151"/>
      <c r="N8" s="151"/>
      <c r="CU8" s="7"/>
      <c r="CV8" s="7"/>
      <c r="CW8" s="7"/>
      <c r="CX8" s="143"/>
      <c r="CY8" s="143"/>
      <c r="CZ8" s="143"/>
      <c r="DA8" s="143"/>
      <c r="DB8" s="143"/>
      <c r="DC8" s="143"/>
      <c r="DD8" s="143"/>
      <c r="DE8" s="143"/>
      <c r="DF8" s="7"/>
      <c r="DG8" s="143"/>
      <c r="DH8" s="143"/>
      <c r="DI8" s="143"/>
      <c r="DJ8" s="143"/>
      <c r="DK8" s="143"/>
      <c r="DL8" s="7"/>
      <c r="DM8" s="154"/>
      <c r="DN8" s="154"/>
      <c r="DO8" s="154"/>
      <c r="DP8" s="154"/>
      <c r="DQ8" s="154"/>
      <c r="DR8" s="7"/>
      <c r="DS8" s="7"/>
      <c r="DT8" s="7"/>
      <c r="DU8" s="155"/>
      <c r="DV8" s="7"/>
      <c r="DW8" s="159"/>
    </row>
    <row r="9" spans="1:129" ht="21" outlineLevel="1">
      <c r="A9" s="660"/>
      <c r="C9" s="515">
        <v>1</v>
      </c>
      <c r="D9" s="844" t="s">
        <v>333</v>
      </c>
      <c r="E9" s="844"/>
      <c r="F9" s="844"/>
      <c r="G9" s="560" t="s">
        <v>163</v>
      </c>
      <c r="H9" s="508" t="s">
        <v>119</v>
      </c>
      <c r="I9" s="509"/>
      <c r="J9" s="516"/>
      <c r="K9" s="158"/>
      <c r="L9" s="158"/>
      <c r="M9" s="160"/>
      <c r="N9" s="160"/>
      <c r="O9" s="160"/>
      <c r="CV9" s="154"/>
      <c r="CW9" s="7"/>
      <c r="CX9" s="154"/>
      <c r="CY9" s="143"/>
      <c r="CZ9" s="143"/>
      <c r="DA9" s="143"/>
      <c r="DB9" s="143"/>
      <c r="DC9" s="143"/>
      <c r="DD9" s="143"/>
      <c r="DE9" s="143"/>
      <c r="DF9" s="143"/>
      <c r="DG9" s="7"/>
      <c r="DH9" s="143"/>
      <c r="DI9" s="143"/>
      <c r="DJ9" s="143"/>
      <c r="DK9" s="143"/>
      <c r="DL9" s="143"/>
      <c r="DM9" s="7"/>
      <c r="DN9" s="7"/>
      <c r="DO9" s="7"/>
      <c r="DP9" s="7"/>
      <c r="DQ9" s="7"/>
      <c r="DR9" s="7"/>
      <c r="DS9" s="7"/>
      <c r="DT9" s="7"/>
      <c r="DU9" s="7"/>
      <c r="DV9" s="155"/>
      <c r="DW9" s="154"/>
      <c r="DX9" s="8"/>
    </row>
    <row r="10" spans="1:129" ht="60.75" customHeight="1" outlineLevel="1">
      <c r="A10" s="660"/>
      <c r="C10" s="515">
        <v>2</v>
      </c>
      <c r="D10" s="844" t="s">
        <v>164</v>
      </c>
      <c r="E10" s="844"/>
      <c r="F10" s="844"/>
      <c r="G10" s="560" t="s">
        <v>163</v>
      </c>
      <c r="H10" s="508" t="s">
        <v>119</v>
      </c>
      <c r="I10" s="509"/>
      <c r="J10" s="516"/>
      <c r="K10" s="158"/>
      <c r="L10" s="158"/>
      <c r="M10" s="160"/>
      <c r="N10" s="160"/>
      <c r="O10" s="160"/>
      <c r="CV10" s="154"/>
      <c r="CW10" s="7"/>
      <c r="CX10" s="154"/>
      <c r="CY10" s="143"/>
      <c r="CZ10" s="143"/>
      <c r="DA10" s="143"/>
      <c r="DB10" s="143"/>
      <c r="DC10" s="143"/>
      <c r="DD10" s="143"/>
      <c r="DE10" s="143"/>
      <c r="DF10" s="143"/>
      <c r="DG10" s="7"/>
      <c r="DH10" s="143"/>
      <c r="DI10" s="143"/>
      <c r="DJ10" s="143"/>
      <c r="DK10" s="143"/>
      <c r="DL10" s="143"/>
      <c r="DM10" s="7"/>
      <c r="DN10" s="7"/>
      <c r="DO10" s="7"/>
      <c r="DP10" s="7"/>
      <c r="DQ10" s="7"/>
      <c r="DR10" s="7"/>
      <c r="DS10" s="7"/>
      <c r="DT10" s="7"/>
      <c r="DU10" s="7"/>
      <c r="DV10" s="155"/>
      <c r="DW10" s="154"/>
      <c r="DX10" s="8"/>
    </row>
    <row r="11" spans="1:129" ht="40.5" customHeight="1" outlineLevel="1">
      <c r="A11" s="660"/>
      <c r="C11" s="515">
        <v>3</v>
      </c>
      <c r="D11" s="844" t="s">
        <v>196</v>
      </c>
      <c r="E11" s="844"/>
      <c r="F11" s="844"/>
      <c r="G11" s="560" t="s">
        <v>163</v>
      </c>
      <c r="H11" s="508" t="s">
        <v>119</v>
      </c>
      <c r="I11" s="509"/>
      <c r="J11" s="516"/>
      <c r="K11" s="158"/>
      <c r="L11" s="158"/>
      <c r="M11" s="151"/>
      <c r="N11" s="151"/>
      <c r="O11" s="151"/>
      <c r="CV11" s="7"/>
      <c r="CW11" s="154"/>
      <c r="CX11" s="162"/>
      <c r="CY11" s="143"/>
      <c r="CZ11" s="143"/>
      <c r="DA11" s="143"/>
      <c r="DB11" s="143"/>
      <c r="DC11" s="143"/>
      <c r="DD11" s="143"/>
      <c r="DE11" s="143"/>
      <c r="DF11" s="143"/>
      <c r="DG11" s="154"/>
      <c r="DH11" s="143"/>
      <c r="DI11" s="143"/>
      <c r="DJ11" s="143"/>
      <c r="DK11" s="143"/>
      <c r="DL11" s="143"/>
      <c r="DM11" s="154"/>
      <c r="DN11" s="7"/>
      <c r="DO11" s="7"/>
      <c r="DP11" s="7"/>
      <c r="DQ11" s="7"/>
      <c r="DR11" s="7"/>
      <c r="DS11" s="154"/>
      <c r="DT11" s="154"/>
      <c r="DU11" s="154"/>
      <c r="DV11" s="155"/>
      <c r="DW11" s="7"/>
      <c r="DX11" s="7"/>
    </row>
    <row r="12" spans="1:129" ht="93.6" customHeight="1" outlineLevel="1">
      <c r="A12" s="660"/>
      <c r="C12" s="515">
        <v>4</v>
      </c>
      <c r="D12" s="839" t="s">
        <v>334</v>
      </c>
      <c r="E12" s="840"/>
      <c r="F12" s="841"/>
      <c r="G12" s="510" t="s">
        <v>167</v>
      </c>
      <c r="H12" s="508" t="s">
        <v>119</v>
      </c>
      <c r="I12" s="509"/>
      <c r="J12" s="516"/>
      <c r="K12" s="158"/>
      <c r="L12" s="158"/>
      <c r="M12" s="151"/>
      <c r="N12" s="151"/>
      <c r="O12" s="151"/>
      <c r="CV12" s="7"/>
      <c r="CW12" s="154"/>
      <c r="CX12" s="162"/>
      <c r="CY12" s="143"/>
      <c r="CZ12" s="143"/>
      <c r="DA12" s="143"/>
      <c r="DB12" s="143"/>
      <c r="DC12" s="143"/>
      <c r="DD12" s="143"/>
      <c r="DE12" s="143"/>
      <c r="DF12" s="143"/>
      <c r="DG12" s="154"/>
      <c r="DH12" s="143"/>
      <c r="DI12" s="143"/>
      <c r="DJ12" s="143"/>
      <c r="DK12" s="143"/>
      <c r="DL12" s="143"/>
      <c r="DM12" s="154"/>
      <c r="DN12" s="7"/>
      <c r="DO12" s="7"/>
      <c r="DP12" s="7"/>
      <c r="DQ12" s="7"/>
      <c r="DR12" s="7"/>
      <c r="DS12" s="154"/>
      <c r="DT12" s="154"/>
      <c r="DU12" s="154"/>
      <c r="DV12" s="155"/>
      <c r="DW12" s="7"/>
      <c r="DX12" s="7"/>
    </row>
    <row r="13" spans="1:129" ht="42" outlineLevel="1">
      <c r="A13" s="660"/>
      <c r="C13" s="515">
        <v>5</v>
      </c>
      <c r="D13" s="844" t="s">
        <v>198</v>
      </c>
      <c r="E13" s="844"/>
      <c r="F13" s="844"/>
      <c r="G13" s="517" t="s">
        <v>169</v>
      </c>
      <c r="H13" s="508" t="s">
        <v>119</v>
      </c>
      <c r="I13" s="509"/>
      <c r="J13" s="516"/>
      <c r="K13" s="158"/>
      <c r="L13" s="158"/>
      <c r="M13" s="151"/>
      <c r="N13" s="151"/>
      <c r="O13" s="151"/>
      <c r="CV13" s="7"/>
      <c r="CW13" s="162"/>
      <c r="CX13" s="162"/>
      <c r="CY13" s="143"/>
      <c r="CZ13" s="143"/>
      <c r="DA13" s="143"/>
      <c r="DB13" s="143"/>
      <c r="DC13" s="143"/>
      <c r="DD13" s="143"/>
      <c r="DE13" s="143"/>
      <c r="DF13" s="143"/>
      <c r="DG13" s="162"/>
      <c r="DH13" s="143"/>
      <c r="DI13" s="143"/>
      <c r="DJ13" s="143"/>
      <c r="DK13" s="143"/>
      <c r="DL13" s="143"/>
      <c r="DM13" s="162"/>
      <c r="DN13" s="154"/>
      <c r="DO13" s="154"/>
      <c r="DP13" s="154"/>
      <c r="DQ13" s="154"/>
      <c r="DR13" s="154"/>
      <c r="DS13" s="162"/>
      <c r="DT13" s="162"/>
      <c r="DU13" s="162"/>
      <c r="DV13" s="150"/>
      <c r="DW13" s="7"/>
      <c r="DX13" s="159"/>
    </row>
    <row r="14" spans="1:129" ht="78.75" outlineLevel="1">
      <c r="A14" s="660"/>
      <c r="C14" s="515">
        <v>6</v>
      </c>
      <c r="D14" s="844" t="s">
        <v>170</v>
      </c>
      <c r="E14" s="844"/>
      <c r="F14" s="844"/>
      <c r="G14" s="560" t="s">
        <v>163</v>
      </c>
      <c r="H14" s="508" t="s">
        <v>119</v>
      </c>
      <c r="I14" s="509"/>
      <c r="J14" s="368" t="s">
        <v>291</v>
      </c>
      <c r="K14" s="158"/>
      <c r="L14" s="158"/>
      <c r="M14" s="151"/>
      <c r="N14" s="151"/>
      <c r="O14" s="151"/>
      <c r="CV14" s="7"/>
      <c r="CW14" s="162"/>
      <c r="CX14" s="162"/>
      <c r="CY14" s="143"/>
      <c r="CZ14" s="143"/>
      <c r="DA14" s="143"/>
      <c r="DB14" s="143"/>
      <c r="DC14" s="143"/>
      <c r="DD14" s="143"/>
      <c r="DE14" s="143"/>
      <c r="DF14" s="143"/>
      <c r="DG14" s="162"/>
      <c r="DH14" s="143"/>
      <c r="DI14" s="143"/>
      <c r="DJ14" s="143"/>
      <c r="DK14" s="143"/>
      <c r="DL14" s="143"/>
      <c r="DM14" s="162"/>
      <c r="DN14" s="154"/>
      <c r="DO14" s="154"/>
      <c r="DP14" s="154"/>
      <c r="DQ14" s="154"/>
      <c r="DR14" s="154"/>
      <c r="DS14" s="162"/>
      <c r="DT14" s="162"/>
      <c r="DU14" s="162"/>
      <c r="DV14" s="150"/>
      <c r="DW14" s="7"/>
      <c r="DX14" s="159"/>
    </row>
    <row r="15" spans="1:129" ht="18.75" thickBot="1">
      <c r="A15" s="660"/>
      <c r="C15" s="253"/>
      <c r="D15" s="208"/>
      <c r="E15" s="208"/>
      <c r="F15" s="208"/>
      <c r="G15" s="208"/>
      <c r="H15" s="208"/>
      <c r="I15" s="208"/>
      <c r="J15" s="254"/>
      <c r="K15" s="151"/>
      <c r="L15" s="151"/>
      <c r="M15" s="151"/>
      <c r="CT15" s="7"/>
      <c r="CU15" s="162"/>
      <c r="CV15" s="162"/>
      <c r="CW15" s="143"/>
      <c r="CX15" s="143"/>
      <c r="CY15" s="143"/>
      <c r="CZ15" s="143"/>
      <c r="DA15" s="143"/>
      <c r="DB15" s="143"/>
      <c r="DC15" s="143"/>
      <c r="DD15" s="143"/>
      <c r="DE15" s="162"/>
      <c r="DF15" s="143"/>
      <c r="DG15" s="143"/>
      <c r="DH15" s="143"/>
      <c r="DI15" s="143"/>
      <c r="DJ15" s="143"/>
      <c r="DK15" s="162"/>
      <c r="DL15" s="154"/>
      <c r="DM15" s="154"/>
      <c r="DN15" s="154"/>
      <c r="DO15" s="154"/>
      <c r="DP15" s="154"/>
      <c r="DQ15" s="162"/>
      <c r="DR15" s="162"/>
      <c r="DS15" s="162"/>
      <c r="DT15" s="150"/>
      <c r="DU15" s="7"/>
      <c r="DV15" s="159"/>
    </row>
    <row r="16" spans="1:129" ht="12.6" customHeight="1">
      <c r="A16" s="660"/>
      <c r="C16" s="163"/>
      <c r="CT16" s="6"/>
      <c r="CU16" s="6"/>
      <c r="CV16" s="6"/>
      <c r="CW16" s="143"/>
      <c r="CX16" s="143"/>
      <c r="CY16" s="143"/>
      <c r="CZ16" s="143"/>
      <c r="DA16" s="143"/>
      <c r="DB16" s="143"/>
      <c r="DC16" s="143"/>
      <c r="DD16" s="143"/>
      <c r="DE16" s="6"/>
      <c r="DF16" s="143"/>
      <c r="DG16" s="143"/>
      <c r="DH16" s="143"/>
      <c r="DI16" s="143"/>
      <c r="DJ16" s="143"/>
      <c r="DK16" s="6"/>
      <c r="DL16" s="6"/>
      <c r="DM16" s="6"/>
      <c r="DN16" s="6"/>
      <c r="DO16" s="6"/>
      <c r="DP16" s="6"/>
      <c r="DQ16" s="6"/>
      <c r="DR16" s="6"/>
      <c r="DS16" s="6"/>
      <c r="DT16" s="150"/>
      <c r="DU16" s="6"/>
      <c r="DV16" s="6"/>
    </row>
    <row r="17" spans="1:126" ht="12.6" customHeight="1">
      <c r="A17" s="660"/>
      <c r="CT17" s="6"/>
      <c r="CU17" s="6"/>
      <c r="CV17" s="6"/>
      <c r="CW17" s="143"/>
      <c r="CX17" s="143"/>
      <c r="CY17" s="143"/>
      <c r="CZ17" s="143"/>
      <c r="DA17" s="143"/>
      <c r="DB17" s="143"/>
      <c r="DC17" s="143"/>
      <c r="DD17" s="143"/>
      <c r="DE17" s="6"/>
      <c r="DF17" s="143"/>
      <c r="DG17" s="143"/>
      <c r="DH17" s="143"/>
      <c r="DI17" s="143"/>
      <c r="DJ17" s="143"/>
      <c r="DK17" s="6"/>
      <c r="DL17" s="6"/>
      <c r="DM17" s="6"/>
      <c r="DN17" s="6"/>
      <c r="DO17" s="6"/>
      <c r="DP17" s="6"/>
      <c r="DQ17" s="6"/>
      <c r="DR17" s="6"/>
      <c r="DS17" s="6"/>
      <c r="DT17" s="150"/>
      <c r="DU17" s="6"/>
      <c r="DV17" s="6"/>
    </row>
    <row r="18" spans="1:126" s="20" customFormat="1" ht="18.75" thickBot="1">
      <c r="A18" s="656"/>
      <c r="C18" s="474" t="s">
        <v>121</v>
      </c>
      <c r="D18" s="438"/>
      <c r="E18" s="438"/>
      <c r="F18" s="438"/>
      <c r="G18" s="438"/>
      <c r="H18" s="438"/>
      <c r="I18" s="438"/>
      <c r="J18" s="438"/>
      <c r="K18" s="23"/>
      <c r="L18" s="217"/>
      <c r="M18" s="217"/>
      <c r="Q18" s="158"/>
    </row>
    <row r="19" spans="1:126" s="20" customFormat="1" ht="18" customHeight="1">
      <c r="A19" s="656"/>
      <c r="C19" s="819"/>
      <c r="D19" s="820"/>
      <c r="E19" s="820"/>
      <c r="F19" s="820"/>
      <c r="G19" s="821"/>
      <c r="H19" s="438"/>
      <c r="I19" s="438"/>
      <c r="J19" s="438"/>
      <c r="K19" s="23"/>
      <c r="L19" s="217"/>
      <c r="M19" s="217"/>
      <c r="Q19" s="158"/>
    </row>
    <row r="20" spans="1:126" s="20" customFormat="1" ht="18" customHeight="1">
      <c r="A20" s="656"/>
      <c r="C20" s="822"/>
      <c r="D20" s="823"/>
      <c r="E20" s="823"/>
      <c r="F20" s="823"/>
      <c r="G20" s="824"/>
      <c r="H20" s="438"/>
      <c r="I20" s="438"/>
      <c r="J20" s="438"/>
      <c r="K20" s="23"/>
      <c r="L20" s="217"/>
      <c r="M20" s="217"/>
      <c r="Q20" s="158"/>
    </row>
    <row r="21" spans="1:126" s="20" customFormat="1" ht="18" customHeight="1" thickBot="1">
      <c r="A21" s="656"/>
      <c r="C21" s="825"/>
      <c r="D21" s="826"/>
      <c r="E21" s="826"/>
      <c r="F21" s="826"/>
      <c r="G21" s="827"/>
      <c r="H21" s="438"/>
      <c r="I21" s="438"/>
      <c r="J21" s="438"/>
      <c r="K21" s="23"/>
      <c r="L21" s="217"/>
      <c r="M21" s="217"/>
      <c r="Q21" s="158"/>
    </row>
    <row r="22" spans="1:126" s="4" customFormat="1" ht="13.5" thickBot="1">
      <c r="A22" s="545"/>
      <c r="C22" s="550"/>
      <c r="D22" s="551"/>
      <c r="E22" s="192"/>
      <c r="F22" s="192"/>
      <c r="G22" s="192"/>
      <c r="H22" s="192"/>
      <c r="I22" s="158"/>
      <c r="J22" s="158"/>
      <c r="K22" s="552"/>
      <c r="L22" s="424"/>
      <c r="M22" s="424"/>
      <c r="N22" s="424"/>
      <c r="O22" s="424"/>
      <c r="P22" s="424"/>
      <c r="Q22" s="424"/>
      <c r="R22" s="425"/>
    </row>
    <row r="23" spans="1:126" s="4" customFormat="1" ht="76.5">
      <c r="A23" s="545"/>
      <c r="C23" s="745" t="str">
        <f>"波动范围 ("&amp;D12&amp; "):"</f>
        <v>波动范围 (对于单项重大的资产处置损益，需要获取该单项费用的组成明细，需要获取支持性文件如合同等，在必要时进行费用测试。):</v>
      </c>
      <c r="D23" s="746">
        <f>汇总!$F$21</f>
        <v>0</v>
      </c>
      <c r="E23" s="553"/>
      <c r="F23" s="553"/>
      <c r="G23" s="553"/>
      <c r="H23" s="553"/>
      <c r="I23" s="553"/>
      <c r="J23" s="553"/>
      <c r="K23" s="553"/>
      <c r="L23" s="424"/>
      <c r="M23" s="424"/>
      <c r="N23" s="424"/>
      <c r="O23" s="424"/>
      <c r="P23" s="424"/>
      <c r="Q23" s="424"/>
      <c r="R23" s="425"/>
    </row>
    <row r="24" spans="1:126" s="4" customFormat="1" ht="17.25" thickBot="1">
      <c r="A24" s="545"/>
      <c r="C24" s="554" t="s">
        <v>171</v>
      </c>
      <c r="D24" s="476"/>
      <c r="E24" s="5"/>
      <c r="F24" s="5"/>
      <c r="G24" s="5"/>
      <c r="H24" s="5"/>
      <c r="I24" s="5"/>
      <c r="J24" s="5"/>
      <c r="K24" s="5"/>
      <c r="L24" s="424"/>
      <c r="M24" s="424"/>
      <c r="N24" s="424"/>
      <c r="O24" s="424"/>
      <c r="P24" s="424"/>
    </row>
    <row r="25" spans="1:126" ht="12.6" customHeight="1">
      <c r="A25" s="660"/>
      <c r="CS25" s="6"/>
      <c r="CT25" s="6"/>
      <c r="CU25" s="6"/>
      <c r="CV25" s="143"/>
      <c r="CW25" s="143"/>
      <c r="CX25" s="143"/>
      <c r="CY25" s="143"/>
      <c r="CZ25" s="143"/>
      <c r="DA25" s="143"/>
      <c r="DB25" s="143"/>
      <c r="DC25" s="143"/>
      <c r="DD25" s="6"/>
      <c r="DE25" s="143"/>
      <c r="DF25" s="143"/>
      <c r="DG25" s="143"/>
      <c r="DH25" s="143"/>
      <c r="DI25" s="143"/>
      <c r="DJ25" s="6"/>
      <c r="DK25" s="6"/>
      <c r="DL25" s="6"/>
      <c r="DM25" s="6"/>
      <c r="DN25" s="6"/>
      <c r="DO25" s="6"/>
      <c r="DP25" s="6"/>
      <c r="DQ25" s="6"/>
      <c r="DR25" s="6"/>
      <c r="DS25" s="150"/>
      <c r="DT25" s="6"/>
      <c r="DU25" s="6"/>
    </row>
    <row r="26" spans="1:126" ht="12.6" customHeight="1">
      <c r="A26" s="660"/>
      <c r="CS26" s="6"/>
      <c r="CT26" s="6"/>
      <c r="CU26" s="6"/>
      <c r="CV26" s="143"/>
      <c r="CW26" s="143"/>
      <c r="CX26" s="143"/>
      <c r="CY26" s="143"/>
      <c r="CZ26" s="143"/>
      <c r="DA26" s="143"/>
      <c r="DB26" s="143"/>
      <c r="DC26" s="143"/>
      <c r="DD26" s="6"/>
      <c r="DE26" s="143"/>
      <c r="DF26" s="143"/>
      <c r="DG26" s="143"/>
      <c r="DH26" s="143"/>
      <c r="DI26" s="143"/>
      <c r="DJ26" s="6"/>
      <c r="DK26" s="6"/>
      <c r="DL26" s="6"/>
      <c r="DM26" s="6"/>
      <c r="DN26" s="6"/>
      <c r="DO26" s="6"/>
      <c r="DP26" s="6"/>
      <c r="DQ26" s="6"/>
      <c r="DR26" s="6"/>
      <c r="DS26" s="150"/>
      <c r="DT26" s="6"/>
      <c r="DU26" s="6"/>
    </row>
    <row r="27" spans="1:126" ht="12.6" customHeight="1">
      <c r="A27" s="660"/>
      <c r="C27" s="164"/>
      <c r="D27" s="211"/>
      <c r="E27" s="192"/>
      <c r="F27" s="192" t="s">
        <v>123</v>
      </c>
      <c r="G27" s="441"/>
      <c r="H27" s="164" t="s">
        <v>124</v>
      </c>
      <c r="I27" s="192" t="s">
        <v>125</v>
      </c>
      <c r="J27" s="164"/>
      <c r="K27" s="164"/>
      <c r="L27" s="164" t="s">
        <v>126</v>
      </c>
      <c r="M27" s="192" t="s">
        <v>127</v>
      </c>
      <c r="N27" s="164" t="s">
        <v>128</v>
      </c>
      <c r="O27" s="164" t="s">
        <v>129</v>
      </c>
      <c r="P27" s="164" t="s">
        <v>130</v>
      </c>
      <c r="S27" s="260"/>
      <c r="CL27" s="6"/>
      <c r="CM27" s="6"/>
      <c r="CN27" s="6"/>
      <c r="CO27" s="143"/>
      <c r="CP27" s="143"/>
      <c r="CQ27" s="143"/>
      <c r="CR27" s="143"/>
      <c r="CS27" s="143"/>
      <c r="CT27" s="143"/>
      <c r="CU27" s="143"/>
      <c r="CV27" s="143"/>
      <c r="CW27" s="6"/>
      <c r="CX27" s="143"/>
      <c r="CY27" s="143"/>
      <c r="CZ27" s="143"/>
      <c r="DA27" s="143"/>
      <c r="DB27" s="143"/>
      <c r="DC27" s="6"/>
      <c r="DD27" s="6"/>
      <c r="DE27" s="6"/>
      <c r="DF27" s="6"/>
      <c r="DG27" s="6"/>
      <c r="DH27" s="6"/>
      <c r="DI27" s="6"/>
      <c r="DJ27" s="6"/>
      <c r="DK27" s="6"/>
      <c r="DL27" s="200"/>
      <c r="DM27" s="6"/>
      <c r="DN27" s="6"/>
    </row>
    <row r="28" spans="1:126" ht="13.5" thickBot="1">
      <c r="A28" s="660" t="s">
        <v>172</v>
      </c>
      <c r="C28" s="89" t="s">
        <v>95</v>
      </c>
      <c r="D28" s="90" t="s">
        <v>95</v>
      </c>
      <c r="E28" s="90" t="s">
        <v>95</v>
      </c>
      <c r="F28" s="91" t="s">
        <v>95</v>
      </c>
      <c r="G28" s="92"/>
      <c r="H28" s="92"/>
      <c r="I28" s="93"/>
      <c r="J28" s="94"/>
      <c r="K28" s="93"/>
      <c r="L28" s="92"/>
      <c r="M28" s="93"/>
      <c r="N28" s="165"/>
      <c r="O28" s="93"/>
      <c r="P28" s="95"/>
      <c r="Q28" s="96"/>
      <c r="R28" s="97"/>
      <c r="CJ28" s="6"/>
      <c r="CK28" s="6"/>
      <c r="CL28" s="6"/>
      <c r="CM28" s="143"/>
      <c r="CN28" s="143"/>
      <c r="CO28" s="143"/>
      <c r="CP28" s="143"/>
      <c r="CQ28" s="143"/>
      <c r="CR28" s="143"/>
      <c r="CS28" s="143"/>
      <c r="CT28" s="143"/>
      <c r="CU28" s="6"/>
      <c r="CV28" s="143"/>
      <c r="CW28" s="143"/>
      <c r="CX28" s="143"/>
      <c r="CY28" s="143"/>
      <c r="CZ28" s="143"/>
      <c r="DA28" s="6"/>
      <c r="DB28" s="6"/>
      <c r="DC28" s="6"/>
      <c r="DD28" s="6"/>
      <c r="DE28" s="6"/>
      <c r="DF28" s="6"/>
      <c r="DG28" s="6"/>
      <c r="DH28" s="6"/>
      <c r="DI28" s="6"/>
      <c r="DJ28" s="150"/>
      <c r="DK28" s="6"/>
      <c r="DL28" s="6"/>
    </row>
    <row r="29" spans="1:126" ht="0.2" customHeight="1" thickBot="1">
      <c r="A29" s="660"/>
      <c r="C29" s="585"/>
      <c r="D29" s="586"/>
      <c r="E29" s="365"/>
      <c r="F29" s="587"/>
      <c r="G29" s="586"/>
      <c r="H29" s="588"/>
      <c r="I29" s="588">
        <f t="shared" ref="I29" si="0">F29+H29</f>
        <v>0</v>
      </c>
      <c r="J29" s="589" t="str">
        <f>IF($I$36&lt;&gt;0,I29/$I$36,"")</f>
        <v/>
      </c>
      <c r="K29" s="586"/>
      <c r="L29" s="588"/>
      <c r="M29" s="590">
        <f t="shared" ref="M29" si="1">I29+L29</f>
        <v>0</v>
      </c>
      <c r="N29" s="590"/>
      <c r="O29" s="587">
        <f t="shared" ref="O29" si="2">M29-N29</f>
        <v>0</v>
      </c>
      <c r="P29" s="466">
        <f>IF(N29&lt;&gt;0,O29/N29,1)</f>
        <v>1</v>
      </c>
      <c r="Q29" s="586"/>
      <c r="R29" s="591"/>
      <c r="CJ29" s="6"/>
      <c r="CK29" s="6"/>
      <c r="CL29" s="6"/>
      <c r="CM29" s="143"/>
      <c r="CN29" s="143"/>
      <c r="CO29" s="143"/>
      <c r="CP29" s="143"/>
      <c r="CQ29" s="143"/>
      <c r="CR29" s="143"/>
      <c r="CS29" s="143"/>
      <c r="CT29" s="143"/>
      <c r="CU29" s="6"/>
      <c r="CV29" s="143"/>
      <c r="CW29" s="143"/>
      <c r="CX29" s="143"/>
      <c r="CY29" s="143"/>
      <c r="CZ29" s="143"/>
      <c r="DA29" s="6"/>
      <c r="DB29" s="6"/>
      <c r="DC29" s="6"/>
      <c r="DD29" s="6"/>
      <c r="DE29" s="6"/>
      <c r="DF29" s="6"/>
      <c r="DG29" s="6"/>
      <c r="DH29" s="6"/>
      <c r="DI29" s="6"/>
      <c r="DJ29" s="150"/>
      <c r="DK29" s="6"/>
      <c r="DL29" s="6"/>
    </row>
    <row r="30" spans="1:126" ht="12.6" customHeight="1">
      <c r="A30" s="660"/>
      <c r="B30" s="21" t="s">
        <v>174</v>
      </c>
      <c r="C30" s="592"/>
      <c r="D30" s="747"/>
      <c r="E30" s="593"/>
      <c r="F30" s="482"/>
      <c r="G30" s="594"/>
      <c r="H30" s="594"/>
      <c r="I30" s="594" t="s">
        <v>175</v>
      </c>
      <c r="J30" s="594"/>
      <c r="K30" s="594"/>
      <c r="L30" s="594"/>
      <c r="M30" s="596"/>
      <c r="N30" s="597">
        <f>DATE(YEAR(汇总!$D$5)-1,12,31)</f>
        <v>45291</v>
      </c>
      <c r="O30" s="483" t="s">
        <v>131</v>
      </c>
      <c r="P30" s="598"/>
      <c r="Q30" s="650"/>
      <c r="R30" s="602"/>
      <c r="CJ30" s="6"/>
      <c r="CK30" s="6"/>
      <c r="CL30" s="6"/>
      <c r="CM30" s="143"/>
      <c r="CN30" s="143"/>
      <c r="CO30" s="143"/>
      <c r="CP30" s="143"/>
      <c r="CQ30" s="143"/>
      <c r="CR30" s="143"/>
      <c r="CS30" s="143"/>
      <c r="CT30" s="143"/>
      <c r="CU30" s="6"/>
      <c r="CV30" s="143"/>
      <c r="CW30" s="143"/>
      <c r="CX30" s="143"/>
      <c r="CY30" s="143"/>
      <c r="CZ30" s="143"/>
      <c r="DA30" s="6"/>
      <c r="DB30" s="6"/>
      <c r="DC30" s="6"/>
      <c r="DD30" s="6"/>
      <c r="DE30" s="6"/>
      <c r="DF30" s="6"/>
      <c r="DG30" s="6"/>
      <c r="DH30" s="6"/>
      <c r="DI30" s="6"/>
      <c r="DJ30" s="167"/>
      <c r="DK30" s="6"/>
      <c r="DL30" s="6"/>
    </row>
    <row r="31" spans="1:126" ht="43.5" customHeight="1">
      <c r="A31" s="660"/>
      <c r="C31" s="108" t="s">
        <v>176</v>
      </c>
      <c r="D31" s="109" t="s">
        <v>177</v>
      </c>
      <c r="E31" s="168" t="s">
        <v>178</v>
      </c>
      <c r="F31" s="366" t="s">
        <v>135</v>
      </c>
      <c r="G31" s="367" t="s">
        <v>179</v>
      </c>
      <c r="H31" s="367" t="s">
        <v>136</v>
      </c>
      <c r="I31" s="169" t="s">
        <v>137</v>
      </c>
      <c r="J31" s="169" t="s">
        <v>180</v>
      </c>
      <c r="K31" s="367" t="s">
        <v>181</v>
      </c>
      <c r="L31" s="170" t="s">
        <v>138</v>
      </c>
      <c r="M31" s="171" t="s">
        <v>139</v>
      </c>
      <c r="N31" s="555" t="s">
        <v>182</v>
      </c>
      <c r="O31" s="172" t="s">
        <v>141</v>
      </c>
      <c r="P31" s="465" t="s">
        <v>183</v>
      </c>
      <c r="Q31" s="464" t="s">
        <v>184</v>
      </c>
      <c r="R31" s="114" t="s">
        <v>155</v>
      </c>
      <c r="CJ31" s="6"/>
      <c r="CK31" s="6"/>
      <c r="CL31" s="6"/>
      <c r="CM31" s="143"/>
      <c r="CN31" s="143"/>
      <c r="CO31" s="143"/>
      <c r="CP31" s="143"/>
      <c r="CQ31" s="143"/>
      <c r="CR31" s="143"/>
      <c r="CS31" s="143"/>
      <c r="CT31" s="143"/>
      <c r="CU31" s="6"/>
      <c r="CV31" s="143"/>
      <c r="CW31" s="143"/>
      <c r="CX31" s="143"/>
      <c r="CY31" s="143"/>
      <c r="CZ31" s="143"/>
      <c r="DA31" s="6"/>
      <c r="DB31" s="6"/>
      <c r="DC31" s="6"/>
      <c r="DD31" s="6"/>
      <c r="DE31" s="6"/>
      <c r="DF31" s="6"/>
      <c r="DG31" s="6"/>
      <c r="DH31" s="6"/>
      <c r="DI31" s="6"/>
      <c r="DJ31" s="167"/>
      <c r="DK31" s="6"/>
      <c r="DL31" s="6"/>
    </row>
    <row r="32" spans="1:126" ht="12.6" customHeight="1">
      <c r="A32" s="660"/>
      <c r="C32" s="98"/>
      <c r="D32" s="99"/>
      <c r="E32" s="100"/>
      <c r="F32" s="101"/>
      <c r="G32" s="99"/>
      <c r="H32" s="102"/>
      <c r="I32" s="102">
        <f>F32+H32</f>
        <v>0</v>
      </c>
      <c r="J32" s="103" t="str">
        <f>IF($I$36&lt;&gt;0,I32/$I$36,"")</f>
        <v/>
      </c>
      <c r="K32" s="99"/>
      <c r="L32" s="102"/>
      <c r="M32" s="104">
        <f>I32+L32</f>
        <v>0</v>
      </c>
      <c r="N32" s="104"/>
      <c r="O32" s="101">
        <f>M32-N32</f>
        <v>0</v>
      </c>
      <c r="P32" s="463">
        <f>IF(N32&lt;&gt;0,O32/N32,1)</f>
        <v>1</v>
      </c>
      <c r="Q32" s="99"/>
      <c r="R32" s="105"/>
      <c r="CJ32" s="6"/>
      <c r="CK32" s="6"/>
      <c r="CL32" s="6"/>
      <c r="CM32" s="143"/>
      <c r="CN32" s="143"/>
      <c r="CO32" s="143"/>
      <c r="CP32" s="143"/>
      <c r="CQ32" s="143"/>
      <c r="CR32" s="143"/>
      <c r="CS32" s="143"/>
      <c r="CT32" s="143"/>
      <c r="CU32" s="6"/>
      <c r="CV32" s="143"/>
      <c r="CW32" s="143"/>
      <c r="CX32" s="143"/>
      <c r="CY32" s="143"/>
      <c r="CZ32" s="143"/>
      <c r="DA32" s="6"/>
      <c r="DB32" s="6"/>
      <c r="DC32" s="6"/>
      <c r="DD32" s="6"/>
      <c r="DE32" s="6"/>
      <c r="DF32" s="6"/>
      <c r="DG32" s="6"/>
      <c r="DH32" s="6"/>
      <c r="DI32" s="6"/>
      <c r="DJ32" s="150"/>
      <c r="DK32" s="6"/>
      <c r="DL32" s="6"/>
    </row>
    <row r="33" spans="1:131" ht="12.6" customHeight="1">
      <c r="A33" s="660"/>
      <c r="C33" s="98"/>
      <c r="D33" s="99"/>
      <c r="E33" s="100"/>
      <c r="F33" s="101"/>
      <c r="G33" s="99"/>
      <c r="H33" s="102"/>
      <c r="I33" s="102">
        <f t="shared" ref="I33:I34" si="3">F33+H33</f>
        <v>0</v>
      </c>
      <c r="J33" s="103" t="str">
        <f>IF($I$36&lt;&gt;0,I33/$I$36,"")</f>
        <v/>
      </c>
      <c r="K33" s="99"/>
      <c r="L33" s="102"/>
      <c r="M33" s="104">
        <f t="shared" ref="M33:M34" si="4">I33+L33</f>
        <v>0</v>
      </c>
      <c r="N33" s="104"/>
      <c r="O33" s="101">
        <f t="shared" ref="O33:O34" si="5">M33-N33</f>
        <v>0</v>
      </c>
      <c r="P33" s="463">
        <f>IF(N33&lt;&gt;0,O33/N33,1)</f>
        <v>1</v>
      </c>
      <c r="Q33" s="99"/>
      <c r="R33" s="105"/>
      <c r="CJ33" s="6"/>
      <c r="CK33" s="6"/>
      <c r="CL33" s="6"/>
      <c r="CM33" s="143"/>
      <c r="CN33" s="143"/>
      <c r="CO33" s="143"/>
      <c r="CP33" s="143"/>
      <c r="CQ33" s="143"/>
      <c r="CR33" s="143"/>
      <c r="CS33" s="143"/>
      <c r="CT33" s="143"/>
      <c r="CU33" s="6"/>
      <c r="CV33" s="143"/>
      <c r="CW33" s="143"/>
      <c r="CX33" s="143"/>
      <c r="CY33" s="143"/>
      <c r="CZ33" s="143"/>
      <c r="DA33" s="6"/>
      <c r="DB33" s="6"/>
      <c r="DC33" s="6"/>
      <c r="DD33" s="6"/>
      <c r="DE33" s="6"/>
      <c r="DF33" s="6"/>
      <c r="DG33" s="6"/>
      <c r="DH33" s="6"/>
      <c r="DI33" s="6"/>
      <c r="DJ33" s="150"/>
      <c r="DK33" s="6"/>
      <c r="DL33" s="6"/>
    </row>
    <row r="34" spans="1:131" ht="12.6" customHeight="1" thickBot="1">
      <c r="A34" s="660" t="s">
        <v>185</v>
      </c>
      <c r="C34" s="371"/>
      <c r="D34" s="372"/>
      <c r="E34" s="385"/>
      <c r="F34" s="374"/>
      <c r="G34" s="372"/>
      <c r="H34" s="375"/>
      <c r="I34" s="102">
        <f t="shared" si="3"/>
        <v>0</v>
      </c>
      <c r="J34" s="103" t="str">
        <f>IF($I$36&lt;&gt;0,I34/$I$36,"")</f>
        <v/>
      </c>
      <c r="K34" s="378"/>
      <c r="L34" s="379"/>
      <c r="M34" s="104">
        <f t="shared" si="4"/>
        <v>0</v>
      </c>
      <c r="N34" s="380"/>
      <c r="O34" s="101">
        <f t="shared" si="5"/>
        <v>0</v>
      </c>
      <c r="P34" s="463">
        <f>IF(N34&lt;&gt;0,O34/N34,1)</f>
        <v>1</v>
      </c>
      <c r="Q34" s="378"/>
      <c r="R34" s="373"/>
      <c r="CJ34" s="6"/>
      <c r="CK34" s="6"/>
      <c r="CL34" s="6"/>
      <c r="CM34" s="143"/>
      <c r="CN34" s="143"/>
      <c r="CO34" s="143"/>
      <c r="CP34" s="143"/>
      <c r="CQ34" s="143"/>
      <c r="CR34" s="143"/>
      <c r="CS34" s="143"/>
      <c r="CT34" s="143"/>
      <c r="CU34" s="6"/>
      <c r="CV34" s="143"/>
      <c r="CW34" s="143"/>
      <c r="CX34" s="143"/>
      <c r="CY34" s="143"/>
      <c r="CZ34" s="143"/>
      <c r="DA34" s="6"/>
      <c r="DB34" s="6"/>
      <c r="DC34" s="6"/>
      <c r="DD34" s="6"/>
      <c r="DE34" s="6"/>
      <c r="DF34" s="6"/>
      <c r="DG34" s="6"/>
      <c r="DH34" s="6"/>
      <c r="DI34" s="6"/>
      <c r="DJ34" s="150"/>
      <c r="DK34" s="6"/>
      <c r="DL34" s="6"/>
    </row>
    <row r="35" spans="1:131" ht="12.6" customHeight="1">
      <c r="A35" s="660"/>
      <c r="B35" s="174"/>
      <c r="C35" s="760"/>
      <c r="D35" s="761"/>
      <c r="E35" s="762"/>
      <c r="F35" s="762"/>
      <c r="G35" s="762"/>
      <c r="H35" s="762"/>
      <c r="I35" s="763"/>
      <c r="J35" s="765"/>
      <c r="K35" s="765"/>
      <c r="L35" s="763"/>
      <c r="M35" s="763"/>
      <c r="N35" s="763"/>
      <c r="O35" s="753"/>
      <c r="P35" s="767"/>
      <c r="Q35" s="767"/>
      <c r="R35" s="768"/>
      <c r="CJ35" s="6"/>
      <c r="CK35" s="6"/>
      <c r="CL35" s="6"/>
      <c r="CM35" s="143"/>
      <c r="CN35" s="143"/>
      <c r="CO35" s="143"/>
      <c r="CP35" s="143"/>
      <c r="CQ35" s="143"/>
      <c r="CR35" s="143"/>
      <c r="CS35" s="143"/>
      <c r="CT35" s="143"/>
      <c r="CU35" s="6"/>
      <c r="CV35" s="143"/>
      <c r="CW35" s="143"/>
      <c r="CX35" s="143"/>
      <c r="CY35" s="143"/>
      <c r="CZ35" s="143"/>
      <c r="DA35" s="6"/>
      <c r="DB35" s="6"/>
      <c r="DC35" s="6"/>
      <c r="DD35" s="6"/>
      <c r="DE35" s="6"/>
      <c r="DF35" s="6"/>
      <c r="DG35" s="6"/>
      <c r="DH35" s="6"/>
      <c r="DI35" s="6"/>
      <c r="DJ35" s="150"/>
      <c r="DK35" s="6"/>
      <c r="DL35" s="6"/>
    </row>
    <row r="36" spans="1:131" s="16" customFormat="1" ht="12.6" customHeight="1" thickBot="1">
      <c r="A36" s="661"/>
      <c r="B36" s="174"/>
      <c r="C36" s="174"/>
      <c r="D36" s="179"/>
      <c r="E36" s="212" t="s">
        <v>208</v>
      </c>
      <c r="F36" s="388">
        <f>SUM(F31:F35)</f>
        <v>0</v>
      </c>
      <c r="G36" s="21"/>
      <c r="H36" s="388">
        <f>SUM(H31:H35)</f>
        <v>0</v>
      </c>
      <c r="I36" s="388">
        <f>SUM(I31:I35)</f>
        <v>0</v>
      </c>
      <c r="J36" s="389">
        <f>SUM(J31:J35)</f>
        <v>0</v>
      </c>
      <c r="K36" s="21"/>
      <c r="L36" s="388">
        <f>SUM(L31:L35)</f>
        <v>0</v>
      </c>
      <c r="M36" s="388">
        <f>SUM(M31:M35)</f>
        <v>0</v>
      </c>
      <c r="N36" s="388">
        <f>SUM(N31:N35)</f>
        <v>0</v>
      </c>
      <c r="O36" s="388">
        <f>M36-N36</f>
        <v>0</v>
      </c>
      <c r="P36" s="389">
        <f>IF(N36&lt;&gt;0,O36/N36,1)</f>
        <v>1</v>
      </c>
      <c r="Q36" s="177"/>
      <c r="R36" s="213"/>
      <c r="S36" s="19"/>
      <c r="T36" s="19"/>
      <c r="U36" s="174"/>
      <c r="CM36" s="6"/>
      <c r="CN36" s="6"/>
      <c r="CO36" s="6"/>
      <c r="CP36" s="143"/>
      <c r="CQ36" s="143"/>
      <c r="CR36" s="143"/>
      <c r="CS36" s="143"/>
      <c r="CT36" s="143"/>
      <c r="CU36" s="143"/>
      <c r="CV36" s="143"/>
      <c r="CW36" s="143"/>
      <c r="CX36" s="6"/>
      <c r="CY36" s="143"/>
      <c r="CZ36" s="143"/>
      <c r="DA36" s="143"/>
      <c r="DB36" s="143"/>
      <c r="DC36" s="143"/>
      <c r="DD36" s="6"/>
      <c r="DE36" s="6"/>
      <c r="DF36" s="6"/>
      <c r="DG36" s="6"/>
      <c r="DH36" s="6"/>
      <c r="DI36" s="6"/>
      <c r="DJ36" s="6"/>
      <c r="DK36" s="6"/>
      <c r="DL36" s="6"/>
      <c r="DM36" s="150"/>
      <c r="DN36" s="6"/>
      <c r="DO36" s="6"/>
    </row>
    <row r="37" spans="1:131" s="16" customFormat="1" ht="12.6" customHeight="1" thickTop="1">
      <c r="A37" s="661"/>
      <c r="B37" s="174"/>
      <c r="C37" s="174"/>
      <c r="D37" s="179"/>
      <c r="E37" s="175"/>
      <c r="F37" s="131" t="s">
        <v>105</v>
      </c>
      <c r="G37" s="179"/>
      <c r="H37" s="131" t="s">
        <v>105</v>
      </c>
      <c r="I37" s="131" t="s">
        <v>105</v>
      </c>
      <c r="J37" s="131" t="s">
        <v>105</v>
      </c>
      <c r="K37" s="180"/>
      <c r="L37" s="131" t="s">
        <v>105</v>
      </c>
      <c r="M37" s="131" t="s">
        <v>105</v>
      </c>
      <c r="N37" s="131" t="s">
        <v>105</v>
      </c>
      <c r="O37" s="193"/>
      <c r="P37" s="183"/>
      <c r="Q37" s="183"/>
      <c r="R37" s="184"/>
      <c r="S37" s="19"/>
      <c r="T37" s="19"/>
      <c r="U37" s="174"/>
      <c r="CM37" s="6"/>
      <c r="CN37" s="6"/>
      <c r="CO37" s="6"/>
      <c r="CP37" s="143"/>
      <c r="CQ37" s="143"/>
      <c r="CR37" s="143"/>
      <c r="CS37" s="143"/>
      <c r="CT37" s="143"/>
      <c r="CU37" s="143"/>
      <c r="CV37" s="143"/>
      <c r="CW37" s="143"/>
      <c r="CX37" s="6"/>
      <c r="CY37" s="143"/>
      <c r="CZ37" s="143"/>
      <c r="DA37" s="143"/>
      <c r="DB37" s="143"/>
      <c r="DC37" s="143"/>
      <c r="DD37" s="6"/>
      <c r="DE37" s="6"/>
      <c r="DF37" s="6"/>
      <c r="DG37" s="6"/>
      <c r="DH37" s="6"/>
      <c r="DI37" s="6"/>
      <c r="DJ37" s="6"/>
      <c r="DK37" s="6"/>
      <c r="DL37" s="6"/>
      <c r="DM37" s="150"/>
      <c r="DN37" s="6"/>
      <c r="DO37" s="6"/>
    </row>
    <row r="38" spans="1:131" s="16" customFormat="1" ht="12.6" customHeight="1">
      <c r="A38" s="661"/>
      <c r="B38" s="174"/>
      <c r="C38" s="174"/>
      <c r="D38" s="179"/>
      <c r="F38" s="181"/>
      <c r="G38" s="179"/>
      <c r="H38" s="185" t="s">
        <v>91</v>
      </c>
      <c r="I38" s="181"/>
      <c r="J38" s="186"/>
      <c r="K38" s="181"/>
      <c r="M38" s="181"/>
      <c r="N38" s="181"/>
      <c r="O38" s="181"/>
      <c r="P38" s="182"/>
      <c r="Q38" s="182"/>
      <c r="R38" s="184"/>
      <c r="S38" s="174"/>
      <c r="T38" s="19"/>
      <c r="U38" s="174"/>
      <c r="CM38" s="6"/>
      <c r="CN38" s="6"/>
      <c r="CO38" s="6"/>
      <c r="CP38" s="143"/>
      <c r="CQ38" s="143"/>
      <c r="CR38" s="143"/>
      <c r="CS38" s="143"/>
      <c r="CT38" s="143"/>
      <c r="CU38" s="143"/>
      <c r="CV38" s="143"/>
      <c r="CW38" s="143"/>
      <c r="CX38" s="6"/>
      <c r="CY38" s="143"/>
      <c r="CZ38" s="143"/>
      <c r="DA38" s="143"/>
      <c r="DB38" s="143"/>
      <c r="DC38" s="143"/>
      <c r="DD38" s="6"/>
      <c r="DE38" s="6"/>
      <c r="DF38" s="6"/>
      <c r="DG38" s="6"/>
      <c r="DH38" s="6"/>
      <c r="DI38" s="6"/>
      <c r="DJ38" s="6"/>
      <c r="DK38" s="6"/>
      <c r="DL38" s="6"/>
      <c r="DM38" s="150"/>
      <c r="DN38" s="6"/>
      <c r="DO38" s="6"/>
    </row>
    <row r="39" spans="1:131" s="16" customFormat="1" ht="12.6" customHeight="1">
      <c r="A39" s="661"/>
      <c r="B39" s="27"/>
      <c r="C39" s="174"/>
      <c r="D39" s="179"/>
      <c r="F39" s="188"/>
      <c r="G39" s="179"/>
      <c r="H39" s="187" t="s">
        <v>201</v>
      </c>
      <c r="I39" s="188">
        <f>I36-I38</f>
        <v>0</v>
      </c>
      <c r="J39" s="189"/>
      <c r="K39" s="181"/>
      <c r="M39" s="188">
        <f>M36-M38</f>
        <v>0</v>
      </c>
      <c r="N39" s="188">
        <f>N36-N38</f>
        <v>0</v>
      </c>
      <c r="O39" s="181"/>
      <c r="P39" s="182"/>
      <c r="Q39" s="182"/>
      <c r="R39" s="182"/>
      <c r="S39" s="182"/>
      <c r="T39" s="184"/>
      <c r="U39" s="174"/>
      <c r="V39" s="174"/>
      <c r="W39" s="174"/>
      <c r="CO39" s="6"/>
      <c r="CP39" s="6"/>
      <c r="CQ39" s="6"/>
      <c r="CR39" s="143"/>
      <c r="CS39" s="143"/>
      <c r="CT39" s="143"/>
      <c r="CU39" s="143"/>
      <c r="CV39" s="143"/>
      <c r="CW39" s="143"/>
      <c r="CX39" s="143"/>
      <c r="CY39" s="143"/>
      <c r="CZ39" s="6"/>
      <c r="DA39" s="143"/>
      <c r="DB39" s="143"/>
      <c r="DC39" s="143"/>
      <c r="DD39" s="143"/>
      <c r="DE39" s="143"/>
      <c r="DF39" s="6"/>
      <c r="DG39" s="6"/>
      <c r="DH39" s="6"/>
      <c r="DI39" s="6"/>
      <c r="DJ39" s="6"/>
      <c r="DK39" s="6"/>
      <c r="DL39" s="6"/>
      <c r="DM39" s="6"/>
      <c r="DN39" s="6"/>
      <c r="DO39" s="150"/>
      <c r="DP39" s="6"/>
      <c r="DQ39" s="6"/>
    </row>
    <row r="40" spans="1:131" s="30" customFormat="1" ht="12.75" customHeight="1" thickBot="1">
      <c r="A40" s="672"/>
      <c r="C40" s="8"/>
      <c r="D40" s="304"/>
      <c r="E40" s="304"/>
      <c r="F40" s="304"/>
      <c r="G40" s="304"/>
      <c r="H40" s="305"/>
      <c r="I40" s="304"/>
      <c r="J40" s="304"/>
      <c r="K40" s="305"/>
      <c r="L40" s="305"/>
      <c r="M40" s="305"/>
      <c r="N40" s="304"/>
      <c r="O40" s="306"/>
      <c r="P40" s="306"/>
      <c r="Q40" s="306"/>
      <c r="R40" s="306"/>
      <c r="S40" s="304"/>
      <c r="T40" s="304"/>
      <c r="U40" s="306"/>
      <c r="V40" s="306"/>
      <c r="W40" s="306"/>
      <c r="X40" s="306"/>
      <c r="Y40" s="306"/>
      <c r="Z40" s="306"/>
      <c r="AA40" s="304"/>
      <c r="AC40" s="307"/>
      <c r="AF40" s="308"/>
      <c r="AG40" s="308"/>
      <c r="AH40" s="308"/>
      <c r="AI40" s="308"/>
      <c r="AJ40" s="308"/>
      <c r="AK40" s="308"/>
      <c r="AL40" s="309"/>
      <c r="AM40" s="309"/>
      <c r="AN40" s="309"/>
      <c r="AO40" s="309"/>
      <c r="AP40" s="309"/>
      <c r="AQ40" s="309"/>
      <c r="CX40" s="6"/>
      <c r="CY40" s="6"/>
      <c r="CZ40" s="6"/>
      <c r="DA40" s="143"/>
      <c r="DB40" s="143"/>
      <c r="DC40" s="143"/>
      <c r="DD40" s="143"/>
      <c r="DE40" s="143"/>
      <c r="DF40" s="143"/>
      <c r="DG40" s="143"/>
      <c r="DH40" s="143"/>
      <c r="DI40" s="6"/>
      <c r="DJ40" s="143"/>
      <c r="DK40" s="143"/>
      <c r="DL40" s="143"/>
      <c r="DM40" s="143"/>
      <c r="DN40" s="143"/>
      <c r="DO40" s="6"/>
      <c r="DP40" s="6"/>
      <c r="DQ40" s="6"/>
      <c r="DR40" s="6"/>
      <c r="DS40" s="6"/>
      <c r="DT40" s="6"/>
      <c r="DU40" s="6"/>
      <c r="DV40" s="6"/>
      <c r="DW40" s="6"/>
      <c r="DX40" s="150"/>
      <c r="DY40" s="6"/>
      <c r="DZ40" s="6"/>
    </row>
    <row r="41" spans="1:131" ht="12.75" customHeight="1">
      <c r="A41" s="541"/>
      <c r="C41" s="782" t="s">
        <v>315</v>
      </c>
      <c r="D41" s="783"/>
      <c r="E41" s="783"/>
      <c r="F41" s="784"/>
      <c r="G41" s="784"/>
      <c r="H41" s="785"/>
      <c r="CY41" s="6"/>
      <c r="CZ41" s="6"/>
      <c r="DA41" s="143"/>
      <c r="DB41" s="143"/>
      <c r="DC41" s="143"/>
      <c r="DD41" s="143"/>
      <c r="DE41" s="143"/>
      <c r="DF41" s="143"/>
      <c r="DG41" s="143"/>
      <c r="DH41" s="143"/>
      <c r="DI41" s="143"/>
      <c r="DJ41" s="6"/>
      <c r="DK41" s="143"/>
      <c r="DL41" s="143"/>
      <c r="DM41" s="143"/>
      <c r="DN41" s="143"/>
      <c r="DO41" s="143"/>
      <c r="DP41" s="6"/>
      <c r="DQ41" s="6"/>
      <c r="DR41" s="6"/>
      <c r="DS41" s="6"/>
      <c r="DT41" s="6"/>
      <c r="DU41" s="6"/>
      <c r="DV41" s="6"/>
      <c r="DW41" s="6"/>
      <c r="DX41" s="6"/>
      <c r="DY41" s="150"/>
      <c r="DZ41" s="6"/>
      <c r="EA41" s="6"/>
    </row>
    <row r="42" spans="1:131" ht="12.75" customHeight="1">
      <c r="A42" s="660"/>
      <c r="C42" s="286" t="s">
        <v>316</v>
      </c>
      <c r="D42" s="287" t="s">
        <v>317</v>
      </c>
      <c r="E42" s="287" t="s">
        <v>318</v>
      </c>
      <c r="F42" s="287" t="s">
        <v>319</v>
      </c>
      <c r="G42" s="275" t="s">
        <v>335</v>
      </c>
      <c r="H42" s="310"/>
      <c r="CY42" s="6"/>
      <c r="CZ42" s="143"/>
      <c r="DA42" s="143"/>
      <c r="DB42" s="143"/>
      <c r="DC42" s="143"/>
      <c r="DD42" s="143"/>
      <c r="DE42" s="143"/>
      <c r="DF42" s="143"/>
      <c r="DG42" s="143"/>
      <c r="DH42" s="143"/>
      <c r="DI42" s="143"/>
      <c r="DJ42" s="143"/>
      <c r="DK42" s="143"/>
      <c r="DL42" s="143"/>
      <c r="DM42" s="143"/>
      <c r="DN42" s="143"/>
      <c r="DO42" s="143"/>
      <c r="DP42" s="143"/>
      <c r="DQ42" s="6"/>
      <c r="DR42" s="6"/>
      <c r="DS42" s="6"/>
      <c r="DT42" s="6"/>
      <c r="DU42" s="6"/>
      <c r="DV42" s="143"/>
      <c r="DW42" s="143"/>
      <c r="DX42" s="143"/>
      <c r="DY42" s="148"/>
      <c r="DZ42" s="6"/>
      <c r="EA42" s="6"/>
    </row>
    <row r="43" spans="1:131" ht="12.75" customHeight="1">
      <c r="A43" s="660"/>
      <c r="C43" s="311"/>
      <c r="D43" s="312"/>
      <c r="E43" s="312"/>
      <c r="F43" s="9" t="s">
        <v>336</v>
      </c>
      <c r="G43" s="313"/>
      <c r="H43" s="310"/>
      <c r="CY43" s="6"/>
      <c r="CZ43" s="143"/>
      <c r="DA43" s="143"/>
      <c r="DB43" s="143"/>
      <c r="DC43" s="143"/>
      <c r="DD43" s="143"/>
      <c r="DE43" s="143"/>
      <c r="DF43" s="143"/>
      <c r="DG43" s="143"/>
      <c r="DH43" s="143"/>
      <c r="DI43" s="143"/>
      <c r="DJ43" s="143"/>
      <c r="DK43" s="143"/>
      <c r="DL43" s="143"/>
      <c r="DM43" s="143"/>
      <c r="DN43" s="143"/>
      <c r="DO43" s="143"/>
      <c r="DP43" s="143"/>
      <c r="DQ43" s="143"/>
      <c r="DR43" s="143"/>
      <c r="DS43" s="143"/>
      <c r="DT43" s="143"/>
      <c r="DU43" s="143"/>
      <c r="DV43" s="143"/>
      <c r="DW43" s="143"/>
      <c r="DX43" s="143"/>
      <c r="DY43" s="148"/>
      <c r="DZ43" s="6"/>
      <c r="EA43" s="6"/>
    </row>
    <row r="44" spans="1:131" ht="12.75" customHeight="1">
      <c r="A44" s="660"/>
      <c r="C44" s="311"/>
      <c r="D44" s="312"/>
      <c r="E44" s="312"/>
      <c r="F44" s="9" t="s">
        <v>337</v>
      </c>
      <c r="G44" s="313"/>
      <c r="H44" s="310"/>
      <c r="CY44" s="143"/>
      <c r="CZ44" s="143"/>
      <c r="DA44" s="143"/>
      <c r="DB44" s="143"/>
      <c r="DC44" s="143"/>
      <c r="DD44" s="143"/>
      <c r="DE44" s="143"/>
      <c r="DF44" s="143"/>
      <c r="DG44" s="143"/>
      <c r="DH44" s="143"/>
      <c r="DI44" s="143"/>
      <c r="DJ44" s="143"/>
      <c r="DK44" s="143"/>
      <c r="DL44" s="143"/>
      <c r="DM44" s="143"/>
      <c r="DN44" s="143"/>
      <c r="DO44" s="143"/>
      <c r="DP44" s="143"/>
      <c r="DQ44" s="143"/>
      <c r="DR44" s="143"/>
      <c r="DS44" s="143"/>
      <c r="DT44" s="143"/>
      <c r="DU44" s="143"/>
      <c r="DV44" s="143"/>
      <c r="DW44" s="143"/>
      <c r="DX44" s="143"/>
      <c r="DY44" s="148"/>
      <c r="DZ44" s="143"/>
      <c r="EA44" s="149"/>
    </row>
    <row r="45" spans="1:131" ht="12.75" customHeight="1">
      <c r="A45" s="660"/>
      <c r="C45" s="311"/>
      <c r="D45" s="312"/>
      <c r="E45" s="312"/>
      <c r="F45" s="9" t="s">
        <v>338</v>
      </c>
      <c r="G45" s="313"/>
      <c r="H45" s="310"/>
      <c r="CY45" s="143"/>
      <c r="CZ45" s="143"/>
      <c r="DA45" s="143"/>
      <c r="DB45" s="143"/>
      <c r="DC45" s="143"/>
      <c r="DD45" s="143"/>
      <c r="DE45" s="143"/>
      <c r="DF45" s="143"/>
      <c r="DG45" s="143"/>
      <c r="DH45" s="143"/>
      <c r="DI45" s="143"/>
      <c r="DJ45" s="143"/>
      <c r="DK45" s="143"/>
      <c r="DL45" s="143"/>
      <c r="DM45" s="143"/>
      <c r="DN45" s="143"/>
      <c r="DO45" s="143"/>
      <c r="DP45" s="143"/>
      <c r="DQ45" s="143"/>
      <c r="DR45" s="143"/>
      <c r="DS45" s="143"/>
      <c r="DT45" s="143"/>
      <c r="DU45" s="143"/>
      <c r="DV45" s="143"/>
      <c r="DW45" s="143"/>
      <c r="DX45" s="143"/>
      <c r="DY45" s="148"/>
      <c r="DZ45" s="143"/>
      <c r="EA45" s="149"/>
    </row>
    <row r="46" spans="1:131" ht="12.75" customHeight="1">
      <c r="A46" s="660"/>
      <c r="C46" s="311"/>
      <c r="D46" s="312"/>
      <c r="E46" s="312"/>
      <c r="F46" s="282" t="s">
        <v>339</v>
      </c>
      <c r="G46" s="314"/>
      <c r="H46" s="310"/>
      <c r="CY46" s="143"/>
      <c r="CZ46" s="143"/>
      <c r="DA46" s="143"/>
      <c r="DB46" s="143"/>
      <c r="DC46" s="143"/>
      <c r="DD46" s="143"/>
      <c r="DE46" s="143"/>
      <c r="DF46" s="143"/>
      <c r="DG46" s="143"/>
      <c r="DH46" s="143"/>
      <c r="DI46" s="143"/>
      <c r="DJ46" s="143"/>
      <c r="DK46" s="143"/>
      <c r="DL46" s="143"/>
      <c r="DM46" s="143"/>
      <c r="DN46" s="143"/>
      <c r="DO46" s="143"/>
      <c r="DP46" s="143"/>
      <c r="DQ46" s="143"/>
      <c r="DR46" s="143"/>
      <c r="DS46" s="143"/>
      <c r="DT46" s="143"/>
      <c r="DU46" s="143"/>
      <c r="DV46" s="143"/>
      <c r="DW46" s="143"/>
      <c r="DX46" s="143"/>
      <c r="DY46" s="148"/>
      <c r="DZ46" s="143"/>
      <c r="EA46" s="149"/>
    </row>
    <row r="47" spans="1:131" ht="12.75" customHeight="1">
      <c r="A47" s="540"/>
      <c r="C47" s="311"/>
      <c r="D47" s="312"/>
      <c r="E47" s="312"/>
      <c r="F47" s="9" t="s">
        <v>327</v>
      </c>
      <c r="G47" s="313">
        <f>SUM(G43:G46)</f>
        <v>0</v>
      </c>
      <c r="H47" s="310"/>
      <c r="CY47" s="143"/>
      <c r="CZ47" s="143"/>
      <c r="DA47" s="143"/>
      <c r="DB47" s="143"/>
      <c r="DC47" s="143"/>
      <c r="DD47" s="143"/>
      <c r="DE47" s="143"/>
      <c r="DF47" s="143"/>
      <c r="DG47" s="143"/>
      <c r="DH47" s="143"/>
      <c r="DI47" s="143"/>
      <c r="DJ47" s="143"/>
      <c r="DK47" s="143"/>
      <c r="DL47" s="143"/>
      <c r="DM47" s="143"/>
      <c r="DN47" s="143"/>
      <c r="DO47" s="143"/>
      <c r="DP47" s="143"/>
      <c r="DQ47" s="143"/>
      <c r="DR47" s="143"/>
      <c r="DS47" s="143"/>
      <c r="DT47" s="143"/>
      <c r="DU47" s="143"/>
      <c r="DV47" s="143"/>
      <c r="DW47" s="143"/>
      <c r="DX47" s="143"/>
      <c r="DY47" s="148"/>
      <c r="DZ47" s="143"/>
      <c r="EA47" s="149"/>
    </row>
    <row r="48" spans="1:131" ht="12.75" customHeight="1">
      <c r="A48" s="540"/>
      <c r="C48" s="311"/>
      <c r="D48" s="312"/>
      <c r="E48" s="312"/>
      <c r="F48" s="9" t="s">
        <v>340</v>
      </c>
      <c r="G48" s="313">
        <f>$I$36</f>
        <v>0</v>
      </c>
      <c r="H48" s="310"/>
      <c r="CY48" s="143"/>
      <c r="CZ48" s="143"/>
      <c r="DA48" s="143"/>
      <c r="DB48" s="143"/>
      <c r="DC48" s="143"/>
      <c r="DD48" s="143"/>
      <c r="DE48" s="143"/>
      <c r="DF48" s="143"/>
      <c r="DG48" s="143"/>
      <c r="DH48" s="143"/>
      <c r="DI48" s="143"/>
      <c r="DJ48" s="143"/>
      <c r="DK48" s="143"/>
      <c r="DL48" s="143"/>
      <c r="DM48" s="143"/>
      <c r="DN48" s="143"/>
      <c r="DO48" s="143"/>
      <c r="DP48" s="143"/>
      <c r="DQ48" s="143"/>
      <c r="DR48" s="143"/>
      <c r="DS48" s="143"/>
      <c r="DT48" s="143"/>
      <c r="DU48" s="143"/>
      <c r="DV48" s="143"/>
      <c r="DW48" s="143"/>
      <c r="DX48" s="143"/>
      <c r="DY48" s="148"/>
      <c r="DZ48" s="143"/>
      <c r="EA48" s="149"/>
    </row>
    <row r="49" spans="1:131" ht="12.75" customHeight="1">
      <c r="A49" s="540"/>
      <c r="C49" s="311"/>
      <c r="D49" s="312"/>
      <c r="E49" s="312"/>
      <c r="F49" s="9"/>
      <c r="G49" s="313"/>
      <c r="H49" s="310"/>
      <c r="CY49" s="143"/>
      <c r="CZ49" s="143"/>
      <c r="DA49" s="143"/>
      <c r="DB49" s="143"/>
      <c r="DC49" s="143"/>
      <c r="DD49" s="143"/>
      <c r="DE49" s="143"/>
      <c r="DF49" s="143"/>
      <c r="DG49" s="143"/>
      <c r="DH49" s="143"/>
      <c r="DI49" s="143"/>
      <c r="DJ49" s="143"/>
      <c r="DK49" s="143"/>
      <c r="DL49" s="143"/>
      <c r="DM49" s="143"/>
      <c r="DN49" s="143"/>
      <c r="DO49" s="143"/>
      <c r="DP49" s="143"/>
      <c r="DQ49" s="143"/>
      <c r="DR49" s="143"/>
      <c r="DS49" s="143"/>
      <c r="DT49" s="143"/>
      <c r="DU49" s="143"/>
      <c r="DV49" s="143"/>
      <c r="DW49" s="143"/>
      <c r="DX49" s="143"/>
      <c r="DY49" s="148"/>
      <c r="DZ49" s="143"/>
      <c r="EA49" s="149"/>
    </row>
    <row r="50" spans="1:131" ht="12.75" customHeight="1" thickBot="1">
      <c r="A50" s="540"/>
      <c r="C50" s="311"/>
      <c r="D50" s="312"/>
      <c r="E50" s="312"/>
      <c r="F50" s="9" t="s">
        <v>329</v>
      </c>
      <c r="G50" s="405">
        <f>G47-G48</f>
        <v>0</v>
      </c>
      <c r="H50" s="310"/>
      <c r="CY50" s="143"/>
      <c r="CZ50" s="143"/>
      <c r="DA50" s="143"/>
      <c r="DB50" s="143"/>
      <c r="DC50" s="143"/>
      <c r="DD50" s="143"/>
      <c r="DE50" s="143"/>
      <c r="DF50" s="143"/>
      <c r="DG50" s="143"/>
      <c r="DH50" s="143"/>
      <c r="DI50" s="143"/>
      <c r="DJ50" s="143"/>
      <c r="DK50" s="143"/>
      <c r="DL50" s="143"/>
      <c r="DM50" s="143"/>
      <c r="DN50" s="143"/>
      <c r="DO50" s="143"/>
      <c r="DP50" s="143"/>
      <c r="DQ50" s="143"/>
      <c r="DR50" s="143"/>
      <c r="DS50" s="143"/>
      <c r="DT50" s="143"/>
      <c r="DU50" s="143"/>
      <c r="DV50" s="143"/>
      <c r="DW50" s="143"/>
      <c r="DX50" s="143"/>
      <c r="DY50" s="148"/>
      <c r="DZ50" s="143"/>
      <c r="EA50" s="149"/>
    </row>
    <row r="51" spans="1:131" ht="12.75" customHeight="1" thickTop="1">
      <c r="A51" s="540"/>
      <c r="C51" s="311"/>
      <c r="D51" s="312"/>
      <c r="E51" s="312"/>
      <c r="F51" s="9"/>
      <c r="G51" s="315"/>
      <c r="H51" s="310"/>
      <c r="CY51" s="143"/>
      <c r="CZ51" s="143"/>
      <c r="DA51" s="143"/>
      <c r="DB51" s="143"/>
      <c r="DC51" s="143"/>
      <c r="DD51" s="143"/>
      <c r="DE51" s="143"/>
      <c r="DF51" s="143"/>
      <c r="DG51" s="143"/>
      <c r="DH51" s="143"/>
      <c r="DI51" s="143"/>
      <c r="DJ51" s="143"/>
      <c r="DK51" s="143"/>
      <c r="DL51" s="143"/>
      <c r="DM51" s="143"/>
      <c r="DN51" s="143"/>
      <c r="DO51" s="143"/>
      <c r="DP51" s="143"/>
      <c r="DQ51" s="143"/>
      <c r="DR51" s="143"/>
      <c r="DS51" s="143"/>
      <c r="DT51" s="143"/>
      <c r="DU51" s="143"/>
      <c r="DV51" s="143"/>
      <c r="DW51" s="143"/>
      <c r="DX51" s="143"/>
      <c r="DY51" s="148"/>
      <c r="DZ51" s="143"/>
      <c r="EA51" s="149"/>
    </row>
    <row r="52" spans="1:131" ht="12.75" customHeight="1" thickBot="1">
      <c r="A52" s="540"/>
      <c r="C52" s="316"/>
      <c r="D52" s="317"/>
      <c r="E52" s="317"/>
      <c r="F52" s="318"/>
      <c r="G52" s="319"/>
      <c r="H52" s="320"/>
      <c r="CY52" s="143"/>
      <c r="CZ52" s="143"/>
      <c r="DA52" s="143"/>
      <c r="DB52" s="143"/>
      <c r="DC52" s="143"/>
      <c r="DD52" s="143"/>
      <c r="DE52" s="143"/>
      <c r="DF52" s="143"/>
      <c r="DG52" s="143"/>
      <c r="DH52" s="143"/>
      <c r="DI52" s="143"/>
      <c r="DJ52" s="143"/>
      <c r="DK52" s="143"/>
      <c r="DL52" s="143"/>
      <c r="DM52" s="143"/>
      <c r="DN52" s="143"/>
      <c r="DO52" s="143"/>
      <c r="DP52" s="143"/>
      <c r="DQ52" s="143"/>
      <c r="DR52" s="143"/>
      <c r="DS52" s="143"/>
      <c r="DT52" s="143"/>
      <c r="DU52" s="143"/>
      <c r="DV52" s="143"/>
      <c r="DW52" s="143"/>
      <c r="DX52" s="143"/>
      <c r="DY52" s="148"/>
      <c r="DZ52" s="143"/>
      <c r="EA52" s="149"/>
    </row>
    <row r="53" spans="1:131" s="6" customFormat="1" ht="13.35" customHeight="1">
      <c r="A53" s="539"/>
      <c r="G53" s="215"/>
      <c r="H53" s="30"/>
      <c r="I53" s="19"/>
      <c r="J53" s="215"/>
      <c r="CW53" s="143"/>
      <c r="CX53" s="143"/>
      <c r="CY53" s="143"/>
      <c r="CZ53" s="143"/>
      <c r="DA53" s="143"/>
      <c r="DB53" s="143"/>
      <c r="DC53" s="143"/>
      <c r="DD53" s="143"/>
      <c r="DE53" s="143"/>
      <c r="DF53" s="143"/>
      <c r="DG53" s="143"/>
      <c r="DH53" s="143"/>
      <c r="DI53" s="143"/>
      <c r="DJ53" s="143"/>
      <c r="DK53" s="143"/>
      <c r="DL53" s="143"/>
      <c r="DM53" s="143"/>
      <c r="DN53" s="143"/>
      <c r="DO53" s="143"/>
      <c r="DP53" s="143"/>
      <c r="DQ53" s="143"/>
      <c r="DR53" s="143"/>
      <c r="DS53" s="143"/>
      <c r="DT53" s="143"/>
      <c r="DU53" s="143"/>
      <c r="DV53" s="143"/>
      <c r="DW53" s="148"/>
      <c r="DX53" s="143"/>
      <c r="DY53" s="149"/>
    </row>
    <row r="54" spans="1:131" s="6" customFormat="1" ht="13.35" customHeight="1">
      <c r="A54" s="539"/>
      <c r="G54" s="215"/>
      <c r="H54" s="30"/>
      <c r="I54" s="19"/>
      <c r="J54" s="215"/>
      <c r="CW54" s="143"/>
      <c r="CX54" s="143"/>
      <c r="CY54" s="143"/>
      <c r="CZ54" s="143"/>
      <c r="DA54" s="143"/>
      <c r="DB54" s="143"/>
      <c r="DC54" s="143"/>
      <c r="DD54" s="143"/>
      <c r="DE54" s="143"/>
      <c r="DF54" s="143"/>
      <c r="DG54" s="143"/>
      <c r="DH54" s="143"/>
      <c r="DI54" s="143"/>
      <c r="DJ54" s="143"/>
      <c r="DK54" s="143"/>
      <c r="DL54" s="143"/>
      <c r="DM54" s="143"/>
      <c r="DN54" s="143"/>
      <c r="DO54" s="143"/>
      <c r="DP54" s="143"/>
      <c r="DQ54" s="143"/>
      <c r="DR54" s="143"/>
      <c r="DS54" s="143"/>
      <c r="DT54" s="143"/>
      <c r="DU54" s="143"/>
      <c r="DV54" s="143"/>
      <c r="DW54" s="148"/>
      <c r="DX54" s="143"/>
      <c r="DY54" s="149"/>
    </row>
    <row r="55" spans="1:131" s="13" customFormat="1" ht="13.35" customHeight="1" thickBot="1">
      <c r="A55" s="663"/>
      <c r="B55" s="88" t="s">
        <v>155</v>
      </c>
      <c r="C55" s="13" t="s">
        <v>189</v>
      </c>
      <c r="G55" s="137"/>
      <c r="H55" s="138"/>
      <c r="I55" s="19"/>
      <c r="J55" s="137"/>
      <c r="CV55" s="62"/>
      <c r="CW55" s="62"/>
      <c r="CX55" s="62"/>
      <c r="CY55" s="62"/>
      <c r="CZ55" s="62"/>
      <c r="DA55" s="62"/>
      <c r="DB55" s="62"/>
      <c r="DE55" s="62"/>
      <c r="DF55" s="62"/>
      <c r="DG55" s="62"/>
      <c r="DH55" s="62"/>
      <c r="DI55" s="62"/>
      <c r="DS55" s="69"/>
    </row>
    <row r="56" spans="1:131" s="17" customFormat="1" ht="12.6" customHeight="1">
      <c r="A56" s="664"/>
      <c r="C56" s="828"/>
      <c r="D56" s="829"/>
      <c r="E56" s="829"/>
      <c r="F56" s="829"/>
      <c r="G56" s="830"/>
      <c r="H56" s="139"/>
      <c r="I56" s="19"/>
      <c r="J56" s="139"/>
      <c r="CN56" s="13"/>
      <c r="CO56" s="13"/>
      <c r="CP56" s="13"/>
      <c r="CQ56" s="62"/>
      <c r="CR56" s="62"/>
      <c r="CS56" s="62"/>
      <c r="CT56" s="62"/>
      <c r="CU56" s="62"/>
      <c r="CV56" s="62"/>
      <c r="CW56" s="62"/>
      <c r="CX56" s="13"/>
      <c r="CY56" s="13"/>
      <c r="CZ56" s="62"/>
      <c r="DA56" s="62"/>
      <c r="DB56" s="62"/>
      <c r="DC56" s="62"/>
      <c r="DD56" s="62"/>
      <c r="DE56" s="13"/>
      <c r="DF56" s="13"/>
      <c r="DG56" s="13"/>
      <c r="DH56" s="13"/>
      <c r="DI56" s="13"/>
      <c r="DJ56" s="13"/>
      <c r="DK56" s="13"/>
      <c r="DL56" s="13"/>
      <c r="DM56" s="13"/>
      <c r="DN56" s="69"/>
      <c r="DO56" s="13"/>
      <c r="DP56" s="13"/>
    </row>
    <row r="57" spans="1:131" s="17" customFormat="1" ht="12.6" customHeight="1">
      <c r="A57" s="665"/>
      <c r="C57" s="831"/>
      <c r="D57" s="832"/>
      <c r="E57" s="832"/>
      <c r="F57" s="832"/>
      <c r="G57" s="833"/>
      <c r="H57" s="139"/>
      <c r="I57" s="139"/>
      <c r="J57" s="139"/>
      <c r="CN57" s="13"/>
      <c r="CO57" s="13"/>
      <c r="CP57" s="13"/>
      <c r="CQ57" s="62"/>
      <c r="CR57" s="62"/>
      <c r="CS57" s="62"/>
      <c r="CT57" s="62"/>
      <c r="CU57" s="62"/>
      <c r="CV57" s="62"/>
      <c r="CW57" s="62"/>
      <c r="CX57" s="13"/>
      <c r="CY57" s="13"/>
      <c r="CZ57" s="62"/>
      <c r="DA57" s="62"/>
      <c r="DB57" s="62"/>
      <c r="DC57" s="62"/>
      <c r="DD57" s="62"/>
      <c r="DE57" s="13"/>
      <c r="DF57" s="13"/>
      <c r="DG57" s="13"/>
      <c r="DH57" s="13"/>
      <c r="DI57" s="13"/>
      <c r="DJ57" s="13"/>
      <c r="DK57" s="13"/>
      <c r="DL57" s="13"/>
      <c r="DM57" s="13"/>
      <c r="DN57" s="69"/>
      <c r="DO57" s="13"/>
      <c r="DP57" s="13"/>
    </row>
    <row r="58" spans="1:131" s="17" customFormat="1" ht="12.6" customHeight="1" thickBot="1">
      <c r="A58" s="665"/>
      <c r="C58" s="834"/>
      <c r="D58" s="835"/>
      <c r="E58" s="835"/>
      <c r="F58" s="835"/>
      <c r="G58" s="836"/>
      <c r="H58" s="139"/>
      <c r="I58" s="139"/>
      <c r="J58" s="139"/>
      <c r="CN58" s="13"/>
      <c r="CO58" s="13"/>
      <c r="CP58" s="13"/>
      <c r="CQ58" s="62"/>
      <c r="CR58" s="62"/>
      <c r="CS58" s="62"/>
      <c r="CT58" s="62"/>
      <c r="CU58" s="62"/>
      <c r="CV58" s="62"/>
      <c r="CW58" s="62"/>
      <c r="CX58" s="13"/>
      <c r="CY58" s="13"/>
      <c r="CZ58" s="62"/>
      <c r="DA58" s="62"/>
      <c r="DB58" s="62"/>
      <c r="DC58" s="62"/>
      <c r="DD58" s="62"/>
      <c r="DE58" s="13"/>
      <c r="DF58" s="13"/>
      <c r="DG58" s="13"/>
      <c r="DH58" s="13"/>
      <c r="DI58" s="13"/>
      <c r="DJ58" s="13"/>
      <c r="DK58" s="13"/>
      <c r="DL58" s="13"/>
      <c r="DM58" s="13"/>
      <c r="DN58" s="13"/>
      <c r="DO58" s="13"/>
      <c r="DP58" s="13"/>
    </row>
    <row r="59" spans="1:131" ht="12.75" customHeight="1">
      <c r="A59" s="660"/>
      <c r="CW59" s="143"/>
      <c r="CX59" s="143"/>
      <c r="CY59" s="143"/>
      <c r="CZ59" s="143"/>
      <c r="DA59" s="143"/>
      <c r="DB59" s="143"/>
      <c r="DC59" s="143"/>
      <c r="DD59" s="143"/>
      <c r="DE59" s="143"/>
      <c r="DF59" s="143"/>
      <c r="DG59" s="143"/>
      <c r="DH59" s="143"/>
      <c r="DI59" s="143"/>
      <c r="DJ59" s="143"/>
      <c r="DK59" s="143"/>
      <c r="DL59" s="143"/>
      <c r="DM59" s="143"/>
      <c r="DN59" s="143"/>
      <c r="DO59" s="143"/>
      <c r="DP59" s="143"/>
      <c r="DQ59" s="143"/>
      <c r="DR59" s="143"/>
      <c r="DS59" s="143"/>
      <c r="DT59" s="143"/>
      <c r="DU59" s="143"/>
      <c r="DV59" s="143"/>
      <c r="DW59" s="148"/>
      <c r="DX59" s="143"/>
      <c r="DY59" s="149"/>
    </row>
    <row r="60" spans="1:131" ht="12.75" customHeight="1">
      <c r="A60" s="660"/>
      <c r="CW60" s="143"/>
      <c r="CX60" s="143"/>
      <c r="CY60" s="143"/>
      <c r="CZ60" s="143"/>
      <c r="DA60" s="143"/>
      <c r="DB60" s="143"/>
      <c r="DC60" s="143"/>
      <c r="DD60" s="143"/>
      <c r="DE60" s="143"/>
      <c r="DF60" s="143"/>
      <c r="DG60" s="143"/>
      <c r="DH60" s="143"/>
      <c r="DI60" s="143"/>
      <c r="DJ60" s="143"/>
      <c r="DK60" s="143"/>
      <c r="DL60" s="143"/>
      <c r="DM60" s="143"/>
      <c r="DN60" s="143"/>
      <c r="DO60" s="143"/>
      <c r="DP60" s="143"/>
      <c r="DQ60" s="143"/>
      <c r="DR60" s="143"/>
      <c r="DS60" s="143"/>
      <c r="DT60" s="143"/>
      <c r="DU60" s="143"/>
      <c r="DV60" s="143"/>
      <c r="DW60" s="148"/>
      <c r="DX60" s="143"/>
      <c r="DY60" s="149"/>
    </row>
    <row r="61" spans="1:131" ht="12.75" customHeight="1">
      <c r="A61" s="660"/>
      <c r="CW61" s="143"/>
      <c r="CX61" s="143"/>
      <c r="CY61" s="143"/>
      <c r="CZ61" s="143"/>
      <c r="DA61" s="143"/>
      <c r="DB61" s="143"/>
      <c r="DC61" s="143"/>
      <c r="DD61" s="143"/>
      <c r="DE61" s="143"/>
      <c r="DF61" s="143"/>
      <c r="DG61" s="143"/>
      <c r="DH61" s="143"/>
      <c r="DI61" s="143"/>
      <c r="DJ61" s="143"/>
      <c r="DK61" s="143"/>
      <c r="DL61" s="143"/>
      <c r="DM61" s="143"/>
      <c r="DN61" s="143"/>
      <c r="DO61" s="143"/>
      <c r="DP61" s="143"/>
      <c r="DQ61" s="143"/>
      <c r="DR61" s="143"/>
      <c r="DS61" s="143"/>
      <c r="DT61" s="143"/>
      <c r="DU61" s="143"/>
      <c r="DV61" s="143"/>
      <c r="DW61" s="148"/>
      <c r="DX61" s="143"/>
      <c r="DY61" s="149"/>
    </row>
    <row r="62" spans="1:131" ht="12.75" customHeight="1">
      <c r="A62" s="660"/>
      <c r="B62" s="21" t="s">
        <v>292</v>
      </c>
      <c r="C62" s="140" t="s">
        <v>341</v>
      </c>
      <c r="CW62" s="143"/>
      <c r="CX62" s="143"/>
      <c r="CY62" s="143"/>
      <c r="CZ62" s="143"/>
      <c r="DA62" s="143"/>
      <c r="DB62" s="143"/>
      <c r="DC62" s="143"/>
      <c r="DD62" s="143"/>
      <c r="DE62" s="143"/>
      <c r="DF62" s="143"/>
      <c r="DG62" s="143"/>
      <c r="DH62" s="143"/>
      <c r="DI62" s="143"/>
      <c r="DJ62" s="143"/>
      <c r="DK62" s="143"/>
      <c r="DL62" s="143"/>
      <c r="DM62" s="143"/>
      <c r="DN62" s="143"/>
      <c r="DO62" s="143"/>
      <c r="DP62" s="143"/>
      <c r="DQ62" s="143"/>
      <c r="DR62" s="143"/>
      <c r="DS62" s="143"/>
      <c r="DT62" s="143"/>
      <c r="DU62" s="143"/>
      <c r="DV62" s="143"/>
      <c r="DW62" s="148"/>
      <c r="DX62" s="143"/>
      <c r="DY62" s="149"/>
    </row>
    <row r="63" spans="1:131" ht="12.75" customHeight="1">
      <c r="A63" s="540"/>
      <c r="CW63" s="143"/>
      <c r="CX63" s="143"/>
      <c r="CY63" s="143"/>
      <c r="CZ63" s="143"/>
      <c r="DA63" s="143"/>
      <c r="DB63" s="143"/>
      <c r="DC63" s="143"/>
      <c r="DD63" s="143"/>
      <c r="DE63" s="143"/>
      <c r="DF63" s="143"/>
      <c r="DG63" s="143"/>
      <c r="DH63" s="143"/>
      <c r="DI63" s="143"/>
      <c r="DJ63" s="143"/>
      <c r="DK63" s="143"/>
      <c r="DL63" s="143"/>
      <c r="DM63" s="143"/>
      <c r="DN63" s="143"/>
      <c r="DO63" s="143"/>
      <c r="DP63" s="143"/>
      <c r="DQ63" s="143"/>
      <c r="DR63" s="143"/>
      <c r="DS63" s="143"/>
      <c r="DT63" s="143"/>
      <c r="DU63" s="143"/>
      <c r="DV63" s="143"/>
      <c r="DW63" s="148"/>
      <c r="DX63" s="143"/>
      <c r="DY63" s="149"/>
    </row>
    <row r="64" spans="1:131" ht="12.75" customHeight="1">
      <c r="A64" s="540"/>
      <c r="CW64" s="143"/>
      <c r="CX64" s="143"/>
      <c r="CY64" s="143"/>
      <c r="CZ64" s="143"/>
      <c r="DA64" s="143"/>
      <c r="DB64" s="143"/>
      <c r="DC64" s="143"/>
      <c r="DD64" s="143"/>
      <c r="DE64" s="143"/>
      <c r="DF64" s="143"/>
      <c r="DG64" s="143"/>
      <c r="DH64" s="143"/>
      <c r="DI64" s="143"/>
      <c r="DJ64" s="143"/>
      <c r="DK64" s="143"/>
      <c r="DL64" s="143"/>
      <c r="DM64" s="143"/>
      <c r="DN64" s="143"/>
      <c r="DO64" s="143"/>
      <c r="DP64" s="143"/>
      <c r="DQ64" s="143"/>
      <c r="DR64" s="143"/>
      <c r="DS64" s="143"/>
      <c r="DT64" s="143"/>
      <c r="DU64" s="143"/>
      <c r="DV64" s="143"/>
      <c r="DW64" s="148"/>
      <c r="DX64" s="143"/>
      <c r="DY64" s="149"/>
    </row>
    <row r="65" spans="1:129" ht="12.75" customHeight="1">
      <c r="A65" s="540"/>
      <c r="CW65" s="143"/>
      <c r="CX65" s="143"/>
      <c r="CY65" s="143"/>
      <c r="CZ65" s="143"/>
      <c r="DA65" s="143"/>
      <c r="DB65" s="143"/>
      <c r="DC65" s="143"/>
      <c r="DD65" s="143"/>
      <c r="DE65" s="143"/>
      <c r="DF65" s="143"/>
      <c r="DG65" s="143"/>
      <c r="DH65" s="143"/>
      <c r="DI65" s="143"/>
      <c r="DJ65" s="143"/>
      <c r="DK65" s="143"/>
      <c r="DL65" s="143"/>
      <c r="DM65" s="143"/>
      <c r="DN65" s="143"/>
      <c r="DO65" s="143"/>
      <c r="DP65" s="143"/>
      <c r="DQ65" s="143"/>
      <c r="DR65" s="143"/>
      <c r="DS65" s="143"/>
      <c r="DT65" s="143"/>
      <c r="DU65" s="143"/>
      <c r="DV65" s="143"/>
      <c r="DW65" s="148"/>
      <c r="DX65" s="143"/>
      <c r="DY65" s="149"/>
    </row>
    <row r="66" spans="1:129" ht="12.75" customHeight="1">
      <c r="A66" s="540"/>
      <c r="CW66" s="143"/>
      <c r="CX66" s="143"/>
      <c r="CY66" s="143"/>
      <c r="CZ66" s="143"/>
      <c r="DA66" s="143"/>
      <c r="DB66" s="143"/>
      <c r="DC66" s="143"/>
      <c r="DD66" s="143"/>
      <c r="DE66" s="143"/>
      <c r="DF66" s="143"/>
      <c r="DG66" s="143"/>
      <c r="DH66" s="143"/>
      <c r="DI66" s="143"/>
      <c r="DJ66" s="143"/>
      <c r="DK66" s="143"/>
      <c r="DL66" s="143"/>
      <c r="DM66" s="143"/>
      <c r="DN66" s="143"/>
      <c r="DO66" s="143"/>
      <c r="DP66" s="143"/>
      <c r="DQ66" s="143"/>
      <c r="DR66" s="143"/>
      <c r="DS66" s="143"/>
      <c r="DT66" s="143"/>
      <c r="DU66" s="143"/>
      <c r="DV66" s="143"/>
      <c r="DW66" s="148"/>
      <c r="DX66" s="143"/>
      <c r="DY66" s="149"/>
    </row>
    <row r="67" spans="1:129" ht="12.75" customHeight="1">
      <c r="A67" s="540"/>
      <c r="CW67" s="143"/>
      <c r="CX67" s="143"/>
      <c r="CY67" s="143"/>
      <c r="CZ67" s="143"/>
      <c r="DA67" s="143"/>
      <c r="DB67" s="143"/>
      <c r="DC67" s="143"/>
      <c r="DD67" s="143"/>
      <c r="DE67" s="143"/>
      <c r="DF67" s="143"/>
      <c r="DG67" s="143"/>
      <c r="DH67" s="143"/>
      <c r="DI67" s="143"/>
      <c r="DJ67" s="143"/>
      <c r="DK67" s="143"/>
      <c r="DL67" s="143"/>
      <c r="DM67" s="143"/>
      <c r="DN67" s="143"/>
      <c r="DO67" s="143"/>
      <c r="DP67" s="143"/>
      <c r="DQ67" s="143"/>
      <c r="DR67" s="143"/>
      <c r="DS67" s="143"/>
      <c r="DT67" s="143"/>
      <c r="DU67" s="143"/>
      <c r="DV67" s="143"/>
      <c r="DW67" s="148"/>
      <c r="DX67" s="143"/>
      <c r="DY67" s="149"/>
    </row>
    <row r="68" spans="1:129" ht="12.75" customHeight="1">
      <c r="A68" s="540"/>
      <c r="CW68" s="143"/>
      <c r="CX68" s="143"/>
      <c r="CY68" s="143"/>
      <c r="CZ68" s="143"/>
      <c r="DA68" s="143"/>
      <c r="DB68" s="143"/>
      <c r="DC68" s="143"/>
      <c r="DD68" s="143"/>
      <c r="DE68" s="143"/>
      <c r="DF68" s="143"/>
      <c r="DG68" s="143"/>
      <c r="DH68" s="143"/>
      <c r="DI68" s="143"/>
      <c r="DJ68" s="143"/>
      <c r="DK68" s="143"/>
      <c r="DL68" s="143"/>
      <c r="DM68" s="143"/>
      <c r="DN68" s="143"/>
      <c r="DO68" s="143"/>
      <c r="DP68" s="143"/>
      <c r="DQ68" s="143"/>
      <c r="DR68" s="143"/>
      <c r="DS68" s="143"/>
      <c r="DT68" s="143"/>
      <c r="DU68" s="143"/>
      <c r="DV68" s="143"/>
      <c r="DW68" s="148"/>
      <c r="DX68" s="143"/>
      <c r="DY68" s="149"/>
    </row>
    <row r="69" spans="1:129" ht="12.75" customHeight="1">
      <c r="A69" s="540"/>
      <c r="CW69" s="143"/>
      <c r="CX69" s="143"/>
      <c r="CY69" s="143"/>
      <c r="CZ69" s="143"/>
      <c r="DA69" s="143"/>
      <c r="DB69" s="143"/>
      <c r="DC69" s="143"/>
      <c r="DD69" s="143"/>
      <c r="DE69" s="143"/>
      <c r="DF69" s="143"/>
      <c r="DG69" s="143"/>
      <c r="DH69" s="143"/>
      <c r="DI69" s="143"/>
      <c r="DJ69" s="143"/>
      <c r="DK69" s="143"/>
      <c r="DL69" s="143"/>
      <c r="DM69" s="143"/>
      <c r="DN69" s="143"/>
      <c r="DO69" s="143"/>
      <c r="DP69" s="143"/>
      <c r="DQ69" s="143"/>
      <c r="DR69" s="143"/>
      <c r="DS69" s="143"/>
      <c r="DT69" s="143"/>
      <c r="DU69" s="143"/>
      <c r="DV69" s="143"/>
      <c r="DW69" s="148"/>
      <c r="DX69" s="143"/>
      <c r="DY69" s="149"/>
    </row>
    <row r="70" spans="1:129" ht="12.75" customHeight="1">
      <c r="A70" s="540"/>
      <c r="CW70" s="143"/>
      <c r="CX70" s="143"/>
      <c r="CY70" s="143"/>
      <c r="CZ70" s="143"/>
      <c r="DA70" s="143"/>
      <c r="DB70" s="143"/>
      <c r="DC70" s="143"/>
      <c r="DD70" s="143"/>
      <c r="DE70" s="143"/>
      <c r="DF70" s="143"/>
      <c r="DG70" s="143"/>
      <c r="DH70" s="143"/>
      <c r="DI70" s="143"/>
      <c r="DJ70" s="143"/>
      <c r="DK70" s="143"/>
      <c r="DL70" s="143"/>
      <c r="DM70" s="143"/>
      <c r="DN70" s="143"/>
      <c r="DO70" s="143"/>
      <c r="DP70" s="143"/>
      <c r="DQ70" s="143"/>
      <c r="DR70" s="143"/>
      <c r="DS70" s="143"/>
      <c r="DT70" s="143"/>
      <c r="DU70" s="143"/>
      <c r="DV70" s="143"/>
      <c r="DW70" s="148"/>
      <c r="DX70" s="143"/>
      <c r="DY70" s="149"/>
    </row>
    <row r="71" spans="1:129" ht="12.75" customHeight="1">
      <c r="A71" s="540"/>
      <c r="CW71" s="143"/>
      <c r="CX71" s="143"/>
      <c r="CY71" s="143"/>
      <c r="CZ71" s="143"/>
      <c r="DA71" s="143"/>
      <c r="DB71" s="143"/>
      <c r="DC71" s="143"/>
      <c r="DD71" s="143"/>
      <c r="DE71" s="143"/>
      <c r="DF71" s="143"/>
      <c r="DG71" s="143"/>
      <c r="DH71" s="143"/>
      <c r="DI71" s="143"/>
      <c r="DJ71" s="143"/>
      <c r="DK71" s="143"/>
      <c r="DL71" s="143"/>
      <c r="DM71" s="143"/>
      <c r="DN71" s="143"/>
      <c r="DO71" s="143"/>
      <c r="DP71" s="143"/>
      <c r="DQ71" s="143"/>
      <c r="DR71" s="143"/>
      <c r="DS71" s="143"/>
      <c r="DT71" s="143"/>
      <c r="DU71" s="143"/>
      <c r="DV71" s="143"/>
      <c r="DW71" s="148"/>
      <c r="DX71" s="143"/>
      <c r="DY71" s="149"/>
    </row>
    <row r="72" spans="1:129" ht="12.75" customHeight="1">
      <c r="A72" s="540"/>
      <c r="CW72" s="143"/>
      <c r="CX72" s="143"/>
      <c r="CY72" s="143"/>
      <c r="CZ72" s="143"/>
      <c r="DA72" s="143"/>
      <c r="DB72" s="143"/>
      <c r="DC72" s="143"/>
      <c r="DD72" s="143"/>
      <c r="DE72" s="143"/>
      <c r="DF72" s="143"/>
      <c r="DG72" s="143"/>
      <c r="DH72" s="143"/>
      <c r="DI72" s="143"/>
      <c r="DJ72" s="143"/>
      <c r="DK72" s="143"/>
      <c r="DL72" s="143"/>
      <c r="DM72" s="143"/>
      <c r="DN72" s="143"/>
      <c r="DO72" s="143"/>
      <c r="DP72" s="143"/>
      <c r="DQ72" s="143"/>
      <c r="DR72" s="143"/>
      <c r="DS72" s="143"/>
      <c r="DT72" s="143"/>
      <c r="DU72" s="143"/>
      <c r="DV72" s="143"/>
      <c r="DW72" s="148"/>
      <c r="DX72" s="143"/>
      <c r="DY72" s="149"/>
    </row>
    <row r="73" spans="1:129" ht="12.75" customHeight="1">
      <c r="A73" s="540"/>
      <c r="CW73" s="143"/>
      <c r="CX73" s="143"/>
      <c r="CY73" s="143"/>
      <c r="CZ73" s="143"/>
      <c r="DA73" s="143"/>
      <c r="DB73" s="143"/>
      <c r="DC73" s="143"/>
      <c r="DD73" s="143"/>
      <c r="DE73" s="143"/>
      <c r="DF73" s="143"/>
      <c r="DG73" s="143"/>
      <c r="DH73" s="143"/>
      <c r="DI73" s="143"/>
      <c r="DJ73" s="143"/>
      <c r="DK73" s="143"/>
      <c r="DL73" s="143"/>
      <c r="DM73" s="143"/>
      <c r="DN73" s="143"/>
      <c r="DO73" s="143"/>
      <c r="DP73" s="143"/>
      <c r="DQ73" s="143"/>
      <c r="DR73" s="143"/>
      <c r="DS73" s="143"/>
      <c r="DT73" s="143"/>
      <c r="DU73" s="143"/>
      <c r="DV73" s="143"/>
      <c r="DW73" s="148"/>
      <c r="DX73" s="143"/>
      <c r="DY73" s="149"/>
    </row>
    <row r="74" spans="1:129" ht="12.75" customHeight="1">
      <c r="A74" s="540"/>
      <c r="CW74" s="143"/>
      <c r="CX74" s="143"/>
      <c r="CY74" s="143"/>
      <c r="CZ74" s="143"/>
      <c r="DA74" s="143"/>
      <c r="DB74" s="143"/>
      <c r="DC74" s="143"/>
      <c r="DD74" s="143"/>
      <c r="DE74" s="143"/>
      <c r="DF74" s="143"/>
      <c r="DG74" s="143"/>
      <c r="DH74" s="143"/>
      <c r="DI74" s="143"/>
      <c r="DJ74" s="143"/>
      <c r="DK74" s="143"/>
      <c r="DL74" s="143"/>
      <c r="DM74" s="143"/>
      <c r="DN74" s="143"/>
      <c r="DO74" s="143"/>
      <c r="DP74" s="143"/>
      <c r="DQ74" s="143"/>
      <c r="DR74" s="143"/>
      <c r="DS74" s="143"/>
      <c r="DT74" s="143"/>
      <c r="DU74" s="143"/>
      <c r="DV74" s="143"/>
      <c r="DW74" s="148"/>
      <c r="DX74" s="143"/>
      <c r="DY74" s="149"/>
    </row>
    <row r="75" spans="1:129" ht="12.75" customHeight="1">
      <c r="A75" s="540"/>
      <c r="CW75" s="143"/>
      <c r="CX75" s="143"/>
      <c r="CY75" s="143"/>
      <c r="CZ75" s="143"/>
      <c r="DA75" s="143"/>
      <c r="DB75" s="143"/>
      <c r="DC75" s="143"/>
      <c r="DD75" s="143"/>
      <c r="DE75" s="143"/>
      <c r="DF75" s="143"/>
      <c r="DG75" s="143"/>
      <c r="DH75" s="143"/>
      <c r="DI75" s="143"/>
      <c r="DJ75" s="143"/>
      <c r="DK75" s="143"/>
      <c r="DL75" s="143"/>
      <c r="DM75" s="143"/>
      <c r="DN75" s="143"/>
      <c r="DO75" s="143"/>
      <c r="DP75" s="143"/>
      <c r="DQ75" s="143"/>
      <c r="DR75" s="143"/>
      <c r="DS75" s="143"/>
      <c r="DT75" s="143"/>
      <c r="DU75" s="143"/>
      <c r="DV75" s="143"/>
      <c r="DW75" s="148"/>
      <c r="DX75" s="143"/>
      <c r="DY75" s="149"/>
    </row>
    <row r="76" spans="1:129" ht="12.75" customHeight="1">
      <c r="A76" s="540"/>
      <c r="CW76" s="143"/>
      <c r="CX76" s="143"/>
      <c r="CY76" s="143"/>
      <c r="CZ76" s="143"/>
      <c r="DA76" s="143"/>
      <c r="DB76" s="143"/>
      <c r="DC76" s="143"/>
      <c r="DD76" s="143"/>
      <c r="DE76" s="143"/>
      <c r="DF76" s="143"/>
      <c r="DG76" s="143"/>
      <c r="DH76" s="143"/>
      <c r="DI76" s="143"/>
      <c r="DJ76" s="143"/>
      <c r="DK76" s="143"/>
      <c r="DL76" s="143"/>
      <c r="DM76" s="143"/>
      <c r="DN76" s="143"/>
      <c r="DO76" s="143"/>
      <c r="DP76" s="143"/>
      <c r="DQ76" s="143"/>
      <c r="DR76" s="143"/>
      <c r="DS76" s="143"/>
      <c r="DT76" s="143"/>
      <c r="DU76" s="143"/>
      <c r="DV76" s="143"/>
      <c r="DW76" s="148"/>
      <c r="DX76" s="143"/>
      <c r="DY76" s="149"/>
    </row>
    <row r="77" spans="1:129" ht="12.75" customHeight="1">
      <c r="A77" s="540"/>
      <c r="CW77" s="143"/>
      <c r="CX77" s="143"/>
      <c r="CY77" s="143"/>
      <c r="CZ77" s="143"/>
      <c r="DA77" s="143"/>
      <c r="DB77" s="143"/>
      <c r="DC77" s="143"/>
      <c r="DD77" s="143"/>
      <c r="DE77" s="143"/>
      <c r="DF77" s="143"/>
      <c r="DG77" s="143"/>
      <c r="DH77" s="143"/>
      <c r="DI77" s="143"/>
      <c r="DJ77" s="143"/>
      <c r="DK77" s="143"/>
      <c r="DL77" s="143"/>
      <c r="DM77" s="143"/>
      <c r="DN77" s="143"/>
      <c r="DO77" s="143"/>
      <c r="DP77" s="143"/>
      <c r="DQ77" s="143"/>
      <c r="DR77" s="143"/>
      <c r="DS77" s="143"/>
      <c r="DT77" s="143"/>
      <c r="DU77" s="143"/>
      <c r="DV77" s="143"/>
      <c r="DW77" s="148"/>
      <c r="DX77" s="143"/>
      <c r="DY77" s="149"/>
    </row>
    <row r="78" spans="1:129" ht="12.75" customHeight="1">
      <c r="A78" s="540"/>
      <c r="CW78" s="143"/>
      <c r="CX78" s="143"/>
      <c r="CY78" s="143"/>
      <c r="CZ78" s="143"/>
      <c r="DA78" s="143"/>
      <c r="DB78" s="143"/>
      <c r="DC78" s="143"/>
      <c r="DD78" s="143"/>
      <c r="DE78" s="143"/>
      <c r="DF78" s="143"/>
      <c r="DG78" s="143"/>
      <c r="DH78" s="143"/>
      <c r="DI78" s="143"/>
      <c r="DJ78" s="143"/>
      <c r="DK78" s="143"/>
      <c r="DL78" s="143"/>
      <c r="DM78" s="143"/>
      <c r="DN78" s="143"/>
      <c r="DO78" s="143"/>
      <c r="DP78" s="143"/>
      <c r="DQ78" s="143"/>
      <c r="DR78" s="143"/>
      <c r="DS78" s="143"/>
      <c r="DT78" s="143"/>
      <c r="DU78" s="143"/>
      <c r="DV78" s="143"/>
      <c r="DW78" s="148"/>
      <c r="DX78" s="143"/>
      <c r="DY78" s="149"/>
    </row>
    <row r="79" spans="1:129" ht="12.75" customHeight="1">
      <c r="A79" s="540"/>
      <c r="CW79" s="143"/>
      <c r="CX79" s="143"/>
      <c r="CY79" s="143"/>
      <c r="CZ79" s="143"/>
      <c r="DA79" s="143"/>
      <c r="DB79" s="143"/>
      <c r="DC79" s="143"/>
      <c r="DD79" s="143"/>
      <c r="DE79" s="143"/>
      <c r="DF79" s="143"/>
      <c r="DG79" s="143"/>
      <c r="DH79" s="143"/>
      <c r="DI79" s="143"/>
      <c r="DJ79" s="143"/>
      <c r="DK79" s="143"/>
      <c r="DL79" s="143"/>
      <c r="DM79" s="143"/>
      <c r="DN79" s="143"/>
      <c r="DO79" s="143"/>
      <c r="DP79" s="143"/>
      <c r="DQ79" s="143"/>
      <c r="DR79" s="143"/>
      <c r="DS79" s="143"/>
      <c r="DT79" s="143"/>
      <c r="DU79" s="143"/>
      <c r="DV79" s="143"/>
      <c r="DW79" s="148"/>
      <c r="DX79" s="143"/>
      <c r="DY79" s="149"/>
    </row>
    <row r="80" spans="1:129" ht="12.75" customHeight="1">
      <c r="A80" s="540"/>
      <c r="CW80" s="143"/>
      <c r="CX80" s="143"/>
      <c r="CY80" s="143"/>
      <c r="CZ80" s="143"/>
      <c r="DA80" s="143"/>
      <c r="DB80" s="143"/>
      <c r="DC80" s="143"/>
      <c r="DD80" s="143"/>
      <c r="DE80" s="143"/>
      <c r="DF80" s="143"/>
      <c r="DG80" s="143"/>
      <c r="DH80" s="143"/>
      <c r="DI80" s="143"/>
      <c r="DJ80" s="143"/>
      <c r="DK80" s="143"/>
      <c r="DL80" s="143"/>
      <c r="DM80" s="143"/>
      <c r="DN80" s="143"/>
      <c r="DO80" s="143"/>
      <c r="DP80" s="143"/>
      <c r="DQ80" s="143"/>
      <c r="DR80" s="143"/>
      <c r="DS80" s="143"/>
      <c r="DT80" s="143"/>
      <c r="DU80" s="143"/>
      <c r="DV80" s="143"/>
      <c r="DW80" s="148"/>
      <c r="DX80" s="143"/>
      <c r="DY80" s="149"/>
    </row>
    <row r="81" spans="1:129" ht="12.75" customHeight="1">
      <c r="A81" s="540"/>
      <c r="CW81" s="143"/>
      <c r="CX81" s="143"/>
      <c r="CY81" s="143"/>
      <c r="CZ81" s="143"/>
      <c r="DA81" s="143"/>
      <c r="DB81" s="143"/>
      <c r="DC81" s="143"/>
      <c r="DD81" s="143"/>
      <c r="DE81" s="143"/>
      <c r="DF81" s="143"/>
      <c r="DG81" s="143"/>
      <c r="DH81" s="143"/>
      <c r="DI81" s="143"/>
      <c r="DJ81" s="143"/>
      <c r="DK81" s="143"/>
      <c r="DL81" s="143"/>
      <c r="DM81" s="143"/>
      <c r="DN81" s="143"/>
      <c r="DO81" s="143"/>
      <c r="DP81" s="143"/>
      <c r="DQ81" s="143"/>
      <c r="DR81" s="143"/>
      <c r="DS81" s="143"/>
      <c r="DT81" s="143"/>
      <c r="DU81" s="143"/>
      <c r="DV81" s="143"/>
      <c r="DW81" s="148"/>
      <c r="DX81" s="143"/>
      <c r="DY81" s="149"/>
    </row>
    <row r="82" spans="1:129" ht="12.75" customHeight="1">
      <c r="A82" s="540"/>
      <c r="CW82" s="143"/>
      <c r="CX82" s="143"/>
      <c r="CY82" s="143"/>
      <c r="CZ82" s="143"/>
      <c r="DA82" s="143"/>
      <c r="DB82" s="143"/>
      <c r="DC82" s="143"/>
      <c r="DD82" s="143"/>
      <c r="DE82" s="143"/>
      <c r="DF82" s="143"/>
      <c r="DG82" s="143"/>
      <c r="DH82" s="143"/>
      <c r="DI82" s="143"/>
      <c r="DJ82" s="143"/>
      <c r="DK82" s="143"/>
      <c r="DL82" s="143"/>
      <c r="DM82" s="143"/>
      <c r="DN82" s="143"/>
      <c r="DO82" s="143"/>
      <c r="DP82" s="143"/>
      <c r="DQ82" s="143"/>
      <c r="DR82" s="143"/>
      <c r="DS82" s="143"/>
      <c r="DT82" s="143"/>
      <c r="DU82" s="143"/>
      <c r="DV82" s="143"/>
      <c r="DW82" s="148"/>
      <c r="DX82" s="143"/>
      <c r="DY82" s="149"/>
    </row>
    <row r="83" spans="1:129" ht="12.75" customHeight="1">
      <c r="A83" s="540"/>
      <c r="CW83" s="143"/>
      <c r="CX83" s="143"/>
      <c r="CY83" s="143"/>
      <c r="CZ83" s="143"/>
      <c r="DA83" s="143"/>
      <c r="DB83" s="143"/>
      <c r="DC83" s="143"/>
      <c r="DD83" s="143"/>
      <c r="DE83" s="143"/>
      <c r="DF83" s="143"/>
      <c r="DG83" s="143"/>
      <c r="DH83" s="143"/>
      <c r="DI83" s="143"/>
      <c r="DJ83" s="143"/>
      <c r="DK83" s="143"/>
      <c r="DL83" s="143"/>
      <c r="DM83" s="143"/>
      <c r="DN83" s="143"/>
      <c r="DO83" s="143"/>
      <c r="DP83" s="143"/>
      <c r="DQ83" s="143"/>
      <c r="DR83" s="143"/>
      <c r="DS83" s="143"/>
      <c r="DT83" s="143"/>
      <c r="DU83" s="143"/>
      <c r="DV83" s="143"/>
      <c r="DW83" s="148"/>
      <c r="DX83" s="143"/>
      <c r="DY83" s="149"/>
    </row>
    <row r="84" spans="1:129" ht="12.75" customHeight="1">
      <c r="A84" s="540"/>
      <c r="CW84" s="143"/>
      <c r="CX84" s="143"/>
      <c r="CY84" s="143"/>
      <c r="CZ84" s="143"/>
      <c r="DA84" s="143"/>
      <c r="DB84" s="143"/>
      <c r="DC84" s="143"/>
      <c r="DD84" s="143"/>
      <c r="DE84" s="143"/>
      <c r="DF84" s="143"/>
      <c r="DG84" s="143"/>
      <c r="DH84" s="143"/>
      <c r="DI84" s="143"/>
      <c r="DJ84" s="143"/>
      <c r="DK84" s="143"/>
      <c r="DL84" s="143"/>
      <c r="DM84" s="143"/>
      <c r="DN84" s="143"/>
      <c r="DO84" s="143"/>
      <c r="DP84" s="143"/>
      <c r="DQ84" s="143"/>
      <c r="DR84" s="143"/>
      <c r="DS84" s="143"/>
      <c r="DT84" s="143"/>
      <c r="DU84" s="143"/>
      <c r="DV84" s="143"/>
      <c r="DW84" s="148"/>
      <c r="DX84" s="143"/>
      <c r="DY84" s="149"/>
    </row>
    <row r="85" spans="1:129" ht="12.75" customHeight="1">
      <c r="A85" s="540"/>
      <c r="CW85" s="143"/>
      <c r="CX85" s="143"/>
      <c r="CY85" s="143"/>
      <c r="CZ85" s="143"/>
      <c r="DA85" s="143"/>
      <c r="DB85" s="143"/>
      <c r="DC85" s="143"/>
      <c r="DD85" s="143"/>
      <c r="DE85" s="143"/>
      <c r="DF85" s="143"/>
      <c r="DG85" s="143"/>
      <c r="DH85" s="143"/>
      <c r="DI85" s="143"/>
      <c r="DJ85" s="143"/>
      <c r="DK85" s="143"/>
      <c r="DL85" s="143"/>
      <c r="DM85" s="143"/>
      <c r="DN85" s="143"/>
      <c r="DO85" s="143"/>
      <c r="DP85" s="143"/>
      <c r="DQ85" s="143"/>
      <c r="DR85" s="143"/>
      <c r="DS85" s="143"/>
      <c r="DT85" s="143"/>
      <c r="DU85" s="143"/>
      <c r="DV85" s="143"/>
      <c r="DW85" s="148"/>
      <c r="DX85" s="143"/>
      <c r="DY85" s="149"/>
    </row>
    <row r="86" spans="1:129" ht="12.75" customHeight="1">
      <c r="A86" s="540"/>
      <c r="CW86" s="143"/>
      <c r="CX86" s="143"/>
      <c r="CY86" s="143"/>
      <c r="CZ86" s="143"/>
      <c r="DA86" s="143"/>
      <c r="DB86" s="143"/>
      <c r="DC86" s="143"/>
      <c r="DD86" s="143"/>
      <c r="DE86" s="143"/>
      <c r="DF86" s="143"/>
      <c r="DG86" s="143"/>
      <c r="DH86" s="143"/>
      <c r="DI86" s="143"/>
      <c r="DJ86" s="143"/>
      <c r="DK86" s="143"/>
      <c r="DL86" s="143"/>
      <c r="DM86" s="143"/>
      <c r="DN86" s="143"/>
      <c r="DO86" s="143"/>
      <c r="DP86" s="143"/>
      <c r="DQ86" s="143"/>
      <c r="DR86" s="143"/>
      <c r="DS86" s="143"/>
      <c r="DT86" s="143"/>
      <c r="DU86" s="143"/>
      <c r="DV86" s="143"/>
      <c r="DW86" s="148"/>
      <c r="DX86" s="143"/>
      <c r="DY86" s="149"/>
    </row>
    <row r="87" spans="1:129" ht="12.75" customHeight="1">
      <c r="A87" s="540"/>
      <c r="CW87" s="143"/>
      <c r="CX87" s="143"/>
      <c r="CY87" s="143"/>
      <c r="CZ87" s="143"/>
      <c r="DA87" s="143"/>
      <c r="DB87" s="143"/>
      <c r="DC87" s="143"/>
      <c r="DD87" s="143"/>
      <c r="DE87" s="143"/>
      <c r="DF87" s="143"/>
      <c r="DG87" s="143"/>
      <c r="DH87" s="143"/>
      <c r="DI87" s="143"/>
      <c r="DJ87" s="143"/>
      <c r="DK87" s="143"/>
      <c r="DL87" s="143"/>
      <c r="DM87" s="143"/>
      <c r="DN87" s="143"/>
      <c r="DO87" s="143"/>
      <c r="DP87" s="143"/>
      <c r="DQ87" s="143"/>
      <c r="DR87" s="143"/>
      <c r="DS87" s="143"/>
      <c r="DT87" s="143"/>
      <c r="DU87" s="143"/>
      <c r="DV87" s="143"/>
      <c r="DW87" s="148"/>
      <c r="DX87" s="143"/>
      <c r="DY87" s="149"/>
    </row>
    <row r="88" spans="1:129" ht="12.75" customHeight="1">
      <c r="A88" s="540"/>
      <c r="CW88" s="143"/>
      <c r="CX88" s="143"/>
      <c r="CY88" s="143"/>
      <c r="CZ88" s="143"/>
      <c r="DA88" s="143"/>
      <c r="DB88" s="143"/>
      <c r="DC88" s="143"/>
      <c r="DD88" s="143"/>
      <c r="DE88" s="143"/>
      <c r="DF88" s="143"/>
      <c r="DG88" s="143"/>
      <c r="DH88" s="143"/>
      <c r="DI88" s="143"/>
      <c r="DJ88" s="143"/>
      <c r="DK88" s="143"/>
      <c r="DL88" s="143"/>
      <c r="DM88" s="143"/>
      <c r="DN88" s="143"/>
      <c r="DO88" s="143"/>
      <c r="DP88" s="143"/>
      <c r="DQ88" s="143"/>
      <c r="DR88" s="143"/>
      <c r="DS88" s="143"/>
      <c r="DT88" s="143"/>
      <c r="DU88" s="143"/>
      <c r="DV88" s="143"/>
      <c r="DW88" s="148"/>
      <c r="DX88" s="143"/>
      <c r="DY88" s="149"/>
    </row>
    <row r="89" spans="1:129" ht="12.75" customHeight="1">
      <c r="A89" s="540"/>
      <c r="CW89" s="143"/>
      <c r="CX89" s="143"/>
      <c r="CY89" s="143"/>
      <c r="CZ89" s="143"/>
      <c r="DA89" s="143"/>
      <c r="DB89" s="143"/>
      <c r="DC89" s="143"/>
      <c r="DD89" s="143"/>
      <c r="DE89" s="143"/>
      <c r="DF89" s="143"/>
      <c r="DG89" s="143"/>
      <c r="DH89" s="143"/>
      <c r="DI89" s="143"/>
      <c r="DJ89" s="143"/>
      <c r="DK89" s="143"/>
      <c r="DL89" s="143"/>
      <c r="DM89" s="143"/>
      <c r="DN89" s="143"/>
      <c r="DO89" s="143"/>
      <c r="DP89" s="143"/>
      <c r="DQ89" s="143"/>
      <c r="DR89" s="143"/>
      <c r="DS89" s="143"/>
      <c r="DT89" s="143"/>
      <c r="DU89" s="143"/>
      <c r="DV89" s="143"/>
      <c r="DW89" s="148"/>
      <c r="DX89" s="143"/>
      <c r="DY89" s="149"/>
    </row>
    <row r="90" spans="1:129" ht="12.75" customHeight="1">
      <c r="A90" s="540"/>
      <c r="CW90" s="143"/>
      <c r="CX90" s="143"/>
      <c r="CY90" s="143"/>
      <c r="CZ90" s="143"/>
      <c r="DA90" s="143"/>
      <c r="DB90" s="143"/>
      <c r="DC90" s="143"/>
      <c r="DD90" s="143"/>
      <c r="DE90" s="143"/>
      <c r="DF90" s="143"/>
      <c r="DG90" s="143"/>
      <c r="DH90" s="143"/>
      <c r="DI90" s="143"/>
      <c r="DJ90" s="143"/>
      <c r="DK90" s="143"/>
      <c r="DL90" s="143"/>
      <c r="DM90" s="143"/>
      <c r="DN90" s="143"/>
      <c r="DO90" s="143"/>
      <c r="DP90" s="143"/>
      <c r="DQ90" s="143"/>
      <c r="DR90" s="143"/>
      <c r="DS90" s="143"/>
      <c r="DT90" s="143"/>
      <c r="DU90" s="143"/>
      <c r="DV90" s="143"/>
      <c r="DW90" s="148"/>
      <c r="DX90" s="143"/>
      <c r="DY90" s="149"/>
    </row>
    <row r="91" spans="1:129" ht="12.75" customHeight="1">
      <c r="A91" s="540"/>
      <c r="CW91" s="143"/>
      <c r="CX91" s="143"/>
      <c r="CY91" s="143"/>
      <c r="CZ91" s="143"/>
      <c r="DA91" s="143"/>
      <c r="DB91" s="143"/>
      <c r="DC91" s="143"/>
      <c r="DD91" s="143"/>
      <c r="DE91" s="143"/>
      <c r="DF91" s="143"/>
      <c r="DG91" s="143"/>
      <c r="DH91" s="143"/>
      <c r="DI91" s="143"/>
      <c r="DJ91" s="143"/>
      <c r="DK91" s="143"/>
      <c r="DL91" s="143"/>
      <c r="DM91" s="143"/>
      <c r="DN91" s="143"/>
      <c r="DO91" s="143"/>
      <c r="DP91" s="143"/>
      <c r="DQ91" s="143"/>
      <c r="DR91" s="143"/>
      <c r="DS91" s="143"/>
      <c r="DT91" s="143"/>
      <c r="DU91" s="143"/>
      <c r="DV91" s="143"/>
      <c r="DW91" s="148"/>
      <c r="DX91" s="143"/>
      <c r="DY91" s="149"/>
    </row>
    <row r="92" spans="1:129" ht="12.75" customHeight="1">
      <c r="A92" s="540"/>
      <c r="CW92" s="143"/>
      <c r="CX92" s="143"/>
      <c r="CY92" s="143"/>
      <c r="CZ92" s="143"/>
      <c r="DA92" s="143"/>
      <c r="DB92" s="143"/>
      <c r="DC92" s="143"/>
      <c r="DD92" s="143"/>
      <c r="DE92" s="143"/>
      <c r="DF92" s="143"/>
      <c r="DG92" s="143"/>
      <c r="DH92" s="143"/>
      <c r="DI92" s="143"/>
      <c r="DJ92" s="143"/>
      <c r="DK92" s="143"/>
      <c r="DL92" s="143"/>
      <c r="DM92" s="143"/>
      <c r="DN92" s="143"/>
      <c r="DO92" s="143"/>
      <c r="DP92" s="143"/>
      <c r="DQ92" s="143"/>
      <c r="DR92" s="143"/>
      <c r="DS92" s="143"/>
      <c r="DT92" s="143"/>
      <c r="DU92" s="143"/>
      <c r="DV92" s="143"/>
      <c r="DW92" s="148"/>
      <c r="DX92" s="143"/>
      <c r="DY92" s="149"/>
    </row>
    <row r="93" spans="1:129" ht="12.75" customHeight="1">
      <c r="A93" s="540"/>
      <c r="CW93" s="143"/>
      <c r="CX93" s="143"/>
      <c r="CY93" s="143"/>
      <c r="CZ93" s="143"/>
      <c r="DA93" s="143"/>
      <c r="DB93" s="143"/>
      <c r="DC93" s="143"/>
      <c r="DD93" s="143"/>
      <c r="DE93" s="143"/>
      <c r="DF93" s="143"/>
      <c r="DG93" s="143"/>
      <c r="DH93" s="143"/>
      <c r="DI93" s="143"/>
      <c r="DJ93" s="143"/>
      <c r="DK93" s="143"/>
      <c r="DL93" s="143"/>
      <c r="DM93" s="143"/>
      <c r="DN93" s="143"/>
      <c r="DO93" s="143"/>
      <c r="DP93" s="143"/>
      <c r="DQ93" s="143"/>
      <c r="DR93" s="143"/>
      <c r="DS93" s="143"/>
      <c r="DT93" s="143"/>
      <c r="DU93" s="143"/>
      <c r="DV93" s="143"/>
      <c r="DW93" s="148"/>
      <c r="DX93" s="143"/>
      <c r="DY93" s="149"/>
    </row>
    <row r="94" spans="1:129" ht="12.75" customHeight="1">
      <c r="A94" s="540"/>
      <c r="CW94" s="143"/>
      <c r="CX94" s="143"/>
      <c r="CY94" s="143"/>
      <c r="CZ94" s="143"/>
      <c r="DA94" s="143"/>
      <c r="DB94" s="143"/>
      <c r="DC94" s="143"/>
      <c r="DD94" s="143"/>
      <c r="DE94" s="143"/>
      <c r="DF94" s="143"/>
      <c r="DG94" s="143"/>
      <c r="DH94" s="143"/>
      <c r="DI94" s="143"/>
      <c r="DJ94" s="143"/>
      <c r="DK94" s="143"/>
      <c r="DL94" s="143"/>
      <c r="DM94" s="143"/>
      <c r="DN94" s="143"/>
      <c r="DO94" s="143"/>
      <c r="DP94" s="143"/>
      <c r="DQ94" s="143"/>
      <c r="DR94" s="143"/>
      <c r="DS94" s="143"/>
      <c r="DT94" s="143"/>
      <c r="DU94" s="143"/>
      <c r="DV94" s="143"/>
      <c r="DW94" s="148"/>
      <c r="DX94" s="143"/>
      <c r="DY94" s="149"/>
    </row>
    <row r="95" spans="1:129" ht="12.75" customHeight="1">
      <c r="A95" s="540"/>
      <c r="CW95" s="143"/>
      <c r="CX95" s="143"/>
      <c r="CY95" s="143"/>
      <c r="CZ95" s="143"/>
      <c r="DA95" s="143"/>
      <c r="DB95" s="143"/>
      <c r="DC95" s="143"/>
      <c r="DD95" s="143"/>
      <c r="DE95" s="143"/>
      <c r="DF95" s="143"/>
      <c r="DG95" s="143"/>
      <c r="DH95" s="143"/>
      <c r="DI95" s="143"/>
      <c r="DJ95" s="143"/>
      <c r="DK95" s="143"/>
      <c r="DL95" s="143"/>
      <c r="DM95" s="143"/>
      <c r="DN95" s="143"/>
      <c r="DO95" s="143"/>
      <c r="DP95" s="143"/>
      <c r="DQ95" s="143"/>
      <c r="DR95" s="143"/>
      <c r="DS95" s="143"/>
      <c r="DT95" s="143"/>
      <c r="DU95" s="143"/>
      <c r="DV95" s="143"/>
      <c r="DW95" s="148"/>
      <c r="DX95" s="143"/>
      <c r="DY95" s="149"/>
    </row>
    <row r="96" spans="1:129" ht="12.75" customHeight="1">
      <c r="A96" s="540"/>
      <c r="CW96" s="143"/>
      <c r="CX96" s="143"/>
      <c r="CY96" s="143"/>
      <c r="CZ96" s="143"/>
      <c r="DA96" s="143"/>
      <c r="DB96" s="143"/>
      <c r="DC96" s="143"/>
      <c r="DD96" s="143"/>
      <c r="DE96" s="143"/>
      <c r="DF96" s="143"/>
      <c r="DG96" s="143"/>
      <c r="DH96" s="143"/>
      <c r="DI96" s="143"/>
      <c r="DJ96" s="143"/>
      <c r="DK96" s="143"/>
      <c r="DL96" s="143"/>
      <c r="DM96" s="143"/>
      <c r="DN96" s="143"/>
      <c r="DO96" s="143"/>
      <c r="DP96" s="143"/>
      <c r="DQ96" s="143"/>
      <c r="DR96" s="143"/>
      <c r="DS96" s="143"/>
      <c r="DT96" s="143"/>
      <c r="DU96" s="143"/>
      <c r="DV96" s="143"/>
      <c r="DW96" s="148"/>
      <c r="DX96" s="143"/>
      <c r="DY96" s="149"/>
    </row>
    <row r="97" spans="1:129" ht="12.75" customHeight="1">
      <c r="A97" s="540"/>
      <c r="CW97" s="143"/>
      <c r="CX97" s="143"/>
      <c r="CY97" s="143"/>
      <c r="CZ97" s="143"/>
      <c r="DA97" s="143"/>
      <c r="DB97" s="143"/>
      <c r="DC97" s="143"/>
      <c r="DD97" s="143"/>
      <c r="DE97" s="143"/>
      <c r="DF97" s="143"/>
      <c r="DG97" s="143"/>
      <c r="DH97" s="143"/>
      <c r="DI97" s="143"/>
      <c r="DJ97" s="143"/>
      <c r="DK97" s="143"/>
      <c r="DL97" s="143"/>
      <c r="DM97" s="143"/>
      <c r="DN97" s="143"/>
      <c r="DO97" s="143"/>
      <c r="DP97" s="143"/>
      <c r="DQ97" s="143"/>
      <c r="DR97" s="143"/>
      <c r="DS97" s="143"/>
      <c r="DT97" s="143"/>
      <c r="DU97" s="143"/>
      <c r="DV97" s="143"/>
      <c r="DW97" s="148"/>
      <c r="DX97" s="143"/>
      <c r="DY97" s="149"/>
    </row>
    <row r="98" spans="1:129" ht="12.75" customHeight="1">
      <c r="A98" s="540"/>
      <c r="CW98" s="143"/>
      <c r="CX98" s="143"/>
      <c r="CY98" s="143"/>
      <c r="CZ98" s="143"/>
      <c r="DA98" s="143"/>
      <c r="DB98" s="143"/>
      <c r="DC98" s="143"/>
      <c r="DD98" s="143"/>
      <c r="DE98" s="143"/>
      <c r="DF98" s="143"/>
      <c r="DG98" s="143"/>
      <c r="DH98" s="143"/>
      <c r="DI98" s="143"/>
      <c r="DJ98" s="143"/>
      <c r="DK98" s="143"/>
      <c r="DL98" s="143"/>
      <c r="DM98" s="143"/>
      <c r="DN98" s="143"/>
      <c r="DO98" s="143"/>
      <c r="DP98" s="143"/>
      <c r="DQ98" s="143"/>
      <c r="DR98" s="143"/>
      <c r="DS98" s="143"/>
      <c r="DT98" s="143"/>
      <c r="DU98" s="143"/>
      <c r="DV98" s="143"/>
      <c r="DW98" s="148"/>
      <c r="DX98" s="143"/>
      <c r="DY98" s="149"/>
    </row>
    <row r="99" spans="1:129" ht="12.75" customHeight="1">
      <c r="A99" s="540"/>
      <c r="CW99" s="143"/>
      <c r="CX99" s="143"/>
      <c r="CY99" s="143"/>
      <c r="CZ99" s="143"/>
      <c r="DA99" s="143"/>
      <c r="DB99" s="143"/>
      <c r="DC99" s="143"/>
      <c r="DD99" s="143"/>
      <c r="DE99" s="143"/>
      <c r="DF99" s="143"/>
      <c r="DG99" s="143"/>
      <c r="DH99" s="143"/>
      <c r="DI99" s="143"/>
      <c r="DJ99" s="143"/>
      <c r="DK99" s="143"/>
      <c r="DL99" s="143"/>
      <c r="DM99" s="143"/>
      <c r="DN99" s="143"/>
      <c r="DO99" s="143"/>
      <c r="DP99" s="143"/>
      <c r="DQ99" s="143"/>
      <c r="DR99" s="143"/>
      <c r="DS99" s="143"/>
      <c r="DT99" s="143"/>
      <c r="DU99" s="143"/>
      <c r="DV99" s="143"/>
      <c r="DW99" s="148"/>
      <c r="DX99" s="143"/>
      <c r="DY99" s="149"/>
    </row>
    <row r="100" spans="1:129" ht="12.75" customHeight="1">
      <c r="A100" s="540"/>
      <c r="CW100" s="143"/>
      <c r="CX100" s="143"/>
      <c r="CY100" s="143"/>
      <c r="CZ100" s="143"/>
      <c r="DA100" s="143"/>
      <c r="DB100" s="143"/>
      <c r="DC100" s="143"/>
      <c r="DD100" s="143"/>
      <c r="DE100" s="143"/>
      <c r="DF100" s="143"/>
      <c r="DG100" s="143"/>
      <c r="DH100" s="143"/>
      <c r="DI100" s="143"/>
      <c r="DJ100" s="143"/>
      <c r="DK100" s="143"/>
      <c r="DL100" s="143"/>
      <c r="DM100" s="143"/>
      <c r="DN100" s="143"/>
      <c r="DO100" s="143"/>
      <c r="DP100" s="143"/>
      <c r="DQ100" s="143"/>
      <c r="DR100" s="143"/>
      <c r="DS100" s="143"/>
      <c r="DT100" s="143"/>
      <c r="DU100" s="143"/>
      <c r="DV100" s="143"/>
      <c r="DW100" s="148"/>
      <c r="DX100" s="143"/>
      <c r="DY100" s="149"/>
    </row>
    <row r="101" spans="1:129" ht="12.75" customHeight="1">
      <c r="A101" s="540"/>
      <c r="CW101" s="143"/>
      <c r="CX101" s="143"/>
      <c r="CY101" s="143"/>
      <c r="CZ101" s="143"/>
      <c r="DA101" s="143"/>
      <c r="DB101" s="143"/>
      <c r="DC101" s="143"/>
      <c r="DD101" s="143"/>
      <c r="DE101" s="143"/>
      <c r="DF101" s="143"/>
      <c r="DG101" s="143"/>
      <c r="DH101" s="143"/>
      <c r="DI101" s="143"/>
      <c r="DJ101" s="143"/>
      <c r="DK101" s="143"/>
      <c r="DL101" s="143"/>
      <c r="DM101" s="143"/>
      <c r="DN101" s="143"/>
      <c r="DO101" s="143"/>
      <c r="DP101" s="143"/>
      <c r="DQ101" s="143"/>
      <c r="DR101" s="143"/>
      <c r="DS101" s="143"/>
      <c r="DT101" s="143"/>
      <c r="DU101" s="143"/>
      <c r="DV101" s="143"/>
      <c r="DW101" s="148"/>
      <c r="DX101" s="143"/>
      <c r="DY101" s="149"/>
    </row>
    <row r="102" spans="1:129" ht="12.75" customHeight="1">
      <c r="A102" s="540"/>
      <c r="CW102" s="143"/>
      <c r="CX102" s="143"/>
      <c r="CY102" s="143"/>
      <c r="CZ102" s="143"/>
      <c r="DA102" s="143"/>
      <c r="DB102" s="143"/>
      <c r="DC102" s="143"/>
      <c r="DD102" s="143"/>
      <c r="DE102" s="143"/>
      <c r="DF102" s="143"/>
      <c r="DG102" s="143"/>
      <c r="DH102" s="143"/>
      <c r="DI102" s="143"/>
      <c r="DJ102" s="143"/>
      <c r="DK102" s="143"/>
      <c r="DL102" s="143"/>
      <c r="DM102" s="143"/>
      <c r="DN102" s="143"/>
      <c r="DO102" s="143"/>
      <c r="DP102" s="143"/>
      <c r="DQ102" s="143"/>
      <c r="DR102" s="143"/>
      <c r="DS102" s="143"/>
      <c r="DT102" s="143"/>
      <c r="DU102" s="143"/>
      <c r="DV102" s="143"/>
      <c r="DW102" s="148"/>
      <c r="DX102" s="143"/>
      <c r="DY102" s="149"/>
    </row>
    <row r="103" spans="1:129" ht="12.75" customHeight="1">
      <c r="A103" s="540"/>
      <c r="CW103" s="143"/>
      <c r="CX103" s="143"/>
      <c r="CY103" s="143"/>
      <c r="CZ103" s="143"/>
      <c r="DA103" s="143"/>
      <c r="DB103" s="143"/>
      <c r="DC103" s="143"/>
      <c r="DD103" s="143"/>
      <c r="DE103" s="143"/>
      <c r="DF103" s="143"/>
      <c r="DG103" s="143"/>
      <c r="DH103" s="143"/>
      <c r="DI103" s="143"/>
      <c r="DJ103" s="143"/>
      <c r="DK103" s="143"/>
      <c r="DL103" s="143"/>
      <c r="DM103" s="143"/>
      <c r="DN103" s="143"/>
      <c r="DO103" s="143"/>
      <c r="DP103" s="143"/>
      <c r="DQ103" s="143"/>
      <c r="DR103" s="143"/>
      <c r="DS103" s="143"/>
      <c r="DT103" s="143"/>
      <c r="DU103" s="143"/>
      <c r="DV103" s="143"/>
      <c r="DW103" s="148"/>
      <c r="DX103" s="143"/>
      <c r="DY103" s="149"/>
    </row>
    <row r="104" spans="1:129" ht="12.75" customHeight="1">
      <c r="A104" s="540"/>
      <c r="CW104" s="143"/>
      <c r="CX104" s="143"/>
      <c r="CY104" s="143"/>
      <c r="CZ104" s="143"/>
      <c r="DA104" s="143"/>
      <c r="DB104" s="143"/>
      <c r="DC104" s="143"/>
      <c r="DD104" s="143"/>
      <c r="DE104" s="143"/>
      <c r="DF104" s="143"/>
      <c r="DG104" s="143"/>
      <c r="DH104" s="143"/>
      <c r="DI104" s="143"/>
      <c r="DJ104" s="143"/>
      <c r="DK104" s="143"/>
      <c r="DL104" s="143"/>
      <c r="DM104" s="143"/>
      <c r="DN104" s="143"/>
      <c r="DO104" s="143"/>
      <c r="DP104" s="143"/>
      <c r="DQ104" s="143"/>
      <c r="DR104" s="143"/>
      <c r="DS104" s="143"/>
      <c r="DT104" s="143"/>
      <c r="DU104" s="143"/>
      <c r="DV104" s="143"/>
      <c r="DW104" s="148"/>
      <c r="DX104" s="143"/>
      <c r="DY104" s="149"/>
    </row>
    <row r="105" spans="1:129" ht="12.75" customHeight="1">
      <c r="A105" s="540"/>
      <c r="CW105" s="143"/>
      <c r="CX105" s="143"/>
      <c r="CY105" s="143"/>
      <c r="CZ105" s="143"/>
      <c r="DA105" s="143"/>
      <c r="DB105" s="143"/>
      <c r="DC105" s="143"/>
      <c r="DD105" s="143"/>
      <c r="DE105" s="143"/>
      <c r="DF105" s="143"/>
      <c r="DG105" s="143"/>
      <c r="DH105" s="143"/>
      <c r="DI105" s="143"/>
      <c r="DJ105" s="143"/>
      <c r="DK105" s="143"/>
      <c r="DL105" s="143"/>
      <c r="DM105" s="143"/>
      <c r="DN105" s="143"/>
      <c r="DO105" s="143"/>
      <c r="DP105" s="143"/>
      <c r="DQ105" s="143"/>
      <c r="DR105" s="143"/>
      <c r="DS105" s="143"/>
      <c r="DT105" s="143"/>
      <c r="DU105" s="143"/>
      <c r="DV105" s="143"/>
      <c r="DW105" s="148"/>
      <c r="DX105" s="143"/>
      <c r="DY105" s="149"/>
    </row>
  </sheetData>
  <mergeCells count="13">
    <mergeCell ref="C56:G58"/>
    <mergeCell ref="L5:L6"/>
    <mergeCell ref="M5:M6"/>
    <mergeCell ref="N5:N6"/>
    <mergeCell ref="O5:O6"/>
    <mergeCell ref="D9:F9"/>
    <mergeCell ref="D8:F8"/>
    <mergeCell ref="D14:F14"/>
    <mergeCell ref="D13:F13"/>
    <mergeCell ref="D12:F12"/>
    <mergeCell ref="D11:F11"/>
    <mergeCell ref="D10:F10"/>
    <mergeCell ref="C19:G21"/>
  </mergeCells>
  <phoneticPr fontId="136" type="noConversion"/>
  <conditionalFormatting sqref="G9:I14 C19:G21 D24 C29:F29 N29 C32:F34 N32:N34 I38 M38:N38 C43:G46 C56:G58">
    <cfRule type="containsBlanks" dxfId="4" priority="1">
      <formula>LEN(TRIM(C9))=0</formula>
    </cfRule>
  </conditionalFormatting>
  <dataValidations count="2">
    <dataValidation type="list" allowBlank="1" showInputMessage="1" sqref="H9:H14" xr:uid="{7477E114-0469-4ED4-9F8C-0D96594FBCA1}">
      <formula1>"是,否"</formula1>
    </dataValidation>
    <dataValidation type="list" allowBlank="1" showInputMessage="1" sqref="I9:I14" xr:uid="{35EBB7AA-D485-446C-B849-32CC2798E5C4}">
      <formula1>"是,不适用"</formula1>
    </dataValidation>
  </dataValidations>
  <hyperlinks>
    <hyperlink ref="J2" location="汇总!A1" display="返回汇总页" xr:uid="{00000000-0004-0000-0F00-000000000000}"/>
  </hyperlink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DZ48"/>
  <sheetViews>
    <sheetView showGridLines="0" zoomScale="70" zoomScaleNormal="70" workbookViewId="0">
      <selection activeCell="P37" sqref="P37"/>
    </sheetView>
  </sheetViews>
  <sheetFormatPr defaultColWidth="9.5703125" defaultRowHeight="12.6" customHeight="1" outlineLevelRow="1" outlineLevelCol="1"/>
  <cols>
    <col min="1" max="1" width="0.140625" style="164" customWidth="1"/>
    <col min="2" max="2" width="5.5703125" style="19" customWidth="1"/>
    <col min="3" max="3" width="17" style="19" customWidth="1"/>
    <col min="4" max="4" width="39.28515625" style="19" customWidth="1"/>
    <col min="5" max="6" width="26.140625" style="19" customWidth="1"/>
    <col min="7" max="7" width="22.5703125" style="19" customWidth="1"/>
    <col min="8" max="8" width="20.140625" style="19" customWidth="1"/>
    <col min="9" max="9" width="23.42578125" style="19" customWidth="1"/>
    <col min="10" max="10" width="29.5703125" style="19" customWidth="1"/>
    <col min="11" max="11" width="21.42578125" style="19" customWidth="1" outlineLevel="1"/>
    <col min="12" max="12" width="13.85546875" style="19" customWidth="1" outlineLevel="1"/>
    <col min="13" max="14" width="13.85546875" style="19" customWidth="1"/>
    <col min="15" max="16" width="14.5703125" style="19" customWidth="1"/>
    <col min="17" max="18" width="12.85546875" style="19" customWidth="1"/>
    <col min="19" max="19" width="23" style="19" customWidth="1"/>
    <col min="20" max="20" width="16" style="19" customWidth="1"/>
    <col min="21" max="21" width="9.7109375" style="19" customWidth="1"/>
    <col min="22" max="25" width="8.7109375" style="19" customWidth="1"/>
    <col min="26" max="26" width="14.85546875" style="19" customWidth="1"/>
    <col min="27" max="28" width="13.28515625" style="19" customWidth="1"/>
    <col min="29" max="29" width="10.42578125" style="19" customWidth="1"/>
    <col min="30" max="31" width="13.28515625" style="19" customWidth="1"/>
    <col min="32" max="32" width="16" style="19" customWidth="1"/>
    <col min="33" max="33" width="9.5703125" style="19"/>
    <col min="34" max="34" width="7.7109375" style="19" customWidth="1"/>
    <col min="35" max="36" width="13.28515625" style="19" customWidth="1"/>
    <col min="37" max="37" width="10.42578125" style="19" customWidth="1"/>
    <col min="38" max="38" width="11.7109375" style="19" customWidth="1"/>
    <col min="39" max="39" width="7.5703125" style="19" customWidth="1"/>
    <col min="40" max="40" width="8.85546875" style="19" customWidth="1"/>
    <col min="41" max="100" width="9.5703125" style="19"/>
    <col min="101" max="101" width="15.7109375" style="143" customWidth="1"/>
    <col min="102" max="102" width="8.85546875" style="143" customWidth="1"/>
    <col min="103" max="112" width="9.5703125" style="143"/>
    <col min="113" max="113" width="17.140625" style="143" customWidth="1"/>
    <col min="114" max="119" width="9.5703125" style="143"/>
    <col min="120" max="120" width="12.42578125" style="143" customWidth="1"/>
    <col min="121" max="124" width="9.5703125" style="143"/>
    <col min="125" max="125" width="12.140625" style="143" customWidth="1"/>
    <col min="126" max="126" width="14.85546875" style="143" customWidth="1"/>
    <col min="127" max="127" width="9.5703125" style="148"/>
    <col min="128" max="128" width="9.5703125" style="143"/>
    <col min="129" max="129" width="9.5703125" style="149"/>
    <col min="130" max="16384" width="9.5703125" style="19"/>
  </cols>
  <sheetData>
    <row r="1" spans="1:129" ht="12.6" customHeight="1">
      <c r="A1" s="540" t="s">
        <v>342</v>
      </c>
      <c r="CW1" s="321"/>
      <c r="CX1" s="6"/>
      <c r="CY1" s="6"/>
      <c r="CZ1" s="142"/>
      <c r="DH1" s="6"/>
      <c r="DO1" s="6"/>
      <c r="DP1" s="322"/>
      <c r="DQ1" s="323"/>
      <c r="DR1" s="324"/>
      <c r="DS1" s="324"/>
      <c r="DT1" s="6"/>
      <c r="DV1" s="147"/>
    </row>
    <row r="2" spans="1:129" s="9" customFormat="1" ht="21" customHeight="1">
      <c r="A2" s="539"/>
      <c r="C2" s="473"/>
      <c r="J2" s="48" t="s">
        <v>108</v>
      </c>
    </row>
    <row r="3" spans="1:129" ht="12.6" customHeight="1" thickBot="1">
      <c r="A3" s="540"/>
      <c r="CR3" s="143"/>
      <c r="CS3" s="6"/>
      <c r="CT3" s="6"/>
      <c r="CU3" s="143"/>
      <c r="CV3" s="143"/>
      <c r="DC3" s="6"/>
      <c r="DI3" s="6"/>
      <c r="DJ3" s="6"/>
      <c r="DK3" s="6"/>
      <c r="DL3" s="6"/>
      <c r="DM3" s="6"/>
      <c r="DN3" s="6"/>
      <c r="DO3" s="6"/>
      <c r="DP3" s="6"/>
      <c r="DQ3" s="6"/>
      <c r="DR3" s="150"/>
      <c r="DT3" s="149"/>
      <c r="DU3" s="19"/>
      <c r="DV3" s="19"/>
      <c r="DW3" s="19"/>
      <c r="DX3" s="19"/>
      <c r="DY3" s="19"/>
    </row>
    <row r="4" spans="1:129" ht="21">
      <c r="A4" s="540"/>
      <c r="C4" s="757" t="s">
        <v>159</v>
      </c>
      <c r="D4" s="758"/>
      <c r="E4" s="758"/>
      <c r="F4" s="758"/>
      <c r="G4" s="758"/>
      <c r="H4" s="758"/>
      <c r="I4" s="758"/>
      <c r="J4" s="759"/>
      <c r="K4" s="151"/>
      <c r="L4" s="151"/>
      <c r="M4" s="151"/>
      <c r="CT4" s="6"/>
      <c r="CU4" s="6"/>
      <c r="CV4" s="6"/>
      <c r="DE4" s="6"/>
      <c r="DK4" s="6"/>
      <c r="DL4" s="6"/>
      <c r="DM4" s="6"/>
      <c r="DN4" s="6"/>
      <c r="DO4" s="6"/>
      <c r="DP4" s="6"/>
      <c r="DQ4" s="6"/>
      <c r="DR4" s="6"/>
      <c r="DS4" s="6"/>
      <c r="DT4" s="150"/>
      <c r="DU4" s="6"/>
      <c r="DV4" s="6"/>
      <c r="DW4" s="19"/>
      <c r="DX4" s="19"/>
      <c r="DY4" s="19"/>
    </row>
    <row r="5" spans="1:129" ht="17.25" customHeight="1">
      <c r="A5" s="540"/>
      <c r="C5" s="49" t="s">
        <v>343</v>
      </c>
      <c r="D5" s="152"/>
      <c r="E5" s="152"/>
      <c r="F5" s="152"/>
      <c r="G5" s="152"/>
      <c r="H5" s="152"/>
      <c r="I5" s="152"/>
      <c r="J5" s="153"/>
      <c r="K5" s="151"/>
      <c r="L5" s="843"/>
      <c r="M5" s="843"/>
      <c r="N5" s="843"/>
      <c r="O5" s="842"/>
      <c r="CT5" s="6"/>
      <c r="CU5" s="6"/>
      <c r="CV5" s="154"/>
      <c r="DE5" s="6"/>
      <c r="DK5" s="6"/>
      <c r="DL5" s="6"/>
      <c r="DM5" s="6"/>
      <c r="DN5" s="6"/>
      <c r="DO5" s="6"/>
      <c r="DP5" s="6"/>
      <c r="DQ5" s="6"/>
      <c r="DR5" s="6"/>
      <c r="DS5" s="6"/>
      <c r="DT5" s="150"/>
      <c r="DU5" s="6"/>
      <c r="DV5" s="6"/>
      <c r="DW5" s="19"/>
      <c r="DX5" s="19"/>
      <c r="DY5" s="19"/>
    </row>
    <row r="6" spans="1:129" ht="17.25" customHeight="1">
      <c r="A6" s="540"/>
      <c r="C6" s="49" t="s">
        <v>194</v>
      </c>
      <c r="D6" s="152"/>
      <c r="E6" s="152"/>
      <c r="F6" s="152"/>
      <c r="G6" s="152"/>
      <c r="H6" s="152"/>
      <c r="I6" s="152"/>
      <c r="J6" s="153"/>
      <c r="K6" s="151"/>
      <c r="L6" s="843"/>
      <c r="M6" s="843"/>
      <c r="N6" s="843"/>
      <c r="O6" s="842"/>
      <c r="CT6" s="6"/>
      <c r="CU6" s="154"/>
      <c r="CV6" s="154"/>
      <c r="DE6" s="154"/>
      <c r="DK6" s="154"/>
      <c r="DL6" s="6"/>
      <c r="DM6" s="6"/>
      <c r="DN6" s="6"/>
      <c r="DO6" s="6"/>
      <c r="DP6" s="6"/>
      <c r="DQ6" s="154"/>
      <c r="DR6" s="154"/>
      <c r="DS6" s="154"/>
      <c r="DT6" s="155"/>
      <c r="DU6" s="6"/>
      <c r="DV6" s="6"/>
      <c r="DW6" s="19"/>
      <c r="DX6" s="19"/>
      <c r="DY6" s="19"/>
    </row>
    <row r="7" spans="1:129" ht="12.6" customHeight="1">
      <c r="A7" s="540"/>
      <c r="C7" s="49"/>
      <c r="D7" s="152"/>
      <c r="E7" s="152"/>
      <c r="F7" s="152"/>
      <c r="G7" s="152"/>
      <c r="H7" s="152"/>
      <c r="I7" s="152"/>
      <c r="J7" s="153"/>
      <c r="K7" s="151"/>
      <c r="L7" s="353"/>
      <c r="M7" s="156"/>
      <c r="N7" s="156"/>
      <c r="O7" s="156"/>
      <c r="CT7" s="6"/>
      <c r="CU7" s="154"/>
      <c r="CV7" s="154"/>
      <c r="DE7" s="154"/>
      <c r="DK7" s="154"/>
      <c r="DL7" s="6"/>
      <c r="DM7" s="6"/>
      <c r="DN7" s="6"/>
      <c r="DO7" s="6"/>
      <c r="DP7" s="6"/>
      <c r="DQ7" s="154"/>
      <c r="DR7" s="154"/>
      <c r="DS7" s="154"/>
      <c r="DT7" s="155"/>
      <c r="DU7" s="6"/>
      <c r="DV7" s="6"/>
      <c r="DW7" s="19"/>
      <c r="DX7" s="19"/>
      <c r="DY7" s="19"/>
    </row>
    <row r="8" spans="1:129" ht="21">
      <c r="A8" s="540"/>
      <c r="C8" s="513" t="s">
        <v>111</v>
      </c>
      <c r="D8" s="845" t="s">
        <v>112</v>
      </c>
      <c r="E8" s="845"/>
      <c r="F8" s="845"/>
      <c r="G8" s="157" t="s">
        <v>113</v>
      </c>
      <c r="H8" s="507" t="s">
        <v>114</v>
      </c>
      <c r="I8" s="507" t="s">
        <v>115</v>
      </c>
      <c r="J8" s="514" t="s">
        <v>116</v>
      </c>
      <c r="K8" s="158"/>
      <c r="L8" s="151"/>
      <c r="M8" s="151"/>
      <c r="N8" s="151"/>
      <c r="CU8" s="7"/>
      <c r="CV8" s="7"/>
      <c r="CW8" s="7"/>
      <c r="DF8" s="7"/>
      <c r="DL8" s="7"/>
      <c r="DM8" s="154"/>
      <c r="DN8" s="154"/>
      <c r="DO8" s="154"/>
      <c r="DP8" s="154"/>
      <c r="DQ8" s="154"/>
      <c r="DR8" s="7"/>
      <c r="DS8" s="7"/>
      <c r="DT8" s="7"/>
      <c r="DU8" s="155"/>
      <c r="DV8" s="7"/>
      <c r="DW8" s="159"/>
      <c r="DX8" s="19"/>
      <c r="DY8" s="19"/>
    </row>
    <row r="9" spans="1:129" ht="21" outlineLevel="1">
      <c r="A9" s="660"/>
      <c r="C9" s="515">
        <v>1</v>
      </c>
      <c r="D9" s="844" t="s">
        <v>344</v>
      </c>
      <c r="E9" s="844"/>
      <c r="F9" s="844"/>
      <c r="G9" s="560" t="s">
        <v>163</v>
      </c>
      <c r="H9" s="508" t="s">
        <v>119</v>
      </c>
      <c r="I9" s="509"/>
      <c r="J9" s="516"/>
      <c r="K9" s="158"/>
      <c r="L9" s="158"/>
      <c r="M9" s="160"/>
      <c r="N9" s="160"/>
      <c r="O9" s="160"/>
      <c r="CV9" s="154"/>
      <c r="CW9" s="7"/>
      <c r="CX9" s="154"/>
      <c r="DG9" s="7"/>
      <c r="DM9" s="7"/>
      <c r="DN9" s="7"/>
      <c r="DO9" s="7"/>
      <c r="DP9" s="7"/>
      <c r="DQ9" s="7"/>
      <c r="DR9" s="7"/>
      <c r="DS9" s="7"/>
      <c r="DT9" s="7"/>
      <c r="DU9" s="7"/>
      <c r="DV9" s="155"/>
      <c r="DW9" s="154"/>
      <c r="DX9" s="8"/>
      <c r="DY9" s="19"/>
    </row>
    <row r="10" spans="1:129" ht="60.75" customHeight="1" outlineLevel="1">
      <c r="A10" s="660"/>
      <c r="C10" s="515">
        <v>2</v>
      </c>
      <c r="D10" s="844" t="s">
        <v>164</v>
      </c>
      <c r="E10" s="844"/>
      <c r="F10" s="844"/>
      <c r="G10" s="560" t="s">
        <v>163</v>
      </c>
      <c r="H10" s="508" t="s">
        <v>119</v>
      </c>
      <c r="I10" s="509"/>
      <c r="J10" s="516"/>
      <c r="K10" s="158"/>
      <c r="L10" s="158"/>
      <c r="M10" s="160"/>
      <c r="N10" s="160"/>
      <c r="O10" s="160"/>
      <c r="CV10" s="154"/>
      <c r="CW10" s="7"/>
      <c r="CX10" s="154"/>
      <c r="DG10" s="7"/>
      <c r="DM10" s="7"/>
      <c r="DN10" s="7"/>
      <c r="DO10" s="7"/>
      <c r="DP10" s="7"/>
      <c r="DQ10" s="7"/>
      <c r="DR10" s="7"/>
      <c r="DS10" s="7"/>
      <c r="DT10" s="7"/>
      <c r="DU10" s="7"/>
      <c r="DV10" s="155"/>
      <c r="DW10" s="154"/>
      <c r="DX10" s="8"/>
      <c r="DY10" s="19"/>
    </row>
    <row r="11" spans="1:129" ht="21" outlineLevel="1">
      <c r="A11" s="660"/>
      <c r="C11" s="515">
        <v>3</v>
      </c>
      <c r="D11" s="844" t="s">
        <v>196</v>
      </c>
      <c r="E11" s="844"/>
      <c r="F11" s="844"/>
      <c r="G11" s="560" t="s">
        <v>163</v>
      </c>
      <c r="H11" s="508" t="s">
        <v>119</v>
      </c>
      <c r="I11" s="509"/>
      <c r="J11" s="516"/>
      <c r="K11" s="158"/>
      <c r="L11" s="158"/>
      <c r="M11" s="151"/>
      <c r="N11" s="151"/>
      <c r="O11" s="151"/>
      <c r="CV11" s="7"/>
      <c r="CW11" s="154"/>
      <c r="CX11" s="162"/>
      <c r="DG11" s="154"/>
      <c r="DM11" s="154"/>
      <c r="DN11" s="7"/>
      <c r="DO11" s="7"/>
      <c r="DP11" s="7"/>
      <c r="DQ11" s="7"/>
      <c r="DR11" s="7"/>
      <c r="DS11" s="154"/>
      <c r="DT11" s="154"/>
      <c r="DU11" s="154"/>
      <c r="DV11" s="155"/>
      <c r="DW11" s="7"/>
      <c r="DX11" s="7"/>
      <c r="DY11" s="19"/>
    </row>
    <row r="12" spans="1:129" ht="89.45" customHeight="1" outlineLevel="1">
      <c r="A12" s="660"/>
      <c r="C12" s="515">
        <v>4</v>
      </c>
      <c r="D12" s="839" t="s">
        <v>345</v>
      </c>
      <c r="E12" s="840"/>
      <c r="F12" s="841"/>
      <c r="G12" s="510" t="s">
        <v>167</v>
      </c>
      <c r="H12" s="508" t="s">
        <v>119</v>
      </c>
      <c r="I12" s="509"/>
      <c r="J12" s="516"/>
      <c r="K12" s="158"/>
      <c r="L12" s="158"/>
      <c r="M12" s="151"/>
      <c r="N12" s="151"/>
      <c r="O12" s="151"/>
      <c r="CV12" s="7"/>
      <c r="CW12" s="154"/>
      <c r="CX12" s="162"/>
      <c r="DG12" s="154"/>
      <c r="DM12" s="154"/>
      <c r="DN12" s="7"/>
      <c r="DO12" s="7"/>
      <c r="DP12" s="7"/>
      <c r="DQ12" s="7"/>
      <c r="DR12" s="7"/>
      <c r="DS12" s="154"/>
      <c r="DT12" s="154"/>
      <c r="DU12" s="154"/>
      <c r="DV12" s="155"/>
      <c r="DW12" s="7"/>
      <c r="DX12" s="7"/>
      <c r="DY12" s="19"/>
    </row>
    <row r="13" spans="1:129" ht="21" outlineLevel="1">
      <c r="A13" s="660"/>
      <c r="C13" s="515">
        <v>5</v>
      </c>
      <c r="D13" s="844" t="s">
        <v>198</v>
      </c>
      <c r="E13" s="844"/>
      <c r="F13" s="844"/>
      <c r="G13" s="517" t="s">
        <v>169</v>
      </c>
      <c r="H13" s="508" t="s">
        <v>119</v>
      </c>
      <c r="I13" s="509"/>
      <c r="J13" s="516"/>
      <c r="K13" s="158"/>
      <c r="L13" s="158"/>
      <c r="M13" s="151"/>
      <c r="N13" s="151"/>
      <c r="O13" s="151"/>
      <c r="CV13" s="7"/>
      <c r="CW13" s="162"/>
      <c r="CX13" s="162"/>
      <c r="DG13" s="162"/>
      <c r="DM13" s="162"/>
      <c r="DN13" s="154"/>
      <c r="DO13" s="154"/>
      <c r="DP13" s="154"/>
      <c r="DQ13" s="154"/>
      <c r="DR13" s="154"/>
      <c r="DS13" s="162"/>
      <c r="DT13" s="162"/>
      <c r="DU13" s="162"/>
      <c r="DV13" s="150"/>
      <c r="DW13" s="7"/>
      <c r="DX13" s="159"/>
      <c r="DY13" s="19"/>
    </row>
    <row r="14" spans="1:129" ht="40.5" customHeight="1" outlineLevel="1">
      <c r="A14" s="660"/>
      <c r="C14" s="515">
        <v>6</v>
      </c>
      <c r="D14" s="844" t="s">
        <v>170</v>
      </c>
      <c r="E14" s="844"/>
      <c r="F14" s="844"/>
      <c r="G14" s="560" t="s">
        <v>163</v>
      </c>
      <c r="H14" s="508" t="s">
        <v>119</v>
      </c>
      <c r="I14" s="509"/>
      <c r="J14" s="516"/>
      <c r="K14" s="158"/>
      <c r="L14" s="158"/>
      <c r="M14" s="151"/>
      <c r="N14" s="151"/>
      <c r="O14" s="151"/>
      <c r="CV14" s="7"/>
      <c r="CW14" s="162"/>
      <c r="CX14" s="162"/>
      <c r="DG14" s="162"/>
      <c r="DM14" s="162"/>
      <c r="DN14" s="154"/>
      <c r="DO14" s="154"/>
      <c r="DP14" s="154"/>
      <c r="DQ14" s="154"/>
      <c r="DR14" s="154"/>
      <c r="DS14" s="162"/>
      <c r="DT14" s="162"/>
      <c r="DU14" s="162"/>
      <c r="DV14" s="150"/>
      <c r="DW14" s="7"/>
      <c r="DX14" s="159"/>
      <c r="DY14" s="19"/>
    </row>
    <row r="15" spans="1:129" ht="18.75" thickBot="1">
      <c r="A15" s="660"/>
      <c r="C15" s="253"/>
      <c r="D15" s="208"/>
      <c r="E15" s="208"/>
      <c r="F15" s="208"/>
      <c r="G15" s="208"/>
      <c r="H15" s="208"/>
      <c r="I15" s="208"/>
      <c r="J15" s="254"/>
      <c r="K15" s="151"/>
      <c r="L15" s="151"/>
      <c r="M15" s="151"/>
      <c r="CT15" s="7"/>
      <c r="CU15" s="162"/>
      <c r="CV15" s="162"/>
      <c r="DE15" s="162"/>
      <c r="DK15" s="162"/>
      <c r="DL15" s="154"/>
      <c r="DM15" s="154"/>
      <c r="DN15" s="154"/>
      <c r="DO15" s="154"/>
      <c r="DP15" s="154"/>
      <c r="DQ15" s="162"/>
      <c r="DR15" s="162"/>
      <c r="DS15" s="162"/>
      <c r="DT15" s="150"/>
      <c r="DU15" s="7"/>
      <c r="DV15" s="159"/>
      <c r="DW15" s="19"/>
      <c r="DX15" s="19"/>
      <c r="DY15" s="19"/>
    </row>
    <row r="16" spans="1:129" ht="12.6" customHeight="1">
      <c r="A16" s="660"/>
      <c r="C16" s="163"/>
      <c r="CT16" s="6"/>
      <c r="CU16" s="6"/>
      <c r="CV16" s="6"/>
      <c r="DE16" s="6"/>
      <c r="DK16" s="6"/>
      <c r="DL16" s="6"/>
      <c r="DM16" s="6"/>
      <c r="DN16" s="6"/>
      <c r="DO16" s="6"/>
      <c r="DP16" s="6"/>
      <c r="DQ16" s="6"/>
      <c r="DR16" s="6"/>
      <c r="DS16" s="6"/>
      <c r="DT16" s="150"/>
      <c r="DU16" s="6"/>
      <c r="DV16" s="6"/>
      <c r="DW16" s="19"/>
      <c r="DX16" s="19"/>
      <c r="DY16" s="19"/>
    </row>
    <row r="17" spans="1:129" ht="12.6" customHeight="1">
      <c r="A17" s="660"/>
      <c r="CT17" s="6"/>
      <c r="CU17" s="6"/>
      <c r="CV17" s="6"/>
      <c r="DE17" s="6"/>
      <c r="DK17" s="6"/>
      <c r="DL17" s="6"/>
      <c r="DM17" s="6"/>
      <c r="DN17" s="6"/>
      <c r="DO17" s="6"/>
      <c r="DP17" s="6"/>
      <c r="DQ17" s="6"/>
      <c r="DR17" s="6"/>
      <c r="DS17" s="6"/>
      <c r="DT17" s="150"/>
      <c r="DU17" s="6"/>
      <c r="DV17" s="6"/>
      <c r="DW17" s="19"/>
      <c r="DX17" s="19"/>
      <c r="DY17" s="19"/>
    </row>
    <row r="18" spans="1:129" s="20" customFormat="1" ht="18.75" thickBot="1">
      <c r="A18" s="656"/>
      <c r="C18" s="474" t="s">
        <v>121</v>
      </c>
      <c r="D18" s="438"/>
      <c r="E18" s="438"/>
      <c r="F18" s="438"/>
      <c r="G18" s="438"/>
      <c r="H18" s="438"/>
      <c r="I18" s="438"/>
      <c r="J18" s="438"/>
      <c r="K18" s="23"/>
      <c r="L18" s="217"/>
      <c r="M18" s="217"/>
      <c r="Q18" s="158"/>
    </row>
    <row r="19" spans="1:129" s="20" customFormat="1" ht="18" customHeight="1">
      <c r="A19" s="656"/>
      <c r="C19" s="819"/>
      <c r="D19" s="820"/>
      <c r="E19" s="820"/>
      <c r="F19" s="820"/>
      <c r="G19" s="821"/>
      <c r="H19" s="438"/>
      <c r="I19" s="438"/>
      <c r="J19" s="438"/>
      <c r="K19" s="23"/>
      <c r="L19" s="217"/>
      <c r="M19" s="217"/>
      <c r="Q19" s="158"/>
    </row>
    <row r="20" spans="1:129" s="20" customFormat="1" ht="18" customHeight="1">
      <c r="A20" s="656"/>
      <c r="C20" s="822"/>
      <c r="D20" s="823"/>
      <c r="E20" s="823"/>
      <c r="F20" s="823"/>
      <c r="G20" s="824"/>
      <c r="H20" s="438"/>
      <c r="I20" s="438"/>
      <c r="J20" s="438"/>
      <c r="K20" s="23"/>
      <c r="L20" s="217"/>
      <c r="M20" s="217"/>
      <c r="Q20" s="158"/>
    </row>
    <row r="21" spans="1:129" s="20" customFormat="1" ht="18" customHeight="1" thickBot="1">
      <c r="A21" s="656"/>
      <c r="C21" s="825"/>
      <c r="D21" s="826"/>
      <c r="E21" s="826"/>
      <c r="F21" s="826"/>
      <c r="G21" s="827"/>
      <c r="H21" s="438"/>
      <c r="I21" s="438"/>
      <c r="J21" s="438"/>
      <c r="K21" s="23"/>
      <c r="L21" s="217"/>
      <c r="M21" s="217"/>
      <c r="Q21" s="158"/>
    </row>
    <row r="22" spans="1:129" s="4" customFormat="1" ht="13.5" thickBot="1">
      <c r="A22" s="545"/>
      <c r="C22" s="550"/>
      <c r="D22" s="551"/>
      <c r="E22" s="192"/>
      <c r="F22" s="192"/>
      <c r="G22" s="192"/>
      <c r="H22" s="192"/>
      <c r="I22" s="158"/>
      <c r="J22" s="158"/>
      <c r="K22" s="552"/>
      <c r="L22" s="424"/>
      <c r="M22" s="424"/>
      <c r="N22" s="424"/>
      <c r="O22" s="424"/>
      <c r="P22" s="424"/>
      <c r="Q22" s="424"/>
      <c r="R22" s="425"/>
    </row>
    <row r="23" spans="1:129" s="4" customFormat="1" ht="102">
      <c r="A23" s="545"/>
      <c r="C23" s="745" t="str">
        <f>"波动范围 ("&amp;D12&amp; "):"</f>
        <v>波动范围 (对于单项重大的利得，需要获取该单项利得的组成明细，需要获取支持性文件如合同等，在必要时进行利得测试。):</v>
      </c>
      <c r="D23" s="746">
        <f>汇总!$F$21</f>
        <v>0</v>
      </c>
      <c r="E23" s="553"/>
      <c r="F23" s="553"/>
      <c r="G23" s="553"/>
      <c r="H23" s="553"/>
      <c r="I23" s="553"/>
      <c r="J23" s="553"/>
      <c r="K23" s="553"/>
      <c r="L23" s="424"/>
      <c r="M23" s="424"/>
      <c r="N23" s="424"/>
      <c r="O23" s="424"/>
      <c r="P23" s="424"/>
      <c r="Q23" s="424"/>
      <c r="R23" s="425"/>
    </row>
    <row r="24" spans="1:129" s="4" customFormat="1" ht="17.25" thickBot="1">
      <c r="A24" s="545"/>
      <c r="C24" s="554" t="s">
        <v>171</v>
      </c>
      <c r="D24" s="476"/>
      <c r="E24" s="5"/>
      <c r="F24" s="5"/>
      <c r="G24" s="5"/>
      <c r="H24" s="5"/>
      <c r="I24" s="5"/>
      <c r="J24" s="5"/>
      <c r="K24" s="5"/>
      <c r="L24" s="424"/>
      <c r="M24" s="424"/>
      <c r="N24" s="424"/>
      <c r="O24" s="424"/>
      <c r="P24" s="424"/>
      <c r="Q24" s="424"/>
      <c r="R24" s="425"/>
    </row>
    <row r="25" spans="1:129" ht="13.35" customHeight="1">
      <c r="A25" s="660"/>
      <c r="CT25" s="6"/>
      <c r="CU25" s="6"/>
      <c r="CV25" s="6"/>
      <c r="DE25" s="6"/>
      <c r="DK25" s="6"/>
      <c r="DL25" s="6"/>
      <c r="DM25" s="6"/>
      <c r="DN25" s="6"/>
      <c r="DO25" s="6"/>
      <c r="DP25" s="6"/>
      <c r="DQ25" s="6"/>
      <c r="DR25" s="6"/>
      <c r="DS25" s="6"/>
      <c r="DT25" s="150"/>
      <c r="DU25" s="6"/>
      <c r="DV25" s="6"/>
      <c r="DW25" s="19"/>
      <c r="DX25" s="19"/>
      <c r="DY25" s="19"/>
    </row>
    <row r="26" spans="1:129" ht="13.35" customHeight="1">
      <c r="A26" s="660"/>
      <c r="CS26" s="6"/>
      <c r="CT26" s="6"/>
      <c r="CU26" s="6"/>
      <c r="CV26" s="143"/>
      <c r="DD26" s="6"/>
      <c r="DJ26" s="6"/>
      <c r="DK26" s="6"/>
      <c r="DL26" s="6"/>
      <c r="DM26" s="6"/>
      <c r="DN26" s="6"/>
      <c r="DO26" s="6"/>
      <c r="DP26" s="6"/>
      <c r="DQ26" s="6"/>
      <c r="DR26" s="6"/>
      <c r="DS26" s="150"/>
      <c r="DT26" s="6"/>
      <c r="DU26" s="6"/>
      <c r="DV26" s="19"/>
      <c r="DW26" s="19"/>
      <c r="DX26" s="19"/>
      <c r="DY26" s="19"/>
    </row>
    <row r="27" spans="1:129" ht="12.6" customHeight="1">
      <c r="A27" s="660"/>
      <c r="C27" s="164"/>
      <c r="D27" s="211"/>
      <c r="E27" s="192"/>
      <c r="F27" s="192" t="s">
        <v>123</v>
      </c>
      <c r="G27" s="441"/>
      <c r="H27" s="164" t="s">
        <v>124</v>
      </c>
      <c r="I27" s="192" t="s">
        <v>125</v>
      </c>
      <c r="J27" s="164"/>
      <c r="K27" s="164"/>
      <c r="L27" s="164" t="s">
        <v>126</v>
      </c>
      <c r="M27" s="192" t="s">
        <v>127</v>
      </c>
      <c r="N27" s="164" t="s">
        <v>128</v>
      </c>
      <c r="O27" s="164" t="s">
        <v>129</v>
      </c>
      <c r="P27" s="164" t="s">
        <v>130</v>
      </c>
      <c r="S27" s="260"/>
      <c r="CL27" s="6"/>
      <c r="CM27" s="6"/>
      <c r="CN27" s="6"/>
      <c r="CO27" s="143"/>
      <c r="CP27" s="143"/>
      <c r="CQ27" s="143"/>
      <c r="CR27" s="143"/>
      <c r="CS27" s="143"/>
      <c r="CT27" s="143"/>
      <c r="CU27" s="143"/>
      <c r="CV27" s="143"/>
      <c r="CW27" s="6"/>
      <c r="DC27" s="6"/>
      <c r="DD27" s="6"/>
      <c r="DE27" s="6"/>
      <c r="DF27" s="6"/>
      <c r="DG27" s="6"/>
      <c r="DH27" s="6"/>
      <c r="DI27" s="6"/>
      <c r="DJ27" s="6"/>
      <c r="DK27" s="6"/>
      <c r="DL27" s="200"/>
      <c r="DM27" s="6"/>
      <c r="DN27" s="6"/>
      <c r="DO27" s="19"/>
      <c r="DP27" s="19"/>
      <c r="DQ27" s="19"/>
      <c r="DR27" s="19"/>
      <c r="DS27" s="19"/>
      <c r="DT27" s="19"/>
      <c r="DU27" s="19"/>
      <c r="DV27" s="19"/>
      <c r="DW27" s="19"/>
      <c r="DX27" s="19"/>
      <c r="DY27" s="19"/>
    </row>
    <row r="28" spans="1:129" ht="13.5" thickBot="1">
      <c r="A28" s="660" t="s">
        <v>172</v>
      </c>
      <c r="C28" s="89" t="s">
        <v>95</v>
      </c>
      <c r="D28" s="90" t="s">
        <v>95</v>
      </c>
      <c r="E28" s="90" t="s">
        <v>95</v>
      </c>
      <c r="F28" s="91" t="s">
        <v>95</v>
      </c>
      <c r="G28" s="92"/>
      <c r="H28" s="92"/>
      <c r="I28" s="93"/>
      <c r="J28" s="94"/>
      <c r="K28" s="93"/>
      <c r="L28" s="92"/>
      <c r="M28" s="93"/>
      <c r="N28" s="165"/>
      <c r="O28" s="93"/>
      <c r="P28" s="95"/>
      <c r="Q28" s="96"/>
      <c r="R28" s="97"/>
      <c r="CK28" s="6"/>
      <c r="CL28" s="6"/>
      <c r="CM28" s="6"/>
      <c r="CN28" s="143"/>
      <c r="CO28" s="143"/>
      <c r="CP28" s="143"/>
      <c r="CQ28" s="143"/>
      <c r="CR28" s="143"/>
      <c r="CS28" s="143"/>
      <c r="CT28" s="143"/>
      <c r="CU28" s="143"/>
      <c r="CV28" s="6"/>
      <c r="DB28" s="6"/>
      <c r="DC28" s="6"/>
      <c r="DD28" s="6"/>
      <c r="DE28" s="6"/>
      <c r="DF28" s="6"/>
      <c r="DG28" s="6"/>
      <c r="DH28" s="6"/>
      <c r="DI28" s="6"/>
      <c r="DJ28" s="6"/>
      <c r="DK28" s="150"/>
      <c r="DL28" s="6"/>
      <c r="DM28" s="6"/>
      <c r="DN28" s="19"/>
      <c r="DO28" s="19"/>
      <c r="DP28" s="19"/>
      <c r="DQ28" s="19"/>
      <c r="DR28" s="19"/>
      <c r="DS28" s="19"/>
      <c r="DT28" s="19"/>
      <c r="DU28" s="19"/>
      <c r="DV28" s="19"/>
      <c r="DW28" s="19"/>
      <c r="DX28" s="19"/>
      <c r="DY28" s="19"/>
    </row>
    <row r="29" spans="1:129" ht="0.2" customHeight="1" thickBot="1">
      <c r="A29" s="660"/>
      <c r="C29" s="585"/>
      <c r="D29" s="586"/>
      <c r="E29" s="365"/>
      <c r="F29" s="587"/>
      <c r="G29" s="586"/>
      <c r="H29" s="588"/>
      <c r="I29" s="588">
        <f t="shared" ref="I29" si="0">F29+H29</f>
        <v>0</v>
      </c>
      <c r="J29" s="589" t="str">
        <f>IF($I$36&lt;&gt;0,I29/$I$36,"")</f>
        <v/>
      </c>
      <c r="K29" s="586"/>
      <c r="L29" s="588"/>
      <c r="M29" s="590">
        <f t="shared" ref="M29" si="1">I29+L29</f>
        <v>0</v>
      </c>
      <c r="N29" s="590"/>
      <c r="O29" s="587">
        <f t="shared" ref="O29" si="2">M29-N29</f>
        <v>0</v>
      </c>
      <c r="P29" s="466">
        <f>IF(N29&lt;&gt;0,O29/N29,1)</f>
        <v>1</v>
      </c>
      <c r="Q29" s="586"/>
      <c r="R29" s="591"/>
      <c r="CK29" s="6"/>
      <c r="CL29" s="6"/>
      <c r="CM29" s="6"/>
      <c r="CN29" s="143"/>
      <c r="CO29" s="143"/>
      <c r="CP29" s="143"/>
      <c r="CQ29" s="143"/>
      <c r="CR29" s="143"/>
      <c r="CS29" s="143"/>
      <c r="CT29" s="143"/>
      <c r="CU29" s="143"/>
      <c r="CV29" s="6"/>
      <c r="DB29" s="6"/>
      <c r="DC29" s="6"/>
      <c r="DD29" s="6"/>
      <c r="DE29" s="6"/>
      <c r="DF29" s="6"/>
      <c r="DG29" s="6"/>
      <c r="DH29" s="6"/>
      <c r="DI29" s="6"/>
      <c r="DJ29" s="6"/>
      <c r="DK29" s="150"/>
      <c r="DL29" s="6"/>
      <c r="DM29" s="6"/>
      <c r="DN29" s="19"/>
      <c r="DO29" s="19"/>
      <c r="DP29" s="19"/>
      <c r="DQ29" s="19"/>
      <c r="DR29" s="19"/>
      <c r="DS29" s="19"/>
      <c r="DT29" s="19"/>
      <c r="DU29" s="19"/>
      <c r="DV29" s="19"/>
      <c r="DW29" s="19"/>
      <c r="DX29" s="19"/>
      <c r="DY29" s="19"/>
    </row>
    <row r="30" spans="1:129" ht="12.6" customHeight="1">
      <c r="A30" s="660"/>
      <c r="B30" s="21" t="s">
        <v>174</v>
      </c>
      <c r="C30" s="592"/>
      <c r="D30" s="747"/>
      <c r="E30" s="593"/>
      <c r="F30" s="482"/>
      <c r="G30" s="594"/>
      <c r="H30" s="594"/>
      <c r="I30" s="594" t="s">
        <v>175</v>
      </c>
      <c r="J30" s="594"/>
      <c r="K30" s="594"/>
      <c r="L30" s="594"/>
      <c r="M30" s="596"/>
      <c r="N30" s="597">
        <f>DATE(YEAR(汇总!$D$5)-1,12,31)</f>
        <v>45291</v>
      </c>
      <c r="O30" s="483" t="s">
        <v>131</v>
      </c>
      <c r="P30" s="598"/>
      <c r="Q30" s="650"/>
      <c r="R30" s="602"/>
      <c r="CK30" s="6"/>
      <c r="CL30" s="6"/>
      <c r="CM30" s="6"/>
      <c r="CN30" s="143"/>
      <c r="CO30" s="143"/>
      <c r="CP30" s="143"/>
      <c r="CQ30" s="143"/>
      <c r="CR30" s="143"/>
      <c r="CS30" s="143"/>
      <c r="CT30" s="143"/>
      <c r="CU30" s="143"/>
      <c r="CV30" s="6"/>
      <c r="DB30" s="6"/>
      <c r="DC30" s="6"/>
      <c r="DD30" s="6"/>
      <c r="DE30" s="6"/>
      <c r="DF30" s="6"/>
      <c r="DG30" s="6"/>
      <c r="DH30" s="6"/>
      <c r="DI30" s="6"/>
      <c r="DJ30" s="6"/>
      <c r="DK30" s="167"/>
      <c r="DL30" s="6"/>
      <c r="DM30" s="6"/>
      <c r="DN30" s="19"/>
      <c r="DO30" s="19"/>
      <c r="DP30" s="19"/>
      <c r="DQ30" s="19"/>
      <c r="DR30" s="19"/>
      <c r="DS30" s="19"/>
      <c r="DT30" s="19"/>
      <c r="DU30" s="19"/>
      <c r="DV30" s="19"/>
      <c r="DW30" s="19"/>
      <c r="DX30" s="19"/>
      <c r="DY30" s="19"/>
    </row>
    <row r="31" spans="1:129" ht="43.5" customHeight="1">
      <c r="A31" s="660"/>
      <c r="C31" s="108" t="s">
        <v>176</v>
      </c>
      <c r="D31" s="109" t="s">
        <v>177</v>
      </c>
      <c r="E31" s="168" t="s">
        <v>178</v>
      </c>
      <c r="F31" s="366" t="s">
        <v>135</v>
      </c>
      <c r="G31" s="367" t="s">
        <v>179</v>
      </c>
      <c r="H31" s="367" t="s">
        <v>136</v>
      </c>
      <c r="I31" s="169" t="s">
        <v>137</v>
      </c>
      <c r="J31" s="169" t="s">
        <v>180</v>
      </c>
      <c r="K31" s="367" t="s">
        <v>181</v>
      </c>
      <c r="L31" s="170" t="s">
        <v>138</v>
      </c>
      <c r="M31" s="171" t="s">
        <v>139</v>
      </c>
      <c r="N31" s="555" t="s">
        <v>182</v>
      </c>
      <c r="O31" s="172" t="s">
        <v>141</v>
      </c>
      <c r="P31" s="465" t="s">
        <v>183</v>
      </c>
      <c r="Q31" s="464" t="s">
        <v>184</v>
      </c>
      <c r="R31" s="114" t="s">
        <v>155</v>
      </c>
      <c r="CK31" s="6"/>
      <c r="CL31" s="6"/>
      <c r="CM31" s="6"/>
      <c r="CN31" s="143"/>
      <c r="CO31" s="143"/>
      <c r="CP31" s="143"/>
      <c r="CQ31" s="143"/>
      <c r="CR31" s="143"/>
      <c r="CS31" s="143"/>
      <c r="CT31" s="143"/>
      <c r="CU31" s="143"/>
      <c r="CV31" s="6"/>
      <c r="DB31" s="6"/>
      <c r="DC31" s="6"/>
      <c r="DD31" s="6"/>
      <c r="DE31" s="6"/>
      <c r="DF31" s="6"/>
      <c r="DG31" s="6"/>
      <c r="DH31" s="6"/>
      <c r="DI31" s="6"/>
      <c r="DJ31" s="6"/>
      <c r="DK31" s="167"/>
      <c r="DL31" s="6"/>
      <c r="DM31" s="6"/>
      <c r="DN31" s="19"/>
      <c r="DO31" s="19"/>
      <c r="DP31" s="19"/>
      <c r="DQ31" s="19"/>
      <c r="DR31" s="19"/>
      <c r="DS31" s="19"/>
      <c r="DT31" s="19"/>
      <c r="DU31" s="19"/>
      <c r="DV31" s="19"/>
      <c r="DW31" s="19"/>
      <c r="DX31" s="19"/>
      <c r="DY31" s="19"/>
    </row>
    <row r="32" spans="1:129" ht="12.6" customHeight="1">
      <c r="A32" s="660"/>
      <c r="C32" s="98"/>
      <c r="D32" s="99"/>
      <c r="E32" s="100"/>
      <c r="F32" s="101"/>
      <c r="G32" s="99"/>
      <c r="H32" s="102"/>
      <c r="I32" s="102">
        <f>F32+H32</f>
        <v>0</v>
      </c>
      <c r="J32" s="103" t="str">
        <f>IF($I$36&lt;&gt;0,I32/$I$36,"")</f>
        <v/>
      </c>
      <c r="K32" s="99"/>
      <c r="L32" s="102"/>
      <c r="M32" s="104">
        <f>I32+L32</f>
        <v>0</v>
      </c>
      <c r="N32" s="104"/>
      <c r="O32" s="101">
        <f>M32-N32</f>
        <v>0</v>
      </c>
      <c r="P32" s="463">
        <f>IF(N32&lt;&gt;0,O32/N32,1)</f>
        <v>1</v>
      </c>
      <c r="Q32" s="99"/>
      <c r="R32" s="105"/>
      <c r="CK32" s="6"/>
      <c r="CL32" s="6"/>
      <c r="CM32" s="6"/>
      <c r="CN32" s="143"/>
      <c r="CO32" s="143"/>
      <c r="CP32" s="143"/>
      <c r="CQ32" s="143"/>
      <c r="CR32" s="143"/>
      <c r="CS32" s="143"/>
      <c r="CT32" s="143"/>
      <c r="CU32" s="143"/>
      <c r="CV32" s="6"/>
      <c r="DB32" s="6"/>
      <c r="DC32" s="6"/>
      <c r="DD32" s="6"/>
      <c r="DE32" s="6"/>
      <c r="DF32" s="6"/>
      <c r="DG32" s="6"/>
      <c r="DH32" s="6"/>
      <c r="DI32" s="6"/>
      <c r="DJ32" s="6"/>
      <c r="DK32" s="150"/>
      <c r="DL32" s="6"/>
      <c r="DM32" s="6"/>
      <c r="DN32" s="19"/>
      <c r="DO32" s="19"/>
      <c r="DP32" s="19"/>
      <c r="DQ32" s="19"/>
      <c r="DR32" s="19"/>
      <c r="DS32" s="19"/>
      <c r="DT32" s="19"/>
      <c r="DU32" s="19"/>
      <c r="DV32" s="19"/>
      <c r="DW32" s="19"/>
      <c r="DX32" s="19"/>
      <c r="DY32" s="19"/>
    </row>
    <row r="33" spans="1:130" ht="12.6" customHeight="1">
      <c r="A33" s="660"/>
      <c r="C33" s="98"/>
      <c r="D33" s="99"/>
      <c r="E33" s="100"/>
      <c r="F33" s="101"/>
      <c r="G33" s="99"/>
      <c r="H33" s="102"/>
      <c r="I33" s="102">
        <f t="shared" ref="I33:I34" si="3">F33+H33</f>
        <v>0</v>
      </c>
      <c r="J33" s="103" t="str">
        <f t="shared" ref="J33:J34" si="4">IF($I$36&lt;&gt;0,I33/$I$36,"")</f>
        <v/>
      </c>
      <c r="K33" s="99"/>
      <c r="L33" s="102"/>
      <c r="M33" s="104">
        <f t="shared" ref="M33:M34" si="5">I33+L33</f>
        <v>0</v>
      </c>
      <c r="N33" s="104"/>
      <c r="O33" s="101">
        <f t="shared" ref="O33:O34" si="6">M33-N33</f>
        <v>0</v>
      </c>
      <c r="P33" s="463">
        <f>IF(N33&lt;&gt;0,O33/N33,1)</f>
        <v>1</v>
      </c>
      <c r="Q33" s="99"/>
      <c r="R33" s="105"/>
      <c r="CK33" s="6"/>
      <c r="CL33" s="6"/>
      <c r="CM33" s="6"/>
      <c r="CN33" s="143"/>
      <c r="CO33" s="143"/>
      <c r="CP33" s="143"/>
      <c r="CQ33" s="143"/>
      <c r="CR33" s="143"/>
      <c r="CS33" s="143"/>
      <c r="CT33" s="143"/>
      <c r="CU33" s="143"/>
      <c r="CV33" s="6"/>
      <c r="DB33" s="6"/>
      <c r="DC33" s="6"/>
      <c r="DD33" s="6"/>
      <c r="DE33" s="6"/>
      <c r="DF33" s="6"/>
      <c r="DG33" s="6"/>
      <c r="DH33" s="6"/>
      <c r="DI33" s="6"/>
      <c r="DJ33" s="6"/>
      <c r="DK33" s="150"/>
      <c r="DL33" s="6"/>
      <c r="DM33" s="6"/>
      <c r="DN33" s="19"/>
      <c r="DO33" s="19"/>
      <c r="DP33" s="19"/>
      <c r="DQ33" s="19"/>
      <c r="DR33" s="19"/>
      <c r="DS33" s="19"/>
      <c r="DT33" s="19"/>
      <c r="DU33" s="19"/>
      <c r="DV33" s="19"/>
      <c r="DW33" s="19"/>
      <c r="DX33" s="19"/>
      <c r="DY33" s="19"/>
    </row>
    <row r="34" spans="1:130" ht="12.6" customHeight="1" thickBot="1">
      <c r="A34" s="660" t="s">
        <v>185</v>
      </c>
      <c r="C34" s="371"/>
      <c r="D34" s="372"/>
      <c r="E34" s="385"/>
      <c r="F34" s="374"/>
      <c r="G34" s="372"/>
      <c r="H34" s="375"/>
      <c r="I34" s="102">
        <f t="shared" si="3"/>
        <v>0</v>
      </c>
      <c r="J34" s="103" t="str">
        <f t="shared" si="4"/>
        <v/>
      </c>
      <c r="K34" s="378"/>
      <c r="L34" s="379"/>
      <c r="M34" s="104">
        <f t="shared" si="5"/>
        <v>0</v>
      </c>
      <c r="N34" s="380"/>
      <c r="O34" s="101">
        <f t="shared" si="6"/>
        <v>0</v>
      </c>
      <c r="P34" s="463">
        <f>IF(N34&lt;&gt;0,O34/N34,1)</f>
        <v>1</v>
      </c>
      <c r="Q34" s="378"/>
      <c r="R34" s="373"/>
      <c r="CK34" s="6"/>
      <c r="CL34" s="6"/>
      <c r="CM34" s="6"/>
      <c r="CN34" s="143"/>
      <c r="CO34" s="143"/>
      <c r="CP34" s="143"/>
      <c r="CQ34" s="143"/>
      <c r="CR34" s="143"/>
      <c r="CS34" s="143"/>
      <c r="CT34" s="143"/>
      <c r="CU34" s="143"/>
      <c r="CV34" s="6"/>
      <c r="DB34" s="6"/>
      <c r="DC34" s="6"/>
      <c r="DD34" s="6"/>
      <c r="DE34" s="6"/>
      <c r="DF34" s="6"/>
      <c r="DG34" s="6"/>
      <c r="DH34" s="6"/>
      <c r="DI34" s="6"/>
      <c r="DJ34" s="6"/>
      <c r="DK34" s="150"/>
      <c r="DL34" s="6"/>
      <c r="DM34" s="6"/>
      <c r="DN34" s="19"/>
      <c r="DO34" s="19"/>
      <c r="DP34" s="19"/>
      <c r="DQ34" s="19"/>
      <c r="DR34" s="19"/>
      <c r="DS34" s="19"/>
      <c r="DT34" s="19"/>
      <c r="DU34" s="19"/>
      <c r="DV34" s="19"/>
      <c r="DW34" s="19"/>
      <c r="DX34" s="19"/>
      <c r="DY34" s="19"/>
    </row>
    <row r="35" spans="1:130" ht="12.6" customHeight="1">
      <c r="A35" s="660"/>
      <c r="B35" s="174"/>
      <c r="C35" s="760"/>
      <c r="D35" s="761"/>
      <c r="E35" s="762"/>
      <c r="F35" s="762"/>
      <c r="G35" s="762"/>
      <c r="H35" s="762"/>
      <c r="I35" s="763"/>
      <c r="J35" s="765"/>
      <c r="K35" s="765"/>
      <c r="L35" s="763"/>
      <c r="M35" s="763"/>
      <c r="N35" s="763"/>
      <c r="O35" s="753"/>
      <c r="P35" s="767"/>
      <c r="Q35" s="767"/>
      <c r="R35" s="768"/>
      <c r="CK35" s="6"/>
      <c r="CL35" s="6"/>
      <c r="CM35" s="6"/>
      <c r="CN35" s="143"/>
      <c r="CO35" s="143"/>
      <c r="CP35" s="143"/>
      <c r="CQ35" s="143"/>
      <c r="CR35" s="143"/>
      <c r="CS35" s="143"/>
      <c r="CT35" s="143"/>
      <c r="CU35" s="143"/>
      <c r="CV35" s="6"/>
      <c r="DB35" s="6"/>
      <c r="DC35" s="6"/>
      <c r="DD35" s="6"/>
      <c r="DE35" s="6"/>
      <c r="DF35" s="6"/>
      <c r="DG35" s="6"/>
      <c r="DH35" s="6"/>
      <c r="DI35" s="6"/>
      <c r="DJ35" s="6"/>
      <c r="DK35" s="150"/>
      <c r="DL35" s="6"/>
      <c r="DM35" s="6"/>
      <c r="DN35" s="19"/>
      <c r="DO35" s="19"/>
      <c r="DP35" s="19"/>
      <c r="DQ35" s="19"/>
      <c r="DR35" s="19"/>
      <c r="DS35" s="19"/>
      <c r="DT35" s="19"/>
      <c r="DU35" s="19"/>
      <c r="DV35" s="19"/>
      <c r="DW35" s="19"/>
      <c r="DX35" s="19"/>
      <c r="DY35" s="19"/>
    </row>
    <row r="36" spans="1:130" s="16" customFormat="1" ht="12.6" customHeight="1" thickBot="1">
      <c r="A36" s="661"/>
      <c r="B36" s="174"/>
      <c r="C36" s="174"/>
      <c r="D36" s="179"/>
      <c r="E36" s="212" t="s">
        <v>208</v>
      </c>
      <c r="F36" s="388">
        <f>SUM(F31:F35)</f>
        <v>0</v>
      </c>
      <c r="G36" s="21"/>
      <c r="H36" s="388">
        <f>SUM(H31:H35)</f>
        <v>0</v>
      </c>
      <c r="I36" s="388">
        <f>SUM(I31:I35)</f>
        <v>0</v>
      </c>
      <c r="J36" s="389">
        <f>SUM(J31:J35)</f>
        <v>0</v>
      </c>
      <c r="K36" s="21"/>
      <c r="L36" s="388">
        <f>SUM(L31:L35)</f>
        <v>0</v>
      </c>
      <c r="M36" s="388">
        <f>SUM(M31:M35)</f>
        <v>0</v>
      </c>
      <c r="N36" s="388">
        <f>SUM(N31:N35)</f>
        <v>0</v>
      </c>
      <c r="O36" s="388">
        <f>M36-N36</f>
        <v>0</v>
      </c>
      <c r="P36" s="389">
        <f>IF(N36&lt;&gt;0,O36/N36,1)</f>
        <v>1</v>
      </c>
      <c r="Q36" s="177"/>
      <c r="R36" s="213"/>
      <c r="S36" s="174"/>
      <c r="CK36" s="6"/>
      <c r="CL36" s="6"/>
      <c r="CM36" s="6"/>
      <c r="CN36" s="143"/>
      <c r="CO36" s="143"/>
      <c r="CP36" s="143"/>
      <c r="CQ36" s="143"/>
      <c r="CR36" s="143"/>
      <c r="CS36" s="143"/>
      <c r="CT36" s="143"/>
      <c r="CU36" s="143"/>
      <c r="CV36" s="6"/>
      <c r="CW36" s="143"/>
      <c r="CX36" s="143"/>
      <c r="CY36" s="143"/>
      <c r="CZ36" s="143"/>
      <c r="DA36" s="143"/>
      <c r="DB36" s="6"/>
      <c r="DC36" s="6"/>
      <c r="DD36" s="6"/>
      <c r="DE36" s="6"/>
      <c r="DF36" s="6"/>
      <c r="DG36" s="6"/>
      <c r="DH36" s="6"/>
      <c r="DI36" s="6"/>
      <c r="DJ36" s="6"/>
      <c r="DK36" s="150"/>
      <c r="DL36" s="6"/>
      <c r="DM36" s="6"/>
    </row>
    <row r="37" spans="1:130" s="16" customFormat="1" ht="12.6" customHeight="1" thickTop="1">
      <c r="A37" s="661"/>
      <c r="B37" s="174"/>
      <c r="C37" s="174"/>
      <c r="D37" s="179"/>
      <c r="E37" s="175"/>
      <c r="F37" s="131" t="s">
        <v>105</v>
      </c>
      <c r="G37" s="179"/>
      <c r="H37" s="131" t="s">
        <v>105</v>
      </c>
      <c r="I37" s="131" t="s">
        <v>105</v>
      </c>
      <c r="J37" s="186" t="s">
        <v>200</v>
      </c>
      <c r="K37" s="180"/>
      <c r="L37" s="131" t="s">
        <v>105</v>
      </c>
      <c r="M37" s="131" t="s">
        <v>105</v>
      </c>
      <c r="N37" s="131" t="s">
        <v>105</v>
      </c>
      <c r="O37" s="193"/>
      <c r="P37" s="183"/>
      <c r="Q37" s="183"/>
      <c r="R37" s="184"/>
      <c r="S37" s="19"/>
      <c r="T37" s="174"/>
      <c r="CL37" s="6"/>
      <c r="CM37" s="6"/>
      <c r="CN37" s="6"/>
      <c r="CO37" s="143"/>
      <c r="CP37" s="143"/>
      <c r="CQ37" s="143"/>
      <c r="CR37" s="143"/>
      <c r="CS37" s="143"/>
      <c r="CT37" s="143"/>
      <c r="CU37" s="143"/>
      <c r="CV37" s="143"/>
      <c r="CW37" s="6"/>
      <c r="CX37" s="143"/>
      <c r="CY37" s="143"/>
      <c r="CZ37" s="143"/>
      <c r="DA37" s="143"/>
      <c r="DB37" s="143"/>
      <c r="DC37" s="6"/>
      <c r="DD37" s="6"/>
      <c r="DE37" s="6"/>
      <c r="DF37" s="6"/>
      <c r="DG37" s="6"/>
      <c r="DH37" s="6"/>
      <c r="DI37" s="6"/>
      <c r="DJ37" s="6"/>
      <c r="DK37" s="6"/>
      <c r="DL37" s="150"/>
      <c r="DM37" s="6"/>
      <c r="DN37" s="6"/>
    </row>
    <row r="38" spans="1:130" s="16" customFormat="1" ht="12.6" customHeight="1">
      <c r="A38" s="661"/>
      <c r="B38" s="174"/>
      <c r="C38" s="174"/>
      <c r="D38" s="179"/>
      <c r="F38" s="181"/>
      <c r="G38" s="179"/>
      <c r="H38" s="185" t="s">
        <v>91</v>
      </c>
      <c r="I38" s="181"/>
      <c r="J38" s="186"/>
      <c r="K38" s="181"/>
      <c r="M38" s="181"/>
      <c r="N38" s="181"/>
      <c r="O38" s="181"/>
      <c r="P38" s="182"/>
      <c r="Q38" s="182"/>
      <c r="R38" s="184"/>
      <c r="S38" s="19"/>
      <c r="T38" s="174"/>
      <c r="CL38" s="6"/>
      <c r="CM38" s="6"/>
      <c r="CN38" s="6"/>
      <c r="CO38" s="143"/>
      <c r="CP38" s="143"/>
      <c r="CQ38" s="143"/>
      <c r="CR38" s="143"/>
      <c r="CS38" s="143"/>
      <c r="CT38" s="143"/>
      <c r="CU38" s="143"/>
      <c r="CV38" s="143"/>
      <c r="CW38" s="6"/>
      <c r="CX38" s="143"/>
      <c r="CY38" s="143"/>
      <c r="CZ38" s="143"/>
      <c r="DA38" s="143"/>
      <c r="DB38" s="143"/>
      <c r="DC38" s="6"/>
      <c r="DD38" s="6"/>
      <c r="DE38" s="6"/>
      <c r="DF38" s="6"/>
      <c r="DG38" s="6"/>
      <c r="DH38" s="6"/>
      <c r="DI38" s="6"/>
      <c r="DJ38" s="6"/>
      <c r="DK38" s="6"/>
      <c r="DL38" s="150"/>
      <c r="DM38" s="6"/>
      <c r="DN38" s="6"/>
    </row>
    <row r="39" spans="1:130" s="16" customFormat="1" ht="12.6" customHeight="1">
      <c r="A39" s="661"/>
      <c r="B39" s="27"/>
      <c r="C39" s="174"/>
      <c r="D39" s="179"/>
      <c r="F39" s="188"/>
      <c r="G39" s="179"/>
      <c r="H39" s="187" t="s">
        <v>201</v>
      </c>
      <c r="I39" s="188">
        <f>I36-I38</f>
        <v>0</v>
      </c>
      <c r="J39" s="189"/>
      <c r="K39" s="181"/>
      <c r="M39" s="188">
        <f>M36-M38</f>
        <v>0</v>
      </c>
      <c r="N39" s="188">
        <f>N36-N38</f>
        <v>0</v>
      </c>
      <c r="O39" s="181"/>
      <c r="P39" s="182"/>
      <c r="Q39" s="174"/>
      <c r="R39" s="174"/>
      <c r="CJ39" s="6"/>
      <c r="CK39" s="6"/>
      <c r="CL39" s="6"/>
      <c r="CM39" s="143"/>
      <c r="CN39" s="143"/>
      <c r="CO39" s="143"/>
      <c r="CP39" s="143"/>
      <c r="CQ39" s="143"/>
      <c r="CR39" s="143"/>
      <c r="CS39" s="143"/>
      <c r="CT39" s="143"/>
      <c r="CU39" s="6"/>
      <c r="CV39" s="143"/>
      <c r="CW39" s="143"/>
      <c r="CX39" s="143"/>
      <c r="CY39" s="143"/>
      <c r="CZ39" s="143"/>
      <c r="DA39" s="6"/>
      <c r="DB39" s="6"/>
      <c r="DC39" s="6"/>
      <c r="DD39" s="6"/>
      <c r="DE39" s="6"/>
      <c r="DF39" s="6"/>
      <c r="DG39" s="6"/>
      <c r="DH39" s="6"/>
      <c r="DI39" s="6"/>
      <c r="DJ39" s="150"/>
      <c r="DK39" s="6"/>
      <c r="DL39" s="6"/>
    </row>
    <row r="40" spans="1:130" s="29" customFormat="1" ht="12.6" customHeight="1">
      <c r="A40" s="673"/>
      <c r="C40" s="8"/>
      <c r="H40" s="268"/>
      <c r="K40" s="268"/>
      <c r="L40" s="268"/>
      <c r="M40" s="268"/>
      <c r="O40" s="269"/>
      <c r="P40" s="269"/>
      <c r="Q40" s="269"/>
      <c r="R40" s="269"/>
      <c r="U40" s="269"/>
      <c r="V40" s="269"/>
      <c r="W40" s="269"/>
      <c r="X40" s="269"/>
      <c r="Y40" s="269"/>
      <c r="Z40" s="269"/>
      <c r="AC40" s="269"/>
      <c r="AF40" s="270"/>
      <c r="AG40" s="270"/>
      <c r="AH40" s="270"/>
      <c r="AI40" s="270"/>
      <c r="AJ40" s="270"/>
      <c r="AK40" s="270"/>
      <c r="AL40" s="271"/>
      <c r="AM40" s="271"/>
      <c r="AN40" s="271"/>
      <c r="AO40" s="271"/>
      <c r="AP40" s="271"/>
      <c r="AQ40" s="271"/>
      <c r="CX40" s="6"/>
      <c r="CY40" s="6"/>
      <c r="CZ40" s="6"/>
      <c r="DA40" s="143"/>
      <c r="DB40" s="143"/>
      <c r="DC40" s="143"/>
      <c r="DD40" s="143"/>
      <c r="DE40" s="143"/>
      <c r="DF40" s="143"/>
      <c r="DG40" s="143"/>
      <c r="DH40" s="143"/>
      <c r="DI40" s="6"/>
      <c r="DJ40" s="143"/>
      <c r="DK40" s="143"/>
      <c r="DL40" s="143"/>
      <c r="DM40" s="143"/>
      <c r="DN40" s="143"/>
      <c r="DO40" s="6"/>
      <c r="DP40" s="6"/>
      <c r="DQ40" s="6"/>
      <c r="DR40" s="6"/>
      <c r="DS40" s="6"/>
      <c r="DT40" s="6"/>
      <c r="DU40" s="6"/>
      <c r="DV40" s="6"/>
      <c r="DW40" s="6"/>
      <c r="DX40" s="150"/>
      <c r="DY40" s="6"/>
      <c r="DZ40" s="6"/>
    </row>
    <row r="41" spans="1:130" s="13" customFormat="1" ht="13.35" customHeight="1" thickBot="1">
      <c r="A41" s="663"/>
      <c r="B41" s="88" t="s">
        <v>155</v>
      </c>
      <c r="C41" s="13" t="s">
        <v>189</v>
      </c>
      <c r="G41" s="137"/>
      <c r="H41" s="138"/>
      <c r="I41" s="137"/>
      <c r="J41" s="137"/>
      <c r="CV41" s="62"/>
      <c r="CW41" s="62"/>
      <c r="CX41" s="62"/>
      <c r="CY41" s="62"/>
      <c r="CZ41" s="62"/>
      <c r="DA41" s="62"/>
      <c r="DB41" s="62"/>
      <c r="DE41" s="62"/>
      <c r="DF41" s="62"/>
      <c r="DG41" s="62"/>
      <c r="DH41" s="62"/>
      <c r="DI41" s="62"/>
      <c r="DS41" s="69"/>
    </row>
    <row r="42" spans="1:130" s="17" customFormat="1" ht="12.6" customHeight="1">
      <c r="A42" s="664"/>
      <c r="C42" s="828"/>
      <c r="D42" s="829"/>
      <c r="E42" s="829"/>
      <c r="F42" s="829"/>
      <c r="G42" s="830"/>
      <c r="H42" s="139"/>
      <c r="I42" s="139"/>
      <c r="J42" s="139"/>
      <c r="CN42" s="13"/>
      <c r="CO42" s="13"/>
      <c r="CP42" s="13"/>
      <c r="CQ42" s="62"/>
      <c r="CR42" s="62"/>
      <c r="CS42" s="62"/>
      <c r="CT42" s="62"/>
      <c r="CU42" s="62"/>
      <c r="CV42" s="62"/>
      <c r="CW42" s="62"/>
      <c r="CX42" s="13"/>
      <c r="CY42" s="13"/>
      <c r="CZ42" s="62"/>
      <c r="DA42" s="62"/>
      <c r="DB42" s="62"/>
      <c r="DC42" s="62"/>
      <c r="DD42" s="62"/>
      <c r="DE42" s="13"/>
      <c r="DF42" s="13"/>
      <c r="DG42" s="13"/>
      <c r="DH42" s="13"/>
      <c r="DI42" s="13"/>
      <c r="DJ42" s="13"/>
      <c r="DK42" s="13"/>
      <c r="DL42" s="13"/>
      <c r="DM42" s="13"/>
      <c r="DN42" s="69"/>
      <c r="DO42" s="13"/>
      <c r="DP42" s="13"/>
    </row>
    <row r="43" spans="1:130" s="17" customFormat="1" ht="12.6" customHeight="1">
      <c r="A43" s="665"/>
      <c r="C43" s="831"/>
      <c r="D43" s="832"/>
      <c r="E43" s="832"/>
      <c r="F43" s="832"/>
      <c r="G43" s="833"/>
      <c r="H43" s="139"/>
      <c r="I43" s="139"/>
      <c r="J43" s="139"/>
      <c r="CN43" s="13"/>
      <c r="CO43" s="13"/>
      <c r="CP43" s="13"/>
      <c r="CQ43" s="62"/>
      <c r="CR43" s="62"/>
      <c r="CS43" s="62"/>
      <c r="CT43" s="62"/>
      <c r="CU43" s="62"/>
      <c r="CV43" s="62"/>
      <c r="CW43" s="62"/>
      <c r="CX43" s="13"/>
      <c r="CY43" s="13"/>
      <c r="CZ43" s="62"/>
      <c r="DA43" s="62"/>
      <c r="DB43" s="62"/>
      <c r="DC43" s="62"/>
      <c r="DD43" s="62"/>
      <c r="DE43" s="13"/>
      <c r="DF43" s="13"/>
      <c r="DG43" s="13"/>
      <c r="DH43" s="13"/>
      <c r="DI43" s="13"/>
      <c r="DJ43" s="13"/>
      <c r="DK43" s="13"/>
      <c r="DL43" s="13"/>
      <c r="DM43" s="13"/>
      <c r="DN43" s="69"/>
      <c r="DO43" s="13"/>
      <c r="DP43" s="13"/>
    </row>
    <row r="44" spans="1:130" s="17" customFormat="1" ht="12.6" customHeight="1" thickBot="1">
      <c r="A44" s="665"/>
      <c r="C44" s="834"/>
      <c r="D44" s="835"/>
      <c r="E44" s="835"/>
      <c r="F44" s="835"/>
      <c r="G44" s="836"/>
      <c r="H44" s="139"/>
      <c r="I44" s="139"/>
      <c r="J44" s="139"/>
      <c r="CN44" s="13"/>
      <c r="CO44" s="13"/>
      <c r="CP44" s="13"/>
      <c r="CQ44" s="62"/>
      <c r="CR44" s="62"/>
      <c r="CS44" s="62"/>
      <c r="CT44" s="62"/>
      <c r="CU44" s="62"/>
      <c r="CV44" s="62"/>
      <c r="CW44" s="62"/>
      <c r="CX44" s="13"/>
      <c r="CY44" s="13"/>
      <c r="CZ44" s="62"/>
      <c r="DA44" s="62"/>
      <c r="DB44" s="62"/>
      <c r="DC44" s="62"/>
      <c r="DD44" s="62"/>
      <c r="DE44" s="13"/>
      <c r="DF44" s="13"/>
      <c r="DG44" s="13"/>
      <c r="DH44" s="13"/>
      <c r="DI44" s="13"/>
      <c r="DJ44" s="13"/>
      <c r="DK44" s="13"/>
      <c r="DL44" s="13"/>
      <c r="DM44" s="13"/>
      <c r="DN44" s="13"/>
      <c r="DO44" s="13"/>
      <c r="DP44" s="13"/>
    </row>
    <row r="45" spans="1:130" ht="12.6" customHeight="1">
      <c r="A45" s="660"/>
    </row>
    <row r="46" spans="1:130" ht="12.6" customHeight="1">
      <c r="A46" s="660"/>
    </row>
    <row r="47" spans="1:130" ht="12.6" customHeight="1">
      <c r="A47" s="540"/>
    </row>
    <row r="48" spans="1:130" ht="12.6" customHeight="1">
      <c r="A48" s="540"/>
      <c r="B48" s="21" t="s">
        <v>292</v>
      </c>
      <c r="C48" s="140" t="s">
        <v>346</v>
      </c>
    </row>
  </sheetData>
  <dataConsolidate/>
  <mergeCells count="13">
    <mergeCell ref="C42:G44"/>
    <mergeCell ref="L5:L6"/>
    <mergeCell ref="M5:M6"/>
    <mergeCell ref="N5:N6"/>
    <mergeCell ref="O5:O6"/>
    <mergeCell ref="D9:F9"/>
    <mergeCell ref="D8:F8"/>
    <mergeCell ref="D14:F14"/>
    <mergeCell ref="D13:F13"/>
    <mergeCell ref="D12:F12"/>
    <mergeCell ref="D11:F11"/>
    <mergeCell ref="D10:F10"/>
    <mergeCell ref="C19:G21"/>
  </mergeCells>
  <phoneticPr fontId="136" type="noConversion"/>
  <conditionalFormatting sqref="G9:I14 C19:G21 D24 C29:F29 N29 C32:F34 N32:N34 I38 M38:N38 C42:G44">
    <cfRule type="containsBlanks" dxfId="3" priority="1">
      <formula>LEN(TRIM(C9))=0</formula>
    </cfRule>
  </conditionalFormatting>
  <dataValidations count="2">
    <dataValidation type="list" allowBlank="1" showInputMessage="1" sqref="H9:H14" xr:uid="{1E965288-FF5D-4ED0-A36A-5E09D33C6949}">
      <formula1>"是,否"</formula1>
    </dataValidation>
    <dataValidation type="list" allowBlank="1" showInputMessage="1" sqref="I9:I14" xr:uid="{F08BB42F-52D5-460B-B473-4EBC06000466}">
      <formula1>"是,不适用"</formula1>
    </dataValidation>
  </dataValidations>
  <hyperlinks>
    <hyperlink ref="J2" location="汇总!A1" display="返回汇总页" xr:uid="{00000000-0004-0000-1000-000000000000}"/>
  </hyperlinks>
  <pageMargins left="0.74791660000000004" right="0.74791660000000004" top="0.98402780000000001" bottom="0.98402780000000001" header="0.51180550000000002" footer="0.51180550000000002"/>
  <pageSetup paperSize="9" orientation="portrait" errors="blank"/>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4"/>
  <dimension ref="A1:DX49"/>
  <sheetViews>
    <sheetView showGridLines="0" zoomScale="70" zoomScaleNormal="70" workbookViewId="0">
      <selection activeCell="P38" sqref="P38"/>
    </sheetView>
  </sheetViews>
  <sheetFormatPr defaultColWidth="9.5703125" defaultRowHeight="12.75" customHeight="1" outlineLevelRow="1" outlineLevelCol="1"/>
  <cols>
    <col min="1" max="1" width="0.140625" style="164" customWidth="1"/>
    <col min="2" max="2" width="5.42578125" style="19" customWidth="1"/>
    <col min="3" max="3" width="18.28515625" style="19" customWidth="1"/>
    <col min="4" max="4" width="39.5703125" style="19" customWidth="1"/>
    <col min="5" max="6" width="20.5703125" style="19" customWidth="1"/>
    <col min="7" max="7" width="17.28515625" style="19" customWidth="1"/>
    <col min="8" max="8" width="19.42578125" style="19" customWidth="1"/>
    <col min="9" max="9" width="18.5703125" style="19" customWidth="1"/>
    <col min="10" max="10" width="19.140625" style="19" customWidth="1"/>
    <col min="11" max="11" width="19.140625" style="19" customWidth="1" outlineLevel="1"/>
    <col min="12" max="12" width="13.28515625" style="19" customWidth="1" outlineLevel="1"/>
    <col min="13" max="13" width="15.28515625" style="19" customWidth="1"/>
    <col min="14" max="14" width="14" style="19" customWidth="1"/>
    <col min="15" max="16" width="14.28515625" style="19" customWidth="1"/>
    <col min="17" max="18" width="12" style="19" customWidth="1"/>
    <col min="19" max="19" width="23.28515625" style="19" customWidth="1"/>
    <col min="20" max="20" width="15.140625" style="19" customWidth="1"/>
    <col min="21" max="25" width="8.7109375" style="19" customWidth="1"/>
    <col min="26" max="27" width="10.42578125" style="19" customWidth="1"/>
    <col min="28" max="28" width="8.7109375" style="19" customWidth="1"/>
    <col min="29" max="29" width="9.5703125" style="19"/>
    <col min="30" max="30" width="7.7109375" style="19" customWidth="1"/>
    <col min="31" max="32" width="13.28515625" style="19" customWidth="1"/>
    <col min="33" max="33" width="10.42578125" style="19" customWidth="1"/>
    <col min="34" max="34" width="11.7109375" style="19" customWidth="1"/>
    <col min="35" max="35" width="7.5703125" style="19" customWidth="1"/>
    <col min="36" max="36" width="8.85546875" style="19" customWidth="1"/>
    <col min="37" max="16384" width="9.5703125" style="19"/>
  </cols>
  <sheetData>
    <row r="1" spans="1:128" ht="12.75" customHeight="1">
      <c r="A1" s="540" t="s">
        <v>347</v>
      </c>
    </row>
    <row r="2" spans="1:128" s="9" customFormat="1" ht="13.5" customHeight="1">
      <c r="A2" s="539"/>
      <c r="C2" s="473"/>
      <c r="J2" s="48" t="s">
        <v>108</v>
      </c>
    </row>
    <row r="3" spans="1:128" ht="12.6" customHeight="1" thickBot="1">
      <c r="A3" s="540"/>
      <c r="CR3" s="143"/>
      <c r="CS3" s="6"/>
      <c r="CT3" s="6"/>
      <c r="CU3" s="143"/>
      <c r="CV3" s="143"/>
      <c r="CW3" s="143"/>
      <c r="CX3" s="143"/>
      <c r="CY3" s="143"/>
      <c r="CZ3" s="143"/>
      <c r="DA3" s="143"/>
      <c r="DB3" s="143"/>
      <c r="DC3" s="6"/>
      <c r="DD3" s="143"/>
      <c r="DE3" s="143"/>
      <c r="DF3" s="143"/>
      <c r="DG3" s="143"/>
      <c r="DH3" s="143"/>
      <c r="DI3" s="6"/>
      <c r="DJ3" s="6"/>
      <c r="DK3" s="6"/>
      <c r="DL3" s="6"/>
      <c r="DM3" s="6"/>
      <c r="DN3" s="6"/>
      <c r="DO3" s="6"/>
      <c r="DP3" s="6"/>
      <c r="DQ3" s="6"/>
      <c r="DR3" s="150"/>
      <c r="DS3" s="143"/>
      <c r="DT3" s="149"/>
    </row>
    <row r="4" spans="1:128" ht="21">
      <c r="A4" s="540"/>
      <c r="C4" s="757" t="s">
        <v>159</v>
      </c>
      <c r="D4" s="758"/>
      <c r="E4" s="758"/>
      <c r="F4" s="758"/>
      <c r="G4" s="758"/>
      <c r="H4" s="758"/>
      <c r="I4" s="758"/>
      <c r="J4" s="759"/>
      <c r="K4" s="151"/>
      <c r="L4" s="151"/>
      <c r="M4" s="151"/>
      <c r="CT4" s="6"/>
      <c r="CU4" s="6"/>
      <c r="CV4" s="6"/>
      <c r="CW4" s="143"/>
      <c r="CX4" s="143"/>
      <c r="CY4" s="143"/>
      <c r="CZ4" s="143"/>
      <c r="DA4" s="143"/>
      <c r="DB4" s="143"/>
      <c r="DC4" s="143"/>
      <c r="DD4" s="143"/>
      <c r="DE4" s="6"/>
      <c r="DF4" s="143"/>
      <c r="DG4" s="143"/>
      <c r="DH4" s="143"/>
      <c r="DI4" s="143"/>
      <c r="DJ4" s="143"/>
      <c r="DK4" s="6"/>
      <c r="DL4" s="6"/>
      <c r="DM4" s="6"/>
      <c r="DN4" s="6"/>
      <c r="DO4" s="6"/>
      <c r="DP4" s="6"/>
      <c r="DQ4" s="6"/>
      <c r="DR4" s="6"/>
      <c r="DS4" s="6"/>
      <c r="DT4" s="150"/>
      <c r="DU4" s="6"/>
      <c r="DV4" s="6"/>
    </row>
    <row r="5" spans="1:128" ht="20.25" customHeight="1">
      <c r="A5" s="540"/>
      <c r="C5" s="49" t="s">
        <v>348</v>
      </c>
      <c r="D5" s="152"/>
      <c r="E5" s="152"/>
      <c r="F5" s="152"/>
      <c r="G5" s="152"/>
      <c r="H5" s="152"/>
      <c r="I5" s="152"/>
      <c r="J5" s="153"/>
      <c r="K5" s="151"/>
      <c r="L5" s="843"/>
      <c r="M5" s="843"/>
      <c r="N5" s="843"/>
      <c r="O5" s="842"/>
      <c r="CT5" s="6"/>
      <c r="CU5" s="6"/>
      <c r="CV5" s="154"/>
      <c r="CW5" s="143"/>
      <c r="CX5" s="143"/>
      <c r="CY5" s="143"/>
      <c r="CZ5" s="143"/>
      <c r="DA5" s="143"/>
      <c r="DB5" s="143"/>
      <c r="DC5" s="143"/>
      <c r="DD5" s="143"/>
      <c r="DE5" s="6"/>
      <c r="DF5" s="143"/>
      <c r="DG5" s="143"/>
      <c r="DH5" s="143"/>
      <c r="DI5" s="143"/>
      <c r="DJ5" s="143"/>
      <c r="DK5" s="6"/>
      <c r="DL5" s="6"/>
      <c r="DM5" s="6"/>
      <c r="DN5" s="6"/>
      <c r="DO5" s="6"/>
      <c r="DP5" s="6"/>
      <c r="DQ5" s="6"/>
      <c r="DR5" s="6"/>
      <c r="DS5" s="6"/>
      <c r="DT5" s="150"/>
      <c r="DU5" s="6"/>
      <c r="DV5" s="6"/>
    </row>
    <row r="6" spans="1:128" ht="20.25" customHeight="1">
      <c r="A6" s="540"/>
      <c r="C6" s="49" t="s">
        <v>194</v>
      </c>
      <c r="D6" s="152"/>
      <c r="E6" s="152"/>
      <c r="F6" s="152"/>
      <c r="G6" s="152"/>
      <c r="H6" s="152"/>
      <c r="I6" s="152"/>
      <c r="J6" s="153"/>
      <c r="K6" s="151"/>
      <c r="L6" s="843"/>
      <c r="M6" s="843"/>
      <c r="N6" s="843"/>
      <c r="O6" s="842"/>
      <c r="CT6" s="6"/>
      <c r="CU6" s="154"/>
      <c r="CV6" s="154"/>
      <c r="CW6" s="143"/>
      <c r="CX6" s="143"/>
      <c r="CY6" s="143"/>
      <c r="CZ6" s="143"/>
      <c r="DA6" s="143"/>
      <c r="DB6" s="143"/>
      <c r="DC6" s="143"/>
      <c r="DD6" s="143"/>
      <c r="DE6" s="154"/>
      <c r="DF6" s="143"/>
      <c r="DG6" s="143"/>
      <c r="DH6" s="143"/>
      <c r="DI6" s="143"/>
      <c r="DJ6" s="143"/>
      <c r="DK6" s="154"/>
      <c r="DL6" s="6"/>
      <c r="DM6" s="6"/>
      <c r="DN6" s="6"/>
      <c r="DO6" s="6"/>
      <c r="DP6" s="6"/>
      <c r="DQ6" s="154"/>
      <c r="DR6" s="154"/>
      <c r="DS6" s="154"/>
      <c r="DT6" s="155"/>
      <c r="DU6" s="6"/>
      <c r="DV6" s="6"/>
    </row>
    <row r="7" spans="1:128" ht="12.6" customHeight="1">
      <c r="A7" s="540"/>
      <c r="C7" s="49"/>
      <c r="D7" s="152"/>
      <c r="E7" s="152"/>
      <c r="F7" s="152"/>
      <c r="G7" s="152"/>
      <c r="H7" s="152"/>
      <c r="I7" s="152"/>
      <c r="J7" s="153"/>
      <c r="K7" s="151"/>
      <c r="L7" s="353"/>
      <c r="M7" s="156"/>
      <c r="N7" s="156"/>
      <c r="O7" s="156"/>
      <c r="CT7" s="6"/>
      <c r="CU7" s="154"/>
      <c r="CV7" s="154"/>
      <c r="CW7" s="143"/>
      <c r="CX7" s="143"/>
      <c r="CY7" s="143"/>
      <c r="CZ7" s="143"/>
      <c r="DA7" s="143"/>
      <c r="DB7" s="143"/>
      <c r="DC7" s="143"/>
      <c r="DD7" s="143"/>
      <c r="DE7" s="154"/>
      <c r="DF7" s="143"/>
      <c r="DG7" s="143"/>
      <c r="DH7" s="143"/>
      <c r="DI7" s="143"/>
      <c r="DJ7" s="143"/>
      <c r="DK7" s="154"/>
      <c r="DL7" s="6"/>
      <c r="DM7" s="6"/>
      <c r="DN7" s="6"/>
      <c r="DO7" s="6"/>
      <c r="DP7" s="6"/>
      <c r="DQ7" s="154"/>
      <c r="DR7" s="154"/>
      <c r="DS7" s="154"/>
      <c r="DT7" s="155"/>
      <c r="DU7" s="6"/>
      <c r="DV7" s="6"/>
    </row>
    <row r="8" spans="1:128" ht="28.5" customHeight="1">
      <c r="A8" s="540"/>
      <c r="C8" s="513" t="s">
        <v>111</v>
      </c>
      <c r="D8" s="845" t="s">
        <v>112</v>
      </c>
      <c r="E8" s="845"/>
      <c r="F8" s="845"/>
      <c r="G8" s="157" t="s">
        <v>113</v>
      </c>
      <c r="H8" s="507" t="s">
        <v>114</v>
      </c>
      <c r="I8" s="507" t="s">
        <v>115</v>
      </c>
      <c r="J8" s="514" t="s">
        <v>116</v>
      </c>
      <c r="K8" s="158"/>
      <c r="L8" s="151"/>
      <c r="M8" s="151"/>
      <c r="N8" s="151"/>
      <c r="CU8" s="7"/>
      <c r="CV8" s="7"/>
      <c r="CW8" s="7"/>
      <c r="CX8" s="143"/>
      <c r="CY8" s="143"/>
      <c r="CZ8" s="143"/>
      <c r="DA8" s="143"/>
      <c r="DB8" s="143"/>
      <c r="DC8" s="143"/>
      <c r="DD8" s="143"/>
      <c r="DE8" s="143"/>
      <c r="DF8" s="7"/>
      <c r="DG8" s="143"/>
      <c r="DH8" s="143"/>
      <c r="DI8" s="143"/>
      <c r="DJ8" s="143"/>
      <c r="DK8" s="143"/>
      <c r="DL8" s="7"/>
      <c r="DM8" s="154"/>
      <c r="DN8" s="154"/>
      <c r="DO8" s="154"/>
      <c r="DP8" s="154"/>
      <c r="DQ8" s="154"/>
      <c r="DR8" s="7"/>
      <c r="DS8" s="7"/>
      <c r="DT8" s="7"/>
      <c r="DU8" s="155"/>
      <c r="DV8" s="7"/>
      <c r="DW8" s="159"/>
    </row>
    <row r="9" spans="1:128" ht="21" outlineLevel="1">
      <c r="A9" s="660"/>
      <c r="C9" s="515">
        <v>1</v>
      </c>
      <c r="D9" s="844" t="s">
        <v>349</v>
      </c>
      <c r="E9" s="844"/>
      <c r="F9" s="844"/>
      <c r="G9" s="560" t="s">
        <v>163</v>
      </c>
      <c r="H9" s="508" t="s">
        <v>119</v>
      </c>
      <c r="I9" s="509"/>
      <c r="J9" s="516"/>
      <c r="K9" s="158"/>
      <c r="L9" s="158"/>
      <c r="M9" s="160"/>
      <c r="N9" s="160"/>
      <c r="O9" s="160"/>
      <c r="CV9" s="154"/>
      <c r="CW9" s="7"/>
      <c r="CX9" s="154"/>
      <c r="CY9" s="143"/>
      <c r="CZ9" s="143"/>
      <c r="DA9" s="143"/>
      <c r="DB9" s="143"/>
      <c r="DC9" s="143"/>
      <c r="DD9" s="143"/>
      <c r="DE9" s="143"/>
      <c r="DF9" s="143"/>
      <c r="DG9" s="7"/>
      <c r="DH9" s="143"/>
      <c r="DI9" s="143"/>
      <c r="DJ9" s="143"/>
      <c r="DK9" s="143"/>
      <c r="DL9" s="143"/>
      <c r="DM9" s="7"/>
      <c r="DN9" s="7"/>
      <c r="DO9" s="7"/>
      <c r="DP9" s="7"/>
      <c r="DQ9" s="7"/>
      <c r="DR9" s="7"/>
      <c r="DS9" s="7"/>
      <c r="DT9" s="7"/>
      <c r="DU9" s="7"/>
      <c r="DV9" s="155"/>
      <c r="DW9" s="154"/>
      <c r="DX9" s="8"/>
    </row>
    <row r="10" spans="1:128" ht="60.75" customHeight="1" outlineLevel="1">
      <c r="A10" s="660"/>
      <c r="C10" s="515">
        <v>2</v>
      </c>
      <c r="D10" s="844" t="s">
        <v>164</v>
      </c>
      <c r="E10" s="844"/>
      <c r="F10" s="844"/>
      <c r="G10" s="560" t="s">
        <v>163</v>
      </c>
      <c r="H10" s="508" t="s">
        <v>119</v>
      </c>
      <c r="I10" s="509"/>
      <c r="J10" s="516"/>
      <c r="K10" s="158"/>
      <c r="L10" s="158"/>
      <c r="M10" s="160"/>
      <c r="N10" s="160"/>
      <c r="O10" s="160"/>
      <c r="CV10" s="154"/>
      <c r="CW10" s="7"/>
      <c r="CX10" s="154"/>
      <c r="CY10" s="143"/>
      <c r="CZ10" s="143"/>
      <c r="DA10" s="143"/>
      <c r="DB10" s="143"/>
      <c r="DC10" s="143"/>
      <c r="DD10" s="143"/>
      <c r="DE10" s="143"/>
      <c r="DF10" s="143"/>
      <c r="DG10" s="7"/>
      <c r="DH10" s="143"/>
      <c r="DI10" s="143"/>
      <c r="DJ10" s="143"/>
      <c r="DK10" s="143"/>
      <c r="DL10" s="143"/>
      <c r="DM10" s="7"/>
      <c r="DN10" s="7"/>
      <c r="DO10" s="7"/>
      <c r="DP10" s="7"/>
      <c r="DQ10" s="7"/>
      <c r="DR10" s="7"/>
      <c r="DS10" s="7"/>
      <c r="DT10" s="7"/>
      <c r="DU10" s="7"/>
      <c r="DV10" s="155"/>
      <c r="DW10" s="154"/>
      <c r="DX10" s="8"/>
    </row>
    <row r="11" spans="1:128" ht="40.5" customHeight="1" outlineLevel="1">
      <c r="A11" s="660"/>
      <c r="C11" s="515">
        <v>3</v>
      </c>
      <c r="D11" s="844" t="s">
        <v>196</v>
      </c>
      <c r="E11" s="844"/>
      <c r="F11" s="844"/>
      <c r="G11" s="560" t="s">
        <v>163</v>
      </c>
      <c r="H11" s="508" t="s">
        <v>119</v>
      </c>
      <c r="I11" s="509"/>
      <c r="J11" s="516"/>
      <c r="K11" s="158"/>
      <c r="L11" s="158"/>
      <c r="M11" s="151"/>
      <c r="N11" s="151"/>
      <c r="O11" s="151"/>
      <c r="CV11" s="7"/>
      <c r="CW11" s="154"/>
      <c r="CX11" s="162"/>
      <c r="CY11" s="143"/>
      <c r="CZ11" s="143"/>
      <c r="DA11" s="143"/>
      <c r="DB11" s="143"/>
      <c r="DC11" s="143"/>
      <c r="DD11" s="143"/>
      <c r="DE11" s="143"/>
      <c r="DF11" s="143"/>
      <c r="DG11" s="154"/>
      <c r="DH11" s="143"/>
      <c r="DI11" s="143"/>
      <c r="DJ11" s="143"/>
      <c r="DK11" s="143"/>
      <c r="DL11" s="143"/>
      <c r="DM11" s="154"/>
      <c r="DN11" s="7"/>
      <c r="DO11" s="7"/>
      <c r="DP11" s="7"/>
      <c r="DQ11" s="7"/>
      <c r="DR11" s="7"/>
      <c r="DS11" s="154"/>
      <c r="DT11" s="154"/>
      <c r="DU11" s="154"/>
      <c r="DV11" s="155"/>
      <c r="DW11" s="7"/>
      <c r="DX11" s="7"/>
    </row>
    <row r="12" spans="1:128" ht="83.45" customHeight="1" outlineLevel="1">
      <c r="A12" s="660"/>
      <c r="C12" s="515">
        <v>4</v>
      </c>
      <c r="D12" s="839" t="s">
        <v>350</v>
      </c>
      <c r="E12" s="840"/>
      <c r="F12" s="841"/>
      <c r="G12" s="510" t="s">
        <v>167</v>
      </c>
      <c r="H12" s="508" t="s">
        <v>119</v>
      </c>
      <c r="I12" s="509"/>
      <c r="J12" s="516"/>
      <c r="K12" s="158"/>
      <c r="L12" s="158"/>
      <c r="M12" s="151"/>
      <c r="N12" s="151"/>
      <c r="O12" s="151"/>
      <c r="CV12" s="7"/>
      <c r="CW12" s="154"/>
      <c r="CX12" s="162"/>
      <c r="CY12" s="143"/>
      <c r="CZ12" s="143"/>
      <c r="DA12" s="143"/>
      <c r="DB12" s="143"/>
      <c r="DC12" s="143"/>
      <c r="DD12" s="143"/>
      <c r="DE12" s="143"/>
      <c r="DF12" s="143"/>
      <c r="DG12" s="154"/>
      <c r="DH12" s="143"/>
      <c r="DI12" s="143"/>
      <c r="DJ12" s="143"/>
      <c r="DK12" s="143"/>
      <c r="DL12" s="143"/>
      <c r="DM12" s="154"/>
      <c r="DN12" s="7"/>
      <c r="DO12" s="7"/>
      <c r="DP12" s="7"/>
      <c r="DQ12" s="7"/>
      <c r="DR12" s="7"/>
      <c r="DS12" s="154"/>
      <c r="DT12" s="154"/>
      <c r="DU12" s="154"/>
      <c r="DV12" s="155"/>
      <c r="DW12" s="7"/>
      <c r="DX12" s="7"/>
    </row>
    <row r="13" spans="1:128" ht="42" outlineLevel="1">
      <c r="A13" s="660"/>
      <c r="C13" s="515">
        <v>5</v>
      </c>
      <c r="D13" s="844" t="s">
        <v>198</v>
      </c>
      <c r="E13" s="844"/>
      <c r="F13" s="844"/>
      <c r="G13" s="517" t="s">
        <v>169</v>
      </c>
      <c r="H13" s="508" t="s">
        <v>119</v>
      </c>
      <c r="I13" s="509"/>
      <c r="J13" s="516"/>
      <c r="K13" s="158"/>
      <c r="L13" s="158"/>
      <c r="M13" s="151"/>
      <c r="N13" s="151"/>
      <c r="O13" s="151"/>
      <c r="CV13" s="7"/>
      <c r="CW13" s="162"/>
      <c r="CX13" s="162"/>
      <c r="CY13" s="143"/>
      <c r="CZ13" s="143"/>
      <c r="DA13" s="143"/>
      <c r="DB13" s="143"/>
      <c r="DC13" s="143"/>
      <c r="DD13" s="143"/>
      <c r="DE13" s="143"/>
      <c r="DF13" s="143"/>
      <c r="DG13" s="162"/>
      <c r="DH13" s="143"/>
      <c r="DI13" s="143"/>
      <c r="DJ13" s="143"/>
      <c r="DK13" s="143"/>
      <c r="DL13" s="143"/>
      <c r="DM13" s="162"/>
      <c r="DN13" s="154"/>
      <c r="DO13" s="154"/>
      <c r="DP13" s="154"/>
      <c r="DQ13" s="154"/>
      <c r="DR13" s="154"/>
      <c r="DS13" s="162"/>
      <c r="DT13" s="162"/>
      <c r="DU13" s="162"/>
      <c r="DV13" s="150"/>
      <c r="DW13" s="7"/>
      <c r="DX13" s="159"/>
    </row>
    <row r="14" spans="1:128" ht="40.5" customHeight="1" outlineLevel="1">
      <c r="A14" s="660"/>
      <c r="C14" s="515">
        <v>6</v>
      </c>
      <c r="D14" s="844" t="s">
        <v>170</v>
      </c>
      <c r="E14" s="844"/>
      <c r="F14" s="844"/>
      <c r="G14" s="560" t="s">
        <v>163</v>
      </c>
      <c r="H14" s="508" t="s">
        <v>119</v>
      </c>
      <c r="I14" s="509"/>
      <c r="J14" s="516"/>
      <c r="K14" s="158"/>
      <c r="L14" s="158"/>
      <c r="M14" s="151"/>
      <c r="N14" s="151"/>
      <c r="O14" s="151"/>
      <c r="CV14" s="7"/>
      <c r="CW14" s="162"/>
      <c r="CX14" s="162"/>
      <c r="CY14" s="143"/>
      <c r="CZ14" s="143"/>
      <c r="DA14" s="143"/>
      <c r="DB14" s="143"/>
      <c r="DC14" s="143"/>
      <c r="DD14" s="143"/>
      <c r="DE14" s="143"/>
      <c r="DF14" s="143"/>
      <c r="DG14" s="162"/>
      <c r="DH14" s="143"/>
      <c r="DI14" s="143"/>
      <c r="DJ14" s="143"/>
      <c r="DK14" s="143"/>
      <c r="DL14" s="143"/>
      <c r="DM14" s="162"/>
      <c r="DN14" s="154"/>
      <c r="DO14" s="154"/>
      <c r="DP14" s="154"/>
      <c r="DQ14" s="154"/>
      <c r="DR14" s="154"/>
      <c r="DS14" s="162"/>
      <c r="DT14" s="162"/>
      <c r="DU14" s="162"/>
      <c r="DV14" s="150"/>
      <c r="DW14" s="7"/>
      <c r="DX14" s="159"/>
    </row>
    <row r="15" spans="1:128" ht="18.75" thickBot="1">
      <c r="A15" s="660"/>
      <c r="C15" s="325"/>
      <c r="D15" s="208"/>
      <c r="E15" s="208"/>
      <c r="F15" s="208"/>
      <c r="G15" s="208"/>
      <c r="H15" s="208"/>
      <c r="I15" s="208"/>
      <c r="J15" s="254"/>
      <c r="K15" s="158"/>
      <c r="L15" s="151"/>
      <c r="M15" s="151"/>
      <c r="N15" s="151"/>
      <c r="CU15" s="7"/>
      <c r="CV15" s="162"/>
      <c r="CW15" s="162"/>
      <c r="CX15" s="143"/>
      <c r="CY15" s="143"/>
      <c r="CZ15" s="143"/>
      <c r="DA15" s="143"/>
      <c r="DB15" s="143"/>
      <c r="DC15" s="143"/>
      <c r="DD15" s="143"/>
      <c r="DE15" s="143"/>
      <c r="DF15" s="162"/>
      <c r="DG15" s="143"/>
      <c r="DH15" s="143"/>
      <c r="DI15" s="143"/>
      <c r="DJ15" s="143"/>
      <c r="DK15" s="143"/>
      <c r="DL15" s="162"/>
      <c r="DM15" s="154"/>
      <c r="DN15" s="154"/>
      <c r="DO15" s="154"/>
      <c r="DP15" s="154"/>
      <c r="DQ15" s="154"/>
      <c r="DR15" s="162"/>
      <c r="DS15" s="162"/>
      <c r="DT15" s="162"/>
      <c r="DU15" s="150"/>
      <c r="DV15" s="7"/>
      <c r="DW15" s="159"/>
    </row>
    <row r="16" spans="1:128" ht="12.6" customHeight="1">
      <c r="A16" s="660"/>
      <c r="C16" s="163"/>
      <c r="CT16" s="6"/>
      <c r="CU16" s="6"/>
      <c r="CV16" s="6"/>
      <c r="CW16" s="143"/>
      <c r="CX16" s="143"/>
      <c r="CY16" s="143"/>
      <c r="CZ16" s="143"/>
      <c r="DA16" s="143"/>
      <c r="DB16" s="143"/>
      <c r="DC16" s="143"/>
      <c r="DD16" s="143"/>
      <c r="DE16" s="6"/>
      <c r="DF16" s="143"/>
      <c r="DG16" s="143"/>
      <c r="DH16" s="143"/>
      <c r="DI16" s="143"/>
      <c r="DJ16" s="143"/>
      <c r="DK16" s="6"/>
      <c r="DL16" s="6"/>
      <c r="DM16" s="6"/>
      <c r="DN16" s="6"/>
      <c r="DO16" s="6"/>
      <c r="DP16" s="6"/>
      <c r="DQ16" s="6"/>
      <c r="DR16" s="6"/>
      <c r="DS16" s="6"/>
      <c r="DT16" s="150"/>
      <c r="DU16" s="6"/>
      <c r="DV16" s="6"/>
    </row>
    <row r="17" spans="1:126" ht="12.6" customHeight="1">
      <c r="A17" s="660"/>
      <c r="CT17" s="6"/>
      <c r="CU17" s="6"/>
      <c r="CV17" s="6"/>
      <c r="CW17" s="143"/>
      <c r="CX17" s="143"/>
      <c r="CY17" s="143"/>
      <c r="CZ17" s="143"/>
      <c r="DA17" s="143"/>
      <c r="DB17" s="143"/>
      <c r="DC17" s="143"/>
      <c r="DD17" s="143"/>
      <c r="DE17" s="6"/>
      <c r="DF17" s="143"/>
      <c r="DG17" s="143"/>
      <c r="DH17" s="143"/>
      <c r="DI17" s="143"/>
      <c r="DJ17" s="143"/>
      <c r="DK17" s="6"/>
      <c r="DL17" s="6"/>
      <c r="DM17" s="6"/>
      <c r="DN17" s="6"/>
      <c r="DO17" s="6"/>
      <c r="DP17" s="6"/>
      <c r="DQ17" s="6"/>
      <c r="DR17" s="6"/>
      <c r="DS17" s="6"/>
      <c r="DT17" s="150"/>
      <c r="DU17" s="6"/>
      <c r="DV17" s="6"/>
    </row>
    <row r="18" spans="1:126" ht="12.6" customHeight="1">
      <c r="A18" s="660"/>
      <c r="CT18" s="6"/>
      <c r="CU18" s="6"/>
      <c r="CV18" s="6"/>
      <c r="CW18" s="143"/>
      <c r="CX18" s="143"/>
      <c r="CY18" s="143"/>
      <c r="CZ18" s="143"/>
      <c r="DA18" s="143"/>
      <c r="DB18" s="143"/>
      <c r="DC18" s="143"/>
      <c r="DD18" s="143"/>
      <c r="DE18" s="6"/>
      <c r="DF18" s="143"/>
      <c r="DG18" s="143"/>
      <c r="DH18" s="143"/>
      <c r="DI18" s="143"/>
      <c r="DJ18" s="143"/>
      <c r="DK18" s="6"/>
      <c r="DL18" s="6"/>
      <c r="DM18" s="6"/>
      <c r="DN18" s="6"/>
      <c r="DO18" s="6"/>
      <c r="DP18" s="6"/>
      <c r="DQ18" s="6"/>
      <c r="DR18" s="6"/>
      <c r="DS18" s="6"/>
      <c r="DT18" s="150"/>
      <c r="DU18" s="6"/>
      <c r="DV18" s="6"/>
    </row>
    <row r="19" spans="1:126" s="20" customFormat="1" ht="18.75" thickBot="1">
      <c r="A19" s="656"/>
      <c r="C19" s="474" t="s">
        <v>121</v>
      </c>
      <c r="D19" s="438"/>
      <c r="E19" s="438"/>
      <c r="F19" s="438"/>
      <c r="G19" s="438"/>
      <c r="H19" s="438"/>
      <c r="I19" s="438"/>
      <c r="J19" s="438"/>
      <c r="K19" s="23"/>
      <c r="L19" s="217"/>
      <c r="M19" s="217"/>
      <c r="Q19" s="158"/>
    </row>
    <row r="20" spans="1:126" s="20" customFormat="1" ht="18" customHeight="1">
      <c r="A20" s="656"/>
      <c r="C20" s="819"/>
      <c r="D20" s="820"/>
      <c r="E20" s="820"/>
      <c r="F20" s="820"/>
      <c r="G20" s="821"/>
      <c r="H20" s="438"/>
      <c r="I20" s="438"/>
      <c r="J20" s="438"/>
      <c r="K20" s="23"/>
      <c r="L20" s="217"/>
      <c r="M20" s="217"/>
      <c r="Q20" s="158"/>
    </row>
    <row r="21" spans="1:126" s="20" customFormat="1" ht="18" customHeight="1">
      <c r="A21" s="656"/>
      <c r="C21" s="822"/>
      <c r="D21" s="823"/>
      <c r="E21" s="823"/>
      <c r="F21" s="823"/>
      <c r="G21" s="824"/>
      <c r="H21" s="438"/>
      <c r="I21" s="438"/>
      <c r="J21" s="438"/>
      <c r="K21" s="23"/>
      <c r="L21" s="217"/>
      <c r="M21" s="217"/>
      <c r="Q21" s="158"/>
    </row>
    <row r="22" spans="1:126" s="20" customFormat="1" ht="18" customHeight="1" thickBot="1">
      <c r="A22" s="656"/>
      <c r="C22" s="825"/>
      <c r="D22" s="826"/>
      <c r="E22" s="826"/>
      <c r="F22" s="826"/>
      <c r="G22" s="827"/>
      <c r="H22" s="438"/>
      <c r="I22" s="438"/>
      <c r="J22" s="438"/>
      <c r="K22" s="23"/>
      <c r="L22" s="217"/>
      <c r="M22" s="217"/>
      <c r="Q22" s="158"/>
    </row>
    <row r="23" spans="1:126" s="4" customFormat="1" ht="13.5" thickBot="1">
      <c r="A23" s="545"/>
      <c r="C23" s="550"/>
      <c r="D23" s="551"/>
      <c r="E23" s="192"/>
      <c r="F23" s="192"/>
      <c r="G23" s="192"/>
      <c r="H23" s="192"/>
      <c r="I23" s="158"/>
      <c r="J23" s="158"/>
      <c r="K23" s="552"/>
      <c r="L23" s="424"/>
      <c r="M23" s="424"/>
      <c r="N23" s="424"/>
      <c r="O23" s="424"/>
      <c r="P23" s="424"/>
      <c r="Q23" s="424"/>
      <c r="R23" s="425"/>
    </row>
    <row r="24" spans="1:126" s="4" customFormat="1" ht="63.75">
      <c r="A24" s="545"/>
      <c r="C24" s="745" t="str">
        <f>"波动范围 ("&amp;D13&amp; "):"</f>
        <v>波动范围 (调查任何异常交易，并基于综合风险评估和已确定的测试临界值测试交易。):</v>
      </c>
      <c r="D24" s="746">
        <f>汇总!$F$21</f>
        <v>0</v>
      </c>
      <c r="E24" s="553"/>
      <c r="F24" s="553"/>
      <c r="G24" s="553"/>
      <c r="H24" s="553"/>
      <c r="I24" s="553"/>
      <c r="J24" s="553"/>
      <c r="K24" s="553"/>
      <c r="L24" s="424"/>
      <c r="M24" s="424"/>
      <c r="N24" s="424"/>
      <c r="O24" s="424"/>
      <c r="P24" s="424"/>
      <c r="Q24" s="424"/>
      <c r="R24" s="425"/>
    </row>
    <row r="25" spans="1:126" s="4" customFormat="1" ht="17.25" thickBot="1">
      <c r="A25" s="545"/>
      <c r="C25" s="554" t="s">
        <v>171</v>
      </c>
      <c r="D25" s="476"/>
      <c r="E25" s="5"/>
      <c r="F25" s="5"/>
      <c r="G25" s="5"/>
      <c r="H25" s="5"/>
      <c r="I25" s="5"/>
      <c r="J25" s="5"/>
      <c r="K25" s="5"/>
      <c r="L25" s="424"/>
      <c r="M25" s="424"/>
      <c r="N25" s="424"/>
      <c r="O25" s="424"/>
      <c r="P25" s="424"/>
      <c r="Q25" s="424"/>
      <c r="R25" s="424"/>
      <c r="S25" s="424"/>
      <c r="T25" s="425"/>
    </row>
    <row r="26" spans="1:126" ht="12.6" customHeight="1">
      <c r="A26" s="660"/>
      <c r="CS26" s="6"/>
      <c r="CT26" s="6"/>
      <c r="CU26" s="6"/>
      <c r="CV26" s="143"/>
      <c r="CW26" s="143"/>
      <c r="CX26" s="143"/>
      <c r="CY26" s="143"/>
      <c r="CZ26" s="143"/>
      <c r="DA26" s="143"/>
      <c r="DB26" s="143"/>
      <c r="DC26" s="143"/>
      <c r="DD26" s="6"/>
      <c r="DE26" s="143"/>
      <c r="DF26" s="143"/>
      <c r="DG26" s="143"/>
      <c r="DH26" s="143"/>
      <c r="DI26" s="143"/>
      <c r="DJ26" s="6"/>
      <c r="DK26" s="6"/>
      <c r="DL26" s="6"/>
      <c r="DM26" s="6"/>
      <c r="DN26" s="6"/>
      <c r="DO26" s="6"/>
      <c r="DP26" s="6"/>
      <c r="DQ26" s="6"/>
      <c r="DR26" s="6"/>
      <c r="DS26" s="150"/>
      <c r="DT26" s="6"/>
      <c r="DU26" s="6"/>
    </row>
    <row r="27" spans="1:126" ht="12.6" customHeight="1">
      <c r="A27" s="660"/>
      <c r="CS27" s="6"/>
      <c r="CT27" s="6"/>
      <c r="CU27" s="6"/>
      <c r="CV27" s="143"/>
      <c r="CW27" s="143"/>
      <c r="CX27" s="143"/>
      <c r="CY27" s="143"/>
      <c r="CZ27" s="143"/>
      <c r="DA27" s="143"/>
      <c r="DB27" s="143"/>
      <c r="DC27" s="143"/>
      <c r="DD27" s="6"/>
      <c r="DE27" s="143"/>
      <c r="DF27" s="143"/>
      <c r="DG27" s="143"/>
      <c r="DH27" s="143"/>
      <c r="DI27" s="143"/>
      <c r="DJ27" s="6"/>
      <c r="DK27" s="6"/>
      <c r="DL27" s="6"/>
      <c r="DM27" s="6"/>
      <c r="DN27" s="6"/>
      <c r="DO27" s="6"/>
      <c r="DP27" s="6"/>
      <c r="DQ27" s="6"/>
      <c r="DR27" s="6"/>
      <c r="DS27" s="150"/>
      <c r="DT27" s="6"/>
      <c r="DU27" s="6"/>
    </row>
    <row r="28" spans="1:126" ht="12.6" customHeight="1">
      <c r="A28" s="660"/>
      <c r="C28" s="164"/>
      <c r="D28" s="211"/>
      <c r="E28" s="192"/>
      <c r="F28" s="192" t="s">
        <v>123</v>
      </c>
      <c r="G28" s="441"/>
      <c r="H28" s="164" t="s">
        <v>124</v>
      </c>
      <c r="I28" s="192" t="s">
        <v>125</v>
      </c>
      <c r="J28" s="164"/>
      <c r="K28" s="164"/>
      <c r="L28" s="164" t="s">
        <v>126</v>
      </c>
      <c r="M28" s="192" t="s">
        <v>127</v>
      </c>
      <c r="N28" s="164" t="s">
        <v>128</v>
      </c>
      <c r="O28" s="164" t="s">
        <v>129</v>
      </c>
      <c r="P28" s="164" t="s">
        <v>130</v>
      </c>
      <c r="S28" s="260"/>
      <c r="CL28" s="6"/>
      <c r="CM28" s="6"/>
      <c r="CN28" s="6"/>
      <c r="CO28" s="143"/>
      <c r="CP28" s="143"/>
      <c r="CQ28" s="143"/>
      <c r="CR28" s="143"/>
      <c r="CS28" s="143"/>
      <c r="CT28" s="143"/>
      <c r="CU28" s="143"/>
      <c r="CV28" s="143"/>
      <c r="CW28" s="6"/>
      <c r="CX28" s="143"/>
      <c r="CY28" s="143"/>
      <c r="CZ28" s="143"/>
      <c r="DA28" s="143"/>
      <c r="DB28" s="143"/>
      <c r="DC28" s="6"/>
      <c r="DD28" s="6"/>
      <c r="DE28" s="6"/>
      <c r="DF28" s="6"/>
      <c r="DG28" s="6"/>
      <c r="DH28" s="6"/>
      <c r="DI28" s="6"/>
      <c r="DJ28" s="6"/>
      <c r="DK28" s="6"/>
      <c r="DL28" s="200"/>
      <c r="DM28" s="6"/>
      <c r="DN28" s="6"/>
    </row>
    <row r="29" spans="1:126" ht="13.5" thickBot="1">
      <c r="A29" s="660" t="s">
        <v>172</v>
      </c>
      <c r="C29" s="89" t="s">
        <v>95</v>
      </c>
      <c r="D29" s="90" t="s">
        <v>95</v>
      </c>
      <c r="E29" s="90" t="s">
        <v>95</v>
      </c>
      <c r="F29" s="91" t="s">
        <v>95</v>
      </c>
      <c r="G29" s="92"/>
      <c r="H29" s="92"/>
      <c r="I29" s="93"/>
      <c r="J29" s="94"/>
      <c r="K29" s="93"/>
      <c r="L29" s="92"/>
      <c r="M29" s="93"/>
      <c r="N29" s="165"/>
      <c r="O29" s="93"/>
      <c r="P29" s="95"/>
      <c r="Q29" s="96"/>
      <c r="R29" s="97"/>
      <c r="CK29" s="6"/>
      <c r="CL29" s="6"/>
      <c r="CM29" s="6"/>
      <c r="CN29" s="143"/>
      <c r="CO29" s="143"/>
      <c r="CP29" s="143"/>
      <c r="CQ29" s="143"/>
      <c r="CR29" s="143"/>
      <c r="CS29" s="143"/>
      <c r="CT29" s="143"/>
      <c r="CU29" s="143"/>
      <c r="CV29" s="6"/>
      <c r="CW29" s="143"/>
      <c r="CX29" s="143"/>
      <c r="CY29" s="143"/>
      <c r="CZ29" s="143"/>
      <c r="DA29" s="143"/>
      <c r="DB29" s="6"/>
      <c r="DC29" s="6"/>
      <c r="DD29" s="6"/>
      <c r="DE29" s="6"/>
      <c r="DF29" s="6"/>
      <c r="DG29" s="6"/>
      <c r="DH29" s="6"/>
      <c r="DI29" s="6"/>
      <c r="DJ29" s="6"/>
      <c r="DK29" s="150"/>
      <c r="DL29" s="6"/>
      <c r="DM29" s="6"/>
    </row>
    <row r="30" spans="1:126" ht="0.2" customHeight="1" thickBot="1">
      <c r="A30" s="660"/>
      <c r="C30" s="585"/>
      <c r="D30" s="586"/>
      <c r="E30" s="365"/>
      <c r="F30" s="587"/>
      <c r="G30" s="586"/>
      <c r="H30" s="588"/>
      <c r="I30" s="588">
        <f t="shared" ref="I30" si="0">F30+H30</f>
        <v>0</v>
      </c>
      <c r="J30" s="589" t="str">
        <f>IF($I$37&lt;&gt;0,I30/$I$37,"")</f>
        <v/>
      </c>
      <c r="K30" s="586"/>
      <c r="L30" s="588"/>
      <c r="M30" s="590">
        <f t="shared" ref="M30" si="1">I30+L30</f>
        <v>0</v>
      </c>
      <c r="N30" s="590"/>
      <c r="O30" s="587">
        <f t="shared" ref="O30" si="2">M30-N30</f>
        <v>0</v>
      </c>
      <c r="P30" s="466">
        <f>IF(N30&lt;&gt;0,O30/N30,1)</f>
        <v>1</v>
      </c>
      <c r="Q30" s="586"/>
      <c r="R30" s="591"/>
      <c r="CK30" s="6"/>
      <c r="CL30" s="6"/>
      <c r="CM30" s="6"/>
      <c r="CN30" s="143"/>
      <c r="CO30" s="143"/>
      <c r="CP30" s="143"/>
      <c r="CQ30" s="143"/>
      <c r="CR30" s="143"/>
      <c r="CS30" s="143"/>
      <c r="CT30" s="143"/>
      <c r="CU30" s="143"/>
      <c r="CV30" s="6"/>
      <c r="CW30" s="143"/>
      <c r="CX30" s="143"/>
      <c r="CY30" s="143"/>
      <c r="CZ30" s="143"/>
      <c r="DA30" s="143"/>
      <c r="DB30" s="6"/>
      <c r="DC30" s="6"/>
      <c r="DD30" s="6"/>
      <c r="DE30" s="6"/>
      <c r="DF30" s="6"/>
      <c r="DG30" s="6"/>
      <c r="DH30" s="6"/>
      <c r="DI30" s="6"/>
      <c r="DJ30" s="6"/>
      <c r="DK30" s="150"/>
      <c r="DL30" s="6"/>
      <c r="DM30" s="6"/>
    </row>
    <row r="31" spans="1:126" ht="12.6" customHeight="1">
      <c r="A31" s="660"/>
      <c r="B31" s="21" t="s">
        <v>174</v>
      </c>
      <c r="C31" s="592"/>
      <c r="D31" s="747"/>
      <c r="E31" s="593"/>
      <c r="F31" s="482"/>
      <c r="G31" s="594"/>
      <c r="H31" s="594"/>
      <c r="I31" s="594" t="s">
        <v>175</v>
      </c>
      <c r="J31" s="594"/>
      <c r="K31" s="594"/>
      <c r="L31" s="594"/>
      <c r="M31" s="596"/>
      <c r="N31" s="597">
        <f>DATE(YEAR(汇总!$D$5)-1,12,31)</f>
        <v>45291</v>
      </c>
      <c r="O31" s="483" t="s">
        <v>131</v>
      </c>
      <c r="P31" s="598"/>
      <c r="Q31" s="650"/>
      <c r="R31" s="602"/>
      <c r="CK31" s="6"/>
      <c r="CL31" s="6"/>
      <c r="CM31" s="6"/>
      <c r="CN31" s="143"/>
      <c r="CO31" s="143"/>
      <c r="CP31" s="143"/>
      <c r="CQ31" s="143"/>
      <c r="CR31" s="143"/>
      <c r="CS31" s="143"/>
      <c r="CT31" s="143"/>
      <c r="CU31" s="143"/>
      <c r="CV31" s="6"/>
      <c r="CW31" s="143"/>
      <c r="CX31" s="143"/>
      <c r="CY31" s="143"/>
      <c r="CZ31" s="143"/>
      <c r="DA31" s="143"/>
      <c r="DB31" s="6"/>
      <c r="DC31" s="6"/>
      <c r="DD31" s="6"/>
      <c r="DE31" s="6"/>
      <c r="DF31" s="6"/>
      <c r="DG31" s="6"/>
      <c r="DH31" s="6"/>
      <c r="DI31" s="6"/>
      <c r="DJ31" s="6"/>
      <c r="DK31" s="167"/>
      <c r="DL31" s="6"/>
      <c r="DM31" s="6"/>
    </row>
    <row r="32" spans="1:126" ht="43.5" customHeight="1">
      <c r="A32" s="660"/>
      <c r="C32" s="108" t="s">
        <v>176</v>
      </c>
      <c r="D32" s="109" t="s">
        <v>177</v>
      </c>
      <c r="E32" s="168" t="s">
        <v>178</v>
      </c>
      <c r="F32" s="366" t="s">
        <v>135</v>
      </c>
      <c r="G32" s="367" t="s">
        <v>179</v>
      </c>
      <c r="H32" s="367" t="s">
        <v>136</v>
      </c>
      <c r="I32" s="169" t="s">
        <v>137</v>
      </c>
      <c r="J32" s="169" t="s">
        <v>180</v>
      </c>
      <c r="K32" s="367" t="s">
        <v>181</v>
      </c>
      <c r="L32" s="170" t="s">
        <v>138</v>
      </c>
      <c r="M32" s="171" t="s">
        <v>139</v>
      </c>
      <c r="N32" s="555" t="s">
        <v>182</v>
      </c>
      <c r="O32" s="172" t="s">
        <v>141</v>
      </c>
      <c r="P32" s="465" t="s">
        <v>183</v>
      </c>
      <c r="Q32" s="464" t="s">
        <v>184</v>
      </c>
      <c r="R32" s="114" t="s">
        <v>155</v>
      </c>
      <c r="CK32" s="6"/>
      <c r="CL32" s="6"/>
      <c r="CM32" s="6"/>
      <c r="CN32" s="143"/>
      <c r="CO32" s="143"/>
      <c r="CP32" s="143"/>
      <c r="CQ32" s="143"/>
      <c r="CR32" s="143"/>
      <c r="CS32" s="143"/>
      <c r="CT32" s="143"/>
      <c r="CU32" s="143"/>
      <c r="CV32" s="6"/>
      <c r="CW32" s="143"/>
      <c r="CX32" s="143"/>
      <c r="CY32" s="143"/>
      <c r="CZ32" s="143"/>
      <c r="DA32" s="143"/>
      <c r="DB32" s="6"/>
      <c r="DC32" s="6"/>
      <c r="DD32" s="6"/>
      <c r="DE32" s="6"/>
      <c r="DF32" s="6"/>
      <c r="DG32" s="6"/>
      <c r="DH32" s="6"/>
      <c r="DI32" s="6"/>
      <c r="DJ32" s="6"/>
      <c r="DK32" s="167"/>
      <c r="DL32" s="6"/>
      <c r="DM32" s="6"/>
    </row>
    <row r="33" spans="1:123" ht="12.6" customHeight="1">
      <c r="A33" s="660"/>
      <c r="C33" s="98"/>
      <c r="D33" s="99"/>
      <c r="E33" s="100"/>
      <c r="F33" s="101"/>
      <c r="G33" s="99"/>
      <c r="H33" s="102"/>
      <c r="I33" s="102">
        <f>F33+H33</f>
        <v>0</v>
      </c>
      <c r="J33" s="589" t="str">
        <f>IF($I$37&lt;&gt;0,I33/$I$37,"")</f>
        <v/>
      </c>
      <c r="K33" s="99"/>
      <c r="L33" s="102"/>
      <c r="M33" s="104">
        <f>I33+L33</f>
        <v>0</v>
      </c>
      <c r="N33" s="104"/>
      <c r="O33" s="101">
        <f>M33-N33</f>
        <v>0</v>
      </c>
      <c r="P33" s="463">
        <f>IF(N33&lt;&gt;0,O33/N33,1)</f>
        <v>1</v>
      </c>
      <c r="Q33" s="99"/>
      <c r="R33" s="105"/>
      <c r="CK33" s="6"/>
      <c r="CL33" s="6"/>
      <c r="CM33" s="6"/>
      <c r="CN33" s="143"/>
      <c r="CO33" s="143"/>
      <c r="CP33" s="143"/>
      <c r="CQ33" s="143"/>
      <c r="CR33" s="143"/>
      <c r="CS33" s="143"/>
      <c r="CT33" s="143"/>
      <c r="CU33" s="143"/>
      <c r="CV33" s="6"/>
      <c r="CW33" s="143"/>
      <c r="CX33" s="143"/>
      <c r="CY33" s="143"/>
      <c r="CZ33" s="143"/>
      <c r="DA33" s="143"/>
      <c r="DB33" s="6"/>
      <c r="DC33" s="6"/>
      <c r="DD33" s="6"/>
      <c r="DE33" s="6"/>
      <c r="DF33" s="6"/>
      <c r="DG33" s="6"/>
      <c r="DH33" s="6"/>
      <c r="DI33" s="6"/>
      <c r="DJ33" s="6"/>
      <c r="DK33" s="150"/>
      <c r="DL33" s="6"/>
      <c r="DM33" s="6"/>
    </row>
    <row r="34" spans="1:123" ht="12.6" customHeight="1">
      <c r="A34" s="660"/>
      <c r="C34" s="98"/>
      <c r="D34" s="99"/>
      <c r="E34" s="100"/>
      <c r="F34" s="101"/>
      <c r="G34" s="99"/>
      <c r="H34" s="102"/>
      <c r="I34" s="102">
        <f t="shared" ref="I34:I35" si="3">F34+H34</f>
        <v>0</v>
      </c>
      <c r="J34" s="589" t="str">
        <f>IF($I$37&lt;&gt;0,I34/$I$37,"")</f>
        <v/>
      </c>
      <c r="K34" s="99"/>
      <c r="L34" s="102"/>
      <c r="M34" s="104">
        <f t="shared" ref="M34:M35" si="4">I34+L34</f>
        <v>0</v>
      </c>
      <c r="N34" s="104"/>
      <c r="O34" s="101">
        <f t="shared" ref="O34:O35" si="5">M34-N34</f>
        <v>0</v>
      </c>
      <c r="P34" s="463">
        <f>IF(N34&lt;&gt;0,O34/N34,1)</f>
        <v>1</v>
      </c>
      <c r="Q34" s="99"/>
      <c r="R34" s="105"/>
      <c r="CK34" s="6"/>
      <c r="CL34" s="6"/>
      <c r="CM34" s="6"/>
      <c r="CN34" s="143"/>
      <c r="CO34" s="143"/>
      <c r="CP34" s="143"/>
      <c r="CQ34" s="143"/>
      <c r="CR34" s="143"/>
      <c r="CS34" s="143"/>
      <c r="CT34" s="143"/>
      <c r="CU34" s="143"/>
      <c r="CV34" s="6"/>
      <c r="CW34" s="143"/>
      <c r="CX34" s="143"/>
      <c r="CY34" s="143"/>
      <c r="CZ34" s="143"/>
      <c r="DA34" s="143"/>
      <c r="DB34" s="6"/>
      <c r="DC34" s="6"/>
      <c r="DD34" s="6"/>
      <c r="DE34" s="6"/>
      <c r="DF34" s="6"/>
      <c r="DG34" s="6"/>
      <c r="DH34" s="6"/>
      <c r="DI34" s="6"/>
      <c r="DJ34" s="6"/>
      <c r="DK34" s="167"/>
      <c r="DL34" s="6"/>
      <c r="DM34" s="6"/>
    </row>
    <row r="35" spans="1:123" ht="12.6" customHeight="1" thickBot="1">
      <c r="A35" s="660" t="s">
        <v>185</v>
      </c>
      <c r="C35" s="371"/>
      <c r="D35" s="372"/>
      <c r="E35" s="385"/>
      <c r="F35" s="374"/>
      <c r="G35" s="372"/>
      <c r="H35" s="375"/>
      <c r="I35" s="376">
        <f t="shared" si="3"/>
        <v>0</v>
      </c>
      <c r="J35" s="377" t="str">
        <f>IF($I$37&lt;&gt;0,I35/$I$37,"")</f>
        <v/>
      </c>
      <c r="K35" s="378"/>
      <c r="L35" s="379"/>
      <c r="M35" s="380">
        <f t="shared" si="4"/>
        <v>0</v>
      </c>
      <c r="N35" s="380"/>
      <c r="O35" s="381">
        <f t="shared" si="5"/>
        <v>0</v>
      </c>
      <c r="P35" s="463">
        <f>IF(N35&lt;&gt;0,O35/N35,1)</f>
        <v>1</v>
      </c>
      <c r="Q35" s="378"/>
      <c r="R35" s="373"/>
      <c r="CK35" s="6"/>
      <c r="CL35" s="6"/>
      <c r="CM35" s="6"/>
      <c r="CN35" s="143"/>
      <c r="CO35" s="143"/>
      <c r="CP35" s="143"/>
      <c r="CQ35" s="143"/>
      <c r="CR35" s="143"/>
      <c r="CS35" s="143"/>
      <c r="CT35" s="143"/>
      <c r="CU35" s="143"/>
      <c r="CV35" s="6"/>
      <c r="CW35" s="143"/>
      <c r="CX35" s="143"/>
      <c r="CY35" s="143"/>
      <c r="CZ35" s="143"/>
      <c r="DA35" s="143"/>
      <c r="DB35" s="6"/>
      <c r="DC35" s="6"/>
      <c r="DD35" s="6"/>
      <c r="DE35" s="6"/>
      <c r="DF35" s="6"/>
      <c r="DG35" s="6"/>
      <c r="DH35" s="6"/>
      <c r="DI35" s="6"/>
      <c r="DJ35" s="6"/>
      <c r="DK35" s="150"/>
      <c r="DL35" s="6"/>
      <c r="DM35" s="6"/>
    </row>
    <row r="36" spans="1:123" ht="12.6" customHeight="1">
      <c r="A36" s="660"/>
      <c r="B36" s="174"/>
      <c r="C36" s="760"/>
      <c r="D36" s="761"/>
      <c r="E36" s="762"/>
      <c r="F36" s="762"/>
      <c r="G36" s="762"/>
      <c r="H36" s="762"/>
      <c r="I36" s="763"/>
      <c r="J36" s="765"/>
      <c r="K36" s="765"/>
      <c r="L36" s="763"/>
      <c r="M36" s="763"/>
      <c r="N36" s="763"/>
      <c r="O36" s="753"/>
      <c r="P36" s="767"/>
      <c r="Q36" s="767"/>
      <c r="R36" s="768"/>
      <c r="CK36" s="6"/>
      <c r="CL36" s="6"/>
      <c r="CM36" s="6"/>
      <c r="CN36" s="143"/>
      <c r="CO36" s="143"/>
      <c r="CP36" s="143"/>
      <c r="CQ36" s="143"/>
      <c r="CR36" s="143"/>
      <c r="CS36" s="143"/>
      <c r="CT36" s="143"/>
      <c r="CU36" s="143"/>
      <c r="CV36" s="6"/>
      <c r="CW36" s="143"/>
      <c r="CX36" s="143"/>
      <c r="CY36" s="143"/>
      <c r="CZ36" s="143"/>
      <c r="DA36" s="143"/>
      <c r="DB36" s="6"/>
      <c r="DC36" s="6"/>
      <c r="DD36" s="6"/>
      <c r="DE36" s="6"/>
      <c r="DF36" s="6"/>
      <c r="DG36" s="6"/>
      <c r="DH36" s="6"/>
      <c r="DI36" s="6"/>
      <c r="DJ36" s="6"/>
      <c r="DK36" s="150"/>
      <c r="DL36" s="6"/>
      <c r="DM36" s="6"/>
    </row>
    <row r="37" spans="1:123" s="16" customFormat="1" ht="12.6" customHeight="1" thickBot="1">
      <c r="A37" s="661"/>
      <c r="B37" s="174"/>
      <c r="C37" s="174"/>
      <c r="D37" s="179"/>
      <c r="E37" s="212" t="s">
        <v>208</v>
      </c>
      <c r="F37" s="388">
        <f>SUM(F32:F36)</f>
        <v>0</v>
      </c>
      <c r="G37" s="21"/>
      <c r="H37" s="388">
        <f>SUM(H32:H36)</f>
        <v>0</v>
      </c>
      <c r="I37" s="388">
        <f>SUM(I32:I36)</f>
        <v>0</v>
      </c>
      <c r="J37" s="389">
        <f>SUM(J32:J36)</f>
        <v>0</v>
      </c>
      <c r="K37" s="21"/>
      <c r="L37" s="388">
        <f>SUM(L32:L36)</f>
        <v>0</v>
      </c>
      <c r="M37" s="388">
        <f>SUM(M32:M36)</f>
        <v>0</v>
      </c>
      <c r="N37" s="388">
        <f>SUM(N32:N36)</f>
        <v>0</v>
      </c>
      <c r="O37" s="388">
        <f>M37-N37</f>
        <v>0</v>
      </c>
      <c r="P37" s="389">
        <f>IF(N37&lt;&gt;0,O37/N37,1)</f>
        <v>1</v>
      </c>
      <c r="Q37" s="177"/>
      <c r="R37" s="213"/>
      <c r="S37" s="174"/>
      <c r="CK37" s="6"/>
      <c r="CL37" s="6"/>
      <c r="CM37" s="6"/>
      <c r="CN37" s="143"/>
      <c r="CO37" s="143"/>
      <c r="CP37" s="143"/>
      <c r="CQ37" s="143"/>
      <c r="CR37" s="143"/>
      <c r="CS37" s="143"/>
      <c r="CT37" s="143"/>
      <c r="CU37" s="143"/>
      <c r="CV37" s="6"/>
      <c r="CW37" s="143"/>
      <c r="CX37" s="143"/>
      <c r="CY37" s="143"/>
      <c r="CZ37" s="143"/>
      <c r="DA37" s="143"/>
      <c r="DB37" s="6"/>
      <c r="DC37" s="6"/>
      <c r="DD37" s="6"/>
      <c r="DE37" s="6"/>
      <c r="DF37" s="6"/>
      <c r="DG37" s="6"/>
      <c r="DH37" s="6"/>
      <c r="DI37" s="6"/>
      <c r="DJ37" s="6"/>
      <c r="DK37" s="150"/>
      <c r="DL37" s="6"/>
      <c r="DM37" s="6"/>
    </row>
    <row r="38" spans="1:123" s="16" customFormat="1" ht="12.6" customHeight="1" thickTop="1">
      <c r="A38" s="661"/>
      <c r="B38" s="174"/>
      <c r="C38" s="174"/>
      <c r="D38" s="179"/>
      <c r="E38" s="175"/>
      <c r="F38" s="131" t="s">
        <v>105</v>
      </c>
      <c r="G38" s="179"/>
      <c r="H38" s="131" t="s">
        <v>105</v>
      </c>
      <c r="I38" s="131" t="s">
        <v>105</v>
      </c>
      <c r="J38" s="186" t="s">
        <v>200</v>
      </c>
      <c r="K38" s="180"/>
      <c r="L38" s="131" t="s">
        <v>105</v>
      </c>
      <c r="M38" s="131" t="s">
        <v>105</v>
      </c>
      <c r="N38" s="131" t="s">
        <v>105</v>
      </c>
      <c r="O38" s="193"/>
      <c r="P38" s="183"/>
      <c r="Q38" s="183"/>
      <c r="R38" s="184"/>
      <c r="S38" s="19"/>
      <c r="T38" s="174"/>
      <c r="CL38" s="6"/>
      <c r="CM38" s="6"/>
      <c r="CN38" s="6"/>
      <c r="CO38" s="143"/>
      <c r="CP38" s="143"/>
      <c r="CQ38" s="143"/>
      <c r="CR38" s="143"/>
      <c r="CS38" s="143"/>
      <c r="CT38" s="143"/>
      <c r="CU38" s="143"/>
      <c r="CV38" s="143"/>
      <c r="CW38" s="6"/>
      <c r="CX38" s="143"/>
      <c r="CY38" s="143"/>
      <c r="CZ38" s="143"/>
      <c r="DA38" s="143"/>
      <c r="DB38" s="143"/>
      <c r="DC38" s="6"/>
      <c r="DD38" s="6"/>
      <c r="DE38" s="6"/>
      <c r="DF38" s="6"/>
      <c r="DG38" s="6"/>
      <c r="DH38" s="6"/>
      <c r="DI38" s="6"/>
      <c r="DJ38" s="6"/>
      <c r="DK38" s="6"/>
      <c r="DL38" s="150"/>
      <c r="DM38" s="6"/>
      <c r="DN38" s="6"/>
    </row>
    <row r="39" spans="1:123" s="16" customFormat="1" ht="12.6" customHeight="1">
      <c r="A39" s="661"/>
      <c r="B39" s="174"/>
      <c r="C39" s="174"/>
      <c r="D39" s="179"/>
      <c r="F39" s="181"/>
      <c r="G39" s="179"/>
      <c r="H39" s="185" t="s">
        <v>91</v>
      </c>
      <c r="I39" s="181"/>
      <c r="J39" s="186"/>
      <c r="K39" s="181"/>
      <c r="M39" s="181"/>
      <c r="N39" s="181"/>
      <c r="O39" s="181"/>
      <c r="P39" s="182"/>
      <c r="Q39" s="182"/>
      <c r="R39" s="184"/>
      <c r="S39" s="19"/>
      <c r="T39" s="174"/>
      <c r="CL39" s="6"/>
      <c r="CM39" s="6"/>
      <c r="CN39" s="6"/>
      <c r="CO39" s="143"/>
      <c r="CP39" s="143"/>
      <c r="CQ39" s="143"/>
      <c r="CR39" s="143"/>
      <c r="CS39" s="143"/>
      <c r="CT39" s="143"/>
      <c r="CU39" s="143"/>
      <c r="CV39" s="143"/>
      <c r="CW39" s="6"/>
      <c r="CX39" s="143"/>
      <c r="CY39" s="143"/>
      <c r="CZ39" s="143"/>
      <c r="DA39" s="143"/>
      <c r="DB39" s="143"/>
      <c r="DC39" s="6"/>
      <c r="DD39" s="6"/>
      <c r="DE39" s="6"/>
      <c r="DF39" s="6"/>
      <c r="DG39" s="6"/>
      <c r="DH39" s="6"/>
      <c r="DI39" s="6"/>
      <c r="DJ39" s="6"/>
      <c r="DK39" s="6"/>
      <c r="DL39" s="150"/>
      <c r="DM39" s="6"/>
      <c r="DN39" s="6"/>
    </row>
    <row r="40" spans="1:123" s="16" customFormat="1" ht="12.6" customHeight="1">
      <c r="A40" s="661"/>
      <c r="B40" s="27"/>
      <c r="C40" s="174"/>
      <c r="D40" s="179"/>
      <c r="F40" s="188"/>
      <c r="G40" s="179"/>
      <c r="H40" s="187" t="s">
        <v>201</v>
      </c>
      <c r="I40" s="188">
        <f>I37-I39</f>
        <v>0</v>
      </c>
      <c r="J40" s="189"/>
      <c r="K40" s="181"/>
      <c r="M40" s="188">
        <f>M37-M39</f>
        <v>0</v>
      </c>
      <c r="N40" s="188">
        <f>N37-N39</f>
        <v>0</v>
      </c>
      <c r="O40" s="181"/>
      <c r="P40" s="182"/>
      <c r="Q40" s="182"/>
      <c r="R40" s="182"/>
      <c r="S40" s="182"/>
      <c r="T40" s="184"/>
      <c r="U40" s="174"/>
      <c r="V40" s="174"/>
      <c r="CN40" s="6"/>
      <c r="CO40" s="6"/>
      <c r="CP40" s="6"/>
      <c r="CQ40" s="143"/>
      <c r="CR40" s="143"/>
      <c r="CS40" s="143"/>
      <c r="CT40" s="143"/>
      <c r="CU40" s="143"/>
      <c r="CV40" s="143"/>
      <c r="CW40" s="143"/>
      <c r="CX40" s="143"/>
      <c r="CY40" s="6"/>
      <c r="CZ40" s="143"/>
      <c r="DA40" s="143"/>
      <c r="DB40" s="143"/>
      <c r="DC40" s="143"/>
      <c r="DD40" s="143"/>
      <c r="DE40" s="6"/>
      <c r="DF40" s="6"/>
      <c r="DG40" s="6"/>
      <c r="DH40" s="6"/>
      <c r="DI40" s="6"/>
      <c r="DJ40" s="6"/>
      <c r="DK40" s="6"/>
      <c r="DL40" s="6"/>
      <c r="DM40" s="6"/>
      <c r="DN40" s="150"/>
      <c r="DO40" s="6"/>
      <c r="DP40" s="6"/>
    </row>
    <row r="41" spans="1:123" s="31" customFormat="1" ht="12.75" customHeight="1">
      <c r="A41" s="674"/>
      <c r="C41" s="8"/>
      <c r="H41" s="326"/>
      <c r="K41" s="326"/>
      <c r="L41" s="326"/>
      <c r="M41" s="326"/>
      <c r="O41" s="327"/>
      <c r="P41" s="327"/>
      <c r="Q41" s="327"/>
      <c r="R41" s="327"/>
      <c r="U41" s="327"/>
      <c r="V41" s="327"/>
      <c r="Y41" s="327"/>
      <c r="AB41" s="328"/>
      <c r="AC41" s="328"/>
      <c r="AD41" s="328"/>
      <c r="AE41" s="328"/>
      <c r="AF41" s="328"/>
      <c r="AG41" s="328"/>
      <c r="AH41" s="329"/>
      <c r="AI41" s="329"/>
      <c r="AJ41" s="329"/>
      <c r="AK41" s="329"/>
      <c r="AL41" s="329"/>
      <c r="AM41" s="329"/>
    </row>
    <row r="42" spans="1:123" s="13" customFormat="1" ht="13.35" customHeight="1" thickBot="1">
      <c r="A42" s="663"/>
      <c r="B42" s="88" t="s">
        <v>155</v>
      </c>
      <c r="C42" s="13" t="s">
        <v>189</v>
      </c>
      <c r="G42" s="137"/>
      <c r="H42" s="138"/>
      <c r="I42" s="137"/>
      <c r="J42" s="137"/>
      <c r="CV42" s="62"/>
      <c r="CW42" s="62"/>
      <c r="CX42" s="62"/>
      <c r="CY42" s="62"/>
      <c r="CZ42" s="62"/>
      <c r="DA42" s="62"/>
      <c r="DB42" s="62"/>
      <c r="DE42" s="62"/>
      <c r="DF42" s="62"/>
      <c r="DG42" s="62"/>
      <c r="DH42" s="62"/>
      <c r="DI42" s="62"/>
      <c r="DS42" s="69"/>
    </row>
    <row r="43" spans="1:123" s="17" customFormat="1" ht="12.6" customHeight="1">
      <c r="A43" s="664"/>
      <c r="C43" s="828"/>
      <c r="D43" s="829"/>
      <c r="E43" s="829"/>
      <c r="F43" s="829"/>
      <c r="G43" s="830"/>
      <c r="H43" s="139"/>
      <c r="I43" s="139"/>
      <c r="J43" s="139"/>
      <c r="CN43" s="13"/>
      <c r="CO43" s="13"/>
      <c r="CP43" s="13"/>
      <c r="CQ43" s="62"/>
      <c r="CR43" s="62"/>
      <c r="CS43" s="62"/>
      <c r="CT43" s="62"/>
      <c r="CU43" s="62"/>
      <c r="CV43" s="62"/>
      <c r="CW43" s="62"/>
      <c r="CX43" s="13"/>
      <c r="CY43" s="13"/>
      <c r="CZ43" s="62"/>
      <c r="DA43" s="62"/>
      <c r="DB43" s="62"/>
      <c r="DC43" s="62"/>
      <c r="DD43" s="62"/>
      <c r="DE43" s="13"/>
      <c r="DF43" s="13"/>
      <c r="DG43" s="13"/>
      <c r="DH43" s="13"/>
      <c r="DI43" s="13"/>
      <c r="DJ43" s="13"/>
      <c r="DK43" s="13"/>
      <c r="DL43" s="13"/>
      <c r="DM43" s="13"/>
      <c r="DN43" s="69"/>
      <c r="DO43" s="13"/>
      <c r="DP43" s="13"/>
    </row>
    <row r="44" spans="1:123" s="17" customFormat="1" ht="12.6" customHeight="1">
      <c r="A44" s="665"/>
      <c r="C44" s="831"/>
      <c r="D44" s="832"/>
      <c r="E44" s="832"/>
      <c r="F44" s="832"/>
      <c r="G44" s="833"/>
      <c r="H44" s="139"/>
      <c r="I44" s="139"/>
      <c r="J44" s="139"/>
      <c r="CN44" s="13"/>
      <c r="CO44" s="13"/>
      <c r="CP44" s="13"/>
      <c r="CQ44" s="62"/>
      <c r="CR44" s="62"/>
      <c r="CS44" s="62"/>
      <c r="CT44" s="62"/>
      <c r="CU44" s="62"/>
      <c r="CV44" s="62"/>
      <c r="CW44" s="62"/>
      <c r="CX44" s="13"/>
      <c r="CY44" s="13"/>
      <c r="CZ44" s="62"/>
      <c r="DA44" s="62"/>
      <c r="DB44" s="62"/>
      <c r="DC44" s="62"/>
      <c r="DD44" s="62"/>
      <c r="DE44" s="13"/>
      <c r="DF44" s="13"/>
      <c r="DG44" s="13"/>
      <c r="DH44" s="13"/>
      <c r="DI44" s="13"/>
      <c r="DJ44" s="13"/>
      <c r="DK44" s="13"/>
      <c r="DL44" s="13"/>
      <c r="DM44" s="13"/>
      <c r="DN44" s="69"/>
      <c r="DO44" s="13"/>
      <c r="DP44" s="13"/>
    </row>
    <row r="45" spans="1:123" s="17" customFormat="1" ht="12.6" customHeight="1" thickBot="1">
      <c r="A45" s="665"/>
      <c r="C45" s="834"/>
      <c r="D45" s="835"/>
      <c r="E45" s="835"/>
      <c r="F45" s="835"/>
      <c r="G45" s="836"/>
      <c r="H45" s="139"/>
      <c r="I45" s="139"/>
      <c r="J45" s="139"/>
      <c r="CN45" s="13"/>
      <c r="CO45" s="13"/>
      <c r="CP45" s="13"/>
      <c r="CQ45" s="62"/>
      <c r="CR45" s="62"/>
      <c r="CS45" s="62"/>
      <c r="CT45" s="62"/>
      <c r="CU45" s="62"/>
      <c r="CV45" s="62"/>
      <c r="CW45" s="62"/>
      <c r="CX45" s="13"/>
      <c r="CY45" s="13"/>
      <c r="CZ45" s="62"/>
      <c r="DA45" s="62"/>
      <c r="DB45" s="62"/>
      <c r="DC45" s="62"/>
      <c r="DD45" s="62"/>
      <c r="DE45" s="13"/>
      <c r="DF45" s="13"/>
      <c r="DG45" s="13"/>
      <c r="DH45" s="13"/>
      <c r="DI45" s="13"/>
      <c r="DJ45" s="13"/>
      <c r="DK45" s="13"/>
      <c r="DL45" s="13"/>
      <c r="DM45" s="13"/>
      <c r="DN45" s="13"/>
      <c r="DO45" s="13"/>
      <c r="DP45" s="13"/>
    </row>
    <row r="46" spans="1:123" ht="12.75" customHeight="1">
      <c r="A46" s="660"/>
    </row>
    <row r="47" spans="1:123" ht="12.75" customHeight="1">
      <c r="A47" s="540"/>
    </row>
    <row r="48" spans="1:123" ht="12.75" customHeight="1">
      <c r="A48" s="540"/>
    </row>
    <row r="49" spans="1:3" ht="12.75" customHeight="1">
      <c r="A49" s="540"/>
      <c r="B49" s="21" t="s">
        <v>292</v>
      </c>
      <c r="C49" s="140" t="s">
        <v>351</v>
      </c>
    </row>
  </sheetData>
  <mergeCells count="13">
    <mergeCell ref="C43:G45"/>
    <mergeCell ref="L5:L6"/>
    <mergeCell ref="M5:M6"/>
    <mergeCell ref="N5:N6"/>
    <mergeCell ref="O5:O6"/>
    <mergeCell ref="D9:F9"/>
    <mergeCell ref="D8:F8"/>
    <mergeCell ref="D14:F14"/>
    <mergeCell ref="D13:F13"/>
    <mergeCell ref="D12:F12"/>
    <mergeCell ref="D11:F11"/>
    <mergeCell ref="D10:F10"/>
    <mergeCell ref="C20:G22"/>
  </mergeCells>
  <phoneticPr fontId="136" type="noConversion"/>
  <conditionalFormatting sqref="G9:I14 C20:G22 D25 C30:F30 N30 C33:F35 N33:N35 I39 M39:N39 C43:G45">
    <cfRule type="containsBlanks" dxfId="2" priority="1">
      <formula>LEN(TRIM(C9))=0</formula>
    </cfRule>
  </conditionalFormatting>
  <dataValidations count="2">
    <dataValidation type="list" allowBlank="1" showInputMessage="1" sqref="H9:H14" xr:uid="{3DBEA3F3-0D23-4031-8AF4-6C3B2FD67411}">
      <formula1>"是,否"</formula1>
    </dataValidation>
    <dataValidation type="list" allowBlank="1" showInputMessage="1" sqref="I9:I14" xr:uid="{23A04A84-11D5-477E-A194-76B2771C9CD1}">
      <formula1>"是,不适用"</formula1>
    </dataValidation>
  </dataValidations>
  <hyperlinks>
    <hyperlink ref="J2" location="汇总!A1" display="返回汇总页" xr:uid="{00000000-0004-0000-1100-000000000000}"/>
  </hyperlinks>
  <pageMargins left="0.74791660000000004" right="0.74791660000000004" top="0.98402780000000001" bottom="0.98402780000000001" header="0.51180550000000002" footer="0.51180550000000002"/>
  <pageSetup paperSize="9" orientation="portrait" errors="blank"/>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5"/>
  <dimension ref="A1:DV53"/>
  <sheetViews>
    <sheetView showGridLines="0" zoomScale="70" zoomScaleNormal="70" workbookViewId="0">
      <selection activeCell="P38" sqref="P38"/>
    </sheetView>
  </sheetViews>
  <sheetFormatPr defaultColWidth="9.5703125" defaultRowHeight="12.75" customHeight="1" outlineLevelRow="1" outlineLevelCol="1"/>
  <cols>
    <col min="1" max="1" width="0.140625" style="164" customWidth="1"/>
    <col min="2" max="2" width="5.5703125" style="19" customWidth="1"/>
    <col min="3" max="3" width="18.140625" style="19" customWidth="1"/>
    <col min="4" max="4" width="36.5703125" style="19" customWidth="1"/>
    <col min="5" max="6" width="24.5703125" style="19" customWidth="1"/>
    <col min="7" max="7" width="16.85546875" style="19" customWidth="1"/>
    <col min="8" max="8" width="16.7109375" style="19" customWidth="1"/>
    <col min="9" max="9" width="29.42578125" style="19" customWidth="1"/>
    <col min="10" max="10" width="23.85546875" style="19" customWidth="1"/>
    <col min="11" max="11" width="34.140625" style="19" customWidth="1" outlineLevel="1"/>
    <col min="12" max="12" width="14.7109375" style="19" customWidth="1" outlineLevel="1"/>
    <col min="13" max="14" width="14.7109375" style="19" customWidth="1"/>
    <col min="15" max="15" width="14.140625" style="19" customWidth="1"/>
    <col min="16" max="16" width="26.42578125" style="19" customWidth="1"/>
    <col min="17" max="18" width="11.28515625" style="19" customWidth="1"/>
    <col min="19" max="19" width="9.42578125" style="19" customWidth="1"/>
    <col min="20" max="23" width="8.7109375" style="19" customWidth="1"/>
    <col min="24" max="24" width="15.140625" style="19" customWidth="1"/>
    <col min="25" max="25" width="15.42578125" style="19" customWidth="1"/>
    <col min="26" max="26" width="16" style="19" customWidth="1"/>
    <col min="27" max="27" width="9.5703125" style="19"/>
    <col min="28" max="28" width="7.7109375" style="19" customWidth="1"/>
    <col min="29" max="30" width="13.28515625" style="19" customWidth="1"/>
    <col min="31" max="31" width="10.42578125" style="19" customWidth="1"/>
    <col min="32" max="32" width="11.7109375" style="19" customWidth="1"/>
    <col min="33" max="33" width="7.5703125" style="19" customWidth="1"/>
    <col min="34" max="34" width="8.85546875" style="19" customWidth="1"/>
    <col min="35" max="16384" width="9.5703125" style="19"/>
  </cols>
  <sheetData>
    <row r="1" spans="1:126" ht="12.75" customHeight="1">
      <c r="A1" s="540" t="s">
        <v>352</v>
      </c>
    </row>
    <row r="2" spans="1:126" s="9" customFormat="1" ht="19.5" customHeight="1">
      <c r="A2" s="539"/>
      <c r="C2" s="473"/>
      <c r="J2" s="48" t="s">
        <v>108</v>
      </c>
    </row>
    <row r="3" spans="1:126" ht="13.35" customHeight="1" thickBot="1">
      <c r="A3" s="540"/>
      <c r="CP3" s="143"/>
      <c r="CQ3" s="6"/>
      <c r="CR3" s="6"/>
      <c r="CS3" s="143"/>
      <c r="CT3" s="143"/>
      <c r="CU3" s="143"/>
      <c r="CV3" s="143"/>
      <c r="CW3" s="143"/>
      <c r="CX3" s="143"/>
      <c r="CY3" s="143"/>
      <c r="CZ3" s="143"/>
      <c r="DA3" s="6"/>
      <c r="DB3" s="143"/>
      <c r="DC3" s="143"/>
      <c r="DD3" s="143"/>
      <c r="DE3" s="143"/>
      <c r="DF3" s="143"/>
      <c r="DG3" s="6"/>
      <c r="DH3" s="6"/>
      <c r="DI3" s="6"/>
      <c r="DJ3" s="6"/>
      <c r="DK3" s="6"/>
      <c r="DL3" s="6"/>
      <c r="DM3" s="6"/>
      <c r="DN3" s="6"/>
      <c r="DO3" s="6"/>
      <c r="DP3" s="150"/>
      <c r="DQ3" s="143"/>
      <c r="DR3" s="149"/>
    </row>
    <row r="4" spans="1:126" ht="21">
      <c r="A4" s="540"/>
      <c r="C4" s="757" t="s">
        <v>159</v>
      </c>
      <c r="D4" s="758"/>
      <c r="E4" s="758"/>
      <c r="F4" s="758"/>
      <c r="G4" s="758"/>
      <c r="H4" s="758"/>
      <c r="I4" s="758"/>
      <c r="J4" s="759"/>
      <c r="K4" s="151"/>
      <c r="L4" s="151"/>
      <c r="M4" s="151"/>
      <c r="CR4" s="6"/>
      <c r="CS4" s="6"/>
      <c r="CT4" s="6"/>
      <c r="CU4" s="143"/>
      <c r="CV4" s="143"/>
      <c r="CW4" s="143"/>
      <c r="CX4" s="143"/>
      <c r="CY4" s="143"/>
      <c r="CZ4" s="143"/>
      <c r="DA4" s="143"/>
      <c r="DB4" s="143"/>
      <c r="DC4" s="6"/>
      <c r="DD4" s="143"/>
      <c r="DE4" s="143"/>
      <c r="DF4" s="143"/>
      <c r="DG4" s="143"/>
      <c r="DH4" s="143"/>
      <c r="DI4" s="6"/>
      <c r="DJ4" s="6"/>
      <c r="DK4" s="6"/>
      <c r="DL4" s="6"/>
      <c r="DM4" s="6"/>
      <c r="DN4" s="6"/>
      <c r="DO4" s="6"/>
      <c r="DP4" s="6"/>
      <c r="DQ4" s="6"/>
      <c r="DR4" s="150"/>
      <c r="DS4" s="6"/>
      <c r="DT4" s="6"/>
    </row>
    <row r="5" spans="1:126" ht="20.25">
      <c r="A5" s="540"/>
      <c r="C5" s="49" t="s">
        <v>353</v>
      </c>
      <c r="D5" s="152"/>
      <c r="E5" s="152"/>
      <c r="F5" s="152"/>
      <c r="G5" s="152"/>
      <c r="H5" s="152"/>
      <c r="I5" s="152"/>
      <c r="J5" s="153"/>
      <c r="K5" s="151"/>
      <c r="L5" s="843"/>
      <c r="M5" s="843"/>
      <c r="N5" s="843"/>
      <c r="O5" s="842"/>
      <c r="CR5" s="6"/>
      <c r="CS5" s="6"/>
      <c r="CT5" s="154"/>
      <c r="CU5" s="143"/>
      <c r="CV5" s="143"/>
      <c r="CW5" s="143"/>
      <c r="CX5" s="143"/>
      <c r="CY5" s="143"/>
      <c r="CZ5" s="143"/>
      <c r="DA5" s="143"/>
      <c r="DB5" s="143"/>
      <c r="DC5" s="6"/>
      <c r="DD5" s="143"/>
      <c r="DE5" s="143"/>
      <c r="DF5" s="143"/>
      <c r="DG5" s="143"/>
      <c r="DH5" s="143"/>
      <c r="DI5" s="6"/>
      <c r="DJ5" s="6"/>
      <c r="DK5" s="6"/>
      <c r="DL5" s="6"/>
      <c r="DM5" s="6"/>
      <c r="DN5" s="6"/>
      <c r="DO5" s="6"/>
      <c r="DP5" s="6"/>
      <c r="DQ5" s="6"/>
      <c r="DR5" s="150"/>
      <c r="DS5" s="6"/>
      <c r="DT5" s="6"/>
    </row>
    <row r="6" spans="1:126" ht="20.25">
      <c r="A6" s="540"/>
      <c r="C6" s="49" t="s">
        <v>194</v>
      </c>
      <c r="D6" s="152"/>
      <c r="E6" s="152"/>
      <c r="F6" s="152"/>
      <c r="G6" s="152"/>
      <c r="H6" s="152"/>
      <c r="I6" s="152"/>
      <c r="J6" s="153"/>
      <c r="K6" s="151"/>
      <c r="L6" s="843"/>
      <c r="M6" s="843"/>
      <c r="N6" s="843"/>
      <c r="O6" s="842"/>
      <c r="CR6" s="6"/>
      <c r="CS6" s="154"/>
      <c r="CT6" s="154"/>
      <c r="CU6" s="143"/>
      <c r="CV6" s="143"/>
      <c r="CW6" s="143"/>
      <c r="CX6" s="143"/>
      <c r="CY6" s="143"/>
      <c r="CZ6" s="143"/>
      <c r="DA6" s="143"/>
      <c r="DB6" s="143"/>
      <c r="DC6" s="154"/>
      <c r="DD6" s="143"/>
      <c r="DE6" s="143"/>
      <c r="DF6" s="143"/>
      <c r="DG6" s="143"/>
      <c r="DH6" s="143"/>
      <c r="DI6" s="154"/>
      <c r="DJ6" s="6"/>
      <c r="DK6" s="6"/>
      <c r="DL6" s="6"/>
      <c r="DM6" s="6"/>
      <c r="DN6" s="6"/>
      <c r="DO6" s="154"/>
      <c r="DP6" s="154"/>
      <c r="DQ6" s="154"/>
      <c r="DR6" s="155"/>
      <c r="DS6" s="6"/>
      <c r="DT6" s="6"/>
    </row>
    <row r="7" spans="1:126" ht="12.6" customHeight="1">
      <c r="A7" s="540"/>
      <c r="C7" s="49"/>
      <c r="D7" s="152"/>
      <c r="E7" s="152"/>
      <c r="F7" s="152"/>
      <c r="G7" s="152"/>
      <c r="H7" s="152"/>
      <c r="I7" s="152"/>
      <c r="J7" s="153"/>
      <c r="K7" s="151"/>
      <c r="L7" s="353"/>
      <c r="M7" s="156"/>
      <c r="N7" s="330"/>
      <c r="O7" s="156"/>
      <c r="CR7" s="6"/>
      <c r="CS7" s="154"/>
      <c r="CT7" s="154"/>
      <c r="CU7" s="143"/>
      <c r="CV7" s="143"/>
      <c r="CW7" s="143"/>
      <c r="CX7" s="143"/>
      <c r="CY7" s="143"/>
      <c r="CZ7" s="143"/>
      <c r="DA7" s="143"/>
      <c r="DB7" s="143"/>
      <c r="DC7" s="154"/>
      <c r="DD7" s="143"/>
      <c r="DE7" s="143"/>
      <c r="DF7" s="143"/>
      <c r="DG7" s="143"/>
      <c r="DH7" s="143"/>
      <c r="DI7" s="154"/>
      <c r="DJ7" s="6"/>
      <c r="DK7" s="6"/>
      <c r="DL7" s="6"/>
      <c r="DM7" s="6"/>
      <c r="DN7" s="6"/>
      <c r="DO7" s="154"/>
      <c r="DP7" s="154"/>
      <c r="DQ7" s="154"/>
      <c r="DR7" s="155"/>
      <c r="DS7" s="6"/>
      <c r="DT7" s="6"/>
    </row>
    <row r="8" spans="1:126" ht="21">
      <c r="A8" s="540"/>
      <c r="C8" s="513" t="s">
        <v>111</v>
      </c>
      <c r="D8" s="845" t="s">
        <v>112</v>
      </c>
      <c r="E8" s="845"/>
      <c r="F8" s="845"/>
      <c r="G8" s="157" t="s">
        <v>113</v>
      </c>
      <c r="H8" s="507" t="s">
        <v>114</v>
      </c>
      <c r="I8" s="507" t="s">
        <v>115</v>
      </c>
      <c r="J8" s="514" t="s">
        <v>116</v>
      </c>
      <c r="K8" s="158"/>
      <c r="L8" s="151"/>
      <c r="M8" s="151"/>
      <c r="N8" s="151"/>
      <c r="CS8" s="7"/>
      <c r="CT8" s="7"/>
      <c r="CU8" s="7"/>
      <c r="CV8" s="143"/>
      <c r="CW8" s="143"/>
      <c r="CX8" s="143"/>
      <c r="CY8" s="143"/>
      <c r="CZ8" s="143"/>
      <c r="DA8" s="143"/>
      <c r="DB8" s="143"/>
      <c r="DC8" s="143"/>
      <c r="DD8" s="7"/>
      <c r="DE8" s="143"/>
      <c r="DF8" s="143"/>
      <c r="DG8" s="143"/>
      <c r="DH8" s="143"/>
      <c r="DI8" s="143"/>
      <c r="DJ8" s="7"/>
      <c r="DK8" s="154"/>
      <c r="DL8" s="154"/>
      <c r="DM8" s="154"/>
      <c r="DN8" s="154"/>
      <c r="DO8" s="154"/>
      <c r="DP8" s="7"/>
      <c r="DQ8" s="7"/>
      <c r="DR8" s="7"/>
      <c r="DS8" s="155"/>
      <c r="DT8" s="7"/>
      <c r="DU8" s="159"/>
    </row>
    <row r="9" spans="1:126" ht="21" outlineLevel="1">
      <c r="A9" s="660"/>
      <c r="C9" s="515">
        <v>1</v>
      </c>
      <c r="D9" s="844" t="s">
        <v>354</v>
      </c>
      <c r="E9" s="844"/>
      <c r="F9" s="844"/>
      <c r="G9" s="560" t="s">
        <v>163</v>
      </c>
      <c r="H9" s="508" t="s">
        <v>119</v>
      </c>
      <c r="I9" s="509"/>
      <c r="J9" s="516"/>
      <c r="K9" s="158"/>
      <c r="L9" s="158"/>
      <c r="M9" s="160"/>
      <c r="N9" s="160"/>
      <c r="O9" s="160"/>
      <c r="CT9" s="154"/>
      <c r="CU9" s="7"/>
      <c r="CV9" s="154"/>
      <c r="CW9" s="143"/>
      <c r="CX9" s="143"/>
      <c r="CY9" s="143"/>
      <c r="CZ9" s="143"/>
      <c r="DA9" s="143"/>
      <c r="DB9" s="143"/>
      <c r="DC9" s="143"/>
      <c r="DD9" s="143"/>
      <c r="DE9" s="7"/>
      <c r="DF9" s="143"/>
      <c r="DG9" s="143"/>
      <c r="DH9" s="143"/>
      <c r="DI9" s="143"/>
      <c r="DJ9" s="143"/>
      <c r="DK9" s="7"/>
      <c r="DL9" s="7"/>
      <c r="DM9" s="7"/>
      <c r="DN9" s="7"/>
      <c r="DO9" s="7"/>
      <c r="DP9" s="7"/>
      <c r="DQ9" s="7"/>
      <c r="DR9" s="7"/>
      <c r="DS9" s="7"/>
      <c r="DT9" s="155"/>
      <c r="DU9" s="154"/>
      <c r="DV9" s="8"/>
    </row>
    <row r="10" spans="1:126" ht="61.5" customHeight="1" outlineLevel="1">
      <c r="A10" s="660"/>
      <c r="C10" s="515">
        <v>2</v>
      </c>
      <c r="D10" s="844" t="s">
        <v>164</v>
      </c>
      <c r="E10" s="844"/>
      <c r="F10" s="844"/>
      <c r="G10" s="560" t="s">
        <v>163</v>
      </c>
      <c r="H10" s="508" t="s">
        <v>119</v>
      </c>
      <c r="I10" s="509"/>
      <c r="J10" s="516"/>
      <c r="K10" s="158"/>
      <c r="L10" s="158"/>
      <c r="M10" s="160"/>
      <c r="N10" s="160"/>
      <c r="O10" s="160"/>
      <c r="CT10" s="154"/>
      <c r="CU10" s="7"/>
      <c r="CV10" s="154"/>
      <c r="CW10" s="143"/>
      <c r="CX10" s="143"/>
      <c r="CY10" s="143"/>
      <c r="CZ10" s="143"/>
      <c r="DA10" s="143"/>
      <c r="DB10" s="143"/>
      <c r="DC10" s="143"/>
      <c r="DD10" s="143"/>
      <c r="DE10" s="7"/>
      <c r="DF10" s="143"/>
      <c r="DG10" s="143"/>
      <c r="DH10" s="143"/>
      <c r="DI10" s="143"/>
      <c r="DJ10" s="143"/>
      <c r="DK10" s="7"/>
      <c r="DL10" s="7"/>
      <c r="DM10" s="7"/>
      <c r="DN10" s="7"/>
      <c r="DO10" s="7"/>
      <c r="DP10" s="7"/>
      <c r="DQ10" s="7"/>
      <c r="DR10" s="7"/>
      <c r="DS10" s="7"/>
      <c r="DT10" s="155"/>
      <c r="DU10" s="154"/>
      <c r="DV10" s="8"/>
    </row>
    <row r="11" spans="1:126" ht="40.5" customHeight="1" outlineLevel="1">
      <c r="A11" s="660"/>
      <c r="C11" s="515">
        <v>3</v>
      </c>
      <c r="D11" s="844" t="s">
        <v>196</v>
      </c>
      <c r="E11" s="844"/>
      <c r="F11" s="844"/>
      <c r="G11" s="560" t="s">
        <v>355</v>
      </c>
      <c r="H11" s="508" t="s">
        <v>119</v>
      </c>
      <c r="I11" s="509"/>
      <c r="J11" s="516"/>
      <c r="K11" s="158"/>
      <c r="L11" s="158"/>
      <c r="M11" s="151"/>
      <c r="N11" s="151"/>
      <c r="O11" s="151"/>
      <c r="CT11" s="7"/>
      <c r="CU11" s="154"/>
      <c r="CV11" s="162"/>
      <c r="CW11" s="143"/>
      <c r="CX11" s="143"/>
      <c r="CY11" s="143"/>
      <c r="CZ11" s="143"/>
      <c r="DA11" s="143"/>
      <c r="DB11" s="143"/>
      <c r="DC11" s="143"/>
      <c r="DD11" s="143"/>
      <c r="DE11" s="154"/>
      <c r="DF11" s="143"/>
      <c r="DG11" s="143"/>
      <c r="DH11" s="143"/>
      <c r="DI11" s="143"/>
      <c r="DJ11" s="143"/>
      <c r="DK11" s="154"/>
      <c r="DL11" s="7"/>
      <c r="DM11" s="7"/>
      <c r="DN11" s="7"/>
      <c r="DO11" s="7"/>
      <c r="DP11" s="7"/>
      <c r="DQ11" s="154"/>
      <c r="DR11" s="154"/>
      <c r="DS11" s="154"/>
      <c r="DT11" s="155"/>
      <c r="DU11" s="7"/>
      <c r="DV11" s="7"/>
    </row>
    <row r="12" spans="1:126" ht="97.35" customHeight="1" outlineLevel="1">
      <c r="A12" s="660"/>
      <c r="C12" s="515">
        <v>4</v>
      </c>
      <c r="D12" s="869" t="s">
        <v>356</v>
      </c>
      <c r="E12" s="869"/>
      <c r="F12" s="869"/>
      <c r="G12" s="517" t="s">
        <v>357</v>
      </c>
      <c r="H12" s="508" t="s">
        <v>119</v>
      </c>
      <c r="I12" s="509"/>
      <c r="J12" s="620"/>
      <c r="K12" s="158"/>
      <c r="L12" s="158"/>
      <c r="M12" s="151"/>
      <c r="N12" s="151"/>
      <c r="O12" s="151"/>
      <c r="CT12" s="7"/>
      <c r="CU12" s="154"/>
      <c r="CV12" s="162"/>
      <c r="CW12" s="143"/>
      <c r="CX12" s="143"/>
      <c r="CY12" s="143"/>
      <c r="CZ12" s="143"/>
      <c r="DA12" s="143"/>
      <c r="DB12" s="143"/>
      <c r="DC12" s="143"/>
      <c r="DD12" s="143"/>
      <c r="DE12" s="154"/>
      <c r="DF12" s="143"/>
      <c r="DG12" s="143"/>
      <c r="DH12" s="143"/>
      <c r="DI12" s="143"/>
      <c r="DJ12" s="143"/>
      <c r="DK12" s="154"/>
      <c r="DL12" s="7"/>
      <c r="DM12" s="7"/>
      <c r="DN12" s="7"/>
      <c r="DO12" s="7"/>
      <c r="DP12" s="7"/>
      <c r="DQ12" s="154"/>
      <c r="DR12" s="154"/>
      <c r="DS12" s="154"/>
      <c r="DT12" s="155"/>
      <c r="DU12" s="7"/>
      <c r="DV12" s="7"/>
    </row>
    <row r="13" spans="1:126" ht="40.5" customHeight="1" outlineLevel="1">
      <c r="A13" s="660"/>
      <c r="C13" s="515">
        <v>5</v>
      </c>
      <c r="D13" s="844" t="s">
        <v>198</v>
      </c>
      <c r="E13" s="844"/>
      <c r="F13" s="844"/>
      <c r="G13" s="517" t="s">
        <v>358</v>
      </c>
      <c r="H13" s="508" t="s">
        <v>119</v>
      </c>
      <c r="I13" s="509"/>
      <c r="J13" s="516"/>
      <c r="K13" s="158"/>
      <c r="L13" s="158"/>
      <c r="M13" s="151"/>
      <c r="N13" s="151"/>
      <c r="O13" s="151"/>
      <c r="CT13" s="7"/>
      <c r="CU13" s="162"/>
      <c r="CV13" s="162"/>
      <c r="CW13" s="143"/>
      <c r="CX13" s="143"/>
      <c r="CY13" s="143"/>
      <c r="CZ13" s="143"/>
      <c r="DA13" s="143"/>
      <c r="DB13" s="143"/>
      <c r="DC13" s="143"/>
      <c r="DD13" s="143"/>
      <c r="DE13" s="162"/>
      <c r="DF13" s="143"/>
      <c r="DG13" s="143"/>
      <c r="DH13" s="143"/>
      <c r="DI13" s="143"/>
      <c r="DJ13" s="143"/>
      <c r="DK13" s="162"/>
      <c r="DL13" s="154"/>
      <c r="DM13" s="154"/>
      <c r="DN13" s="154"/>
      <c r="DO13" s="154"/>
      <c r="DP13" s="154"/>
      <c r="DQ13" s="162"/>
      <c r="DR13" s="162"/>
      <c r="DS13" s="162"/>
      <c r="DT13" s="150"/>
      <c r="DU13" s="7"/>
      <c r="DV13" s="159"/>
    </row>
    <row r="14" spans="1:126" ht="40.5" customHeight="1" outlineLevel="1">
      <c r="A14" s="660"/>
      <c r="C14" s="515">
        <v>6</v>
      </c>
      <c r="D14" s="844" t="s">
        <v>170</v>
      </c>
      <c r="E14" s="844"/>
      <c r="F14" s="844"/>
      <c r="G14" s="560" t="s">
        <v>163</v>
      </c>
      <c r="H14" s="508" t="s">
        <v>119</v>
      </c>
      <c r="I14" s="509"/>
      <c r="J14" s="516"/>
      <c r="K14" s="158"/>
      <c r="L14" s="158"/>
      <c r="M14" s="151"/>
      <c r="N14" s="151"/>
      <c r="O14" s="151"/>
      <c r="CT14" s="7"/>
      <c r="CU14" s="162"/>
      <c r="CV14" s="162"/>
      <c r="CW14" s="143"/>
      <c r="CX14" s="143"/>
      <c r="CY14" s="143"/>
      <c r="CZ14" s="143"/>
      <c r="DA14" s="143"/>
      <c r="DB14" s="143"/>
      <c r="DC14" s="143"/>
      <c r="DD14" s="143"/>
      <c r="DE14" s="162"/>
      <c r="DF14" s="143"/>
      <c r="DG14" s="143"/>
      <c r="DH14" s="143"/>
      <c r="DI14" s="143"/>
      <c r="DJ14" s="143"/>
      <c r="DK14" s="162"/>
      <c r="DL14" s="154"/>
      <c r="DM14" s="154"/>
      <c r="DN14" s="154"/>
      <c r="DO14" s="154"/>
      <c r="DP14" s="154"/>
      <c r="DQ14" s="162"/>
      <c r="DR14" s="162"/>
      <c r="DS14" s="162"/>
      <c r="DT14" s="150"/>
      <c r="DU14" s="7"/>
      <c r="DV14" s="159"/>
    </row>
    <row r="15" spans="1:126" ht="18.75" thickBot="1">
      <c r="A15" s="660"/>
      <c r="C15" s="253"/>
      <c r="D15" s="208"/>
      <c r="E15" s="208"/>
      <c r="F15" s="208"/>
      <c r="G15" s="208"/>
      <c r="H15" s="208"/>
      <c r="I15" s="208"/>
      <c r="J15" s="254"/>
      <c r="K15" s="151"/>
      <c r="L15" s="151"/>
      <c r="M15" s="151"/>
      <c r="CR15" s="7"/>
      <c r="CS15" s="162"/>
      <c r="CT15" s="162"/>
      <c r="CU15" s="143"/>
      <c r="CV15" s="143"/>
      <c r="CW15" s="143"/>
      <c r="CX15" s="143"/>
      <c r="CY15" s="143"/>
      <c r="CZ15" s="143"/>
      <c r="DA15" s="143"/>
      <c r="DB15" s="143"/>
      <c r="DC15" s="162"/>
      <c r="DD15" s="143"/>
      <c r="DE15" s="143"/>
      <c r="DF15" s="143"/>
      <c r="DG15" s="143"/>
      <c r="DH15" s="143"/>
      <c r="DI15" s="162"/>
      <c r="DJ15" s="154"/>
      <c r="DK15" s="154"/>
      <c r="DL15" s="154"/>
      <c r="DM15" s="154"/>
      <c r="DN15" s="154"/>
      <c r="DO15" s="162"/>
      <c r="DP15" s="162"/>
      <c r="DQ15" s="162"/>
      <c r="DR15" s="150"/>
      <c r="DS15" s="7"/>
      <c r="DT15" s="159"/>
    </row>
    <row r="16" spans="1:126" ht="12.6" customHeight="1">
      <c r="A16" s="660"/>
      <c r="C16" s="163"/>
      <c r="CR16" s="6"/>
      <c r="CS16" s="6"/>
      <c r="CT16" s="6"/>
      <c r="CU16" s="143"/>
      <c r="CV16" s="143"/>
      <c r="CW16" s="143"/>
      <c r="CX16" s="143"/>
      <c r="CY16" s="143"/>
      <c r="CZ16" s="143"/>
      <c r="DA16" s="143"/>
      <c r="DB16" s="143"/>
      <c r="DC16" s="6"/>
      <c r="DD16" s="143"/>
      <c r="DE16" s="143"/>
      <c r="DF16" s="143"/>
      <c r="DG16" s="143"/>
      <c r="DH16" s="143"/>
      <c r="DI16" s="6"/>
      <c r="DJ16" s="6"/>
      <c r="DK16" s="6"/>
      <c r="DL16" s="6"/>
      <c r="DM16" s="6"/>
      <c r="DN16" s="6"/>
      <c r="DO16" s="6"/>
      <c r="DP16" s="6"/>
      <c r="DQ16" s="6"/>
      <c r="DR16" s="150"/>
      <c r="DS16" s="6"/>
      <c r="DT16" s="6"/>
    </row>
    <row r="17" spans="1:124" ht="12.6" customHeight="1">
      <c r="A17" s="660"/>
      <c r="C17" s="163"/>
      <c r="CR17" s="6"/>
      <c r="CS17" s="6"/>
      <c r="CT17" s="6"/>
      <c r="CU17" s="143"/>
      <c r="CV17" s="143"/>
      <c r="CW17" s="143"/>
      <c r="CX17" s="143"/>
      <c r="CY17" s="143"/>
      <c r="CZ17" s="143"/>
      <c r="DA17" s="143"/>
      <c r="DB17" s="143"/>
      <c r="DC17" s="6"/>
      <c r="DD17" s="143"/>
      <c r="DE17" s="143"/>
      <c r="DF17" s="143"/>
      <c r="DG17" s="143"/>
      <c r="DH17" s="143"/>
      <c r="DI17" s="6"/>
      <c r="DJ17" s="6"/>
      <c r="DK17" s="6"/>
      <c r="DL17" s="6"/>
      <c r="DM17" s="6"/>
      <c r="DN17" s="6"/>
      <c r="DO17" s="6"/>
      <c r="DP17" s="6"/>
      <c r="DQ17" s="6"/>
      <c r="DR17" s="150"/>
      <c r="DS17" s="6"/>
      <c r="DT17" s="6"/>
    </row>
    <row r="18" spans="1:124" ht="12.6" customHeight="1">
      <c r="A18" s="660"/>
      <c r="C18" s="163"/>
      <c r="CR18" s="6"/>
      <c r="CS18" s="6"/>
      <c r="CT18" s="6"/>
      <c r="CU18" s="143"/>
      <c r="CV18" s="143"/>
      <c r="CW18" s="143"/>
      <c r="CX18" s="143"/>
      <c r="CY18" s="143"/>
      <c r="CZ18" s="143"/>
      <c r="DA18" s="143"/>
      <c r="DB18" s="143"/>
      <c r="DC18" s="6"/>
      <c r="DD18" s="143"/>
      <c r="DE18" s="143"/>
      <c r="DF18" s="143"/>
      <c r="DG18" s="143"/>
      <c r="DH18" s="143"/>
      <c r="DI18" s="6"/>
      <c r="DJ18" s="6"/>
      <c r="DK18" s="6"/>
      <c r="DL18" s="6"/>
      <c r="DM18" s="6"/>
      <c r="DN18" s="6"/>
      <c r="DO18" s="6"/>
      <c r="DP18" s="6"/>
      <c r="DQ18" s="6"/>
      <c r="DR18" s="150"/>
      <c r="DS18" s="6"/>
      <c r="DT18" s="6"/>
    </row>
    <row r="19" spans="1:124" s="20" customFormat="1" ht="18.75" thickBot="1">
      <c r="A19" s="656"/>
      <c r="C19" s="474" t="s">
        <v>121</v>
      </c>
      <c r="D19" s="438"/>
      <c r="E19" s="438"/>
      <c r="F19" s="438"/>
      <c r="G19" s="438"/>
      <c r="H19" s="438"/>
      <c r="I19" s="438"/>
      <c r="J19" s="438"/>
      <c r="K19" s="23"/>
      <c r="L19" s="217"/>
      <c r="M19" s="217"/>
      <c r="Q19" s="158"/>
    </row>
    <row r="20" spans="1:124" s="20" customFormat="1" ht="18" customHeight="1">
      <c r="A20" s="656"/>
      <c r="C20" s="819"/>
      <c r="D20" s="820"/>
      <c r="E20" s="820"/>
      <c r="F20" s="820"/>
      <c r="G20" s="821"/>
      <c r="H20" s="438"/>
      <c r="I20" s="438"/>
      <c r="J20" s="438"/>
      <c r="K20" s="23"/>
      <c r="L20" s="217"/>
      <c r="M20" s="217"/>
      <c r="Q20" s="158"/>
    </row>
    <row r="21" spans="1:124" s="20" customFormat="1" ht="18" customHeight="1">
      <c r="A21" s="656"/>
      <c r="C21" s="822"/>
      <c r="D21" s="823"/>
      <c r="E21" s="823"/>
      <c r="F21" s="823"/>
      <c r="G21" s="824"/>
      <c r="H21" s="438"/>
      <c r="I21" s="438"/>
      <c r="J21" s="438"/>
      <c r="K21" s="23"/>
      <c r="L21" s="217"/>
      <c r="M21" s="217"/>
      <c r="Q21" s="158"/>
    </row>
    <row r="22" spans="1:124" s="20" customFormat="1" ht="18" customHeight="1" thickBot="1">
      <c r="A22" s="656"/>
      <c r="C22" s="825"/>
      <c r="D22" s="826"/>
      <c r="E22" s="826"/>
      <c r="F22" s="826"/>
      <c r="G22" s="827"/>
      <c r="H22" s="438"/>
      <c r="I22" s="438"/>
      <c r="J22" s="438"/>
      <c r="K22" s="23"/>
      <c r="L22" s="217"/>
      <c r="M22" s="217"/>
      <c r="Q22" s="158"/>
    </row>
    <row r="23" spans="1:124" s="4" customFormat="1" ht="13.5" thickBot="1">
      <c r="A23" s="545"/>
      <c r="C23" s="550"/>
      <c r="D23" s="551"/>
      <c r="E23" s="192"/>
      <c r="F23" s="192"/>
      <c r="G23" s="192"/>
      <c r="H23" s="192"/>
      <c r="I23" s="158"/>
      <c r="J23" s="158"/>
      <c r="K23" s="552"/>
      <c r="L23" s="424"/>
      <c r="M23" s="424"/>
      <c r="N23" s="424"/>
      <c r="O23" s="424"/>
      <c r="P23" s="424"/>
      <c r="Q23" s="424"/>
      <c r="R23" s="425"/>
    </row>
    <row r="24" spans="1:124" s="4" customFormat="1" ht="63.75">
      <c r="A24" s="545"/>
      <c r="C24" s="745" t="str">
        <f>"波动范围 ("&amp;D13&amp; "):"</f>
        <v>波动范围 (调查任何异常交易，并基于综合风险评估和已确定的测试临界值测试交易。):</v>
      </c>
      <c r="D24" s="746">
        <f>汇总!$F$21</f>
        <v>0</v>
      </c>
      <c r="E24" s="553"/>
      <c r="F24" s="553"/>
      <c r="G24" s="553"/>
      <c r="H24" s="553"/>
      <c r="I24" s="553"/>
      <c r="J24" s="553"/>
      <c r="K24" s="553"/>
      <c r="L24" s="424"/>
      <c r="M24" s="424"/>
      <c r="N24" s="424"/>
      <c r="O24" s="424"/>
      <c r="P24" s="424"/>
      <c r="Q24" s="424"/>
      <c r="R24" s="425"/>
    </row>
    <row r="25" spans="1:124" s="4" customFormat="1" ht="17.25" thickBot="1">
      <c r="A25" s="545"/>
      <c r="C25" s="554" t="s">
        <v>171</v>
      </c>
      <c r="D25" s="476"/>
      <c r="E25" s="5"/>
      <c r="F25" s="5"/>
      <c r="G25" s="5"/>
      <c r="H25" s="5"/>
      <c r="I25" s="5"/>
      <c r="J25" s="5"/>
      <c r="K25" s="5"/>
      <c r="L25" s="424"/>
      <c r="M25" s="424"/>
      <c r="N25" s="424"/>
      <c r="O25" s="424"/>
      <c r="P25" s="424"/>
      <c r="Q25" s="424"/>
      <c r="R25" s="425"/>
    </row>
    <row r="26" spans="1:124" ht="12.6" customHeight="1">
      <c r="A26" s="660"/>
      <c r="CP26" s="6"/>
      <c r="CQ26" s="6"/>
      <c r="CR26" s="6"/>
      <c r="CS26" s="143"/>
      <c r="CT26" s="143"/>
      <c r="CU26" s="143"/>
      <c r="CV26" s="143"/>
      <c r="CW26" s="143"/>
      <c r="CX26" s="143"/>
      <c r="CY26" s="143"/>
      <c r="CZ26" s="143"/>
      <c r="DA26" s="6"/>
      <c r="DB26" s="143"/>
      <c r="DC26" s="143"/>
      <c r="DD26" s="143"/>
      <c r="DE26" s="143"/>
      <c r="DF26" s="143"/>
      <c r="DG26" s="6"/>
      <c r="DH26" s="6"/>
      <c r="DI26" s="6"/>
      <c r="DJ26" s="6"/>
      <c r="DK26" s="6"/>
      <c r="DL26" s="6"/>
      <c r="DM26" s="6"/>
      <c r="DN26" s="6"/>
      <c r="DO26" s="6"/>
      <c r="DP26" s="150"/>
      <c r="DQ26" s="6"/>
      <c r="DR26" s="6"/>
    </row>
    <row r="27" spans="1:124" ht="12.75" customHeight="1">
      <c r="A27" s="660"/>
      <c r="CR27" s="6"/>
      <c r="CS27" s="6"/>
      <c r="CT27" s="6"/>
      <c r="CU27" s="143"/>
      <c r="CV27" s="143"/>
      <c r="CW27" s="143"/>
      <c r="CX27" s="143"/>
      <c r="CY27" s="143"/>
      <c r="CZ27" s="143"/>
      <c r="DA27" s="143"/>
      <c r="DB27" s="143"/>
      <c r="DC27" s="6"/>
      <c r="DD27" s="143"/>
      <c r="DE27" s="143"/>
      <c r="DF27" s="143"/>
      <c r="DG27" s="143"/>
      <c r="DH27" s="143"/>
      <c r="DI27" s="6"/>
      <c r="DJ27" s="6"/>
      <c r="DK27" s="6"/>
      <c r="DL27" s="6"/>
      <c r="DM27" s="6"/>
      <c r="DN27" s="6"/>
      <c r="DO27" s="6"/>
      <c r="DP27" s="6"/>
      <c r="DQ27" s="6"/>
      <c r="DR27" s="150"/>
      <c r="DS27" s="6"/>
      <c r="DT27" s="6"/>
    </row>
    <row r="28" spans="1:124">
      <c r="A28" s="660"/>
      <c r="C28" s="164"/>
      <c r="D28" s="211"/>
      <c r="E28" s="192"/>
      <c r="F28" s="192" t="s">
        <v>123</v>
      </c>
      <c r="G28" s="441"/>
      <c r="H28" s="164" t="s">
        <v>124</v>
      </c>
      <c r="I28" s="192" t="s">
        <v>125</v>
      </c>
      <c r="J28" s="164"/>
      <c r="K28" s="164"/>
      <c r="L28" s="164" t="s">
        <v>126</v>
      </c>
      <c r="M28" s="192" t="s">
        <v>127</v>
      </c>
      <c r="N28" s="164" t="s">
        <v>128</v>
      </c>
      <c r="O28" s="164" t="s">
        <v>129</v>
      </c>
      <c r="P28" s="164" t="s">
        <v>130</v>
      </c>
      <c r="CK28" s="6"/>
      <c r="CL28" s="6"/>
      <c r="CM28" s="6"/>
      <c r="CN28" s="143"/>
      <c r="CO28" s="143"/>
      <c r="CP28" s="143"/>
      <c r="CQ28" s="143"/>
      <c r="CR28" s="143"/>
      <c r="CS28" s="143"/>
      <c r="CT28" s="143"/>
      <c r="CU28" s="143"/>
      <c r="CV28" s="6"/>
      <c r="CW28" s="143"/>
      <c r="CX28" s="143"/>
      <c r="CY28" s="143"/>
      <c r="CZ28" s="143"/>
      <c r="DA28" s="143"/>
      <c r="DB28" s="6"/>
      <c r="DC28" s="6"/>
      <c r="DD28" s="6"/>
      <c r="DE28" s="6"/>
      <c r="DF28" s="6"/>
      <c r="DG28" s="6"/>
      <c r="DH28" s="6"/>
      <c r="DI28" s="6"/>
      <c r="DJ28" s="6"/>
      <c r="DK28" s="200"/>
      <c r="DL28" s="6"/>
      <c r="DM28" s="6"/>
    </row>
    <row r="29" spans="1:124" ht="13.5" thickBot="1">
      <c r="A29" s="660" t="s">
        <v>172</v>
      </c>
      <c r="C29" s="89" t="s">
        <v>95</v>
      </c>
      <c r="D29" s="90" t="s">
        <v>95</v>
      </c>
      <c r="E29" s="90" t="s">
        <v>95</v>
      </c>
      <c r="F29" s="91" t="s">
        <v>95</v>
      </c>
      <c r="G29" s="92"/>
      <c r="H29" s="92"/>
      <c r="I29" s="93"/>
      <c r="J29" s="94"/>
      <c r="K29" s="93"/>
      <c r="L29" s="92"/>
      <c r="M29" s="93"/>
      <c r="N29" s="165"/>
      <c r="O29" s="93"/>
      <c r="P29" s="95"/>
      <c r="Q29" s="96"/>
      <c r="R29" s="97"/>
      <c r="CK29" s="6"/>
      <c r="CL29" s="6"/>
      <c r="CM29" s="6"/>
      <c r="CN29" s="143"/>
      <c r="CO29" s="143"/>
      <c r="CP29" s="143"/>
      <c r="CQ29" s="143"/>
      <c r="CR29" s="143"/>
      <c r="CS29" s="143"/>
      <c r="CT29" s="143"/>
      <c r="CU29" s="143"/>
      <c r="CV29" s="6"/>
      <c r="CW29" s="143"/>
      <c r="CX29" s="143"/>
      <c r="CY29" s="143"/>
      <c r="CZ29" s="143"/>
      <c r="DA29" s="143"/>
      <c r="DB29" s="6"/>
      <c r="DC29" s="6"/>
      <c r="DD29" s="6"/>
      <c r="DE29" s="6"/>
      <c r="DF29" s="6"/>
      <c r="DG29" s="6"/>
      <c r="DH29" s="6"/>
      <c r="DI29" s="6"/>
      <c r="DJ29" s="6"/>
      <c r="DK29" s="150"/>
      <c r="DL29" s="6"/>
      <c r="DM29" s="6"/>
    </row>
    <row r="30" spans="1:124" ht="0.2" customHeight="1" thickBot="1">
      <c r="A30" s="660"/>
      <c r="C30" s="585"/>
      <c r="D30" s="586"/>
      <c r="E30" s="365"/>
      <c r="F30" s="587"/>
      <c r="G30" s="586"/>
      <c r="H30" s="588"/>
      <c r="I30" s="588">
        <f t="shared" ref="I30" si="0">F30+H30</f>
        <v>0</v>
      </c>
      <c r="J30" s="589" t="str">
        <f>IF($I$37&lt;&gt;0,I30/$I$37,"")</f>
        <v/>
      </c>
      <c r="K30" s="586"/>
      <c r="L30" s="588"/>
      <c r="M30" s="590">
        <f t="shared" ref="M30" si="1">I30+L30</f>
        <v>0</v>
      </c>
      <c r="N30" s="590"/>
      <c r="O30" s="587">
        <f t="shared" ref="O30" si="2">M30-N30</f>
        <v>0</v>
      </c>
      <c r="P30" s="466">
        <f>IF(N30&lt;&gt;0,O30/N30,1)</f>
        <v>1</v>
      </c>
      <c r="Q30" s="586"/>
      <c r="R30" s="591"/>
      <c r="CK30" s="6"/>
      <c r="CL30" s="6"/>
      <c r="CM30" s="6"/>
      <c r="CN30" s="143"/>
      <c r="CO30" s="143"/>
      <c r="CP30" s="143"/>
      <c r="CQ30" s="143"/>
      <c r="CR30" s="143"/>
      <c r="CS30" s="143"/>
      <c r="CT30" s="143"/>
      <c r="CU30" s="143"/>
      <c r="CV30" s="6"/>
      <c r="CW30" s="143"/>
      <c r="CX30" s="143"/>
      <c r="CY30" s="143"/>
      <c r="CZ30" s="143"/>
      <c r="DA30" s="143"/>
      <c r="DB30" s="6"/>
      <c r="DC30" s="6"/>
      <c r="DD30" s="6"/>
      <c r="DE30" s="6"/>
      <c r="DF30" s="6"/>
      <c r="DG30" s="6"/>
      <c r="DH30" s="6"/>
      <c r="DI30" s="6"/>
      <c r="DJ30" s="6"/>
      <c r="DK30" s="150"/>
      <c r="DL30" s="6"/>
      <c r="DM30" s="6"/>
    </row>
    <row r="31" spans="1:124" ht="12.6" customHeight="1">
      <c r="A31" s="660"/>
      <c r="B31" s="21" t="s">
        <v>174</v>
      </c>
      <c r="C31" s="592"/>
      <c r="D31" s="747"/>
      <c r="E31" s="593"/>
      <c r="F31" s="482"/>
      <c r="G31" s="594"/>
      <c r="H31" s="594"/>
      <c r="I31" s="594" t="s">
        <v>175</v>
      </c>
      <c r="J31" s="594"/>
      <c r="K31" s="594"/>
      <c r="L31" s="594"/>
      <c r="M31" s="596"/>
      <c r="N31" s="597">
        <f>DATE(YEAR(汇总!$D$5)-1,12,31)</f>
        <v>45291</v>
      </c>
      <c r="O31" s="483" t="s">
        <v>131</v>
      </c>
      <c r="P31" s="598"/>
      <c r="Q31" s="650"/>
      <c r="R31" s="602"/>
      <c r="CK31" s="6"/>
      <c r="CL31" s="6"/>
      <c r="CM31" s="6"/>
      <c r="CN31" s="143"/>
      <c r="CO31" s="143"/>
      <c r="CP31" s="143"/>
      <c r="CQ31" s="143"/>
      <c r="CR31" s="143"/>
      <c r="CS31" s="143"/>
      <c r="CT31" s="143"/>
      <c r="CU31" s="143"/>
      <c r="CV31" s="6"/>
      <c r="CW31" s="143"/>
      <c r="CX31" s="143"/>
      <c r="CY31" s="143"/>
      <c r="CZ31" s="143"/>
      <c r="DA31" s="143"/>
      <c r="DB31" s="6"/>
      <c r="DC31" s="6"/>
      <c r="DD31" s="6"/>
      <c r="DE31" s="6"/>
      <c r="DF31" s="6"/>
      <c r="DG31" s="6"/>
      <c r="DH31" s="6"/>
      <c r="DI31" s="6"/>
      <c r="DJ31" s="6"/>
      <c r="DK31" s="167"/>
      <c r="DL31" s="6"/>
      <c r="DM31" s="6"/>
    </row>
    <row r="32" spans="1:124" ht="43.35" customHeight="1">
      <c r="A32" s="660"/>
      <c r="C32" s="108" t="s">
        <v>176</v>
      </c>
      <c r="D32" s="109" t="s">
        <v>177</v>
      </c>
      <c r="E32" s="168" t="s">
        <v>178</v>
      </c>
      <c r="F32" s="366" t="s">
        <v>135</v>
      </c>
      <c r="G32" s="367" t="s">
        <v>179</v>
      </c>
      <c r="H32" s="367" t="s">
        <v>136</v>
      </c>
      <c r="I32" s="169" t="s">
        <v>137</v>
      </c>
      <c r="J32" s="169" t="s">
        <v>180</v>
      </c>
      <c r="K32" s="367" t="s">
        <v>181</v>
      </c>
      <c r="L32" s="170" t="s">
        <v>138</v>
      </c>
      <c r="M32" s="171" t="s">
        <v>139</v>
      </c>
      <c r="N32" s="555" t="s">
        <v>182</v>
      </c>
      <c r="O32" s="172" t="s">
        <v>141</v>
      </c>
      <c r="P32" s="465" t="s">
        <v>183</v>
      </c>
      <c r="Q32" s="464" t="s">
        <v>184</v>
      </c>
      <c r="R32" s="114" t="s">
        <v>155</v>
      </c>
      <c r="CK32" s="6"/>
      <c r="CL32" s="6"/>
      <c r="CM32" s="6"/>
      <c r="CN32" s="143"/>
      <c r="CO32" s="143"/>
      <c r="CP32" s="143"/>
      <c r="CQ32" s="143"/>
      <c r="CR32" s="143"/>
      <c r="CS32" s="143"/>
      <c r="CT32" s="143"/>
      <c r="CU32" s="143"/>
      <c r="CV32" s="6"/>
      <c r="CW32" s="143"/>
      <c r="CX32" s="143"/>
      <c r="CY32" s="143"/>
      <c r="CZ32" s="143"/>
      <c r="DA32" s="143"/>
      <c r="DB32" s="6"/>
      <c r="DC32" s="6"/>
      <c r="DD32" s="6"/>
      <c r="DE32" s="6"/>
      <c r="DF32" s="6"/>
      <c r="DG32" s="6"/>
      <c r="DH32" s="6"/>
      <c r="DI32" s="6"/>
      <c r="DJ32" s="6"/>
      <c r="DK32" s="167"/>
      <c r="DL32" s="6"/>
      <c r="DM32" s="6"/>
    </row>
    <row r="33" spans="1:123" ht="12.6" customHeight="1">
      <c r="A33" s="660"/>
      <c r="C33" s="98"/>
      <c r="D33" s="99"/>
      <c r="E33" s="100"/>
      <c r="F33" s="101"/>
      <c r="G33" s="99"/>
      <c r="H33" s="102"/>
      <c r="I33" s="102">
        <f>F33+H33</f>
        <v>0</v>
      </c>
      <c r="J33" s="103" t="str">
        <f>IF($I$37&lt;&gt;0,I33/$I$37,"")</f>
        <v/>
      </c>
      <c r="K33" s="99"/>
      <c r="L33" s="102"/>
      <c r="M33" s="104">
        <f>I33+L33</f>
        <v>0</v>
      </c>
      <c r="N33" s="104"/>
      <c r="O33" s="101">
        <f>M33-N33</f>
        <v>0</v>
      </c>
      <c r="P33" s="463">
        <f>IF(N33&lt;&gt;0,O33/N33,1)</f>
        <v>1</v>
      </c>
      <c r="Q33" s="99"/>
      <c r="R33" s="105"/>
      <c r="CK33" s="6"/>
      <c r="CL33" s="6"/>
      <c r="CM33" s="6"/>
      <c r="CN33" s="143"/>
      <c r="CO33" s="143"/>
      <c r="CP33" s="143"/>
      <c r="CQ33" s="143"/>
      <c r="CR33" s="143"/>
      <c r="CS33" s="143"/>
      <c r="CT33" s="143"/>
      <c r="CU33" s="143"/>
      <c r="CV33" s="6"/>
      <c r="CW33" s="143"/>
      <c r="CX33" s="143"/>
      <c r="CY33" s="143"/>
      <c r="CZ33" s="143"/>
      <c r="DA33" s="143"/>
      <c r="DB33" s="6"/>
      <c r="DC33" s="6"/>
      <c r="DD33" s="6"/>
      <c r="DE33" s="6"/>
      <c r="DF33" s="6"/>
      <c r="DG33" s="6"/>
      <c r="DH33" s="6"/>
      <c r="DI33" s="6"/>
      <c r="DJ33" s="6"/>
      <c r="DK33" s="150"/>
      <c r="DL33" s="6"/>
      <c r="DM33" s="6"/>
    </row>
    <row r="34" spans="1:123" ht="12.6" customHeight="1">
      <c r="A34" s="660"/>
      <c r="C34" s="98"/>
      <c r="D34" s="99"/>
      <c r="E34" s="100"/>
      <c r="F34" s="101"/>
      <c r="G34" s="99"/>
      <c r="H34" s="102"/>
      <c r="I34" s="102">
        <f t="shared" ref="I34:I35" si="3">F34+H34</f>
        <v>0</v>
      </c>
      <c r="J34" s="103" t="str">
        <f>IF($I$37&lt;&gt;0,I34/$I$37,"")</f>
        <v/>
      </c>
      <c r="K34" s="99"/>
      <c r="L34" s="102"/>
      <c r="M34" s="104">
        <f>I34+L34</f>
        <v>0</v>
      </c>
      <c r="N34" s="104"/>
      <c r="O34" s="101">
        <f t="shared" ref="O34:O35" si="4">M34-N34</f>
        <v>0</v>
      </c>
      <c r="P34" s="463">
        <f>IF(N34&lt;&gt;0,O34/N34,1)</f>
        <v>1</v>
      </c>
      <c r="Q34" s="99"/>
      <c r="R34" s="105"/>
      <c r="CK34" s="6"/>
      <c r="CL34" s="6"/>
      <c r="CM34" s="6"/>
      <c r="CN34" s="143"/>
      <c r="CO34" s="143"/>
      <c r="CP34" s="143"/>
      <c r="CQ34" s="143"/>
      <c r="CR34" s="143"/>
      <c r="CS34" s="143"/>
      <c r="CT34" s="143"/>
      <c r="CU34" s="143"/>
      <c r="CV34" s="6"/>
      <c r="CW34" s="143"/>
      <c r="CX34" s="143"/>
      <c r="CY34" s="143"/>
      <c r="CZ34" s="143"/>
      <c r="DA34" s="143"/>
      <c r="DB34" s="6"/>
      <c r="DC34" s="6"/>
      <c r="DD34" s="6"/>
      <c r="DE34" s="6"/>
      <c r="DF34" s="6"/>
      <c r="DG34" s="6"/>
      <c r="DH34" s="6"/>
      <c r="DI34" s="6"/>
      <c r="DJ34" s="6"/>
      <c r="DK34" s="150"/>
      <c r="DL34" s="6"/>
      <c r="DM34" s="6"/>
    </row>
    <row r="35" spans="1:123" ht="12.6" customHeight="1" thickBot="1">
      <c r="A35" s="660" t="s">
        <v>185</v>
      </c>
      <c r="C35" s="371"/>
      <c r="D35" s="372"/>
      <c r="E35" s="385"/>
      <c r="F35" s="374"/>
      <c r="G35" s="372"/>
      <c r="H35" s="375"/>
      <c r="I35" s="102">
        <f t="shared" si="3"/>
        <v>0</v>
      </c>
      <c r="J35" s="103" t="str">
        <f>IF($I$37&lt;&gt;0,I35/$I$37,"")</f>
        <v/>
      </c>
      <c r="K35" s="378"/>
      <c r="L35" s="379"/>
      <c r="M35" s="104">
        <f t="shared" ref="M35" si="5">I35+L35</f>
        <v>0</v>
      </c>
      <c r="N35" s="380"/>
      <c r="O35" s="101">
        <f t="shared" si="4"/>
        <v>0</v>
      </c>
      <c r="P35" s="463">
        <f>IF(N35&lt;&gt;0,O35/N35,1)</f>
        <v>1</v>
      </c>
      <c r="Q35" s="378"/>
      <c r="R35" s="373"/>
      <c r="CK35" s="6"/>
      <c r="CL35" s="6"/>
      <c r="CM35" s="6"/>
      <c r="CN35" s="143"/>
      <c r="CO35" s="143"/>
      <c r="CP35" s="143"/>
      <c r="CQ35" s="143"/>
      <c r="CR35" s="143"/>
      <c r="CS35" s="143"/>
      <c r="CT35" s="143"/>
      <c r="CU35" s="143"/>
      <c r="CV35" s="6"/>
      <c r="CW35" s="143"/>
      <c r="CX35" s="143"/>
      <c r="CY35" s="143"/>
      <c r="CZ35" s="143"/>
      <c r="DA35" s="143"/>
      <c r="DB35" s="6"/>
      <c r="DC35" s="6"/>
      <c r="DD35" s="6"/>
      <c r="DE35" s="6"/>
      <c r="DF35" s="6"/>
      <c r="DG35" s="6"/>
      <c r="DH35" s="6"/>
      <c r="DI35" s="6"/>
      <c r="DJ35" s="6"/>
      <c r="DK35" s="150"/>
      <c r="DL35" s="6"/>
      <c r="DM35" s="6"/>
    </row>
    <row r="36" spans="1:123" ht="12.6" customHeight="1">
      <c r="A36" s="660"/>
      <c r="B36" s="174"/>
      <c r="C36" s="760"/>
      <c r="D36" s="761"/>
      <c r="E36" s="762"/>
      <c r="F36" s="762"/>
      <c r="G36" s="762"/>
      <c r="H36" s="762"/>
      <c r="I36" s="763"/>
      <c r="J36" s="765"/>
      <c r="K36" s="765"/>
      <c r="L36" s="763"/>
      <c r="M36" s="763"/>
      <c r="N36" s="763"/>
      <c r="O36" s="753"/>
      <c r="P36" s="767"/>
      <c r="Q36" s="767"/>
      <c r="R36" s="768"/>
      <c r="CK36" s="6"/>
      <c r="CL36" s="6"/>
      <c r="CM36" s="6"/>
      <c r="CN36" s="143"/>
      <c r="CO36" s="143"/>
      <c r="CP36" s="143"/>
      <c r="CQ36" s="143"/>
      <c r="CR36" s="143"/>
      <c r="CS36" s="143"/>
      <c r="CT36" s="143"/>
      <c r="CU36" s="143"/>
      <c r="CV36" s="6"/>
      <c r="CW36" s="143"/>
      <c r="CX36" s="143"/>
      <c r="CY36" s="143"/>
      <c r="CZ36" s="143"/>
      <c r="DA36" s="143"/>
      <c r="DB36" s="6"/>
      <c r="DC36" s="6"/>
      <c r="DD36" s="6"/>
      <c r="DE36" s="6"/>
      <c r="DF36" s="6"/>
      <c r="DG36" s="6"/>
      <c r="DH36" s="6"/>
      <c r="DI36" s="6"/>
      <c r="DJ36" s="6"/>
      <c r="DK36" s="150"/>
      <c r="DL36" s="6"/>
      <c r="DM36" s="6"/>
    </row>
    <row r="37" spans="1:123" s="16" customFormat="1" ht="12.6" customHeight="1" thickBot="1">
      <c r="A37" s="661"/>
      <c r="B37" s="174"/>
      <c r="C37" s="174"/>
      <c r="D37" s="179"/>
      <c r="E37" s="212" t="s">
        <v>208</v>
      </c>
      <c r="F37" s="388">
        <f>SUM(F32:F36)</f>
        <v>0</v>
      </c>
      <c r="G37" s="21"/>
      <c r="H37" s="388">
        <f>SUM(H32:H36)</f>
        <v>0</v>
      </c>
      <c r="I37" s="388">
        <f>SUM(I32:I36)</f>
        <v>0</v>
      </c>
      <c r="J37" s="389">
        <f>SUM(J32:J36)</f>
        <v>0</v>
      </c>
      <c r="K37" s="21"/>
      <c r="L37" s="388">
        <f>SUM(L32:L36)</f>
        <v>0</v>
      </c>
      <c r="M37" s="388">
        <f>SUM(M32:M36)</f>
        <v>0</v>
      </c>
      <c r="N37" s="388">
        <f>SUM(N32:N36)</f>
        <v>0</v>
      </c>
      <c r="O37" s="388">
        <f>M37-N37</f>
        <v>0</v>
      </c>
      <c r="P37" s="389">
        <f>IF(N37&lt;&gt;0,O37/N37,1)</f>
        <v>1</v>
      </c>
      <c r="Q37" s="177"/>
      <c r="R37" s="213"/>
      <c r="S37" s="174"/>
      <c r="CK37" s="6"/>
      <c r="CL37" s="6"/>
      <c r="CM37" s="6"/>
      <c r="CN37" s="143"/>
      <c r="CO37" s="143"/>
      <c r="CP37" s="143"/>
      <c r="CQ37" s="143"/>
      <c r="CR37" s="143"/>
      <c r="CS37" s="143"/>
      <c r="CT37" s="143"/>
      <c r="CU37" s="143"/>
      <c r="CV37" s="6"/>
      <c r="CW37" s="143"/>
      <c r="CX37" s="143"/>
      <c r="CY37" s="143"/>
      <c r="CZ37" s="143"/>
      <c r="DA37" s="143"/>
      <c r="DB37" s="6"/>
      <c r="DC37" s="6"/>
      <c r="DD37" s="6"/>
      <c r="DE37" s="6"/>
      <c r="DF37" s="6"/>
      <c r="DG37" s="6"/>
      <c r="DH37" s="6"/>
      <c r="DI37" s="6"/>
      <c r="DJ37" s="6"/>
      <c r="DK37" s="150"/>
      <c r="DL37" s="6"/>
      <c r="DM37" s="6"/>
    </row>
    <row r="38" spans="1:123" s="16" customFormat="1" ht="12.6" customHeight="1" thickTop="1">
      <c r="A38" s="661"/>
      <c r="B38" s="174"/>
      <c r="C38" s="174"/>
      <c r="D38" s="179"/>
      <c r="E38" s="175"/>
      <c r="F38" s="131" t="s">
        <v>105</v>
      </c>
      <c r="G38" s="179"/>
      <c r="H38" s="131" t="s">
        <v>105</v>
      </c>
      <c r="I38" s="131" t="s">
        <v>105</v>
      </c>
      <c r="J38" s="131" t="s">
        <v>105</v>
      </c>
      <c r="K38" s="180"/>
      <c r="L38" s="131" t="s">
        <v>105</v>
      </c>
      <c r="M38" s="131" t="s">
        <v>105</v>
      </c>
      <c r="N38" s="131" t="s">
        <v>105</v>
      </c>
      <c r="O38" s="193"/>
      <c r="P38" s="183"/>
      <c r="Q38" s="183"/>
      <c r="R38" s="184"/>
      <c r="S38" s="174"/>
      <c r="CK38" s="6"/>
      <c r="CL38" s="6"/>
      <c r="CM38" s="6"/>
      <c r="CN38" s="143"/>
      <c r="CO38" s="143"/>
      <c r="CP38" s="143"/>
      <c r="CQ38" s="143"/>
      <c r="CR38" s="143"/>
      <c r="CS38" s="143"/>
      <c r="CT38" s="143"/>
      <c r="CU38" s="143"/>
      <c r="CV38" s="6"/>
      <c r="CW38" s="143"/>
      <c r="CX38" s="143"/>
      <c r="CY38" s="143"/>
      <c r="CZ38" s="143"/>
      <c r="DA38" s="143"/>
      <c r="DB38" s="6"/>
      <c r="DC38" s="6"/>
      <c r="DD38" s="6"/>
      <c r="DE38" s="6"/>
      <c r="DF38" s="6"/>
      <c r="DG38" s="6"/>
      <c r="DH38" s="6"/>
      <c r="DI38" s="6"/>
      <c r="DJ38" s="6"/>
      <c r="DK38" s="150"/>
      <c r="DL38" s="6"/>
      <c r="DM38" s="6"/>
    </row>
    <row r="39" spans="1:123" s="16" customFormat="1" ht="12.6" customHeight="1">
      <c r="A39" s="661"/>
      <c r="B39" s="174"/>
      <c r="C39" s="174"/>
      <c r="D39" s="179"/>
      <c r="F39" s="181"/>
      <c r="G39" s="179"/>
      <c r="H39" s="185" t="s">
        <v>91</v>
      </c>
      <c r="I39" s="181"/>
      <c r="J39" s="186"/>
      <c r="K39" s="181"/>
      <c r="M39" s="181"/>
      <c r="N39" s="181"/>
      <c r="O39" s="181"/>
      <c r="P39" s="182"/>
      <c r="Q39" s="182"/>
      <c r="R39" s="184"/>
      <c r="S39" s="174"/>
      <c r="CK39" s="6"/>
      <c r="CL39" s="6"/>
      <c r="CM39" s="6"/>
      <c r="CN39" s="143"/>
      <c r="CO39" s="143"/>
      <c r="CP39" s="143"/>
      <c r="CQ39" s="143"/>
      <c r="CR39" s="143"/>
      <c r="CS39" s="143"/>
      <c r="CT39" s="143"/>
      <c r="CU39" s="143"/>
      <c r="CV39" s="6"/>
      <c r="CW39" s="143"/>
      <c r="CX39" s="143"/>
      <c r="CY39" s="143"/>
      <c r="CZ39" s="143"/>
      <c r="DA39" s="143"/>
      <c r="DB39" s="6"/>
      <c r="DC39" s="6"/>
      <c r="DD39" s="6"/>
      <c r="DE39" s="6"/>
      <c r="DF39" s="6"/>
      <c r="DG39" s="6"/>
      <c r="DH39" s="6"/>
      <c r="DI39" s="6"/>
      <c r="DJ39" s="6"/>
      <c r="DK39" s="150"/>
      <c r="DL39" s="6"/>
      <c r="DM39" s="6"/>
    </row>
    <row r="40" spans="1:123" s="16" customFormat="1" ht="12.6" customHeight="1">
      <c r="A40" s="661"/>
      <c r="B40" s="27"/>
      <c r="C40" s="174"/>
      <c r="D40" s="179"/>
      <c r="F40" s="188"/>
      <c r="G40" s="179"/>
      <c r="H40" s="187" t="s">
        <v>201</v>
      </c>
      <c r="I40" s="188">
        <f>I37-I39</f>
        <v>0</v>
      </c>
      <c r="J40" s="189"/>
      <c r="K40" s="181"/>
      <c r="M40" s="188">
        <f>M37-M39</f>
        <v>0</v>
      </c>
      <c r="N40" s="188">
        <f>N37-N39</f>
        <v>0</v>
      </c>
      <c r="O40" s="181"/>
      <c r="P40" s="182"/>
      <c r="Q40" s="182"/>
      <c r="R40" s="184"/>
      <c r="S40" s="174"/>
      <c r="CK40" s="6"/>
      <c r="CL40" s="6"/>
      <c r="CM40" s="6"/>
      <c r="CN40" s="143"/>
      <c r="CO40" s="143"/>
      <c r="CP40" s="143"/>
      <c r="CQ40" s="143"/>
      <c r="CR40" s="143"/>
      <c r="CS40" s="143"/>
      <c r="CT40" s="143"/>
      <c r="CU40" s="143"/>
      <c r="CV40" s="6"/>
      <c r="CW40" s="143"/>
      <c r="CX40" s="143"/>
      <c r="CY40" s="143"/>
      <c r="CZ40" s="143"/>
      <c r="DA40" s="143"/>
      <c r="DB40" s="6"/>
      <c r="DC40" s="6"/>
      <c r="DD40" s="6"/>
      <c r="DE40" s="6"/>
      <c r="DF40" s="6"/>
      <c r="DG40" s="6"/>
      <c r="DH40" s="6"/>
      <c r="DI40" s="6"/>
      <c r="DJ40" s="6"/>
      <c r="DK40" s="150"/>
      <c r="DL40" s="6"/>
      <c r="DM40" s="6"/>
    </row>
    <row r="41" spans="1:123" s="29" customFormat="1" ht="12.75" customHeight="1">
      <c r="A41" s="662"/>
      <c r="C41" s="8"/>
      <c r="H41" s="268"/>
      <c r="K41" s="268"/>
      <c r="L41" s="268"/>
      <c r="M41" s="268"/>
      <c r="O41" s="269"/>
      <c r="P41" s="269"/>
      <c r="Q41" s="269"/>
      <c r="R41" s="269"/>
      <c r="S41" s="269"/>
      <c r="T41" s="269"/>
      <c r="Z41" s="270"/>
      <c r="AA41" s="270"/>
      <c r="AB41" s="270"/>
      <c r="AC41" s="270"/>
      <c r="AD41" s="270"/>
      <c r="AE41" s="270"/>
      <c r="AF41" s="271"/>
      <c r="AG41" s="271"/>
      <c r="AH41" s="271"/>
      <c r="AI41" s="271"/>
      <c r="AJ41" s="271"/>
      <c r="AK41" s="271"/>
    </row>
    <row r="42" spans="1:123" s="13" customFormat="1" ht="13.35" customHeight="1" thickBot="1">
      <c r="A42" s="663"/>
      <c r="B42" s="88" t="s">
        <v>155</v>
      </c>
      <c r="C42" s="13" t="s">
        <v>189</v>
      </c>
      <c r="G42" s="137"/>
      <c r="H42" s="138"/>
      <c r="I42" s="137"/>
      <c r="J42" s="137"/>
      <c r="CV42" s="62"/>
      <c r="CW42" s="62"/>
      <c r="CX42" s="62"/>
      <c r="CY42" s="62"/>
      <c r="CZ42" s="62"/>
      <c r="DA42" s="62"/>
      <c r="DB42" s="62"/>
      <c r="DE42" s="62"/>
      <c r="DF42" s="62"/>
      <c r="DG42" s="62"/>
      <c r="DH42" s="62"/>
      <c r="DI42" s="62"/>
      <c r="DS42" s="69"/>
    </row>
    <row r="43" spans="1:123" s="17" customFormat="1" ht="12.6" customHeight="1">
      <c r="A43" s="664"/>
      <c r="C43" s="828"/>
      <c r="D43" s="829"/>
      <c r="E43" s="829"/>
      <c r="F43" s="829"/>
      <c r="G43" s="830"/>
      <c r="H43" s="139"/>
      <c r="I43" s="139"/>
      <c r="J43" s="139"/>
      <c r="CN43" s="13"/>
      <c r="CO43" s="13"/>
      <c r="CP43" s="13"/>
      <c r="CQ43" s="62"/>
      <c r="CR43" s="62"/>
      <c r="CS43" s="62"/>
      <c r="CT43" s="62"/>
      <c r="CU43" s="62"/>
      <c r="CV43" s="62"/>
      <c r="CW43" s="62"/>
      <c r="CX43" s="13"/>
      <c r="CY43" s="13"/>
      <c r="CZ43" s="62"/>
      <c r="DA43" s="62"/>
      <c r="DB43" s="62"/>
      <c r="DC43" s="62"/>
      <c r="DD43" s="62"/>
      <c r="DE43" s="13"/>
      <c r="DF43" s="13"/>
      <c r="DG43" s="13"/>
      <c r="DH43" s="13"/>
      <c r="DI43" s="13"/>
      <c r="DJ43" s="13"/>
      <c r="DK43" s="13"/>
      <c r="DL43" s="13"/>
      <c r="DM43" s="13"/>
      <c r="DN43" s="69"/>
      <c r="DO43" s="13"/>
      <c r="DP43" s="13"/>
    </row>
    <row r="44" spans="1:123" s="17" customFormat="1" ht="12.6" customHeight="1">
      <c r="A44" s="665"/>
      <c r="C44" s="831"/>
      <c r="D44" s="832"/>
      <c r="E44" s="832"/>
      <c r="F44" s="832"/>
      <c r="G44" s="833"/>
      <c r="H44" s="139"/>
      <c r="I44" s="139"/>
      <c r="J44" s="139"/>
      <c r="CN44" s="13"/>
      <c r="CO44" s="13"/>
      <c r="CP44" s="13"/>
      <c r="CQ44" s="62"/>
      <c r="CR44" s="62"/>
      <c r="CS44" s="62"/>
      <c r="CT44" s="62"/>
      <c r="CU44" s="62"/>
      <c r="CV44" s="62"/>
      <c r="CW44" s="62"/>
      <c r="CX44" s="13"/>
      <c r="CY44" s="13"/>
      <c r="CZ44" s="62"/>
      <c r="DA44" s="62"/>
      <c r="DB44" s="62"/>
      <c r="DC44" s="62"/>
      <c r="DD44" s="62"/>
      <c r="DE44" s="13"/>
      <c r="DF44" s="13"/>
      <c r="DG44" s="13"/>
      <c r="DH44" s="13"/>
      <c r="DI44" s="13"/>
      <c r="DJ44" s="13"/>
      <c r="DK44" s="13"/>
      <c r="DL44" s="13"/>
      <c r="DM44" s="13"/>
      <c r="DN44" s="69"/>
      <c r="DO44" s="13"/>
      <c r="DP44" s="13"/>
    </row>
    <row r="45" spans="1:123" s="17" customFormat="1" ht="12.6" customHeight="1" thickBot="1">
      <c r="A45" s="665"/>
      <c r="C45" s="834"/>
      <c r="D45" s="835"/>
      <c r="E45" s="835"/>
      <c r="F45" s="835"/>
      <c r="G45" s="836"/>
      <c r="H45" s="139"/>
      <c r="I45" s="139"/>
      <c r="J45" s="139"/>
      <c r="CN45" s="13"/>
      <c r="CO45" s="13"/>
      <c r="CP45" s="13"/>
      <c r="CQ45" s="62"/>
      <c r="CR45" s="62"/>
      <c r="CS45" s="62"/>
      <c r="CT45" s="62"/>
      <c r="CU45" s="62"/>
      <c r="CV45" s="62"/>
      <c r="CW45" s="62"/>
      <c r="CX45" s="13"/>
      <c r="CY45" s="13"/>
      <c r="CZ45" s="62"/>
      <c r="DA45" s="62"/>
      <c r="DB45" s="62"/>
      <c r="DC45" s="62"/>
      <c r="DD45" s="62"/>
      <c r="DE45" s="13"/>
      <c r="DF45" s="13"/>
      <c r="DG45" s="13"/>
      <c r="DH45" s="13"/>
      <c r="DI45" s="13"/>
      <c r="DJ45" s="13"/>
      <c r="DK45" s="13"/>
      <c r="DL45" s="13"/>
      <c r="DM45" s="13"/>
      <c r="DN45" s="13"/>
      <c r="DO45" s="13"/>
      <c r="DP45" s="13"/>
    </row>
    <row r="46" spans="1:123" ht="12.6" customHeight="1">
      <c r="A46" s="660"/>
      <c r="C46" s="59"/>
      <c r="CL46" s="6"/>
      <c r="CM46" s="6"/>
      <c r="CN46" s="6"/>
      <c r="CO46" s="143"/>
      <c r="CP46" s="143"/>
      <c r="CQ46" s="143"/>
      <c r="CR46" s="143"/>
      <c r="CS46" s="143"/>
      <c r="CT46" s="143"/>
      <c r="CU46" s="143"/>
      <c r="CV46" s="6"/>
      <c r="CW46" s="6"/>
      <c r="CX46" s="143"/>
      <c r="CY46" s="143"/>
      <c r="CZ46" s="143"/>
      <c r="DA46" s="143"/>
      <c r="DB46" s="143"/>
      <c r="DC46" s="6"/>
      <c r="DD46" s="6"/>
      <c r="DE46" s="6"/>
      <c r="DF46" s="6"/>
      <c r="DG46" s="6"/>
      <c r="DH46" s="6"/>
      <c r="DI46" s="6"/>
      <c r="DJ46" s="6"/>
      <c r="DK46" s="6"/>
      <c r="DL46" s="6"/>
      <c r="DM46" s="6"/>
      <c r="DN46" s="6"/>
    </row>
    <row r="47" spans="1:123" ht="12.75" customHeight="1">
      <c r="A47" s="540"/>
    </row>
    <row r="48" spans="1:123" ht="12.75" customHeight="1">
      <c r="A48" s="540"/>
    </row>
    <row r="49" spans="1:21" s="18" customFormat="1" ht="12.75" customHeight="1">
      <c r="A49" s="666"/>
      <c r="B49" s="331"/>
      <c r="C49" s="332"/>
      <c r="D49" s="333"/>
      <c r="E49" s="333"/>
      <c r="F49" s="333"/>
      <c r="G49" s="333"/>
      <c r="H49" s="333"/>
      <c r="I49" s="333"/>
      <c r="J49" s="333"/>
      <c r="K49" s="333"/>
      <c r="T49" s="19"/>
      <c r="U49" s="19"/>
    </row>
    <row r="50" spans="1:21" s="18" customFormat="1" ht="12.75" customHeight="1">
      <c r="A50" s="666"/>
      <c r="B50" s="21" t="s">
        <v>292</v>
      </c>
      <c r="C50" s="334" t="s">
        <v>359</v>
      </c>
      <c r="T50" s="19"/>
      <c r="U50" s="19"/>
    </row>
    <row r="51" spans="1:21" s="18" customFormat="1" ht="12.75" customHeight="1">
      <c r="A51" s="666"/>
      <c r="B51" s="335"/>
      <c r="C51" s="334"/>
      <c r="I51" s="336"/>
      <c r="J51" s="337"/>
      <c r="K51" s="337"/>
      <c r="L51" s="337"/>
      <c r="M51" s="337"/>
      <c r="N51" s="337"/>
      <c r="O51" s="337"/>
      <c r="P51" s="338"/>
      <c r="T51" s="19"/>
      <c r="U51" s="19"/>
    </row>
    <row r="52" spans="1:21" s="18" customFormat="1" ht="12.75" customHeight="1">
      <c r="A52" s="666"/>
      <c r="B52" s="335"/>
      <c r="C52" s="339" t="s">
        <v>360</v>
      </c>
      <c r="T52" s="19"/>
      <c r="U52" s="19"/>
    </row>
    <row r="53" spans="1:21" ht="12.75" customHeight="1">
      <c r="A53" s="540"/>
      <c r="S53" s="18"/>
    </row>
  </sheetData>
  <mergeCells count="13">
    <mergeCell ref="C43:G45"/>
    <mergeCell ref="L5:L6"/>
    <mergeCell ref="M5:M6"/>
    <mergeCell ref="N5:N6"/>
    <mergeCell ref="O5:O6"/>
    <mergeCell ref="D14:F14"/>
    <mergeCell ref="D13:F13"/>
    <mergeCell ref="D12:F12"/>
    <mergeCell ref="D11:F11"/>
    <mergeCell ref="D10:F10"/>
    <mergeCell ref="D9:F9"/>
    <mergeCell ref="D8:F8"/>
    <mergeCell ref="C20:G22"/>
  </mergeCells>
  <phoneticPr fontId="136" type="noConversion"/>
  <conditionalFormatting sqref="G9:I14 C20:G22 D25 C30:F30 N30 C33:F35 N33:N35 I39 M39:N39 C43:G45">
    <cfRule type="containsBlanks" dxfId="1" priority="1">
      <formula>LEN(TRIM(C9))=0</formula>
    </cfRule>
  </conditionalFormatting>
  <dataValidations count="2">
    <dataValidation type="list" allowBlank="1" showInputMessage="1" sqref="H9:H14" xr:uid="{816BB514-17FF-4D78-8611-8372E6FFC350}">
      <formula1>"是,否"</formula1>
    </dataValidation>
    <dataValidation type="list" allowBlank="1" showInputMessage="1" sqref="I9:I14" xr:uid="{95561F68-F58E-44C5-BC08-2137BAFCBFCA}">
      <formula1>"是,不适用"</formula1>
    </dataValidation>
  </dataValidations>
  <hyperlinks>
    <hyperlink ref="J2" location="汇总!A1" display="返回汇总页" xr:uid="{00000000-0004-0000-1200-000000000000}"/>
  </hyperlinks>
  <pageMargins left="0.74791660000000004" right="0.74791660000000004" top="0.98402780000000001" bottom="0.98402780000000001" header="0.51180550000000002" footer="0.51180550000000002"/>
  <pageSetup paperSize="9" orientation="portrait" errors="blank"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DL46"/>
  <sheetViews>
    <sheetView showGridLines="0" zoomScale="70" zoomScaleNormal="70" workbookViewId="0">
      <selection activeCell="J2" sqref="J2"/>
    </sheetView>
  </sheetViews>
  <sheetFormatPr defaultColWidth="10.42578125" defaultRowHeight="12.6" customHeight="1" outlineLevelRow="1"/>
  <cols>
    <col min="1" max="1" width="0.140625" style="549" customWidth="1"/>
    <col min="2" max="2" width="9" style="340" customWidth="1"/>
    <col min="3" max="3" width="19.28515625" style="340" customWidth="1"/>
    <col min="4" max="4" width="42" style="340" customWidth="1"/>
    <col min="5" max="7" width="19.28515625" style="340" customWidth="1"/>
    <col min="8" max="8" width="27" style="340" customWidth="1"/>
    <col min="9" max="9" width="21.42578125" style="340" customWidth="1"/>
    <col min="10" max="10" width="37.42578125" style="340" customWidth="1"/>
    <col min="11" max="11" width="28.28515625" style="340" customWidth="1"/>
    <col min="12" max="16384" width="10.42578125" style="340"/>
  </cols>
  <sheetData>
    <row r="1" spans="1:11" ht="13.35" customHeight="1">
      <c r="A1" s="543" t="s">
        <v>361</v>
      </c>
    </row>
    <row r="2" spans="1:11" s="9" customFormat="1" ht="16.350000000000001" customHeight="1">
      <c r="A2" s="539"/>
      <c r="C2" s="473"/>
      <c r="J2" s="48" t="s">
        <v>108</v>
      </c>
    </row>
    <row r="3" spans="1:11" ht="12.6" customHeight="1">
      <c r="A3" s="679"/>
    </row>
    <row r="4" spans="1:11" ht="12.6" customHeight="1" thickBot="1">
      <c r="A4" s="679"/>
    </row>
    <row r="5" spans="1:11" ht="21" customHeight="1">
      <c r="A5" s="679"/>
      <c r="C5" s="786" t="s">
        <v>159</v>
      </c>
      <c r="D5" s="758"/>
      <c r="E5" s="758"/>
      <c r="F5" s="758"/>
      <c r="G5" s="758"/>
      <c r="H5" s="758"/>
      <c r="I5" s="758"/>
      <c r="J5" s="759"/>
      <c r="K5" s="158"/>
    </row>
    <row r="6" spans="1:11" ht="16.5" customHeight="1">
      <c r="A6" s="679"/>
      <c r="C6" s="49" t="s">
        <v>362</v>
      </c>
      <c r="D6" s="152"/>
      <c r="E6" s="152"/>
      <c r="F6" s="152"/>
      <c r="G6" s="152"/>
      <c r="H6" s="152"/>
      <c r="I6" s="152"/>
      <c r="J6" s="341"/>
      <c r="K6" s="158"/>
    </row>
    <row r="7" spans="1:11" ht="12.6" customHeight="1">
      <c r="A7" s="680"/>
      <c r="C7" s="49"/>
      <c r="D7" s="152"/>
      <c r="E7" s="152"/>
      <c r="F7" s="152"/>
      <c r="G7" s="152"/>
      <c r="H7" s="152"/>
      <c r="I7" s="152"/>
      <c r="J7" s="342"/>
    </row>
    <row r="8" spans="1:11" ht="21">
      <c r="A8" s="680"/>
      <c r="C8" s="513" t="s">
        <v>111</v>
      </c>
      <c r="D8" s="845" t="s">
        <v>112</v>
      </c>
      <c r="E8" s="845"/>
      <c r="F8" s="845"/>
      <c r="G8" s="157" t="s">
        <v>113</v>
      </c>
      <c r="H8" s="507" t="s">
        <v>114</v>
      </c>
      <c r="I8" s="507" t="s">
        <v>115</v>
      </c>
      <c r="J8" s="514" t="s">
        <v>116</v>
      </c>
    </row>
    <row r="9" spans="1:11" ht="42" customHeight="1" outlineLevel="1">
      <c r="A9" s="680"/>
      <c r="C9" s="515">
        <v>1</v>
      </c>
      <c r="D9" s="844" t="s">
        <v>363</v>
      </c>
      <c r="E9" s="844"/>
      <c r="F9" s="844"/>
      <c r="G9" s="161" t="s">
        <v>364</v>
      </c>
      <c r="H9" s="508"/>
      <c r="I9" s="509"/>
      <c r="J9" s="878" t="s">
        <v>365</v>
      </c>
    </row>
    <row r="10" spans="1:11" ht="93" customHeight="1" outlineLevel="1">
      <c r="A10" s="681"/>
      <c r="C10" s="515">
        <v>2</v>
      </c>
      <c r="D10" s="844" t="s">
        <v>366</v>
      </c>
      <c r="E10" s="844"/>
      <c r="F10" s="844"/>
      <c r="G10" s="564" t="s">
        <v>367</v>
      </c>
      <c r="H10" s="508"/>
      <c r="I10" s="509"/>
      <c r="J10" s="879"/>
    </row>
    <row r="11" spans="1:11" ht="101.1" customHeight="1" outlineLevel="1">
      <c r="A11" s="681"/>
      <c r="C11" s="515">
        <v>3</v>
      </c>
      <c r="D11" s="869" t="s">
        <v>368</v>
      </c>
      <c r="E11" s="869"/>
      <c r="F11" s="869"/>
      <c r="G11" s="645" t="s">
        <v>369</v>
      </c>
      <c r="H11" s="508"/>
      <c r="I11" s="509"/>
      <c r="J11" s="880"/>
    </row>
    <row r="12" spans="1:11" ht="18.75" thickBot="1">
      <c r="A12" s="681"/>
      <c r="C12" s="384"/>
      <c r="D12" s="511"/>
      <c r="E12" s="511"/>
      <c r="F12" s="511"/>
      <c r="G12" s="511"/>
      <c r="H12" s="511"/>
      <c r="I12" s="511"/>
      <c r="J12" s="518"/>
    </row>
    <row r="13" spans="1:11" ht="12.6" customHeight="1">
      <c r="A13" s="681"/>
    </row>
    <row r="14" spans="1:11" ht="12.6" customHeight="1">
      <c r="A14" s="681"/>
    </row>
    <row r="15" spans="1:11" ht="12.6" customHeight="1" thickBot="1">
      <c r="A15" s="681"/>
      <c r="B15" s="343" t="s">
        <v>370</v>
      </c>
      <c r="C15" s="344" t="s">
        <v>371</v>
      </c>
    </row>
    <row r="16" spans="1:11" ht="33">
      <c r="A16" s="681"/>
      <c r="C16" s="621" t="s">
        <v>372</v>
      </c>
      <c r="D16" s="622" t="s">
        <v>373</v>
      </c>
      <c r="E16" s="787" t="s">
        <v>374</v>
      </c>
      <c r="F16" s="788" t="s">
        <v>375</v>
      </c>
    </row>
    <row r="17" spans="1:116" ht="36" customHeight="1" thickBot="1">
      <c r="A17" s="681"/>
      <c r="C17" s="646"/>
      <c r="D17" s="642" t="s">
        <v>376</v>
      </c>
      <c r="E17" s="643">
        <f>汇总!D5-C17</f>
        <v>45657</v>
      </c>
      <c r="F17" s="644">
        <f>汇总!D5+C17</f>
        <v>45657</v>
      </c>
    </row>
    <row r="18" spans="1:116" ht="12.6" customHeight="1">
      <c r="A18" s="681"/>
    </row>
    <row r="19" spans="1:116" ht="12.6" customHeight="1" thickBot="1">
      <c r="A19" s="682"/>
      <c r="B19" s="493" t="s">
        <v>249</v>
      </c>
      <c r="C19" s="547" t="s">
        <v>377</v>
      </c>
      <c r="D19" s="504"/>
      <c r="E19" s="504"/>
      <c r="F19" s="504"/>
      <c r="G19" s="504"/>
      <c r="H19" s="504"/>
      <c r="I19" s="504"/>
      <c r="J19" s="504"/>
      <c r="K19" s="504"/>
      <c r="L19" s="504"/>
      <c r="M19" s="504"/>
      <c r="N19" s="504"/>
      <c r="O19" s="504"/>
      <c r="P19" s="504"/>
      <c r="Q19" s="548"/>
      <c r="R19" s="548"/>
      <c r="S19" s="548"/>
      <c r="T19" s="548"/>
      <c r="U19" s="548"/>
      <c r="V19" s="548"/>
      <c r="W19" s="548"/>
      <c r="X19" s="548"/>
      <c r="Y19" s="548"/>
      <c r="Z19" s="548"/>
      <c r="AA19" s="548"/>
      <c r="AB19" s="548"/>
      <c r="AC19" s="548"/>
      <c r="AD19" s="548"/>
      <c r="AE19" s="548"/>
      <c r="AF19" s="548"/>
      <c r="AG19" s="548"/>
      <c r="AH19" s="548"/>
      <c r="AI19" s="548"/>
      <c r="AJ19" s="548"/>
      <c r="AK19" s="548"/>
      <c r="AL19" s="548"/>
      <c r="AM19" s="548"/>
      <c r="AN19" s="548"/>
      <c r="AO19" s="548"/>
      <c r="AP19" s="548"/>
      <c r="AQ19" s="548"/>
      <c r="AR19" s="548"/>
      <c r="AS19" s="548"/>
      <c r="AT19" s="548"/>
      <c r="AU19" s="548"/>
      <c r="AV19" s="548"/>
      <c r="AW19" s="548"/>
      <c r="AX19" s="548"/>
      <c r="AY19" s="548"/>
      <c r="AZ19" s="548"/>
      <c r="BA19" s="548"/>
      <c r="BB19" s="548"/>
      <c r="BC19" s="548"/>
      <c r="BD19" s="548"/>
      <c r="BE19" s="548"/>
      <c r="BF19" s="548"/>
      <c r="BG19" s="548"/>
      <c r="BH19" s="548"/>
      <c r="BI19" s="548"/>
      <c r="BJ19" s="548"/>
      <c r="BK19" s="548"/>
      <c r="BL19" s="548"/>
      <c r="BM19" s="548"/>
      <c r="BN19" s="548"/>
      <c r="BO19" s="548"/>
      <c r="BP19" s="548"/>
      <c r="BQ19" s="548"/>
      <c r="BR19" s="548"/>
      <c r="BS19" s="548"/>
      <c r="BT19" s="548"/>
      <c r="BU19" s="548"/>
      <c r="BV19" s="548"/>
      <c r="BW19" s="548"/>
      <c r="BX19" s="548"/>
      <c r="BY19" s="548"/>
      <c r="BZ19" s="548"/>
      <c r="CA19" s="548"/>
      <c r="CB19" s="548"/>
      <c r="CC19" s="548"/>
      <c r="CD19" s="548"/>
      <c r="CE19" s="548"/>
      <c r="CF19" s="548"/>
      <c r="CG19" s="548"/>
      <c r="CH19" s="548"/>
      <c r="CI19" s="548"/>
      <c r="CJ19" s="548"/>
      <c r="CK19" s="548"/>
      <c r="CL19" s="548"/>
      <c r="CM19" s="548"/>
      <c r="CN19" s="548"/>
      <c r="CO19" s="548"/>
      <c r="CP19" s="548"/>
      <c r="CQ19" s="548"/>
      <c r="CR19" s="548"/>
      <c r="CS19" s="548"/>
      <c r="CT19" s="548"/>
      <c r="CU19" s="548"/>
      <c r="CV19" s="548"/>
      <c r="CW19" s="548"/>
      <c r="CX19" s="548"/>
      <c r="CY19" s="548"/>
      <c r="CZ19" s="548"/>
      <c r="DA19" s="548"/>
      <c r="DB19" s="548"/>
      <c r="DC19" s="548"/>
      <c r="DD19" s="548"/>
      <c r="DE19" s="548"/>
      <c r="DF19" s="548"/>
      <c r="DG19" s="548"/>
      <c r="DH19" s="548"/>
      <c r="DI19" s="548"/>
      <c r="DJ19" s="548"/>
      <c r="DK19" s="548"/>
      <c r="DL19" s="548"/>
    </row>
    <row r="20" spans="1:116" ht="12.6" customHeight="1">
      <c r="A20" s="682"/>
      <c r="B20" s="504"/>
      <c r="C20" s="881"/>
      <c r="D20" s="882"/>
      <c r="E20" s="882"/>
      <c r="F20" s="883"/>
      <c r="G20" s="504"/>
      <c r="H20" s="504"/>
      <c r="I20" s="504"/>
      <c r="J20" s="504"/>
      <c r="K20" s="504"/>
      <c r="L20" s="504"/>
      <c r="M20" s="504"/>
      <c r="N20" s="504"/>
      <c r="O20" s="504"/>
      <c r="P20" s="504"/>
      <c r="Q20" s="548"/>
      <c r="R20" s="548"/>
      <c r="S20" s="548"/>
      <c r="T20" s="548"/>
      <c r="U20" s="548"/>
      <c r="V20" s="548"/>
      <c r="W20" s="548"/>
      <c r="X20" s="548"/>
      <c r="Y20" s="548"/>
      <c r="Z20" s="548"/>
      <c r="AA20" s="548"/>
      <c r="AB20" s="548"/>
      <c r="AC20" s="548"/>
      <c r="AD20" s="548"/>
      <c r="AE20" s="548"/>
      <c r="AF20" s="548"/>
      <c r="AG20" s="548"/>
      <c r="AH20" s="548"/>
      <c r="AI20" s="548"/>
      <c r="AJ20" s="548"/>
      <c r="AK20" s="548"/>
      <c r="AL20" s="548"/>
      <c r="AM20" s="548"/>
      <c r="AN20" s="548"/>
      <c r="AO20" s="548"/>
      <c r="AP20" s="548"/>
      <c r="AQ20" s="548"/>
      <c r="AR20" s="548"/>
      <c r="AS20" s="548"/>
      <c r="AT20" s="548"/>
      <c r="AU20" s="548"/>
      <c r="AV20" s="548"/>
      <c r="AW20" s="548"/>
      <c r="AX20" s="548"/>
      <c r="AY20" s="548"/>
      <c r="AZ20" s="548"/>
      <c r="BA20" s="548"/>
      <c r="BB20" s="548"/>
      <c r="BC20" s="548"/>
      <c r="BD20" s="548"/>
      <c r="BE20" s="548"/>
      <c r="BF20" s="548"/>
      <c r="BG20" s="548"/>
      <c r="BH20" s="548"/>
      <c r="BI20" s="548"/>
      <c r="BJ20" s="548"/>
      <c r="BK20" s="548"/>
      <c r="BL20" s="548"/>
      <c r="BM20" s="548"/>
      <c r="BN20" s="548"/>
      <c r="BO20" s="548"/>
      <c r="BP20" s="548"/>
      <c r="BQ20" s="548"/>
      <c r="BR20" s="548"/>
      <c r="BS20" s="548"/>
      <c r="BT20" s="548"/>
      <c r="BU20" s="548"/>
      <c r="BV20" s="548"/>
      <c r="BW20" s="548"/>
      <c r="BX20" s="548"/>
      <c r="BY20" s="548"/>
      <c r="BZ20" s="548"/>
      <c r="CA20" s="548"/>
      <c r="CB20" s="548"/>
      <c r="CC20" s="548"/>
      <c r="CD20" s="548"/>
      <c r="CE20" s="548"/>
      <c r="CF20" s="548"/>
      <c r="CG20" s="548"/>
      <c r="CH20" s="548"/>
      <c r="CI20" s="548"/>
      <c r="CJ20" s="548"/>
      <c r="CK20" s="548"/>
      <c r="CL20" s="548"/>
      <c r="CM20" s="548"/>
      <c r="CN20" s="548"/>
      <c r="CO20" s="548"/>
      <c r="CP20" s="548"/>
      <c r="CQ20" s="548"/>
      <c r="CR20" s="548"/>
      <c r="CS20" s="548"/>
      <c r="CT20" s="548"/>
      <c r="CU20" s="548"/>
      <c r="CV20" s="548"/>
      <c r="CW20" s="548"/>
      <c r="CX20" s="548"/>
      <c r="CY20" s="548"/>
      <c r="CZ20" s="548"/>
      <c r="DA20" s="548"/>
      <c r="DB20" s="548"/>
      <c r="DC20" s="548"/>
      <c r="DD20" s="548"/>
      <c r="DE20" s="548"/>
      <c r="DF20" s="548"/>
      <c r="DG20" s="548"/>
      <c r="DH20" s="548"/>
      <c r="DI20" s="548"/>
      <c r="DJ20" s="548"/>
      <c r="DK20" s="548"/>
      <c r="DL20" s="548"/>
    </row>
    <row r="21" spans="1:116" ht="24.6" customHeight="1" thickBot="1">
      <c r="A21" s="682"/>
      <c r="B21" s="504"/>
      <c r="C21" s="884"/>
      <c r="D21" s="885"/>
      <c r="E21" s="885"/>
      <c r="F21" s="886"/>
      <c r="G21" s="504"/>
      <c r="H21" s="504"/>
      <c r="I21" s="504"/>
      <c r="J21" s="504"/>
      <c r="K21" s="504"/>
      <c r="L21" s="504"/>
      <c r="M21" s="504"/>
      <c r="N21" s="504"/>
      <c r="O21" s="504"/>
      <c r="P21" s="504"/>
      <c r="Q21" s="548"/>
      <c r="R21" s="548"/>
      <c r="S21" s="548"/>
      <c r="T21" s="548"/>
      <c r="U21" s="548"/>
      <c r="V21" s="548"/>
      <c r="W21" s="548"/>
      <c r="X21" s="548"/>
      <c r="Y21" s="548"/>
      <c r="Z21" s="548"/>
      <c r="AA21" s="548"/>
      <c r="AB21" s="548"/>
      <c r="AC21" s="548"/>
      <c r="AD21" s="548"/>
      <c r="AE21" s="548"/>
      <c r="AF21" s="548"/>
      <c r="AG21" s="548"/>
      <c r="AH21" s="548"/>
      <c r="AI21" s="548"/>
      <c r="AJ21" s="548"/>
      <c r="AK21" s="548"/>
      <c r="AL21" s="548"/>
      <c r="AM21" s="548"/>
      <c r="AN21" s="548"/>
      <c r="AO21" s="548"/>
      <c r="AP21" s="548"/>
      <c r="AQ21" s="548"/>
      <c r="AR21" s="548"/>
      <c r="AS21" s="548"/>
      <c r="AT21" s="548"/>
      <c r="AU21" s="548"/>
      <c r="AV21" s="548"/>
      <c r="AW21" s="548"/>
      <c r="AX21" s="548"/>
      <c r="AY21" s="548"/>
      <c r="AZ21" s="548"/>
      <c r="BA21" s="548"/>
      <c r="BB21" s="548"/>
      <c r="BC21" s="548"/>
      <c r="BD21" s="548"/>
      <c r="BE21" s="548"/>
      <c r="BF21" s="548"/>
      <c r="BG21" s="548"/>
      <c r="BH21" s="548"/>
      <c r="BI21" s="548"/>
      <c r="BJ21" s="548"/>
      <c r="BK21" s="548"/>
      <c r="BL21" s="548"/>
      <c r="BM21" s="548"/>
      <c r="BN21" s="548"/>
      <c r="BO21" s="548"/>
      <c r="BP21" s="548"/>
      <c r="BQ21" s="548"/>
      <c r="BR21" s="548"/>
      <c r="BS21" s="548"/>
      <c r="BT21" s="548"/>
      <c r="BU21" s="548"/>
      <c r="BV21" s="548"/>
      <c r="BW21" s="548"/>
      <c r="BX21" s="548"/>
      <c r="BY21" s="548"/>
      <c r="BZ21" s="548"/>
      <c r="CA21" s="548"/>
      <c r="CB21" s="548"/>
      <c r="CC21" s="548"/>
      <c r="CD21" s="548"/>
      <c r="CE21" s="548"/>
      <c r="CF21" s="548"/>
      <c r="CG21" s="548"/>
      <c r="CH21" s="548"/>
      <c r="CI21" s="548"/>
      <c r="CJ21" s="548"/>
      <c r="CK21" s="548"/>
      <c r="CL21" s="548"/>
      <c r="CM21" s="548"/>
      <c r="CN21" s="548"/>
      <c r="CO21" s="548"/>
      <c r="CP21" s="548"/>
      <c r="CQ21" s="548"/>
      <c r="CR21" s="548"/>
      <c r="CS21" s="548"/>
      <c r="CT21" s="548"/>
      <c r="CU21" s="548"/>
      <c r="CV21" s="548"/>
      <c r="CW21" s="548"/>
      <c r="CX21" s="548"/>
      <c r="CY21" s="548"/>
      <c r="CZ21" s="548"/>
      <c r="DA21" s="548"/>
      <c r="DB21" s="548"/>
      <c r="DC21" s="548"/>
      <c r="DD21" s="548"/>
      <c r="DE21" s="548"/>
      <c r="DF21" s="548"/>
      <c r="DG21" s="548"/>
      <c r="DH21" s="548"/>
      <c r="DI21" s="548"/>
      <c r="DJ21" s="548"/>
      <c r="DK21" s="548"/>
      <c r="DL21" s="548"/>
    </row>
    <row r="22" spans="1:116" ht="12.6" customHeight="1">
      <c r="A22" s="681"/>
    </row>
    <row r="23" spans="1:116" ht="12.6" customHeight="1" thickBot="1">
      <c r="A23" s="543"/>
      <c r="B23" s="343" t="s">
        <v>378</v>
      </c>
      <c r="C23" s="344" t="s">
        <v>379</v>
      </c>
    </row>
    <row r="24" spans="1:116" ht="33.75" thickBot="1">
      <c r="A24" s="681"/>
      <c r="C24" s="458" t="s">
        <v>380</v>
      </c>
      <c r="D24" s="461" t="s">
        <v>381</v>
      </c>
      <c r="E24" s="461" t="s">
        <v>382</v>
      </c>
      <c r="F24" s="461" t="s">
        <v>383</v>
      </c>
      <c r="G24" s="461" t="s">
        <v>384</v>
      </c>
      <c r="H24" s="461" t="s">
        <v>385</v>
      </c>
      <c r="I24" s="461" t="s">
        <v>386</v>
      </c>
      <c r="J24" s="459" t="s">
        <v>387</v>
      </c>
    </row>
    <row r="25" spans="1:116" ht="12.6" customHeight="1">
      <c r="A25" s="681"/>
      <c r="C25" s="345" t="s">
        <v>388</v>
      </c>
      <c r="D25" s="346"/>
      <c r="E25" s="346"/>
      <c r="F25" s="346"/>
      <c r="G25" s="346"/>
      <c r="H25" s="346"/>
      <c r="I25" s="346"/>
      <c r="J25" s="347"/>
    </row>
    <row r="26" spans="1:116" ht="12.6" customHeight="1">
      <c r="A26" s="681"/>
      <c r="C26" s="623"/>
      <c r="D26" s="624"/>
      <c r="E26" s="624"/>
      <c r="F26" s="624"/>
      <c r="G26" s="624"/>
      <c r="H26" s="624"/>
      <c r="I26" s="625"/>
      <c r="J26" s="626"/>
    </row>
    <row r="27" spans="1:116" ht="12.6" customHeight="1">
      <c r="A27" s="681"/>
      <c r="C27" s="623"/>
      <c r="D27" s="624"/>
      <c r="E27" s="624"/>
      <c r="F27" s="624"/>
      <c r="G27" s="624"/>
      <c r="H27" s="624"/>
      <c r="I27" s="625"/>
      <c r="J27" s="626"/>
    </row>
    <row r="28" spans="1:116" ht="12.6" customHeight="1">
      <c r="A28" s="543"/>
      <c r="C28" s="623"/>
      <c r="D28" s="624"/>
      <c r="E28" s="624"/>
      <c r="F28" s="624"/>
      <c r="G28" s="624"/>
      <c r="H28" s="624"/>
      <c r="I28" s="625"/>
      <c r="J28" s="626"/>
    </row>
    <row r="29" spans="1:116" ht="12.6" customHeight="1">
      <c r="A29" s="543"/>
      <c r="C29" s="623"/>
      <c r="D29" s="624"/>
      <c r="E29" s="624"/>
      <c r="F29" s="624"/>
      <c r="G29" s="624"/>
      <c r="H29" s="624"/>
      <c r="I29" s="625"/>
      <c r="J29" s="626"/>
    </row>
    <row r="30" spans="1:116" ht="12.6" customHeight="1">
      <c r="A30" s="543"/>
      <c r="C30" s="623"/>
      <c r="D30" s="624"/>
      <c r="E30" s="624"/>
      <c r="F30" s="624"/>
      <c r="G30" s="624"/>
      <c r="H30" s="624"/>
      <c r="I30" s="625"/>
      <c r="J30" s="626"/>
    </row>
    <row r="31" spans="1:116" ht="12.6" customHeight="1">
      <c r="A31" s="543"/>
      <c r="C31" s="623"/>
      <c r="D31" s="624"/>
      <c r="E31" s="624"/>
      <c r="F31" s="624"/>
      <c r="G31" s="624"/>
      <c r="H31" s="624"/>
      <c r="I31" s="625"/>
      <c r="J31" s="626"/>
    </row>
    <row r="32" spans="1:116" ht="12.6" customHeight="1">
      <c r="A32" s="543"/>
      <c r="C32" s="623"/>
      <c r="D32" s="624"/>
      <c r="E32" s="624"/>
      <c r="F32" s="624"/>
      <c r="G32" s="624"/>
      <c r="H32" s="624"/>
      <c r="I32" s="625"/>
      <c r="J32" s="626"/>
    </row>
    <row r="33" spans="1:10" ht="12.6" customHeight="1">
      <c r="A33" s="543"/>
      <c r="C33" s="623"/>
      <c r="D33" s="624"/>
      <c r="E33" s="624"/>
      <c r="F33" s="624"/>
      <c r="G33" s="624"/>
      <c r="H33" s="624"/>
      <c r="I33" s="625"/>
      <c r="J33" s="626"/>
    </row>
    <row r="34" spans="1:10" ht="12.6" customHeight="1">
      <c r="A34" s="543"/>
      <c r="C34" s="623"/>
      <c r="D34" s="624"/>
      <c r="E34" s="624"/>
      <c r="F34" s="624"/>
      <c r="G34" s="624"/>
      <c r="H34" s="624"/>
      <c r="I34" s="625"/>
      <c r="J34" s="626"/>
    </row>
    <row r="35" spans="1:10" ht="12.6" customHeight="1">
      <c r="A35" s="543"/>
      <c r="C35" s="623"/>
      <c r="D35" s="624"/>
      <c r="E35" s="624"/>
      <c r="F35" s="624"/>
      <c r="G35" s="624"/>
      <c r="H35" s="624"/>
      <c r="I35" s="625"/>
      <c r="J35" s="626"/>
    </row>
    <row r="36" spans="1:10" ht="12.6" customHeight="1">
      <c r="A36" s="681"/>
      <c r="C36" s="345" t="s">
        <v>389</v>
      </c>
      <c r="D36" s="348"/>
      <c r="E36" s="348"/>
      <c r="F36" s="348"/>
      <c r="G36" s="348"/>
      <c r="H36" s="348"/>
      <c r="I36" s="348"/>
      <c r="J36" s="349"/>
    </row>
    <row r="37" spans="1:10" ht="12.6" customHeight="1">
      <c r="A37" s="681"/>
      <c r="C37" s="623"/>
      <c r="D37" s="624"/>
      <c r="E37" s="624"/>
      <c r="F37" s="624"/>
      <c r="G37" s="624"/>
      <c r="H37" s="624"/>
      <c r="I37" s="625"/>
      <c r="J37" s="626"/>
    </row>
    <row r="38" spans="1:10" ht="12.6" customHeight="1">
      <c r="A38" s="681"/>
      <c r="C38" s="627" t="s">
        <v>390</v>
      </c>
      <c r="D38" s="624"/>
      <c r="E38" s="624"/>
      <c r="F38" s="624"/>
      <c r="G38" s="624"/>
      <c r="H38" s="624"/>
      <c r="I38" s="625"/>
      <c r="J38" s="626"/>
    </row>
    <row r="39" spans="1:10" ht="12.6" customHeight="1" thickBot="1">
      <c r="A39" s="681"/>
      <c r="C39" s="406"/>
      <c r="D39" s="407"/>
      <c r="E39" s="407"/>
      <c r="F39" s="407"/>
      <c r="G39" s="407"/>
      <c r="H39" s="407"/>
      <c r="I39" s="408"/>
      <c r="J39" s="409"/>
    </row>
    <row r="40" spans="1:10" ht="12.6" customHeight="1">
      <c r="A40" s="543"/>
    </row>
    <row r="41" spans="1:10" ht="12.6" customHeight="1">
      <c r="A41" s="543"/>
    </row>
    <row r="42" spans="1:10" ht="12.6" customHeight="1" thickBot="1">
      <c r="A42" s="543"/>
      <c r="B42" s="350"/>
    </row>
    <row r="43" spans="1:10" ht="12.6" customHeight="1">
      <c r="A43" s="543"/>
      <c r="B43" s="350" t="s">
        <v>155</v>
      </c>
      <c r="C43" s="810" t="s">
        <v>391</v>
      </c>
      <c r="D43" s="870"/>
      <c r="E43" s="870"/>
      <c r="F43" s="870"/>
      <c r="G43" s="871"/>
    </row>
    <row r="44" spans="1:10" ht="23.1" customHeight="1">
      <c r="A44" s="543"/>
      <c r="C44" s="872"/>
      <c r="D44" s="873"/>
      <c r="E44" s="873"/>
      <c r="F44" s="873"/>
      <c r="G44" s="874"/>
      <c r="I44" s="351"/>
    </row>
    <row r="45" spans="1:10" ht="48.75" customHeight="1" thickBot="1">
      <c r="A45" s="543"/>
      <c r="C45" s="875"/>
      <c r="D45" s="876"/>
      <c r="E45" s="876"/>
      <c r="F45" s="876"/>
      <c r="G45" s="877"/>
    </row>
    <row r="46" spans="1:10" ht="12.6" customHeight="1">
      <c r="A46" s="543"/>
      <c r="C46" s="59"/>
      <c r="D46" s="19"/>
      <c r="E46" s="19"/>
      <c r="F46" s="19"/>
      <c r="G46" s="19"/>
    </row>
  </sheetData>
  <mergeCells count="7">
    <mergeCell ref="C43:G45"/>
    <mergeCell ref="D8:F8"/>
    <mergeCell ref="J9:J11"/>
    <mergeCell ref="D11:F11"/>
    <mergeCell ref="D10:F10"/>
    <mergeCell ref="D9:F9"/>
    <mergeCell ref="C20:F21"/>
  </mergeCells>
  <phoneticPr fontId="136" type="noConversion"/>
  <conditionalFormatting sqref="G9:I11 C17:D17 C20:F21 C26:J35 C37:J37 C43:G45">
    <cfRule type="containsBlanks" dxfId="0" priority="1">
      <formula>LEN(TRIM(C9))=0</formula>
    </cfRule>
  </conditionalFormatting>
  <dataValidations count="3">
    <dataValidation type="list" allowBlank="1" showInputMessage="1" showErrorMessage="1" sqref="I26:I35 I37:I39" xr:uid="{00000000-0002-0000-1300-000000000000}">
      <formula1>"Yes, No"</formula1>
    </dataValidation>
    <dataValidation type="list" allowBlank="1" showInputMessage="1" sqref="I9:I11" xr:uid="{C4F81923-C561-4553-A21A-87CD1AD9B89A}">
      <formula1>"是,不适用"</formula1>
    </dataValidation>
    <dataValidation type="list" allowBlank="1" showInputMessage="1" sqref="H9:H11" xr:uid="{07F10B89-E9F1-4669-B6C1-0F795650C984}">
      <formula1>"是,否"</formula1>
    </dataValidation>
  </dataValidations>
  <hyperlinks>
    <hyperlink ref="J2" location="汇总!A1" display="返回汇总页" xr:uid="{00000000-0004-0000-1300-000000000000}"/>
  </hyperlinks>
  <pageMargins left="0.7" right="0.7" top="0.75" bottom="0.75" header="0.3" footer="0.3"/>
  <pageSetup paperSize="9" orientation="portrait" horizontalDpi="300"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88F06-44DC-435B-BFF3-FEC8AF2B76A0}">
  <sheetPr codeName="Sheet17"/>
  <dimension ref="C2:I6"/>
  <sheetViews>
    <sheetView showGridLines="0" zoomScale="70" zoomScaleNormal="70" workbookViewId="0">
      <selection activeCell="I2" sqref="I2"/>
    </sheetView>
  </sheetViews>
  <sheetFormatPr defaultRowHeight="12"/>
  <cols>
    <col min="1" max="2" width="4.42578125" customWidth="1"/>
    <col min="3" max="3" width="30.28515625" customWidth="1"/>
    <col min="8" max="8" width="19.140625" customWidth="1"/>
    <col min="9" max="9" width="13.42578125" customWidth="1"/>
  </cols>
  <sheetData>
    <row r="2" spans="3:9" ht="16.5">
      <c r="I2" s="48" t="s">
        <v>108</v>
      </c>
    </row>
    <row r="3" spans="3:9" ht="21">
      <c r="C3" s="718" t="s">
        <v>392</v>
      </c>
      <c r="D3" s="720"/>
      <c r="E3" s="720"/>
      <c r="F3" s="720"/>
      <c r="G3" s="720"/>
      <c r="H3" s="720"/>
    </row>
    <row r="4" spans="3:9" ht="20.25">
      <c r="C4" s="719" t="s">
        <v>393</v>
      </c>
      <c r="D4" s="720"/>
      <c r="E4" s="720"/>
      <c r="F4" s="720"/>
      <c r="G4" s="720"/>
      <c r="H4" s="720"/>
    </row>
    <row r="5" spans="3:9" ht="18.75">
      <c r="C5" s="720"/>
      <c r="D5" s="720"/>
      <c r="E5" s="720"/>
      <c r="F5" s="720"/>
      <c r="G5" s="720"/>
      <c r="H5" s="720"/>
    </row>
    <row r="6" spans="3:9" ht="18.75">
      <c r="C6" s="720"/>
      <c r="D6" s="720"/>
      <c r="E6" s="720"/>
      <c r="F6" s="720"/>
      <c r="G6" s="720"/>
      <c r="H6" s="720"/>
    </row>
  </sheetData>
  <phoneticPr fontId="136" type="noConversion"/>
  <hyperlinks>
    <hyperlink ref="I2" location="汇总!A1" display="返回汇总页" xr:uid="{208780C0-3286-4F01-8423-FE91719E443C}"/>
    <hyperlink ref="C4" r:id="rId1" display="https://eychinamanaged.sharepoint.cn/:x:/r/sites/GCknowledgecenter/Shared Documents/%E5%AE%A1%E8%AE%A1%E6%A0%87%E5%87%86%E5%BA%95%E7%A8%BF/%E6%A0%87%E5%87%86%E5%AE%A1%E8%AE%A1%E5%BA%95%E7%A8%BF%E6%A8%A1%E6%9D%BF%E7%AC%AC%E4%BA%94%E7%89%88-%E4%BD%BF%E7%94%A8%E7%89%88/TOD/TOD SWP U_Exp 202YXXDD XYZ%E5%85%AC%E5%8F%B8.xlsx?d=wec28ffcfbf6c426db26290decd058726&amp;csf=1&amp;web=1&amp;e=j59BIK" xr:uid="{0AD3DA85-36D4-4595-9589-E4B2112510B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9"/>
  <dimension ref="A1:DA169"/>
  <sheetViews>
    <sheetView workbookViewId="0"/>
  </sheetViews>
  <sheetFormatPr defaultColWidth="9" defaultRowHeight="12"/>
  <cols>
    <col min="1" max="1" width="0.140625" customWidth="1"/>
  </cols>
  <sheetData>
    <row r="1" spans="1:105">
      <c r="A1" t="s">
        <v>394</v>
      </c>
    </row>
    <row r="3" spans="1:105">
      <c r="A3" t="s">
        <v>395</v>
      </c>
    </row>
    <row r="4" spans="1:105">
      <c r="A4" t="b">
        <v>1</v>
      </c>
    </row>
    <row r="5" spans="1:105">
      <c r="A5" t="s">
        <v>396</v>
      </c>
    </row>
    <row r="6" spans="1:105">
      <c r="E6" t="s">
        <v>397</v>
      </c>
      <c r="Y6" t="s">
        <v>398</v>
      </c>
      <c r="Z6" t="s">
        <v>399</v>
      </c>
      <c r="AA6" t="s">
        <v>400</v>
      </c>
      <c r="AB6" t="s">
        <v>401</v>
      </c>
      <c r="AC6" t="s">
        <v>402</v>
      </c>
      <c r="AD6" t="s">
        <v>403</v>
      </c>
      <c r="AE6" t="s">
        <v>404</v>
      </c>
      <c r="AF6" t="s">
        <v>405</v>
      </c>
      <c r="AG6" t="s">
        <v>406</v>
      </c>
      <c r="AH6" t="s">
        <v>407</v>
      </c>
      <c r="AI6" t="s">
        <v>408</v>
      </c>
      <c r="AJ6" t="s">
        <v>409</v>
      </c>
      <c r="AK6" t="s">
        <v>410</v>
      </c>
      <c r="AL6" t="s">
        <v>411</v>
      </c>
      <c r="AM6" t="s">
        <v>412</v>
      </c>
      <c r="AN6" t="s">
        <v>413</v>
      </c>
      <c r="AO6" t="s">
        <v>414</v>
      </c>
      <c r="AP6" t="s">
        <v>415</v>
      </c>
      <c r="AQ6" t="s">
        <v>416</v>
      </c>
      <c r="AR6" t="s">
        <v>417</v>
      </c>
      <c r="AS6" t="s">
        <v>418</v>
      </c>
      <c r="AT6" t="s">
        <v>419</v>
      </c>
      <c r="AU6" t="s">
        <v>420</v>
      </c>
      <c r="AV6" t="s">
        <v>421</v>
      </c>
      <c r="AW6" t="s">
        <v>422</v>
      </c>
      <c r="AX6" t="s">
        <v>423</v>
      </c>
      <c r="AY6" t="s">
        <v>424</v>
      </c>
      <c r="AZ6" t="s">
        <v>425</v>
      </c>
      <c r="BA6" t="s">
        <v>426</v>
      </c>
      <c r="BB6" t="s">
        <v>427</v>
      </c>
      <c r="BC6" t="s">
        <v>428</v>
      </c>
      <c r="BD6" t="s">
        <v>429</v>
      </c>
      <c r="BE6" t="s">
        <v>430</v>
      </c>
      <c r="BF6" t="s">
        <v>431</v>
      </c>
      <c r="BG6" t="s">
        <v>432</v>
      </c>
      <c r="BH6" t="s">
        <v>433</v>
      </c>
      <c r="BI6" t="s">
        <v>434</v>
      </c>
      <c r="BJ6" t="s">
        <v>435</v>
      </c>
      <c r="BK6" t="s">
        <v>436</v>
      </c>
      <c r="BL6" t="s">
        <v>437</v>
      </c>
      <c r="BM6" t="s">
        <v>438</v>
      </c>
      <c r="BN6" t="s">
        <v>439</v>
      </c>
      <c r="BO6" t="s">
        <v>440</v>
      </c>
      <c r="BP6" t="s">
        <v>441</v>
      </c>
      <c r="BQ6" t="s">
        <v>442</v>
      </c>
      <c r="BR6" t="s">
        <v>443</v>
      </c>
      <c r="BS6" t="s">
        <v>444</v>
      </c>
      <c r="BT6" t="s">
        <v>445</v>
      </c>
      <c r="BU6" t="s">
        <v>446</v>
      </c>
      <c r="BV6" t="s">
        <v>447</v>
      </c>
      <c r="BW6" t="s">
        <v>448</v>
      </c>
      <c r="BX6" t="s">
        <v>449</v>
      </c>
      <c r="BY6" t="s">
        <v>450</v>
      </c>
      <c r="BZ6" t="s">
        <v>451</v>
      </c>
      <c r="CA6" t="s">
        <v>452</v>
      </c>
      <c r="CB6" t="s">
        <v>453</v>
      </c>
      <c r="CC6" t="s">
        <v>454</v>
      </c>
      <c r="CD6" t="s">
        <v>455</v>
      </c>
      <c r="CE6" t="s">
        <v>456</v>
      </c>
      <c r="CF6" t="s">
        <v>457</v>
      </c>
      <c r="CG6" t="s">
        <v>458</v>
      </c>
      <c r="CH6" t="s">
        <v>459</v>
      </c>
      <c r="CI6" t="s">
        <v>460</v>
      </c>
      <c r="CJ6" t="s">
        <v>461</v>
      </c>
      <c r="CK6" t="s">
        <v>462</v>
      </c>
      <c r="CL6" t="s">
        <v>463</v>
      </c>
      <c r="CM6" t="s">
        <v>464</v>
      </c>
      <c r="CN6" t="s">
        <v>465</v>
      </c>
      <c r="CO6" t="s">
        <v>466</v>
      </c>
      <c r="CP6" t="s">
        <v>467</v>
      </c>
      <c r="CQ6" t="s">
        <v>468</v>
      </c>
      <c r="CR6" t="s">
        <v>469</v>
      </c>
      <c r="CS6" t="s">
        <v>470</v>
      </c>
      <c r="CT6" t="s">
        <v>471</v>
      </c>
      <c r="CU6" t="s">
        <v>472</v>
      </c>
      <c r="CV6" t="s">
        <v>473</v>
      </c>
      <c r="CW6" t="s">
        <v>474</v>
      </c>
      <c r="CX6" t="s">
        <v>475</v>
      </c>
      <c r="CY6" t="s">
        <v>476</v>
      </c>
      <c r="CZ6" t="s">
        <v>477</v>
      </c>
      <c r="DA6" t="s">
        <v>478</v>
      </c>
    </row>
    <row r="7" spans="1:105">
      <c r="A7" t="s">
        <v>479</v>
      </c>
    </row>
    <row r="10" spans="1:105">
      <c r="F10" t="str">
        <f>Uexp制造费用BKD!C30</f>
        <v xml:space="preserve">账套名称/账套编码 </v>
      </c>
      <c r="G10" t="s">
        <v>480</v>
      </c>
    </row>
    <row r="11" spans="1:105">
      <c r="A11" s="352">
        <v>169</v>
      </c>
      <c r="F11" t="str">
        <f>Uexp制造费用BKD!D30</f>
        <v>科目编码</v>
      </c>
      <c r="G11" t="s">
        <v>481</v>
      </c>
    </row>
    <row r="12" spans="1:105">
      <c r="F12" t="str">
        <f>Uexp制造费用BKD!E30</f>
        <v>科目名称</v>
      </c>
      <c r="G12" t="s">
        <v>482</v>
      </c>
    </row>
    <row r="13" spans="1:105">
      <c r="F13" t="str">
        <f>Uexp制造费用BKD!F30</f>
        <v>本期账面数</v>
      </c>
      <c r="G13" t="s">
        <v>483</v>
      </c>
    </row>
    <row r="14" spans="1:105">
      <c r="F14" t="str">
        <f>Uexp制造费用BKD!G30</f>
        <v>本期账表调整编号</v>
      </c>
      <c r="G14" t="s">
        <v>484</v>
      </c>
    </row>
    <row r="15" spans="1:105">
      <c r="A15" s="352">
        <v>82</v>
      </c>
      <c r="F15" t="str">
        <f>Uexp制造费用BKD!H30</f>
        <v>本期账表调整数</v>
      </c>
      <c r="G15" t="s">
        <v>485</v>
      </c>
      <c r="R15" t="str">
        <f>汇总!A29</f>
        <v>P1</v>
      </c>
      <c r="S15" t="s">
        <v>486</v>
      </c>
    </row>
    <row r="16" spans="1:105">
      <c r="F16" t="str">
        <f>Uexp制造费用BKD!K30</f>
        <v>本期审计调整编号</v>
      </c>
      <c r="G16" t="s">
        <v>487</v>
      </c>
      <c r="R16" t="str">
        <f>汇总!A49</f>
        <v>/P1</v>
      </c>
      <c r="S16" t="s">
        <v>488</v>
      </c>
    </row>
    <row r="17" spans="6:19">
      <c r="F17" s="352" t="str">
        <f>Uexp制造费用BKD!L30</f>
        <v>本期审计调整金数</v>
      </c>
      <c r="G17" t="s">
        <v>489</v>
      </c>
      <c r="R17">
        <f>汇总!A51</f>
        <v>0</v>
      </c>
      <c r="S17" t="s">
        <v>490</v>
      </c>
    </row>
    <row r="18" spans="6:19">
      <c r="F18" s="352" t="str">
        <f>Uexp制造费用BKD!M30</f>
        <v>本期账面审定数</v>
      </c>
      <c r="G18" t="s">
        <v>491</v>
      </c>
      <c r="R18" t="e">
        <f>汇总!#REF!</f>
        <v>#REF!</v>
      </c>
      <c r="S18" t="s">
        <v>492</v>
      </c>
    </row>
    <row r="19" spans="6:19">
      <c r="F19" s="352" t="str">
        <f>Uexp制造费用BKD!N30</f>
        <v>上期末审定数
(PY)</v>
      </c>
      <c r="G19" t="s">
        <v>493</v>
      </c>
      <c r="R19" t="e">
        <f>#REF!</f>
        <v>#REF!</v>
      </c>
      <c r="S19" t="s">
        <v>494</v>
      </c>
    </row>
    <row r="20" spans="6:19">
      <c r="F20" t="e">
        <f>#REF!</f>
        <v>#REF!</v>
      </c>
      <c r="G20" t="s">
        <v>495</v>
      </c>
      <c r="R20" s="352" t="e">
        <f>#REF!</f>
        <v>#REF!</v>
      </c>
      <c r="S20" t="s">
        <v>496</v>
      </c>
    </row>
    <row r="21" spans="6:19">
      <c r="F21" t="e">
        <f>#REF!</f>
        <v>#REF!</v>
      </c>
      <c r="G21" t="s">
        <v>497</v>
      </c>
      <c r="R21" t="e">
        <f>#REF!</f>
        <v>#REF!</v>
      </c>
      <c r="S21" t="s">
        <v>498</v>
      </c>
    </row>
    <row r="22" spans="6:19">
      <c r="F22" t="e">
        <f>#REF!</f>
        <v>#REF!</v>
      </c>
      <c r="G22" t="s">
        <v>499</v>
      </c>
      <c r="R22" t="e">
        <f>#REF!</f>
        <v>#REF!</v>
      </c>
      <c r="S22" t="s">
        <v>500</v>
      </c>
    </row>
    <row r="23" spans="6:19">
      <c r="F23" t="e">
        <f>#REF!</f>
        <v>#REF!</v>
      </c>
      <c r="G23" t="s">
        <v>501</v>
      </c>
      <c r="R23" t="e">
        <f>#REF!</f>
        <v>#REF!</v>
      </c>
      <c r="S23" t="s">
        <v>502</v>
      </c>
    </row>
    <row r="24" spans="6:19">
      <c r="F24" t="e">
        <f>#REF!</f>
        <v>#REF!</v>
      </c>
      <c r="G24" t="s">
        <v>503</v>
      </c>
      <c r="R24" t="e">
        <f>#REF!</f>
        <v>#REF!</v>
      </c>
      <c r="S24" t="s">
        <v>504</v>
      </c>
    </row>
    <row r="25" spans="6:19">
      <c r="F25" t="e">
        <f>#REF!</f>
        <v>#REF!</v>
      </c>
      <c r="G25" t="s">
        <v>505</v>
      </c>
      <c r="R25" t="str">
        <f>Uexp债务重组利得和损失BKD!A29</f>
        <v>T1</v>
      </c>
      <c r="S25" t="s">
        <v>506</v>
      </c>
    </row>
    <row r="26" spans="6:19">
      <c r="F26" t="e">
        <f>#REF!</f>
        <v>#REF!</v>
      </c>
      <c r="G26" t="s">
        <v>507</v>
      </c>
      <c r="R26" t="str">
        <f>Uexp债务重组利得和损失BKD!A35</f>
        <v>/T1</v>
      </c>
      <c r="S26" t="s">
        <v>508</v>
      </c>
    </row>
    <row r="27" spans="6:19">
      <c r="F27" s="352" t="e">
        <f>#REF!</f>
        <v>#REF!</v>
      </c>
      <c r="G27" t="s">
        <v>509</v>
      </c>
      <c r="R27">
        <f>Uexp债务重组利得和损失BKD!A42</f>
        <v>0</v>
      </c>
      <c r="S27" t="s">
        <v>510</v>
      </c>
    </row>
    <row r="28" spans="6:19">
      <c r="F28" s="352" t="e">
        <f>#REF!</f>
        <v>#REF!</v>
      </c>
      <c r="G28" t="s">
        <v>511</v>
      </c>
      <c r="R28">
        <f>Uexp债务重组利得和损失BKD!A45</f>
        <v>0</v>
      </c>
      <c r="S28" t="s">
        <v>512</v>
      </c>
    </row>
    <row r="29" spans="6:19">
      <c r="F29" s="352" t="e">
        <f>#REF!</f>
        <v>#REF!</v>
      </c>
      <c r="G29" t="s">
        <v>513</v>
      </c>
      <c r="R29" t="e">
        <f>#REF!</f>
        <v>#REF!</v>
      </c>
      <c r="S29" t="s">
        <v>514</v>
      </c>
    </row>
    <row r="30" spans="6:19">
      <c r="F30" t="e">
        <f>#REF!</f>
        <v>#REF!</v>
      </c>
      <c r="G30" t="s">
        <v>515</v>
      </c>
      <c r="R30" t="e">
        <f>#REF!</f>
        <v>#REF!</v>
      </c>
      <c r="S30" t="s">
        <v>516</v>
      </c>
    </row>
    <row r="31" spans="6:19">
      <c r="F31" t="e">
        <f>#REF!</f>
        <v>#REF!</v>
      </c>
      <c r="G31" t="s">
        <v>517</v>
      </c>
      <c r="R31" t="e">
        <f>#REF!</f>
        <v>#REF!</v>
      </c>
      <c r="S31" t="s">
        <v>518</v>
      </c>
    </row>
    <row r="32" spans="6:19">
      <c r="F32" t="e">
        <f>#REF!</f>
        <v>#REF!</v>
      </c>
      <c r="G32" t="s">
        <v>519</v>
      </c>
      <c r="R32" t="e">
        <f>#REF!</f>
        <v>#REF!</v>
      </c>
      <c r="S32" t="s">
        <v>520</v>
      </c>
    </row>
    <row r="33" spans="6:19">
      <c r="F33" t="e">
        <f>#REF!</f>
        <v>#REF!</v>
      </c>
      <c r="G33" t="s">
        <v>521</v>
      </c>
      <c r="R33" t="e">
        <f>#REF!</f>
        <v>#REF!</v>
      </c>
      <c r="S33" t="s">
        <v>522</v>
      </c>
    </row>
    <row r="34" spans="6:19">
      <c r="F34" t="e">
        <f>#REF!</f>
        <v>#REF!</v>
      </c>
      <c r="G34" t="s">
        <v>523</v>
      </c>
      <c r="R34" t="e">
        <f>#REF!</f>
        <v>#REF!</v>
      </c>
      <c r="S34" t="s">
        <v>524</v>
      </c>
    </row>
    <row r="35" spans="6:19">
      <c r="F35" t="e">
        <f>#REF!</f>
        <v>#REF!</v>
      </c>
      <c r="G35" t="s">
        <v>525</v>
      </c>
      <c r="R35" t="e">
        <f>#REF!</f>
        <v>#REF!</v>
      </c>
      <c r="S35" t="s">
        <v>526</v>
      </c>
    </row>
    <row r="36" spans="6:19">
      <c r="F36" t="e">
        <f>#REF!</f>
        <v>#REF!</v>
      </c>
      <c r="G36" t="s">
        <v>527</v>
      </c>
      <c r="R36" t="e">
        <f>#REF!</f>
        <v>#REF!</v>
      </c>
      <c r="S36" t="s">
        <v>528</v>
      </c>
    </row>
    <row r="37" spans="6:19">
      <c r="F37" s="352" t="e">
        <f>#REF!</f>
        <v>#REF!</v>
      </c>
      <c r="G37" t="s">
        <v>529</v>
      </c>
      <c r="R37" t="str">
        <f>Uexp财务费用BKD!A27</f>
        <v>T1</v>
      </c>
      <c r="S37" t="s">
        <v>530</v>
      </c>
    </row>
    <row r="38" spans="6:19">
      <c r="F38" s="352" t="e">
        <f>#REF!</f>
        <v>#REF!</v>
      </c>
      <c r="G38" t="s">
        <v>531</v>
      </c>
      <c r="R38" t="str">
        <f>Uexp财务费用BKD!A33</f>
        <v>/T1</v>
      </c>
      <c r="S38" t="s">
        <v>532</v>
      </c>
    </row>
    <row r="39" spans="6:19">
      <c r="F39" s="352" t="e">
        <f>#REF!</f>
        <v>#REF!</v>
      </c>
      <c r="G39" t="s">
        <v>533</v>
      </c>
      <c r="R39">
        <f>Uexp财务费用BKD!A40</f>
        <v>0</v>
      </c>
      <c r="S39" t="s">
        <v>534</v>
      </c>
    </row>
    <row r="40" spans="6:19">
      <c r="F40" t="str">
        <f>Uexp研发费用BKD!C31</f>
        <v xml:space="preserve">账套名称/账套编码 </v>
      </c>
      <c r="G40" t="s">
        <v>535</v>
      </c>
      <c r="R40">
        <f>Uexp财务费用BKD!A43</f>
        <v>0</v>
      </c>
      <c r="S40" t="s">
        <v>536</v>
      </c>
    </row>
    <row r="41" spans="6:19">
      <c r="F41" t="str">
        <f>Uexp研发费用BKD!D31</f>
        <v>科目编码</v>
      </c>
      <c r="G41" t="s">
        <v>537</v>
      </c>
      <c r="R41" t="str">
        <f>Uexp其他收益BKD!A29</f>
        <v>T1</v>
      </c>
      <c r="S41" t="s">
        <v>538</v>
      </c>
    </row>
    <row r="42" spans="6:19">
      <c r="F42" t="str">
        <f>Uexp研发费用BKD!E31</f>
        <v>科目名称</v>
      </c>
      <c r="G42" t="s">
        <v>539</v>
      </c>
      <c r="R42" t="str">
        <f>Uexp其他收益BKD!A35</f>
        <v>/T1</v>
      </c>
      <c r="S42" t="s">
        <v>540</v>
      </c>
    </row>
    <row r="43" spans="6:19">
      <c r="F43" t="str">
        <f>Uexp研发费用BKD!F31</f>
        <v>本期账面数</v>
      </c>
      <c r="G43" t="s">
        <v>541</v>
      </c>
      <c r="R43">
        <f>Uexp其他收益BKD!A42</f>
        <v>0</v>
      </c>
      <c r="S43" t="s">
        <v>542</v>
      </c>
    </row>
    <row r="44" spans="6:19">
      <c r="F44" t="str">
        <f>Uexp研发费用BKD!G31</f>
        <v>本期账表调整编号</v>
      </c>
      <c r="G44" t="s">
        <v>543</v>
      </c>
      <c r="R44">
        <f>Uexp其他收益BKD!A45</f>
        <v>0</v>
      </c>
      <c r="S44" t="s">
        <v>544</v>
      </c>
    </row>
    <row r="45" spans="6:19">
      <c r="F45" t="str">
        <f>Uexp研发费用BKD!H31</f>
        <v>本期账表调整数</v>
      </c>
      <c r="G45" t="s">
        <v>545</v>
      </c>
      <c r="R45" t="str">
        <f>Uexp投资收益BKD!A29</f>
        <v>T1</v>
      </c>
      <c r="S45" t="s">
        <v>546</v>
      </c>
    </row>
    <row r="46" spans="6:19">
      <c r="F46" t="str">
        <f>Uexp研发费用BKD!K31</f>
        <v>本期审计调整编号</v>
      </c>
      <c r="G46" t="s">
        <v>547</v>
      </c>
      <c r="R46" t="str">
        <f>Uexp投资收益BKD!A35</f>
        <v>/T1</v>
      </c>
      <c r="S46" t="s">
        <v>548</v>
      </c>
    </row>
    <row r="47" spans="6:19">
      <c r="F47" s="352" t="str">
        <f>Uexp研发费用BKD!L31</f>
        <v>本期审计调整金数</v>
      </c>
      <c r="G47" t="s">
        <v>549</v>
      </c>
      <c r="R47">
        <f>Uexp投资收益BKD!A42</f>
        <v>0</v>
      </c>
      <c r="S47" t="s">
        <v>550</v>
      </c>
    </row>
    <row r="48" spans="6:19">
      <c r="F48" s="352" t="str">
        <f>Uexp研发费用BKD!M31</f>
        <v>本期账面审定数</v>
      </c>
      <c r="G48" t="s">
        <v>551</v>
      </c>
      <c r="R48">
        <f>Uexp投资收益BKD!A45</f>
        <v>0</v>
      </c>
      <c r="S48" t="s">
        <v>552</v>
      </c>
    </row>
    <row r="49" spans="6:19">
      <c r="F49" s="352" t="str">
        <f>Uexp研发费用BKD!N31</f>
        <v>上期末审定数
(PY)</v>
      </c>
      <c r="G49" t="s">
        <v>553</v>
      </c>
      <c r="R49" t="str">
        <f>Uexp公允价值变动损益BKD!A28</f>
        <v>T1</v>
      </c>
      <c r="S49" t="s">
        <v>554</v>
      </c>
    </row>
    <row r="50" spans="6:19">
      <c r="F50" t="str">
        <f>Uexp财务费用BKD!C30</f>
        <v xml:space="preserve">账套名称/账套编码 </v>
      </c>
      <c r="G50" t="s">
        <v>555</v>
      </c>
      <c r="R50" t="str">
        <f>Uexp公允价值变动损益BKD!A34</f>
        <v>/T1</v>
      </c>
      <c r="S50" t="s">
        <v>556</v>
      </c>
    </row>
    <row r="51" spans="6:19">
      <c r="F51" t="str">
        <f>Uexp财务费用BKD!D30</f>
        <v>科目编码</v>
      </c>
      <c r="G51" t="s">
        <v>557</v>
      </c>
      <c r="R51">
        <f>Uexp公允价值变动损益BKD!A41</f>
        <v>0</v>
      </c>
      <c r="S51" t="s">
        <v>558</v>
      </c>
    </row>
    <row r="52" spans="6:19">
      <c r="F52" t="str">
        <f>Uexp财务费用BKD!E30</f>
        <v>科目名称</v>
      </c>
      <c r="G52" t="s">
        <v>559</v>
      </c>
      <c r="R52">
        <f>Uexp公允价值变动损益BKD!A44</f>
        <v>0</v>
      </c>
      <c r="S52" t="s">
        <v>560</v>
      </c>
    </row>
    <row r="53" spans="6:19">
      <c r="F53" t="str">
        <f>Uexp财务费用BKD!F30</f>
        <v>本期账面数</v>
      </c>
      <c r="G53" t="s">
        <v>561</v>
      </c>
      <c r="R53" t="str">
        <f>Uexp信用减值损失BKD!A27</f>
        <v>T1</v>
      </c>
      <c r="S53" t="s">
        <v>562</v>
      </c>
    </row>
    <row r="54" spans="6:19">
      <c r="F54" t="str">
        <f>Uexp财务费用BKD!G30</f>
        <v>本期账表调整编号</v>
      </c>
      <c r="G54" t="s">
        <v>563</v>
      </c>
      <c r="R54" t="str">
        <f>Uexp信用减值损失BKD!A33</f>
        <v>/T1</v>
      </c>
      <c r="S54" t="s">
        <v>564</v>
      </c>
    </row>
    <row r="55" spans="6:19">
      <c r="F55" t="str">
        <f>Uexp财务费用BKD!H30</f>
        <v>本期账表调整数</v>
      </c>
      <c r="G55" t="s">
        <v>565</v>
      </c>
      <c r="R55">
        <f>Uexp信用减值损失BKD!A56</f>
        <v>0</v>
      </c>
      <c r="S55" t="s">
        <v>566</v>
      </c>
    </row>
    <row r="56" spans="6:19">
      <c r="F56" t="str">
        <f>Uexp财务费用BKD!K30</f>
        <v>本期审计调整编号</v>
      </c>
      <c r="G56" t="s">
        <v>567</v>
      </c>
      <c r="R56">
        <f>Uexp信用减值损失BKD!A59</f>
        <v>0</v>
      </c>
      <c r="S56" t="s">
        <v>568</v>
      </c>
    </row>
    <row r="57" spans="6:19">
      <c r="F57" s="352" t="str">
        <f>Uexp财务费用BKD!L30</f>
        <v>本期审计调整金数</v>
      </c>
      <c r="G57" t="s">
        <v>569</v>
      </c>
      <c r="R57" t="str">
        <f>Uexp资产减值损失BKD!A28</f>
        <v>T1</v>
      </c>
      <c r="S57" t="s">
        <v>570</v>
      </c>
    </row>
    <row r="58" spans="6:19">
      <c r="F58" s="352" t="str">
        <f>Uexp财务费用BKD!M30</f>
        <v>本期账面审定数</v>
      </c>
      <c r="G58" t="s">
        <v>571</v>
      </c>
      <c r="R58" t="str">
        <f>Uexp资产减值损失BKD!A34</f>
        <v>/T1</v>
      </c>
      <c r="S58" t="s">
        <v>572</v>
      </c>
    </row>
    <row r="59" spans="6:19">
      <c r="F59" s="352" t="str">
        <f>Uexp财务费用BKD!N30</f>
        <v>上期末审定数
(PY)</v>
      </c>
      <c r="G59" t="s">
        <v>573</v>
      </c>
      <c r="R59">
        <f>Uexp资产减值损失BKD!A59</f>
        <v>0</v>
      </c>
      <c r="S59" t="s">
        <v>574</v>
      </c>
    </row>
    <row r="60" spans="6:19">
      <c r="F60" t="str">
        <f>Uexp其他收益BKD!C32</f>
        <v xml:space="preserve">账套名称/账套编码 </v>
      </c>
      <c r="G60" t="s">
        <v>575</v>
      </c>
      <c r="R60">
        <f>Uexp资产减值损失BKD!A62</f>
        <v>0</v>
      </c>
      <c r="S60" t="s">
        <v>576</v>
      </c>
    </row>
    <row r="61" spans="6:19">
      <c r="F61" t="str">
        <f>Uexp其他收益BKD!D32</f>
        <v>科目编码</v>
      </c>
      <c r="G61" t="s">
        <v>577</v>
      </c>
      <c r="R61" t="str">
        <f>Uexp资产处置损益BKD!A28</f>
        <v>T1</v>
      </c>
      <c r="S61" t="s">
        <v>578</v>
      </c>
    </row>
    <row r="62" spans="6:19">
      <c r="F62" t="str">
        <f>Uexp其他收益BKD!E32</f>
        <v>科目名称</v>
      </c>
      <c r="G62" t="s">
        <v>579</v>
      </c>
      <c r="R62" t="str">
        <f>Uexp资产处置损益BKD!A34</f>
        <v>/T1</v>
      </c>
      <c r="S62" t="s">
        <v>580</v>
      </c>
    </row>
    <row r="63" spans="6:19">
      <c r="F63" t="str">
        <f>Uexp其他收益BKD!F32</f>
        <v>本期账面数</v>
      </c>
      <c r="G63" t="s">
        <v>581</v>
      </c>
      <c r="R63">
        <f>Uexp资产处置损益BKD!A55</f>
        <v>0</v>
      </c>
      <c r="S63" t="s">
        <v>582</v>
      </c>
    </row>
    <row r="64" spans="6:19">
      <c r="F64" t="str">
        <f>Uexp其他收益BKD!G32</f>
        <v>本期账表调整编号</v>
      </c>
      <c r="G64" t="s">
        <v>583</v>
      </c>
      <c r="R64">
        <f>Uexp资产处置损益BKD!A58</f>
        <v>0</v>
      </c>
      <c r="S64" t="s">
        <v>584</v>
      </c>
    </row>
    <row r="65" spans="6:19">
      <c r="F65" t="str">
        <f>Uexp其他收益BKD!H32</f>
        <v>本期账表调整数</v>
      </c>
      <c r="G65" t="s">
        <v>585</v>
      </c>
      <c r="R65" t="str">
        <f>Uexp营业外收入BKD!A28</f>
        <v>T1</v>
      </c>
      <c r="S65" t="s">
        <v>586</v>
      </c>
    </row>
    <row r="66" spans="6:19">
      <c r="F66" t="str">
        <f>Uexp其他收益BKD!K32</f>
        <v>本期审计调整编号</v>
      </c>
      <c r="G66" t="s">
        <v>587</v>
      </c>
      <c r="R66" t="str">
        <f>Uexp营业外收入BKD!A34</f>
        <v>/T1</v>
      </c>
      <c r="S66" t="s">
        <v>588</v>
      </c>
    </row>
    <row r="67" spans="6:19">
      <c r="F67" s="352" t="str">
        <f>Uexp其他收益BKD!L32</f>
        <v>本期审计调整金数</v>
      </c>
      <c r="G67" t="s">
        <v>589</v>
      </c>
      <c r="R67">
        <f>Uexp营业外收入BKD!A41</f>
        <v>0</v>
      </c>
      <c r="S67" t="s">
        <v>590</v>
      </c>
    </row>
    <row r="68" spans="6:19">
      <c r="F68" s="352" t="str">
        <f>Uexp其他收益BKD!M32</f>
        <v>本期账面审定数</v>
      </c>
      <c r="G68" t="s">
        <v>591</v>
      </c>
      <c r="R68">
        <f>Uexp营业外收入BKD!A44</f>
        <v>0</v>
      </c>
      <c r="S68" t="s">
        <v>592</v>
      </c>
    </row>
    <row r="69" spans="6:19">
      <c r="F69" s="352" t="str">
        <f>Uexp其他收益BKD!N32</f>
        <v>上期末审定数
(PY)</v>
      </c>
      <c r="G69" t="s">
        <v>593</v>
      </c>
      <c r="R69" t="str">
        <f>Uexp营业外支出BKD!A29</f>
        <v>T1</v>
      </c>
      <c r="S69" t="s">
        <v>594</v>
      </c>
    </row>
    <row r="70" spans="6:19">
      <c r="F70" t="str">
        <f>Uexp投资收益BKD!C32</f>
        <v xml:space="preserve">账套名称/账套编码 </v>
      </c>
      <c r="G70" t="s">
        <v>595</v>
      </c>
      <c r="R70" t="str">
        <f>Uexp营业外支出BKD!A35</f>
        <v>/T1</v>
      </c>
      <c r="S70" t="s">
        <v>596</v>
      </c>
    </row>
    <row r="71" spans="6:19">
      <c r="F71" t="str">
        <f>Uexp投资收益BKD!D32</f>
        <v>科目编码</v>
      </c>
      <c r="G71" t="s">
        <v>597</v>
      </c>
      <c r="R71">
        <f>Uexp营业外支出BKD!A42</f>
        <v>0</v>
      </c>
      <c r="S71" t="s">
        <v>598</v>
      </c>
    </row>
    <row r="72" spans="6:19">
      <c r="F72" t="str">
        <f>Uexp投资收益BKD!E32</f>
        <v>科目名称</v>
      </c>
      <c r="G72" t="s">
        <v>599</v>
      </c>
      <c r="R72">
        <f>Uexp营业外支出BKD!A45</f>
        <v>0</v>
      </c>
      <c r="S72" t="s">
        <v>600</v>
      </c>
    </row>
    <row r="73" spans="6:19">
      <c r="F73" t="str">
        <f>Uexp投资收益BKD!F32</f>
        <v>本期账面数</v>
      </c>
      <c r="G73" t="s">
        <v>601</v>
      </c>
      <c r="R73" t="str">
        <f>Uexp制造费用BKD!A27</f>
        <v>T1</v>
      </c>
      <c r="S73" t="s">
        <v>602</v>
      </c>
    </row>
    <row r="74" spans="6:19">
      <c r="F74" t="str">
        <f>Uexp投资收益BKD!G32</f>
        <v>本期账表调整编号</v>
      </c>
      <c r="G74" t="s">
        <v>603</v>
      </c>
      <c r="R74" t="str">
        <f>Uexp制造费用BKD!A33</f>
        <v>/T1</v>
      </c>
      <c r="S74" t="s">
        <v>604</v>
      </c>
    </row>
    <row r="75" spans="6:19">
      <c r="F75" t="str">
        <f>Uexp投资收益BKD!H32</f>
        <v>本期账表调整数</v>
      </c>
      <c r="G75" t="s">
        <v>605</v>
      </c>
      <c r="R75">
        <f>Uexp制造费用BKD!A41</f>
        <v>0</v>
      </c>
      <c r="S75" t="s">
        <v>606</v>
      </c>
    </row>
    <row r="76" spans="6:19">
      <c r="F76" t="str">
        <f>Uexp投资收益BKD!K32</f>
        <v>本期审计调整编号</v>
      </c>
      <c r="G76" t="s">
        <v>607</v>
      </c>
      <c r="R76">
        <f>Uexp制造费用BKD!A43</f>
        <v>0</v>
      </c>
      <c r="S76" t="s">
        <v>608</v>
      </c>
    </row>
    <row r="77" spans="6:19">
      <c r="F77" s="352" t="str">
        <f>Uexp投资收益BKD!L32</f>
        <v>本期审计调整金数</v>
      </c>
      <c r="G77" t="s">
        <v>609</v>
      </c>
      <c r="R77" t="e">
        <f>#REF!</f>
        <v>#REF!</v>
      </c>
      <c r="S77" t="s">
        <v>610</v>
      </c>
    </row>
    <row r="78" spans="6:19">
      <c r="F78" s="352" t="str">
        <f>Uexp投资收益BKD!M32</f>
        <v>本期账面审定数</v>
      </c>
      <c r="G78" t="s">
        <v>611</v>
      </c>
      <c r="R78" t="e">
        <f>#REF!</f>
        <v>#REF!</v>
      </c>
      <c r="S78" t="s">
        <v>612</v>
      </c>
    </row>
    <row r="79" spans="6:19">
      <c r="F79" s="352" t="str">
        <f>Uexp投资收益BKD!N32</f>
        <v>上期末审定数
(PY)</v>
      </c>
      <c r="G79" t="s">
        <v>613</v>
      </c>
      <c r="R79" t="e">
        <f>#REF!</f>
        <v>#REF!</v>
      </c>
      <c r="S79" t="s">
        <v>614</v>
      </c>
    </row>
    <row r="80" spans="6:19">
      <c r="F80" t="str">
        <f>Uexp公允价值变动损益BKD!C31</f>
        <v xml:space="preserve">账套名称/账套编码 </v>
      </c>
      <c r="G80" t="s">
        <v>615</v>
      </c>
      <c r="R80" t="e">
        <f>#REF!</f>
        <v>#REF!</v>
      </c>
      <c r="S80" t="s">
        <v>616</v>
      </c>
    </row>
    <row r="81" spans="6:19">
      <c r="F81" t="str">
        <f>Uexp公允价值变动损益BKD!D31</f>
        <v>科目编码</v>
      </c>
      <c r="G81" t="s">
        <v>617</v>
      </c>
      <c r="R81" t="str">
        <f>Uexp制造费用BKD!A27</f>
        <v>T1</v>
      </c>
      <c r="S81" t="s">
        <v>618</v>
      </c>
    </row>
    <row r="82" spans="6:19">
      <c r="F82" t="str">
        <f>Uexp公允价值变动损益BKD!E31</f>
        <v>科目名称</v>
      </c>
      <c r="G82" t="s">
        <v>619</v>
      </c>
      <c r="R82" t="str">
        <f>Uexp制造费用BKD!A33</f>
        <v>/T1</v>
      </c>
      <c r="S82" t="s">
        <v>620</v>
      </c>
    </row>
    <row r="83" spans="6:19">
      <c r="F83" t="str">
        <f>Uexp公允价值变动损益BKD!F31</f>
        <v>本期账面数</v>
      </c>
      <c r="G83" t="s">
        <v>621</v>
      </c>
    </row>
    <row r="84" spans="6:19">
      <c r="F84" t="str">
        <f>Uexp公允价值变动损益BKD!G31</f>
        <v>本期账表调整编号</v>
      </c>
      <c r="G84" t="s">
        <v>622</v>
      </c>
    </row>
    <row r="85" spans="6:19">
      <c r="F85" t="str">
        <f>Uexp公允价值变动损益BKD!H31</f>
        <v>本期账表调整数</v>
      </c>
      <c r="G85" t="s">
        <v>623</v>
      </c>
    </row>
    <row r="86" spans="6:19">
      <c r="F86" t="str">
        <f>Uexp公允价值变动损益BKD!K31</f>
        <v>本期审计调整编号</v>
      </c>
      <c r="G86" t="s">
        <v>624</v>
      </c>
    </row>
    <row r="87" spans="6:19">
      <c r="F87" s="352" t="str">
        <f>Uexp公允价值变动损益BKD!L31</f>
        <v>本期审计调整金数</v>
      </c>
      <c r="G87" t="s">
        <v>625</v>
      </c>
    </row>
    <row r="88" spans="6:19">
      <c r="F88" s="352" t="str">
        <f>Uexp公允价值变动损益BKD!M31</f>
        <v>本期账面审定数</v>
      </c>
      <c r="G88" t="s">
        <v>626</v>
      </c>
    </row>
    <row r="89" spans="6:19">
      <c r="F89" s="352" t="str">
        <f>Uexp公允价值变动损益BKD!N31</f>
        <v>上期末审定数
(PY)</v>
      </c>
      <c r="G89" t="s">
        <v>627</v>
      </c>
    </row>
    <row r="90" spans="6:19">
      <c r="F90" t="str">
        <f>Uexp信用减值损失BKD!C30</f>
        <v xml:space="preserve">账套名称/账套编码 </v>
      </c>
      <c r="G90" t="s">
        <v>628</v>
      </c>
    </row>
    <row r="91" spans="6:19">
      <c r="F91" t="str">
        <f>Uexp信用减值损失BKD!D30</f>
        <v>科目编码</v>
      </c>
      <c r="G91" t="s">
        <v>629</v>
      </c>
    </row>
    <row r="92" spans="6:19">
      <c r="F92" t="str">
        <f>Uexp信用减值损失BKD!E30</f>
        <v>科目名称</v>
      </c>
      <c r="G92" t="s">
        <v>630</v>
      </c>
    </row>
    <row r="93" spans="6:19">
      <c r="F93" t="str">
        <f>Uexp信用减值损失BKD!F30</f>
        <v>本期账面数</v>
      </c>
      <c r="G93" t="s">
        <v>631</v>
      </c>
    </row>
    <row r="94" spans="6:19">
      <c r="F94" t="str">
        <f>Uexp信用减值损失BKD!G30</f>
        <v>本期账表调整编号</v>
      </c>
      <c r="G94" t="s">
        <v>632</v>
      </c>
    </row>
    <row r="95" spans="6:19">
      <c r="F95" t="str">
        <f>Uexp信用减值损失BKD!H30</f>
        <v>本期账表调整数</v>
      </c>
      <c r="G95" t="s">
        <v>633</v>
      </c>
    </row>
    <row r="96" spans="6:19">
      <c r="F96" t="str">
        <f>Uexp信用减值损失BKD!K30</f>
        <v>本期审计调整编号</v>
      </c>
      <c r="G96" t="s">
        <v>634</v>
      </c>
    </row>
    <row r="97" spans="6:7">
      <c r="F97" s="352" t="str">
        <f>Uexp信用减值损失BKD!L30</f>
        <v>本期审计调整金数</v>
      </c>
      <c r="G97" t="s">
        <v>635</v>
      </c>
    </row>
    <row r="98" spans="6:7">
      <c r="F98" s="352" t="str">
        <f>Uexp信用减值损失BKD!M30</f>
        <v>本期账面审定数</v>
      </c>
      <c r="G98" t="s">
        <v>636</v>
      </c>
    </row>
    <row r="99" spans="6:7">
      <c r="F99" s="352" t="str">
        <f>Uexp信用减值损失BKD!N30</f>
        <v>上期末审定数
(PY)</v>
      </c>
      <c r="G99" t="s">
        <v>637</v>
      </c>
    </row>
    <row r="100" spans="6:7">
      <c r="F100" t="str">
        <f>Uexp资产减值损失BKD!C31</f>
        <v xml:space="preserve">账套名称/账套编码 </v>
      </c>
      <c r="G100" t="s">
        <v>638</v>
      </c>
    </row>
    <row r="101" spans="6:7">
      <c r="F101" t="str">
        <f>Uexp资产减值损失BKD!D31</f>
        <v>科目编码</v>
      </c>
      <c r="G101" t="s">
        <v>639</v>
      </c>
    </row>
    <row r="102" spans="6:7">
      <c r="F102" t="str">
        <f>Uexp资产减值损失BKD!E31</f>
        <v>科目名称</v>
      </c>
      <c r="G102" t="s">
        <v>640</v>
      </c>
    </row>
    <row r="103" spans="6:7">
      <c r="F103" t="str">
        <f>Uexp资产减值损失BKD!F31</f>
        <v>本期账面数</v>
      </c>
      <c r="G103" t="s">
        <v>641</v>
      </c>
    </row>
    <row r="104" spans="6:7">
      <c r="F104" t="str">
        <f>Uexp资产减值损失BKD!G31</f>
        <v>本期账表调整编号</v>
      </c>
      <c r="G104" t="s">
        <v>642</v>
      </c>
    </row>
    <row r="105" spans="6:7">
      <c r="F105" t="str">
        <f>Uexp资产减值损失BKD!H31</f>
        <v>本期账表调整数</v>
      </c>
      <c r="G105" t="s">
        <v>643</v>
      </c>
    </row>
    <row r="106" spans="6:7">
      <c r="F106" t="str">
        <f>Uexp资产减值损失BKD!K31</f>
        <v>本期审计调整编号</v>
      </c>
      <c r="G106" t="s">
        <v>644</v>
      </c>
    </row>
    <row r="107" spans="6:7">
      <c r="F107" s="352" t="str">
        <f>Uexp资产减值损失BKD!L31</f>
        <v>本期审计调整金数</v>
      </c>
      <c r="G107" t="s">
        <v>645</v>
      </c>
    </row>
    <row r="108" spans="6:7">
      <c r="F108" s="352" t="str">
        <f>Uexp资产减值损失BKD!M31</f>
        <v>本期账面审定数</v>
      </c>
      <c r="G108" t="s">
        <v>646</v>
      </c>
    </row>
    <row r="109" spans="6:7">
      <c r="F109" s="352" t="str">
        <f>Uexp资产减值损失BKD!N31</f>
        <v>上期末审定数
(PY)</v>
      </c>
      <c r="G109" t="s">
        <v>647</v>
      </c>
    </row>
    <row r="110" spans="6:7">
      <c r="F110" t="str">
        <f>Uexp资产处置损益BKD!C31</f>
        <v xml:space="preserve">账套名称/账套编码 </v>
      </c>
      <c r="G110" t="s">
        <v>648</v>
      </c>
    </row>
    <row r="111" spans="6:7">
      <c r="F111" t="str">
        <f>Uexp资产处置损益BKD!D31</f>
        <v>科目编码</v>
      </c>
      <c r="G111" t="s">
        <v>649</v>
      </c>
    </row>
    <row r="112" spans="6:7">
      <c r="F112" t="str">
        <f>Uexp资产处置损益BKD!E31</f>
        <v>科目名称</v>
      </c>
      <c r="G112" t="s">
        <v>650</v>
      </c>
    </row>
    <row r="113" spans="6:7">
      <c r="F113" t="str">
        <f>Uexp资产处置损益BKD!F31</f>
        <v>本期账面数</v>
      </c>
      <c r="G113" t="s">
        <v>651</v>
      </c>
    </row>
    <row r="114" spans="6:7">
      <c r="F114" t="str">
        <f>Uexp资产处置损益BKD!G31</f>
        <v>本期账表调整编号</v>
      </c>
      <c r="G114" t="s">
        <v>652</v>
      </c>
    </row>
    <row r="115" spans="6:7">
      <c r="F115" t="str">
        <f>Uexp资产处置损益BKD!H31</f>
        <v>本期账表调整数</v>
      </c>
      <c r="G115" t="s">
        <v>653</v>
      </c>
    </row>
    <row r="116" spans="6:7">
      <c r="F116" t="str">
        <f>Uexp资产处置损益BKD!K31</f>
        <v>本期审计调整编号</v>
      </c>
      <c r="G116" t="s">
        <v>654</v>
      </c>
    </row>
    <row r="117" spans="6:7">
      <c r="F117" s="352" t="str">
        <f>Uexp资产处置损益BKD!L31</f>
        <v>本期审计调整金数</v>
      </c>
      <c r="G117" t="s">
        <v>655</v>
      </c>
    </row>
    <row r="118" spans="6:7">
      <c r="F118" s="352" t="str">
        <f>Uexp资产处置损益BKD!M31</f>
        <v>本期账面审定数</v>
      </c>
      <c r="G118" t="s">
        <v>656</v>
      </c>
    </row>
    <row r="119" spans="6:7">
      <c r="F119" s="352" t="str">
        <f>Uexp资产处置损益BKD!N31</f>
        <v>上期末审定数
(PY)</v>
      </c>
      <c r="G119" t="s">
        <v>657</v>
      </c>
    </row>
    <row r="120" spans="6:7">
      <c r="F120" t="str">
        <f>Uexp营业外收入BKD!C31</f>
        <v xml:space="preserve">账套名称/账套编码 </v>
      </c>
      <c r="G120" t="s">
        <v>658</v>
      </c>
    </row>
    <row r="121" spans="6:7">
      <c r="F121" t="str">
        <f>Uexp营业外收入BKD!D31</f>
        <v>科目编码</v>
      </c>
      <c r="G121" t="s">
        <v>659</v>
      </c>
    </row>
    <row r="122" spans="6:7">
      <c r="F122" t="str">
        <f>Uexp营业外收入BKD!E31</f>
        <v>科目名称</v>
      </c>
      <c r="G122" t="s">
        <v>660</v>
      </c>
    </row>
    <row r="123" spans="6:7">
      <c r="F123" t="str">
        <f>Uexp营业外收入BKD!F31</f>
        <v>本期账面数</v>
      </c>
      <c r="G123" t="s">
        <v>661</v>
      </c>
    </row>
    <row r="124" spans="6:7">
      <c r="F124" t="str">
        <f>Uexp营业外收入BKD!G31</f>
        <v>本期账表调整编号</v>
      </c>
      <c r="G124" t="s">
        <v>662</v>
      </c>
    </row>
    <row r="125" spans="6:7">
      <c r="F125" t="str">
        <f>Uexp营业外收入BKD!H31</f>
        <v>本期账表调整数</v>
      </c>
      <c r="G125" t="s">
        <v>663</v>
      </c>
    </row>
    <row r="126" spans="6:7">
      <c r="F126" t="str">
        <f>Uexp营业外收入BKD!K31</f>
        <v>本期审计调整编号</v>
      </c>
      <c r="G126" t="s">
        <v>664</v>
      </c>
    </row>
    <row r="127" spans="6:7">
      <c r="F127" s="352" t="str">
        <f>Uexp营业外收入BKD!L31</f>
        <v>本期审计调整金数</v>
      </c>
      <c r="G127" t="s">
        <v>665</v>
      </c>
    </row>
    <row r="128" spans="6:7">
      <c r="F128" s="352" t="str">
        <f>Uexp营业外收入BKD!M31</f>
        <v>本期账面审定数</v>
      </c>
      <c r="G128" t="s">
        <v>666</v>
      </c>
    </row>
    <row r="129" spans="6:7">
      <c r="F129" s="352" t="str">
        <f>Uexp营业外收入BKD!N31</f>
        <v>上期末审定数
(PY)</v>
      </c>
      <c r="G129" t="s">
        <v>667</v>
      </c>
    </row>
    <row r="130" spans="6:7">
      <c r="F130" t="str">
        <f>Uexp营业外支出BKD!C32</f>
        <v xml:space="preserve">账套名称/账套编码 </v>
      </c>
      <c r="G130" t="s">
        <v>668</v>
      </c>
    </row>
    <row r="131" spans="6:7">
      <c r="F131" t="str">
        <f>Uexp营业外支出BKD!D32</f>
        <v>科目编码</v>
      </c>
      <c r="G131" t="s">
        <v>669</v>
      </c>
    </row>
    <row r="132" spans="6:7">
      <c r="F132" t="str">
        <f>Uexp营业外支出BKD!E32</f>
        <v>科目名称</v>
      </c>
      <c r="G132" t="s">
        <v>670</v>
      </c>
    </row>
    <row r="133" spans="6:7">
      <c r="F133" t="str">
        <f>Uexp营业外支出BKD!F32</f>
        <v>本期账面数</v>
      </c>
      <c r="G133" t="s">
        <v>671</v>
      </c>
    </row>
    <row r="134" spans="6:7">
      <c r="F134" t="str">
        <f>Uexp营业外支出BKD!G32</f>
        <v>本期账表调整编号</v>
      </c>
      <c r="G134" t="s">
        <v>672</v>
      </c>
    </row>
    <row r="135" spans="6:7">
      <c r="F135" t="str">
        <f>Uexp营业外支出BKD!H32</f>
        <v>本期账表调整数</v>
      </c>
      <c r="G135" t="s">
        <v>673</v>
      </c>
    </row>
    <row r="136" spans="6:7">
      <c r="F136" t="str">
        <f>Uexp营业外支出BKD!K32</f>
        <v>本期审计调整编号</v>
      </c>
      <c r="G136" t="s">
        <v>674</v>
      </c>
    </row>
    <row r="137" spans="6:7">
      <c r="F137" s="352" t="str">
        <f>Uexp营业外支出BKD!L32</f>
        <v>本期审计调整金数</v>
      </c>
      <c r="G137" t="s">
        <v>675</v>
      </c>
    </row>
    <row r="138" spans="6:7">
      <c r="F138" s="352" t="str">
        <f>Uexp营业外支出BKD!M32</f>
        <v>本期账面审定数</v>
      </c>
      <c r="G138" t="s">
        <v>676</v>
      </c>
    </row>
    <row r="139" spans="6:7">
      <c r="F139" s="352" t="str">
        <f>Uexp营业外支出BKD!N32</f>
        <v>上期末审定数
(PY)</v>
      </c>
      <c r="G139" t="s">
        <v>677</v>
      </c>
    </row>
    <row r="140" spans="6:7">
      <c r="F140" t="str">
        <f>Uexp债务重组利得和损失BKD!C32</f>
        <v xml:space="preserve">账套名称/账套编码 </v>
      </c>
      <c r="G140" t="s">
        <v>678</v>
      </c>
    </row>
    <row r="141" spans="6:7">
      <c r="F141" t="str">
        <f>Uexp债务重组利得和损失BKD!D32</f>
        <v>科目编码</v>
      </c>
      <c r="G141" t="s">
        <v>679</v>
      </c>
    </row>
    <row r="142" spans="6:7">
      <c r="F142" t="str">
        <f>Uexp债务重组利得和损失BKD!E32</f>
        <v>科目名称</v>
      </c>
      <c r="G142" t="s">
        <v>680</v>
      </c>
    </row>
    <row r="143" spans="6:7">
      <c r="F143" t="str">
        <f>Uexp债务重组利得和损失BKD!F32</f>
        <v>本期账面数</v>
      </c>
      <c r="G143" t="s">
        <v>681</v>
      </c>
    </row>
    <row r="144" spans="6:7">
      <c r="F144" t="str">
        <f>Uexp债务重组利得和损失BKD!G32</f>
        <v>本期账表调整编号</v>
      </c>
      <c r="G144" t="s">
        <v>682</v>
      </c>
    </row>
    <row r="145" spans="6:7">
      <c r="F145" t="str">
        <f>Uexp债务重组利得和损失BKD!H32</f>
        <v>本期账表调整数</v>
      </c>
      <c r="G145" t="s">
        <v>683</v>
      </c>
    </row>
    <row r="146" spans="6:7">
      <c r="F146" t="str">
        <f>Uexp债务重组利得和损失BKD!K32</f>
        <v>本期审计调整编号</v>
      </c>
      <c r="G146" t="s">
        <v>684</v>
      </c>
    </row>
    <row r="147" spans="6:7">
      <c r="F147" s="352" t="str">
        <f>Uexp债务重组利得和损失BKD!L32</f>
        <v>本期审计调整金数</v>
      </c>
      <c r="G147" t="s">
        <v>685</v>
      </c>
    </row>
    <row r="148" spans="6:7">
      <c r="F148" s="352" t="str">
        <f>Uexp债务重组利得和损失BKD!M32</f>
        <v>本期账面审定数</v>
      </c>
      <c r="G148" t="s">
        <v>686</v>
      </c>
    </row>
    <row r="149" spans="6:7">
      <c r="F149" s="352" t="str">
        <f>Uexp债务重组利得和损失BKD!N32</f>
        <v>上期末审定数
(PY)</v>
      </c>
      <c r="G149" t="s">
        <v>687</v>
      </c>
    </row>
    <row r="150" spans="6:7">
      <c r="F150" t="e">
        <f>Uexp制造费用BKD!#REF!</f>
        <v>#REF!</v>
      </c>
      <c r="G150" t="s">
        <v>688</v>
      </c>
    </row>
    <row r="151" spans="6:7">
      <c r="F151" t="e">
        <f>Uexp制造费用BKD!#REF!</f>
        <v>#REF!</v>
      </c>
      <c r="G151" t="s">
        <v>689</v>
      </c>
    </row>
    <row r="152" spans="6:7">
      <c r="F152" t="e">
        <f>Uexp制造费用BKD!#REF!</f>
        <v>#REF!</v>
      </c>
      <c r="G152" t="s">
        <v>690</v>
      </c>
    </row>
    <row r="153" spans="6:7">
      <c r="F153" t="e">
        <f>Uexp制造费用BKD!#REF!</f>
        <v>#REF!</v>
      </c>
      <c r="G153" t="s">
        <v>691</v>
      </c>
    </row>
    <row r="154" spans="6:7">
      <c r="F154" t="e">
        <f>Uexp制造费用BKD!#REF!</f>
        <v>#REF!</v>
      </c>
      <c r="G154" t="s">
        <v>692</v>
      </c>
    </row>
    <row r="155" spans="6:7">
      <c r="F155" t="e">
        <f>Uexp制造费用BKD!#REF!</f>
        <v>#REF!</v>
      </c>
      <c r="G155" t="s">
        <v>693</v>
      </c>
    </row>
    <row r="156" spans="6:7">
      <c r="F156" t="e">
        <f>Uexp制造费用BKD!#REF!</f>
        <v>#REF!</v>
      </c>
      <c r="G156" t="s">
        <v>694</v>
      </c>
    </row>
    <row r="157" spans="6:7">
      <c r="F157" s="352" t="e">
        <f>Uexp制造费用BKD!#REF!</f>
        <v>#REF!</v>
      </c>
      <c r="G157" t="s">
        <v>695</v>
      </c>
    </row>
    <row r="158" spans="6:7">
      <c r="F158" s="352" t="e">
        <f>Uexp制造费用BKD!#REF!</f>
        <v>#REF!</v>
      </c>
      <c r="G158" t="s">
        <v>696</v>
      </c>
    </row>
    <row r="159" spans="6:7">
      <c r="F159" s="352" t="e">
        <f>Uexp制造费用BKD!#REF!</f>
        <v>#REF!</v>
      </c>
      <c r="G159" t="s">
        <v>697</v>
      </c>
    </row>
    <row r="160" spans="6:7">
      <c r="F160" t="e">
        <f>#REF!</f>
        <v>#REF!</v>
      </c>
      <c r="G160" t="s">
        <v>698</v>
      </c>
    </row>
    <row r="161" spans="6:7">
      <c r="F161" t="e">
        <f>#REF!</f>
        <v>#REF!</v>
      </c>
      <c r="G161" t="s">
        <v>699</v>
      </c>
    </row>
    <row r="162" spans="6:7">
      <c r="F162" t="e">
        <f>#REF!</f>
        <v>#REF!</v>
      </c>
      <c r="G162" t="s">
        <v>700</v>
      </c>
    </row>
    <row r="163" spans="6:7">
      <c r="F163" t="e">
        <f>#REF!</f>
        <v>#REF!</v>
      </c>
      <c r="G163" t="s">
        <v>701</v>
      </c>
    </row>
    <row r="164" spans="6:7">
      <c r="F164" t="e">
        <f>#REF!</f>
        <v>#REF!</v>
      </c>
      <c r="G164" t="s">
        <v>702</v>
      </c>
    </row>
    <row r="165" spans="6:7">
      <c r="F165" t="e">
        <f>#REF!</f>
        <v>#REF!</v>
      </c>
      <c r="G165" t="s">
        <v>703</v>
      </c>
    </row>
    <row r="166" spans="6:7">
      <c r="F166" t="e">
        <f>#REF!</f>
        <v>#REF!</v>
      </c>
      <c r="G166" t="s">
        <v>704</v>
      </c>
    </row>
    <row r="167" spans="6:7">
      <c r="F167" t="e">
        <f>#REF!</f>
        <v>#REF!</v>
      </c>
      <c r="G167" t="s">
        <v>705</v>
      </c>
    </row>
    <row r="168" spans="6:7">
      <c r="F168" t="e">
        <f>#REF!</f>
        <v>#REF!</v>
      </c>
      <c r="G168" t="s">
        <v>706</v>
      </c>
    </row>
    <row r="169" spans="6:7">
      <c r="F169" t="e">
        <f>#REF!</f>
        <v>#REF!</v>
      </c>
      <c r="G169" t="s">
        <v>707</v>
      </c>
    </row>
  </sheetData>
  <phoneticPr fontId="136"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a9bf47e-7d7d-4d70-9d97-7b2a84c9bd53">
      <UserInfo>
        <DisplayName>Johnny ZZ Zhang</DisplayName>
        <AccountId>49</AccountId>
        <AccountType/>
      </UserInfo>
      <UserInfo>
        <DisplayName>Selene Li</DisplayName>
        <AccountId>117</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85a4095a0e7018796401923b38c9fe9c">
  <xsd:schema xmlns:xsd="http://www.w3.org/2001/XMLSchema" xmlns:xs="http://www.w3.org/2001/XMLSchema" xmlns:p="http://schemas.microsoft.com/office/2006/metadata/properties" xmlns:ns2="aa9bf47e-7d7d-4d70-9d97-7b2a84c9bd53" targetNamespace="http://schemas.microsoft.com/office/2006/metadata/properties" ma:root="true" ma:fieldsID="9554c9bd4e172567dfde44a844c1fe0f"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datasnipper xmlns="http://datasnipper" workbookId="40cf15e0-f475-4d40-b690-3b6369fb9626" dataSnipperSheetDeleted="false" guid="834afb0b-f584-4f4e-a283-919f9eabb968" revision="2">
  <settings xmlns="" guid="a0a40119-a98b-4797-a818-05f0f91654ce">
    <setting type="boolean" value="True" name="embed-documents" guid="a0a40252-15f6-4c9f-b9af-5cc466e39348"/>
  </settings>
</datasnipper>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B85EFF-3607-43AA-AAD3-CCF4C26188C0}">
  <ds:schemaRefs>
    <ds:schemaRef ds:uri="http://schemas.microsoft.com/office/2006/metadata/properties"/>
    <ds:schemaRef ds:uri="http://schemas.microsoft.com/office/infopath/2007/PartnerControls"/>
    <ds:schemaRef ds:uri="aa9bf47e-7d7d-4d70-9d97-7b2a84c9bd53"/>
  </ds:schemaRefs>
</ds:datastoreItem>
</file>

<file path=customXml/itemProps2.xml><?xml version="1.0" encoding="utf-8"?>
<ds:datastoreItem xmlns:ds="http://schemas.openxmlformats.org/officeDocument/2006/customXml" ds:itemID="{146548D6-F738-4BF0-AE77-15951AA0E0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bf47e-7d7d-4d70-9d97-7b2a84c9bd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61A269-3A02-4573-B224-763C460C41ED}">
  <ds:schemaRefs>
    <ds:schemaRef ds:uri="http://datasnipper"/>
    <ds:schemaRef ds:uri=""/>
  </ds:schemaRefs>
</ds:datastoreItem>
</file>

<file path=customXml/itemProps4.xml><?xml version="1.0" encoding="utf-8"?>
<ds:datastoreItem xmlns:ds="http://schemas.openxmlformats.org/officeDocument/2006/customXml" ds:itemID="{9581F21E-843E-4A52-9FF7-55312426CCC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汇总</vt:lpstr>
      <vt:lpstr>Uexp_Lead</vt:lpstr>
      <vt:lpstr>Uexp制造费用BKD</vt:lpstr>
      <vt:lpstr>Uexp研发费用BKD</vt:lpstr>
      <vt:lpstr>Uexp财务费用BKD</vt:lpstr>
      <vt:lpstr>Uexp利息测试</vt:lpstr>
      <vt:lpstr>Uexp其他收益BKD</vt:lpstr>
      <vt:lpstr>Uexp投资收益BKD</vt:lpstr>
      <vt:lpstr>Uexp公允价值变动损益BKD</vt:lpstr>
      <vt:lpstr>Uexp信用减值损失BKD</vt:lpstr>
      <vt:lpstr>Uexp资产减值损失BKD</vt:lpstr>
      <vt:lpstr>Uexp资产处置损益BKD</vt:lpstr>
      <vt:lpstr>Uexp营业外收入BKD</vt:lpstr>
      <vt:lpstr>Uexp营业外支出BKD</vt:lpstr>
      <vt:lpstr>Uexp债务重组利得和损失BKD</vt:lpstr>
      <vt:lpstr>Uexp_Cutoff</vt:lpstr>
      <vt:lpstr>Uexp_TOD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标准审计底稿模板_U_Exp_202YMMDD_XYZ公司</dc:title>
  <dc:subject/>
  <dc:creator>Jadey Cai</dc:creator>
  <cp:keywords>Final Audit.V5.U_Exp other.1219</cp:keywords>
  <dc:description>B2EE6476-01BB-4A47-B969-699B73282C31</dc:description>
  <cp:lastModifiedBy>Dan Y Yao</cp:lastModifiedBy>
  <cp:revision/>
  <dcterms:created xsi:type="dcterms:W3CDTF">2019-11-17T09:56:00Z</dcterms:created>
  <dcterms:modified xsi:type="dcterms:W3CDTF">2025-03-17T05:44:42Z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y fmtid="{D5CDD505-2E9C-101B-9397-08002B2CF9AE}" pid="3" name="ICV">
    <vt:lpwstr>A302EF344059403B925D29DE0A0B98A2</vt:lpwstr>
  </property>
  <property fmtid="{D5CDD505-2E9C-101B-9397-08002B2CF9AE}" pid="4" name="KSOProductBuildVer">
    <vt:lpwstr>2052-11.1.0.12358</vt:lpwstr>
  </property>
</Properties>
</file>
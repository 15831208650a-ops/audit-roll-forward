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https://eychinamanaged-my.sharepoint.cn/personal/alina_ye_cn_ey_com/Documents/Desktop/clean版-第三批/"/>
    </mc:Choice>
  </mc:AlternateContent>
  <xr:revisionPtr revIDLastSave="486" documentId="13_ncr:1_{EE31297F-C82A-4B6C-9B4F-7DB221AE58B0}" xr6:coauthVersionLast="47" xr6:coauthVersionMax="47" xr10:uidLastSave="{FAB0311C-B18D-4DE8-AFAE-82BCF59E1C34}"/>
  <bookViews>
    <workbookView xWindow="-110" yWindow="-110" windowWidth="25820" windowHeight="13900" tabRatio="841" xr2:uid="{6E028FE7-9026-4063-A464-6E29EB674807}"/>
  </bookViews>
  <sheets>
    <sheet name="汇总" sheetId="100" r:id="rId1"/>
    <sheet name="Q1.00 Lead" sheetId="39" r:id="rId2"/>
    <sheet name="Q1.01 BKD" sheetId="87" r:id="rId3"/>
    <sheet name="Q1.02a 函证" sheetId="68" r:id="rId4"/>
    <sheet name="Q1.02b 抵押担保测试" sheetId="83" r:id="rId5"/>
    <sheet name="Q1.02c 函证-替代测试" sheetId="84" r:id="rId6"/>
    <sheet name="Q1.03 增加（ToD）" sheetId="3" r:id="rId7"/>
    <sheet name="Q1.04 SAP" sheetId="108" r:id="rId8"/>
    <sheet name="Q1.04.01 利息费用（ToD）" sheetId="109" r:id="rId9"/>
    <sheet name="Q1.04.02 利息费用（重新计算）" sheetId="111" r:id="rId10"/>
    <sheet name="Q1.05 限制性契约" sheetId="56" r:id="rId11"/>
  </sheets>
  <definedNames>
    <definedName name="_____dod1" localSheetId="8" hidden="1">{#N/A,#N/A,TRUE,"CPRD";#N/A,#N/A,TRUE,"BCCPDR";#N/A,#N/A,TRUE,"EWRD";#N/A,#N/A,TRUE,"5100";#N/A,#N/A,TRUE,"5110"}</definedName>
    <definedName name="_____dod1" localSheetId="9" hidden="1">{#N/A,#N/A,TRUE,"CPRD";#N/A,#N/A,TRUE,"BCCPDR";#N/A,#N/A,TRUE,"EWRD";#N/A,#N/A,TRUE,"5100";#N/A,#N/A,TRUE,"5110"}</definedName>
    <definedName name="_____dod1" localSheetId="0" hidden="1">{#N/A,#N/A,TRUE,"CPRD";#N/A,#N/A,TRUE,"BCCPDR";#N/A,#N/A,TRUE,"EWRD";#N/A,#N/A,TRUE,"5100";#N/A,#N/A,TRUE,"5110"}</definedName>
    <definedName name="_____dod1" hidden="1">{#N/A,#N/A,TRUE,"CPRD";#N/A,#N/A,TRUE,"BCCPDR";#N/A,#N/A,TRUE,"EWRD";#N/A,#N/A,TRUE,"5100";#N/A,#N/A,TRUE,"5110"}</definedName>
    <definedName name="____dod1" localSheetId="8" hidden="1">{#N/A,#N/A,TRUE,"CPRD";#N/A,#N/A,TRUE,"BCCPDR";#N/A,#N/A,TRUE,"EWRD";#N/A,#N/A,TRUE,"5100";#N/A,#N/A,TRUE,"5110"}</definedName>
    <definedName name="____dod1" localSheetId="9" hidden="1">{#N/A,#N/A,TRUE,"CPRD";#N/A,#N/A,TRUE,"BCCPDR";#N/A,#N/A,TRUE,"EWRD";#N/A,#N/A,TRUE,"5100";#N/A,#N/A,TRUE,"5110"}</definedName>
    <definedName name="____dod1" localSheetId="0" hidden="1">{#N/A,#N/A,TRUE,"CPRD";#N/A,#N/A,TRUE,"BCCPDR";#N/A,#N/A,TRUE,"EWRD";#N/A,#N/A,TRUE,"5100";#N/A,#N/A,TRUE,"5110"}</definedName>
    <definedName name="____dod1" hidden="1">{#N/A,#N/A,TRUE,"CPRD";#N/A,#N/A,TRUE,"BCCPDR";#N/A,#N/A,TRUE,"EWRD";#N/A,#N/A,TRUE,"5100";#N/A,#N/A,TRUE,"5110"}</definedName>
    <definedName name="___dod1" localSheetId="8" hidden="1">{#N/A,#N/A,TRUE,"CPRD";#N/A,#N/A,TRUE,"BCCPDR";#N/A,#N/A,TRUE,"EWRD";#N/A,#N/A,TRUE,"5100";#N/A,#N/A,TRUE,"5110"}</definedName>
    <definedName name="___dod1" localSheetId="9" hidden="1">{#N/A,#N/A,TRUE,"CPRD";#N/A,#N/A,TRUE,"BCCPDR";#N/A,#N/A,TRUE,"EWRD";#N/A,#N/A,TRUE,"5100";#N/A,#N/A,TRUE,"5110"}</definedName>
    <definedName name="___dod1" localSheetId="0" hidden="1">{#N/A,#N/A,TRUE,"CPRD";#N/A,#N/A,TRUE,"BCCPDR";#N/A,#N/A,TRUE,"EWRD";#N/A,#N/A,TRUE,"5100";#N/A,#N/A,TRUE,"5110"}</definedName>
    <definedName name="___dod1" hidden="1">{#N/A,#N/A,TRUE,"CPRD";#N/A,#N/A,TRUE,"BCCPDR";#N/A,#N/A,TRUE,"EWRD";#N/A,#N/A,TRUE,"5100";#N/A,#N/A,TRUE,"5110"}</definedName>
    <definedName name="___dog1" localSheetId="8" hidden="1">{#N/A,#N/A,TRUE,"CPRD";#N/A,#N/A,TRUE,"BCCPDR";#N/A,#N/A,TRUE,"EWRD";#N/A,#N/A,TRUE,"5100";#N/A,#N/A,TRUE,"5110"}</definedName>
    <definedName name="___dog1" localSheetId="9" hidden="1">{#N/A,#N/A,TRUE,"CPRD";#N/A,#N/A,TRUE,"BCCPDR";#N/A,#N/A,TRUE,"EWRD";#N/A,#N/A,TRUE,"5100";#N/A,#N/A,TRUE,"5110"}</definedName>
    <definedName name="___dog1" localSheetId="0"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localSheetId="8" hidden="1">{#N/A,#N/A,TRUE,"CPRD";#N/A,#N/A,TRUE,"BCCPDR";#N/A,#N/A,TRUE,"EWRD";#N/A,#N/A,TRUE,"5100";#N/A,#N/A,TRUE,"5110"}</definedName>
    <definedName name="__dod1" localSheetId="9" hidden="1">{#N/A,#N/A,TRUE,"CPRD";#N/A,#N/A,TRUE,"BCCPDR";#N/A,#N/A,TRUE,"EWRD";#N/A,#N/A,TRUE,"5100";#N/A,#N/A,TRUE,"5110"}</definedName>
    <definedName name="__dod1" localSheetId="0" hidden="1">{#N/A,#N/A,TRUE,"CPRD";#N/A,#N/A,TRUE,"BCCPDR";#N/A,#N/A,TRUE,"EWRD";#N/A,#N/A,TRUE,"5100";#N/A,#N/A,TRUE,"5110"}</definedName>
    <definedName name="__dod1" hidden="1">{#N/A,#N/A,TRUE,"CPRD";#N/A,#N/A,TRUE,"BCCPDR";#N/A,#N/A,TRUE,"EWRD";#N/A,#N/A,TRUE,"5100";#N/A,#N/A,TRUE,"5110"}</definedName>
    <definedName name="__dog1" localSheetId="8" hidden="1">{#N/A,#N/A,TRUE,"CPRD";#N/A,#N/A,TRUE,"BCCPDR";#N/A,#N/A,TRUE,"EWRD";#N/A,#N/A,TRUE,"5100";#N/A,#N/A,TRUE,"5110"}</definedName>
    <definedName name="__dog1" localSheetId="9" hidden="1">{#N/A,#N/A,TRUE,"CPRD";#N/A,#N/A,TRUE,"BCCPDR";#N/A,#N/A,TRUE,"EWRD";#N/A,#N/A,TRUE,"5100";#N/A,#N/A,TRUE,"5110"}</definedName>
    <definedName name="__dog1" localSheetId="0"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localSheetId="8" hidden="1">{#N/A,#N/A,FALSE,"²Ä1­Ó¤ë"}</definedName>
    <definedName name="_15wrn.²Ä1­Ó¤ë1_Ü20¤H." localSheetId="9" hidden="1">{#N/A,#N/A,FALSE,"²Ä1­Ó¤ë"}</definedName>
    <definedName name="_15wrn.²Ä1­Ó¤ë1_Ü20¤H." hidden="1">{#N/A,#N/A,FALSE,"²Ä1­Ó¤ë"}</definedName>
    <definedName name="_16wrn.²Ä1­Ó¤ë1_Ü20¤H." localSheetId="8" hidden="1">{#N/A,#N/A,FALSE,"²Ä1­Ó¤ë"}</definedName>
    <definedName name="_16wrn.²Ä1­Ó¤ë1_Ü20¤H." localSheetId="9"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localSheetId="8" hidden="1">{#N/A,#N/A,TRUE,"CPRD";#N/A,#N/A,TRUE,"BCCPDR";#N/A,#N/A,TRUE,"EWRD";#N/A,#N/A,TRUE,"5100";#N/A,#N/A,TRUE,"5110"}</definedName>
    <definedName name="_dod1" localSheetId="9" hidden="1">{#N/A,#N/A,TRUE,"CPRD";#N/A,#N/A,TRUE,"BCCPDR";#N/A,#N/A,TRUE,"EWRD";#N/A,#N/A,TRUE,"5100";#N/A,#N/A,TRUE,"5110"}</definedName>
    <definedName name="_dod1" localSheetId="0" hidden="1">{#N/A,#N/A,TRUE,"CPRD";#N/A,#N/A,TRUE,"BCCPDR";#N/A,#N/A,TRUE,"EWRD";#N/A,#N/A,TRUE,"5100";#N/A,#N/A,TRUE,"5110"}</definedName>
    <definedName name="_dod1" hidden="1">{#N/A,#N/A,TRUE,"CPRD";#N/A,#N/A,TRUE,"BCCPDR";#N/A,#N/A,TRUE,"EWRD";#N/A,#N/A,TRUE,"5100";#N/A,#N/A,TRUE,"5110"}</definedName>
    <definedName name="_dog1" localSheetId="8" hidden="1">{#N/A,#N/A,TRUE,"CPRD";#N/A,#N/A,TRUE,"BCCPDR";#N/A,#N/A,TRUE,"EWRD";#N/A,#N/A,TRUE,"5100";#N/A,#N/A,TRUE,"5110"}</definedName>
    <definedName name="_dog1" localSheetId="9" hidden="1">{#N/A,#N/A,TRUE,"CPRD";#N/A,#N/A,TRUE,"BCCPDR";#N/A,#N/A,TRUE,"EWRD";#N/A,#N/A,TRUE,"5100";#N/A,#N/A,TRUE,"5110"}</definedName>
    <definedName name="_dog1" localSheetId="0" hidden="1">{#N/A,#N/A,TRUE,"CPRD";#N/A,#N/A,TRUE,"BCCPDR";#N/A,#N/A,TRUE,"EWRD";#N/A,#N/A,TRUE,"5100";#N/A,#N/A,TRUE,"5110"}</definedName>
    <definedName name="_dog1" hidden="1">{#N/A,#N/A,TRUE,"CPRD";#N/A,#N/A,TRUE,"BCCPDR";#N/A,#N/A,TRUE,"EWRD";#N/A,#N/A,TRUE,"5100";#N/A,#N/A,TRUE,"5110"}</definedName>
    <definedName name="_Fill" hidden="1">#REF!</definedName>
    <definedName name="_xlnm._FilterDatabase" localSheetId="8" hidden="1">'Q1.04.01 利息费用（ToD）'!$B$39:$Q$42</definedName>
    <definedName name="_xlnm._FilterDatabase" localSheetId="9" hidden="1">'Q1.04.02 利息费用（重新计算）'!#REF!</definedName>
    <definedName name="_xlnm._FilterDatabase" hidden="1">#REF!</definedName>
    <definedName name="_Key1" hidden="1">#REF!</definedName>
    <definedName name="_Key2" hidden="1">#REF!</definedName>
    <definedName name="_Key3" hidden="1">#REF!</definedName>
    <definedName name="_O1" localSheetId="8" hidden="1">{#N/A,#N/A,FALSE,"970301";#N/A,#N/A,FALSE,"970302";#N/A,#N/A,FALSE,"970303";#N/A,#N/A,FALSE,"970304";#N/A,#N/A,FALSE,"COM1";#N/A,#N/A,FALSE,"COM2"}</definedName>
    <definedName name="_O1" localSheetId="9" hidden="1">{#N/A,#N/A,FALSE,"970301";#N/A,#N/A,FALSE,"970302";#N/A,#N/A,FALSE,"970303";#N/A,#N/A,FALSE,"970304";#N/A,#N/A,FALSE,"COM1";#N/A,#N/A,FALSE,"COM2"}</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localSheetId="8" hidden="1">{#N/A,#N/A,FALSE,"OffAdvance";#N/A,#N/A,FALSE,"OffExpRprt";#N/A,#N/A,FALSE,"Travelling";#N/A,#N/A,FALSE,"Entertmnt";#N/A,#N/A,FALSE,"Promotion"}</definedName>
    <definedName name="aavbrdf" localSheetId="9"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8" hidden="1">{#N/A,#N/A,FALSE,"资产负债表";#N/A,#N/A,FALSE,"资产负债表"}</definedName>
    <definedName name="aaz" localSheetId="9" hidden="1">{#N/A,#N/A,FALSE,"资产负债表";#N/A,#N/A,FALSE,"资产负债表"}</definedName>
    <definedName name="aaz" hidden="1">{#N/A,#N/A,FALSE,"资产负债表";#N/A,#N/A,FALSE,"资产负债表"}</definedName>
    <definedName name="AccessDatabase" hidden="1">"F:\Track-Pur\Sachs-2000.mdb"</definedName>
    <definedName name="ada" localSheetId="8" hidden="1">{#N/A,#N/A,FALSE,"资产负债表";#N/A,#N/A,FALSE,"资产负债表"}</definedName>
    <definedName name="ada" localSheetId="9" hidden="1">{#N/A,#N/A,FALSE,"资产负债表";#N/A,#N/A,FALSE,"资产负债表"}</definedName>
    <definedName name="ada" hidden="1">{#N/A,#N/A,FALSE,"资产负债表";#N/A,#N/A,FALSE,"资产负债表"}</definedName>
    <definedName name="adaf" localSheetId="8" hidden="1">{#N/A,#N/A,FALSE,"资产负债表";#N/A,#N/A,FALSE,"资产负债表"}</definedName>
    <definedName name="adaf" localSheetId="9" hidden="1">{#N/A,#N/A,FALSE,"资产负债表";#N/A,#N/A,FALSE,"资产负债表"}</definedName>
    <definedName name="adaf" hidden="1">{#N/A,#N/A,FALSE,"资产负债表";#N/A,#N/A,FALSE,"资产负债表"}</definedName>
    <definedName name="adas" localSheetId="8" hidden="1">{"M1Print",#N/A,TRUE,"M1";"M2Print",#N/A,TRUE,"M2";"M1sPrint",#N/A,TRUE,"M1s";"M2aPrint",#N/A,TRUE,"M2a";"M4Print",#N/A,TRUE,"M4";"M5Print",#N/A,TRUE,"M5";"M6Print",#N/A,TRUE,"M6";"M6_1Print",#N/A,TRUE,"M6_1";"M6_2Print",#N/A,TRUE,"M6_2";"M7_1Print",#N/A,TRUE,"M7_1";"M7_2Print",#N/A,TRUE,"M7_2"}</definedName>
    <definedName name="adas" localSheetId="9" hidden="1">{"M1Print",#N/A,TRUE,"M1";"M2Print",#N/A,TRUE,"M2";"M1sPrint",#N/A,TRUE,"M1s";"M2aPrint",#N/A,TRUE,"M2a";"M4Print",#N/A,TRUE,"M4";"M5Print",#N/A,TRUE,"M5";"M6Print",#N/A,TRUE,"M6";"M6_1Print",#N/A,TRUE,"M6_1";"M6_2Print",#N/A,TRUE,"M6_2";"M7_1Print",#N/A,TRUE,"M7_1";"M7_2Print",#N/A,TRUE,"M7_2"}</definedName>
    <definedName name="adas" localSheetId="0"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8" hidden="1">{"toptrial",#N/A,TRUE,"toptrial";"adjustment",#N/A,TRUE,"toptrial";"voucher",#N/A,TRUE,"toptrial"}</definedName>
    <definedName name="adf" localSheetId="9" hidden="1">{"toptrial",#N/A,TRUE,"toptrial";"adjustment",#N/A,TRUE,"toptrial";"voucher",#N/A,TRUE,"toptrial"}</definedName>
    <definedName name="adf" hidden="1">{"toptrial",#N/A,TRUE,"toptrial";"adjustment",#N/A,TRUE,"toptrial";"voucher",#N/A,TRUE,"toptrial"}</definedName>
    <definedName name="afhai" localSheetId="8" hidden="1">{#N/A,#N/A,FALSE,"资产负债表";#N/A,#N/A,FALSE,"资产负债表"}</definedName>
    <definedName name="afhai" localSheetId="9" hidden="1">{#N/A,#N/A,FALSE,"资产负债表";#N/A,#N/A,FALSE,"资产负债表"}</definedName>
    <definedName name="afhai" hidden="1">{#N/A,#N/A,FALSE,"资产负债表";#N/A,#N/A,FALSE,"资产负债表"}</definedName>
    <definedName name="afsdavad" hidden="1">#REF!</definedName>
    <definedName name="AGEDDATABASE" localSheetId="8" hidden="1">{#N/A,#N/A,FALSE,"970301";#N/A,#N/A,FALSE,"970302";#N/A,#N/A,FALSE,"970303";#N/A,#N/A,FALSE,"970304";#N/A,#N/A,FALSE,"COM1";#N/A,#N/A,FALSE,"COM2"}</definedName>
    <definedName name="AGEDDATABASE" localSheetId="9" hidden="1">{#N/A,#N/A,FALSE,"970301";#N/A,#N/A,FALSE,"970302";#N/A,#N/A,FALSE,"970303";#N/A,#N/A,FALSE,"970304";#N/A,#N/A,FALSE,"COM1";#N/A,#N/A,FALSE,"COM2"}</definedName>
    <definedName name="AGEDDATABASE" hidden="1">{#N/A,#N/A,FALSE,"970301";#N/A,#N/A,FALSE,"970302";#N/A,#N/A,FALSE,"970303";#N/A,#N/A,FALSE,"970304";#N/A,#N/A,FALSE,"COM1";#N/A,#N/A,FALSE,"COM2"}</definedName>
    <definedName name="aidhaif" localSheetId="8" hidden="1">{#N/A,#N/A,FALSE,"资产负债表";#N/A,#N/A,FALSE,"资产负债表"}</definedName>
    <definedName name="aidhaif" localSheetId="9" hidden="1">{#N/A,#N/A,FALSE,"资产负债表";#N/A,#N/A,FALSE,"资产负债表"}</definedName>
    <definedName name="aidhaif" hidden="1">{#N/A,#N/A,FALSE,"资产负债表";#N/A,#N/A,FALSE,"资产负债表"}</definedName>
    <definedName name="anakf" localSheetId="8" hidden="1">{#N/A,#N/A,FALSE,"资产负债表";#N/A,#N/A,FALSE,"资产负债表"}</definedName>
    <definedName name="anakf" localSheetId="9"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localSheetId="8" hidden="1">{#N/A,#N/A,FALSE,"Marketing";#N/A,#N/A,FALSE,"Selling";#N/A,#N/A,FALSE,"Promotional";#N/A,#N/A,FALSE,"Advertising"}</definedName>
    <definedName name="asdas" localSheetId="9" hidden="1">{#N/A,#N/A,FALSE,"Marketing";#N/A,#N/A,FALSE,"Selling";#N/A,#N/A,FALSE,"Promotional";#N/A,#N/A,FALSE,"Advertising"}</definedName>
    <definedName name="asdas" hidden="1">{#N/A,#N/A,FALSE,"Marketing";#N/A,#N/A,FALSE,"Selling";#N/A,#N/A,FALSE,"Promotional";#N/A,#N/A,FALSE,"Advertising"}</definedName>
    <definedName name="asdg" localSheetId="8" hidden="1">{#N/A,#N/A,FALSE,"资产负债表";#N/A,#N/A,FALSE,"资产负债表"}</definedName>
    <definedName name="asdg" localSheetId="9" hidden="1">{#N/A,#N/A,FALSE,"资产负债表";#N/A,#N/A,FALSE,"资产负债表"}</definedName>
    <definedName name="asdg" hidden="1">{#N/A,#N/A,FALSE,"资产负债表";#N/A,#N/A,FALSE,"资产负债表"}</definedName>
    <definedName name="ass" localSheetId="8" hidden="1">{#N/A,#N/A,TRUE,"CPRD";#N/A,#N/A,TRUE,"BCCPDR";#N/A,#N/A,TRUE,"EWRD";#N/A,#N/A,TRUE,"5100";#N/A,#N/A,TRUE,"5110"}</definedName>
    <definedName name="ass" localSheetId="9" hidden="1">{#N/A,#N/A,TRUE,"CPRD";#N/A,#N/A,TRUE,"BCCPDR";#N/A,#N/A,TRUE,"EWRD";#N/A,#N/A,TRUE,"5100";#N/A,#N/A,TRUE,"5110"}</definedName>
    <definedName name="ass" localSheetId="0"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localSheetId="8" hidden="1">{#N/A,#N/A,FALSE,"OffAdvance";#N/A,#N/A,FALSE,"OffExpRprt";#N/A,#N/A,FALSE,"Entertmnt";#N/A,#N/A,FALSE,"Promotion";#N/A,#N/A,FALSE,"Travelling"}</definedName>
    <definedName name="book" localSheetId="9"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8" hidden="1">{#N/A,#N/A,FALSE,"OffAdvance";#N/A,#N/A,FALSE,"OffExpRprt";#N/A,#N/A,FALSE,"Travelling";#N/A,#N/A,FALSE,"Entertmnt";#N/A,#N/A,FALSE,"Promotion"}</definedName>
    <definedName name="book.2" localSheetId="9" hidden="1">{#N/A,#N/A,FALSE,"OffAdvance";#N/A,#N/A,FALSE,"OffExpRprt";#N/A,#N/A,FALSE,"Travelling";#N/A,#N/A,FALSE,"Entertmnt";#N/A,#N/A,FALSE,"Promotion"}</definedName>
    <definedName name="book.2" hidden="1">{#N/A,#N/A,FALSE,"OffAdvance";#N/A,#N/A,FALSE,"OffExpRprt";#N/A,#N/A,FALSE,"Travelling";#N/A,#N/A,FALSE,"Entertmnt";#N/A,#N/A,FALSE,"Promotion"}</definedName>
    <definedName name="BYD" localSheetId="8" hidden="1">{#N/A,#N/A,FALSE,"Earn'gs &amp; Val'n";#N/A,#N/A,FALSE,"Interim"}</definedName>
    <definedName name="BYD" localSheetId="9" hidden="1">{#N/A,#N/A,FALSE,"Earn'gs &amp; Val'n";#N/A,#N/A,FALSE,"Interim"}</definedName>
    <definedName name="BYD" hidden="1">{#N/A,#N/A,FALSE,"Earn'gs &amp; Val'n";#N/A,#N/A,FALSE,"Interim"}</definedName>
    <definedName name="cashflow20030930" localSheetId="8" hidden="1">{"M1Print",#N/A,TRUE,"M1";"M2Print",#N/A,TRUE,"M2";"M1sPrint",#N/A,TRUE,"M1s";"M2aPrint",#N/A,TRUE,"M2a";"M4Print",#N/A,TRUE,"M4";"M5Print",#N/A,TRUE,"M5";"M6Print",#N/A,TRUE,"M6";"M6_1Print",#N/A,TRUE,"M6_1";"M6_2Print",#N/A,TRUE,"M6_2";"M7_1Print",#N/A,TRUE,"M7_1";"M7_2Print",#N/A,TRUE,"M7_2"}</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8" hidden="1">{#N/A,#N/A,FALSE,"M1s Board";#N/A,#N/A,FALSE,"M3 Board";#N/A,#N/A,FALSE,"M6 Board";#N/A,#N/A,FALSE,"M7";#N/A,#N/A,FALSE,"M7B";#N/A,#N/A,FALSE,"M8";#N/A,#N/A,FALSE,"M8A Board";#N/A,#N/A,FALSE,"AF1 Board"}</definedName>
    <definedName name="cbx" localSheetId="9"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8" hidden="1">{#N/A,#N/A,FALSE,"资产负债表";#N/A,#N/A,FALSE,"资产负债表"}</definedName>
    <definedName name="cccvb" localSheetId="9" hidden="1">{#N/A,#N/A,FALSE,"资产负债表";#N/A,#N/A,FALSE,"资产负债表"}</definedName>
    <definedName name="cccvb" hidden="1">{#N/A,#N/A,FALSE,"资产负债表";#N/A,#N/A,FALSE,"资产负债表"}</definedName>
    <definedName name="CFVVHH" localSheetId="8" hidden="1">{#N/A,#N/A,FALSE,"资产负债表";#N/A,#N/A,FALSE,"资产负债表"}</definedName>
    <definedName name="CFVVHH" localSheetId="9" hidden="1">{#N/A,#N/A,FALSE,"资产负债表";#N/A,#N/A,FALSE,"资产负债表"}</definedName>
    <definedName name="CFVVHH" hidden="1">{#N/A,#N/A,FALSE,"资产负债表";#N/A,#N/A,FALSE,"资产负债表"}</definedName>
    <definedName name="cfyik" localSheetId="8" hidden="1">{#N/A,#N/A,FALSE,"资产负债表";#N/A,#N/A,FALSE,"资产负债表"}</definedName>
    <definedName name="cfyik" localSheetId="9" hidden="1">{#N/A,#N/A,FALSE,"资产负债表";#N/A,#N/A,FALSE,"资产负债表"}</definedName>
    <definedName name="cfyik" hidden="1">{#N/A,#N/A,FALSE,"资产负债表";#N/A,#N/A,FALSE,"资产负债表"}</definedName>
    <definedName name="cgul" localSheetId="8" hidden="1">{#N/A,#N/A,FALSE,"资产负债表";#N/A,#N/A,FALSE,"资产负债表"}</definedName>
    <definedName name="cgul" localSheetId="9" hidden="1">{#N/A,#N/A,FALSE,"资产负债表";#N/A,#N/A,FALSE,"资产负债表"}</definedName>
    <definedName name="cgul" hidden="1">{#N/A,#N/A,FALSE,"资产负债表";#N/A,#N/A,FALSE,"资产负债表"}</definedName>
    <definedName name="cguocnbnl" localSheetId="8" hidden="1">{#N/A,#N/A,FALSE,"资产负债表";#N/A,#N/A,FALSE,"资产负债表"}</definedName>
    <definedName name="cguocnbnl" localSheetId="9" hidden="1">{#N/A,#N/A,FALSE,"资产负债表";#N/A,#N/A,FALSE,"资产负债表"}</definedName>
    <definedName name="cguocnbnl" hidden="1">{#N/A,#N/A,FALSE,"资产负债表";#N/A,#N/A,FALSE,"资产负债表"}</definedName>
    <definedName name="Coll" localSheetId="8" hidden="1">{#N/A,#N/A,FALSE,"970301";#N/A,#N/A,FALSE,"970302";#N/A,#N/A,FALSE,"970303";#N/A,#N/A,FALSE,"970304";#N/A,#N/A,FALSE,"COM1";#N/A,#N/A,FALSE,"COM2"}</definedName>
    <definedName name="Coll" localSheetId="9" hidden="1">{#N/A,#N/A,FALSE,"970301";#N/A,#N/A,FALSE,"970302";#N/A,#N/A,FALSE,"970303";#N/A,#N/A,FALSE,"970304";#N/A,#N/A,FALSE,"COM1";#N/A,#N/A,FALSE,"COM2"}</definedName>
    <definedName name="Coll" hidden="1">{#N/A,#N/A,FALSE,"970301";#N/A,#N/A,FALSE,"970302";#N/A,#N/A,FALSE,"970303";#N/A,#N/A,FALSE,"970304";#N/A,#N/A,FALSE,"COM1";#N/A,#N/A,FALSE,"COM2"}</definedName>
    <definedName name="DBS" hidden="1">#REF!</definedName>
    <definedName name="dcca" localSheetId="8" hidden="1">{#N/A,#N/A,FALSE,"资产负债表";#N/A,#N/A,FALSE,"资产负债表"}</definedName>
    <definedName name="dcca" localSheetId="9" hidden="1">{#N/A,#N/A,FALSE,"资产负债表";#N/A,#N/A,FALSE,"资产负债表"}</definedName>
    <definedName name="dcca" hidden="1">{#N/A,#N/A,FALSE,"资产负债表";#N/A,#N/A,FALSE,"资产负债表"}</definedName>
    <definedName name="dfgdafsg" localSheetId="8" hidden="1">{#N/A,#N/A,FALSE,"OffAdvance";#N/A,#N/A,FALSE,"OffExpRprt";#N/A,#N/A,FALSE,"Travelling";#N/A,#N/A,FALSE,"Entertmnt";#N/A,#N/A,FALSE,"Promotion"}</definedName>
    <definedName name="dfgdafsg" localSheetId="9" hidden="1">{#N/A,#N/A,FALSE,"OffAdvance";#N/A,#N/A,FALSE,"OffExpRprt";#N/A,#N/A,FALSE,"Travelling";#N/A,#N/A,FALSE,"Entertmnt";#N/A,#N/A,FALSE,"Promotion"}</definedName>
    <definedName name="dfgdafsg" hidden="1">{#N/A,#N/A,FALSE,"OffAdvance";#N/A,#N/A,FALSE,"OffExpRprt";#N/A,#N/A,FALSE,"Travelling";#N/A,#N/A,FALSE,"Entertmnt";#N/A,#N/A,FALSE,"Promotion"}</definedName>
    <definedName name="dfv" localSheetId="8" hidden="1">{"M1Print",#N/A,TRUE,"M1";"M2Print",#N/A,TRUE,"M2";"M1sPrint",#N/A,TRUE,"M1s";"M2aPrint",#N/A,TRUE,"M2a";"M4Print",#N/A,TRUE,"M4";"M5Print",#N/A,TRUE,"M5";"M6Print",#N/A,TRUE,"M6";"M6_1Print",#N/A,TRUE,"M6_1";"M6_2Print",#N/A,TRUE,"M6_2";"M7_1Print",#N/A,TRUE,"M7_1";"M7_2Print",#N/A,TRUE,"M7_2"}</definedName>
    <definedName name="dfv" localSheetId="9"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8" hidden="1">{"M4Print",#N/A,FALSE,"M4"}</definedName>
    <definedName name="dh" localSheetId="9" hidden="1">{"M4Print",#N/A,FALSE,"M4"}</definedName>
    <definedName name="dh" hidden="1">{"M4Print",#N/A,FALSE,"M4"}</definedName>
    <definedName name="display_area_2" hidden="1">#REF!</definedName>
    <definedName name="dlf" localSheetId="8" hidden="1">{"M4Print",#N/A,FALSE,"M4"}</definedName>
    <definedName name="dlf" localSheetId="9"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8" hidden="1">{#N/A,#N/A,TRUE,"CPRD";#N/A,#N/A,TRUE,"BCCPDR";#N/A,#N/A,TRUE,"EWRD";#N/A,#N/A,TRUE,"5100";#N/A,#N/A,TRUE,"5110"}</definedName>
    <definedName name="doddd" localSheetId="9" hidden="1">{#N/A,#N/A,TRUE,"CPRD";#N/A,#N/A,TRUE,"BCCPDR";#N/A,#N/A,TRUE,"EWRD";#N/A,#N/A,TRUE,"5100";#N/A,#N/A,TRUE,"5110"}</definedName>
    <definedName name="doddd" localSheetId="0" hidden="1">{#N/A,#N/A,TRUE,"CPRD";#N/A,#N/A,TRUE,"BCCPDR";#N/A,#N/A,TRUE,"EWRD";#N/A,#N/A,TRUE,"5100";#N/A,#N/A,TRUE,"5110"}</definedName>
    <definedName name="doddd" hidden="1">{#N/A,#N/A,TRUE,"CPRD";#N/A,#N/A,TRUE,"BCCPDR";#N/A,#N/A,TRUE,"EWRD";#N/A,#N/A,TRUE,"5100";#N/A,#N/A,TRUE,"5110"}</definedName>
    <definedName name="dog" localSheetId="8" hidden="1">{#N/A,#N/A,TRUE,"CPRD";#N/A,#N/A,TRUE,"BCCPDR";#N/A,#N/A,TRUE,"EWRD";#N/A,#N/A,TRUE,"5100";#N/A,#N/A,TRUE,"5110"}</definedName>
    <definedName name="dog" localSheetId="9" hidden="1">{#N/A,#N/A,TRUE,"CPRD";#N/A,#N/A,TRUE,"BCCPDR";#N/A,#N/A,TRUE,"EWRD";#N/A,#N/A,TRUE,"5100";#N/A,#N/A,TRUE,"5110"}</definedName>
    <definedName name="dog" localSheetId="0"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localSheetId="8" hidden="1">{#N/A,#N/A,FALSE,"资产负债表";#N/A,#N/A,FALSE,"资产负债表"}</definedName>
    <definedName name="dvbm" localSheetId="9" hidden="1">{#N/A,#N/A,FALSE,"资产负债表";#N/A,#N/A,FALSE,"资产负债表"}</definedName>
    <definedName name="dvbm" hidden="1">{#N/A,#N/A,FALSE,"资产负债表";#N/A,#N/A,FALSE,"资产负债表"}</definedName>
    <definedName name="ehdg" localSheetId="8" hidden="1">{#N/A,#N/A,FALSE,"Jan"}</definedName>
    <definedName name="ehdg" localSheetId="9" hidden="1">{#N/A,#N/A,FALSE,"Jan"}</definedName>
    <definedName name="ehdg" localSheetId="0" hidden="1">{#N/A,#N/A,FALSE,"Jan"}</definedName>
    <definedName name="ehdg" hidden="1">{#N/A,#N/A,FALSE,"Jan"}</definedName>
    <definedName name="erf" localSheetId="8" hidden="1">{#N/A,#N/A,FALSE,"970301";#N/A,#N/A,FALSE,"970302";#N/A,#N/A,FALSE,"970303";#N/A,#N/A,FALSE,"970304";#N/A,#N/A,FALSE,"COM1";#N/A,#N/A,FALSE,"COM2"}</definedName>
    <definedName name="erf" localSheetId="9" hidden="1">{#N/A,#N/A,FALSE,"970301";#N/A,#N/A,FALSE,"970302";#N/A,#N/A,FALSE,"970303";#N/A,#N/A,FALSE,"970304";#N/A,#N/A,FALSE,"COM1";#N/A,#N/A,FALSE,"COM2"}</definedName>
    <definedName name="erf" hidden="1">{#N/A,#N/A,FALSE,"970301";#N/A,#N/A,FALSE,"970302";#N/A,#N/A,FALSE,"970303";#N/A,#N/A,FALSE,"970304";#N/A,#N/A,FALSE,"COM1";#N/A,#N/A,FALSE,"COM2"}</definedName>
    <definedName name="eryj" localSheetId="8" hidden="1">{#N/A,#N/A,FALSE,"资产负债表";#N/A,#N/A,FALSE,"资产负债表"}</definedName>
    <definedName name="eryj" localSheetId="9" hidden="1">{#N/A,#N/A,FALSE,"资产负债表";#N/A,#N/A,FALSE,"资产负债表"}</definedName>
    <definedName name="eryj" hidden="1">{#N/A,#N/A,FALSE,"资产负债表";#N/A,#N/A,FALSE,"资产负债表"}</definedName>
    <definedName name="EV__LASTREFTIME__" hidden="1">39274.4724884259</definedName>
    <definedName name="ExpenseUpload" localSheetId="8" hidden="1">{#N/A,#N/A,TRUE,"CPRD";#N/A,#N/A,TRUE,"BCCPDR";#N/A,#N/A,TRUE,"EWRD";#N/A,#N/A,TRUE,"5100";#N/A,#N/A,TRUE,"5110"}</definedName>
    <definedName name="ExpenseUpload" localSheetId="9" hidden="1">{#N/A,#N/A,TRUE,"CPRD";#N/A,#N/A,TRUE,"BCCPDR";#N/A,#N/A,TRUE,"EWRD";#N/A,#N/A,TRUE,"5100";#N/A,#N/A,TRUE,"5110"}</definedName>
    <definedName name="ExpenseUpload" localSheetId="0" hidden="1">{#N/A,#N/A,TRUE,"CPRD";#N/A,#N/A,TRUE,"BCCPDR";#N/A,#N/A,TRUE,"EWRD";#N/A,#N/A,TRUE,"5100";#N/A,#N/A,TRUE,"5110"}</definedName>
    <definedName name="ExpenseUpload" hidden="1">{#N/A,#N/A,TRUE,"CPRD";#N/A,#N/A,TRUE,"BCCPDR";#N/A,#N/A,TRUE,"EWRD";#N/A,#N/A,TRUE,"5100";#N/A,#N/A,TRUE,"5110"}</definedName>
    <definedName name="faif" localSheetId="8" hidden="1">{#N/A,#N/A,FALSE,"资产负债表";#N/A,#N/A,FALSE,"资产负债表"}</definedName>
    <definedName name="faif" localSheetId="9" hidden="1">{#N/A,#N/A,FALSE,"资产负债表";#N/A,#N/A,FALSE,"资产负债表"}</definedName>
    <definedName name="faif" hidden="1">{#N/A,#N/A,FALSE,"资产负债表";#N/A,#N/A,FALSE,"资产负债表"}</definedName>
    <definedName name="FCode" hidden="1">#REF!</definedName>
    <definedName name="fd" localSheetId="8" hidden="1">{"M1sPrint",#N/A,FALSE,"M1s"}</definedName>
    <definedName name="fd" localSheetId="9" hidden="1">{"M1sPrint",#N/A,FALSE,"M1s"}</definedName>
    <definedName name="fd" hidden="1">{"M1sPrint",#N/A,FALSE,"M1s"}</definedName>
    <definedName name="feedback" localSheetId="8" hidden="1">{#N/A,#N/A,TRUE,"CPRD";#N/A,#N/A,TRUE,"BCCPDR";#N/A,#N/A,TRUE,"EWRD";#N/A,#N/A,TRUE,"5100";#N/A,#N/A,TRUE,"5110"}</definedName>
    <definedName name="feedback" localSheetId="9" hidden="1">{#N/A,#N/A,TRUE,"CPRD";#N/A,#N/A,TRUE,"BCCPDR";#N/A,#N/A,TRUE,"EWRD";#N/A,#N/A,TRUE,"5100";#N/A,#N/A,TRUE,"5110"}</definedName>
    <definedName name="feedback" hidden="1">{#N/A,#N/A,TRUE,"CPRD";#N/A,#N/A,TRUE,"BCCPDR";#N/A,#N/A,TRUE,"EWRD";#N/A,#N/A,TRUE,"5100";#N/A,#N/A,TRUE,"5110"}</definedName>
    <definedName name="fgdg" localSheetId="8" hidden="1">{"M1Print",#N/A,TRUE,"M1";"M2Print",#N/A,TRUE,"M2";"M1sPrint",#N/A,TRUE,"M1s";"M2aPrint",#N/A,TRUE,"M2a";"M4Print",#N/A,TRUE,"M4";"M5Print",#N/A,TRUE,"M5";"M6Print",#N/A,TRUE,"M6";"M6_1Print",#N/A,TRUE,"M6_1";"M6_2Print",#N/A,TRUE,"M6_2";"M7_1Print",#N/A,TRUE,"M7_1";"M7_2Print",#N/A,TRUE,"M7_2"}</definedName>
    <definedName name="fgdg" localSheetId="9"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vb" localSheetId="8" hidden="1">{#N/A,#N/A,FALSE,"资产负债表";#N/A,#N/A,FALSE,"资产负债表"}</definedName>
    <definedName name="fvb" localSheetId="9" hidden="1">{#N/A,#N/A,FALSE,"资产负债表";#N/A,#N/A,FALSE,"资产负债表"}</definedName>
    <definedName name="fvb" hidden="1">{#N/A,#N/A,FALSE,"资产负债表";#N/A,#N/A,FALSE,"资产负债表"}</definedName>
    <definedName name="G9IJGF" localSheetId="8" hidden="1">{#N/A,#N/A,FALSE,"资产负债表";#N/A,#N/A,FALSE,"资产负债表"}</definedName>
    <definedName name="G9IJGF" localSheetId="9" hidden="1">{#N/A,#N/A,FALSE,"资产负债表";#N/A,#N/A,FALSE,"资产负债表"}</definedName>
    <definedName name="G9IJGF" hidden="1">{#N/A,#N/A,FALSE,"资产负债表";#N/A,#N/A,FALSE,"资产负债表"}</definedName>
    <definedName name="hadiah" localSheetId="8" hidden="1">{#N/A,#N/A,FALSE,"资产负债表";#N/A,#N/A,FALSE,"资产负债表"}</definedName>
    <definedName name="hadiah" localSheetId="9" hidden="1">{#N/A,#N/A,FALSE,"资产负债表";#N/A,#N/A,FALSE,"资产负债表"}</definedName>
    <definedName name="hadiah" hidden="1">{#N/A,#N/A,FALSE,"资产负债表";#N/A,#N/A,FALSE,"资产负债表"}</definedName>
    <definedName name="HdctTrnd" localSheetId="8" hidden="1">{#N/A,#N/A,TRUE,"CPRD";#N/A,#N/A,TRUE,"BCCPDR";#N/A,#N/A,TRUE,"EWRD";#N/A,#N/A,TRUE,"5100";#N/A,#N/A,TRUE,"5110"}</definedName>
    <definedName name="HdctTrnd" localSheetId="9" hidden="1">{#N/A,#N/A,TRUE,"CPRD";#N/A,#N/A,TRUE,"BCCPDR";#N/A,#N/A,TRUE,"EWRD";#N/A,#N/A,TRUE,"5100";#N/A,#N/A,TRUE,"5110"}</definedName>
    <definedName name="HdctTrnd" localSheetId="0" hidden="1">{#N/A,#N/A,TRUE,"CPRD";#N/A,#N/A,TRUE,"BCCPDR";#N/A,#N/A,TRUE,"EWRD";#N/A,#N/A,TRUE,"5100";#N/A,#N/A,TRUE,"5110"}</definedName>
    <definedName name="HdctTrnd" hidden="1">{#N/A,#N/A,TRUE,"CPRD";#N/A,#N/A,TRUE,"BCCPDR";#N/A,#N/A,TRUE,"EWRD";#N/A,#N/A,TRUE,"5100";#N/A,#N/A,TRUE,"5110"}</definedName>
    <definedName name="HiddenRows" hidden="1">#REF!</definedName>
    <definedName name="HTL_Cotrol1" localSheetId="8" hidden="1">{"'Sheet3'!$A$47:$M$47"}</definedName>
    <definedName name="HTL_Cotrol1" localSheetId="9" hidden="1">{"'Sheet3'!$A$47:$M$47"}</definedName>
    <definedName name="HTL_Cotrol1" hidden="1">{"'Sheet3'!$A$47:$M$47"}</definedName>
    <definedName name="HTML_CodePage" hidden="1">1252</definedName>
    <definedName name="HTML_Control" localSheetId="8" hidden="1">{"'Vxxe_times_J750 (2)'!$A$3:$E$14"}</definedName>
    <definedName name="HTML_Control" localSheetId="9" hidden="1">{"'Vxxe_times_J750 (2)'!$A$3:$E$14"}</definedName>
    <definedName name="HTML_Control" localSheetId="0"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localSheetId="8" hidden="1">{#N/A,#N/A,FALSE,"资产负债表";#N/A,#N/A,FALSE,"资产负债表"}</definedName>
    <definedName name="hueoa" localSheetId="9" hidden="1">{#N/A,#N/A,FALSE,"资产负债表";#N/A,#N/A,FALSE,"资产负债表"}</definedName>
    <definedName name="hueoa" hidden="1">{#N/A,#N/A,FALSE,"资产负债表";#N/A,#N/A,FALSE,"资产负债表"}</definedName>
    <definedName name="ieji" localSheetId="8" hidden="1">{#N/A,#N/A,FALSE,"970301";#N/A,#N/A,FALSE,"970302";#N/A,#N/A,FALSE,"970303";#N/A,#N/A,FALSE,"970304";#N/A,#N/A,FALSE,"COM1";#N/A,#N/A,FALSE,"COM2"}</definedName>
    <definedName name="ieji" localSheetId="9" hidden="1">{#N/A,#N/A,FALSE,"970301";#N/A,#N/A,FALSE,"970302";#N/A,#N/A,FALSE,"970303";#N/A,#N/A,FALSE,"970304";#N/A,#N/A,FALSE,"COM1";#N/A,#N/A,FALSE,"COM2"}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localSheetId="8" hidden="1">{"M4Print",#N/A,FALSE,"M4"}</definedName>
    <definedName name="jdda" localSheetId="9" hidden="1">{"M4Print",#N/A,FALSE,"M4"}</definedName>
    <definedName name="jdda" hidden="1">{"M4Print",#N/A,FALSE,"M4"}</definedName>
    <definedName name="jdfslsajdflasdkjpf" localSheetId="8" hidden="1">{#N/A,#N/A,FALSE,"OffAdvance";#N/A,#N/A,FALSE,"OffExpRprt";#N/A,#N/A,FALSE,"Entertmnt";#N/A,#N/A,FALSE,"Promotion";#N/A,#N/A,FALSE,"Travelling"}</definedName>
    <definedName name="jdfslsajdflasdkjpf" localSheetId="9"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8" hidden="1">{"M1sPrint",#N/A,FALSE,"M1s"}</definedName>
    <definedName name="jfgh" localSheetId="9" hidden="1">{"M1sPrint",#N/A,FALSE,"M1s"}</definedName>
    <definedName name="jfgh" hidden="1">{"M1sPrint",#N/A,FALSE,"M1s"}</definedName>
    <definedName name="jgfhfg" localSheetId="8" hidden="1">{"M1sPrint",#N/A,FALSE,"M1s"}</definedName>
    <definedName name="jgfhfg" localSheetId="9" hidden="1">{"M1sPrint",#N/A,FALSE,"M1s"}</definedName>
    <definedName name="jgfhfg" hidden="1">{"M1sPrint",#N/A,FALSE,"M1s"}</definedName>
    <definedName name="jlj" localSheetId="8" hidden="1">{"M2aPrint",#N/A,FALSE,"M2a"}</definedName>
    <definedName name="jlj" localSheetId="9" hidden="1">{"M2aPrint",#N/A,FALSE,"M2a"}</definedName>
    <definedName name="jlj" hidden="1">{"M2aPrint",#N/A,FALSE,"M2a"}</definedName>
    <definedName name="jughn" localSheetId="8" hidden="1">{"M7_1Print",#N/A,TRUE,"M7_1";"M7_2Print",#N/A,TRUE,"M7_2"}</definedName>
    <definedName name="jughn" localSheetId="9" hidden="1">{"M7_1Print",#N/A,TRUE,"M7_1";"M7_2Print",#N/A,TRUE,"M7_2"}</definedName>
    <definedName name="jughn" hidden="1">{"M7_1Print",#N/A,TRUE,"M7_1";"M7_2Print",#N/A,TRUE,"M7_2"}</definedName>
    <definedName name="jytj" localSheetId="8" hidden="1">{"M7_1Print",#N/A,TRUE,"M7_1";"M7_2Print",#N/A,TRUE,"M7_2"}</definedName>
    <definedName name="jytj" localSheetId="9" hidden="1">{"M7_1Print",#N/A,TRUE,"M7_1";"M7_2Print",#N/A,TRUE,"M7_2"}</definedName>
    <definedName name="jytj" hidden="1">{"M7_1Print",#N/A,TRUE,"M7_1";"M7_2Print",#N/A,TRUE,"M7_2"}</definedName>
    <definedName name="K2_WBEVMODE" hidden="1">-1</definedName>
    <definedName name="kljik" localSheetId="8" hidden="1">{#N/A,#N/A,FALSE,"OffAdvance";#N/A,#N/A,FALSE,"OffExpRprt";#N/A,#N/A,FALSE,"Entertmnt";#N/A,#N/A,FALSE,"Promotion";#N/A,#N/A,FALSE,"Travelling"}</definedName>
    <definedName name="kljik" localSheetId="9" hidden="1">{#N/A,#N/A,FALSE,"OffAdvance";#N/A,#N/A,FALSE,"OffExpRprt";#N/A,#N/A,FALSE,"Entertmnt";#N/A,#N/A,FALSE,"Promotion";#N/A,#N/A,FALSE,"Travelling"}</definedName>
    <definedName name="kljik" hidden="1">{#N/A,#N/A,FALSE,"OffAdvance";#N/A,#N/A,FALSE,"OffExpRprt";#N/A,#N/A,FALSE,"Entertmnt";#N/A,#N/A,FALSE,"Promotion";#N/A,#N/A,FALSE,"Travelling"}</definedName>
    <definedName name="kuj" localSheetId="8" hidden="1">{"M6Print",#N/A,FALSE,"M6";"M6_1Print",#N/A,FALSE,"M6_1";"M6_2Print",#N/A,FALSE,"M6_2"}</definedName>
    <definedName name="kuj" localSheetId="9" hidden="1">{"M6Print",#N/A,FALSE,"M6";"M6_1Print",#N/A,FALSE,"M6_1";"M6_2Print",#N/A,FALSE,"M6_2"}</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localSheetId="8" hidden="1">{"M1sPrint",#N/A,FALSE,"M1s"}</definedName>
    <definedName name="lu" localSheetId="9" hidden="1">{"M1sPrint",#N/A,FALSE,"M1s"}</definedName>
    <definedName name="lu" hidden="1">{"M1sPrint",#N/A,FALSE,"M1s"}</definedName>
    <definedName name="M_PlaceofPath" hidden="1">"F:\danders\COMPANY\HET\HET_VDF.XLS"</definedName>
    <definedName name="n" localSheetId="8" hidden="1">{"M2Print",#N/A,FALSE,"M2"}</definedName>
    <definedName name="n" localSheetId="9" hidden="1">{"M2Print",#N/A,FALSE,"M2"}</definedName>
    <definedName name="n" hidden="1">{"M2Print",#N/A,FALSE,"M2"}</definedName>
    <definedName name="ngn" localSheetId="8" hidden="1">{"M1Print",#N/A,TRUE,"M1";"M2Print",#N/A,TRUE,"M2";"M1sPrint",#N/A,TRUE,"M1s";"M2aPrint",#N/A,TRUE,"M2a";"M4Print",#N/A,TRUE,"M4";"M5Print",#N/A,TRUE,"M5";"M6Print",#N/A,TRUE,"M6";"M6_1Print",#N/A,TRUE,"M6_1";"M6_2Print",#N/A,TRUE,"M6_2";"M7_1Print",#N/A,TRUE,"M7_1";"M7_2Print",#N/A,TRUE,"M7_2"}</definedName>
    <definedName name="ngn" localSheetId="9"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otused" localSheetId="8" hidden="1">{#N/A,#N/A,TRUE,"CPRD";#N/A,#N/A,TRUE,"BCCPDR";#N/A,#N/A,TRUE,"EWRD";#N/A,#N/A,TRUE,"5100";#N/A,#N/A,TRUE,"5110"}</definedName>
    <definedName name="notused" localSheetId="9" hidden="1">{#N/A,#N/A,TRUE,"CPRD";#N/A,#N/A,TRUE,"BCCPDR";#N/A,#N/A,TRUE,"EWRD";#N/A,#N/A,TRUE,"5100";#N/A,#N/A,TRUE,"5110"}</definedName>
    <definedName name="notused" localSheetId="0" hidden="1">{#N/A,#N/A,TRUE,"CPRD";#N/A,#N/A,TRUE,"BCCPDR";#N/A,#N/A,TRUE,"EWRD";#N/A,#N/A,TRUE,"5100";#N/A,#N/A,TRUE,"5110"}</definedName>
    <definedName name="notused" hidden="1">{#N/A,#N/A,TRUE,"CPRD";#N/A,#N/A,TRUE,"BCCPDR";#N/A,#N/A,TRUE,"EWRD";#N/A,#N/A,TRUE,"5100";#N/A,#N/A,TRUE,"5110"}</definedName>
    <definedName name="OrderTable" hidden="1">#REF!</definedName>
    <definedName name="ProdForm" hidden="1">#REF!</definedName>
    <definedName name="Product" hidden="1">#REF!</definedName>
    <definedName name="qwertyuiopasdfghjkl" localSheetId="8" hidden="1">{"M2aPrint",#N/A,FALSE,"M2a"}</definedName>
    <definedName name="qwertyuiopasdfghjkl" localSheetId="9" hidden="1">{"M2aPrint",#N/A,FALSE,"M2a"}</definedName>
    <definedName name="qwertyuiopasdfghjkl" localSheetId="0" hidden="1">{"M2aPrint",#N/A,FALSE,"M2a"}</definedName>
    <definedName name="qwertyuiopasdfghjkl" hidden="1">{"M2aPrint",#N/A,FALSE,"M2a"}</definedName>
    <definedName name="qwwertyuiop" localSheetId="8" hidden="1">{"M2Print",#N/A,FALSE,"M2"}</definedName>
    <definedName name="qwwertyuiop" localSheetId="9" hidden="1">{"M2Print",#N/A,FALSE,"M2"}</definedName>
    <definedName name="qwwertyuiop" localSheetId="0" hidden="1">{"M2Print",#N/A,FALSE,"M2"}</definedName>
    <definedName name="qwwertyuiop" hidden="1">{"M2Print",#N/A,FALSE,"M2"}</definedName>
    <definedName name="RCArea" hidden="1">#REF!</definedName>
    <definedName name="RJE" localSheetId="8" hidden="1">{"toptrial",#N/A,TRUE,"toptrial";"adjustment",#N/A,TRUE,"toptrial";"voucher",#N/A,TRUE,"toptrial"}</definedName>
    <definedName name="RJE" localSheetId="9" hidden="1">{"toptrial",#N/A,TRUE,"toptrial";"adjustment",#N/A,TRUE,"toptrial";"voucher",#N/A,TRUE,"toptrial"}</definedName>
    <definedName name="RJE" hidden="1">{"toptrial",#N/A,TRUE,"toptrial";"adjustment",#N/A,TRUE,"toptrial";"voucher",#N/A,TRUE,"toptrial"}</definedName>
    <definedName name="SAPBEXdnldView" hidden="1">"4D4WVRAZFXWLPKS3R52UJB0QG"</definedName>
    <definedName name="SAPBEXrevision" hidden="1">1</definedName>
    <definedName name="SAPBEXsysID" localSheetId="0" hidden="1">"PE4"</definedName>
    <definedName name="SAPBEXsysID" hidden="1">"PWP"</definedName>
    <definedName name="SAPBEXwbID" hidden="1">"3Q4R7W3VD66V3CXTGQHGIRCBE"</definedName>
    <definedName name="sdfs" localSheetId="8" hidden="1">{"M1sPrint",#N/A,FALSE,"M1s"}</definedName>
    <definedName name="sdfs" localSheetId="9" hidden="1">{"M1sPrint",#N/A,FALSE,"M1s"}</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localSheetId="8" hidden="1">{#N/A,#N/A,FALSE,"资产负债表";#N/A,#N/A,FALSE,"资产负债表"}</definedName>
    <definedName name="sssz" localSheetId="9" hidden="1">{#N/A,#N/A,FALSE,"资产负债表";#N/A,#N/A,FALSE,"资产负债表"}</definedName>
    <definedName name="sssz" hidden="1">{#N/A,#N/A,FALSE,"资产负债表";#N/A,#N/A,FALSE,"资产负债表"}</definedName>
    <definedName name="tbl_ProdInfo" hidden="1">#REF!</definedName>
    <definedName name="terh" localSheetId="8" hidden="1">{#N/A,#N/A,FALSE,"OffAdvance";#N/A,#N/A,FALSE,"OffExpRprt";#N/A,#N/A,FALSE,"Entertmnt";#N/A,#N/A,FALSE,"Promotion";#N/A,#N/A,FALSE,"Travelling"}</definedName>
    <definedName name="terh" localSheetId="9"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localSheetId="0" hidden="1">4</definedName>
    <definedName name="TextRefCopyRangeCount" hidden="1">5</definedName>
    <definedName name="tfhg" localSheetId="8" hidden="1">{"M1Print",#N/A,FALSE,"M1"}</definedName>
    <definedName name="tfhg" localSheetId="9" hidden="1">{"M1Print",#N/A,FALSE,"M1"}</definedName>
    <definedName name="tfhg" hidden="1">{"M1Print",#N/A,FALSE,"M1"}</definedName>
    <definedName name="the" localSheetId="8" hidden="1">{#N/A,#N/A,FALSE,"Marketing";#N/A,#N/A,FALSE,"Selling";#N/A,#N/A,FALSE,"Promotional";#N/A,#N/A,FALSE,"Advertising"}</definedName>
    <definedName name="the" localSheetId="9" hidden="1">{#N/A,#N/A,FALSE,"Marketing";#N/A,#N/A,FALSE,"Selling";#N/A,#N/A,FALSE,"Promotional";#N/A,#N/A,FALSE,"Advertising"}</definedName>
    <definedName name="the" hidden="1">{#N/A,#N/A,FALSE,"Marketing";#N/A,#N/A,FALSE,"Selling";#N/A,#N/A,FALSE,"Promotional";#N/A,#N/A,FALSE,"Advertising"}</definedName>
    <definedName name="ulead" localSheetId="8" hidden="1">{#N/A,#N/A,FALSE,"970301";#N/A,#N/A,FALSE,"970302";#N/A,#N/A,FALSE,"970303";#N/A,#N/A,FALSE,"970304";#N/A,#N/A,FALSE,"COM1";#N/A,#N/A,FALSE,"COM2"}</definedName>
    <definedName name="ulead" localSheetId="9" hidden="1">{#N/A,#N/A,FALSE,"970301";#N/A,#N/A,FALSE,"970302";#N/A,#N/A,FALSE,"970303";#N/A,#N/A,FALSE,"970304";#N/A,#N/A,FALSE,"COM1";#N/A,#N/A,FALSE,"COM2"}</definedName>
    <definedName name="ulead" hidden="1">{#N/A,#N/A,FALSE,"970301";#N/A,#N/A,FALSE,"970302";#N/A,#N/A,FALSE,"970303";#N/A,#N/A,FALSE,"970304";#N/A,#N/A,FALSE,"COM1";#N/A,#N/A,FALSE,"COM2"}</definedName>
    <definedName name="uygh" localSheetId="8" hidden="1">{"M6Print",#N/A,FALSE,"M6";"M6_1Print",#N/A,FALSE,"M6_1";"M6_2Print",#N/A,FALSE,"M6_2"}</definedName>
    <definedName name="uygh" localSheetId="9" hidden="1">{"M6Print",#N/A,FALSE,"M6";"M6_1Print",#N/A,FALSE,"M6_1";"M6_2Print",#N/A,FALSE,"M6_2"}</definedName>
    <definedName name="uygh" hidden="1">{"M6Print",#N/A,FALSE,"M6";"M6_1Print",#N/A,FALSE,"M6_1";"M6_2Print",#N/A,FALSE,"M6_2"}</definedName>
    <definedName name="vhvkb" localSheetId="8" hidden="1">{#N/A,#N/A,FALSE,"资产负债表";#N/A,#N/A,FALSE,"资产负债表"}</definedName>
    <definedName name="vhvkb" localSheetId="9" hidden="1">{#N/A,#N/A,FALSE,"资产负债表";#N/A,#N/A,FALSE,"资产负债表"}</definedName>
    <definedName name="vhvkb" hidden="1">{#N/A,#N/A,FALSE,"资产负债表";#N/A,#N/A,FALSE,"资产负债表"}</definedName>
    <definedName name="werwefasd" hidden="1">#REF!</definedName>
    <definedName name="wrn.Aging._.and._.Trend._.Analysis." localSheetId="8"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8" hidden="1">{#N/A,#N/A,FALSE,"SUM";#N/A,#N/A,FALSE,"SK_TOT";#N/A,#N/A,FALSE,"YM";#N/A,#N/A,FALSE,"TSMC";#N/A,#N/A,FALSE,"ICW";#N/A,#N/A,FALSE,"Sheet1"}</definedName>
    <definedName name="wrn.ALL." localSheetId="9" hidden="1">{#N/A,#N/A,FALSE,"SUM";#N/A,#N/A,FALSE,"SK_TOT";#N/A,#N/A,FALSE,"YM";#N/A,#N/A,FALSE,"TSMC";#N/A,#N/A,FALSE,"ICW";#N/A,#N/A,FALSE,"Sheet1"}</definedName>
    <definedName name="wrn.ALL." localSheetId="0" hidden="1">{#N/A,#N/A,FALSE,"SUM";#N/A,#N/A,FALSE,"SK_TOT";#N/A,#N/A,FALSE,"YM";#N/A,#N/A,FALSE,"TSMC";#N/A,#N/A,FALSE,"ICW";#N/A,#N/A,FALSE,"Sheet1"}</definedName>
    <definedName name="wrn.ALL." hidden="1">{#N/A,#N/A,FALSE,"SUM";#N/A,#N/A,FALSE,"SK_TOT";#N/A,#N/A,FALSE,"YM";#N/A,#N/A,FALSE,"TSMC";#N/A,#N/A,FALSE,"ICW";#N/A,#N/A,FALSE,"Sheet1"}</definedName>
    <definedName name="wrn.All._.M._.Schedules." localSheetId="8" hidden="1">{"M1Print",#N/A,TRUE,"M1";"M2Print",#N/A,TRUE,"M2";"M1sPrint",#N/A,TRUE,"M1s";"M2aPrint",#N/A,TRUE,"M2a";"M4Print",#N/A,TRUE,"M4";"M5Print",#N/A,TRUE,"M5";"M6Print",#N/A,TRUE,"M6";"M6_1Print",#N/A,TRUE,"M6_1";"M6_2Print",#N/A,TRUE,"M6_2";"M7_1Print",#N/A,TRUE,"M7_1";"M7_2Print",#N/A,TRUE,"M7_2"}</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8"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localSheetId="8" hidden="1">{"M1Print",#N/A,TRUE,"M1";"M2Print",#N/A,TRUE,"M2";"M1sPrint",#N/A,TRUE,"M1s";"M2aPrint",#N/A,TRUE,"M2a";"M4Print",#N/A,TRUE,"M4";"M5Print",#N/A,TRUE,"M5";"M6Print",#N/A,TRUE,"M6";"M6_1Print",#N/A,TRUE,"M6_1";"M6_2Print",#N/A,TRUE,"M6_2";"M7_1Print",#N/A,TRUE,"M7_1";"M7_2Print",#N/A,TRUE,"M7_2"}</definedName>
    <definedName name="wrn.all._M._.Scheduleds。1" localSheetId="9"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8" hidden="1">{#N/A,#N/A,FALSE,"M1s Board";#N/A,#N/A,FALSE,"M3 Board";#N/A,#N/A,FALSE,"M6 Board";#N/A,#N/A,FALSE,"M7";#N/A,#N/A,FALSE,"M7B";#N/A,#N/A,FALSE,"M8";#N/A,#N/A,FALSE,"M8A Board";#N/A,#N/A,FALSE,"AF1 Board"}</definedName>
    <definedName name="wrn.Board._.Reports." localSheetId="9" hidden="1">{#N/A,#N/A,FALSE,"M1s Board";#N/A,#N/A,FALSE,"M3 Board";#N/A,#N/A,FALSE,"M6 Board";#N/A,#N/A,FALSE,"M7";#N/A,#N/A,FALSE,"M7B";#N/A,#N/A,FALSE,"M8";#N/A,#N/A,FALSE,"M8A Board";#N/A,#N/A,FALSE,"AF1 Board"}</definedName>
    <definedName name="wrn.Board._.Reports." localSheetId="0"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8" hidden="1">{#N/A,#N/A,FALSE,"Deposits by day"}</definedName>
    <definedName name="wrn.Deposit._.By._.Day." localSheetId="9" hidden="1">{#N/A,#N/A,FALSE,"Deposits by day"}</definedName>
    <definedName name="wrn.Deposit._.By._.Day." localSheetId="0" hidden="1">{#N/A,#N/A,FALSE,"Deposits by day"}</definedName>
    <definedName name="wrn.Deposit._.By._.Day." hidden="1">{#N/A,#N/A,FALSE,"Deposits by day"}</definedName>
    <definedName name="wrn.Deptartment._.Expenses." localSheetId="8" hidden="1">{#N/A,#N/A,TRUE,"CPRD";#N/A,#N/A,TRUE,"BCCPDR";#N/A,#N/A,TRUE,"EWRD";#N/A,#N/A,TRUE,"5100";#N/A,#N/A,TRUE,"5110"}</definedName>
    <definedName name="wrn.Deptartment._.Expenses." localSheetId="9" hidden="1">{#N/A,#N/A,TRUE,"CPRD";#N/A,#N/A,TRUE,"BCCPDR";#N/A,#N/A,TRUE,"EWRD";#N/A,#N/A,TRUE,"5100";#N/A,#N/A,TRUE,"5110"}</definedName>
    <definedName name="wrn.Deptartment._.Expenses." localSheetId="0" hidden="1">{#N/A,#N/A,TRUE,"CPRD";#N/A,#N/A,TRUE,"BCCPDR";#N/A,#N/A,TRUE,"EWRD";#N/A,#N/A,TRUE,"5100";#N/A,#N/A,TRUE,"5110"}</definedName>
    <definedName name="wrn.Deptartment._.Expenses." hidden="1">{#N/A,#N/A,TRUE,"CPRD";#N/A,#N/A,TRUE,"BCCPDR";#N/A,#N/A,TRUE,"EWRD";#N/A,#N/A,TRUE,"5100";#N/A,#N/A,TRUE,"5110"}</definedName>
    <definedName name="wrn.ERNST." localSheetId="8" hidden="1">{#N/A,#N/A,FALSE,"YTCHAN";#N/A,#N/A,FALSE,"TOMMY";#N/A,#N/A,FALSE,"REP.OFFICE";#N/A,#N/A,FALSE,"E&amp;Y_CONSULTANT";#N/A,#N/A,FALSE,"BT &amp; CIT"}</definedName>
    <definedName name="wrn.ERNST." localSheetId="9" hidden="1">{#N/A,#N/A,FALSE,"YTCHAN";#N/A,#N/A,FALSE,"TOMMY";#N/A,#N/A,FALSE,"REP.OFFICE";#N/A,#N/A,FALSE,"E&amp;Y_CONSULTANT";#N/A,#N/A,FALSE,"BT &amp; CIT"}</definedName>
    <definedName name="wrn.ERNST." hidden="1">{#N/A,#N/A,FALSE,"YTCHAN";#N/A,#N/A,FALSE,"TOMMY";#N/A,#N/A,FALSE,"REP.OFFICE";#N/A,#N/A,FALSE,"E&amp;Y_CONSULTANT";#N/A,#N/A,FALSE,"BT &amp; CIT"}</definedName>
    <definedName name="wrn.Financial._.Report." localSheetId="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9"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8" hidden="1">{#N/A,#N/A,FALSE,"OffAdvance";#N/A,#N/A,FALSE,"OffExpRprt";#N/A,#N/A,FALSE,"Entertmnt";#N/A,#N/A,FALSE,"Promotion";#N/A,#N/A,FALSE,"Travelling"}</definedName>
    <definedName name="wrn.form." localSheetId="9" hidden="1">{#N/A,#N/A,FALSE,"OffAdvance";#N/A,#N/A,FALSE,"OffExpRprt";#N/A,#N/A,FALSE,"Entertmnt";#N/A,#N/A,FALSE,"Promotion";#N/A,#N/A,FALSE,"Travelling"}</definedName>
    <definedName name="wrn.form." hidden="1">{#N/A,#N/A,FALSE,"OffAdvance";#N/A,#N/A,FALSE,"OffExpRprt";#N/A,#N/A,FALSE,"Entertmnt";#N/A,#N/A,FALSE,"Promotion";#N/A,#N/A,FALSE,"Travelling"}</definedName>
    <definedName name="wrn.gb." localSheetId="8" hidden="1">{#N/A,#N/A,FALSE,"资产负债表";#N/A,#N/A,FALSE,"资产负债表"}</definedName>
    <definedName name="wrn.gb." localSheetId="9" hidden="1">{#N/A,#N/A,FALSE,"资产负债表";#N/A,#N/A,FALSE,"资产负债表"}</definedName>
    <definedName name="wrn.gb." hidden="1">{#N/A,#N/A,FALSE,"资产负债表";#N/A,#N/A,FALSE,"资产负债表"}</definedName>
    <definedName name="wrn.Input._.Data." localSheetId="8" hidden="1">{"Input_Fin",#N/A,FALSE,"By Code";"Input_Opt",#N/A,FALSE,"By Code"}</definedName>
    <definedName name="wrn.Input._.Data." localSheetId="9" hidden="1">{"Input_Fin",#N/A,FALSE,"By Code";"Input_Opt",#N/A,FALSE,"By Code"}</definedName>
    <definedName name="wrn.Input._.Data." hidden="1">{"Input_Fin",#N/A,FALSE,"By Code";"Input_Opt",#N/A,FALSE,"By Code"}</definedName>
    <definedName name="wrn.jan." localSheetId="8" hidden="1">{#N/A,#N/A,FALSE,"Jan"}</definedName>
    <definedName name="wrn.jan." localSheetId="9" hidden="1">{#N/A,#N/A,FALSE,"Jan"}</definedName>
    <definedName name="wrn.jan." localSheetId="0" hidden="1">{#N/A,#N/A,FALSE,"Jan"}</definedName>
    <definedName name="wrn.jan." hidden="1">{#N/A,#N/A,FALSE,"Jan"}</definedName>
    <definedName name="wrn.M1._.Operating._.Statement." localSheetId="8" hidden="1">{"M1Print",#N/A,FALSE,"M1"}</definedName>
    <definedName name="wrn.M1._.Operating._.Statement." localSheetId="9" hidden="1">{"M1Print",#N/A,FALSE,"M1"}</definedName>
    <definedName name="wrn.M1._.Operating._.Statement." localSheetId="0" hidden="1">{"M1Print",#N/A,FALSE,"M1"}</definedName>
    <definedName name="wrn.M1._.Operating._.Statement." hidden="1">{"M1Print",#N/A,FALSE,"M1"}</definedName>
    <definedName name="wrn.M1s._.Statistics." localSheetId="8" hidden="1">{"M1sPrint",#N/A,FALSE,"M1s"}</definedName>
    <definedName name="wrn.M1s._.Statistics." localSheetId="9" hidden="1">{"M1sPrint",#N/A,FALSE,"M1s"}</definedName>
    <definedName name="wrn.M1s._.Statistics." localSheetId="0" hidden="1">{"M1sPrint",#N/A,FALSE,"M1s"}</definedName>
    <definedName name="wrn.M1s._.Statistics." hidden="1">{"M1sPrint",#N/A,FALSE,"M1s"}</definedName>
    <definedName name="wrn.M2._.Balance._.Sheet." localSheetId="8" hidden="1">{"M2Print",#N/A,FALSE,"M2"}</definedName>
    <definedName name="wrn.M2._.Balance._.Sheet." localSheetId="9" hidden="1">{"M2Print",#N/A,FALSE,"M2"}</definedName>
    <definedName name="wrn.M2._.Balance._.Sheet." localSheetId="0" hidden="1">{"M2Print",#N/A,FALSE,"M2"}</definedName>
    <definedName name="wrn.M2._.Balance._.Sheet." hidden="1">{"M2Print",#N/A,FALSE,"M2"}</definedName>
    <definedName name="wrn.M2a._.Cashflow." localSheetId="8" hidden="1">{"M2aPrint",#N/A,FALSE,"M2a"}</definedName>
    <definedName name="wrn.M2a._.Cashflow." localSheetId="9" hidden="1">{"M2aPrint",#N/A,FALSE,"M2a"}</definedName>
    <definedName name="wrn.M2a._.Cashflow." localSheetId="0" hidden="1">{"M2aPrint",#N/A,FALSE,"M2a"}</definedName>
    <definedName name="wrn.M2a._.Cashflow." hidden="1">{"M2aPrint",#N/A,FALSE,"M2a"}</definedName>
    <definedName name="wrn.M4._.Inventories." localSheetId="8" hidden="1">{"M4Print",#N/A,FALSE,"M4"}</definedName>
    <definedName name="wrn.M4._.Inventories." localSheetId="9" hidden="1">{"M4Print",#N/A,FALSE,"M4"}</definedName>
    <definedName name="wrn.M4._.Inventories." localSheetId="0" hidden="1">{"M4Print",#N/A,FALSE,"M4"}</definedName>
    <definedName name="wrn.M4._.Inventories." hidden="1">{"M4Print",#N/A,FALSE,"M4"}</definedName>
    <definedName name="wrn.M5._.Flash._.and._.Forecast." localSheetId="8" hidden="1">{"M5Print",#N/A,FALSE,"M5"}</definedName>
    <definedName name="wrn.M5._.Flash._.and._.Forecast." localSheetId="9" hidden="1">{"M5Print",#N/A,FALSE,"M5"}</definedName>
    <definedName name="wrn.M5._.Flash._.and._.Forecast." localSheetId="0" hidden="1">{"M5Print",#N/A,FALSE,"M5"}</definedName>
    <definedName name="wrn.M5._.Flash._.and._.Forecast." hidden="1">{"M5Print",#N/A,FALSE,"M5"}</definedName>
    <definedName name="wrn.M6._.Management._.Summary." localSheetId="8" hidden="1">{"M6Print",#N/A,FALSE,"M6";"M6_1Print",#N/A,FALSE,"M6_1";"M6_2Print",#N/A,FALSE,"M6_2"}</definedName>
    <definedName name="wrn.M6._.Management._.Summary." localSheetId="9" hidden="1">{"M6Print",#N/A,FALSE,"M6";"M6_1Print",#N/A,FALSE,"M6_1";"M6_2Print",#N/A,FALSE,"M6_2"}</definedName>
    <definedName name="wrn.M6._.Management._.Summary." localSheetId="0" hidden="1">{"M6Print",#N/A,FALSE,"M6";"M6_1Print",#N/A,FALSE,"M6_1";"M6_2Print",#N/A,FALSE,"M6_2"}</definedName>
    <definedName name="wrn.M6._.Management._.Summary." hidden="1">{"M6Print",#N/A,FALSE,"M6";"M6_1Print",#N/A,FALSE,"M6_1";"M6_2Print",#N/A,FALSE,"M6_2"}</definedName>
    <definedName name="wrn.M7._.Financial._.Controllers._.report." localSheetId="8" hidden="1">{"M7_1Print",#N/A,TRUE,"M7_1";"M7_2Print",#N/A,TRUE,"M7_2"}</definedName>
    <definedName name="wrn.M7._.Financial._.Controllers._.report." localSheetId="9" hidden="1">{"M7_1Print",#N/A,TRUE,"M7_1";"M7_2Print",#N/A,TRUE,"M7_2"}</definedName>
    <definedName name="wrn.M7._.Financial._.Controllers._.report." localSheetId="0" hidden="1">{"M7_1Print",#N/A,TRUE,"M7_1";"M7_2Print",#N/A,TRUE,"M7_2"}</definedName>
    <definedName name="wrn.M7._.Financial._.Controllers._.report." hidden="1">{"M7_1Print",#N/A,TRUE,"M7_1";"M7_2Print",#N/A,TRUE,"M7_2"}</definedName>
    <definedName name="wrn.Monthly._.Report." localSheetId="8"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localSheetId="9"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8" hidden="1">{#N/A,#N/A,FALSE,"OffAdvance";#N/A,#N/A,FALSE,"OffExpRprt";#N/A,#N/A,FALSE,"Travelling";#N/A,#N/A,FALSE,"Entertmnt";#N/A,#N/A,FALSE,"Promotion"}</definedName>
    <definedName name="wrn.Office." localSheetId="9"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9"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8" hidden="1">{#N/A,#N/A,FALSE,"Sales  total 9712";#N/A,#N/A,FALSE,"Sales  total 9712";#N/A,#N/A,FALSE,"Sales  total 9712";#N/A,#N/A,FALSE,"Sales  total 9712"}</definedName>
    <definedName name="wrn.REPORT." localSheetId="9"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Sales." localSheetId="8" hidden="1">{#N/A,#N/A,FALSE,"Marketing";#N/A,#N/A,FALSE,"Selling";#N/A,#N/A,FALSE,"Promotional";#N/A,#N/A,FALSE,"Advertising"}</definedName>
    <definedName name="wrn.Sales." localSheetId="9" hidden="1">{#N/A,#N/A,FALSE,"Marketing";#N/A,#N/A,FALSE,"Selling";#N/A,#N/A,FALSE,"Promotional";#N/A,#N/A,FALSE,"Advertising"}</definedName>
    <definedName name="wrn.Sales." hidden="1">{#N/A,#N/A,FALSE,"Marketing";#N/A,#N/A,FALSE,"Selling";#N/A,#N/A,FALSE,"Promotional";#N/A,#N/A,FALSE,"Advertising"}</definedName>
    <definedName name="wrn.sunmicro." localSheetId="8" hidden="1">{#N/A,#N/A,FALSE,"FREEMAN";#N/A,#N/A,FALSE,"STEPHEN";#N/A,#N/A,FALSE,"VICTOR"}</definedName>
    <definedName name="wrn.sunmicro." localSheetId="9" hidden="1">{#N/A,#N/A,FALSE,"FREEMAN";#N/A,#N/A,FALSE,"STEPHEN";#N/A,#N/A,FALSE,"VICTOR"}</definedName>
    <definedName name="wrn.sunmicro." hidden="1">{#N/A,#N/A,FALSE,"FREEMAN";#N/A,#N/A,FALSE,"STEPHEN";#N/A,#N/A,FALSE,"VICTOR"}</definedName>
    <definedName name="wrn.test1." localSheetId="8" hidden="1">{#N/A,#N/A,FALSE,"Earn'gs &amp; Val'n";#N/A,#N/A,FALSE,"Interim"}</definedName>
    <definedName name="wrn.test1." localSheetId="9" hidden="1">{#N/A,#N/A,FALSE,"Earn'gs &amp; Val'n";#N/A,#N/A,FALSE,"Interim"}</definedName>
    <definedName name="wrn.test1." hidden="1">{#N/A,#N/A,FALSE,"Earn'gs &amp; Val'n";#N/A,#N/A,FALSE,"Interim"}</definedName>
    <definedName name="wrn.tope" localSheetId="8" hidden="1">{"toptrial",#N/A,TRUE,"toptrial";"adjustment",#N/A,TRUE,"toptrial";"voucher",#N/A,TRUE,"toptrial"}</definedName>
    <definedName name="wrn.tope" localSheetId="9" hidden="1">{"toptrial",#N/A,TRUE,"toptrial";"adjustment",#N/A,TRUE,"toptrial";"voucher",#N/A,TRUE,"toptrial"}</definedName>
    <definedName name="wrn.tope" hidden="1">{"toptrial",#N/A,TRUE,"toptrial";"adjustment",#N/A,TRUE,"toptrial";"voucher",#N/A,TRUE,"toptrial"}</definedName>
    <definedName name="wrn.toptrial." localSheetId="8" hidden="1">{"toptrial",#N/A,TRUE,"toptrial";"adjustment",#N/A,TRUE,"toptrial";"voucher",#N/A,TRUE,"toptrial"}</definedName>
    <definedName name="wrn.toptrial." localSheetId="9" hidden="1">{"toptrial",#N/A,TRUE,"toptrial";"adjustment",#N/A,TRUE,"toptrial";"voucher",#N/A,TRUE,"toptrial"}</definedName>
    <definedName name="wrn.toptrial." hidden="1">{"toptrial",#N/A,TRUE,"toptrial";"adjustment",#N/A,TRUE,"toptrial";"voucher",#N/A,TRUE,"toptrial"}</definedName>
    <definedName name="wrn.voucher9703." localSheetId="8" hidden="1">{#N/A,#N/A,FALSE,"970301";#N/A,#N/A,FALSE,"970302";#N/A,#N/A,FALSE,"970303";#N/A,#N/A,FALSE,"970304";#N/A,#N/A,FALSE,"COM1";#N/A,#N/A,FALSE,"COM2"}</definedName>
    <definedName name="wrn.voucher9703." localSheetId="9" hidden="1">{#N/A,#N/A,FALSE,"970301";#N/A,#N/A,FALSE,"970302";#N/A,#N/A,FALSE,"970303";#N/A,#N/A,FALSE,"970304";#N/A,#N/A,FALSE,"COM1";#N/A,#N/A,FALSE,"COM2"}</definedName>
    <definedName name="wrn.voucher9703." hidden="1">{#N/A,#N/A,FALSE,"970301";#N/A,#N/A,FALSE,"970302";#N/A,#N/A,FALSE,"970303";#N/A,#N/A,FALSE,"970304";#N/A,#N/A,FALSE,"COM1";#N/A,#N/A,FALSE,"COM2"}</definedName>
    <definedName name="wrn.ytd." localSheetId="8" hidden="1">{#N/A,#N/A,FALSE,"YTD"}</definedName>
    <definedName name="wrn.ytd." localSheetId="9" hidden="1">{#N/A,#N/A,FALSE,"YTD"}</definedName>
    <definedName name="wrn.ytd." localSheetId="0" hidden="1">{#N/A,#N/A,FALSE,"YTD"}</definedName>
    <definedName name="wrn.ytd." hidden="1">{#N/A,#N/A,FALSE,"YTD"}</definedName>
    <definedName name="wrn100.gb" localSheetId="8" hidden="1">{#N/A,#N/A,FALSE,"资产负债表";#N/A,#N/A,FALSE,"资产负债表"}</definedName>
    <definedName name="wrn100.gb" localSheetId="9" hidden="1">{#N/A,#N/A,FALSE,"资产负债表";#N/A,#N/A,FALSE,"资产负债表"}</definedName>
    <definedName name="wrn100.gb" hidden="1">{#N/A,#N/A,FALSE,"资产负债表";#N/A,#N/A,FALSE,"资产负债表"}</definedName>
    <definedName name="wrnn.all." localSheetId="8" hidden="1">{#N/A,#N/A,FALSE,"SUM";#N/A,#N/A,FALSE,"SK_TOT";#N/A,#N/A,FALSE,"YM";#N/A,#N/A,FALSE,"TSMC";#N/A,#N/A,FALSE,"ICW";#N/A,#N/A,FALSE,"Sheet1"}</definedName>
    <definedName name="wrnn.all." localSheetId="9" hidden="1">{#N/A,#N/A,FALSE,"SUM";#N/A,#N/A,FALSE,"SK_TOT";#N/A,#N/A,FALSE,"YM";#N/A,#N/A,FALSE,"TSMC";#N/A,#N/A,FALSE,"ICW";#N/A,#N/A,FALSE,"Sheet1"}</definedName>
    <definedName name="wrnn.all." localSheetId="0" hidden="1">{#N/A,#N/A,FALSE,"SUM";#N/A,#N/A,FALSE,"SK_TOT";#N/A,#N/A,FALSE,"YM";#N/A,#N/A,FALSE,"TSMC";#N/A,#N/A,FALSE,"ICW";#N/A,#N/A,FALSE,"Sheet1"}</definedName>
    <definedName name="wrnn.all." hidden="1">{#N/A,#N/A,FALSE,"SUM";#N/A,#N/A,FALSE,"SK_TOT";#N/A,#N/A,FALSE,"YM";#N/A,#N/A,FALSE,"TSMC";#N/A,#N/A,FALSE,"ICW";#N/A,#N/A,FALSE,"Sheet1"}</definedName>
    <definedName name="wtr" localSheetId="8" hidden="1">{#N/A,#N/A,FALSE,"资产负债表";#N/A,#N/A,FALSE,"资产负债表"}</definedName>
    <definedName name="wtr" localSheetId="9" hidden="1">{#N/A,#N/A,FALSE,"资产负债表";#N/A,#N/A,FALSE,"资产负债表"}</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localSheetId="8" hidden="1">{"M1Print",#N/A,FALSE,"M1"}</definedName>
    <definedName name="xzxsfd" localSheetId="9" hidden="1">{"M1Print",#N/A,FALSE,"M1"}</definedName>
    <definedName name="xzxsfd" localSheetId="0" hidden="1">{"M1Print",#N/A,FALSE,"M1"}</definedName>
    <definedName name="xzxsfd" hidden="1">{"M1Print",#N/A,FALSE,"M1"}</definedName>
    <definedName name="y" localSheetId="8" hidden="1">{#N/A,#N/A,FALSE,"970301";#N/A,#N/A,FALSE,"970302";#N/A,#N/A,FALSE,"970303";#N/A,#N/A,FALSE,"970304";#N/A,#N/A,FALSE,"COM1";#N/A,#N/A,FALSE,"COM2"}</definedName>
    <definedName name="y" localSheetId="9" hidden="1">{#N/A,#N/A,FALSE,"970301";#N/A,#N/A,FALSE,"970302";#N/A,#N/A,FALSE,"970303";#N/A,#N/A,FALSE,"970304";#N/A,#N/A,FALSE,"COM1";#N/A,#N/A,FALSE,"COM2"}</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localSheetId="8" hidden="1">{#N/A,#N/A,FALSE,"资产负债表";#N/A,#N/A,FALSE,"资产负债表"}</definedName>
    <definedName name="zdry" localSheetId="9" hidden="1">{#N/A,#N/A,FALSE,"资产负债表";#N/A,#N/A,FALSE,"资产负债表"}</definedName>
    <definedName name="zdry" hidden="1">{#N/A,#N/A,FALSE,"资产负债表";#N/A,#N/A,FALSE,"资产负债表"}</definedName>
    <definedName name="zerey" localSheetId="8" hidden="1">{#N/A,#N/A,FALSE,"资产负债表";#N/A,#N/A,FALSE,"资产负债表"}</definedName>
    <definedName name="zerey" localSheetId="9" hidden="1">{#N/A,#N/A,FALSE,"资产负债表";#N/A,#N/A,FALSE,"资产负债表"}</definedName>
    <definedName name="zerey" hidden="1">{#N/A,#N/A,FALSE,"资产负债表";#N/A,#N/A,FALSE,"资产负债表"}</definedName>
    <definedName name="ZZZZZZZZZZZZZ" hidden="1">#REF!</definedName>
    <definedName name="啊" localSheetId="8" hidden="1">{#N/A,#N/A,FALSE,"970301";#N/A,#N/A,FALSE,"970302";#N/A,#N/A,FALSE,"970303";#N/A,#N/A,FALSE,"970304";#N/A,#N/A,FALSE,"COM1";#N/A,#N/A,FALSE,"COM2"}</definedName>
    <definedName name="啊" localSheetId="9" hidden="1">{#N/A,#N/A,FALSE,"970301";#N/A,#N/A,FALSE,"970302";#N/A,#N/A,FALSE,"970303";#N/A,#N/A,FALSE,"970304";#N/A,#N/A,FALSE,"COM1";#N/A,#N/A,FALSE,"COM2"}</definedName>
    <definedName name="啊" hidden="1">{#N/A,#N/A,FALSE,"970301";#N/A,#N/A,FALSE,"970302";#N/A,#N/A,FALSE,"970303";#N/A,#N/A,FALSE,"970304";#N/A,#N/A,FALSE,"COM1";#N/A,#N/A,FALSE,"COM2"}</definedName>
    <definedName name="备用" localSheetId="8" hidden="1">{#N/A,#N/A,FALSE,"OffAdvance";#N/A,#N/A,FALSE,"OffExpRprt";#N/A,#N/A,FALSE,"Entertmnt";#N/A,#N/A,FALSE,"Promotion";#N/A,#N/A,FALSE,"Travelling"}</definedName>
    <definedName name="备用" localSheetId="9" hidden="1">{#N/A,#N/A,FALSE,"OffAdvance";#N/A,#N/A,FALSE,"OffExpRprt";#N/A,#N/A,FALSE,"Entertmnt";#N/A,#N/A,FALSE,"Promotion";#N/A,#N/A,FALSE,"Travelling"}</definedName>
    <definedName name="备用" hidden="1">{#N/A,#N/A,FALSE,"OffAdvance";#N/A,#N/A,FALSE,"OffExpRprt";#N/A,#N/A,FALSE,"Entertmnt";#N/A,#N/A,FALSE,"Promotion";#N/A,#N/A,FALSE,"Travelling"}</definedName>
    <definedName name="借款" localSheetId="8" hidden="1">{#N/A,#N/A,FALSE,"970301";#N/A,#N/A,FALSE,"970302";#N/A,#N/A,FALSE,"970303";#N/A,#N/A,FALSE,"970304";#N/A,#N/A,FALSE,"COM1";#N/A,#N/A,FALSE,"COM2"}</definedName>
    <definedName name="借款" localSheetId="9" hidden="1">{#N/A,#N/A,FALSE,"970301";#N/A,#N/A,FALSE,"970302";#N/A,#N/A,FALSE,"970303";#N/A,#N/A,FALSE,"970304";#N/A,#N/A,FALSE,"COM1";#N/A,#N/A,FALSE,"COM2"}</definedName>
    <definedName name="借款" hidden="1">{#N/A,#N/A,FALSE,"970301";#N/A,#N/A,FALSE,"970302";#N/A,#N/A,FALSE,"970303";#N/A,#N/A,FALSE,"970304";#N/A,#N/A,FALSE,"COM1";#N/A,#N/A,FALSE,"COM2"}</definedName>
    <definedName name="苛" localSheetId="8" hidden="1">{"M1sPrint",#N/A,FALSE,"M1s"}</definedName>
    <definedName name="苛" localSheetId="9" hidden="1">{"M1sPrint",#N/A,FALSE,"M1s"}</definedName>
    <definedName name="苛" localSheetId="0" hidden="1">{"M1sPrint",#N/A,FALSE,"M1s"}</definedName>
    <definedName name="苛" hidden="1">{"M1sPrint",#N/A,FALSE,"M1s"}</definedName>
    <definedName name="试验" localSheetId="8" hidden="1">{#N/A,#N/A,FALSE,"OffAdvance";#N/A,#N/A,FALSE,"OffExpRprt";#N/A,#N/A,FALSE,"Travelling";#N/A,#N/A,FALSE,"Entertmnt";#N/A,#N/A,FALSE,"Promotion"}</definedName>
    <definedName name="试验" localSheetId="9"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8" hidden="1">{"M1Print",#N/A,TRUE,"M1";"M2Print",#N/A,TRUE,"M2";"M1sPrint",#N/A,TRUE,"M1s";"M2aPrint",#N/A,TRUE,"M2a";"M4Print",#N/A,TRUE,"M4";"M5Print",#N/A,TRUE,"M5";"M6Print",#N/A,TRUE,"M6";"M6_1Print",#N/A,TRUE,"M6_1";"M6_2Print",#N/A,TRUE,"M6_2";"M7_1Print",#N/A,TRUE,"M7_1";"M7_2Print",#N/A,TRUE,"M7_2"}</definedName>
    <definedName name="已05" localSheetId="9"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8" hidden="1">{#N/A,#N/A,FALSE,"970301";#N/A,#N/A,FALSE,"970302";#N/A,#N/A,FALSE,"970303";#N/A,#N/A,FALSE,"970304";#N/A,#N/A,FALSE,"COM1";#N/A,#N/A,FALSE,"COM2"}</definedName>
    <definedName name="应手款" localSheetId="9" hidden="1">{#N/A,#N/A,FALSE,"970301";#N/A,#N/A,FALSE,"970302";#N/A,#N/A,FALSE,"970303";#N/A,#N/A,FALSE,"970304";#N/A,#N/A,FALSE,"COM1";#N/A,#N/A,FALSE,"COM2"}</definedName>
    <definedName name="应手款" hidden="1">{#N/A,#N/A,FALSE,"970301";#N/A,#N/A,FALSE,"970302";#N/A,#N/A,FALSE,"970303";#N/A,#N/A,FALSE,"970304";#N/A,#N/A,FALSE,"COM1";#N/A,#N/A,FALSE,"COM2"}</definedName>
    <definedName name="应手款1月" localSheetId="8" hidden="1">{#N/A,#N/A,FALSE,"Marketing";#N/A,#N/A,FALSE,"Selling";#N/A,#N/A,FALSE,"Promotional";#N/A,#N/A,FALSE,"Advertising"}</definedName>
    <definedName name="应手款1月" localSheetId="9" hidden="1">{#N/A,#N/A,FALSE,"Marketing";#N/A,#N/A,FALSE,"Selling";#N/A,#N/A,FALSE,"Promotional";#N/A,#N/A,FALSE,"Advertising"}</definedName>
    <definedName name="应手款1月" hidden="1">{#N/A,#N/A,FALSE,"Marketing";#N/A,#N/A,FALSE,"Selling";#N/A,#N/A,FALSE,"Promotional";#N/A,#N/A,FALSE,"Advertising"}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111" l="1"/>
  <c r="D38" i="111"/>
  <c r="K24" i="111"/>
  <c r="K25" i="111"/>
  <c r="K26" i="111"/>
  <c r="K27" i="111"/>
  <c r="K28" i="111"/>
  <c r="K29" i="111"/>
  <c r="K30" i="111"/>
  <c r="K31" i="111"/>
  <c r="K23" i="111"/>
  <c r="G23" i="111"/>
  <c r="H23" i="111"/>
  <c r="E13" i="3"/>
  <c r="E12" i="56"/>
  <c r="I42" i="109"/>
  <c r="I41" i="109"/>
  <c r="I40" i="109"/>
  <c r="N32" i="111" l="1"/>
  <c r="M32" i="111"/>
  <c r="L31" i="111"/>
  <c r="O31" i="111" s="1"/>
  <c r="H31" i="111"/>
  <c r="L30" i="111"/>
  <c r="O30" i="111" s="1"/>
  <c r="H30" i="111"/>
  <c r="G30" i="111"/>
  <c r="L29" i="111"/>
  <c r="O29" i="111" s="1"/>
  <c r="G29" i="111"/>
  <c r="H29" i="111" s="1"/>
  <c r="L28" i="111"/>
  <c r="O28" i="111" s="1"/>
  <c r="G28" i="111"/>
  <c r="H28" i="111" s="1"/>
  <c r="L27" i="111"/>
  <c r="O27" i="111" s="1"/>
  <c r="H27" i="111"/>
  <c r="G27" i="111"/>
  <c r="L26" i="111"/>
  <c r="O26" i="111" s="1"/>
  <c r="G26" i="111"/>
  <c r="H26" i="111" s="1"/>
  <c r="L25" i="111"/>
  <c r="O25" i="111" s="1"/>
  <c r="G25" i="111"/>
  <c r="H25" i="111" s="1"/>
  <c r="L24" i="111"/>
  <c r="O24" i="111" s="1"/>
  <c r="G24" i="111"/>
  <c r="H24" i="111" s="1"/>
  <c r="L23" i="111"/>
  <c r="F23" i="111"/>
  <c r="D16" i="39"/>
  <c r="D15" i="39"/>
  <c r="Q18" i="87"/>
  <c r="Q15" i="87"/>
  <c r="P14" i="87"/>
  <c r="M14" i="87"/>
  <c r="K14" i="87"/>
  <c r="F36" i="87"/>
  <c r="H36" i="87"/>
  <c r="F38" i="87"/>
  <c r="F37" i="87"/>
  <c r="G36" i="87"/>
  <c r="F44" i="39"/>
  <c r="E44" i="39"/>
  <c r="L39" i="39"/>
  <c r="D18" i="109"/>
  <c r="D21" i="109"/>
  <c r="H32" i="111" l="1"/>
  <c r="O23" i="111"/>
  <c r="O32" i="111" s="1"/>
  <c r="L32" i="111"/>
  <c r="B31" i="39"/>
  <c r="D19" i="109" l="1"/>
  <c r="H19" i="109" s="1"/>
  <c r="D22" i="109"/>
  <c r="C20" i="87" l="1"/>
  <c r="L41" i="39"/>
  <c r="L42" i="39"/>
  <c r="L40" i="39"/>
  <c r="G41" i="39"/>
  <c r="I41" i="39" s="1"/>
  <c r="G42" i="39"/>
  <c r="I42" i="39" s="1"/>
  <c r="D17" i="39" l="1"/>
  <c r="D18" i="39"/>
  <c r="D19" i="39"/>
  <c r="E15" i="39" l="1"/>
  <c r="C31" i="39" s="1"/>
  <c r="E15" i="84" l="1"/>
  <c r="K13" i="87" l="1"/>
  <c r="J44" i="39" l="1"/>
  <c r="L44" i="39" s="1"/>
  <c r="H44" i="39"/>
  <c r="G39" i="39"/>
  <c r="K44" i="39" l="1"/>
  <c r="H15" i="87" l="1"/>
  <c r="K11" i="87"/>
  <c r="G15" i="87"/>
  <c r="P11" i="87" l="1"/>
  <c r="E13" i="56"/>
  <c r="E16" i="56" l="1"/>
  <c r="I13" i="56"/>
  <c r="K12" i="87"/>
  <c r="M11" i="87"/>
  <c r="E37" i="39"/>
  <c r="E16" i="3"/>
  <c r="H37" i="87" l="1"/>
  <c r="H38" i="87"/>
  <c r="M13" i="87"/>
  <c r="P12" i="87"/>
  <c r="M12" i="87" l="1"/>
  <c r="P13" i="87"/>
  <c r="L35" i="3" l="1"/>
  <c r="L36" i="3"/>
  <c r="L37" i="3"/>
  <c r="L38" i="3"/>
  <c r="L39" i="3"/>
  <c r="L40" i="3"/>
  <c r="L34" i="3"/>
  <c r="G40" i="39" l="1"/>
  <c r="I40" i="39" s="1"/>
  <c r="J37" i="39"/>
  <c r="G44" i="39" l="1"/>
  <c r="I39" i="39"/>
  <c r="I44" i="39" s="1"/>
  <c r="K40" i="39" l="1"/>
  <c r="K41" i="39"/>
  <c r="K42" i="39"/>
  <c r="K39" i="39"/>
  <c r="N39" i="39" s="1"/>
  <c r="F15" i="87"/>
  <c r="E15" i="87"/>
  <c r="E14" i="3" s="1"/>
  <c r="D15" i="87"/>
  <c r="J15" i="87"/>
  <c r="I15" i="87"/>
  <c r="E17" i="3" l="1"/>
  <c r="O15" i="87" l="1"/>
  <c r="L15" i="87"/>
  <c r="K15" i="87" l="1"/>
  <c r="P15" i="87" s="1"/>
  <c r="M15" i="87" l="1"/>
  <c r="E19" i="84" l="1"/>
  <c r="E18" i="84"/>
  <c r="E17" i="84"/>
  <c r="E16" i="84"/>
  <c r="B6" i="87" l="1"/>
  <c r="E18" i="87" l="1"/>
  <c r="H18" i="87"/>
  <c r="J18" i="87"/>
  <c r="N44" i="39"/>
  <c r="N42" i="39"/>
  <c r="N41" i="39"/>
  <c r="N40" i="39"/>
  <c r="J14" i="3"/>
</calcChain>
</file>

<file path=xl/sharedStrings.xml><?xml version="1.0" encoding="utf-8"?>
<sst xmlns="http://schemas.openxmlformats.org/spreadsheetml/2006/main" count="487" uniqueCount="369">
  <si>
    <t>Q1.00 Lead</t>
  </si>
  <si>
    <t>Q1.01 BKD</t>
  </si>
  <si>
    <t>Q1.02a 函证</t>
  </si>
  <si>
    <t>Q1.02b 抵押担保测试</t>
  </si>
  <si>
    <t>Q1.02c 函证-替代测试</t>
  </si>
  <si>
    <t>V6 SWP</t>
  </si>
  <si>
    <t>该科目涉及OSP底稿及函证底稿可参考此链接</t>
  </si>
  <si>
    <t>Q1.00</t>
  </si>
  <si>
    <t>Q1.00 Lead（认定：E、C）</t>
  </si>
  <si>
    <t>程序页</t>
  </si>
  <si>
    <t>执行</t>
  </si>
  <si>
    <t>不执行的原因</t>
  </si>
  <si>
    <t>注意事项</t>
  </si>
  <si>
    <t>通过执行分析和调查两期的长、短期借款科目重大变动来确定长、短期借款科目是否合理。</t>
  </si>
  <si>
    <t>Q1.01</t>
  </si>
  <si>
    <t>Q1.01 Breakdown（认定：BS：E、V、C  IS：O、M）</t>
  </si>
  <si>
    <t>获得借款和利息汇总表，并与总分类账余额核对一致。测试对期限、到期日的遵循情况。</t>
    <phoneticPr fontId="33" type="noConversion"/>
  </si>
  <si>
    <t>对借款的外币余额，我们使用第三方汇率(独立于被审计单位获得汇率)重新计算，并将重新计算的余额与被审计单位的余额进行比较。</t>
  </si>
  <si>
    <t>Q1.02</t>
  </si>
  <si>
    <r>
      <t xml:space="preserve">Q1.02 </t>
    </r>
    <r>
      <rPr>
        <b/>
        <sz val="10"/>
        <color rgb="FF000000"/>
        <rFont val="Microsoft YaHei"/>
        <family val="2"/>
        <charset val="134"/>
      </rPr>
      <t>函证及抵质押担保测试（认定：</t>
    </r>
    <r>
      <rPr>
        <b/>
        <sz val="10"/>
        <color rgb="FF000000"/>
        <rFont val="Arial"/>
        <family val="2"/>
      </rPr>
      <t>E</t>
    </r>
    <r>
      <rPr>
        <b/>
        <sz val="10"/>
        <color rgb="FF000000"/>
        <rFont val="Microsoft YaHei"/>
        <family val="2"/>
        <charset val="134"/>
      </rPr>
      <t>、</t>
    </r>
    <r>
      <rPr>
        <b/>
        <sz val="10"/>
        <color rgb="FF000000"/>
        <rFont val="Arial"/>
        <family val="2"/>
      </rPr>
      <t>V</t>
    </r>
    <r>
      <rPr>
        <b/>
        <sz val="10"/>
        <color rgb="FF000000"/>
        <rFont val="Microsoft YaHei"/>
        <family val="2"/>
        <charset val="134"/>
      </rPr>
      <t>、</t>
    </r>
    <r>
      <rPr>
        <b/>
        <sz val="10"/>
        <color rgb="FF000000"/>
        <rFont val="Arial"/>
        <family val="2"/>
      </rPr>
      <t>C</t>
    </r>
    <r>
      <rPr>
        <b/>
        <sz val="10"/>
        <color rgb="FF000000"/>
        <rFont val="Microsoft YaHei"/>
        <family val="2"/>
        <charset val="134"/>
      </rPr>
      <t>、</t>
    </r>
    <r>
      <rPr>
        <b/>
        <sz val="10"/>
        <color rgb="FF000000"/>
        <rFont val="Arial"/>
        <family val="2"/>
      </rPr>
      <t>R&amp;O</t>
    </r>
    <r>
      <rPr>
        <b/>
        <sz val="10"/>
        <color rgb="FF000000"/>
        <rFont val="Microsoft YaHei"/>
        <family val="2"/>
        <charset val="134"/>
      </rPr>
      <t>、</t>
    </r>
    <r>
      <rPr>
        <b/>
        <sz val="10"/>
        <color rgb="FF000000"/>
        <rFont val="Arial"/>
        <family val="2"/>
      </rPr>
      <t>P&amp;D</t>
    </r>
    <r>
      <rPr>
        <b/>
        <sz val="10"/>
        <color rgb="FF000000"/>
        <rFont val="Microsoft YaHei"/>
        <family val="2"/>
        <charset val="134"/>
      </rPr>
      <t>）</t>
    </r>
    <phoneticPr fontId="33" type="noConversion"/>
  </si>
  <si>
    <r>
      <rPr>
        <sz val="10"/>
        <color rgb="FF000000"/>
        <rFont val="Microsoft YaHei"/>
        <family val="2"/>
        <charset val="134"/>
      </rPr>
      <t>我们对所有性质或金额重大的账户发送询证函，将回函金额核对至账面银行借款余额，并核对回函中的其他信息，我们在</t>
    </r>
    <r>
      <rPr>
        <sz val="10"/>
        <color rgb="FF000000"/>
        <rFont val="Arial"/>
        <family val="2"/>
      </rPr>
      <t xml:space="preserve">&lt;Q.02a </t>
    </r>
    <r>
      <rPr>
        <sz val="10"/>
        <color rgb="FF000000"/>
        <rFont val="Microsoft YaHei"/>
        <family val="2"/>
        <charset val="134"/>
      </rPr>
      <t>函证</t>
    </r>
    <r>
      <rPr>
        <sz val="10"/>
        <color rgb="FF000000"/>
        <rFont val="Arial"/>
        <family val="2"/>
      </rPr>
      <t>&gt;</t>
    </r>
    <r>
      <rPr>
        <sz val="10"/>
        <color rgb="FF000000"/>
        <rFont val="Microsoft YaHei"/>
        <family val="2"/>
        <charset val="134"/>
      </rPr>
      <t>记录函证跟进工作；</t>
    </r>
    <phoneticPr fontId="33" type="noConversion"/>
  </si>
  <si>
    <t>对于期末的借款，询问管理层关于借款的担保情况，并检查回函及相关贷款协议的原始或授权副本或者其他相关文档等，测试并记录被审计单位是否遵守借款协议中约定的担保条款。</t>
  </si>
  <si>
    <t>096db42d-6ac9-49c1-8a94-f56a207d630a</t>
    <phoneticPr fontId="59" type="noConversion"/>
  </si>
  <si>
    <t>对未回函、未发函或回函信息不完整的借款余额，检查借款协议、银行回单等支持性证据，对其执行替代程序，验证借款的期限、利率、余额等是否与协议约定一致。</t>
    <phoneticPr fontId="33" type="noConversion"/>
  </si>
  <si>
    <t>Q1.03</t>
  </si>
  <si>
    <t>Q1.03 增加（ToD）（认定：E、V、R&amp;O、P&amp;D）</t>
  </si>
  <si>
    <t>对本期新签订的借款协议，执行详细测试，以验证记录的债务金额、利率、到期日、抵质押资产和担保人等条款的准确性及是否得到恰当的列报。</t>
    <phoneticPr fontId="33" type="noConversion"/>
  </si>
  <si>
    <t>Q1.03 增加（ToD）</t>
  </si>
  <si>
    <t>Q1.04</t>
  </si>
  <si>
    <t>Q1.04 利息费用（认定：C、R&amp;O、P&amp;D）</t>
  </si>
  <si>
    <t>执行实质性分析程序(SAP)测试利息费用，可参考264 GL 或Q1.04.SAP模板执行。如不执行，可直接执行利息测试TOD。</t>
  </si>
  <si>
    <t>Q1.04 SAP</t>
  </si>
  <si>
    <r>
      <t>PCAOB</t>
    </r>
    <r>
      <rPr>
        <sz val="10"/>
        <color rgb="FF000000"/>
        <rFont val="Microsoft YaHei"/>
        <family val="2"/>
        <charset val="134"/>
      </rPr>
      <t>项目如采用实质性分析程序需要采用</t>
    </r>
    <r>
      <rPr>
        <sz val="10"/>
        <color rgb="FF000000"/>
        <rFont val="Arial"/>
        <family val="2"/>
      </rPr>
      <t>Form 264-SWP</t>
    </r>
    <phoneticPr fontId="33" type="noConversion"/>
  </si>
  <si>
    <r>
      <rPr>
        <sz val="10"/>
        <color rgb="FF000000"/>
        <rFont val="Microsoft YaHei"/>
        <family val="2"/>
        <charset val="134"/>
      </rPr>
      <t>执行利息测试</t>
    </r>
    <r>
      <rPr>
        <sz val="10"/>
        <color rgb="FF000000"/>
        <rFont val="Arial"/>
        <family val="2"/>
      </rPr>
      <t>TOD</t>
    </r>
    <r>
      <rPr>
        <sz val="10"/>
        <color rgb="FF000000"/>
        <rFont val="Microsoft YaHei"/>
        <family val="2"/>
        <charset val="134"/>
      </rPr>
      <t>，以获得关于利息费用的充分、适当的审计证据。</t>
    </r>
    <phoneticPr fontId="33" type="noConversion"/>
  </si>
  <si>
    <t>Q1.04.01 利息费用（ToD）</t>
  </si>
  <si>
    <t>项目组对利息费用可根据实际情况采用SAP、TOD或重新计算的方法，三中方法任选其一，对利息费用执行审计程序</t>
  </si>
  <si>
    <t>对利息费用进行全量的测试，以获得关于利息费用的充分、适当的审计证据。</t>
    <phoneticPr fontId="33" type="noConversion"/>
  </si>
  <si>
    <t>Q1.04.02 利息费用（重新计算）</t>
  </si>
  <si>
    <t>Q1.05</t>
  </si>
  <si>
    <t>Q1.05 限制性契约（认定：C、R&amp;O、P&amp;D）</t>
  </si>
  <si>
    <t>对贷款合同中的契约或其他限制性条款执行实质性程序，以测试实体在整个期间是否遵守合同。</t>
  </si>
  <si>
    <t>Q1.05 限制性契约</t>
  </si>
  <si>
    <t>客户名称</t>
  </si>
  <si>
    <r>
      <rPr>
        <b/>
        <sz val="12"/>
        <color rgb="FF000000"/>
        <rFont val="Microsoft YaHei"/>
        <family val="2"/>
        <charset val="134"/>
      </rPr>
      <t>此工作底稿需要与以下</t>
    </r>
    <r>
      <rPr>
        <b/>
        <sz val="12"/>
        <color rgb="FF000000"/>
        <rFont val="Arial"/>
        <family val="2"/>
      </rPr>
      <t xml:space="preserve"> Canvas PSP guided workflow forms</t>
    </r>
    <r>
      <rPr>
        <b/>
        <sz val="12"/>
        <color rgb="FF000000"/>
        <rFont val="Microsoft YaHei"/>
        <family val="2"/>
        <charset val="134"/>
      </rPr>
      <t>一起使用：</t>
    </r>
    <r>
      <rPr>
        <b/>
        <sz val="12"/>
        <color rgb="FF000000"/>
        <rFont val="Arial"/>
        <family val="2"/>
      </rPr>
      <t xml:space="preserve">
    •Q1.00 Lead
    •Q1.01 Breakdown
    •Q1.02a </t>
    </r>
    <r>
      <rPr>
        <b/>
        <sz val="12"/>
        <color rgb="FF000000"/>
        <rFont val="Microsoft YaHei"/>
        <family val="2"/>
        <charset val="134"/>
      </rPr>
      <t>借款函证</t>
    </r>
    <r>
      <rPr>
        <b/>
        <sz val="12"/>
        <color rgb="FF000000"/>
        <rFont val="Arial"/>
        <family val="2"/>
      </rPr>
      <t xml:space="preserve">
    •Q1.02b </t>
    </r>
    <r>
      <rPr>
        <b/>
        <sz val="12"/>
        <color rgb="FF000000"/>
        <rFont val="Microsoft YaHei"/>
        <family val="2"/>
        <charset val="134"/>
      </rPr>
      <t>抵押担保测试（如适用）</t>
    </r>
    <r>
      <rPr>
        <b/>
        <sz val="12"/>
        <color rgb="FF000000"/>
        <rFont val="Arial"/>
        <family val="2"/>
      </rPr>
      <t xml:space="preserve">
    •Q1.02c </t>
    </r>
    <r>
      <rPr>
        <b/>
        <sz val="12"/>
        <color rgb="FF000000"/>
        <rFont val="Microsoft YaHei"/>
        <family val="2"/>
        <charset val="134"/>
      </rPr>
      <t>函证</t>
    </r>
    <r>
      <rPr>
        <b/>
        <sz val="12"/>
        <color rgb="FF000000"/>
        <rFont val="Arial"/>
        <family val="2"/>
      </rPr>
      <t>-</t>
    </r>
    <r>
      <rPr>
        <b/>
        <sz val="12"/>
        <color rgb="FF000000"/>
        <rFont val="Microsoft YaHei"/>
        <family val="2"/>
        <charset val="134"/>
      </rPr>
      <t>替代测试（如适用）</t>
    </r>
    <r>
      <rPr>
        <b/>
        <sz val="12"/>
        <color rgb="FF000000"/>
        <rFont val="Arial"/>
        <family val="2"/>
      </rPr>
      <t xml:space="preserve">
    •Q1.03 </t>
    </r>
    <r>
      <rPr>
        <b/>
        <sz val="12"/>
        <color rgb="FF000000"/>
        <rFont val="Microsoft YaHei"/>
        <family val="2"/>
        <charset val="134"/>
      </rPr>
      <t>测试本年增加（如适用）</t>
    </r>
    <r>
      <rPr>
        <b/>
        <sz val="12"/>
        <color rgb="FF000000"/>
        <rFont val="Arial"/>
        <family val="2"/>
      </rPr>
      <t xml:space="preserve">
    •Q1.04 </t>
    </r>
    <r>
      <rPr>
        <b/>
        <sz val="12"/>
        <color rgb="FF000000"/>
        <rFont val="Microsoft YaHei"/>
        <family val="2"/>
        <charset val="134"/>
      </rPr>
      <t>测试利息费用（如适用）</t>
    </r>
    <r>
      <rPr>
        <b/>
        <sz val="12"/>
        <color rgb="FF000000"/>
        <rFont val="Arial"/>
        <family val="2"/>
      </rPr>
      <t xml:space="preserve">
    •Q1.05 </t>
    </r>
    <r>
      <rPr>
        <b/>
        <sz val="12"/>
        <color rgb="FF000000"/>
        <rFont val="Microsoft YaHei"/>
        <family val="2"/>
        <charset val="134"/>
      </rPr>
      <t>测试是否遵循贷款合同限制性契约（如适用）</t>
    </r>
    <r>
      <rPr>
        <b/>
        <sz val="12"/>
        <color rgb="FF000000"/>
        <rFont val="Arial"/>
        <family val="2"/>
      </rPr>
      <t xml:space="preserve">
    •Account conclusion
</t>
    </r>
    <r>
      <rPr>
        <b/>
        <sz val="12"/>
        <color rgb="FF000000"/>
        <rFont val="Microsoft YaHei"/>
        <family val="2"/>
        <charset val="134"/>
      </rPr>
      <t>（注：本底稿仅用于一般性银行借款测试）</t>
    </r>
    <phoneticPr fontId="18"/>
  </si>
  <si>
    <t>期末</t>
  </si>
  <si>
    <t>分析日期</t>
  </si>
  <si>
    <r>
      <t>可容忍误差</t>
    </r>
    <r>
      <rPr>
        <b/>
        <sz val="12"/>
        <color rgb="FF000000"/>
        <rFont val="Arial"/>
        <family val="2"/>
      </rPr>
      <t>(TE)</t>
    </r>
  </si>
  <si>
    <r>
      <rPr>
        <b/>
        <sz val="12"/>
        <rFont val="Microsoft YaHei"/>
        <family val="2"/>
        <charset val="134"/>
      </rPr>
      <t>名义金额</t>
    </r>
    <r>
      <rPr>
        <b/>
        <sz val="12"/>
        <color rgb="FF000000"/>
        <rFont val="Arial"/>
        <family val="2"/>
      </rPr>
      <t>(SAD)</t>
    </r>
    <phoneticPr fontId="18"/>
  </si>
  <si>
    <t>适用会计准则</t>
  </si>
  <si>
    <t>记账本位币</t>
  </si>
  <si>
    <t>Q1.00 编制引导表并比较余额</t>
  </si>
  <si>
    <t>返回汇总页</t>
  </si>
  <si>
    <t>Threshold(s)</t>
  </si>
  <si>
    <t>安永标记</t>
  </si>
  <si>
    <t>认定</t>
  </si>
  <si>
    <t>CRA</t>
  </si>
  <si>
    <r>
      <t>各项认定</t>
    </r>
    <r>
      <rPr>
        <b/>
        <vertAlign val="superscript"/>
        <sz val="10"/>
        <color rgb="FFFF0000"/>
        <rFont val="Arial"/>
        <family val="2"/>
      </rPr>
      <t>1</t>
    </r>
  </si>
  <si>
    <r>
      <t xml:space="preserve">所有相关认定 </t>
    </r>
    <r>
      <rPr>
        <b/>
        <vertAlign val="superscript"/>
        <sz val="10"/>
        <color rgb="FFFF0000"/>
        <rFont val="Arial"/>
        <family val="2"/>
      </rPr>
      <t>2</t>
    </r>
  </si>
  <si>
    <t>TB</t>
  </si>
  <si>
    <t>已与科目余额表核对无误</t>
  </si>
  <si>
    <t>完整性（C）</t>
  </si>
  <si>
    <t>PY</t>
  </si>
  <si>
    <t>与上年最终审定数核对一致</t>
  </si>
  <si>
    <t>存在性（E）/发生（O）</t>
  </si>
  <si>
    <t>A3</t>
  </si>
  <si>
    <t>与未审数、审定数核对一致</t>
  </si>
  <si>
    <t>计量/计价（M/V）</t>
  </si>
  <si>
    <t>A5</t>
  </si>
  <si>
    <t>与审计调整核对一致</t>
  </si>
  <si>
    <t>权利和义务（R&amp;O）</t>
  </si>
  <si>
    <t>FS</t>
  </si>
  <si>
    <t>与FS.0x与财务报表核对无误</t>
  </si>
  <si>
    <t>列报和披露（P&amp;D）</t>
  </si>
  <si>
    <t>w</t>
  </si>
  <si>
    <t>低于SAD的金额——放弃进一步调查</t>
  </si>
  <si>
    <t xml:space="preserve">1 各项认定的测试阈值，是根据EY GAM SUBSTANTIVE DESIGN 2.2.1 </t>
  </si>
  <si>
    <t>Rx</t>
  </si>
  <si>
    <t>重新计算，无异常</t>
  </si>
  <si>
    <t>中的示例测试阈值（用占TE的百分比表示）在相应风险等级（CRA）区间的上限计算得出的。</t>
  </si>
  <si>
    <t>m</t>
  </si>
  <si>
    <t>余额/活动不符合测试范围–无需进一步调查</t>
  </si>
  <si>
    <t>除负债/费用类别账户的完整性认定应当使用负债/费用账户表之外，其他类别账户和认定均可使用资产/收入账户表。</t>
  </si>
  <si>
    <t>SL</t>
  </si>
  <si>
    <t>已与明细账核对无误</t>
  </si>
  <si>
    <t>2.所有认定的阈值是使用所有相关认定中的最低阈值来计算的。我们在“引导表”标签页上将其用作：(a) 选择总账账户进行测试的起点，(b) 我们量化波动范围的金额。</t>
  </si>
  <si>
    <t>在下文中描述我们当期对银行借款余额和相关波动的预期，以及这些预期的依据和理由。</t>
  </si>
  <si>
    <t>波动范围</t>
  </si>
  <si>
    <t>波动幅度（%）：</t>
  </si>
  <si>
    <t>|--------TB--------|</t>
    <phoneticPr fontId="18"/>
  </si>
  <si>
    <t>|-------PY-------|</t>
    <phoneticPr fontId="18"/>
  </si>
  <si>
    <t>总账科目编码</t>
    <phoneticPr fontId="18"/>
  </si>
  <si>
    <t>科目名称</t>
    <phoneticPr fontId="18"/>
  </si>
  <si>
    <t>索引号</t>
    <phoneticPr fontId="18"/>
  </si>
  <si>
    <t>本期和上期期末余额</t>
    <phoneticPr fontId="18"/>
  </si>
  <si>
    <t>Notes</t>
  </si>
  <si>
    <t>基于波动幅度判断，是否进一步调查？</t>
  </si>
  <si>
    <t>基于定性考虑判断，是否进一步调查？</t>
  </si>
  <si>
    <t>期末账面数</t>
  </si>
  <si>
    <t>账表调整数</t>
  </si>
  <si>
    <t>期末未审数</t>
  </si>
  <si>
    <t>审计调整数</t>
  </si>
  <si>
    <t>期末审定数</t>
  </si>
  <si>
    <t>上期末审定数</t>
  </si>
  <si>
    <t>变动金额</t>
  </si>
  <si>
    <t>变动%</t>
  </si>
  <si>
    <t>长期借款</t>
  </si>
  <si>
    <t>Q1.01 BKD/</t>
    <phoneticPr fontId="18"/>
  </si>
  <si>
    <t>[A]</t>
  </si>
  <si>
    <t>短期借款</t>
  </si>
  <si>
    <t>一年内到期的非流动负债</t>
  </si>
  <si>
    <t>应付利息</t>
  </si>
  <si>
    <t>合计</t>
  </si>
  <si>
    <t>波动说明</t>
  </si>
  <si>
    <t>[A]</t>
    <phoneticPr fontId="18"/>
  </si>
  <si>
    <r>
      <rPr>
        <b/>
        <sz val="10"/>
        <rFont val="Arial"/>
        <family val="2"/>
      </rPr>
      <t>调整汇总表</t>
    </r>
    <r>
      <rPr>
        <b/>
        <i/>
        <sz val="10"/>
        <color rgb="FFFF0000"/>
        <rFont val="Arial"/>
        <family val="2"/>
      </rPr>
      <t>（如不适用请删除）</t>
    </r>
  </si>
  <si>
    <t>调整类型</t>
  </si>
  <si>
    <r>
      <t xml:space="preserve">Q1.01 </t>
    </r>
    <r>
      <rPr>
        <b/>
        <sz val="12"/>
        <color rgb="FF000000"/>
        <rFont val="微软雅黑"/>
        <family val="2"/>
        <charset val="134"/>
      </rPr>
      <t>银行借款明细与总账核对一致</t>
    </r>
  </si>
  <si>
    <r>
      <rPr>
        <u/>
        <sz val="10"/>
        <color rgb="FFFF0000"/>
        <rFont val="微软雅黑"/>
        <family val="2"/>
        <charset val="134"/>
      </rPr>
      <t>返回汇总页</t>
    </r>
  </si>
  <si>
    <t>用于识别和测试调节项的测试阈值</t>
  </si>
  <si>
    <r>
      <rPr>
        <b/>
        <i/>
        <sz val="10"/>
        <color rgb="FFFF0000"/>
        <rFont val="微软雅黑"/>
        <family val="2"/>
        <charset val="134"/>
      </rPr>
      <t>表1</t>
    </r>
    <r>
      <rPr>
        <b/>
        <i/>
        <sz val="10"/>
        <color rgb="FFFF0000"/>
        <rFont val="Arial"/>
        <family val="2"/>
      </rPr>
      <t xml:space="preserve"> </t>
    </r>
    <r>
      <rPr>
        <b/>
        <i/>
        <sz val="10"/>
        <color rgb="FFFF0000"/>
        <rFont val="微软雅黑"/>
        <family val="2"/>
        <charset val="134"/>
      </rPr>
      <t>借款本金及利息</t>
    </r>
    <r>
      <rPr>
        <b/>
        <i/>
        <sz val="10"/>
        <color rgb="FFFF0000"/>
        <rFont val="Arial"/>
        <family val="2"/>
      </rPr>
      <t>Movement=&gt;&gt;</t>
    </r>
    <phoneticPr fontId="33" type="noConversion"/>
  </si>
  <si>
    <r>
      <rPr>
        <b/>
        <i/>
        <sz val="10"/>
        <color rgb="FFFF0000"/>
        <rFont val="微软雅黑"/>
        <family val="2"/>
        <charset val="134"/>
      </rPr>
      <t>流动性分类、契约条件统计</t>
    </r>
    <r>
      <rPr>
        <b/>
        <i/>
        <sz val="10"/>
        <color rgb="FFFF0000"/>
        <rFont val="Arial"/>
        <family val="2"/>
      </rPr>
      <t>=&gt;&gt;</t>
    </r>
  </si>
  <si>
    <t>|-------PY-------|</t>
  </si>
  <si>
    <t>TB/JE</t>
  </si>
  <si>
    <r>
      <rPr>
        <b/>
        <sz val="10"/>
        <color theme="1"/>
        <rFont val="微软雅黑"/>
        <family val="2"/>
        <charset val="134"/>
      </rPr>
      <t>债务描述</t>
    </r>
    <r>
      <rPr>
        <b/>
        <sz val="10"/>
        <color theme="1"/>
        <rFont val="Arial"/>
        <family val="2"/>
      </rPr>
      <t>/</t>
    </r>
    <r>
      <rPr>
        <b/>
        <sz val="10"/>
        <color theme="1"/>
        <rFont val="微软雅黑"/>
        <family val="2"/>
        <charset val="134"/>
      </rPr>
      <t>债务工具</t>
    </r>
  </si>
  <si>
    <r>
      <rPr>
        <b/>
        <sz val="10"/>
        <color theme="1"/>
        <rFont val="微软雅黑"/>
        <family val="2"/>
        <charset val="134"/>
      </rPr>
      <t>总账账户</t>
    </r>
  </si>
  <si>
    <r>
      <rPr>
        <b/>
        <sz val="10"/>
        <color theme="1"/>
        <rFont val="微软雅黑"/>
        <family val="2"/>
        <charset val="134"/>
      </rPr>
      <t>期初余额</t>
    </r>
  </si>
  <si>
    <r>
      <rPr>
        <b/>
        <sz val="10"/>
        <color rgb="FF000000"/>
        <rFont val="微软雅黑"/>
        <family val="2"/>
        <charset val="134"/>
      </rPr>
      <t>本金增加</t>
    </r>
    <r>
      <rPr>
        <b/>
        <sz val="10"/>
        <color rgb="FF000000"/>
        <rFont val="Arial"/>
        <family val="2"/>
      </rPr>
      <t>/</t>
    </r>
    <r>
      <rPr>
        <b/>
        <sz val="10"/>
        <color rgb="FF000000"/>
        <rFont val="微软雅黑"/>
        <family val="2"/>
        <charset val="134"/>
      </rPr>
      <t>支取</t>
    </r>
  </si>
  <si>
    <r>
      <rPr>
        <b/>
        <sz val="10"/>
        <color theme="1"/>
        <rFont val="微软雅黑"/>
        <family val="2"/>
        <charset val="134"/>
      </rPr>
      <t>本金减免</t>
    </r>
    <r>
      <rPr>
        <b/>
        <sz val="10"/>
        <color theme="1"/>
        <rFont val="Arial"/>
        <family val="2"/>
      </rPr>
      <t>/</t>
    </r>
    <r>
      <rPr>
        <b/>
        <sz val="10"/>
        <color theme="1"/>
        <rFont val="微软雅黑"/>
        <family val="2"/>
        <charset val="134"/>
      </rPr>
      <t>偿还</t>
    </r>
  </si>
  <si>
    <r>
      <rPr>
        <b/>
        <sz val="10"/>
        <color rgb="FF000000"/>
        <rFont val="微软雅黑"/>
        <family val="2"/>
        <charset val="134"/>
      </rPr>
      <t>偿还的利息费用</t>
    </r>
  </si>
  <si>
    <r>
      <rPr>
        <b/>
        <sz val="10"/>
        <rFont val="微软雅黑"/>
        <family val="2"/>
        <charset val="134"/>
      </rPr>
      <t>计提的利息费用</t>
    </r>
  </si>
  <si>
    <r>
      <rPr>
        <b/>
        <sz val="10"/>
        <color theme="1"/>
        <rFont val="微软雅黑"/>
        <family val="2"/>
        <charset val="134"/>
      </rPr>
      <t>重分类</t>
    </r>
  </si>
  <si>
    <r>
      <rPr>
        <b/>
        <sz val="10"/>
        <color rgb="FF000000"/>
        <rFont val="微软雅黑"/>
        <family val="2"/>
        <charset val="134"/>
      </rPr>
      <t>外币重新计量对记账本位币的影响</t>
    </r>
  </si>
  <si>
    <r>
      <rPr>
        <b/>
        <sz val="10"/>
        <color rgb="FF000000"/>
        <rFont val="微软雅黑"/>
        <family val="2"/>
        <charset val="134"/>
      </rPr>
      <t>期末余额</t>
    </r>
  </si>
  <si>
    <r>
      <rPr>
        <b/>
        <sz val="10"/>
        <color rgb="FF000000"/>
        <rFont val="微软雅黑"/>
        <family val="2"/>
        <charset val="134"/>
      </rPr>
      <t>试算表余额</t>
    </r>
  </si>
  <si>
    <r>
      <rPr>
        <b/>
        <sz val="10"/>
        <rFont val="微软雅黑"/>
        <family val="2"/>
        <charset val="134"/>
      </rPr>
      <t>差额</t>
    </r>
  </si>
  <si>
    <r>
      <rPr>
        <b/>
        <sz val="10"/>
        <rFont val="微软雅黑"/>
        <family val="2"/>
        <charset val="134"/>
      </rPr>
      <t>债务工具的流动部分</t>
    </r>
    <r>
      <rPr>
        <b/>
        <sz val="10"/>
        <rFont val="Arial"/>
        <family val="2"/>
      </rPr>
      <t xml:space="preserve">  </t>
    </r>
  </si>
  <si>
    <r>
      <rPr>
        <b/>
        <sz val="10"/>
        <rFont val="微软雅黑"/>
        <family val="2"/>
        <charset val="134"/>
      </rPr>
      <t>债务工具的非流动部分</t>
    </r>
  </si>
  <si>
    <r>
      <rPr>
        <b/>
        <sz val="10"/>
        <color rgb="FF000000"/>
        <rFont val="微软雅黑"/>
        <family val="2"/>
        <charset val="134"/>
      </rPr>
      <t xml:space="preserve">债务工具是否有契约条件？
</t>
    </r>
    <r>
      <rPr>
        <i/>
        <sz val="10"/>
        <color rgb="FFFF0000"/>
        <rFont val="微软雅黑"/>
        <family val="2"/>
        <charset val="134"/>
      </rPr>
      <t>（使用下拉列表）</t>
    </r>
  </si>
  <si>
    <r>
      <rPr>
        <b/>
        <sz val="10"/>
        <color rgb="FF000000"/>
        <rFont val="Arial"/>
        <family val="2"/>
      </rPr>
      <t>Notes</t>
    </r>
    <r>
      <rPr>
        <b/>
        <vertAlign val="superscript"/>
        <sz val="10"/>
        <color rgb="FFFF0000"/>
        <rFont val="Arial"/>
        <family val="2"/>
      </rPr>
      <t>1</t>
    </r>
  </si>
  <si>
    <r>
      <rPr>
        <sz val="10"/>
        <color rgb="FF000000"/>
        <rFont val="微软雅黑"/>
        <family val="2"/>
        <charset val="134"/>
      </rPr>
      <t>借款</t>
    </r>
    <r>
      <rPr>
        <sz val="10"/>
        <color rgb="FF000000"/>
        <rFont val="Arial"/>
        <family val="2"/>
      </rPr>
      <t>1-</t>
    </r>
    <r>
      <rPr>
        <sz val="10"/>
        <color rgb="FF000000"/>
        <rFont val="微软雅黑"/>
        <family val="2"/>
        <charset val="134"/>
      </rPr>
      <t>本金</t>
    </r>
  </si>
  <si>
    <r>
      <rPr>
        <sz val="10"/>
        <color rgb="FF000000"/>
        <rFont val="微软雅黑"/>
        <family val="2"/>
        <charset val="134"/>
      </rPr>
      <t>借款</t>
    </r>
    <r>
      <rPr>
        <sz val="10"/>
        <color rgb="FF000000"/>
        <rFont val="Arial"/>
        <family val="2"/>
      </rPr>
      <t>2-</t>
    </r>
    <r>
      <rPr>
        <sz val="10"/>
        <color rgb="FF000000"/>
        <rFont val="微软雅黑"/>
        <family val="2"/>
        <charset val="134"/>
      </rPr>
      <t>本金</t>
    </r>
  </si>
  <si>
    <r>
      <rPr>
        <sz val="10"/>
        <color rgb="FF000000"/>
        <rFont val="微软雅黑"/>
        <family val="2"/>
        <charset val="134"/>
      </rPr>
      <t>借款利息</t>
    </r>
    <r>
      <rPr>
        <sz val="10"/>
        <color rgb="FF000000"/>
        <rFont val="Arial"/>
        <family val="2"/>
      </rPr>
      <t>-</t>
    </r>
    <r>
      <rPr>
        <sz val="10"/>
        <color rgb="FF000000"/>
        <rFont val="微软雅黑"/>
        <family val="2"/>
        <charset val="134"/>
      </rPr>
      <t>未到期的应计利息</t>
    </r>
    <r>
      <rPr>
        <vertAlign val="superscript"/>
        <sz val="10"/>
        <color rgb="FFFF0000"/>
        <rFont val="Arial"/>
        <family val="2"/>
      </rPr>
      <t>2</t>
    </r>
  </si>
  <si>
    <t>N/a</t>
  </si>
  <si>
    <r>
      <rPr>
        <b/>
        <sz val="10"/>
        <color theme="1"/>
        <rFont val="微软雅黑"/>
        <family val="2"/>
        <charset val="134"/>
      </rPr>
      <t>合计</t>
    </r>
  </si>
  <si>
    <r>
      <rPr>
        <b/>
        <sz val="10"/>
        <color rgb="FFFF0000"/>
        <rFont val="微软雅黑"/>
        <family val="2"/>
        <charset val="134"/>
      </rPr>
      <t>索引</t>
    </r>
  </si>
  <si>
    <t>Q.03</t>
  </si>
  <si>
    <t>Q.04</t>
  </si>
  <si>
    <r>
      <t>Q.01</t>
    </r>
    <r>
      <rPr>
        <b/>
        <sz val="10"/>
        <color rgb="FFFF0000"/>
        <rFont val="微软雅黑"/>
        <family val="2"/>
        <charset val="134"/>
      </rPr>
      <t>表</t>
    </r>
    <r>
      <rPr>
        <b/>
        <sz val="10"/>
        <color rgb="FFFF0000"/>
        <rFont val="Arial"/>
        <family val="2"/>
      </rPr>
      <t>2</t>
    </r>
  </si>
  <si>
    <t>Q.02</t>
  </si>
  <si>
    <t>Q.00</t>
  </si>
  <si>
    <t>Q.05</t>
  </si>
  <si>
    <r>
      <rPr>
        <b/>
        <sz val="10"/>
        <color rgb="FF000000"/>
        <rFont val="微软雅黑"/>
        <family val="2"/>
        <charset val="134"/>
      </rPr>
      <t>金额</t>
    </r>
    <r>
      <rPr>
        <b/>
        <sz val="10"/>
        <color rgb="FF000000"/>
        <rFont val="Arial"/>
        <family val="2"/>
      </rPr>
      <t>&gt;</t>
    </r>
    <r>
      <rPr>
        <b/>
        <sz val="10"/>
        <color rgb="FF000000"/>
        <rFont val="微软雅黑"/>
        <family val="2"/>
        <charset val="134"/>
      </rPr>
      <t>针对所有认定的阈值</t>
    </r>
  </si>
  <si>
    <r>
      <rPr>
        <b/>
        <sz val="10"/>
        <color rgb="FF000000"/>
        <rFont val="微软雅黑"/>
        <family val="2"/>
        <charset val="134"/>
      </rPr>
      <t>利息计提合理性检查</t>
    </r>
    <r>
      <rPr>
        <b/>
        <vertAlign val="superscript"/>
        <sz val="10"/>
        <color rgb="FFFF0000"/>
        <rFont val="Arial"/>
        <family val="2"/>
      </rPr>
      <t>3</t>
    </r>
  </si>
  <si>
    <r>
      <t>1.</t>
    </r>
    <r>
      <rPr>
        <i/>
        <sz val="10"/>
        <color rgb="FFFF0000"/>
        <rFont val="微软雅黑"/>
        <family val="2"/>
        <charset val="134"/>
      </rPr>
      <t>如根据项目需要，为验证借款流动性分类是否正确、金融负债分类是否正确而额外执行了实质性程序，也请在此处做出索引</t>
    </r>
  </si>
  <si>
    <r>
      <t>2.</t>
    </r>
    <r>
      <rPr>
        <i/>
        <sz val="10"/>
        <color rgb="FFFF0000"/>
        <rFont val="微软雅黑"/>
        <family val="2"/>
        <charset val="134"/>
      </rPr>
      <t>应计提而未到付息期的银行借款利息属于借款摊余成本的一部分，应当在本底稿中列示并测试，审计小组可以合并列示应计利息金额。</t>
    </r>
  </si>
  <si>
    <r>
      <t>3.</t>
    </r>
    <r>
      <rPr>
        <i/>
        <sz val="10"/>
        <color rgb="FFFF0000"/>
        <rFont val="微软雅黑"/>
        <family val="2"/>
        <charset val="134"/>
      </rPr>
      <t>应对本年利息偿还与计提进行</t>
    </r>
    <r>
      <rPr>
        <i/>
        <sz val="10"/>
        <color rgb="FFFF0000"/>
        <rFont val="Arial"/>
        <family val="2"/>
      </rPr>
      <t>Tie in</t>
    </r>
    <r>
      <rPr>
        <i/>
        <sz val="10"/>
        <color rgb="FFFF0000"/>
        <rFont val="微软雅黑"/>
        <family val="2"/>
        <charset val="134"/>
      </rPr>
      <t>，当年偿还的利息费用</t>
    </r>
    <r>
      <rPr>
        <i/>
        <sz val="10"/>
        <color rgb="FFFF0000"/>
        <rFont val="Arial"/>
        <family val="2"/>
      </rPr>
      <t>-</t>
    </r>
    <r>
      <rPr>
        <i/>
        <sz val="10"/>
        <color rgb="FFFF0000"/>
        <rFont val="微软雅黑"/>
        <family val="2"/>
        <charset val="134"/>
      </rPr>
      <t>期初未到期应计利息</t>
    </r>
    <r>
      <rPr>
        <i/>
        <sz val="10"/>
        <color rgb="FFFF0000"/>
        <rFont val="Arial"/>
        <family val="2"/>
      </rPr>
      <t>+</t>
    </r>
    <r>
      <rPr>
        <i/>
        <sz val="10"/>
        <color rgb="FFFF0000"/>
        <rFont val="微软雅黑"/>
        <family val="2"/>
        <charset val="134"/>
      </rPr>
      <t>期末未到期应计利息</t>
    </r>
    <r>
      <rPr>
        <i/>
        <sz val="10"/>
        <color rgb="FFFF0000"/>
        <rFont val="Arial"/>
        <family val="2"/>
      </rPr>
      <t>+</t>
    </r>
    <r>
      <rPr>
        <i/>
        <sz val="10"/>
        <color rgb="FFFF0000"/>
        <rFont val="微软雅黑"/>
        <family val="2"/>
        <charset val="134"/>
      </rPr>
      <t>期末逾期利息（如有）</t>
    </r>
    <r>
      <rPr>
        <i/>
        <sz val="10"/>
        <color rgb="FFFF0000"/>
        <rFont val="Arial"/>
        <family val="2"/>
      </rPr>
      <t>=</t>
    </r>
    <r>
      <rPr>
        <i/>
        <sz val="10"/>
        <color rgb="FFFF0000"/>
        <rFont val="微软雅黑"/>
        <family val="2"/>
        <charset val="134"/>
      </rPr>
      <t>本年计提的利息费用，如有差异应当调查原因，并记录对差异执行的相关工作</t>
    </r>
  </si>
  <si>
    <r>
      <rPr>
        <b/>
        <i/>
        <sz val="10"/>
        <color rgb="FFFF0000"/>
        <rFont val="微软雅黑"/>
        <family val="2"/>
        <charset val="134"/>
      </rPr>
      <t>我们对外币借款的期末汇率重估进行了重新测算：</t>
    </r>
  </si>
  <si>
    <r>
      <rPr>
        <b/>
        <sz val="10"/>
        <color rgb="FFFF0000"/>
        <rFont val="微软雅黑"/>
        <family val="2"/>
        <charset val="134"/>
      </rPr>
      <t>表</t>
    </r>
    <r>
      <rPr>
        <b/>
        <sz val="10"/>
        <color rgb="FFFF0000"/>
        <rFont val="Arial"/>
        <family val="2"/>
      </rPr>
      <t xml:space="preserve">2 </t>
    </r>
    <r>
      <rPr>
        <b/>
        <sz val="10"/>
        <color rgb="FF000000"/>
        <rFont val="微软雅黑"/>
        <family val="2"/>
        <charset val="134"/>
      </rPr>
      <t>外币相关程序</t>
    </r>
    <phoneticPr fontId="33" type="noConversion"/>
  </si>
  <si>
    <r>
      <rPr>
        <b/>
        <sz val="10"/>
        <rFont val="微软雅黑"/>
        <family val="2"/>
        <charset val="134"/>
      </rPr>
      <t>债务描述</t>
    </r>
    <r>
      <rPr>
        <b/>
        <sz val="10"/>
        <rFont val="Arial"/>
        <family val="2"/>
      </rPr>
      <t>/</t>
    </r>
    <r>
      <rPr>
        <b/>
        <sz val="10"/>
        <rFont val="微软雅黑"/>
        <family val="2"/>
        <charset val="134"/>
      </rPr>
      <t>债务工具</t>
    </r>
  </si>
  <si>
    <r>
      <rPr>
        <b/>
        <sz val="10"/>
        <color rgb="FF000000"/>
        <rFont val="微软雅黑"/>
        <family val="2"/>
        <charset val="134"/>
      </rPr>
      <t>原币币种</t>
    </r>
  </si>
  <si>
    <r>
      <rPr>
        <b/>
        <sz val="10"/>
        <color rgb="FF000000"/>
        <rFont val="微软雅黑"/>
        <family val="2"/>
        <charset val="134"/>
      </rPr>
      <t>原币期末金额</t>
    </r>
  </si>
  <si>
    <r>
      <rPr>
        <b/>
        <sz val="10"/>
        <color rgb="FF000000"/>
        <rFont val="微软雅黑"/>
        <family val="2"/>
        <charset val="134"/>
      </rPr>
      <t>期末汇率</t>
    </r>
  </si>
  <si>
    <r>
      <rPr>
        <b/>
        <sz val="10"/>
        <color rgb="FF000000"/>
        <rFont val="微软雅黑"/>
        <family val="2"/>
        <charset val="134"/>
      </rPr>
      <t>期末本币金额</t>
    </r>
  </si>
  <si>
    <r>
      <rPr>
        <b/>
        <sz val="10"/>
        <color rgb="FF000000"/>
        <rFont val="微软雅黑"/>
        <family val="2"/>
        <charset val="134"/>
      </rPr>
      <t>期末账面金额</t>
    </r>
  </si>
  <si>
    <r>
      <rPr>
        <b/>
        <sz val="10"/>
        <color rgb="FF000000"/>
        <rFont val="微软雅黑"/>
        <family val="2"/>
        <charset val="134"/>
      </rPr>
      <t>差额</t>
    </r>
  </si>
  <si>
    <r>
      <rPr>
        <sz val="10"/>
        <color theme="1"/>
        <rFont val="微软雅黑"/>
        <family val="2"/>
        <charset val="134"/>
      </rPr>
      <t>借款</t>
    </r>
    <r>
      <rPr>
        <sz val="10"/>
        <color theme="1"/>
        <rFont val="Arial"/>
        <family val="2"/>
      </rPr>
      <t>1-</t>
    </r>
    <r>
      <rPr>
        <sz val="10"/>
        <color theme="1"/>
        <rFont val="微软雅黑"/>
        <family val="2"/>
        <charset val="134"/>
      </rPr>
      <t>本金</t>
    </r>
  </si>
  <si>
    <r>
      <rPr>
        <sz val="10"/>
        <color theme="1"/>
        <rFont val="微软雅黑"/>
        <family val="2"/>
        <charset val="134"/>
      </rPr>
      <t>借款</t>
    </r>
    <r>
      <rPr>
        <sz val="10"/>
        <color theme="1"/>
        <rFont val="Arial"/>
        <family val="2"/>
      </rPr>
      <t>2-</t>
    </r>
    <r>
      <rPr>
        <sz val="10"/>
        <color theme="1"/>
        <rFont val="微软雅黑"/>
        <family val="2"/>
        <charset val="134"/>
      </rPr>
      <t>本金</t>
    </r>
  </si>
  <si>
    <r>
      <rPr>
        <sz val="10"/>
        <color theme="1"/>
        <rFont val="微软雅黑"/>
        <family val="2"/>
        <charset val="134"/>
      </rPr>
      <t>借款利息</t>
    </r>
  </si>
  <si>
    <r>
      <t xml:space="preserve">Notes </t>
    </r>
    <r>
      <rPr>
        <sz val="10"/>
        <rFont val="微软雅黑"/>
        <family val="2"/>
        <charset val="134"/>
      </rPr>
      <t>我们记录了所使用的资产负债表日汇率来源：</t>
    </r>
    <r>
      <rPr>
        <sz val="10"/>
        <rFont val="Arial"/>
        <family val="2"/>
      </rPr>
      <t>[</t>
    </r>
    <r>
      <rPr>
        <sz val="10"/>
        <rFont val="微软雅黑"/>
        <family val="2"/>
        <charset val="134"/>
      </rPr>
      <t>添加资产负债表日汇率公告</t>
    </r>
    <r>
      <rPr>
        <sz val="10"/>
        <rFont val="Arial"/>
        <family val="2"/>
      </rPr>
      <t>]</t>
    </r>
  </si>
  <si>
    <r>
      <rPr>
        <b/>
        <sz val="12"/>
        <color rgb="FF000000"/>
        <rFont val="Arial"/>
        <family val="2"/>
      </rPr>
      <t xml:space="preserve">Q1.02a </t>
    </r>
    <r>
      <rPr>
        <b/>
        <sz val="12"/>
        <color rgb="FF000000"/>
        <rFont val="微软雅黑"/>
        <family val="2"/>
        <charset val="134"/>
      </rPr>
      <t>选择要进行函证的</t>
    </r>
    <r>
      <rPr>
        <b/>
        <sz val="12"/>
        <color rgb="FF000000"/>
        <rFont val="Microsoft YaHei"/>
        <family val="2"/>
        <charset val="134"/>
      </rPr>
      <t>银行借款</t>
    </r>
    <r>
      <rPr>
        <b/>
        <sz val="12"/>
        <color rgb="FF000000"/>
        <rFont val="微软雅黑"/>
        <family val="2"/>
        <charset val="134"/>
      </rPr>
      <t>，编制并发送询证函，核对已函证余额，复核期限。</t>
    </r>
  </si>
  <si>
    <r>
      <rPr>
        <b/>
        <sz val="10"/>
        <color rgb="FF000000"/>
        <rFont val="微软雅黑"/>
        <family val="2"/>
        <charset val="134"/>
      </rPr>
      <t>需执行函证程序的债务工具。</t>
    </r>
  </si>
  <si>
    <r>
      <rPr>
        <b/>
        <sz val="10"/>
        <rFont val="微软雅黑"/>
        <family val="2"/>
        <charset val="134"/>
      </rPr>
      <t>安永属性测试说明：</t>
    </r>
    <phoneticPr fontId="18"/>
  </si>
  <si>
    <r>
      <t>1</t>
    </r>
    <r>
      <rPr>
        <sz val="10"/>
        <color rgb="FF000000"/>
        <rFont val="微软雅黑"/>
        <family val="2"/>
        <charset val="134"/>
      </rPr>
      <t>）</t>
    </r>
    <r>
      <rPr>
        <sz val="10"/>
        <color rgb="FF000000"/>
        <rFont val="Arial"/>
        <family val="2"/>
      </rPr>
      <t xml:space="preserve"> </t>
    </r>
    <r>
      <rPr>
        <sz val="10"/>
        <color rgb="FF000000"/>
        <rFont val="微软雅黑"/>
        <family val="2"/>
        <charset val="134"/>
      </rPr>
      <t>我们将函证中列报的金额与总账核对，确认了贷款或借款的未偿付余额。</t>
    </r>
    <r>
      <rPr>
        <sz val="10"/>
        <color rgb="FF000000"/>
        <rFont val="Arial"/>
        <family val="2"/>
      </rPr>
      <t xml:space="preserve"> </t>
    </r>
    <phoneticPr fontId="18"/>
  </si>
  <si>
    <r>
      <t>2</t>
    </r>
    <r>
      <rPr>
        <sz val="10"/>
        <color rgb="FF000000"/>
        <rFont val="微软雅黑"/>
        <family val="2"/>
        <charset val="134"/>
      </rPr>
      <t>）</t>
    </r>
    <r>
      <rPr>
        <sz val="10"/>
        <color rgb="FF000000"/>
        <rFont val="Arial"/>
        <family val="2"/>
      </rPr>
      <t xml:space="preserve"> </t>
    </r>
    <r>
      <rPr>
        <sz val="10"/>
        <color rgb="FF000000"/>
        <rFont val="微软雅黑"/>
        <family val="2"/>
        <charset val="134"/>
      </rPr>
      <t>我们将贷款或借款的到期日与函证中所述日期进行比较，确认了贷款或借款的到期日在公司的时间表中准确体现。</t>
    </r>
    <phoneticPr fontId="18"/>
  </si>
  <si>
    <r>
      <rPr>
        <b/>
        <i/>
        <sz val="10"/>
        <color rgb="FF000000"/>
        <rFont val="微软雅黑"/>
        <family val="2"/>
        <charset val="134"/>
      </rPr>
      <t>债务工具</t>
    </r>
  </si>
  <si>
    <r>
      <rPr>
        <sz val="10"/>
        <color rgb="FFFF0000"/>
        <rFont val="微软雅黑"/>
        <family val="2"/>
        <charset val="134"/>
      </rPr>
      <t>账面信息</t>
    </r>
  </si>
  <si>
    <r>
      <rPr>
        <sz val="10"/>
        <rFont val="微软雅黑"/>
        <family val="2"/>
        <charset val="134"/>
      </rPr>
      <t>回函信息</t>
    </r>
  </si>
  <si>
    <r>
      <rPr>
        <sz val="10"/>
        <color rgb="FFFF0000"/>
        <rFont val="微软雅黑"/>
        <family val="2"/>
        <charset val="134"/>
      </rPr>
      <t>差异跟进</t>
    </r>
  </si>
  <si>
    <r>
      <rPr>
        <sz val="10"/>
        <color rgb="FFFF0000"/>
        <rFont val="微软雅黑"/>
        <family val="2"/>
        <charset val="134"/>
      </rPr>
      <t>回函信息跟进</t>
    </r>
  </si>
  <si>
    <t>EY Works</t>
  </si>
  <si>
    <r>
      <rPr>
        <b/>
        <sz val="10"/>
        <rFont val="微软雅黑"/>
        <family val="2"/>
        <charset val="134"/>
      </rPr>
      <t>公司名称</t>
    </r>
    <r>
      <rPr>
        <b/>
        <sz val="10"/>
        <rFont val="Arial"/>
        <family val="2"/>
      </rPr>
      <t>/</t>
    </r>
    <r>
      <rPr>
        <b/>
        <sz val="10"/>
        <rFont val="微软雅黑"/>
        <family val="2"/>
        <charset val="134"/>
      </rPr>
      <t>发函单位名称</t>
    </r>
  </si>
  <si>
    <r>
      <rPr>
        <b/>
        <sz val="10"/>
        <rFont val="微软雅黑"/>
        <family val="2"/>
        <charset val="134"/>
      </rPr>
      <t>银行名称</t>
    </r>
    <r>
      <rPr>
        <b/>
        <sz val="10"/>
        <rFont val="Arial"/>
        <family val="2"/>
      </rPr>
      <t>/</t>
    </r>
    <r>
      <rPr>
        <b/>
        <sz val="10"/>
        <rFont val="微软雅黑"/>
        <family val="2"/>
        <charset val="134"/>
      </rPr>
      <t>资金借出方</t>
    </r>
  </si>
  <si>
    <r>
      <rPr>
        <b/>
        <sz val="10"/>
        <rFont val="微软雅黑"/>
        <family val="2"/>
        <charset val="134"/>
      </rPr>
      <t>借款描述</t>
    </r>
  </si>
  <si>
    <r>
      <rPr>
        <b/>
        <sz val="10"/>
        <rFont val="微软雅黑"/>
        <family val="2"/>
        <charset val="134"/>
      </rPr>
      <t>币种</t>
    </r>
  </si>
  <si>
    <r>
      <t xml:space="preserve">期末账面借款余额
（原币）
</t>
    </r>
    <r>
      <rPr>
        <b/>
        <sz val="10"/>
        <color rgb="FFFF0000"/>
        <rFont val="微软雅黑"/>
        <family val="2"/>
        <charset val="134"/>
      </rPr>
      <t>A</t>
    </r>
  </si>
  <si>
    <t>期末账面借款余额
（本币）</t>
    <phoneticPr fontId="18"/>
  </si>
  <si>
    <r>
      <rPr>
        <b/>
        <sz val="10"/>
        <color rgb="FF000000"/>
        <rFont val="微软雅黑"/>
        <family val="2"/>
        <charset val="134"/>
      </rPr>
      <t>函证编号</t>
    </r>
  </si>
  <si>
    <r>
      <rPr>
        <b/>
        <sz val="10"/>
        <color rgb="FF000000"/>
        <rFont val="微软雅黑"/>
        <family val="2"/>
        <charset val="134"/>
      </rPr>
      <t>回函币种</t>
    </r>
  </si>
  <si>
    <r>
      <rPr>
        <b/>
        <sz val="10"/>
        <color rgb="FF000000"/>
        <rFont val="微软雅黑"/>
        <family val="2"/>
        <charset val="134"/>
      </rPr>
      <t xml:space="preserve">回函金额
</t>
    </r>
    <r>
      <rPr>
        <b/>
        <sz val="10"/>
        <color rgb="FFFF0000"/>
        <rFont val="微软雅黑"/>
        <family val="2"/>
        <charset val="134"/>
      </rPr>
      <t>B</t>
    </r>
  </si>
  <si>
    <r>
      <rPr>
        <b/>
        <sz val="10"/>
        <color rgb="FF000000"/>
        <rFont val="微软雅黑"/>
        <family val="2"/>
        <charset val="134"/>
      </rPr>
      <t>借款日期</t>
    </r>
  </si>
  <si>
    <r>
      <rPr>
        <b/>
        <sz val="10"/>
        <rFont val="微软雅黑"/>
        <family val="2"/>
        <charset val="134"/>
      </rPr>
      <t>到期日期</t>
    </r>
  </si>
  <si>
    <r>
      <rPr>
        <b/>
        <sz val="10"/>
        <rFont val="微软雅黑"/>
        <family val="2"/>
        <charset val="134"/>
      </rPr>
      <t>利率</t>
    </r>
  </si>
  <si>
    <r>
      <rPr>
        <b/>
        <sz val="10"/>
        <rFont val="微软雅黑"/>
        <family val="2"/>
        <charset val="134"/>
      </rPr>
      <t>抵（质）押品</t>
    </r>
    <r>
      <rPr>
        <b/>
        <sz val="10"/>
        <rFont val="Arial"/>
        <family val="2"/>
      </rPr>
      <t>/</t>
    </r>
    <r>
      <rPr>
        <b/>
        <sz val="10"/>
        <rFont val="微软雅黑"/>
        <family val="2"/>
        <charset val="134"/>
      </rPr>
      <t>担保人</t>
    </r>
  </si>
  <si>
    <r>
      <rPr>
        <b/>
        <sz val="10"/>
        <rFont val="微软雅黑"/>
        <family val="2"/>
        <charset val="134"/>
      </rPr>
      <t>备注</t>
    </r>
  </si>
  <si>
    <r>
      <rPr>
        <b/>
        <sz val="10"/>
        <rFont val="微软雅黑"/>
        <family val="2"/>
        <charset val="134"/>
      </rPr>
      <t>回函金额差异
（原币）</t>
    </r>
    <r>
      <rPr>
        <b/>
        <sz val="10"/>
        <rFont val="Arial"/>
        <family val="2"/>
      </rPr>
      <t xml:space="preserve">
</t>
    </r>
    <r>
      <rPr>
        <b/>
        <sz val="10"/>
        <color rgb="FFFF0000"/>
        <rFont val="Arial"/>
        <family val="2"/>
      </rPr>
      <t>C=A-B</t>
    </r>
  </si>
  <si>
    <r>
      <rPr>
        <b/>
        <sz val="10"/>
        <rFont val="微软雅黑"/>
        <family val="2"/>
        <charset val="134"/>
      </rPr>
      <t>抵（质）</t>
    </r>
    <r>
      <rPr>
        <b/>
        <sz val="10"/>
        <rFont val="Arial"/>
        <family val="2"/>
      </rPr>
      <t xml:space="preserve"> </t>
    </r>
    <r>
      <rPr>
        <b/>
        <sz val="10"/>
        <rFont val="微软雅黑"/>
        <family val="2"/>
        <charset val="134"/>
      </rPr>
      <t>押品</t>
    </r>
    <r>
      <rPr>
        <b/>
        <sz val="10"/>
        <rFont val="Arial"/>
        <family val="2"/>
      </rPr>
      <t>/</t>
    </r>
    <r>
      <rPr>
        <b/>
        <sz val="10"/>
        <rFont val="微软雅黑"/>
        <family val="2"/>
        <charset val="134"/>
      </rPr>
      <t>担保测试底稿索引</t>
    </r>
  </si>
  <si>
    <r>
      <rPr>
        <b/>
        <sz val="10"/>
        <rFont val="微软雅黑"/>
        <family val="2"/>
        <charset val="134"/>
      </rPr>
      <t>其他回函信息跟进工作底稿索引</t>
    </r>
    <phoneticPr fontId="18"/>
  </si>
  <si>
    <r>
      <rPr>
        <b/>
        <sz val="10"/>
        <rFont val="微软雅黑"/>
        <family val="2"/>
        <charset val="134"/>
      </rPr>
      <t>对未回函信息执行的替代测试索引</t>
    </r>
    <r>
      <rPr>
        <b/>
        <vertAlign val="superscript"/>
        <sz val="10"/>
        <color rgb="FFFF0000"/>
        <rFont val="Arial"/>
        <family val="2"/>
      </rPr>
      <t>1</t>
    </r>
  </si>
  <si>
    <r>
      <rPr>
        <b/>
        <sz val="10"/>
        <rFont val="微软雅黑"/>
        <family val="2"/>
        <charset val="134"/>
      </rPr>
      <t>测试属性</t>
    </r>
    <r>
      <rPr>
        <b/>
        <sz val="10"/>
        <rFont val="Arial"/>
        <family val="2"/>
      </rPr>
      <t xml:space="preserve">1
</t>
    </r>
    <r>
      <rPr>
        <b/>
        <sz val="10"/>
        <rFont val="微软雅黑"/>
        <family val="2"/>
        <charset val="134"/>
      </rPr>
      <t>（相符，或记录差异跟进措施）</t>
    </r>
  </si>
  <si>
    <r>
      <rPr>
        <b/>
        <sz val="10"/>
        <rFont val="微软雅黑"/>
        <family val="2"/>
        <charset val="134"/>
      </rPr>
      <t>测试属性</t>
    </r>
    <r>
      <rPr>
        <b/>
        <sz val="10"/>
        <rFont val="Arial"/>
        <family val="2"/>
      </rPr>
      <t xml:space="preserve">2
</t>
    </r>
    <r>
      <rPr>
        <b/>
        <sz val="10"/>
        <rFont val="微软雅黑"/>
        <family val="2"/>
        <charset val="134"/>
      </rPr>
      <t>（相符，或记录差异跟进措施）</t>
    </r>
  </si>
  <si>
    <r>
      <t>1.</t>
    </r>
    <r>
      <rPr>
        <i/>
        <sz val="10"/>
        <color rgb="FFFF0000"/>
        <rFont val="微软雅黑"/>
        <family val="2"/>
        <charset val="134"/>
      </rPr>
      <t>对于未回函或回函信息不完整的银行借款，我们应当在</t>
    </r>
    <r>
      <rPr>
        <i/>
        <sz val="10"/>
        <color rgb="FFFF0000"/>
        <rFont val="Arial"/>
        <family val="2"/>
      </rPr>
      <t xml:space="preserve">&lt;Q.02c </t>
    </r>
    <r>
      <rPr>
        <i/>
        <sz val="10"/>
        <color rgb="FFFF0000"/>
        <rFont val="微软雅黑"/>
        <family val="2"/>
        <charset val="134"/>
      </rPr>
      <t>函证</t>
    </r>
    <r>
      <rPr>
        <i/>
        <sz val="10"/>
        <color rgb="FFFF0000"/>
        <rFont val="Arial"/>
        <family val="2"/>
      </rPr>
      <t>-</t>
    </r>
    <r>
      <rPr>
        <i/>
        <sz val="10"/>
        <color rgb="FFFF0000"/>
        <rFont val="微软雅黑"/>
        <family val="2"/>
        <charset val="134"/>
      </rPr>
      <t>替代测试</t>
    </r>
    <r>
      <rPr>
        <i/>
        <sz val="10"/>
        <color rgb="FFFF0000"/>
        <rFont val="Arial"/>
        <family val="2"/>
      </rPr>
      <t>&gt;</t>
    </r>
    <r>
      <rPr>
        <i/>
        <sz val="10"/>
        <color rgb="FFFF0000"/>
        <rFont val="微软雅黑"/>
        <family val="2"/>
        <charset val="134"/>
      </rPr>
      <t>中执行替代测试</t>
    </r>
    <phoneticPr fontId="18"/>
  </si>
  <si>
    <r>
      <t xml:space="preserve">Q1.02b </t>
    </r>
    <r>
      <rPr>
        <b/>
        <sz val="12"/>
        <color rgb="FF000000"/>
        <rFont val="微软雅黑"/>
        <family val="2"/>
        <charset val="134"/>
      </rPr>
      <t>复核借款的期限、抵押品及其他担保限制情况</t>
    </r>
  </si>
  <si>
    <r>
      <rPr>
        <b/>
        <sz val="10"/>
        <color rgb="FF000000"/>
        <rFont val="微软雅黑"/>
        <family val="2"/>
        <charset val="134"/>
      </rPr>
      <t>需执行抵押担保测试的债务工具。</t>
    </r>
    <phoneticPr fontId="33" type="noConversion"/>
  </si>
  <si>
    <r>
      <rPr>
        <b/>
        <sz val="10"/>
        <rFont val="微软雅黑"/>
        <family val="2"/>
        <charset val="134"/>
      </rPr>
      <t>安永属性测试说明：</t>
    </r>
  </si>
  <si>
    <r>
      <t>1</t>
    </r>
    <r>
      <rPr>
        <sz val="10"/>
        <rFont val="微软雅黑"/>
        <family val="2"/>
        <charset val="134"/>
      </rPr>
      <t>）</t>
    </r>
    <r>
      <rPr>
        <sz val="10"/>
        <rFont val="Arial"/>
        <family val="2"/>
      </rPr>
      <t xml:space="preserve"> </t>
    </r>
    <r>
      <rPr>
        <sz val="10"/>
        <rFont val="微软雅黑"/>
        <family val="2"/>
        <charset val="134"/>
      </rPr>
      <t>我们复核了回函（包括对资产和负债的回函）及相关借款协议，查找以留置权、担保权益、衍生工具和抵押资产作为贷款抵押品的证据。我们将其交叉索引至相应的总账账户，并验证了相关披露。</t>
    </r>
    <phoneticPr fontId="33" type="noConversion"/>
  </si>
  <si>
    <r>
      <rPr>
        <b/>
        <i/>
        <sz val="10"/>
        <color rgb="FF000000"/>
        <rFont val="微软雅黑"/>
        <family val="2"/>
        <charset val="134"/>
      </rPr>
      <t>债务工具</t>
    </r>
    <phoneticPr fontId="18"/>
  </si>
  <si>
    <r>
      <rPr>
        <b/>
        <sz val="10"/>
        <rFont val="微软雅黑"/>
        <family val="2"/>
        <charset val="134"/>
      </rPr>
      <t>保证类条款</t>
    </r>
  </si>
  <si>
    <r>
      <rPr>
        <b/>
        <sz val="10"/>
        <rFont val="微软雅黑"/>
        <family val="2"/>
        <charset val="134"/>
      </rPr>
      <t>抵质押情况</t>
    </r>
  </si>
  <si>
    <t>EY Works</t>
    <phoneticPr fontId="33" type="noConversion"/>
  </si>
  <si>
    <t>Notes</t>
    <phoneticPr fontId="33" type="noConversion"/>
  </si>
  <si>
    <r>
      <rPr>
        <b/>
        <sz val="10"/>
        <rFont val="微软雅黑"/>
        <family val="2"/>
        <charset val="134"/>
      </rPr>
      <t>公司名称</t>
    </r>
  </si>
  <si>
    <r>
      <rPr>
        <b/>
        <sz val="10"/>
        <rFont val="微软雅黑"/>
        <family val="2"/>
        <charset val="134"/>
      </rPr>
      <t>函证编号</t>
    </r>
  </si>
  <si>
    <r>
      <rPr>
        <b/>
        <sz val="10"/>
        <rFont val="微软雅黑"/>
        <family val="2"/>
        <charset val="134"/>
      </rPr>
      <t>总账余额</t>
    </r>
    <phoneticPr fontId="33" type="noConversion"/>
  </si>
  <si>
    <r>
      <rPr>
        <b/>
        <sz val="10"/>
        <rFont val="微软雅黑"/>
        <family val="2"/>
        <charset val="134"/>
      </rPr>
      <t>已发生的债务违约及性质</t>
    </r>
    <r>
      <rPr>
        <b/>
        <sz val="10"/>
        <rFont val="Arial"/>
        <family val="2"/>
      </rPr>
      <t>(</t>
    </r>
    <r>
      <rPr>
        <b/>
        <sz val="10"/>
        <rFont val="微软雅黑"/>
        <family val="2"/>
        <charset val="134"/>
      </rPr>
      <t>如有</t>
    </r>
    <r>
      <rPr>
        <b/>
        <sz val="10"/>
        <rFont val="Arial"/>
        <family val="2"/>
      </rPr>
      <t>)</t>
    </r>
    <phoneticPr fontId="33" type="noConversion"/>
  </si>
  <si>
    <r>
      <rPr>
        <b/>
        <sz val="10"/>
        <rFont val="微软雅黑"/>
        <family val="2"/>
        <charset val="134"/>
      </rPr>
      <t>保证合同索引号</t>
    </r>
    <phoneticPr fontId="33" type="noConversion"/>
  </si>
  <si>
    <r>
      <rPr>
        <b/>
        <sz val="10"/>
        <rFont val="微软雅黑"/>
        <family val="2"/>
        <charset val="134"/>
      </rPr>
      <t>保证人</t>
    </r>
  </si>
  <si>
    <r>
      <rPr>
        <b/>
        <sz val="10"/>
        <rFont val="微软雅黑"/>
        <family val="2"/>
        <charset val="134"/>
      </rPr>
      <t>保证金额
（仅适用于保证担保）</t>
    </r>
  </si>
  <si>
    <r>
      <rPr>
        <b/>
        <sz val="10"/>
        <rFont val="微软雅黑"/>
        <family val="2"/>
        <charset val="134"/>
      </rPr>
      <t>抵押</t>
    </r>
    <r>
      <rPr>
        <b/>
        <sz val="10"/>
        <rFont val="Arial"/>
        <family val="2"/>
      </rPr>
      <t>/</t>
    </r>
    <r>
      <rPr>
        <b/>
        <sz val="10"/>
        <rFont val="微软雅黑"/>
        <family val="2"/>
        <charset val="134"/>
      </rPr>
      <t>质押合同索引号</t>
    </r>
  </si>
  <si>
    <r>
      <rPr>
        <b/>
        <sz val="10"/>
        <rFont val="微软雅黑"/>
        <family val="2"/>
        <charset val="134"/>
      </rPr>
      <t>抵（质）押物</t>
    </r>
  </si>
  <si>
    <r>
      <rPr>
        <b/>
        <sz val="10"/>
        <rFont val="微软雅黑"/>
        <family val="2"/>
        <charset val="134"/>
      </rPr>
      <t>抵押资产权证号
（仅适用于不动产）</t>
    </r>
  </si>
  <si>
    <r>
      <rPr>
        <b/>
        <sz val="10"/>
        <rFont val="微软雅黑"/>
        <family val="2"/>
        <charset val="134"/>
      </rPr>
      <t>抵</t>
    </r>
    <r>
      <rPr>
        <b/>
        <sz val="10"/>
        <rFont val="Arial"/>
        <family val="2"/>
      </rPr>
      <t>\</t>
    </r>
    <r>
      <rPr>
        <b/>
        <sz val="10"/>
        <rFont val="微软雅黑"/>
        <family val="2"/>
        <charset val="134"/>
      </rPr>
      <t>质押</t>
    </r>
    <r>
      <rPr>
        <b/>
        <sz val="10"/>
        <rFont val="Arial"/>
        <family val="2"/>
      </rPr>
      <t>\</t>
    </r>
    <r>
      <rPr>
        <b/>
        <sz val="10"/>
        <rFont val="微软雅黑"/>
        <family val="2"/>
        <charset val="134"/>
      </rPr>
      <t>担保情况是否与回函核对一致</t>
    </r>
    <phoneticPr fontId="33" type="noConversion"/>
  </si>
  <si>
    <r>
      <t xml:space="preserve">X_Ref -
</t>
    </r>
    <r>
      <rPr>
        <b/>
        <sz val="10"/>
        <rFont val="微软雅黑"/>
        <family val="2"/>
        <charset val="134"/>
      </rPr>
      <t>抵质押品底稿</t>
    </r>
    <phoneticPr fontId="33" type="noConversion"/>
  </si>
  <si>
    <r>
      <rPr>
        <b/>
        <sz val="10"/>
        <rFont val="微软雅黑"/>
        <family val="2"/>
        <charset val="134"/>
      </rPr>
      <t>质押</t>
    </r>
    <r>
      <rPr>
        <b/>
        <sz val="10"/>
        <rFont val="Arial"/>
        <family val="2"/>
      </rPr>
      <t>/</t>
    </r>
    <r>
      <rPr>
        <b/>
        <sz val="10"/>
        <rFont val="微软雅黑"/>
        <family val="2"/>
        <charset val="134"/>
      </rPr>
      <t>抵押资产账面净值</t>
    </r>
  </si>
  <si>
    <r>
      <rPr>
        <b/>
        <sz val="10"/>
        <rFont val="微软雅黑"/>
        <family val="2"/>
        <charset val="134"/>
      </rPr>
      <t>抵</t>
    </r>
    <r>
      <rPr>
        <b/>
        <sz val="10"/>
        <rFont val="Arial"/>
        <family val="2"/>
      </rPr>
      <t>\</t>
    </r>
    <r>
      <rPr>
        <b/>
        <sz val="10"/>
        <rFont val="微软雅黑"/>
        <family val="2"/>
        <charset val="134"/>
      </rPr>
      <t>质押资产所有权是否归属于被审计单位</t>
    </r>
    <phoneticPr fontId="33" type="noConversion"/>
  </si>
  <si>
    <r>
      <t xml:space="preserve">1 </t>
    </r>
    <r>
      <rPr>
        <i/>
        <sz val="10"/>
        <color rgb="FFFF0000"/>
        <rFont val="微软雅黑"/>
        <family val="2"/>
        <charset val="134"/>
      </rPr>
      <t>我们可以采用以下两种方法之一，来恰当记录我们对借款协议执行的审计工作：</t>
    </r>
    <phoneticPr fontId="33" type="noConversion"/>
  </si>
  <si>
    <r>
      <t>1.1)</t>
    </r>
    <r>
      <rPr>
        <i/>
        <sz val="10"/>
        <color rgb="FFFF0000"/>
        <rFont val="微软雅黑"/>
        <family val="2"/>
        <charset val="134"/>
      </rPr>
      <t>我们将借款协议的关键条款</t>
    </r>
    <r>
      <rPr>
        <i/>
        <sz val="10"/>
        <color rgb="FFFF0000"/>
        <rFont val="Arial"/>
        <family val="2"/>
      </rPr>
      <t>doc</t>
    </r>
    <r>
      <rPr>
        <i/>
        <sz val="10"/>
        <color rgb="FFFF0000"/>
        <rFont val="微软雅黑"/>
        <family val="2"/>
        <charset val="134"/>
      </rPr>
      <t>或采用</t>
    </r>
    <r>
      <rPr>
        <i/>
        <sz val="10"/>
        <color rgb="FFFF0000"/>
        <rFont val="Arial"/>
        <family val="2"/>
      </rPr>
      <t>datasnipper</t>
    </r>
    <r>
      <rPr>
        <i/>
        <sz val="10"/>
        <color rgb="FFFF0000"/>
        <rFont val="微软雅黑"/>
        <family val="2"/>
        <charset val="134"/>
      </rPr>
      <t>的方式摘录至本工作底稿恰当的位置，并对相应的合同进行命名然后添加至</t>
    </r>
    <r>
      <rPr>
        <i/>
        <sz val="10"/>
        <color rgb="FFFF0000"/>
        <rFont val="Arial"/>
        <family val="2"/>
      </rPr>
      <t>canvas</t>
    </r>
    <r>
      <rPr>
        <i/>
        <sz val="10"/>
        <color rgb="FFFF0000"/>
        <rFont val="微软雅黑"/>
        <family val="2"/>
        <charset val="134"/>
      </rPr>
      <t>中；</t>
    </r>
    <phoneticPr fontId="33" type="noConversion"/>
  </si>
  <si>
    <r>
      <t>1.2)</t>
    </r>
    <r>
      <rPr>
        <i/>
        <sz val="10"/>
        <color rgb="FFFF0000"/>
        <rFont val="微软雅黑"/>
        <family val="2"/>
        <charset val="134"/>
      </rPr>
      <t>我们在借款协议中对关键的条款进行标注或者</t>
    </r>
    <r>
      <rPr>
        <i/>
        <sz val="10"/>
        <color rgb="FFFF0000"/>
        <rFont val="Arial"/>
        <family val="2"/>
      </rPr>
      <t>Highlight</t>
    </r>
    <r>
      <rPr>
        <i/>
        <sz val="10"/>
        <color rgb="FFFF0000"/>
        <rFont val="微软雅黑"/>
        <family val="2"/>
        <charset val="134"/>
      </rPr>
      <t>，命名后上传至</t>
    </r>
    <r>
      <rPr>
        <i/>
        <sz val="10"/>
        <color rgb="FFFF0000"/>
        <rFont val="Arial"/>
        <family val="2"/>
      </rPr>
      <t>canvas</t>
    </r>
    <r>
      <rPr>
        <i/>
        <sz val="10"/>
        <color rgb="FFFF0000"/>
        <rFont val="微软雅黑"/>
        <family val="2"/>
        <charset val="134"/>
      </rPr>
      <t>，底稿中索引对应的借款合同。</t>
    </r>
    <phoneticPr fontId="33" type="noConversion"/>
  </si>
  <si>
    <r>
      <t xml:space="preserve">Q1.02c </t>
    </r>
    <r>
      <rPr>
        <b/>
        <sz val="12"/>
        <color rgb="FF000000"/>
        <rFont val="微软雅黑"/>
        <family val="2"/>
        <charset val="134"/>
      </rPr>
      <t>对未回函</t>
    </r>
    <r>
      <rPr>
        <b/>
        <sz val="12"/>
        <color rgb="FF000000"/>
        <rFont val="Arial"/>
        <family val="2"/>
      </rPr>
      <t>/</t>
    </r>
    <r>
      <rPr>
        <b/>
        <sz val="12"/>
        <color rgb="FF000000"/>
        <rFont val="微软雅黑"/>
        <family val="2"/>
        <charset val="134"/>
      </rPr>
      <t>未发函的贷款和借款，执行替代程序</t>
    </r>
  </si>
  <si>
    <r>
      <rPr>
        <b/>
        <sz val="10"/>
        <color rgb="FF000000"/>
        <rFont val="微软雅黑"/>
        <family val="2"/>
        <charset val="134"/>
      </rPr>
      <t>执行替代程序（当未按预期收到回函或</t>
    </r>
    <r>
      <rPr>
        <b/>
        <sz val="10"/>
        <color rgb="FF000000"/>
        <rFont val="宋体"/>
        <family val="2"/>
        <charset val="134"/>
      </rPr>
      <t>未</t>
    </r>
    <r>
      <rPr>
        <b/>
        <sz val="10"/>
        <color rgb="FF000000"/>
        <rFont val="微软雅黑"/>
        <family val="2"/>
        <charset val="134"/>
      </rPr>
      <t>发送函证时）：</t>
    </r>
    <phoneticPr fontId="33" type="noConversion"/>
  </si>
  <si>
    <r>
      <t>1</t>
    </r>
    <r>
      <rPr>
        <sz val="10"/>
        <color rgb="FF000000"/>
        <rFont val="微软雅黑"/>
        <family val="2"/>
        <charset val="134"/>
      </rPr>
      <t>）</t>
    </r>
    <r>
      <rPr>
        <sz val="10"/>
        <color rgb="FF000000"/>
        <rFont val="Arial"/>
        <family val="2"/>
      </rPr>
      <t xml:space="preserve"> </t>
    </r>
    <r>
      <rPr>
        <sz val="10"/>
        <color rgb="FF000000"/>
        <rFont val="微软雅黑"/>
        <family val="2"/>
        <charset val="134"/>
      </rPr>
      <t>我们检查了贷款或借款未偿付余额的支持性文档记录，并将该金额与总账核对。</t>
    </r>
  </si>
  <si>
    <r>
      <t>2</t>
    </r>
    <r>
      <rPr>
        <sz val="10"/>
        <color rgb="FF000000"/>
        <rFont val="微软雅黑"/>
        <family val="2"/>
        <charset val="134"/>
      </rPr>
      <t>）</t>
    </r>
    <r>
      <rPr>
        <sz val="10"/>
        <color rgb="FF000000"/>
        <rFont val="Arial"/>
        <family val="2"/>
      </rPr>
      <t xml:space="preserve"> </t>
    </r>
    <r>
      <rPr>
        <sz val="10"/>
        <color rgb="FF000000"/>
        <rFont val="微软雅黑"/>
        <family val="2"/>
        <charset val="134"/>
      </rPr>
      <t>我们将贷款或借款的到期日与协议中所述日期进行比较，验证了该贷款或借款的到期日准确反映在公司的时间表中。</t>
    </r>
  </si>
  <si>
    <r>
      <t>3</t>
    </r>
    <r>
      <rPr>
        <sz val="10"/>
        <color rgb="FF000000"/>
        <rFont val="微软雅黑"/>
        <family val="2"/>
        <charset val="134"/>
      </rPr>
      <t>）</t>
    </r>
    <r>
      <rPr>
        <sz val="10"/>
        <color rgb="FF000000"/>
        <rFont val="Arial"/>
        <family val="2"/>
      </rPr>
      <t xml:space="preserve"> </t>
    </r>
    <r>
      <rPr>
        <sz val="10"/>
        <color rgb="FF000000"/>
        <rFont val="微软雅黑"/>
        <family val="2"/>
        <charset val="134"/>
      </rPr>
      <t>我们检查了作为贷款抵押品的留置权、担保权益、衍生工具和资产的支持性文档记录。我们交叉索引了相应的总账账户，并验证了相关披露。</t>
    </r>
  </si>
  <si>
    <t>|-------Rx-------|</t>
  </si>
  <si>
    <r>
      <rPr>
        <b/>
        <sz val="10"/>
        <rFont val="微软雅黑"/>
        <family val="2"/>
        <charset val="134"/>
      </rPr>
      <t>根据支持性文档记录确定的金额</t>
    </r>
  </si>
  <si>
    <r>
      <rPr>
        <b/>
        <sz val="10"/>
        <rFont val="微软雅黑"/>
        <family val="2"/>
        <charset val="134"/>
      </rPr>
      <t>支持性文档记录与总账金额之间的差额</t>
    </r>
    <phoneticPr fontId="18"/>
  </si>
  <si>
    <r>
      <rPr>
        <b/>
        <sz val="10"/>
        <color theme="1"/>
        <rFont val="微软雅黑"/>
        <family val="2"/>
        <charset val="134"/>
      </rPr>
      <t>本金偿还期限</t>
    </r>
    <r>
      <rPr>
        <sz val="10"/>
        <color theme="1"/>
        <rFont val="Arial"/>
        <family val="2"/>
      </rPr>
      <t xml:space="preserve">
</t>
    </r>
    <r>
      <rPr>
        <i/>
        <sz val="10"/>
        <color rgb="FFFF0000"/>
        <rFont val="微软雅黑"/>
        <family val="2"/>
        <charset val="134"/>
      </rPr>
      <t>（即到期日）</t>
    </r>
  </si>
  <si>
    <r>
      <rPr>
        <b/>
        <sz val="10"/>
        <rFont val="微软雅黑"/>
        <family val="2"/>
        <charset val="134"/>
      </rPr>
      <t>限制条款</t>
    </r>
    <phoneticPr fontId="33" type="noConversion"/>
  </si>
  <si>
    <r>
      <rPr>
        <b/>
        <sz val="10"/>
        <rFont val="微软雅黑"/>
        <family val="2"/>
        <charset val="134"/>
      </rPr>
      <t>已检查的凭据</t>
    </r>
    <phoneticPr fontId="33" type="noConversion"/>
  </si>
  <si>
    <r>
      <rPr>
        <b/>
        <sz val="12"/>
        <color rgb="FF000000"/>
        <rFont val="Arial"/>
        <family val="2"/>
      </rPr>
      <t xml:space="preserve">Q1.03 </t>
    </r>
    <r>
      <rPr>
        <b/>
        <sz val="12"/>
        <color rgb="FF000000"/>
        <rFont val="微软雅黑"/>
        <family val="2"/>
        <charset val="134"/>
      </rPr>
      <t>详细测试（检查新协议）</t>
    </r>
  </si>
  <si>
    <r>
      <rPr>
        <b/>
        <sz val="10"/>
        <color theme="1"/>
        <rFont val="微软雅黑"/>
        <family val="2"/>
        <charset val="134"/>
      </rPr>
      <t>记录我们的详细测试所涵盖的样本总体</t>
    </r>
    <r>
      <rPr>
        <b/>
        <i/>
        <sz val="10"/>
        <color rgb="FFFF0000"/>
        <rFont val="微软雅黑"/>
        <family val="2"/>
        <charset val="134"/>
      </rPr>
      <t>（指引：进行充分描述，以使之前未参与审计的经验丰富的审计人员能够了解如何选择样本，如对总体进行分类和筛选）</t>
    </r>
    <phoneticPr fontId="18"/>
  </si>
  <si>
    <r>
      <rPr>
        <sz val="10"/>
        <rFont val="微软雅黑"/>
        <family val="2"/>
        <charset val="134"/>
      </rPr>
      <t>借款协议本年增加总金额</t>
    </r>
    <phoneticPr fontId="18"/>
  </si>
  <si>
    <r>
      <t>Breakdown</t>
    </r>
    <r>
      <rPr>
        <sz val="10"/>
        <color rgb="FF000000"/>
        <rFont val="微软雅黑"/>
        <family val="2"/>
        <charset val="134"/>
      </rPr>
      <t>中本年借款增加金额</t>
    </r>
    <phoneticPr fontId="18"/>
  </si>
  <si>
    <t>Q.01</t>
  </si>
  <si>
    <r>
      <rPr>
        <sz val="10"/>
        <rFont val="微软雅黑"/>
        <family val="2"/>
        <charset val="134"/>
      </rPr>
      <t>差异</t>
    </r>
    <phoneticPr fontId="18"/>
  </si>
  <si>
    <r>
      <rPr>
        <b/>
        <sz val="10"/>
        <rFont val="微软雅黑"/>
        <family val="2"/>
        <charset val="134"/>
      </rPr>
      <t>是否需要对差额进行进一步调查？</t>
    </r>
    <r>
      <rPr>
        <b/>
        <sz val="10"/>
        <rFont val="Arial"/>
        <family val="2"/>
      </rPr>
      <t xml:space="preserve">     </t>
    </r>
    <phoneticPr fontId="18"/>
  </si>
  <si>
    <r>
      <rPr>
        <sz val="10"/>
        <rFont val="微软雅黑"/>
        <family val="2"/>
        <charset val="134"/>
      </rPr>
      <t>减：测试的关键项目</t>
    </r>
    <phoneticPr fontId="18"/>
  </si>
  <si>
    <r>
      <rPr>
        <sz val="10"/>
        <rFont val="微软雅黑"/>
        <family val="2"/>
        <charset val="134"/>
      </rPr>
      <t>须进行代表性样本抽样的其余总体</t>
    </r>
    <phoneticPr fontId="18"/>
  </si>
  <si>
    <r>
      <t>1</t>
    </r>
    <r>
      <rPr>
        <i/>
        <sz val="10"/>
        <color rgb="FFFF0000"/>
        <rFont val="微软雅黑"/>
        <family val="2"/>
        <charset val="134"/>
      </rPr>
      <t>、如果选取的样本在以前年度已经执行过审计程序，且本年协议无变化，可将以前年度合同前推至本期，并在表</t>
    </r>
    <r>
      <rPr>
        <i/>
        <sz val="10"/>
        <color rgb="FFFF0000"/>
        <rFont val="Arial"/>
        <family val="2"/>
      </rPr>
      <t>1</t>
    </r>
    <r>
      <rPr>
        <i/>
        <sz val="10"/>
        <color rgb="FFFF0000"/>
        <rFont val="微软雅黑"/>
        <family val="2"/>
        <charset val="134"/>
      </rPr>
      <t>的备注列标注索引号。或者，将之前年度已检查并摘录的合同关键信息粘贴到本底稿，并在表</t>
    </r>
    <r>
      <rPr>
        <i/>
        <sz val="10"/>
        <color rgb="FFFF0000"/>
        <rFont val="Arial"/>
        <family val="2"/>
      </rPr>
      <t>1</t>
    </r>
    <r>
      <rPr>
        <i/>
        <sz val="10"/>
        <color rgb="FFFF0000"/>
        <rFont val="微软雅黑"/>
        <family val="2"/>
        <charset val="134"/>
      </rPr>
      <t>的备注列标注索引。</t>
    </r>
  </si>
  <si>
    <r>
      <rPr>
        <b/>
        <sz val="10"/>
        <color theme="1"/>
        <rFont val="微软雅黑"/>
        <family val="2"/>
        <charset val="134"/>
      </rPr>
      <t>在下面描述选择关键项目的理由</t>
    </r>
    <r>
      <rPr>
        <b/>
        <i/>
        <sz val="10"/>
        <color rgb="FFFF0000"/>
        <rFont val="微软雅黑"/>
        <family val="2"/>
        <charset val="134"/>
      </rPr>
      <t>（请参阅</t>
    </r>
    <r>
      <rPr>
        <b/>
        <i/>
        <sz val="10"/>
        <color rgb="FFFF0000"/>
        <rFont val="Arial"/>
        <family val="2"/>
      </rPr>
      <t>Canvas</t>
    </r>
    <r>
      <rPr>
        <b/>
        <i/>
        <sz val="10"/>
        <color rgb="FFFF0000"/>
        <rFont val="微软雅黑"/>
        <family val="2"/>
        <charset val="134"/>
      </rPr>
      <t>引导式工作流程的</t>
    </r>
    <r>
      <rPr>
        <b/>
        <i/>
        <sz val="10"/>
        <color rgb="FFFF0000"/>
        <rFont val="等线"/>
        <family val="2"/>
        <charset val="134"/>
      </rPr>
      <t>“</t>
    </r>
    <r>
      <rPr>
        <b/>
        <i/>
        <sz val="10"/>
        <color rgb="FFFF0000"/>
        <rFont val="微软雅黑"/>
        <family val="2"/>
        <charset val="134"/>
      </rPr>
      <t>关键项目</t>
    </r>
    <r>
      <rPr>
        <b/>
        <i/>
        <sz val="10"/>
        <color rgb="FFFF0000"/>
        <rFont val="等线"/>
        <family val="2"/>
        <charset val="134"/>
      </rPr>
      <t>”</t>
    </r>
    <r>
      <rPr>
        <b/>
        <i/>
        <sz val="10"/>
        <color rgb="FFFF0000"/>
        <rFont val="微软雅黑"/>
        <family val="2"/>
        <charset val="134"/>
      </rPr>
      <t>部分，包括信息图标）</t>
    </r>
    <phoneticPr fontId="18"/>
  </si>
  <si>
    <r>
      <rPr>
        <b/>
        <sz val="10"/>
        <color rgb="FFFF0000"/>
        <rFont val="微软雅黑"/>
        <family val="2"/>
        <charset val="134"/>
      </rPr>
      <t>表</t>
    </r>
    <r>
      <rPr>
        <b/>
        <sz val="10"/>
        <color rgb="FFFF0000"/>
        <rFont val="Arial"/>
        <family val="2"/>
      </rPr>
      <t xml:space="preserve">1 </t>
    </r>
    <r>
      <rPr>
        <b/>
        <sz val="10"/>
        <rFont val="等线"/>
        <family val="3"/>
        <charset val="134"/>
      </rPr>
      <t>我们对抽出的关键项和代表性样本执行以下程序：</t>
    </r>
    <phoneticPr fontId="18"/>
  </si>
  <si>
    <r>
      <rPr>
        <i/>
        <sz val="10"/>
        <color rgb="FF000000"/>
        <rFont val="微软雅黑"/>
        <family val="2"/>
        <charset val="134"/>
      </rPr>
      <t>对于每个选择测试的项目，我们检查了相关的第三方证据（如贷款协议），获取了管理层对贷款协议的评估，并执行了以下操作：</t>
    </r>
    <phoneticPr fontId="18"/>
  </si>
  <si>
    <r>
      <t>1</t>
    </r>
    <r>
      <rPr>
        <sz val="10"/>
        <color rgb="FF000000"/>
        <rFont val="微软雅黑"/>
        <family val="2"/>
        <charset val="134"/>
      </rPr>
      <t>）我们获取并检查了本年</t>
    </r>
    <r>
      <rPr>
        <b/>
        <sz val="10"/>
        <color rgb="FFFF0000"/>
        <rFont val="微软雅黑"/>
        <family val="2"/>
        <charset val="134"/>
      </rPr>
      <t>有新增</t>
    </r>
    <r>
      <rPr>
        <b/>
        <sz val="10"/>
        <color rgb="FFFF0000"/>
        <rFont val="Arial"/>
        <family val="2"/>
      </rPr>
      <t>/</t>
    </r>
    <r>
      <rPr>
        <b/>
        <sz val="10"/>
        <color rgb="FFFF0000"/>
        <rFont val="微软雅黑"/>
        <family val="2"/>
        <charset val="134"/>
      </rPr>
      <t>修改的</t>
    </r>
    <r>
      <rPr>
        <sz val="10"/>
        <color rgb="FF000000"/>
        <rFont val="微软雅黑"/>
        <family val="2"/>
        <charset val="134"/>
      </rPr>
      <t>借款协议，以验证借款金额、利率、到期日、转换权、币种、抵质押资产和担保人的准确性，从而得出结论，负债妥善记录于正确的期间内。</t>
    </r>
    <phoneticPr fontId="18"/>
  </si>
  <si>
    <r>
      <t>2</t>
    </r>
    <r>
      <rPr>
        <sz val="10"/>
        <color rgb="FF000000"/>
        <rFont val="微软雅黑"/>
        <family val="2"/>
        <charset val="134"/>
      </rPr>
      <t>）</t>
    </r>
    <r>
      <rPr>
        <sz val="10"/>
        <color rgb="FFFF0000"/>
        <rFont val="微软雅黑"/>
        <family val="2"/>
        <charset val="134"/>
      </rPr>
      <t>【如无此类条款，请标记</t>
    </r>
    <r>
      <rPr>
        <sz val="10"/>
        <color rgb="FFFF0000"/>
        <rFont val="Arial"/>
        <family val="2"/>
      </rPr>
      <t>N/a</t>
    </r>
    <r>
      <rPr>
        <sz val="10"/>
        <color rgb="FFFF0000"/>
        <rFont val="微软雅黑"/>
        <family val="2"/>
        <charset val="134"/>
      </rPr>
      <t>】</t>
    </r>
    <r>
      <rPr>
        <sz val="10"/>
        <color rgb="FF000000"/>
        <rFont val="微软雅黑"/>
        <family val="2"/>
        <charset val="134"/>
      </rPr>
      <t>我们检查了借款协议中有关赎回、其他提前还款特征和主观加速条款的相关章节，以确定负债在适当期间内准确记录。</t>
    </r>
    <phoneticPr fontId="18"/>
  </si>
  <si>
    <r>
      <t>3</t>
    </r>
    <r>
      <rPr>
        <sz val="10"/>
        <color rgb="FF000000"/>
        <rFont val="微软雅黑"/>
        <family val="2"/>
        <charset val="134"/>
      </rPr>
      <t>）</t>
    </r>
    <r>
      <rPr>
        <sz val="10"/>
        <color rgb="FFFF0000"/>
        <rFont val="微软雅黑"/>
        <family val="2"/>
        <charset val="134"/>
      </rPr>
      <t>【如无此类条款，请标记</t>
    </r>
    <r>
      <rPr>
        <sz val="10"/>
        <color rgb="FFFF0000"/>
        <rFont val="Arial"/>
        <family val="2"/>
      </rPr>
      <t>N/a</t>
    </r>
    <r>
      <rPr>
        <sz val="10"/>
        <color rgb="FFFF0000"/>
        <rFont val="微软雅黑"/>
        <family val="2"/>
        <charset val="134"/>
      </rPr>
      <t>】</t>
    </r>
    <r>
      <rPr>
        <sz val="10"/>
        <color rgb="FF000000"/>
        <rFont val="微软雅黑"/>
        <family val="2"/>
        <charset val="134"/>
      </rPr>
      <t>对于递延融资费用及相关摊销，我们评估了递延融资费用与对应借款的相关性。我们获得了被审计单位的递延融资费用计算结果，我们将计算结果与总账核对，并核对了计算过程，以验证计算的准确性，从而得出结论，这些递延融资融资费用妥善记入正确的期间。</t>
    </r>
    <phoneticPr fontId="18"/>
  </si>
  <si>
    <t xml:space="preserve">4） 我们确定了将负债适当分类为非流动或流动贷款和借款是否符合协议条款和适用的财务报告框架。 </t>
    <phoneticPr fontId="18"/>
  </si>
  <si>
    <t>EY Works</t>
    <phoneticPr fontId="18"/>
  </si>
  <si>
    <r>
      <rPr>
        <b/>
        <sz val="10"/>
        <rFont val="微软雅黑"/>
        <family val="2"/>
        <charset val="134"/>
      </rPr>
      <t>编号</t>
    </r>
  </si>
  <si>
    <r>
      <rPr>
        <b/>
        <sz val="10"/>
        <color theme="1"/>
        <rFont val="微软雅黑"/>
        <family val="2"/>
        <charset val="134"/>
      </rPr>
      <t xml:space="preserve">样本类型
</t>
    </r>
    <r>
      <rPr>
        <i/>
        <sz val="10"/>
        <color rgb="FFFF0000"/>
        <rFont val="微软雅黑"/>
        <family val="2"/>
        <charset val="134"/>
      </rPr>
      <t>（使用下拉列表）</t>
    </r>
    <phoneticPr fontId="18"/>
  </si>
  <si>
    <r>
      <rPr>
        <b/>
        <sz val="10"/>
        <rFont val="微软雅黑"/>
        <family val="2"/>
        <charset val="134"/>
      </rPr>
      <t>总账账户</t>
    </r>
  </si>
  <si>
    <r>
      <rPr>
        <b/>
        <sz val="10"/>
        <rFont val="微软雅黑"/>
        <family val="2"/>
        <charset val="134"/>
      </rPr>
      <t>债权人</t>
    </r>
  </si>
  <si>
    <r>
      <rPr>
        <b/>
        <sz val="10"/>
        <rFont val="微软雅黑"/>
        <family val="2"/>
        <charset val="134"/>
      </rPr>
      <t>协议签订日期</t>
    </r>
  </si>
  <si>
    <r>
      <rPr>
        <b/>
        <sz val="10"/>
        <rFont val="微软雅黑"/>
        <family val="2"/>
        <charset val="134"/>
      </rPr>
      <t>到期日</t>
    </r>
  </si>
  <si>
    <r>
      <rPr>
        <b/>
        <sz val="10"/>
        <rFont val="微软雅黑"/>
        <family val="2"/>
        <charset val="134"/>
      </rPr>
      <t>货币</t>
    </r>
    <phoneticPr fontId="18"/>
  </si>
  <si>
    <t>支持性文档记录中的本金金额</t>
    <phoneticPr fontId="18"/>
  </si>
  <si>
    <r>
      <rPr>
        <b/>
        <sz val="10"/>
        <color theme="1"/>
        <rFont val="微软雅黑"/>
        <family val="2"/>
        <charset val="134"/>
      </rPr>
      <t>总账中记录的金额</t>
    </r>
    <r>
      <rPr>
        <b/>
        <sz val="10"/>
        <color theme="1"/>
        <rFont val="Arial"/>
        <family val="2"/>
      </rPr>
      <t xml:space="preserve"> </t>
    </r>
  </si>
  <si>
    <r>
      <rPr>
        <b/>
        <sz val="10"/>
        <color theme="1"/>
        <rFont val="微软雅黑"/>
        <family val="2"/>
        <charset val="134"/>
      </rPr>
      <t>支持性文档记录与总账金额之间的差额</t>
    </r>
  </si>
  <si>
    <r>
      <rPr>
        <b/>
        <sz val="10"/>
        <color rgb="FFFF0000"/>
        <rFont val="微软雅黑"/>
        <family val="2"/>
        <charset val="134"/>
      </rPr>
      <t>脚注</t>
    </r>
  </si>
  <si>
    <r>
      <t>1.</t>
    </r>
    <r>
      <rPr>
        <i/>
        <sz val="10"/>
        <rFont val="微软雅黑"/>
        <family val="2"/>
        <charset val="134"/>
      </rPr>
      <t>本工作</t>
    </r>
    <r>
      <rPr>
        <i/>
        <sz val="10"/>
        <rFont val="Microsoft YaHei UI"/>
        <family val="2"/>
        <charset val="134"/>
      </rPr>
      <t>底稿</t>
    </r>
    <r>
      <rPr>
        <i/>
        <sz val="10"/>
        <rFont val="微软雅黑"/>
        <family val="2"/>
        <charset val="134"/>
      </rPr>
      <t>不涉及复杂安排的借款协议，如涉及转换权特征、赎回、其他提前还款特征和主观加速条款等嵌入特征，</t>
    </r>
    <r>
      <rPr>
        <b/>
        <i/>
        <sz val="10"/>
        <color rgb="FFFF0000"/>
        <rFont val="微软雅黑"/>
        <family val="2"/>
        <charset val="134"/>
      </rPr>
      <t>则需要制定其他实质性程序（</t>
    </r>
    <r>
      <rPr>
        <b/>
        <i/>
        <sz val="10"/>
        <color rgb="FFFF0000"/>
        <rFont val="Arial"/>
        <family val="2"/>
      </rPr>
      <t>OSP</t>
    </r>
    <r>
      <rPr>
        <b/>
        <i/>
        <sz val="10"/>
        <color rgb="FFFF0000"/>
        <rFont val="微软雅黑"/>
        <family val="2"/>
        <charset val="134"/>
      </rPr>
      <t>）来审计这些较复杂的安排</t>
    </r>
    <r>
      <rPr>
        <i/>
        <sz val="10"/>
        <rFont val="微软雅黑"/>
        <family val="2"/>
        <charset val="134"/>
      </rPr>
      <t>，并在表</t>
    </r>
    <r>
      <rPr>
        <i/>
        <sz val="10"/>
        <rFont val="Arial"/>
        <family val="2"/>
      </rPr>
      <t>1“</t>
    </r>
    <r>
      <rPr>
        <i/>
        <sz val="10"/>
        <rFont val="微软雅黑"/>
        <family val="2"/>
        <charset val="134"/>
      </rPr>
      <t xml:space="preserve">备注”列中添加相关工作底稿索引。对于较复杂的安排，审计小组考虑在必要时邀请具有专业知识的专业人员参与；
</t>
    </r>
    <r>
      <rPr>
        <i/>
        <sz val="10"/>
        <rFont val="Arial"/>
        <family val="2"/>
      </rPr>
      <t>2.</t>
    </r>
    <r>
      <rPr>
        <i/>
        <sz val="10"/>
        <rFont val="微软雅黑"/>
        <family val="2"/>
        <charset val="134"/>
      </rPr>
      <t xml:space="preserve">如果贷款或借款为循环信贷额度，则本金金额为未偿付金额，而不是循环信贷额度的总额；
</t>
    </r>
    <r>
      <rPr>
        <i/>
        <sz val="10"/>
        <rFont val="Arial"/>
        <family val="2"/>
      </rPr>
      <t>3.</t>
    </r>
    <r>
      <rPr>
        <i/>
        <sz val="10"/>
        <rFont val="微软雅黑"/>
        <family val="2"/>
        <charset val="134"/>
      </rPr>
      <t xml:space="preserve">在评估债务流动性分类时，应考虑主观加速条款；
</t>
    </r>
    <r>
      <rPr>
        <i/>
        <sz val="10"/>
        <rFont val="Arial"/>
        <family val="2"/>
      </rPr>
      <t>4.</t>
    </r>
    <r>
      <rPr>
        <i/>
        <sz val="10"/>
        <rFont val="微软雅黑"/>
        <family val="2"/>
        <charset val="134"/>
      </rPr>
      <t>在该备注栏中，审计小组可添加交叉索引至会计备忘录，</t>
    </r>
    <r>
      <rPr>
        <i/>
        <sz val="10"/>
        <rFont val="Microsoft YaHei UI"/>
        <family val="2"/>
        <charset val="134"/>
      </rPr>
      <t>如金融负债或权益工具分类的测试</t>
    </r>
    <r>
      <rPr>
        <i/>
        <sz val="10"/>
        <rFont val="微软雅黑"/>
        <family val="2"/>
        <charset val="134"/>
      </rPr>
      <t>。这些程序应当设计恰当的</t>
    </r>
    <r>
      <rPr>
        <i/>
        <sz val="10"/>
        <rFont val="Arial"/>
        <family val="2"/>
      </rPr>
      <t>OSP</t>
    </r>
    <r>
      <rPr>
        <i/>
        <sz val="10"/>
        <rFont val="微软雅黑"/>
        <family val="2"/>
        <charset val="134"/>
      </rPr>
      <t>来进行验证。</t>
    </r>
    <phoneticPr fontId="18"/>
  </si>
  <si>
    <t> </t>
  </si>
  <si>
    <t xml:space="preserve">Q1.04 实质性分析程序 </t>
    <phoneticPr fontId="90" type="noConversion"/>
  </si>
  <si>
    <t>底稿索引：</t>
  </si>
  <si>
    <t>SAP模板可点击上方小灯泡获取</t>
  </si>
  <si>
    <r>
      <rPr>
        <b/>
        <sz val="12"/>
        <color rgb="FF000000"/>
        <rFont val="Arial"/>
        <family val="2"/>
      </rPr>
      <t xml:space="preserve">Q1.04.01 </t>
    </r>
    <r>
      <rPr>
        <b/>
        <sz val="12"/>
        <color rgb="FF000000"/>
        <rFont val="Microsoft YaHei"/>
        <family val="2"/>
        <charset val="134"/>
      </rPr>
      <t>利息费用（</t>
    </r>
    <r>
      <rPr>
        <b/>
        <sz val="12"/>
        <color rgb="FF000000"/>
        <rFont val="Arial"/>
        <family val="2"/>
      </rPr>
      <t>ToD</t>
    </r>
    <r>
      <rPr>
        <b/>
        <sz val="12"/>
        <color rgb="FF000000"/>
        <rFont val="Microsoft YaHei"/>
        <family val="2"/>
        <charset val="134"/>
      </rPr>
      <t>）</t>
    </r>
  </si>
  <si>
    <r>
      <rPr>
        <b/>
        <sz val="10"/>
        <color theme="1"/>
        <rFont val="Arial"/>
        <family val="2"/>
      </rPr>
      <t>记录我们的详细测试所涵盖的样本总体</t>
    </r>
    <r>
      <rPr>
        <b/>
        <i/>
        <sz val="10"/>
        <color rgb="FFFF0000"/>
        <rFont val="Arial"/>
        <family val="2"/>
      </rPr>
      <t>（指引：进行充分描述，以使之前未参与审计的经验丰富的审计人员能够了解如何选择样本，如对总体进行分类和筛选）</t>
    </r>
  </si>
  <si>
    <t>如涉及资本化利息测算可参考此链接：</t>
  </si>
  <si>
    <t>Q SWP 利息资本化测试 202YMMDD XYZ公司.xlsx</t>
  </si>
  <si>
    <t>审计小组可根据实际情况，选择采取ToD抽样策略或全年重新计算策略进行利息金额的测试。</t>
  </si>
  <si>
    <t>利息费用ToD测试</t>
  </si>
  <si>
    <t>利息费用总体价值</t>
  </si>
  <si>
    <t>根据后推表确定的金额</t>
  </si>
  <si>
    <t>差额</t>
  </si>
  <si>
    <t xml:space="preserve">是否需要对差额进行进一步调查？     </t>
  </si>
  <si>
    <t>减：测试的关键项目</t>
  </si>
  <si>
    <t>须进行代表性样本抽样的其余总体</t>
  </si>
  <si>
    <t>在下面描述选择关键项目的理由：</t>
    <phoneticPr fontId="90" type="noConversion"/>
  </si>
  <si>
    <t>安永属性测试说明：</t>
  </si>
  <si>
    <t xml:space="preserve">1） 我们获取了实体的利息费用计算结果，并将计算结果与总账中记录的金额进行了核对。 </t>
  </si>
  <si>
    <t>2） 我们验证了利息费用计算的准确性。</t>
  </si>
  <si>
    <t>3） 我们将利息费用明细表中使用的输入值追溯至源文档记录。</t>
  </si>
  <si>
    <t xml:space="preserve">4） 我们参照适用的财务报告框架重新计算了利息费用计算中使用的实际利率，并重新计算了当期确定的利息费用。 </t>
  </si>
  <si>
    <t xml:space="preserve">5） 我们检查了第三方文档记录（例如，从交易对手处收到的银行对账单或函证），以支持并得出结论，以现金支付的利息记录于正确的期间，且金额正确。 </t>
  </si>
  <si>
    <t>6） 我们验证发现，以现金支付的利息符合贷款或借款协议的条款。</t>
  </si>
  <si>
    <t>|---------Rx---------|</t>
  </si>
  <si>
    <t>编号</t>
  </si>
  <si>
    <r>
      <t>样本类型</t>
    </r>
    <r>
      <rPr>
        <sz val="10"/>
        <color theme="1"/>
        <rFont val="Arial"/>
        <family val="2"/>
      </rPr>
      <t xml:space="preserve">
</t>
    </r>
    <r>
      <rPr>
        <i/>
        <sz val="10"/>
        <color rgb="FFFF0000"/>
        <rFont val="Arial"/>
        <family val="2"/>
      </rPr>
      <t>（使用下拉列表）</t>
    </r>
  </si>
  <si>
    <t>债务描述/债务工具</t>
  </si>
  <si>
    <t>总账账户</t>
  </si>
  <si>
    <t>交易对手方名称</t>
  </si>
  <si>
    <t>记录的利息费用</t>
  </si>
  <si>
    <t>支持性文档记录中的利息费用</t>
  </si>
  <si>
    <t>支持性文档记录与入账金额之间的差额</t>
  </si>
  <si>
    <t>利息确认日期</t>
  </si>
  <si>
    <t>备注</t>
  </si>
  <si>
    <r>
      <t>标记图例：记录识别的异常的详细信息以及如何解决这些异常，包括执行的额外实质性程序</t>
    </r>
    <r>
      <rPr>
        <b/>
        <i/>
        <sz val="10"/>
        <color rgb="FFFF0000"/>
        <rFont val="Arial"/>
        <family val="2"/>
      </rPr>
      <t>（指引:包括充分的描述，以使经验丰富目之前与审计没有关联的审计师能够了解执行的程序）</t>
    </r>
  </si>
  <si>
    <t>Q1.04.02 利息费用（重新计算）</t>
    <phoneticPr fontId="90" type="noConversion"/>
  </si>
  <si>
    <t>审计小组可根据实际情况，选择采取ToD策略或全年重新计算策略进行利息金额的测试。</t>
  </si>
  <si>
    <t>利息费用重新计算测试</t>
  </si>
  <si>
    <t xml:space="preserve">1）我们获取了公司的利息费用计算表，并将计算表金额与总账中记录的金额进行了核对。 </t>
  </si>
  <si>
    <t>2）我们验证了利息费用计算表计算的准确性</t>
  </si>
  <si>
    <t>3）我们将利息费用明细表中使用的数值追查至原始文档记录</t>
  </si>
  <si>
    <t>4）我们根据适用的财务报告框架重新计算了利息费用计算中使用的实际利率，并重新计算了本期确认的利息费用。 （请自主设计计算表格并在本底稿中清楚记录计算过程及结果）</t>
  </si>
  <si>
    <t>期初时间</t>
  </si>
  <si>
    <t>期末时间</t>
  </si>
  <si>
    <t>银行借款利息测算表</t>
  </si>
  <si>
    <t>|-------------------------------------------------------------------------------------------------------------------安永测试--------------------------------------- -- -----------------------------------------------------------------------|</t>
  </si>
  <si>
    <t>执行年利率
a</t>
  </si>
  <si>
    <t>借款本金及变动
（借正贷负）
b</t>
  </si>
  <si>
    <t>借款本金变动时间</t>
  </si>
  <si>
    <r>
      <rPr>
        <b/>
        <sz val="10"/>
        <color rgb="FF000000"/>
        <rFont val="Arial"/>
        <family val="2"/>
      </rPr>
      <t>单笔计息日</t>
    </r>
    <r>
      <rPr>
        <b/>
        <sz val="10"/>
        <color indexed="8"/>
        <rFont val="Arial"/>
        <family val="2"/>
      </rPr>
      <t xml:space="preserve">
c </t>
    </r>
  </si>
  <si>
    <t>已发生利息合计
d=a*b*c/360</t>
  </si>
  <si>
    <t>Notes</t>
    <phoneticPr fontId="66" type="noConversion"/>
  </si>
  <si>
    <t>本年实际最后结息日</t>
  </si>
  <si>
    <t>本年实际最后结息日
至年末天数 
e</t>
  </si>
  <si>
    <r>
      <t xml:space="preserve">应付利息余额测算
</t>
    </r>
    <r>
      <rPr>
        <b/>
        <sz val="10"/>
        <color rgb="FF000000"/>
        <rFont val="Arial"/>
        <family val="2"/>
      </rPr>
      <t>f</t>
    </r>
    <r>
      <rPr>
        <b/>
        <sz val="10"/>
        <color indexed="8"/>
        <rFont val="Arial"/>
        <family val="2"/>
      </rPr>
      <t>=a*b(期末余额)*e/360</t>
    </r>
  </si>
  <si>
    <t>应计利息（包括在借款余额中）g1</t>
  </si>
  <si>
    <t>尚未支付的到期利息（包括在应付利息中）g2</t>
  </si>
  <si>
    <t>测算差额
h=f-g1-g2</t>
  </si>
  <si>
    <t>RX</t>
    <phoneticPr fontId="66" type="noConversion"/>
  </si>
  <si>
    <t>Uexp财务费用BKD</t>
  </si>
  <si>
    <t>财务费用-利息支出</t>
  </si>
  <si>
    <t>J1.01BKD</t>
    <phoneticPr fontId="33" type="noConversion"/>
  </si>
  <si>
    <t>在建工程-资本化利息</t>
  </si>
  <si>
    <t>[...]</t>
  </si>
  <si>
    <t>差异</t>
  </si>
  <si>
    <r>
      <t xml:space="preserve">Q1.05 </t>
    </r>
    <r>
      <rPr>
        <b/>
        <sz val="12"/>
        <color rgb="FF000000"/>
        <rFont val="微软雅黑"/>
        <family val="2"/>
        <charset val="134"/>
      </rPr>
      <t>测试遵循贷款协议契约条件的情况</t>
    </r>
    <r>
      <rPr>
        <b/>
        <sz val="12"/>
        <color rgb="FF000000"/>
        <rFont val="Arial"/>
        <family val="2"/>
      </rPr>
      <t xml:space="preserve"> </t>
    </r>
  </si>
  <si>
    <r>
      <rPr>
        <b/>
        <sz val="10"/>
        <rFont val="微软雅黑"/>
        <family val="2"/>
        <charset val="134"/>
      </rPr>
      <t>记录为识别我们合规测试所涵盖的债务工具而执行的程序：</t>
    </r>
    <r>
      <rPr>
        <b/>
        <sz val="10"/>
        <rFont val="Arial"/>
        <family val="2"/>
      </rPr>
      <t xml:space="preserve"> </t>
    </r>
  </si>
  <si>
    <r>
      <rPr>
        <sz val="10"/>
        <rFont val="微软雅黑"/>
        <family val="2"/>
        <charset val="134"/>
      </rPr>
      <t>具有限制性契约的借款数量</t>
    </r>
    <r>
      <rPr>
        <sz val="10"/>
        <rFont val="Arial"/>
        <family val="2"/>
      </rPr>
      <t xml:space="preserve"> </t>
    </r>
  </si>
  <si>
    <r>
      <t>Breakdown</t>
    </r>
    <r>
      <rPr>
        <sz val="10"/>
        <color rgb="FF000000"/>
        <rFont val="微软雅黑"/>
        <family val="2"/>
        <charset val="134"/>
      </rPr>
      <t>中的借款数量</t>
    </r>
  </si>
  <si>
    <r>
      <rPr>
        <sz val="10"/>
        <rFont val="微软雅黑"/>
        <family val="2"/>
        <charset val="134"/>
      </rPr>
      <t>差额</t>
    </r>
  </si>
  <si>
    <r>
      <rPr>
        <sz val="10"/>
        <color rgb="FF000000"/>
        <rFont val="微软雅黑"/>
        <family val="2"/>
        <charset val="134"/>
      </rPr>
      <t>减：本金已分类为流动负债的借款数量</t>
    </r>
    <phoneticPr fontId="18"/>
  </si>
  <si>
    <r>
      <rPr>
        <sz val="10"/>
        <rFont val="微软雅黑"/>
        <family val="2"/>
        <charset val="134"/>
      </rPr>
      <t>测试总体</t>
    </r>
  </si>
  <si>
    <r>
      <t>1</t>
    </r>
    <r>
      <rPr>
        <sz val="10"/>
        <color rgb="FF000000"/>
        <rFont val="微软雅黑"/>
        <family val="2"/>
        <charset val="134"/>
      </rPr>
      <t>）</t>
    </r>
    <r>
      <rPr>
        <sz val="10"/>
        <color rgb="FF000000"/>
        <rFont val="Arial"/>
        <family val="2"/>
      </rPr>
      <t xml:space="preserve"> </t>
    </r>
    <r>
      <rPr>
        <sz val="10"/>
        <color rgb="FF000000"/>
        <rFont val="微软雅黑"/>
        <family val="2"/>
        <charset val="134"/>
      </rPr>
      <t>我们获取了实体的契约条件合规情况文档记录和相关计算。</t>
    </r>
    <phoneticPr fontId="18"/>
  </si>
  <si>
    <r>
      <t>2</t>
    </r>
    <r>
      <rPr>
        <sz val="10"/>
        <color rgb="FF000000"/>
        <rFont val="微软雅黑"/>
        <family val="2"/>
        <charset val="134"/>
      </rPr>
      <t>）</t>
    </r>
    <r>
      <rPr>
        <sz val="10"/>
        <color rgb="FF000000"/>
        <rFont val="Arial"/>
        <family val="2"/>
      </rPr>
      <t xml:space="preserve"> </t>
    </r>
    <r>
      <rPr>
        <sz val="10"/>
        <color rgb="FF000000"/>
        <rFont val="微软雅黑"/>
        <family val="2"/>
        <charset val="134"/>
      </rPr>
      <t>我们将契约条件合规性计算的基础与已签署的债务协议核对一致。</t>
    </r>
    <phoneticPr fontId="18"/>
  </si>
  <si>
    <r>
      <t>3</t>
    </r>
    <r>
      <rPr>
        <sz val="10"/>
        <color rgb="FF000000"/>
        <rFont val="微软雅黑"/>
        <family val="2"/>
        <charset val="134"/>
      </rPr>
      <t>）</t>
    </r>
    <r>
      <rPr>
        <sz val="10"/>
        <color rgb="FF000000"/>
        <rFont val="Arial"/>
        <family val="2"/>
      </rPr>
      <t xml:space="preserve"> </t>
    </r>
    <r>
      <rPr>
        <sz val="10"/>
        <color rgb="FF000000"/>
        <rFont val="微软雅黑"/>
        <family val="2"/>
        <charset val="134"/>
      </rPr>
      <t>我们检查了相应的支持性文档记录（例如，经审计的试算表、财务报表或其他支持性证据），以支持契约条件合规性计算的输入值。</t>
    </r>
    <r>
      <rPr>
        <sz val="10"/>
        <color rgb="FF000000"/>
        <rFont val="Arial"/>
        <family val="2"/>
      </rPr>
      <t xml:space="preserve"> </t>
    </r>
    <phoneticPr fontId="18"/>
  </si>
  <si>
    <r>
      <t>4</t>
    </r>
    <r>
      <rPr>
        <sz val="10"/>
        <color rgb="FF000000"/>
        <rFont val="微软雅黑"/>
        <family val="2"/>
        <charset val="134"/>
      </rPr>
      <t>）</t>
    </r>
    <r>
      <rPr>
        <sz val="10"/>
        <color rgb="FF000000"/>
        <rFont val="Arial"/>
        <family val="2"/>
      </rPr>
      <t xml:space="preserve"> </t>
    </r>
    <r>
      <rPr>
        <sz val="10"/>
        <color rgb="FF000000"/>
        <rFont val="微软雅黑"/>
        <family val="2"/>
        <charset val="134"/>
      </rPr>
      <t>我们验证了实体契约条件合规性计算的准确性。</t>
    </r>
    <phoneticPr fontId="18"/>
  </si>
  <si>
    <r>
      <t>5</t>
    </r>
    <r>
      <rPr>
        <sz val="10"/>
        <color rgb="FF000000"/>
        <rFont val="微软雅黑"/>
        <family val="2"/>
        <charset val="134"/>
      </rPr>
      <t>）</t>
    </r>
    <r>
      <rPr>
        <sz val="10"/>
        <color rgb="FF000000"/>
        <rFont val="Arial"/>
        <family val="2"/>
      </rPr>
      <t xml:space="preserve"> </t>
    </r>
    <r>
      <rPr>
        <sz val="10"/>
        <color rgb="FF000000"/>
        <rFont val="微软雅黑"/>
        <family val="2"/>
        <charset val="134"/>
      </rPr>
      <t>评估了财务报表中对限制性契约的披露是否符合适用的财务报告框架，以及是否对具有限制性契约的贷款安排产生的所有非流动负债进行了披露</t>
    </r>
    <phoneticPr fontId="18"/>
  </si>
  <si>
    <r>
      <rPr>
        <b/>
        <sz val="10"/>
        <rFont val="微软雅黑"/>
        <family val="2"/>
        <charset val="134"/>
      </rPr>
      <t>交易对手名称</t>
    </r>
  </si>
  <si>
    <r>
      <rPr>
        <b/>
        <sz val="10"/>
        <rFont val="微软雅黑"/>
        <family val="2"/>
        <charset val="134"/>
      </rPr>
      <t>契约条件描述</t>
    </r>
    <r>
      <rPr>
        <b/>
        <sz val="10"/>
        <rFont val="Arial"/>
        <family val="2"/>
      </rPr>
      <t xml:space="preserve"> </t>
    </r>
    <phoneticPr fontId="18"/>
  </si>
  <si>
    <r>
      <rPr>
        <b/>
        <sz val="10"/>
        <color rgb="FF000000"/>
        <rFont val="微软雅黑"/>
        <family val="2"/>
        <charset val="134"/>
      </rPr>
      <t xml:space="preserve">公司契约条件计算表明合规还是不合规？
</t>
    </r>
    <r>
      <rPr>
        <b/>
        <i/>
        <sz val="10"/>
        <color rgb="FFFF0000"/>
        <rFont val="微软雅黑"/>
        <family val="2"/>
        <charset val="134"/>
      </rPr>
      <t>（使用下拉列表）</t>
    </r>
    <phoneticPr fontId="18"/>
  </si>
  <si>
    <r>
      <rPr>
        <b/>
        <sz val="10"/>
        <rFont val="微软雅黑"/>
        <family val="2"/>
        <charset val="134"/>
      </rPr>
      <t>索引</t>
    </r>
  </si>
  <si>
    <r>
      <rPr>
        <b/>
        <sz val="10"/>
        <color rgb="FFFF0000"/>
        <rFont val="微软雅黑"/>
        <family val="2"/>
        <charset val="134"/>
      </rPr>
      <t>详见附注</t>
    </r>
  </si>
  <si>
    <r>
      <rPr>
        <sz val="10"/>
        <color theme="1"/>
        <rFont val="微软雅黑"/>
        <family val="2"/>
        <charset val="134"/>
      </rPr>
      <t>标记图例：记录识别的异常的详细信息以及如何解决这些异常，包括执行的额外实质性程序</t>
    </r>
    <r>
      <rPr>
        <b/>
        <i/>
        <sz val="10"/>
        <color rgb="FFFF0000"/>
        <rFont val="微软雅黑"/>
        <family val="2"/>
        <charset val="134"/>
      </rPr>
      <t>（指引</t>
    </r>
    <r>
      <rPr>
        <b/>
        <i/>
        <sz val="10"/>
        <color rgb="FFFF0000"/>
        <rFont val="Arial"/>
        <family val="2"/>
      </rPr>
      <t>:</t>
    </r>
    <r>
      <rPr>
        <b/>
        <i/>
        <sz val="10"/>
        <color rgb="FFFF0000"/>
        <rFont val="微软雅黑"/>
        <family val="2"/>
        <charset val="134"/>
      </rPr>
      <t>包括充分的描述，以使经验丰富目之前与审计没有关联的审计师能够了解执行的程序）</t>
    </r>
    <phoneticPr fontId="41" type="noConversion"/>
  </si>
  <si>
    <r>
      <rPr>
        <b/>
        <sz val="10"/>
        <rFont val="微软雅黑"/>
        <family val="2"/>
        <charset val="134"/>
      </rPr>
      <t>附注：针对</t>
    </r>
    <r>
      <rPr>
        <b/>
        <sz val="10"/>
        <color rgb="FFFF0000"/>
        <rFont val="微软雅黑"/>
        <family val="2"/>
        <charset val="134"/>
      </rPr>
      <t>编号</t>
    </r>
    <r>
      <rPr>
        <b/>
        <sz val="10"/>
        <color rgb="FFFF0000"/>
        <rFont val="Arial"/>
        <family val="2"/>
      </rPr>
      <t>1</t>
    </r>
    <r>
      <rPr>
        <b/>
        <sz val="10"/>
        <rFont val="微软雅黑"/>
        <family val="2"/>
        <charset val="134"/>
      </rPr>
      <t>的贷款记录</t>
    </r>
    <r>
      <rPr>
        <b/>
        <sz val="10"/>
        <rFont val="Arial"/>
        <family val="2"/>
      </rPr>
      <t>,</t>
    </r>
    <r>
      <rPr>
        <b/>
        <sz val="10"/>
        <rFont val="微软雅黑"/>
        <family val="2"/>
        <charset val="134"/>
      </rPr>
      <t>我们摘录了</t>
    </r>
    <r>
      <rPr>
        <b/>
        <sz val="10"/>
        <rFont val="Arial"/>
        <family val="2"/>
      </rPr>
      <t xml:space="preserve">&lt;AA-01-3326 </t>
    </r>
    <r>
      <rPr>
        <b/>
        <sz val="10"/>
        <rFont val="微软雅黑"/>
        <family val="2"/>
        <charset val="134"/>
      </rPr>
      <t>流动资金借款合同</t>
    </r>
    <r>
      <rPr>
        <b/>
        <sz val="10"/>
        <rFont val="Arial"/>
        <family val="2"/>
      </rPr>
      <t xml:space="preserve">&gt;. </t>
    </r>
    <r>
      <rPr>
        <b/>
        <sz val="10"/>
        <rFont val="微软雅黑"/>
        <family val="2"/>
        <charset val="134"/>
      </rPr>
      <t>并测试如下：</t>
    </r>
  </si>
  <si>
    <r>
      <rPr>
        <sz val="10"/>
        <color rgb="FF000000"/>
        <rFont val="微软雅黑"/>
        <family val="2"/>
        <charset val="134"/>
      </rPr>
      <t>合同编号</t>
    </r>
  </si>
  <si>
    <r>
      <rPr>
        <sz val="10"/>
        <color rgb="FF000000"/>
        <rFont val="微软雅黑"/>
        <family val="2"/>
        <charset val="134"/>
      </rPr>
      <t>借款金额</t>
    </r>
  </si>
  <si>
    <r>
      <rPr>
        <sz val="10"/>
        <color rgb="FF000000"/>
        <rFont val="微软雅黑"/>
        <family val="2"/>
        <charset val="134"/>
      </rPr>
      <t>借款银行</t>
    </r>
  </si>
  <si>
    <t>Step1</t>
  </si>
  <si>
    <r>
      <rPr>
        <b/>
        <sz val="10"/>
        <rFont val="微软雅黑"/>
        <family val="2"/>
        <charset val="134"/>
      </rPr>
      <t>摘录借款合同中的对被审计单位财务情况的限制条件：</t>
    </r>
  </si>
  <si>
    <r>
      <rPr>
        <sz val="10"/>
        <rFont val="微软雅黑"/>
        <family val="2"/>
        <charset val="134"/>
      </rPr>
      <t>条件</t>
    </r>
    <r>
      <rPr>
        <sz val="10"/>
        <rFont val="Arial"/>
        <family val="2"/>
      </rPr>
      <t>1</t>
    </r>
  </si>
  <si>
    <r>
      <rPr>
        <sz val="10"/>
        <rFont val="微软雅黑"/>
        <family val="2"/>
        <charset val="134"/>
      </rPr>
      <t>测试过程</t>
    </r>
  </si>
  <si>
    <r>
      <rPr>
        <sz val="10"/>
        <rFont val="微软雅黑"/>
        <family val="2"/>
        <charset val="134"/>
      </rPr>
      <t>测试结论</t>
    </r>
  </si>
  <si>
    <r>
      <rPr>
        <b/>
        <sz val="10"/>
        <color rgb="FFFF0000"/>
        <rFont val="微软雅黑"/>
        <family val="2"/>
        <charset val="134"/>
      </rPr>
      <t>（如有其他条件，请继续添加）</t>
    </r>
  </si>
  <si>
    <r>
      <rPr>
        <b/>
        <sz val="10"/>
        <rFont val="微软雅黑"/>
        <family val="2"/>
        <charset val="134"/>
      </rPr>
      <t>结论</t>
    </r>
  </si>
  <si>
    <r>
      <rPr>
        <sz val="10"/>
        <rFont val="微软雅黑"/>
        <family val="2"/>
        <charset val="134"/>
      </rPr>
      <t>（如适用）针对已经触发限制性条款的借款我们执行程序如下：</t>
    </r>
  </si>
  <si>
    <r>
      <rPr>
        <b/>
        <sz val="14"/>
        <color theme="0"/>
        <rFont val="微软雅黑"/>
        <family val="2"/>
        <charset val="134"/>
      </rPr>
      <t>标准工作底稿：</t>
    </r>
    <r>
      <rPr>
        <b/>
        <sz val="14"/>
        <color theme="0"/>
        <rFont val="Arial"/>
        <family val="2"/>
      </rPr>
      <t xml:space="preserve">Q1 SWP </t>
    </r>
    <r>
      <rPr>
        <b/>
        <sz val="14"/>
        <color theme="0"/>
        <rFont val="微软雅黑"/>
        <family val="2"/>
        <charset val="134"/>
      </rPr>
      <t>银行借款</t>
    </r>
    <phoneticPr fontId="18"/>
  </si>
  <si>
    <r>
      <rPr>
        <b/>
        <sz val="14"/>
        <color theme="0"/>
        <rFont val="微软雅黑"/>
        <family val="2"/>
        <charset val="134"/>
      </rPr>
      <t>标准工作底稿：</t>
    </r>
    <r>
      <rPr>
        <b/>
        <sz val="14"/>
        <color theme="0"/>
        <rFont val="Arial"/>
        <family val="2"/>
      </rPr>
      <t xml:space="preserve">Q1 SWP </t>
    </r>
    <r>
      <rPr>
        <b/>
        <sz val="14"/>
        <color theme="0"/>
        <rFont val="微软雅黑"/>
        <family val="2"/>
        <charset val="134"/>
      </rPr>
      <t>银行借款</t>
    </r>
    <phoneticPr fontId="33" type="noConversion"/>
  </si>
  <si>
    <r>
      <rPr>
        <b/>
        <sz val="14"/>
        <color rgb="FFFFFFFF"/>
        <rFont val="微软雅黑"/>
        <family val="2"/>
        <charset val="134"/>
      </rPr>
      <t>标准工作底稿：</t>
    </r>
    <r>
      <rPr>
        <b/>
        <sz val="14"/>
        <color rgb="FFFFFFFF"/>
        <rFont val="Arial"/>
        <family val="2"/>
      </rPr>
      <t xml:space="preserve">Q1 SWP </t>
    </r>
    <r>
      <rPr>
        <b/>
        <sz val="14"/>
        <color rgb="FFFFFFFF"/>
        <rFont val="微软雅黑"/>
        <family val="2"/>
        <charset val="134"/>
      </rPr>
      <t>银行借款</t>
    </r>
    <phoneticPr fontId="90" type="noConversion"/>
  </si>
  <si>
    <r>
      <rPr>
        <b/>
        <sz val="14"/>
        <color theme="0"/>
        <rFont val="微软雅黑"/>
        <family val="2"/>
        <charset val="134"/>
      </rPr>
      <t>标准工作底稿：</t>
    </r>
    <r>
      <rPr>
        <b/>
        <sz val="14"/>
        <color theme="0"/>
        <rFont val="Arial"/>
        <family val="2"/>
      </rPr>
      <t xml:space="preserve">Q1 SWP </t>
    </r>
    <r>
      <rPr>
        <b/>
        <sz val="14"/>
        <color theme="0"/>
        <rFont val="微软雅黑"/>
        <family val="2"/>
        <charset val="134"/>
      </rPr>
      <t>银行借款</t>
    </r>
    <phoneticPr fontId="90" type="noConversion"/>
  </si>
  <si>
    <t>Q1 SWP 利息资本化测试 202YMMDD XYZ公司.xlsx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</si>
</sst>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44" formatCode="_ &quot;¥&quot;* #,##0.00_ ;_ &quot;¥&quot;* \-#,##0.00_ ;_ &quot;¥&quot;* &quot;-&quot;??_ ;_ @_ "/>
    <numFmt numFmtId="43" formatCode="_ * #,##0.00_ ;_ * \-#,##0.00_ ;_ * &quot;-&quot;??_ ;_ @_ "/>
    <numFmt numFmtId="176" formatCode="_(* #,##0_);_(* \(#,##0\);_(* &quot;-&quot;_);_(@_)"/>
    <numFmt numFmtId="177" formatCode="_(&quot;$&quot;* #,##0.00_);_(&quot;$&quot;* \(#,##0.00\);_(&quot;$&quot;* &quot;-&quot;??_);_(@_)"/>
    <numFmt numFmtId="178" formatCode="_(* #,##0.00_);_(* \(#,##0.00\);_(* &quot;-&quot;??_);_(@_)"/>
    <numFmt numFmtId="179" formatCode="_-&quot;$&quot;* #,##0.00_-;\-&quot;$&quot;* #,##0.00_-;_-&quot;$&quot;* &quot;-&quot;??_-;_-@_-"/>
    <numFmt numFmtId="180" formatCode="_(* #,##0_);_(* \(#,##0\);_(* &quot;-&quot;??_);_(@_)"/>
    <numFmt numFmtId="181" formatCode="0.0%"/>
    <numFmt numFmtId="182" formatCode="_(* #,##0.00_);_(* \(#,##0.00\);_(* &quot;-&quot;??_)"/>
    <numFmt numFmtId="183" formatCode="#,##0;\(#,##0\);0"/>
    <numFmt numFmtId="184" formatCode="_ * #,##0_ ;_ * \-#,##0_ ;_ * &quot;-&quot;??_ ;_ @_ "/>
  </numFmts>
  <fonts count="125">
    <font>
      <sz val="11"/>
      <color theme="1"/>
      <name val="SimSun"/>
    </font>
    <font>
      <sz val="11"/>
      <color theme="1"/>
      <name val="等线"/>
      <family val="2"/>
      <charset val="134"/>
      <scheme val="minor"/>
    </font>
    <font>
      <sz val="11"/>
      <color theme="1"/>
      <name val="等线"/>
      <family val="2"/>
      <charset val="134"/>
      <scheme val="minor"/>
    </font>
    <font>
      <sz val="11"/>
      <color theme="1"/>
      <name val="SimSun"/>
      <family val="3"/>
      <charset val="134"/>
    </font>
    <font>
      <sz val="10"/>
      <color theme="1"/>
      <name val="SimSun"/>
      <family val="3"/>
      <charset val="134"/>
    </font>
    <font>
      <sz val="11"/>
      <color theme="1"/>
      <name val="SimSun"/>
      <family val="3"/>
      <charset val="134"/>
    </font>
    <font>
      <sz val="10"/>
      <color theme="1"/>
      <name val="SimSun"/>
      <family val="3"/>
      <charset val="134"/>
    </font>
    <font>
      <sz val="10"/>
      <name val="SimSun"/>
      <family val="3"/>
      <charset val="134"/>
    </font>
    <font>
      <sz val="10"/>
      <color indexed="8"/>
      <name val="SimSun"/>
      <family val="3"/>
      <charset val="134"/>
    </font>
    <font>
      <sz val="10"/>
      <name val="SimSun"/>
      <family val="3"/>
      <charset val="134"/>
    </font>
    <font>
      <sz val="11"/>
      <color indexed="8"/>
      <name val="SimSun"/>
      <family val="3"/>
      <charset val="134"/>
    </font>
    <font>
      <sz val="11"/>
      <color rgb="FF000000"/>
      <name val="SimSun"/>
      <family val="3"/>
      <charset val="134"/>
    </font>
    <font>
      <sz val="12"/>
      <name val="SimSun"/>
      <family val="3"/>
      <charset val="134"/>
    </font>
    <font>
      <u/>
      <sz val="12"/>
      <color theme="10"/>
      <name val="SimSun"/>
      <family val="3"/>
      <charset val="134"/>
    </font>
    <font>
      <sz val="10"/>
      <color theme="1"/>
      <name val="SimSun"/>
      <family val="3"/>
      <charset val="134"/>
    </font>
    <font>
      <u/>
      <sz val="10"/>
      <color theme="10"/>
      <name val="SimSun"/>
      <family val="3"/>
      <charset val="134"/>
    </font>
    <font>
      <sz val="11"/>
      <color rgb="FF000000"/>
      <name val="SimSun"/>
      <family val="3"/>
      <charset val="134"/>
    </font>
    <font>
      <u/>
      <sz val="11"/>
      <color theme="10"/>
      <name val="SimSun"/>
      <family val="3"/>
      <charset val="134"/>
    </font>
    <font>
      <sz val="6"/>
      <name val="SimSun"/>
      <family val="3"/>
      <charset val="134"/>
    </font>
    <font>
      <sz val="8"/>
      <name val="SimSun"/>
      <family val="3"/>
      <charset val="134"/>
    </font>
    <font>
      <sz val="12"/>
      <name val="SimSun"/>
      <family val="3"/>
      <charset val="134"/>
    </font>
    <font>
      <b/>
      <sz val="10"/>
      <name val="Arial"/>
      <family val="2"/>
    </font>
    <font>
      <sz val="10"/>
      <color rgb="FF000000"/>
      <name val="Arial"/>
      <family val="2"/>
    </font>
    <font>
      <sz val="10"/>
      <color theme="1"/>
      <name val="Arial"/>
      <family val="2"/>
    </font>
    <font>
      <sz val="10"/>
      <color theme="1"/>
      <name val="SimSun"/>
      <family val="3"/>
      <charset val="134"/>
    </font>
    <font>
      <b/>
      <sz val="10"/>
      <color rgb="FF000000"/>
      <name val="Arial"/>
      <family val="2"/>
    </font>
    <font>
      <i/>
      <sz val="10"/>
      <name val="Arial"/>
      <family val="2"/>
    </font>
    <font>
      <b/>
      <i/>
      <sz val="10"/>
      <color rgb="FF000000"/>
      <name val="Arial"/>
      <family val="2"/>
    </font>
    <font>
      <b/>
      <sz val="10"/>
      <color rgb="FFFF0000"/>
      <name val="Arial"/>
      <family val="2"/>
    </font>
    <font>
      <sz val="10"/>
      <color rgb="FFFF0000"/>
      <name val="Arial"/>
      <family val="2"/>
    </font>
    <font>
      <sz val="10"/>
      <name val="Arial"/>
      <family val="2"/>
    </font>
    <font>
      <sz val="11"/>
      <color theme="1"/>
      <name val="SimSun"/>
      <family val="3"/>
      <charset val="134"/>
    </font>
    <font>
      <b/>
      <sz val="10"/>
      <name val="微软雅黑"/>
      <family val="2"/>
      <charset val="134"/>
    </font>
    <font>
      <sz val="9"/>
      <name val="宋体"/>
      <family val="3"/>
      <charset val="134"/>
    </font>
    <font>
      <sz val="10"/>
      <name val="微软雅黑"/>
      <family val="2"/>
      <charset val="134"/>
    </font>
    <font>
      <sz val="10"/>
      <name val="宋体"/>
      <family val="3"/>
      <charset val="134"/>
    </font>
    <font>
      <sz val="10"/>
      <color rgb="FFFFFFFF"/>
      <name val="Arial"/>
      <family val="2"/>
    </font>
    <font>
      <b/>
      <sz val="10"/>
      <color rgb="FF000000"/>
      <name val="微软雅黑"/>
      <family val="2"/>
      <charset val="134"/>
    </font>
    <font>
      <sz val="10"/>
      <color theme="1"/>
      <name val="微软雅黑"/>
      <family val="2"/>
      <charset val="134"/>
    </font>
    <font>
      <sz val="10"/>
      <color rgb="FF000000"/>
      <name val="微软雅黑"/>
      <family val="2"/>
      <charset val="134"/>
    </font>
    <font>
      <sz val="11"/>
      <color theme="1"/>
      <name val="等线"/>
      <family val="3"/>
      <charset val="134"/>
      <scheme val="minor"/>
    </font>
    <font>
      <sz val="9"/>
      <name val="等线"/>
      <family val="3"/>
      <charset val="134"/>
      <scheme val="minor"/>
    </font>
    <font>
      <u/>
      <sz val="11"/>
      <color theme="10"/>
      <name val="等线"/>
      <family val="2"/>
      <charset val="134"/>
      <scheme val="minor"/>
    </font>
    <font>
      <sz val="11"/>
      <color rgb="FF000000"/>
      <name val="Arial"/>
      <family val="2"/>
    </font>
    <font>
      <b/>
      <sz val="10"/>
      <color theme="1"/>
      <name val="微软雅黑"/>
      <family val="2"/>
      <charset val="134"/>
    </font>
    <font>
      <b/>
      <i/>
      <sz val="10"/>
      <color rgb="FFFF0000"/>
      <name val="微软雅黑"/>
      <family val="2"/>
      <charset val="134"/>
    </font>
    <font>
      <sz val="10"/>
      <color rgb="FFFF0000"/>
      <name val="微软雅黑"/>
      <family val="2"/>
      <charset val="134"/>
    </font>
    <font>
      <sz val="11"/>
      <color theme="1"/>
      <name val="等线"/>
      <family val="2"/>
      <scheme val="minor"/>
    </font>
    <font>
      <u/>
      <sz val="11"/>
      <color theme="10"/>
      <name val="等线"/>
      <family val="3"/>
      <charset val="134"/>
      <scheme val="minor"/>
    </font>
    <font>
      <sz val="14"/>
      <name val="Arial"/>
      <family val="2"/>
    </font>
    <font>
      <b/>
      <sz val="10"/>
      <color rgb="FFFF0000"/>
      <name val="微软雅黑"/>
      <family val="2"/>
      <charset val="134"/>
    </font>
    <font>
      <b/>
      <i/>
      <sz val="10"/>
      <color rgb="FFFF0000"/>
      <name val="Arial"/>
      <family val="2"/>
    </font>
    <font>
      <i/>
      <sz val="10"/>
      <color rgb="FF000000"/>
      <name val="Arial"/>
      <family val="2"/>
    </font>
    <font>
      <b/>
      <sz val="14"/>
      <color theme="0"/>
      <name val="微软雅黑"/>
      <family val="2"/>
      <charset val="134"/>
    </font>
    <font>
      <b/>
      <sz val="12"/>
      <color rgb="FF000000"/>
      <name val="微软雅黑"/>
      <family val="2"/>
      <charset val="134"/>
    </font>
    <font>
      <i/>
      <sz val="10"/>
      <color rgb="FFFF0000"/>
      <name val="微软雅黑"/>
      <family val="2"/>
      <charset val="134"/>
    </font>
    <font>
      <b/>
      <sz val="10"/>
      <color rgb="FFFFFFFF"/>
      <name val="Arial"/>
      <family val="2"/>
    </font>
    <font>
      <b/>
      <sz val="14"/>
      <color rgb="FF000000"/>
      <name val="Arial"/>
      <family val="2"/>
    </font>
    <font>
      <b/>
      <sz val="10"/>
      <color theme="0"/>
      <name val="Arial"/>
      <family val="2"/>
    </font>
    <font>
      <sz val="9"/>
      <name val="等线"/>
      <family val="2"/>
      <charset val="134"/>
      <scheme val="minor"/>
    </font>
    <font>
      <sz val="8"/>
      <name val="EYInterstate Light"/>
      <family val="2"/>
    </font>
    <font>
      <i/>
      <sz val="10"/>
      <color rgb="FF000000"/>
      <name val="微软雅黑"/>
      <family val="2"/>
      <charset val="134"/>
    </font>
    <font>
      <i/>
      <sz val="10"/>
      <name val="微软雅黑"/>
      <family val="2"/>
      <charset val="134"/>
    </font>
    <font>
      <u/>
      <sz val="10"/>
      <color theme="10"/>
      <name val="Arial"/>
      <family val="2"/>
    </font>
    <font>
      <sz val="10"/>
      <name val="Tahoma"/>
      <family val="2"/>
    </font>
    <font>
      <b/>
      <sz val="10"/>
      <color indexed="8"/>
      <name val="Arial"/>
      <family val="2"/>
    </font>
    <font>
      <b/>
      <vertAlign val="superscript"/>
      <sz val="8"/>
      <color rgb="FF305496"/>
      <name val="宋体"/>
      <family val="3"/>
      <charset val="134"/>
    </font>
    <font>
      <sz val="10"/>
      <color indexed="8"/>
      <name val="Arial"/>
      <family val="2"/>
    </font>
    <font>
      <b/>
      <sz val="10"/>
      <name val="Arial"/>
      <family val="2"/>
      <charset val="134"/>
    </font>
    <font>
      <b/>
      <i/>
      <sz val="10"/>
      <color rgb="FF000000"/>
      <name val="微软雅黑"/>
      <family val="2"/>
      <charset val="134"/>
    </font>
    <font>
      <b/>
      <sz val="14"/>
      <color theme="0"/>
      <name val="Arial"/>
      <family val="2"/>
    </font>
    <font>
      <b/>
      <sz val="12"/>
      <color rgb="FF000000"/>
      <name val="Arial"/>
      <family val="2"/>
    </font>
    <font>
      <sz val="11"/>
      <color theme="1"/>
      <name val="Arial"/>
      <family val="2"/>
    </font>
    <font>
      <sz val="14"/>
      <color theme="1"/>
      <name val="Arial"/>
      <family val="2"/>
    </font>
    <font>
      <b/>
      <sz val="14"/>
      <color rgb="FFFFC000"/>
      <name val="Arial"/>
      <family val="2"/>
    </font>
    <font>
      <b/>
      <sz val="18"/>
      <color indexed="8"/>
      <name val="Arial"/>
      <family val="2"/>
    </font>
    <font>
      <b/>
      <i/>
      <sz val="10"/>
      <color theme="4"/>
      <name val="Arial"/>
      <family val="2"/>
    </font>
    <font>
      <sz val="10"/>
      <color theme="0"/>
      <name val="Arial"/>
      <family val="2"/>
    </font>
    <font>
      <b/>
      <sz val="10"/>
      <color theme="1"/>
      <name val="Arial"/>
      <family val="2"/>
    </font>
    <font>
      <i/>
      <sz val="10"/>
      <color theme="1"/>
      <name val="Arial"/>
      <family val="2"/>
    </font>
    <font>
      <b/>
      <u/>
      <sz val="10"/>
      <color theme="10"/>
      <name val="Arial"/>
      <family val="2"/>
    </font>
    <font>
      <i/>
      <sz val="10"/>
      <color rgb="FFFF0000"/>
      <name val="Arial"/>
      <family val="2"/>
    </font>
    <font>
      <b/>
      <sz val="10"/>
      <color rgb="FF0000FF"/>
      <name val="Arial"/>
      <family val="2"/>
    </font>
    <font>
      <b/>
      <vertAlign val="superscript"/>
      <sz val="10"/>
      <color rgb="FFFF0000"/>
      <name val="Arial"/>
      <family val="2"/>
    </font>
    <font>
      <i/>
      <sz val="8"/>
      <color theme="4" tint="-0.249977111117893"/>
      <name val="Arial"/>
      <family val="2"/>
    </font>
    <font>
      <b/>
      <strike/>
      <sz val="10"/>
      <color rgb="FF0000FF"/>
      <name val="Arial"/>
      <family val="2"/>
    </font>
    <font>
      <i/>
      <sz val="8"/>
      <name val="Arial"/>
      <family val="2"/>
    </font>
    <font>
      <sz val="10"/>
      <color rgb="FF242424"/>
      <name val="Arial"/>
      <family val="2"/>
    </font>
    <font>
      <b/>
      <sz val="10"/>
      <color rgb="FF000000"/>
      <name val="宋体"/>
      <family val="2"/>
      <charset val="134"/>
    </font>
    <font>
      <b/>
      <sz val="10"/>
      <color rgb="FF000000"/>
      <name val="Arial"/>
      <family val="2"/>
      <charset val="134"/>
    </font>
    <font>
      <sz val="9"/>
      <name val="DengXian"/>
      <family val="3"/>
      <charset val="134"/>
    </font>
    <font>
      <b/>
      <sz val="10"/>
      <color rgb="FF000000"/>
      <name val="Microsoft YaHei"/>
      <family val="2"/>
      <charset val="134"/>
    </font>
    <font>
      <i/>
      <sz val="10"/>
      <name val="Microsoft YaHei UI"/>
      <family val="2"/>
      <charset val="134"/>
    </font>
    <font>
      <sz val="10"/>
      <color rgb="FF000000"/>
      <name val="Arial"/>
      <family val="2"/>
      <charset val="134"/>
    </font>
    <font>
      <b/>
      <sz val="12"/>
      <name val="Arial"/>
      <family val="2"/>
    </font>
    <font>
      <u/>
      <sz val="10"/>
      <color rgb="FFFF0000"/>
      <name val="Arial"/>
      <family val="2"/>
    </font>
    <font>
      <u/>
      <sz val="10"/>
      <color rgb="FFFF0000"/>
      <name val="微软雅黑"/>
      <family val="2"/>
      <charset val="134"/>
    </font>
    <font>
      <b/>
      <sz val="10"/>
      <color rgb="FFFF0000"/>
      <name val="Arial"/>
      <family val="2"/>
      <charset val="134"/>
    </font>
    <font>
      <b/>
      <sz val="10"/>
      <name val="等线"/>
      <family val="3"/>
      <charset val="134"/>
    </font>
    <font>
      <b/>
      <i/>
      <sz val="10"/>
      <color theme="4"/>
      <name val="微软雅黑"/>
      <family val="2"/>
      <charset val="134"/>
    </font>
    <font>
      <b/>
      <i/>
      <sz val="10"/>
      <color rgb="FFFF0000"/>
      <name val="等线"/>
      <family val="2"/>
      <charset val="134"/>
    </font>
    <font>
      <b/>
      <sz val="10"/>
      <color theme="1"/>
      <name val="Arial"/>
      <family val="2"/>
      <charset val="134"/>
    </font>
    <font>
      <sz val="10"/>
      <color theme="1"/>
      <name val="Arial"/>
      <family val="2"/>
      <charset val="134"/>
    </font>
    <font>
      <sz val="11"/>
      <color theme="1"/>
      <name val="等线"/>
      <family val="2"/>
      <charset val="134"/>
      <scheme val="minor"/>
    </font>
    <font>
      <b/>
      <sz val="12"/>
      <color rgb="FF000000"/>
      <name val="Arial"/>
      <family val="2"/>
      <charset val="134"/>
    </font>
    <font>
      <sz val="10"/>
      <name val="Arial"/>
      <family val="2"/>
      <charset val="134"/>
    </font>
    <font>
      <sz val="10"/>
      <color rgb="FFFF0000"/>
      <name val="Arial"/>
      <family val="2"/>
      <charset val="134"/>
    </font>
    <font>
      <vertAlign val="superscript"/>
      <sz val="10"/>
      <color rgb="FFFF0000"/>
      <name val="Arial"/>
      <family val="2"/>
    </font>
    <font>
      <u/>
      <sz val="10"/>
      <color rgb="FFFF0000"/>
      <name val="Arial"/>
      <family val="2"/>
      <charset val="134"/>
    </font>
    <font>
      <b/>
      <sz val="10"/>
      <color rgb="FF0000FF"/>
      <name val="Arial"/>
      <family val="2"/>
      <charset val="134"/>
    </font>
    <font>
      <b/>
      <i/>
      <sz val="10"/>
      <color rgb="FFFF0000"/>
      <name val="Arial"/>
      <family val="2"/>
      <charset val="134"/>
    </font>
    <font>
      <i/>
      <sz val="10"/>
      <color rgb="FFFF0000"/>
      <name val="Arial"/>
      <family val="2"/>
      <charset val="134"/>
    </font>
    <font>
      <b/>
      <sz val="10"/>
      <color indexed="10"/>
      <name val="Arial"/>
      <family val="2"/>
      <charset val="134"/>
    </font>
    <font>
      <i/>
      <sz val="10"/>
      <color rgb="FF000000"/>
      <name val="Arial"/>
      <family val="2"/>
      <charset val="134"/>
    </font>
    <font>
      <b/>
      <sz val="14"/>
      <color theme="0"/>
      <name val="Arial"/>
      <family val="2"/>
      <charset val="134"/>
    </font>
    <font>
      <b/>
      <i/>
      <sz val="9"/>
      <color rgb="FFFF0000"/>
      <name val="Arial"/>
      <family val="2"/>
    </font>
    <font>
      <b/>
      <sz val="14"/>
      <color rgb="FFFFFFFF"/>
      <name val="Arial"/>
      <family val="2"/>
    </font>
    <font>
      <b/>
      <sz val="12"/>
      <color rgb="FF000000"/>
      <name val="Microsoft YaHei"/>
      <family val="2"/>
      <charset val="134"/>
    </font>
    <font>
      <sz val="10"/>
      <color rgb="FF000000"/>
      <name val="Microsoft YaHei"/>
      <family val="2"/>
      <charset val="134"/>
    </font>
    <font>
      <b/>
      <sz val="12"/>
      <name val="Microsoft YaHei"/>
      <family val="2"/>
      <charset val="134"/>
    </font>
    <font>
      <b/>
      <sz val="10"/>
      <color rgb="FFFFC000"/>
      <name val="Arial"/>
      <family val="2"/>
    </font>
    <font>
      <sz val="10"/>
      <color rgb="FF2F5597"/>
      <name val="Arial"/>
      <family val="2"/>
    </font>
    <font>
      <b/>
      <sz val="16"/>
      <color rgb="FFFF0000"/>
      <name val="Arial"/>
      <family val="2"/>
    </font>
    <font>
      <b/>
      <sz val="14"/>
      <color rgb="FFFFFFFF"/>
      <name val="微软雅黑"/>
      <family val="2"/>
      <charset val="134"/>
    </font>
    <font>
      <b/>
      <sz val="14"/>
      <color rgb="FFFFFFFF"/>
      <name val="Arial"/>
      <family val="2"/>
      <charset val="134"/>
    </font>
  </fonts>
  <fills count="16">
    <fill>
      <patternFill patternType="none"/>
    </fill>
    <fill>
      <patternFill patternType="gray125"/>
    </fill>
    <fill>
      <patternFill patternType="solid">
        <fgColor rgb="FF333399"/>
        <bgColor indexed="64"/>
      </patternFill>
    </fill>
    <fill>
      <patternFill patternType="solid">
        <fgColor theme="0" tint="-4.9989318521683403E-2"/>
        <bgColor indexed="64"/>
      </patternFill>
    </fill>
    <fill>
      <patternFill patternType="solid">
        <fgColor theme="1"/>
        <bgColor indexed="64"/>
      </patternFill>
    </fill>
    <fill>
      <patternFill patternType="solid">
        <fgColor theme="0"/>
        <bgColor indexed="64"/>
      </patternFill>
    </fill>
    <fill>
      <patternFill patternType="solid">
        <fgColor rgb="FF000000"/>
        <bgColor rgb="FF000000"/>
      </patternFill>
    </fill>
    <fill>
      <patternFill patternType="solid">
        <fgColor rgb="FF000099"/>
        <bgColor indexed="64"/>
      </patternFill>
    </fill>
    <fill>
      <patternFill patternType="solid">
        <fgColor rgb="FFFFFFFF"/>
        <bgColor indexed="64"/>
      </patternFill>
    </fill>
    <fill>
      <patternFill patternType="solid">
        <fgColor rgb="FFFFFFFF"/>
        <bgColor rgb="FF000000"/>
      </patternFill>
    </fill>
    <fill>
      <patternFill patternType="solid">
        <fgColor theme="0" tint="-0.34998626667073579"/>
        <bgColor indexed="64"/>
      </patternFill>
    </fill>
    <fill>
      <patternFill patternType="solid">
        <fgColor theme="0" tint="-0.34998626667073579"/>
        <bgColor rgb="FF000000"/>
      </patternFill>
    </fill>
    <fill>
      <patternFill patternType="solid">
        <fgColor rgb="FFA6A6A6"/>
        <bgColor rgb="FF000000"/>
      </patternFill>
    </fill>
    <fill>
      <patternFill patternType="solid">
        <fgColor rgb="FFD9E1F2"/>
        <bgColor rgb="FF000000"/>
      </patternFill>
    </fill>
    <fill>
      <patternFill patternType="solid">
        <fgColor indexed="65"/>
        <bgColor indexed="64"/>
      </patternFill>
    </fill>
    <fill>
      <patternFill patternType="solid">
        <fgColor rgb="FF000099"/>
        <bgColor rgb="FF000000"/>
      </patternFill>
    </fill>
  </fills>
  <borders count="50">
    <border>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double">
        <color rgb="FF000000"/>
      </bottom>
      <diagonal/>
    </border>
    <border>
      <left/>
      <right/>
      <top style="thin">
        <color rgb="FF000000"/>
      </top>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bottom style="thin">
        <color auto="1"/>
      </bottom>
      <diagonal/>
    </border>
    <border>
      <left style="thin">
        <color indexed="64"/>
      </left>
      <right style="thin">
        <color indexed="64"/>
      </right>
      <top style="thin">
        <color auto="1"/>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style="thin">
        <color indexed="64"/>
      </right>
      <top/>
      <bottom/>
      <diagonal/>
    </border>
    <border>
      <left style="thin">
        <color indexed="64"/>
      </left>
      <right style="thin">
        <color indexed="64"/>
      </right>
      <top style="thin">
        <color auto="1"/>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style="thin">
        <color rgb="FF000000"/>
      </left>
      <right style="thin">
        <color auto="1"/>
      </right>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indexed="64"/>
      </top>
      <bottom/>
      <diagonal/>
    </border>
    <border>
      <left style="thin">
        <color rgb="FF000000"/>
      </left>
      <right style="thin">
        <color indexed="64"/>
      </right>
      <top style="thin">
        <color indexed="64"/>
      </top>
      <bottom/>
      <diagonal/>
    </border>
    <border>
      <left style="thin">
        <color indexed="64"/>
      </left>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auto="1"/>
      </left>
      <right/>
      <top style="thin">
        <color rgb="FF000000"/>
      </top>
      <bottom style="thin">
        <color rgb="FF000000"/>
      </bottom>
      <diagonal/>
    </border>
  </borders>
  <cellStyleXfs count="99">
    <xf numFmtId="0" fontId="0" fillId="0" borderId="0"/>
    <xf numFmtId="178" fontId="3" fillId="0" borderId="0" applyFont="0" applyFill="0" applyBorder="0" applyAlignment="0" applyProtection="0"/>
    <xf numFmtId="0" fontId="4" fillId="0" borderId="0"/>
    <xf numFmtId="178" fontId="4" fillId="0" borderId="0" applyFont="0" applyFill="0" applyBorder="0" applyAlignment="0" applyProtection="0"/>
    <xf numFmtId="0" fontId="5" fillId="0" borderId="0"/>
    <xf numFmtId="0" fontId="3" fillId="0" borderId="0"/>
    <xf numFmtId="0" fontId="7" fillId="0" borderId="0"/>
    <xf numFmtId="178" fontId="7" fillId="0" borderId="0" applyFont="0" applyFill="0" applyBorder="0" applyAlignment="0" applyProtection="0"/>
    <xf numFmtId="0" fontId="7" fillId="0" borderId="0"/>
    <xf numFmtId="177" fontId="7" fillId="0" borderId="0" applyFont="0" applyFill="0" applyBorder="0" applyAlignment="0" applyProtection="0"/>
    <xf numFmtId="177" fontId="4"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0" fontId="8" fillId="0" borderId="0">
      <alignment vertical="top"/>
    </xf>
    <xf numFmtId="0" fontId="4" fillId="0" borderId="0"/>
    <xf numFmtId="178" fontId="3" fillId="0" borderId="0" applyFont="0" applyFill="0" applyBorder="0" applyAlignment="0" applyProtection="0"/>
    <xf numFmtId="0" fontId="3" fillId="0" borderId="0"/>
    <xf numFmtId="179" fontId="9" fillId="0" borderId="0" applyFont="0" applyFill="0" applyBorder="0" applyAlignment="0" applyProtection="0"/>
    <xf numFmtId="0" fontId="7" fillId="0" borderId="0">
      <alignment vertical="top"/>
    </xf>
    <xf numFmtId="179" fontId="9" fillId="0" borderId="0" applyFont="0" applyFill="0" applyBorder="0" applyAlignment="0" applyProtection="0"/>
    <xf numFmtId="0" fontId="3" fillId="0" borderId="0"/>
    <xf numFmtId="177" fontId="3" fillId="0" borderId="0" applyFont="0" applyFill="0" applyBorder="0" applyAlignment="0" applyProtection="0"/>
    <xf numFmtId="0" fontId="10" fillId="0" borderId="0"/>
    <xf numFmtId="0" fontId="10" fillId="0" borderId="0"/>
    <xf numFmtId="0" fontId="10" fillId="0" borderId="0"/>
    <xf numFmtId="178" fontId="3" fillId="0" borderId="0" applyFont="0" applyFill="0" applyBorder="0" applyAlignment="0" applyProtection="0"/>
    <xf numFmtId="0" fontId="6" fillId="0" borderId="0"/>
    <xf numFmtId="178" fontId="6" fillId="0" borderId="0" applyFont="0" applyFill="0" applyBorder="0" applyAlignment="0" applyProtection="0"/>
    <xf numFmtId="177" fontId="6" fillId="0" borderId="0" applyFont="0" applyFill="0" applyBorder="0" applyAlignment="0" applyProtection="0"/>
    <xf numFmtId="9" fontId="6" fillId="0" borderId="0" applyFont="0" applyFill="0" applyBorder="0" applyAlignment="0" applyProtection="0"/>
    <xf numFmtId="0" fontId="7" fillId="0" borderId="0"/>
    <xf numFmtId="9" fontId="7" fillId="0" borderId="0" applyFont="0" applyFill="0" applyBorder="0" applyAlignment="0" applyProtection="0"/>
    <xf numFmtId="177" fontId="6" fillId="0" borderId="0" applyFont="0" applyFill="0" applyBorder="0" applyAlignment="0" applyProtection="0"/>
    <xf numFmtId="0" fontId="11" fillId="0" borderId="0"/>
    <xf numFmtId="0" fontId="3" fillId="0" borderId="0"/>
    <xf numFmtId="0" fontId="4" fillId="0" borderId="0"/>
    <xf numFmtId="0" fontId="12" fillId="0" borderId="0"/>
    <xf numFmtId="0" fontId="13" fillId="0" borderId="0" applyNumberFormat="0" applyFill="0" applyBorder="0" applyAlignment="0" applyProtection="0"/>
    <xf numFmtId="176" fontId="3" fillId="0" borderId="0" applyFont="0" applyFill="0" applyBorder="0" applyAlignment="0" applyProtection="0"/>
    <xf numFmtId="0" fontId="3" fillId="0" borderId="0"/>
    <xf numFmtId="0" fontId="7" fillId="0" borderId="0"/>
    <xf numFmtId="0" fontId="3" fillId="0" borderId="0"/>
    <xf numFmtId="0" fontId="14" fillId="0" borderId="0"/>
    <xf numFmtId="178" fontId="14" fillId="0" borderId="0" applyFont="0" applyFill="0" applyBorder="0" applyAlignment="0" applyProtection="0"/>
    <xf numFmtId="177" fontId="8" fillId="0" borderId="0" applyFont="0" applyFill="0" applyBorder="0" applyAlignment="0" applyProtection="0">
      <alignment vertical="top"/>
    </xf>
    <xf numFmtId="0" fontId="15" fillId="0" borderId="0" applyNumberFormat="0" applyFill="0" applyBorder="0" applyAlignment="0" applyProtection="0">
      <alignment vertical="top"/>
      <protection locked="0"/>
    </xf>
    <xf numFmtId="178" fontId="7" fillId="0" borderId="0" applyFont="0" applyFill="0" applyBorder="0" applyAlignment="0" applyProtection="0"/>
    <xf numFmtId="0" fontId="6" fillId="0" borderId="0"/>
    <xf numFmtId="0" fontId="17" fillId="0" borderId="0" applyNumberFormat="0" applyFill="0" applyBorder="0" applyAlignment="0" applyProtection="0"/>
    <xf numFmtId="0" fontId="5" fillId="0" borderId="0"/>
    <xf numFmtId="0" fontId="16" fillId="0" borderId="0"/>
    <xf numFmtId="0" fontId="7" fillId="0" borderId="0"/>
    <xf numFmtId="0" fontId="17" fillId="0" borderId="0" applyNumberFormat="0" applyFill="0" applyBorder="0" applyAlignment="0" applyProtection="0"/>
    <xf numFmtId="9" fontId="3" fillId="0" borderId="0" applyFont="0" applyFill="0" applyBorder="0" applyAlignment="0" applyProtection="0"/>
    <xf numFmtId="181" fontId="3" fillId="0" borderId="0" applyFont="0" applyFill="0" applyBorder="0" applyAlignment="0" applyProtection="0"/>
    <xf numFmtId="0" fontId="5" fillId="0" borderId="0"/>
    <xf numFmtId="41" fontId="3" fillId="0" borderId="0" applyFont="0" applyFill="0" applyBorder="0" applyAlignment="0" applyProtection="0"/>
    <xf numFmtId="0" fontId="19" fillId="0" borderId="0">
      <alignment vertical="center"/>
    </xf>
    <xf numFmtId="9" fontId="3" fillId="0" borderId="0" applyFont="0" applyFill="0" applyBorder="0" applyAlignment="0" applyProtection="0"/>
    <xf numFmtId="176" fontId="20" fillId="0" borderId="0" applyFont="0" applyFill="0" applyBorder="0" applyAlignment="0" applyProtection="0"/>
    <xf numFmtId="9" fontId="3" fillId="0" borderId="0" applyFont="0" applyFill="0" applyBorder="0" applyAlignment="0" applyProtection="0"/>
    <xf numFmtId="0" fontId="7" fillId="0" borderId="0"/>
    <xf numFmtId="178" fontId="24" fillId="0" borderId="0" applyFont="0" applyFill="0" applyBorder="0" applyAlignment="0" applyProtection="0"/>
    <xf numFmtId="0" fontId="31" fillId="0" borderId="0"/>
    <xf numFmtId="0" fontId="31" fillId="0" borderId="0">
      <protection locked="0"/>
    </xf>
    <xf numFmtId="0" fontId="40" fillId="0" borderId="0"/>
    <xf numFmtId="0" fontId="4" fillId="0" borderId="0"/>
    <xf numFmtId="0" fontId="42" fillId="0" borderId="0" applyNumberFormat="0" applyFill="0" applyBorder="0" applyAlignment="0" applyProtection="0"/>
    <xf numFmtId="0" fontId="40" fillId="0" borderId="0">
      <alignment vertical="center"/>
    </xf>
    <xf numFmtId="0" fontId="47" fillId="0" borderId="0">
      <alignment vertical="center"/>
    </xf>
    <xf numFmtId="0" fontId="40" fillId="0" borderId="0"/>
    <xf numFmtId="0" fontId="48" fillId="0" borderId="0" applyNumberFormat="0" applyFill="0" applyBorder="0" applyAlignment="0" applyProtection="0">
      <alignment vertical="center"/>
    </xf>
    <xf numFmtId="0" fontId="2" fillId="0" borderId="0"/>
    <xf numFmtId="0" fontId="31" fillId="0" borderId="0"/>
    <xf numFmtId="0" fontId="40" fillId="0" borderId="0"/>
    <xf numFmtId="0" fontId="2" fillId="0" borderId="0"/>
    <xf numFmtId="0" fontId="48" fillId="0" borderId="0" applyNumberFormat="0" applyFill="0" applyBorder="0" applyAlignment="0" applyProtection="0"/>
    <xf numFmtId="9" fontId="2" fillId="0" borderId="0" applyFont="0" applyFill="0" applyBorder="0" applyAlignment="0" applyProtection="0"/>
    <xf numFmtId="0" fontId="2" fillId="0" borderId="0"/>
    <xf numFmtId="178" fontId="2" fillId="0" borderId="0" applyFont="0" applyFill="0" applyBorder="0" applyAlignment="0" applyProtection="0"/>
    <xf numFmtId="0" fontId="30" fillId="0" borderId="0"/>
    <xf numFmtId="0" fontId="40" fillId="0" borderId="0"/>
    <xf numFmtId="0" fontId="60" fillId="0" borderId="0">
      <alignment vertical="center"/>
    </xf>
    <xf numFmtId="0" fontId="40" fillId="0" borderId="0"/>
    <xf numFmtId="0" fontId="35" fillId="0" borderId="0"/>
    <xf numFmtId="0" fontId="3" fillId="0" borderId="0"/>
    <xf numFmtId="0" fontId="17" fillId="0" borderId="0" applyNumberFormat="0" applyFill="0" applyBorder="0" applyAlignment="0" applyProtection="0"/>
    <xf numFmtId="0" fontId="64" fillId="0" borderId="0"/>
    <xf numFmtId="0" fontId="2" fillId="0" borderId="0">
      <alignment vertical="center"/>
    </xf>
    <xf numFmtId="0" fontId="2" fillId="0" borderId="0"/>
    <xf numFmtId="0" fontId="31" fillId="0" borderId="0"/>
    <xf numFmtId="43" fontId="3"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3" fontId="3" fillId="0" borderId="0" applyFont="0" applyFill="0" applyBorder="0" applyAlignment="0" applyProtection="0"/>
    <xf numFmtId="0" fontId="35" fillId="0" borderId="0"/>
    <xf numFmtId="0" fontId="1" fillId="0" borderId="0"/>
    <xf numFmtId="0" fontId="103" fillId="0" borderId="0"/>
    <xf numFmtId="0" fontId="3" fillId="0" borderId="0"/>
  </cellStyleXfs>
  <cellXfs count="758">
    <xf numFmtId="0" fontId="0" fillId="0" borderId="0" xfId="0"/>
    <xf numFmtId="180" fontId="22" fillId="5" borderId="1" xfId="1" applyNumberFormat="1" applyFont="1" applyFill="1" applyBorder="1" applyAlignment="1" applyProtection="1">
      <alignment vertical="center"/>
      <protection locked="0"/>
    </xf>
    <xf numFmtId="180" fontId="23" fillId="0" borderId="0" xfId="1" applyNumberFormat="1" applyFont="1" applyFill="1" applyAlignment="1" applyProtection="1">
      <alignment vertical="center"/>
      <protection locked="0"/>
    </xf>
    <xf numFmtId="0" fontId="22" fillId="0" borderId="0" xfId="0" applyFont="1" applyAlignment="1">
      <alignment vertical="center"/>
    </xf>
    <xf numFmtId="0" fontId="27" fillId="0" borderId="0" xfId="0" applyFont="1" applyAlignment="1">
      <alignment vertical="center"/>
    </xf>
    <xf numFmtId="0" fontId="28" fillId="0" borderId="0" xfId="0" applyFont="1" applyAlignment="1">
      <alignment horizontal="center" vertical="center"/>
    </xf>
    <xf numFmtId="0" fontId="29" fillId="9" borderId="0" xfId="0" applyFont="1" applyFill="1" applyAlignment="1">
      <alignment horizontal="center" vertical="center" wrapText="1"/>
    </xf>
    <xf numFmtId="0" fontId="29" fillId="0" borderId="0" xfId="0" applyFont="1" applyAlignment="1">
      <alignment horizontal="center" vertical="center"/>
    </xf>
    <xf numFmtId="0" fontId="30" fillId="5" borderId="0" xfId="4" applyFont="1" applyFill="1" applyAlignment="1" applyProtection="1">
      <alignment vertical="center"/>
      <protection locked="0"/>
    </xf>
    <xf numFmtId="0" fontId="23" fillId="5" borderId="0" xfId="41" applyFont="1" applyFill="1" applyAlignment="1" applyProtection="1">
      <alignment vertical="center"/>
      <protection locked="0"/>
    </xf>
    <xf numFmtId="0" fontId="28" fillId="5" borderId="0" xfId="4" applyFont="1" applyFill="1" applyAlignment="1" applyProtection="1">
      <alignment vertical="center"/>
      <protection locked="0"/>
    </xf>
    <xf numFmtId="0" fontId="28" fillId="0" borderId="0" xfId="0" applyFont="1" applyAlignment="1">
      <alignment horizontal="left" vertical="center"/>
    </xf>
    <xf numFmtId="0" fontId="30" fillId="0" borderId="0" xfId="0" applyFont="1" applyAlignment="1">
      <alignment vertical="center"/>
    </xf>
    <xf numFmtId="0" fontId="23" fillId="5" borderId="0" xfId="41" applyFont="1" applyFill="1"/>
    <xf numFmtId="0" fontId="28" fillId="0" borderId="0" xfId="0" applyFont="1" applyAlignment="1">
      <alignment horizontal="center" vertical="center" wrapText="1"/>
    </xf>
    <xf numFmtId="0" fontId="30" fillId="9" borderId="0" xfId="0" applyFont="1" applyFill="1" applyAlignment="1">
      <alignment vertical="center"/>
    </xf>
    <xf numFmtId="0" fontId="36" fillId="9" borderId="0" xfId="0" applyFont="1" applyFill="1" applyAlignment="1">
      <alignment vertical="center"/>
    </xf>
    <xf numFmtId="0" fontId="21" fillId="9" borderId="0" xfId="0" applyFont="1" applyFill="1" applyAlignment="1">
      <alignment horizontal="center" vertical="center" wrapText="1"/>
    </xf>
    <xf numFmtId="0" fontId="30" fillId="0" borderId="0" xfId="0" applyFont="1" applyAlignment="1">
      <alignment horizontal="center" vertical="center"/>
    </xf>
    <xf numFmtId="0" fontId="21" fillId="0" borderId="0" xfId="0" applyFont="1" applyAlignment="1">
      <alignment vertical="center"/>
    </xf>
    <xf numFmtId="183" fontId="49" fillId="0" borderId="0" xfId="74" applyNumberFormat="1" applyFont="1" applyAlignment="1">
      <alignment horizontal="left" vertical="center"/>
    </xf>
    <xf numFmtId="0" fontId="23" fillId="0" borderId="0" xfId="0" applyFont="1" applyAlignment="1">
      <alignment vertical="center"/>
    </xf>
    <xf numFmtId="178" fontId="23" fillId="0" borderId="0" xfId="1" applyFont="1" applyFill="1" applyBorder="1" applyAlignment="1" applyProtection="1">
      <alignment horizontal="right" vertical="center" shrinkToFit="1"/>
      <protection locked="0"/>
    </xf>
    <xf numFmtId="0" fontId="58" fillId="0" borderId="0" xfId="75" applyFont="1" applyAlignment="1" applyProtection="1">
      <alignment vertical="center"/>
      <protection locked="0"/>
    </xf>
    <xf numFmtId="0" fontId="23" fillId="0" borderId="0" xfId="75" applyFont="1" applyAlignment="1" applyProtection="1">
      <alignment vertical="center"/>
      <protection locked="0"/>
    </xf>
    <xf numFmtId="0" fontId="28" fillId="0" borderId="0" xfId="75" applyFont="1" applyAlignment="1" applyProtection="1">
      <alignment vertical="center"/>
      <protection locked="0"/>
    </xf>
    <xf numFmtId="0" fontId="56" fillId="0" borderId="0" xfId="82" applyFont="1" applyAlignment="1" applyProtection="1">
      <alignment vertical="center" shrinkToFit="1"/>
      <protection locked="0"/>
    </xf>
    <xf numFmtId="0" fontId="30" fillId="0" borderId="0" xfId="82" applyFont="1" applyProtection="1">
      <alignment vertical="center"/>
      <protection locked="0"/>
    </xf>
    <xf numFmtId="0" fontId="22" fillId="0" borderId="0" xfId="0" applyFont="1" applyAlignment="1">
      <alignment horizontal="center" vertical="center"/>
    </xf>
    <xf numFmtId="0" fontId="22" fillId="0" borderId="0" xfId="0" applyFont="1" applyAlignment="1">
      <alignment horizontal="left" vertical="center"/>
    </xf>
    <xf numFmtId="0" fontId="22" fillId="0" borderId="31" xfId="0" applyFont="1" applyBorder="1" applyAlignment="1">
      <alignment horizontal="center" vertical="center"/>
    </xf>
    <xf numFmtId="0" fontId="25" fillId="13" borderId="31" xfId="0" applyFont="1" applyFill="1" applyBorder="1" applyAlignment="1">
      <alignment horizontal="center" vertical="center"/>
    </xf>
    <xf numFmtId="0" fontId="21" fillId="13" borderId="31" xfId="0" applyFont="1" applyFill="1" applyBorder="1" applyAlignment="1">
      <alignment horizontal="center" vertical="center" wrapText="1"/>
    </xf>
    <xf numFmtId="0" fontId="21" fillId="0" borderId="31" xfId="0" applyFont="1" applyBorder="1" applyAlignment="1">
      <alignment horizontal="center" vertical="center" wrapText="1"/>
    </xf>
    <xf numFmtId="0" fontId="30" fillId="0" borderId="31" xfId="0" applyFont="1" applyBorder="1" applyAlignment="1">
      <alignment horizontal="center" vertical="center" wrapText="1"/>
    </xf>
    <xf numFmtId="0" fontId="21" fillId="10" borderId="31" xfId="41" applyFont="1" applyFill="1" applyBorder="1" applyAlignment="1" applyProtection="1">
      <alignment horizontal="center" vertical="center" wrapText="1"/>
      <protection locked="0"/>
    </xf>
    <xf numFmtId="0" fontId="21" fillId="10" borderId="31" xfId="0" applyFont="1" applyFill="1" applyBorder="1" applyAlignment="1">
      <alignment horizontal="center" vertical="center"/>
    </xf>
    <xf numFmtId="0" fontId="21" fillId="11" borderId="31" xfId="0" applyFont="1" applyFill="1" applyBorder="1" applyAlignment="1">
      <alignment horizontal="center" vertical="center" wrapText="1"/>
    </xf>
    <xf numFmtId="0" fontId="32" fillId="10" borderId="31" xfId="41" applyFont="1" applyFill="1" applyBorder="1" applyAlignment="1" applyProtection="1">
      <alignment horizontal="center" vertical="center" wrapText="1"/>
      <protection locked="0"/>
    </xf>
    <xf numFmtId="180" fontId="23" fillId="0" borderId="0" xfId="1" applyNumberFormat="1" applyFont="1" applyAlignment="1" applyProtection="1">
      <alignment vertical="center"/>
      <protection locked="0"/>
    </xf>
    <xf numFmtId="14" fontId="30" fillId="0" borderId="31" xfId="1" applyNumberFormat="1" applyFont="1" applyFill="1" applyBorder="1" applyAlignment="1" applyProtection="1">
      <alignment horizontal="center" vertical="center"/>
      <protection locked="0"/>
    </xf>
    <xf numFmtId="0" fontId="23" fillId="0" borderId="0" xfId="0" applyFont="1"/>
    <xf numFmtId="0" fontId="72" fillId="0" borderId="0" xfId="0" applyFont="1" applyAlignment="1" applyProtection="1">
      <alignment vertical="center"/>
      <protection locked="0"/>
    </xf>
    <xf numFmtId="0" fontId="73" fillId="4" borderId="5" xfId="0" applyFont="1" applyFill="1" applyBorder="1" applyAlignment="1" applyProtection="1">
      <alignment horizontal="centerContinuous" vertical="center"/>
      <protection locked="0"/>
    </xf>
    <xf numFmtId="0" fontId="74" fillId="4" borderId="5" xfId="0" applyFont="1" applyFill="1" applyBorder="1" applyAlignment="1" applyProtection="1">
      <alignment horizontal="centerContinuous" vertical="center"/>
      <protection locked="0"/>
    </xf>
    <xf numFmtId="0" fontId="30" fillId="4" borderId="5" xfId="0" applyFont="1" applyFill="1" applyBorder="1" applyAlignment="1" applyProtection="1">
      <alignment horizontal="centerContinuous" vertical="center"/>
      <protection locked="0"/>
    </xf>
    <xf numFmtId="0" fontId="30" fillId="0" borderId="0" xfId="0" applyFont="1" applyAlignment="1" applyProtection="1">
      <alignment horizontal="centerContinuous" vertical="center"/>
      <protection locked="0"/>
    </xf>
    <xf numFmtId="0" fontId="23" fillId="0" borderId="0" xfId="0" applyFont="1" applyAlignment="1" applyProtection="1">
      <alignment vertical="center"/>
      <protection locked="0"/>
    </xf>
    <xf numFmtId="0" fontId="71" fillId="3" borderId="1" xfId="0" applyFont="1" applyFill="1" applyBorder="1" applyAlignment="1" applyProtection="1">
      <alignment vertical="center"/>
      <protection locked="0"/>
    </xf>
    <xf numFmtId="0" fontId="71" fillId="3" borderId="8" xfId="0" applyFont="1" applyFill="1" applyBorder="1" applyAlignment="1" applyProtection="1">
      <alignment vertical="center"/>
      <protection locked="0"/>
    </xf>
    <xf numFmtId="0" fontId="71" fillId="3" borderId="9" xfId="0" applyFont="1" applyFill="1" applyBorder="1" applyAlignment="1" applyProtection="1">
      <alignment vertical="center"/>
      <protection locked="0"/>
    </xf>
    <xf numFmtId="0" fontId="75" fillId="0" borderId="0" xfId="0" applyFont="1" applyAlignment="1" applyProtection="1">
      <alignment vertical="center" wrapText="1"/>
      <protection locked="0"/>
    </xf>
    <xf numFmtId="0" fontId="21" fillId="0" borderId="0" xfId="0" applyFont="1" applyAlignment="1" applyProtection="1">
      <alignment vertical="center"/>
      <protection locked="0"/>
    </xf>
    <xf numFmtId="0" fontId="76" fillId="0" borderId="0" xfId="0" applyFont="1" applyAlignment="1" applyProtection="1">
      <alignment vertical="center"/>
      <protection locked="0"/>
    </xf>
    <xf numFmtId="0" fontId="76" fillId="0" borderId="0" xfId="0" applyFont="1" applyAlignment="1" applyProtection="1">
      <alignment horizontal="left" vertical="center" wrapText="1"/>
      <protection locked="0"/>
    </xf>
    <xf numFmtId="0" fontId="30" fillId="0" borderId="0" xfId="0" applyFont="1" applyAlignment="1" applyProtection="1">
      <alignment horizontal="left" vertical="top" wrapText="1"/>
      <protection locked="0"/>
    </xf>
    <xf numFmtId="0" fontId="63" fillId="0" borderId="0" xfId="48" applyFont="1" applyBorder="1" applyAlignment="1" applyProtection="1">
      <alignment horizontal="left" vertical="center"/>
      <protection locked="0"/>
    </xf>
    <xf numFmtId="0" fontId="30" fillId="0" borderId="0" xfId="48" applyFont="1" applyBorder="1" applyAlignment="1" applyProtection="1">
      <alignment horizontal="left" vertical="center"/>
      <protection locked="0"/>
    </xf>
    <xf numFmtId="0" fontId="72" fillId="0" borderId="0" xfId="0" applyFont="1"/>
    <xf numFmtId="0" fontId="22" fillId="0" borderId="0" xfId="48" applyFont="1" applyBorder="1" applyAlignment="1" applyProtection="1">
      <alignment horizontal="left" vertical="center"/>
      <protection locked="0"/>
    </xf>
    <xf numFmtId="0" fontId="28" fillId="0" borderId="0" xfId="0" applyFont="1" applyAlignment="1" applyProtection="1">
      <alignment horizontal="right" vertical="center"/>
      <protection locked="0"/>
    </xf>
    <xf numFmtId="0" fontId="28" fillId="0" borderId="0" xfId="0" applyFont="1" applyAlignment="1" applyProtection="1">
      <alignment horizontal="left" vertical="center"/>
      <protection locked="0"/>
    </xf>
    <xf numFmtId="0" fontId="30" fillId="0" borderId="5" xfId="48" applyFont="1" applyBorder="1" applyAlignment="1" applyProtection="1">
      <alignment horizontal="left" vertical="center"/>
      <protection locked="0"/>
    </xf>
    <xf numFmtId="180" fontId="23" fillId="0" borderId="5" xfId="1" applyNumberFormat="1" applyFont="1" applyFill="1" applyBorder="1" applyAlignment="1" applyProtection="1">
      <alignment vertical="center"/>
      <protection locked="0"/>
    </xf>
    <xf numFmtId="0" fontId="21" fillId="0" borderId="0" xfId="48" applyFont="1" applyAlignment="1" applyProtection="1">
      <alignment horizontal="left" vertical="center"/>
      <protection locked="0"/>
    </xf>
    <xf numFmtId="0" fontId="30" fillId="0" borderId="31" xfId="0" applyFont="1" applyBorder="1" applyAlignment="1" applyProtection="1">
      <alignment horizontal="center" vertical="center"/>
      <protection locked="0"/>
    </xf>
    <xf numFmtId="180" fontId="23" fillId="0" borderId="0" xfId="1" applyNumberFormat="1" applyFont="1" applyFill="1" applyBorder="1" applyAlignment="1" applyProtection="1">
      <alignment vertical="center"/>
      <protection locked="0"/>
    </xf>
    <xf numFmtId="0" fontId="30" fillId="0" borderId="0" xfId="0" applyFont="1" applyAlignment="1" applyProtection="1">
      <alignment horizontal="center" vertical="center"/>
      <protection locked="0"/>
    </xf>
    <xf numFmtId="0" fontId="22" fillId="0" borderId="0" xfId="48" applyFont="1" applyAlignment="1" applyProtection="1">
      <alignment horizontal="left" vertical="center"/>
      <protection locked="0"/>
    </xf>
    <xf numFmtId="0" fontId="28" fillId="0" borderId="0" xfId="0" applyFont="1" applyAlignment="1">
      <alignment vertical="center"/>
    </xf>
    <xf numFmtId="180" fontId="23" fillId="0" borderId="5" xfId="1" applyNumberFormat="1" applyFont="1" applyBorder="1" applyAlignment="1" applyProtection="1">
      <alignment vertical="center"/>
      <protection locked="0"/>
    </xf>
    <xf numFmtId="176" fontId="28" fillId="0" borderId="0" xfId="0" applyNumberFormat="1" applyFont="1" applyAlignment="1" applyProtection="1">
      <alignment horizontal="left" vertical="center"/>
      <protection locked="0"/>
    </xf>
    <xf numFmtId="176" fontId="77" fillId="0" borderId="0" xfId="0" applyNumberFormat="1" applyFont="1" applyAlignment="1" applyProtection="1">
      <alignment horizontal="center" vertical="center"/>
      <protection locked="0"/>
    </xf>
    <xf numFmtId="0" fontId="78" fillId="0" borderId="0" xfId="0" applyFont="1" applyAlignment="1" applyProtection="1">
      <alignment vertical="center"/>
      <protection locked="0"/>
    </xf>
    <xf numFmtId="0" fontId="79" fillId="0" borderId="0" xfId="0" applyFont="1" applyAlignment="1" applyProtection="1">
      <alignment vertical="center"/>
      <protection locked="0"/>
    </xf>
    <xf numFmtId="0" fontId="21" fillId="10" borderId="19" xfId="0" applyFont="1" applyFill="1" applyBorder="1" applyAlignment="1" applyProtection="1">
      <alignment vertical="center"/>
      <protection locked="0"/>
    </xf>
    <xf numFmtId="0" fontId="21" fillId="10" borderId="22" xfId="0" applyFont="1" applyFill="1" applyBorder="1" applyAlignment="1" applyProtection="1">
      <alignment vertical="center"/>
      <protection locked="0"/>
    </xf>
    <xf numFmtId="0" fontId="21" fillId="10" borderId="20" xfId="0" applyFont="1" applyFill="1" applyBorder="1" applyAlignment="1" applyProtection="1">
      <alignment vertical="center"/>
      <protection locked="0"/>
    </xf>
    <xf numFmtId="0" fontId="21" fillId="0" borderId="0" xfId="0" applyFont="1" applyAlignment="1" applyProtection="1">
      <alignment horizontal="left" vertical="center" indent="2"/>
      <protection locked="0"/>
    </xf>
    <xf numFmtId="0" fontId="22" fillId="0" borderId="1" xfId="0" applyFont="1" applyBorder="1" applyAlignment="1" applyProtection="1">
      <alignment horizontal="left" vertical="center" indent="2"/>
      <protection locked="0"/>
    </xf>
    <xf numFmtId="0" fontId="25" fillId="0" borderId="8" xfId="0" applyFont="1" applyBorder="1" applyAlignment="1" applyProtection="1">
      <alignment horizontal="left" vertical="center" indent="2"/>
      <protection locked="0"/>
    </xf>
    <xf numFmtId="0" fontId="25" fillId="0" borderId="8" xfId="0" applyFont="1" applyBorder="1" applyAlignment="1" applyProtection="1">
      <alignment horizontal="left" vertical="center"/>
      <protection locked="0"/>
    </xf>
    <xf numFmtId="0" fontId="25" fillId="0" borderId="9" xfId="0" applyFont="1" applyBorder="1" applyAlignment="1" applyProtection="1">
      <alignment horizontal="left" vertical="center" indent="2"/>
      <protection locked="0"/>
    </xf>
    <xf numFmtId="0" fontId="23" fillId="0" borderId="8" xfId="0" applyFont="1" applyBorder="1" applyAlignment="1" applyProtection="1">
      <alignment horizontal="left" vertical="center" indent="2"/>
      <protection locked="0"/>
    </xf>
    <xf numFmtId="0" fontId="23" fillId="0" borderId="9" xfId="0" applyFont="1" applyBorder="1" applyAlignment="1" applyProtection="1">
      <alignment horizontal="left" vertical="center" indent="2"/>
      <protection locked="0"/>
    </xf>
    <xf numFmtId="0" fontId="22" fillId="0" borderId="8" xfId="0" applyFont="1" applyBorder="1" applyAlignment="1" applyProtection="1">
      <alignment vertical="center"/>
      <protection locked="0"/>
    </xf>
    <xf numFmtId="0" fontId="23" fillId="0" borderId="8" xfId="0" applyFont="1" applyBorder="1" applyAlignment="1" applyProtection="1">
      <alignment vertical="center"/>
      <protection locked="0"/>
    </xf>
    <xf numFmtId="0" fontId="23" fillId="0" borderId="9" xfId="0" applyFont="1" applyBorder="1" applyAlignment="1" applyProtection="1">
      <alignment vertical="center"/>
      <protection locked="0"/>
    </xf>
    <xf numFmtId="0" fontId="22" fillId="0" borderId="0" xfId="0" applyFont="1" applyAlignment="1" applyProtection="1">
      <alignment horizontal="left" vertical="center" indent="2"/>
      <protection locked="0"/>
    </xf>
    <xf numFmtId="0" fontId="22" fillId="0" borderId="0" xfId="0" applyFont="1" applyAlignment="1" applyProtection="1">
      <alignment vertical="center"/>
      <protection locked="0"/>
    </xf>
    <xf numFmtId="0" fontId="30" fillId="5" borderId="0" xfId="0" applyFont="1" applyFill="1" applyProtection="1">
      <protection locked="0"/>
    </xf>
    <xf numFmtId="0" fontId="30" fillId="0" borderId="0" xfId="0" applyFont="1" applyAlignment="1" applyProtection="1">
      <alignment vertical="center"/>
      <protection locked="0"/>
    </xf>
    <xf numFmtId="14" fontId="30" fillId="0" borderId="0" xfId="0" applyNumberFormat="1" applyFont="1" applyAlignment="1" applyProtection="1">
      <alignment vertical="center"/>
      <protection locked="0"/>
    </xf>
    <xf numFmtId="0" fontId="30" fillId="4" borderId="6" xfId="0" applyFont="1" applyFill="1" applyBorder="1" applyAlignment="1" applyProtection="1">
      <alignment horizontal="centerContinuous" vertical="center"/>
      <protection locked="0"/>
    </xf>
    <xf numFmtId="0" fontId="25" fillId="0" borderId="0" xfId="0" applyFont="1" applyAlignment="1">
      <alignment vertical="center"/>
    </xf>
    <xf numFmtId="0" fontId="80" fillId="0" borderId="0" xfId="48" applyFont="1"/>
    <xf numFmtId="0" fontId="28" fillId="0" borderId="0" xfId="0" applyFont="1" applyAlignment="1" applyProtection="1">
      <alignment vertical="center"/>
      <protection locked="0"/>
    </xf>
    <xf numFmtId="0" fontId="25" fillId="10" borderId="3" xfId="0" applyFont="1" applyFill="1" applyBorder="1" applyAlignment="1">
      <alignment vertical="center"/>
    </xf>
    <xf numFmtId="0" fontId="23" fillId="10" borderId="3" xfId="0" applyFont="1" applyFill="1" applyBorder="1" applyAlignment="1" applyProtection="1">
      <alignment vertical="center"/>
      <protection locked="0"/>
    </xf>
    <xf numFmtId="0" fontId="30" fillId="0" borderId="0" xfId="48" applyFont="1" applyAlignment="1" applyProtection="1">
      <alignment horizontal="left" vertical="center"/>
      <protection locked="0"/>
    </xf>
    <xf numFmtId="0" fontId="72" fillId="0" borderId="0" xfId="0" applyFont="1" applyAlignment="1">
      <alignment vertical="center"/>
    </xf>
    <xf numFmtId="0" fontId="30" fillId="0" borderId="0" xfId="41" applyFont="1" applyAlignment="1" applyProtection="1">
      <alignment vertical="center"/>
      <protection locked="0"/>
    </xf>
    <xf numFmtId="0" fontId="21" fillId="10" borderId="4" xfId="41" applyFont="1" applyFill="1" applyBorder="1" applyAlignment="1" applyProtection="1">
      <alignment vertical="center"/>
      <protection locked="0"/>
    </xf>
    <xf numFmtId="0" fontId="21" fillId="10" borderId="5" xfId="41" applyFont="1" applyFill="1" applyBorder="1" applyAlignment="1" applyProtection="1">
      <alignment vertical="center"/>
      <protection locked="0"/>
    </xf>
    <xf numFmtId="0" fontId="21" fillId="10" borderId="6" xfId="41" applyFont="1" applyFill="1" applyBorder="1" applyAlignment="1" applyProtection="1">
      <alignment vertical="center"/>
      <protection locked="0"/>
    </xf>
    <xf numFmtId="0" fontId="22" fillId="0" borderId="4" xfId="41" applyFont="1" applyBorder="1" applyAlignment="1" applyProtection="1">
      <alignment horizontal="left" vertical="center" indent="2"/>
      <protection locked="0"/>
    </xf>
    <xf numFmtId="0" fontId="25" fillId="0" borderId="5" xfId="41" applyFont="1" applyBorder="1" applyAlignment="1" applyProtection="1">
      <alignment horizontal="left" vertical="center" indent="2"/>
      <protection locked="0"/>
    </xf>
    <xf numFmtId="0" fontId="25" fillId="0" borderId="6" xfId="41" applyFont="1" applyBorder="1" applyAlignment="1" applyProtection="1">
      <alignment horizontal="left" vertical="center" indent="2"/>
      <protection locked="0"/>
    </xf>
    <xf numFmtId="0" fontId="22" fillId="0" borderId="2" xfId="41" applyFont="1" applyBorder="1" applyAlignment="1" applyProtection="1">
      <alignment horizontal="left" vertical="center" indent="2"/>
      <protection locked="0"/>
    </xf>
    <xf numFmtId="0" fontId="22" fillId="0" borderId="3" xfId="41" applyFont="1" applyBorder="1" applyAlignment="1" applyProtection="1">
      <alignment horizontal="left" vertical="center" indent="2"/>
      <protection locked="0"/>
    </xf>
    <xf numFmtId="0" fontId="22" fillId="0" borderId="11" xfId="41" applyFont="1" applyBorder="1" applyAlignment="1" applyProtection="1">
      <alignment horizontal="left" vertical="center" indent="2"/>
      <protection locked="0"/>
    </xf>
    <xf numFmtId="0" fontId="22" fillId="0" borderId="0" xfId="41" applyFont="1" applyAlignment="1" applyProtection="1">
      <alignment horizontal="left" vertical="center" indent="2"/>
      <protection locked="0"/>
    </xf>
    <xf numFmtId="0" fontId="81" fillId="0" borderId="0" xfId="0" applyFont="1" applyAlignment="1" applyProtection="1">
      <alignment vertical="center"/>
      <protection locked="0"/>
    </xf>
    <xf numFmtId="0" fontId="25" fillId="10" borderId="31" xfId="41" applyFont="1" applyFill="1" applyBorder="1" applyAlignment="1" applyProtection="1">
      <alignment horizontal="center" vertical="center" wrapText="1"/>
      <protection locked="0"/>
    </xf>
    <xf numFmtId="0" fontId="73" fillId="4" borderId="8" xfId="0" applyFont="1" applyFill="1" applyBorder="1" applyAlignment="1" applyProtection="1">
      <alignment horizontal="centerContinuous" vertical="center"/>
      <protection locked="0"/>
    </xf>
    <xf numFmtId="0" fontId="74" fillId="4" borderId="8" xfId="0" applyFont="1" applyFill="1" applyBorder="1" applyAlignment="1" applyProtection="1">
      <alignment horizontal="centerContinuous" vertical="center"/>
      <protection locked="0"/>
    </xf>
    <xf numFmtId="0" fontId="30" fillId="4" borderId="8" xfId="0" applyFont="1" applyFill="1" applyBorder="1" applyAlignment="1" applyProtection="1">
      <alignment horizontal="centerContinuous" vertical="center"/>
      <protection locked="0"/>
    </xf>
    <xf numFmtId="0" fontId="76" fillId="0" borderId="0" xfId="0" applyFont="1" applyAlignment="1" applyProtection="1">
      <alignment vertical="center" wrapText="1"/>
      <protection locked="0"/>
    </xf>
    <xf numFmtId="0" fontId="30" fillId="0" borderId="0" xfId="0" applyFont="1" applyAlignment="1" applyProtection="1">
      <alignment vertical="top" wrapText="1"/>
      <protection locked="0"/>
    </xf>
    <xf numFmtId="0" fontId="22" fillId="0" borderId="0" xfId="48" applyFont="1" applyFill="1" applyBorder="1" applyAlignment="1" applyProtection="1">
      <alignment horizontal="left" vertical="center"/>
      <protection locked="0"/>
    </xf>
    <xf numFmtId="0" fontId="30" fillId="0" borderId="0" xfId="48" applyFont="1" applyFill="1" applyBorder="1" applyAlignment="1" applyProtection="1">
      <alignment horizontal="left" vertical="center"/>
      <protection locked="0"/>
    </xf>
    <xf numFmtId="3" fontId="22" fillId="0" borderId="0" xfId="0" applyNumberFormat="1" applyFont="1" applyAlignment="1">
      <alignment vertical="center"/>
    </xf>
    <xf numFmtId="0" fontId="30" fillId="0" borderId="5" xfId="48" applyFont="1" applyFill="1" applyBorder="1" applyAlignment="1" applyProtection="1">
      <alignment horizontal="left" vertical="center"/>
      <protection locked="0"/>
    </xf>
    <xf numFmtId="0" fontId="72" fillId="0" borderId="31" xfId="0" applyFont="1" applyBorder="1" applyAlignment="1">
      <alignment horizontal="center"/>
    </xf>
    <xf numFmtId="0" fontId="30" fillId="0" borderId="13" xfId="0" applyFont="1" applyBorder="1" applyAlignment="1" applyProtection="1">
      <alignment vertical="center"/>
      <protection locked="0"/>
    </xf>
    <xf numFmtId="14" fontId="23" fillId="0" borderId="0" xfId="0" applyNumberFormat="1" applyFont="1" applyAlignment="1" applyProtection="1">
      <alignment vertical="center"/>
      <protection locked="0"/>
    </xf>
    <xf numFmtId="0" fontId="21" fillId="0" borderId="0" xfId="0" applyFont="1" applyAlignment="1" applyProtection="1">
      <alignment vertical="center" wrapText="1"/>
      <protection locked="0"/>
    </xf>
    <xf numFmtId="180" fontId="30" fillId="0" borderId="5" xfId="1" applyNumberFormat="1" applyFont="1" applyFill="1" applyBorder="1" applyAlignment="1" applyProtection="1">
      <alignment vertical="center"/>
      <protection locked="0"/>
    </xf>
    <xf numFmtId="14" fontId="21" fillId="0" borderId="0" xfId="0" applyNumberFormat="1" applyFont="1" applyAlignment="1" applyProtection="1">
      <alignment vertical="center" wrapText="1"/>
      <protection locked="0"/>
    </xf>
    <xf numFmtId="0" fontId="25" fillId="5" borderId="0" xfId="0" applyFont="1" applyFill="1" applyAlignment="1">
      <alignment vertical="center"/>
    </xf>
    <xf numFmtId="0" fontId="28" fillId="0" borderId="0" xfId="48" applyFont="1" applyFill="1" applyBorder="1" applyAlignment="1" applyProtection="1">
      <alignment horizontal="left" vertical="center"/>
      <protection locked="0"/>
    </xf>
    <xf numFmtId="176" fontId="28" fillId="0" borderId="0" xfId="0" applyNumberFormat="1" applyFont="1" applyAlignment="1" applyProtection="1">
      <alignment horizontal="center" vertical="center"/>
      <protection locked="0"/>
    </xf>
    <xf numFmtId="178" fontId="21" fillId="0" borderId="0" xfId="0" applyNumberFormat="1" applyFont="1" applyAlignment="1" applyProtection="1">
      <alignment vertical="center" wrapText="1"/>
      <protection locked="0"/>
    </xf>
    <xf numFmtId="0" fontId="23" fillId="0" borderId="0" xfId="0" applyFont="1" applyAlignment="1" applyProtection="1">
      <alignment horizontal="left" vertical="center" indent="1"/>
      <protection locked="0"/>
    </xf>
    <xf numFmtId="0" fontId="30" fillId="0" borderId="0" xfId="0" applyFont="1" applyAlignment="1" applyProtection="1">
      <alignment horizontal="left" vertical="center" wrapText="1" indent="1"/>
      <protection locked="0"/>
    </xf>
    <xf numFmtId="0" fontId="28" fillId="0" borderId="0" xfId="0" applyFont="1" applyAlignment="1" applyProtection="1">
      <alignment horizontal="center" vertical="center"/>
      <protection locked="0"/>
    </xf>
    <xf numFmtId="178" fontId="21" fillId="10" borderId="31" xfId="7" applyFont="1" applyFill="1" applyBorder="1" applyAlignment="1" applyProtection="1">
      <alignment horizontal="center" vertical="center" wrapText="1"/>
    </xf>
    <xf numFmtId="0" fontId="21" fillId="10" borderId="31" xfId="7" applyNumberFormat="1" applyFont="1" applyFill="1" applyBorder="1" applyAlignment="1" applyProtection="1">
      <alignment horizontal="center" vertical="center" wrapText="1"/>
    </xf>
    <xf numFmtId="0" fontId="78" fillId="10" borderId="31" xfId="7" applyNumberFormat="1" applyFont="1" applyFill="1" applyBorder="1" applyAlignment="1">
      <alignment horizontal="center" vertical="center" wrapText="1"/>
    </xf>
    <xf numFmtId="0" fontId="21" fillId="10" borderId="31" xfId="8" applyFont="1" applyFill="1" applyBorder="1" applyAlignment="1">
      <alignment horizontal="center" vertical="center" wrapText="1"/>
    </xf>
    <xf numFmtId="0" fontId="28" fillId="0" borderId="0" xfId="38" applyNumberFormat="1" applyFont="1" applyAlignment="1" applyProtection="1">
      <alignment horizontal="left" vertical="center"/>
      <protection locked="0"/>
    </xf>
    <xf numFmtId="0" fontId="25" fillId="3" borderId="8" xfId="0" applyFont="1" applyFill="1" applyBorder="1" applyAlignment="1" applyProtection="1">
      <alignment horizontal="left" vertical="center"/>
      <protection locked="0"/>
    </xf>
    <xf numFmtId="0" fontId="25" fillId="0" borderId="0" xfId="0" applyFont="1" applyAlignment="1" applyProtection="1">
      <alignment horizontal="left" vertical="center"/>
      <protection locked="0"/>
    </xf>
    <xf numFmtId="0" fontId="21" fillId="10" borderId="4" xfId="0" applyFont="1" applyFill="1" applyBorder="1" applyAlignment="1" applyProtection="1">
      <alignment vertical="center"/>
      <protection locked="0"/>
    </xf>
    <xf numFmtId="0" fontId="28" fillId="10" borderId="5" xfId="0" applyFont="1" applyFill="1" applyBorder="1" applyAlignment="1" applyProtection="1">
      <alignment vertical="center"/>
      <protection locked="0"/>
    </xf>
    <xf numFmtId="0" fontId="23" fillId="10" borderId="6" xfId="0" applyFont="1" applyFill="1" applyBorder="1" applyAlignment="1" applyProtection="1">
      <alignment vertical="center"/>
      <protection locked="0"/>
    </xf>
    <xf numFmtId="0" fontId="22" fillId="0" borderId="4" xfId="0" applyFont="1" applyBorder="1" applyAlignment="1" applyProtection="1">
      <alignment horizontal="left" vertical="center" indent="1"/>
      <protection locked="0"/>
    </xf>
    <xf numFmtId="0" fontId="21" fillId="0" borderId="5" xfId="0" applyFont="1" applyBorder="1" applyAlignment="1" applyProtection="1">
      <alignment horizontal="left" vertical="center"/>
      <protection locked="0"/>
    </xf>
    <xf numFmtId="0" fontId="21" fillId="0" borderId="6" xfId="0" applyFont="1" applyBorder="1" applyAlignment="1" applyProtection="1">
      <alignment horizontal="left" vertical="center"/>
      <protection locked="0"/>
    </xf>
    <xf numFmtId="0" fontId="22" fillId="0" borderId="1" xfId="0" applyFont="1" applyBorder="1" applyAlignment="1" applyProtection="1">
      <alignment horizontal="left" vertical="center" indent="1"/>
      <protection locked="0"/>
    </xf>
    <xf numFmtId="0" fontId="21" fillId="0" borderId="8" xfId="0" applyFont="1" applyBorder="1" applyAlignment="1" applyProtection="1">
      <alignment horizontal="left" vertical="center"/>
      <protection locked="0"/>
    </xf>
    <xf numFmtId="0" fontId="21" fillId="0" borderId="9" xfId="0" applyFont="1" applyBorder="1" applyAlignment="1" applyProtection="1">
      <alignment horizontal="left" vertical="center"/>
      <protection locked="0"/>
    </xf>
    <xf numFmtId="0" fontId="23" fillId="0" borderId="3" xfId="0" applyFont="1" applyBorder="1" applyAlignment="1" applyProtection="1">
      <alignment vertical="center"/>
      <protection locked="0"/>
    </xf>
    <xf numFmtId="0" fontId="23" fillId="0" borderId="11" xfId="0" applyFont="1" applyBorder="1" applyAlignment="1" applyProtection="1">
      <alignment vertical="center"/>
      <protection locked="0"/>
    </xf>
    <xf numFmtId="0" fontId="27" fillId="0" borderId="0" xfId="0" applyFont="1" applyAlignment="1">
      <alignment horizontal="center" vertical="center"/>
    </xf>
    <xf numFmtId="39" fontId="21" fillId="10" borderId="31" xfId="0" applyNumberFormat="1" applyFont="1" applyFill="1" applyBorder="1" applyAlignment="1">
      <alignment horizontal="center" vertical="center" wrapText="1"/>
    </xf>
    <xf numFmtId="180" fontId="30" fillId="0" borderId="31" xfId="1" applyNumberFormat="1" applyFont="1" applyFill="1" applyBorder="1" applyAlignment="1" applyProtection="1">
      <alignment vertical="center"/>
      <protection locked="0"/>
    </xf>
    <xf numFmtId="180" fontId="28" fillId="0" borderId="0" xfId="1" applyNumberFormat="1" applyFont="1" applyFill="1" applyBorder="1" applyAlignment="1" applyProtection="1">
      <alignment horizontal="left" vertical="center"/>
      <protection locked="0"/>
    </xf>
    <xf numFmtId="0" fontId="30" fillId="4" borderId="5" xfId="0" applyFont="1" applyFill="1" applyBorder="1" applyAlignment="1" applyProtection="1">
      <alignment horizontal="center" vertical="center"/>
      <protection locked="0"/>
    </xf>
    <xf numFmtId="0" fontId="21" fillId="10" borderId="5" xfId="0" applyFont="1" applyFill="1" applyBorder="1" applyAlignment="1" applyProtection="1">
      <alignment vertical="center"/>
      <protection locked="0"/>
    </xf>
    <xf numFmtId="0" fontId="21" fillId="10" borderId="6" xfId="0" applyFont="1" applyFill="1" applyBorder="1" applyAlignment="1" applyProtection="1">
      <alignment vertical="center"/>
      <protection locked="0"/>
    </xf>
    <xf numFmtId="0" fontId="22" fillId="0" borderId="0" xfId="0" applyFont="1" applyAlignment="1" applyProtection="1">
      <alignment horizontal="left" vertical="center"/>
      <protection locked="0"/>
    </xf>
    <xf numFmtId="39" fontId="21" fillId="11" borderId="31" xfId="0" applyNumberFormat="1" applyFont="1" applyFill="1" applyBorder="1" applyAlignment="1">
      <alignment horizontal="center" vertical="center" wrapText="1"/>
    </xf>
    <xf numFmtId="0" fontId="72" fillId="7" borderId="0" xfId="0" applyFont="1" applyFill="1" applyAlignment="1" applyProtection="1">
      <alignment vertical="center"/>
      <protection locked="0"/>
    </xf>
    <xf numFmtId="14" fontId="72" fillId="7" borderId="0" xfId="0" applyNumberFormat="1" applyFont="1" applyFill="1" applyAlignment="1" applyProtection="1">
      <alignment vertical="center"/>
      <protection locked="0"/>
    </xf>
    <xf numFmtId="0" fontId="22" fillId="0" borderId="4" xfId="0" applyFont="1" applyBorder="1" applyAlignment="1" applyProtection="1">
      <alignment horizontal="left" vertical="center" indent="2"/>
      <protection locked="0"/>
    </xf>
    <xf numFmtId="0" fontId="22" fillId="0" borderId="5" xfId="0" applyFont="1" applyBorder="1" applyAlignment="1" applyProtection="1">
      <alignment horizontal="left" vertical="center"/>
      <protection locked="0"/>
    </xf>
    <xf numFmtId="0" fontId="23" fillId="0" borderId="5" xfId="0" applyFont="1" applyBorder="1" applyAlignment="1" applyProtection="1">
      <alignment horizontal="left" vertical="center"/>
      <protection locked="0"/>
    </xf>
    <xf numFmtId="0" fontId="23" fillId="0" borderId="6" xfId="0" applyFont="1" applyBorder="1" applyAlignment="1" applyProtection="1">
      <alignment horizontal="left" vertical="center"/>
      <protection locked="0"/>
    </xf>
    <xf numFmtId="0" fontId="22" fillId="0" borderId="8" xfId="0" applyFont="1" applyBorder="1" applyAlignment="1" applyProtection="1">
      <alignment horizontal="left" vertical="center"/>
      <protection locked="0"/>
    </xf>
    <xf numFmtId="0" fontId="23" fillId="0" borderId="8" xfId="0" applyFont="1" applyBorder="1" applyAlignment="1" applyProtection="1">
      <alignment horizontal="left" vertical="center"/>
      <protection locked="0"/>
    </xf>
    <xf numFmtId="0" fontId="23" fillId="0" borderId="9" xfId="0" applyFont="1" applyBorder="1" applyAlignment="1" applyProtection="1">
      <alignment horizontal="left" vertical="center"/>
      <protection locked="0"/>
    </xf>
    <xf numFmtId="0" fontId="23" fillId="0" borderId="0" xfId="0" applyFont="1" applyAlignment="1" applyProtection="1">
      <alignment horizontal="left" vertical="center"/>
      <protection locked="0"/>
    </xf>
    <xf numFmtId="0" fontId="23" fillId="5" borderId="0" xfId="0" applyFont="1" applyFill="1" applyAlignment="1" applyProtection="1">
      <alignment vertical="center"/>
      <protection locked="0"/>
    </xf>
    <xf numFmtId="182" fontId="78" fillId="2" borderId="0" xfId="0" applyNumberFormat="1" applyFont="1" applyFill="1" applyAlignment="1" applyProtection="1">
      <alignment horizontal="right" vertical="center"/>
      <protection locked="0"/>
    </xf>
    <xf numFmtId="0" fontId="71" fillId="3" borderId="8" xfId="0" applyFont="1" applyFill="1" applyBorder="1" applyAlignment="1" applyProtection="1">
      <alignment vertical="center" wrapText="1"/>
      <protection locked="0"/>
    </xf>
    <xf numFmtId="0" fontId="72" fillId="5" borderId="0" xfId="0" applyFont="1" applyFill="1" applyAlignment="1" applyProtection="1">
      <alignment vertical="center"/>
      <protection locked="0"/>
    </xf>
    <xf numFmtId="0" fontId="82" fillId="0" borderId="0" xfId="0" applyFont="1" applyAlignment="1" applyProtection="1">
      <alignment horizontal="center" vertical="center"/>
      <protection locked="0"/>
    </xf>
    <xf numFmtId="0" fontId="29" fillId="0" borderId="0" xfId="0" applyFont="1" applyAlignment="1" applyProtection="1">
      <alignment vertical="center"/>
      <protection locked="0"/>
    </xf>
    <xf numFmtId="0" fontId="23" fillId="2" borderId="0" xfId="0" applyFont="1" applyFill="1" applyAlignment="1" applyProtection="1">
      <alignment vertical="center"/>
      <protection locked="0"/>
    </xf>
    <xf numFmtId="0" fontId="72" fillId="2" borderId="0" xfId="0" applyFont="1" applyFill="1" applyAlignment="1" applyProtection="1">
      <alignment vertical="center"/>
      <protection locked="0"/>
    </xf>
    <xf numFmtId="0" fontId="71" fillId="5" borderId="0" xfId="0" applyFont="1" applyFill="1" applyAlignment="1" applyProtection="1">
      <alignment vertical="center"/>
      <protection locked="0"/>
    </xf>
    <xf numFmtId="0" fontId="71" fillId="5" borderId="0" xfId="0" applyFont="1" applyFill="1" applyAlignment="1" applyProtection="1">
      <alignment vertical="center" wrapText="1"/>
      <protection locked="0"/>
    </xf>
    <xf numFmtId="0" fontId="23" fillId="0" borderId="1" xfId="0" applyFont="1" applyBorder="1" applyAlignment="1">
      <alignment vertical="center"/>
    </xf>
    <xf numFmtId="0" fontId="23" fillId="0" borderId="8" xfId="0" applyFont="1" applyBorder="1" applyAlignment="1">
      <alignment vertical="center"/>
    </xf>
    <xf numFmtId="180" fontId="23" fillId="0" borderId="25" xfId="1" applyNumberFormat="1" applyFont="1" applyFill="1" applyBorder="1" applyAlignment="1" applyProtection="1">
      <alignment vertical="center"/>
      <protection locked="0"/>
    </xf>
    <xf numFmtId="180" fontId="23" fillId="0" borderId="12" xfId="1" applyNumberFormat="1" applyFont="1" applyFill="1" applyBorder="1" applyAlignment="1" applyProtection="1">
      <alignment vertical="center"/>
      <protection locked="0"/>
    </xf>
    <xf numFmtId="180" fontId="23" fillId="0" borderId="24" xfId="1" applyNumberFormat="1" applyFont="1" applyFill="1" applyBorder="1" applyAlignment="1" applyProtection="1">
      <alignment vertical="center"/>
      <protection locked="0"/>
    </xf>
    <xf numFmtId="0" fontId="23" fillId="0" borderId="5" xfId="0" applyFont="1" applyBorder="1" applyAlignment="1">
      <alignment vertical="center"/>
    </xf>
    <xf numFmtId="0" fontId="84" fillId="0" borderId="0" xfId="0" applyFont="1" applyAlignment="1">
      <alignment horizontal="left" vertical="top" wrapText="1"/>
    </xf>
    <xf numFmtId="0" fontId="23" fillId="0" borderId="15" xfId="0" applyFont="1" applyBorder="1" applyAlignment="1">
      <alignment vertical="center"/>
    </xf>
    <xf numFmtId="0" fontId="84" fillId="0" borderId="0" xfId="0" applyFont="1" applyAlignment="1">
      <alignment horizontal="left" vertical="center" wrapText="1"/>
    </xf>
    <xf numFmtId="14" fontId="86" fillId="5" borderId="0" xfId="0" applyNumberFormat="1" applyFont="1" applyFill="1" applyAlignment="1">
      <alignment horizontal="left" vertical="top" wrapText="1"/>
    </xf>
    <xf numFmtId="0" fontId="86" fillId="5" borderId="0" xfId="0" applyFont="1" applyFill="1" applyAlignment="1">
      <alignment horizontal="left" vertical="top" wrapText="1"/>
    </xf>
    <xf numFmtId="0" fontId="51" fillId="0" borderId="0" xfId="0" applyFont="1" applyAlignment="1" applyProtection="1">
      <alignment vertical="center" wrapText="1"/>
      <protection locked="0"/>
    </xf>
    <xf numFmtId="0" fontId="28" fillId="0" borderId="0" xfId="0" applyFont="1" applyAlignment="1" applyProtection="1">
      <alignment horizontal="left" vertical="center" wrapText="1"/>
      <protection locked="0"/>
    </xf>
    <xf numFmtId="0" fontId="30" fillId="0" borderId="0" xfId="51" applyFont="1" applyAlignment="1" applyProtection="1">
      <alignment vertical="center"/>
      <protection locked="0"/>
    </xf>
    <xf numFmtId="0" fontId="21" fillId="10" borderId="14" xfId="0" applyFont="1" applyFill="1" applyBorder="1" applyAlignment="1">
      <alignment horizontal="centerContinuous" vertical="center"/>
    </xf>
    <xf numFmtId="0" fontId="21" fillId="10" borderId="23" xfId="0" applyFont="1" applyFill="1" applyBorder="1" applyAlignment="1">
      <alignment horizontal="centerContinuous" vertical="center"/>
    </xf>
    <xf numFmtId="180" fontId="30" fillId="5" borderId="0" xfId="1" applyNumberFormat="1" applyFont="1" applyFill="1" applyBorder="1" applyAlignment="1" applyProtection="1">
      <alignment horizontal="center" vertical="center" wrapText="1"/>
      <protection locked="0"/>
    </xf>
    <xf numFmtId="180" fontId="30" fillId="5" borderId="24" xfId="1" applyNumberFormat="1" applyFont="1" applyFill="1" applyBorder="1" applyAlignment="1" applyProtection="1">
      <alignment horizontal="center" vertical="center" wrapText="1"/>
      <protection locked="0"/>
    </xf>
    <xf numFmtId="0" fontId="30" fillId="0" borderId="0" xfId="57" applyFont="1" applyAlignment="1" applyProtection="1">
      <alignment horizontal="center" vertical="center" wrapText="1"/>
      <protection locked="0"/>
    </xf>
    <xf numFmtId="9" fontId="30" fillId="5" borderId="31" xfId="47" applyNumberFormat="1" applyFont="1" applyFill="1" applyBorder="1" applyAlignment="1" applyProtection="1">
      <alignment horizontal="right" vertical="center" wrapText="1"/>
      <protection locked="0"/>
    </xf>
    <xf numFmtId="9" fontId="30" fillId="5" borderId="0" xfId="47" applyNumberFormat="1" applyFont="1" applyFill="1" applyAlignment="1" applyProtection="1">
      <alignment horizontal="right" vertical="center" wrapText="1"/>
      <protection locked="0"/>
    </xf>
    <xf numFmtId="0" fontId="82" fillId="0" borderId="0" xfId="0" applyFont="1" applyAlignment="1" applyProtection="1">
      <alignment horizontal="left" vertical="center"/>
      <protection locked="0"/>
    </xf>
    <xf numFmtId="0" fontId="21" fillId="10" borderId="25" xfId="0" applyFont="1" applyFill="1" applyBorder="1" applyAlignment="1">
      <alignment horizontal="center" vertical="center"/>
    </xf>
    <xf numFmtId="0" fontId="23" fillId="2" borderId="0" xfId="0" applyFont="1" applyFill="1" applyAlignment="1" applyProtection="1">
      <alignment horizontal="left" vertical="center"/>
      <protection locked="0"/>
    </xf>
    <xf numFmtId="9" fontId="23" fillId="8" borderId="0" xfId="60" applyFont="1" applyFill="1" applyAlignment="1" applyProtection="1">
      <alignment horizontal="center" vertical="center"/>
      <protection locked="0"/>
    </xf>
    <xf numFmtId="0" fontId="28" fillId="8" borderId="0" xfId="0" applyFont="1" applyFill="1" applyAlignment="1" applyProtection="1">
      <alignment horizontal="left" vertical="center"/>
      <protection locked="0"/>
    </xf>
    <xf numFmtId="0" fontId="87" fillId="8" borderId="0" xfId="0" applyFont="1" applyFill="1" applyAlignment="1" applyProtection="1">
      <alignment horizontal="center" vertical="center"/>
      <protection locked="0"/>
    </xf>
    <xf numFmtId="0" fontId="30" fillId="0" borderId="0" xfId="59" applyNumberFormat="1" applyFont="1" applyAlignment="1" applyProtection="1">
      <alignment horizontal="left" vertical="center"/>
      <protection locked="0"/>
    </xf>
    <xf numFmtId="0" fontId="30" fillId="0" borderId="0" xfId="59" applyNumberFormat="1" applyFont="1" applyFill="1" applyBorder="1" applyAlignment="1" applyProtection="1">
      <alignment horizontal="left" vertical="center"/>
      <protection locked="0"/>
    </xf>
    <xf numFmtId="0" fontId="30" fillId="0" borderId="0" xfId="58" quotePrefix="1" applyNumberFormat="1" applyFont="1" applyFill="1" applyBorder="1" applyAlignment="1" applyProtection="1">
      <alignment horizontal="left" vertical="center"/>
      <protection locked="0"/>
    </xf>
    <xf numFmtId="9" fontId="30" fillId="0" borderId="0" xfId="58" quotePrefix="1" applyFont="1" applyFill="1" applyBorder="1" applyAlignment="1" applyProtection="1">
      <alignment horizontal="left" vertical="center"/>
      <protection locked="0"/>
    </xf>
    <xf numFmtId="176" fontId="30" fillId="0" borderId="0" xfId="59" applyFont="1" applyFill="1" applyBorder="1" applyAlignment="1" applyProtection="1">
      <alignment vertical="center"/>
      <protection locked="0"/>
    </xf>
    <xf numFmtId="9" fontId="30" fillId="0" borderId="0" xfId="58" quotePrefix="1" applyFont="1" applyFill="1" applyBorder="1" applyAlignment="1" applyProtection="1">
      <alignment vertical="center"/>
      <protection locked="0"/>
    </xf>
    <xf numFmtId="180" fontId="30" fillId="0" borderId="0" xfId="38" applyNumberFormat="1" applyFont="1" applyFill="1" applyBorder="1" applyAlignment="1" applyProtection="1">
      <alignment horizontal="left" vertical="center"/>
      <protection locked="0"/>
    </xf>
    <xf numFmtId="176" fontId="30" fillId="0" borderId="0" xfId="59" applyFont="1" applyFill="1" applyBorder="1" applyAlignment="1" applyProtection="1">
      <alignment horizontal="left" vertical="center"/>
      <protection locked="0"/>
    </xf>
    <xf numFmtId="176" fontId="30" fillId="2" borderId="0" xfId="59" applyFont="1" applyFill="1" applyBorder="1" applyAlignment="1" applyProtection="1">
      <alignment vertical="center"/>
      <protection locked="0"/>
    </xf>
    <xf numFmtId="9" fontId="30" fillId="2" borderId="0" xfId="58" quotePrefix="1" applyFont="1" applyFill="1" applyBorder="1" applyAlignment="1" applyProtection="1">
      <alignment vertical="center"/>
      <protection locked="0"/>
    </xf>
    <xf numFmtId="0" fontId="57" fillId="0" borderId="0" xfId="0" applyFont="1" applyAlignment="1">
      <alignment vertical="center"/>
    </xf>
    <xf numFmtId="0" fontId="28" fillId="0" borderId="32" xfId="0" applyFont="1" applyBorder="1" applyAlignment="1">
      <alignment horizontal="center" vertical="center"/>
    </xf>
    <xf numFmtId="0" fontId="23" fillId="0" borderId="3" xfId="0" applyFont="1" applyBorder="1" applyAlignment="1">
      <alignment vertical="center"/>
    </xf>
    <xf numFmtId="0" fontId="23" fillId="0" borderId="33" xfId="0" applyFont="1" applyBorder="1" applyAlignment="1">
      <alignment vertical="center"/>
    </xf>
    <xf numFmtId="0" fontId="82" fillId="0" borderId="32" xfId="0" applyFont="1" applyBorder="1" applyAlignment="1">
      <alignment horizontal="center" vertical="center"/>
    </xf>
    <xf numFmtId="0" fontId="23" fillId="0" borderId="34" xfId="0" applyFont="1" applyBorder="1" applyAlignment="1">
      <alignment vertical="center"/>
    </xf>
    <xf numFmtId="0" fontId="30" fillId="0" borderId="1" xfId="81" applyFont="1" applyBorder="1" applyAlignment="1">
      <alignment vertical="center"/>
    </xf>
    <xf numFmtId="0" fontId="23" fillId="0" borderId="22" xfId="0" applyFont="1" applyBorder="1" applyAlignment="1">
      <alignment vertical="center"/>
    </xf>
    <xf numFmtId="0" fontId="28" fillId="0" borderId="32" xfId="0" applyFont="1" applyBorder="1" applyAlignment="1" applyProtection="1">
      <alignment horizontal="center" vertical="center"/>
      <protection locked="0"/>
    </xf>
    <xf numFmtId="0" fontId="23" fillId="0" borderId="34" xfId="0" applyFont="1" applyBorder="1" applyAlignment="1" applyProtection="1">
      <alignment vertical="center"/>
      <protection locked="0"/>
    </xf>
    <xf numFmtId="0" fontId="85" fillId="0" borderId="32" xfId="0" applyFont="1" applyBorder="1" applyAlignment="1">
      <alignment horizontal="center" vertical="center"/>
    </xf>
    <xf numFmtId="0" fontId="28" fillId="0" borderId="18" xfId="0" applyFont="1" applyBorder="1" applyAlignment="1">
      <alignment horizontal="center" vertical="center"/>
    </xf>
    <xf numFmtId="0" fontId="22" fillId="0" borderId="35" xfId="0" applyFont="1" applyBorder="1" applyAlignment="1">
      <alignment vertical="center"/>
    </xf>
    <xf numFmtId="49" fontId="26" fillId="0" borderId="0" xfId="0" applyNumberFormat="1" applyFont="1" applyAlignment="1" applyProtection="1">
      <alignment vertical="center"/>
      <protection locked="0"/>
    </xf>
    <xf numFmtId="43" fontId="22" fillId="0" borderId="0" xfId="0" applyNumberFormat="1" applyFont="1" applyAlignment="1">
      <alignment vertical="center"/>
    </xf>
    <xf numFmtId="0" fontId="28" fillId="9" borderId="0" xfId="0" applyFont="1" applyFill="1" applyAlignment="1">
      <alignment horizontal="left" vertical="center"/>
    </xf>
    <xf numFmtId="0" fontId="78" fillId="0" borderId="0" xfId="0" applyFont="1" applyAlignment="1" applyProtection="1">
      <alignment horizontal="left" vertical="center" wrapText="1"/>
      <protection locked="0"/>
    </xf>
    <xf numFmtId="0" fontId="28" fillId="0" borderId="0" xfId="95" applyFont="1" applyAlignment="1" applyProtection="1">
      <alignment horizontal="left" vertical="center"/>
      <protection locked="0"/>
    </xf>
    <xf numFmtId="0" fontId="30" fillId="0" borderId="0" xfId="95" applyFont="1" applyAlignment="1" applyProtection="1">
      <alignment horizontal="center" vertical="center"/>
      <protection locked="0"/>
    </xf>
    <xf numFmtId="176" fontId="30" fillId="14" borderId="0" xfId="0" applyNumberFormat="1" applyFont="1" applyFill="1" applyAlignment="1">
      <alignment vertical="center"/>
    </xf>
    <xf numFmtId="178" fontId="30" fillId="0" borderId="0" xfId="1" applyFont="1" applyAlignment="1" applyProtection="1">
      <alignment horizontal="left" vertical="center" shrinkToFit="1"/>
      <protection locked="0"/>
    </xf>
    <xf numFmtId="0" fontId="28" fillId="0" borderId="0" xfId="95" applyFont="1" applyAlignment="1" applyProtection="1">
      <alignment horizontal="center" vertical="center"/>
      <protection locked="0"/>
    </xf>
    <xf numFmtId="0" fontId="21" fillId="0" borderId="0" xfId="95" applyFont="1" applyAlignment="1" applyProtection="1">
      <alignment horizontal="center" vertical="center"/>
      <protection locked="0"/>
    </xf>
    <xf numFmtId="0" fontId="21" fillId="10" borderId="36" xfId="47" applyFont="1" applyFill="1" applyBorder="1" applyAlignment="1">
      <alignment vertical="center"/>
    </xf>
    <xf numFmtId="0" fontId="30" fillId="0" borderId="0" xfId="41" applyFont="1" applyAlignment="1" applyProtection="1">
      <alignment horizontal="center" vertical="center"/>
      <protection locked="0"/>
    </xf>
    <xf numFmtId="0" fontId="89" fillId="10" borderId="3" xfId="0" applyFont="1" applyFill="1" applyBorder="1" applyAlignment="1" applyProtection="1">
      <alignment vertical="center"/>
      <protection locked="0"/>
    </xf>
    <xf numFmtId="0" fontId="21" fillId="10" borderId="31" xfId="8" applyFont="1" applyFill="1" applyBorder="1" applyAlignment="1" applyProtection="1">
      <alignment horizontal="center" vertical="center" wrapText="1"/>
      <protection locked="0"/>
    </xf>
    <xf numFmtId="0" fontId="89" fillId="0" borderId="0" xfId="0" applyFont="1" applyAlignment="1">
      <alignment vertical="center"/>
    </xf>
    <xf numFmtId="0" fontId="94" fillId="3" borderId="7" xfId="0" applyFont="1" applyFill="1" applyBorder="1" applyAlignment="1">
      <alignment vertical="center"/>
    </xf>
    <xf numFmtId="0" fontId="95" fillId="10" borderId="0" xfId="0" applyFont="1" applyFill="1" applyAlignment="1">
      <alignment vertical="center"/>
    </xf>
    <xf numFmtId="0" fontId="30" fillId="0" borderId="45" xfId="57" applyFont="1" applyBorder="1" applyAlignment="1" applyProtection="1">
      <alignment horizontal="left" vertical="center"/>
      <protection locked="0"/>
    </xf>
    <xf numFmtId="0" fontId="22" fillId="12" borderId="31" xfId="0" applyFont="1" applyFill="1" applyBorder="1" applyAlignment="1">
      <alignment horizontal="center" vertical="center"/>
    </xf>
    <xf numFmtId="0" fontId="21" fillId="9" borderId="1" xfId="0" applyFont="1" applyFill="1" applyBorder="1" applyAlignment="1">
      <alignment horizontal="center" vertical="center" wrapText="1"/>
    </xf>
    <xf numFmtId="0" fontId="30" fillId="12" borderId="31" xfId="0" applyFont="1" applyFill="1" applyBorder="1" applyAlignment="1">
      <alignment horizontal="center" vertical="center" wrapText="1"/>
    </xf>
    <xf numFmtId="0" fontId="21" fillId="12" borderId="31" xfId="0" applyFont="1" applyFill="1" applyBorder="1" applyAlignment="1">
      <alignment horizontal="center" vertical="center" wrapText="1"/>
    </xf>
    <xf numFmtId="0" fontId="97" fillId="0" borderId="0" xfId="0" applyFont="1" applyAlignment="1" applyProtection="1">
      <alignment horizontal="left" vertical="center"/>
      <protection locked="0"/>
    </xf>
    <xf numFmtId="0" fontId="30" fillId="4" borderId="9" xfId="0" applyFont="1" applyFill="1" applyBorder="1" applyAlignment="1" applyProtection="1">
      <alignment horizontal="centerContinuous" vertical="center"/>
      <protection locked="0"/>
    </xf>
    <xf numFmtId="0" fontId="99" fillId="0" borderId="0" xfId="0" applyFont="1" applyAlignment="1" applyProtection="1">
      <alignment vertical="center"/>
      <protection locked="0"/>
    </xf>
    <xf numFmtId="0" fontId="101" fillId="5" borderId="0" xfId="0" applyFont="1" applyFill="1" applyAlignment="1">
      <alignment vertical="center"/>
    </xf>
    <xf numFmtId="0" fontId="21" fillId="0" borderId="31" xfId="0" applyFont="1" applyBorder="1" applyAlignment="1">
      <alignment horizontal="left" vertical="center" wrapText="1"/>
    </xf>
    <xf numFmtId="0" fontId="29" fillId="0" borderId="31" xfId="0" applyFont="1" applyBorder="1" applyAlignment="1">
      <alignment horizontal="left" vertical="center" wrapText="1"/>
    </xf>
    <xf numFmtId="0" fontId="102" fillId="0" borderId="0" xfId="0" applyFont="1" applyAlignment="1">
      <alignment vertical="center"/>
    </xf>
    <xf numFmtId="49" fontId="32" fillId="10" borderId="31" xfId="42" applyNumberFormat="1" applyFont="1" applyFill="1" applyBorder="1" applyAlignment="1" applyProtection="1">
      <alignment horizontal="center" vertical="center" wrapText="1"/>
      <protection locked="0"/>
    </xf>
    <xf numFmtId="0" fontId="25" fillId="3" borderId="9" xfId="0" applyFont="1" applyFill="1" applyBorder="1" applyAlignment="1" applyProtection="1">
      <alignment horizontal="left" vertical="center"/>
      <protection locked="0"/>
    </xf>
    <xf numFmtId="0" fontId="44" fillId="10" borderId="31" xfId="0" applyFont="1" applyFill="1" applyBorder="1" applyAlignment="1">
      <alignment horizontal="center" vertical="center" wrapText="1"/>
    </xf>
    <xf numFmtId="0" fontId="104" fillId="3" borderId="1" xfId="0" applyFont="1" applyFill="1" applyBorder="1" applyAlignment="1" applyProtection="1">
      <alignment horizontal="left" vertical="center"/>
      <protection locked="0"/>
    </xf>
    <xf numFmtId="0" fontId="80" fillId="0" borderId="31" xfId="48" quotePrefix="1" applyFont="1" applyFill="1" applyBorder="1" applyAlignment="1">
      <alignment horizontal="center" vertical="center" wrapText="1"/>
    </xf>
    <xf numFmtId="0" fontId="80" fillId="0" borderId="31" xfId="48" quotePrefix="1" applyFont="1" applyBorder="1" applyAlignment="1">
      <alignment horizontal="center" vertical="center" wrapText="1"/>
    </xf>
    <xf numFmtId="0" fontId="63" fillId="0" borderId="0" xfId="48" applyFont="1" applyAlignment="1">
      <alignment vertical="center"/>
    </xf>
    <xf numFmtId="0" fontId="23" fillId="0" borderId="31" xfId="0" applyFont="1" applyBorder="1" applyAlignment="1">
      <alignment horizontal="center" vertical="center"/>
    </xf>
    <xf numFmtId="0" fontId="23" fillId="0" borderId="31" xfId="0" applyFont="1" applyBorder="1" applyAlignment="1">
      <alignment horizontal="left" vertical="center"/>
    </xf>
    <xf numFmtId="0" fontId="102" fillId="0" borderId="31" xfId="0" applyFont="1" applyBorder="1" applyAlignment="1" applyProtection="1">
      <alignment vertical="center"/>
      <protection locked="0"/>
    </xf>
    <xf numFmtId="0" fontId="102" fillId="0" borderId="0" xfId="0" applyFont="1" applyAlignment="1" applyProtection="1">
      <alignment vertical="center"/>
      <protection locked="0"/>
    </xf>
    <xf numFmtId="0" fontId="102" fillId="0" borderId="0" xfId="0" applyFont="1" applyAlignment="1" applyProtection="1">
      <alignment horizontal="left" vertical="center"/>
      <protection locked="0"/>
    </xf>
    <xf numFmtId="0" fontId="102" fillId="5" borderId="0" xfId="0" applyFont="1" applyFill="1" applyAlignment="1" applyProtection="1">
      <alignment vertical="center"/>
      <protection locked="0"/>
    </xf>
    <xf numFmtId="182" fontId="101" fillId="2" borderId="0" xfId="0" applyNumberFormat="1" applyFont="1" applyFill="1" applyAlignment="1" applyProtection="1">
      <alignment horizontal="right" vertical="center"/>
      <protection locked="0"/>
    </xf>
    <xf numFmtId="0" fontId="108" fillId="10" borderId="0" xfId="0" applyFont="1" applyFill="1" applyAlignment="1">
      <alignment vertical="center"/>
    </xf>
    <xf numFmtId="180" fontId="93" fillId="0" borderId="1" xfId="1" applyNumberFormat="1" applyFont="1" applyBorder="1" applyAlignment="1">
      <alignment vertical="center"/>
    </xf>
    <xf numFmtId="0" fontId="89" fillId="11" borderId="15" xfId="0" applyFont="1" applyFill="1" applyBorder="1" applyAlignment="1">
      <alignment horizontal="left" vertical="center"/>
    </xf>
    <xf numFmtId="0" fontId="89" fillId="11" borderId="16" xfId="0" applyFont="1" applyFill="1" applyBorder="1" applyAlignment="1">
      <alignment horizontal="left" vertical="center"/>
    </xf>
    <xf numFmtId="0" fontId="93" fillId="0" borderId="0" xfId="0" applyFont="1" applyAlignment="1">
      <alignment vertical="center"/>
    </xf>
    <xf numFmtId="0" fontId="89" fillId="0" borderId="0" xfId="0" applyFont="1" applyAlignment="1">
      <alignment horizontal="left" vertical="center"/>
    </xf>
    <xf numFmtId="0" fontId="109" fillId="0" borderId="0" xfId="0" quotePrefix="1" applyFont="1" applyAlignment="1" applyProtection="1">
      <alignment horizontal="center" vertical="top" wrapText="1"/>
      <protection locked="0"/>
    </xf>
    <xf numFmtId="0" fontId="110" fillId="0" borderId="0" xfId="0" applyFont="1" applyAlignment="1">
      <alignment vertical="center"/>
    </xf>
    <xf numFmtId="0" fontId="102" fillId="0" borderId="0" xfId="0" applyFont="1"/>
    <xf numFmtId="0" fontId="97" fillId="0" borderId="0" xfId="0" applyFont="1" applyAlignment="1" applyProtection="1">
      <alignment horizontal="center" vertical="center"/>
      <protection locked="0"/>
    </xf>
    <xf numFmtId="0" fontId="109" fillId="0" borderId="0" xfId="0" applyFont="1" applyAlignment="1" applyProtection="1">
      <alignment horizontal="center" vertical="center"/>
      <protection locked="0"/>
    </xf>
    <xf numFmtId="39" fontId="101" fillId="10" borderId="31" xfId="42" applyNumberFormat="1" applyFont="1" applyFill="1" applyBorder="1" applyAlignment="1" applyProtection="1">
      <alignment horizontal="center" vertical="center"/>
      <protection locked="0"/>
    </xf>
    <xf numFmtId="39" fontId="101" fillId="10" borderId="31" xfId="42" applyNumberFormat="1" applyFont="1" applyFill="1" applyBorder="1" applyAlignment="1" applyProtection="1">
      <alignment horizontal="center" vertical="center" wrapText="1"/>
      <protection locked="0"/>
    </xf>
    <xf numFmtId="39" fontId="89" fillId="10" borderId="31" xfId="42" applyNumberFormat="1" applyFont="1" applyFill="1" applyBorder="1" applyAlignment="1" applyProtection="1">
      <alignment horizontal="center" vertical="center" wrapText="1"/>
      <protection locked="0"/>
    </xf>
    <xf numFmtId="49" fontId="89" fillId="10" borderId="31" xfId="42" applyNumberFormat="1" applyFont="1" applyFill="1" applyBorder="1" applyAlignment="1" applyProtection="1">
      <alignment horizontal="center" vertical="center" wrapText="1"/>
      <protection locked="0"/>
    </xf>
    <xf numFmtId="39" fontId="68" fillId="10" borderId="31" xfId="42" applyNumberFormat="1" applyFont="1" applyFill="1" applyBorder="1" applyAlignment="1" applyProtection="1">
      <alignment horizontal="center" vertical="center" wrapText="1"/>
      <protection locked="0"/>
    </xf>
    <xf numFmtId="0" fontId="93" fillId="5" borderId="0" xfId="0" applyFont="1" applyFill="1" applyAlignment="1">
      <alignment vertical="center"/>
    </xf>
    <xf numFmtId="182" fontId="101" fillId="0" borderId="10" xfId="0" applyNumberFormat="1" applyFont="1" applyBorder="1" applyAlignment="1" applyProtection="1">
      <alignment horizontal="right" vertical="center"/>
      <protection locked="0"/>
    </xf>
    <xf numFmtId="182" fontId="101" fillId="0" borderId="17" xfId="1" applyNumberFormat="1" applyFont="1" applyFill="1" applyBorder="1" applyAlignment="1" applyProtection="1">
      <alignment horizontal="right" vertical="center"/>
      <protection locked="0"/>
    </xf>
    <xf numFmtId="182" fontId="101" fillId="5" borderId="0" xfId="0" applyNumberFormat="1" applyFont="1" applyFill="1" applyAlignment="1" applyProtection="1">
      <alignment horizontal="right" vertical="center"/>
      <protection locked="0"/>
    </xf>
    <xf numFmtId="0" fontId="101" fillId="0" borderId="0" xfId="0" applyFont="1" applyAlignment="1" applyProtection="1">
      <alignment vertical="center"/>
      <protection locked="0"/>
    </xf>
    <xf numFmtId="39" fontId="97" fillId="0" borderId="0" xfId="42" applyNumberFormat="1" applyFont="1" applyAlignment="1" applyProtection="1">
      <alignment horizontal="center" vertical="center"/>
      <protection locked="0"/>
    </xf>
    <xf numFmtId="39" fontId="102" fillId="0" borderId="0" xfId="0" applyNumberFormat="1" applyFont="1" applyAlignment="1" applyProtection="1">
      <alignment vertical="center"/>
      <protection locked="0"/>
    </xf>
    <xf numFmtId="39" fontId="101" fillId="0" borderId="0" xfId="42" applyNumberFormat="1" applyFont="1" applyAlignment="1" applyProtection="1">
      <alignment horizontal="center" vertical="center"/>
      <protection locked="0"/>
    </xf>
    <xf numFmtId="182" fontId="101" fillId="0" borderId="0" xfId="42" applyNumberFormat="1" applyFont="1" applyAlignment="1" applyProtection="1">
      <alignment horizontal="right" vertical="center"/>
      <protection locked="0"/>
    </xf>
    <xf numFmtId="182" fontId="97" fillId="0" borderId="0" xfId="28" applyNumberFormat="1" applyFont="1" applyFill="1" applyBorder="1" applyAlignment="1" applyProtection="1">
      <alignment horizontal="center" vertical="center"/>
      <protection locked="0"/>
    </xf>
    <xf numFmtId="39" fontId="97" fillId="0" borderId="0" xfId="42" applyNumberFormat="1" applyFont="1" applyAlignment="1" applyProtection="1">
      <alignment horizontal="right" vertical="center"/>
      <protection locked="0"/>
    </xf>
    <xf numFmtId="0" fontId="102" fillId="0" borderId="0" xfId="0" applyFont="1" applyAlignment="1">
      <alignment horizontal="left" vertical="center"/>
    </xf>
    <xf numFmtId="0" fontId="106" fillId="0" borderId="0" xfId="0" applyFont="1" applyAlignment="1" applyProtection="1">
      <alignment vertical="center"/>
      <protection locked="0"/>
    </xf>
    <xf numFmtId="182" fontId="97" fillId="0" borderId="0" xfId="28" applyNumberFormat="1" applyFont="1" applyFill="1" applyBorder="1" applyAlignment="1" applyProtection="1">
      <alignment horizontal="right" vertical="center"/>
      <protection locked="0"/>
    </xf>
    <xf numFmtId="0" fontId="101" fillId="0" borderId="0" xfId="0" applyFont="1" applyAlignment="1">
      <alignment horizontal="right" vertical="center"/>
    </xf>
    <xf numFmtId="0" fontId="89" fillId="5" borderId="10" xfId="0" applyFont="1" applyFill="1" applyBorder="1" applyAlignment="1">
      <alignment vertical="center"/>
    </xf>
    <xf numFmtId="0" fontId="89" fillId="0" borderId="10" xfId="0" applyFont="1" applyBorder="1" applyAlignment="1">
      <alignment vertical="center"/>
    </xf>
    <xf numFmtId="39" fontId="101" fillId="0" borderId="10" xfId="42" applyNumberFormat="1" applyFont="1" applyBorder="1" applyAlignment="1" applyProtection="1">
      <alignment horizontal="center" vertical="center" wrapText="1"/>
      <protection locked="0"/>
    </xf>
    <xf numFmtId="39" fontId="101" fillId="0" borderId="10" xfId="42" applyNumberFormat="1" applyFont="1" applyBorder="1" applyAlignment="1" applyProtection="1">
      <alignment horizontal="center" vertical="center"/>
      <protection locked="0"/>
    </xf>
    <xf numFmtId="0" fontId="102" fillId="0" borderId="10" xfId="0" applyFont="1" applyBorder="1" applyAlignment="1">
      <alignment horizontal="center" vertical="center"/>
    </xf>
    <xf numFmtId="0" fontId="102" fillId="0" borderId="0" xfId="0" applyFont="1" applyAlignment="1" applyProtection="1">
      <alignment horizontal="center" vertical="center"/>
      <protection locked="0"/>
    </xf>
    <xf numFmtId="180" fontId="101" fillId="0" borderId="21" xfId="1" applyNumberFormat="1" applyFont="1" applyBorder="1" applyAlignment="1">
      <alignment horizontal="center" vertical="center"/>
    </xf>
    <xf numFmtId="0" fontId="97" fillId="0" borderId="10" xfId="28" applyNumberFormat="1" applyFont="1" applyFill="1" applyBorder="1" applyAlignment="1" applyProtection="1">
      <alignment horizontal="right" vertical="center"/>
      <protection locked="0"/>
    </xf>
    <xf numFmtId="39" fontId="101" fillId="0" borderId="0" xfId="42" applyNumberFormat="1" applyFont="1" applyAlignment="1" applyProtection="1">
      <alignment horizontal="center" vertical="center" wrapText="1"/>
      <protection locked="0"/>
    </xf>
    <xf numFmtId="39" fontId="101" fillId="0" borderId="0" xfId="42" applyNumberFormat="1" applyFont="1" applyAlignment="1" applyProtection="1">
      <alignment horizontal="left" vertical="center"/>
      <protection locked="0"/>
    </xf>
    <xf numFmtId="39" fontId="101" fillId="0" borderId="0" xfId="42" applyNumberFormat="1" applyFont="1" applyAlignment="1" applyProtection="1">
      <alignment horizontal="left" vertical="center" wrapText="1"/>
      <protection locked="0"/>
    </xf>
    <xf numFmtId="182" fontId="101" fillId="0" borderId="0" xfId="42" applyNumberFormat="1" applyFont="1" applyAlignment="1" applyProtection="1">
      <alignment horizontal="right" vertical="center" wrapText="1"/>
      <protection locked="0"/>
    </xf>
    <xf numFmtId="182" fontId="102" fillId="0" borderId="0" xfId="0" applyNumberFormat="1" applyFont="1" applyAlignment="1">
      <alignment horizontal="right" vertical="center"/>
    </xf>
    <xf numFmtId="43" fontId="89" fillId="0" borderId="0" xfId="0" applyNumberFormat="1" applyFont="1" applyAlignment="1">
      <alignment vertical="center"/>
    </xf>
    <xf numFmtId="0" fontId="111" fillId="0" borderId="0" xfId="0" applyFont="1" applyAlignment="1" applyProtection="1">
      <alignment vertical="center"/>
      <protection locked="0"/>
    </xf>
    <xf numFmtId="0" fontId="112" fillId="0" borderId="0" xfId="0" applyFont="1" applyAlignment="1" applyProtection="1">
      <alignment horizontal="center" vertical="center"/>
      <protection locked="0"/>
    </xf>
    <xf numFmtId="178" fontId="102" fillId="0" borderId="0" xfId="1" applyFont="1" applyAlignment="1" applyProtection="1">
      <alignment vertical="center"/>
      <protection locked="0"/>
    </xf>
    <xf numFmtId="182" fontId="112" fillId="0" borderId="0" xfId="0" applyNumberFormat="1" applyFont="1" applyAlignment="1" applyProtection="1">
      <alignment horizontal="right" vertical="center"/>
      <protection locked="0"/>
    </xf>
    <xf numFmtId="178" fontId="102" fillId="0" borderId="0" xfId="1" applyFont="1" applyFill="1" applyAlignment="1" applyProtection="1">
      <alignment horizontal="left" vertical="center"/>
      <protection locked="0"/>
    </xf>
    <xf numFmtId="0" fontId="112" fillId="0" borderId="0" xfId="0" applyFont="1" applyAlignment="1" applyProtection="1">
      <alignment horizontal="left" vertical="center"/>
      <protection locked="0"/>
    </xf>
    <xf numFmtId="0" fontId="111" fillId="0" borderId="0" xfId="0" applyFont="1" applyAlignment="1" applyProtection="1">
      <alignment horizontal="left" vertical="center"/>
      <protection locked="0"/>
    </xf>
    <xf numFmtId="0" fontId="97" fillId="0" borderId="0" xfId="38" applyNumberFormat="1" applyFont="1" applyAlignment="1" applyProtection="1">
      <alignment horizontal="left" vertical="center"/>
      <protection locked="0"/>
    </xf>
    <xf numFmtId="178" fontId="102" fillId="0" borderId="0" xfId="1" applyFont="1" applyFill="1" applyBorder="1" applyAlignment="1" applyProtection="1">
      <alignment horizontal="right" vertical="center" shrinkToFit="1"/>
      <protection locked="0"/>
    </xf>
    <xf numFmtId="0" fontId="68" fillId="11" borderId="31" xfId="0" applyFont="1" applyFill="1" applyBorder="1" applyAlignment="1">
      <alignment horizontal="center" vertical="center" wrapText="1"/>
    </xf>
    <xf numFmtId="0" fontId="89" fillId="11" borderId="31" xfId="0" applyFont="1" applyFill="1" applyBorder="1" applyAlignment="1">
      <alignment horizontal="center" vertical="center"/>
    </xf>
    <xf numFmtId="0" fontId="89" fillId="11" borderId="31" xfId="0" applyFont="1" applyFill="1" applyBorder="1" applyAlignment="1">
      <alignment horizontal="center" vertical="center" wrapText="1"/>
    </xf>
    <xf numFmtId="39" fontId="89" fillId="11" borderId="31" xfId="0" applyNumberFormat="1" applyFont="1" applyFill="1" applyBorder="1" applyAlignment="1">
      <alignment horizontal="center" vertical="center" wrapText="1"/>
    </xf>
    <xf numFmtId="0" fontId="97" fillId="10" borderId="31" xfId="8" applyFont="1" applyFill="1" applyBorder="1" applyAlignment="1">
      <alignment horizontal="center" vertical="center" wrapText="1"/>
    </xf>
    <xf numFmtId="43" fontId="102" fillId="0" borderId="31" xfId="0" applyNumberFormat="1" applyFont="1" applyBorder="1" applyAlignment="1" applyProtection="1">
      <alignment vertical="center"/>
      <protection locked="0"/>
    </xf>
    <xf numFmtId="43" fontId="102" fillId="0" borderId="0" xfId="0" applyNumberFormat="1" applyFont="1" applyAlignment="1" applyProtection="1">
      <alignment vertical="center"/>
      <protection locked="0"/>
    </xf>
    <xf numFmtId="0" fontId="102" fillId="0" borderId="0" xfId="0" applyFont="1" applyAlignment="1" applyProtection="1">
      <alignment horizontal="center" vertical="center" wrapText="1"/>
      <protection locked="0"/>
    </xf>
    <xf numFmtId="178" fontId="102" fillId="0" borderId="0" xfId="1" applyFont="1" applyAlignment="1" applyProtection="1">
      <alignment horizontal="center" vertical="center"/>
      <protection locked="0"/>
    </xf>
    <xf numFmtId="44" fontId="102" fillId="0" borderId="0" xfId="0" applyNumberFormat="1" applyFont="1" applyAlignment="1" applyProtection="1">
      <alignment vertical="center"/>
      <protection locked="0"/>
    </xf>
    <xf numFmtId="178" fontId="102" fillId="0" borderId="0" xfId="1" applyFont="1" applyAlignment="1" applyProtection="1">
      <alignment horizontal="left" vertical="center"/>
      <protection locked="0"/>
    </xf>
    <xf numFmtId="0" fontId="50" fillId="10" borderId="31" xfId="0" applyFont="1" applyFill="1" applyBorder="1" applyAlignment="1">
      <alignment horizontal="centerContinuous" vertical="center"/>
    </xf>
    <xf numFmtId="49" fontId="68" fillId="10" borderId="31" xfId="0" applyNumberFormat="1" applyFont="1" applyFill="1" applyBorder="1" applyAlignment="1">
      <alignment horizontal="center" vertical="center" wrapText="1"/>
    </xf>
    <xf numFmtId="0" fontId="28" fillId="10" borderId="31" xfId="0" applyFont="1" applyFill="1" applyBorder="1" applyAlignment="1">
      <alignment horizontal="centerContinuous" vertical="center" wrapText="1"/>
    </xf>
    <xf numFmtId="0" fontId="50" fillId="10" borderId="31" xfId="41" applyFont="1" applyFill="1" applyBorder="1" applyAlignment="1" applyProtection="1">
      <alignment horizontal="center" vertical="center" wrapText="1"/>
      <protection locked="0"/>
    </xf>
    <xf numFmtId="0" fontId="114" fillId="4" borderId="4" xfId="0" applyFont="1" applyFill="1" applyBorder="1" applyAlignment="1" applyProtection="1">
      <alignment horizontal="centerContinuous" vertical="center"/>
      <protection locked="0"/>
    </xf>
    <xf numFmtId="0" fontId="30" fillId="4" borderId="6" xfId="41" applyFont="1" applyFill="1" applyBorder="1" applyAlignment="1" applyProtection="1">
      <alignment horizontal="centerContinuous" vertical="center"/>
      <protection locked="0"/>
    </xf>
    <xf numFmtId="0" fontId="30" fillId="4" borderId="5" xfId="41" applyFont="1" applyFill="1" applyBorder="1" applyAlignment="1" applyProtection="1">
      <alignment horizontal="centerContinuous" vertical="center"/>
      <protection locked="0"/>
    </xf>
    <xf numFmtId="0" fontId="30" fillId="0" borderId="0" xfId="41" applyFont="1" applyAlignment="1" applyProtection="1">
      <alignment horizontal="centerContinuous" vertical="center"/>
      <protection locked="0"/>
    </xf>
    <xf numFmtId="0" fontId="23" fillId="2" borderId="0" xfId="41" applyFont="1" applyFill="1" applyProtection="1">
      <protection locked="0"/>
    </xf>
    <xf numFmtId="0" fontId="23" fillId="0" borderId="0" xfId="41" applyFont="1" applyAlignment="1" applyProtection="1">
      <alignment vertical="center"/>
      <protection locked="0"/>
    </xf>
    <xf numFmtId="0" fontId="76" fillId="0" borderId="0" xfId="41" applyFont="1" applyAlignment="1" applyProtection="1">
      <alignment vertical="center"/>
      <protection locked="0"/>
    </xf>
    <xf numFmtId="0" fontId="76" fillId="0" borderId="3" xfId="41" applyFont="1" applyBorder="1" applyAlignment="1" applyProtection="1">
      <alignment vertical="center"/>
      <protection locked="0"/>
    </xf>
    <xf numFmtId="0" fontId="30" fillId="0" borderId="0" xfId="41" applyFont="1" applyAlignment="1" applyProtection="1">
      <alignment horizontal="left" vertical="center" wrapText="1"/>
      <protection locked="0"/>
    </xf>
    <xf numFmtId="0" fontId="25" fillId="10" borderId="3" xfId="41" applyFont="1" applyFill="1" applyBorder="1" applyAlignment="1">
      <alignment vertical="center"/>
    </xf>
    <xf numFmtId="0" fontId="23" fillId="10" borderId="3" xfId="41" applyFont="1" applyFill="1" applyBorder="1" applyAlignment="1" applyProtection="1">
      <alignment vertical="center"/>
      <protection locked="0"/>
    </xf>
    <xf numFmtId="0" fontId="28" fillId="0" borderId="0" xfId="41" applyFont="1" applyAlignment="1" applyProtection="1">
      <alignment vertical="center"/>
      <protection locked="0"/>
    </xf>
    <xf numFmtId="0" fontId="28" fillId="0" borderId="0" xfId="41" applyFont="1" applyAlignment="1" applyProtection="1">
      <alignment horizontal="left" vertical="center"/>
      <protection locked="0"/>
    </xf>
    <xf numFmtId="0" fontId="30" fillId="0" borderId="13" xfId="41" applyFont="1" applyBorder="1" applyAlignment="1" applyProtection="1">
      <alignment vertical="center"/>
      <protection locked="0"/>
    </xf>
    <xf numFmtId="0" fontId="72" fillId="0" borderId="0" xfId="41" applyFont="1"/>
    <xf numFmtId="180" fontId="30" fillId="0" borderId="5" xfId="1" applyNumberFormat="1" applyFont="1" applyFill="1" applyBorder="1" applyAlignment="1" applyProtection="1">
      <alignment vertical="center" wrapText="1"/>
      <protection locked="0"/>
    </xf>
    <xf numFmtId="14" fontId="28" fillId="0" borderId="0" xfId="41" applyNumberFormat="1" applyFont="1" applyAlignment="1" applyProtection="1">
      <alignment horizontal="left" vertical="center"/>
      <protection locked="0"/>
    </xf>
    <xf numFmtId="0" fontId="21" fillId="0" borderId="0" xfId="41" applyFont="1" applyAlignment="1" applyProtection="1">
      <alignment vertical="center" wrapText="1"/>
      <protection locked="0"/>
    </xf>
    <xf numFmtId="0" fontId="25" fillId="0" borderId="0" xfId="41" applyFont="1" applyAlignment="1">
      <alignment vertical="center"/>
    </xf>
    <xf numFmtId="14" fontId="25" fillId="0" borderId="0" xfId="41" applyNumberFormat="1" applyFont="1" applyAlignment="1">
      <alignment vertical="center"/>
    </xf>
    <xf numFmtId="176" fontId="28" fillId="0" borderId="0" xfId="41" applyNumberFormat="1" applyFont="1" applyAlignment="1" applyProtection="1">
      <alignment horizontal="left" vertical="center"/>
      <protection locked="0"/>
    </xf>
    <xf numFmtId="176" fontId="77" fillId="0" borderId="0" xfId="41" applyNumberFormat="1" applyFont="1" applyAlignment="1" applyProtection="1">
      <alignment horizontal="center" vertical="center"/>
      <protection locked="0"/>
    </xf>
    <xf numFmtId="0" fontId="79" fillId="0" borderId="0" xfId="41" applyFont="1" applyAlignment="1" applyProtection="1">
      <alignment vertical="center"/>
      <protection locked="0"/>
    </xf>
    <xf numFmtId="0" fontId="21" fillId="10" borderId="1" xfId="41" applyFont="1" applyFill="1" applyBorder="1" applyAlignment="1" applyProtection="1">
      <alignment vertical="center"/>
      <protection locked="0"/>
    </xf>
    <xf numFmtId="0" fontId="21" fillId="10" borderId="8" xfId="41" applyFont="1" applyFill="1" applyBorder="1" applyAlignment="1" applyProtection="1">
      <alignment vertical="center"/>
      <protection locked="0"/>
    </xf>
    <xf numFmtId="0" fontId="21" fillId="10" borderId="9" xfId="41" applyFont="1" applyFill="1" applyBorder="1" applyAlignment="1" applyProtection="1">
      <alignment vertical="center"/>
      <protection locked="0"/>
    </xf>
    <xf numFmtId="0" fontId="22" fillId="0" borderId="1" xfId="41" applyFont="1" applyBorder="1" applyAlignment="1" applyProtection="1">
      <alignment horizontal="left" vertical="center" indent="2"/>
      <protection locked="0"/>
    </xf>
    <xf numFmtId="0" fontId="25" fillId="0" borderId="8" xfId="41" applyFont="1" applyBorder="1" applyAlignment="1" applyProtection="1">
      <alignment vertical="center"/>
      <protection locked="0"/>
    </xf>
    <xf numFmtId="0" fontId="25" fillId="0" borderId="9" xfId="41" applyFont="1" applyBorder="1" applyAlignment="1" applyProtection="1">
      <alignment vertical="center"/>
      <protection locked="0"/>
    </xf>
    <xf numFmtId="0" fontId="22" fillId="0" borderId="8" xfId="41" applyFont="1" applyBorder="1" applyAlignment="1" applyProtection="1">
      <alignment vertical="center"/>
      <protection locked="0"/>
    </xf>
    <xf numFmtId="0" fontId="22" fillId="0" borderId="9" xfId="41" applyFont="1" applyBorder="1" applyAlignment="1" applyProtection="1">
      <alignment vertical="center"/>
      <protection locked="0"/>
    </xf>
    <xf numFmtId="0" fontId="22" fillId="0" borderId="8" xfId="41" applyFont="1" applyBorder="1" applyAlignment="1" applyProtection="1">
      <alignment horizontal="left" vertical="center" indent="2"/>
      <protection locked="0"/>
    </xf>
    <xf numFmtId="0" fontId="22" fillId="0" borderId="9" xfId="41" applyFont="1" applyBorder="1" applyAlignment="1" applyProtection="1">
      <alignment horizontal="left" vertical="center" indent="2"/>
      <protection locked="0"/>
    </xf>
    <xf numFmtId="0" fontId="22" fillId="0" borderId="0" xfId="41" applyFont="1" applyAlignment="1" applyProtection="1">
      <alignment vertical="center"/>
      <protection locked="0"/>
    </xf>
    <xf numFmtId="0" fontId="21" fillId="0" borderId="0" xfId="41" applyFont="1" applyAlignment="1">
      <alignment vertical="center"/>
    </xf>
    <xf numFmtId="0" fontId="23" fillId="0" borderId="13" xfId="41" applyFont="1" applyBorder="1" applyAlignment="1" applyProtection="1">
      <alignment vertical="center"/>
      <protection locked="0"/>
    </xf>
    <xf numFmtId="0" fontId="28" fillId="0" borderId="0" xfId="41" applyFont="1" applyAlignment="1" applyProtection="1">
      <alignment horizontal="center" vertical="center"/>
      <protection locked="0"/>
    </xf>
    <xf numFmtId="178" fontId="21" fillId="10" borderId="25" xfId="7" applyFont="1" applyFill="1" applyBorder="1" applyAlignment="1" applyProtection="1">
      <alignment horizontal="center" vertical="center" wrapText="1"/>
    </xf>
    <xf numFmtId="0" fontId="78" fillId="10" borderId="25" xfId="41" applyFont="1" applyFill="1" applyBorder="1" applyAlignment="1">
      <alignment horizontal="center" vertical="center" wrapText="1"/>
    </xf>
    <xf numFmtId="0" fontId="21" fillId="11" borderId="25" xfId="41" applyFont="1" applyFill="1" applyBorder="1" applyAlignment="1">
      <alignment horizontal="center" vertical="center" wrapText="1"/>
    </xf>
    <xf numFmtId="178" fontId="21" fillId="10" borderId="4" xfId="7" applyFont="1" applyFill="1" applyBorder="1" applyAlignment="1" applyProtection="1">
      <alignment horizontal="center" vertical="center" wrapText="1"/>
    </xf>
    <xf numFmtId="0" fontId="21" fillId="10" borderId="46" xfId="41" applyFont="1" applyFill="1" applyBorder="1" applyAlignment="1" applyProtection="1">
      <alignment horizontal="center" vertical="center" wrapText="1"/>
      <protection locked="0"/>
    </xf>
    <xf numFmtId="39" fontId="21" fillId="10" borderId="5" xfId="66" applyNumberFormat="1" applyFont="1" applyFill="1" applyBorder="1" applyAlignment="1" applyProtection="1">
      <alignment horizontal="center" vertical="center" wrapText="1"/>
      <protection locked="0"/>
    </xf>
    <xf numFmtId="0" fontId="21" fillId="10" borderId="25" xfId="41" applyFont="1" applyFill="1" applyBorder="1" applyAlignment="1" applyProtection="1">
      <alignment horizontal="center" vertical="center" wrapText="1"/>
      <protection locked="0"/>
    </xf>
    <xf numFmtId="0" fontId="25" fillId="10" borderId="25" xfId="41" applyFont="1" applyFill="1" applyBorder="1" applyAlignment="1" applyProtection="1">
      <alignment horizontal="center" vertical="center" wrapText="1"/>
      <protection locked="0"/>
    </xf>
    <xf numFmtId="0" fontId="21" fillId="10" borderId="12" xfId="8" applyFont="1" applyFill="1" applyBorder="1" applyAlignment="1" applyProtection="1">
      <alignment horizontal="center" vertical="center"/>
      <protection locked="0"/>
    </xf>
    <xf numFmtId="0" fontId="21" fillId="10" borderId="12" xfId="7" applyNumberFormat="1" applyFont="1" applyFill="1" applyBorder="1" applyAlignment="1" applyProtection="1">
      <alignment horizontal="center" vertical="center"/>
      <protection locked="0"/>
    </xf>
    <xf numFmtId="49" fontId="30" fillId="0" borderId="31" xfId="1" applyNumberFormat="1" applyFont="1" applyFill="1" applyBorder="1" applyAlignment="1" applyProtection="1">
      <alignment horizontal="left" vertical="center"/>
      <protection locked="0"/>
    </xf>
    <xf numFmtId="0" fontId="23" fillId="0" borderId="0" xfId="41" applyFont="1" applyAlignment="1">
      <alignment vertical="center"/>
    </xf>
    <xf numFmtId="0" fontId="23" fillId="0" borderId="0" xfId="98" applyFont="1" applyAlignment="1" applyProtection="1">
      <alignment vertical="center"/>
      <protection locked="0"/>
    </xf>
    <xf numFmtId="0" fontId="23" fillId="2" borderId="0" xfId="0" applyFont="1" applyFill="1" applyProtection="1">
      <protection locked="0"/>
    </xf>
    <xf numFmtId="0" fontId="51" fillId="0" borderId="0" xfId="41" applyFont="1" applyAlignment="1" applyProtection="1">
      <alignment vertical="center"/>
      <protection locked="0"/>
    </xf>
    <xf numFmtId="0" fontId="25" fillId="0" borderId="0" xfId="41" applyFont="1" applyAlignment="1" applyProtection="1">
      <alignment horizontal="left" vertical="center" indent="2"/>
      <protection locked="0"/>
    </xf>
    <xf numFmtId="0" fontId="25" fillId="0" borderId="30" xfId="41" applyFont="1" applyBorder="1" applyAlignment="1" applyProtection="1">
      <alignment horizontal="left" vertical="center" indent="2"/>
      <protection locked="0"/>
    </xf>
    <xf numFmtId="0" fontId="22" fillId="0" borderId="7" xfId="41" applyFont="1" applyBorder="1" applyAlignment="1" applyProtection="1">
      <alignment horizontal="left" vertical="center" indent="2"/>
      <protection locked="0"/>
    </xf>
    <xf numFmtId="0" fontId="22" fillId="0" borderId="30" xfId="41" applyFont="1" applyBorder="1" applyAlignment="1" applyProtection="1">
      <alignment horizontal="left" vertical="center" indent="2"/>
      <protection locked="0"/>
    </xf>
    <xf numFmtId="0" fontId="30" fillId="5" borderId="4" xfId="98" applyFont="1" applyFill="1" applyBorder="1" applyAlignment="1" applyProtection="1">
      <alignment vertical="center"/>
      <protection locked="0"/>
    </xf>
    <xf numFmtId="0" fontId="22" fillId="5" borderId="0" xfId="98" applyFont="1" applyFill="1" applyAlignment="1" applyProtection="1">
      <alignment horizontal="center" vertical="center" wrapText="1" shrinkToFit="1"/>
      <protection locked="0"/>
    </xf>
    <xf numFmtId="0" fontId="30" fillId="5" borderId="0" xfId="98" applyFont="1" applyFill="1"/>
    <xf numFmtId="0" fontId="30" fillId="5" borderId="0" xfId="98" applyFont="1" applyFill="1" applyAlignment="1" applyProtection="1">
      <alignment vertical="center"/>
      <protection locked="0"/>
    </xf>
    <xf numFmtId="0" fontId="30" fillId="5" borderId="2" xfId="98" applyFont="1" applyFill="1" applyBorder="1" applyAlignment="1" applyProtection="1">
      <alignment vertical="center"/>
      <protection locked="0"/>
    </xf>
    <xf numFmtId="14" fontId="30" fillId="5" borderId="0" xfId="98" applyNumberFormat="1" applyFont="1" applyFill="1" applyAlignment="1" applyProtection="1">
      <alignment horizontal="left" vertical="center"/>
      <protection locked="0"/>
    </xf>
    <xf numFmtId="14" fontId="30" fillId="5" borderId="0" xfId="98" applyNumberFormat="1" applyFont="1" applyFill="1" applyAlignment="1" applyProtection="1">
      <alignment vertical="center"/>
      <protection locked="0"/>
    </xf>
    <xf numFmtId="14" fontId="30" fillId="5" borderId="0" xfId="98" applyNumberFormat="1" applyFont="1" applyFill="1" applyAlignment="1" applyProtection="1">
      <alignment horizontal="left" vertical="top"/>
      <protection locked="0"/>
    </xf>
    <xf numFmtId="0" fontId="21" fillId="5" borderId="0" xfId="98" applyFont="1" applyFill="1" applyAlignment="1" applyProtection="1">
      <alignment vertical="center"/>
      <protection locked="0"/>
    </xf>
    <xf numFmtId="0" fontId="29" fillId="5" borderId="0" xfId="98" applyFont="1" applyFill="1" applyAlignment="1" applyProtection="1">
      <alignment vertical="center"/>
      <protection locked="0"/>
    </xf>
    <xf numFmtId="0" fontId="28" fillId="5" borderId="0" xfId="98" applyFont="1" applyFill="1" applyAlignment="1" applyProtection="1">
      <alignment vertical="center"/>
      <protection locked="0"/>
    </xf>
    <xf numFmtId="0" fontId="28" fillId="0" borderId="0" xfId="41" applyFont="1" applyAlignment="1">
      <alignment horizontal="left" vertical="center"/>
    </xf>
    <xf numFmtId="0" fontId="28" fillId="5" borderId="0" xfId="98" applyFont="1" applyFill="1" applyAlignment="1" applyProtection="1">
      <alignment vertical="center" wrapText="1"/>
      <protection locked="0"/>
    </xf>
    <xf numFmtId="0" fontId="78" fillId="5" borderId="0" xfId="41" applyFont="1" applyFill="1" applyAlignment="1" applyProtection="1">
      <alignment vertical="center"/>
      <protection locked="0"/>
    </xf>
    <xf numFmtId="0" fontId="78" fillId="0" borderId="0" xfId="41" applyFont="1" applyAlignment="1" applyProtection="1">
      <alignment vertical="center"/>
      <protection locked="0"/>
    </xf>
    <xf numFmtId="14" fontId="67" fillId="0" borderId="31" xfId="11" applyNumberFormat="1" applyFont="1" applyFill="1" applyBorder="1" applyAlignment="1" applyProtection="1">
      <alignment horizontal="center" vertical="center" shrinkToFit="1"/>
      <protection locked="0"/>
    </xf>
    <xf numFmtId="178" fontId="21" fillId="5" borderId="31" xfId="11" applyFont="1" applyFill="1" applyBorder="1" applyAlignment="1" applyProtection="1">
      <alignment vertical="center" shrinkToFit="1"/>
      <protection locked="0"/>
    </xf>
    <xf numFmtId="178" fontId="65" fillId="5" borderId="31" xfId="11" applyFont="1" applyFill="1" applyBorder="1" applyAlignment="1" applyProtection="1">
      <alignment horizontal="center" vertical="center" shrinkToFit="1"/>
      <protection locked="0"/>
    </xf>
    <xf numFmtId="9" fontId="65" fillId="5" borderId="31" xfId="31" applyFont="1" applyFill="1" applyBorder="1" applyAlignment="1" applyProtection="1">
      <alignment horizontal="center" vertical="center" shrinkToFit="1"/>
      <protection locked="0"/>
    </xf>
    <xf numFmtId="14" fontId="65" fillId="5" borderId="31" xfId="11" applyNumberFormat="1" applyFont="1" applyFill="1" applyBorder="1" applyAlignment="1" applyProtection="1">
      <alignment horizontal="center" vertical="center" shrinkToFit="1"/>
      <protection locked="0"/>
    </xf>
    <xf numFmtId="49" fontId="25" fillId="5" borderId="31" xfId="11" applyNumberFormat="1" applyFont="1" applyFill="1" applyBorder="1" applyAlignment="1" applyProtection="1">
      <alignment horizontal="center" vertical="center" shrinkToFit="1"/>
      <protection locked="0"/>
    </xf>
    <xf numFmtId="0" fontId="65" fillId="5" borderId="31" xfId="98" applyFont="1" applyFill="1" applyBorder="1" applyAlignment="1" applyProtection="1">
      <alignment horizontal="left" vertical="center" shrinkToFit="1"/>
      <protection locked="0"/>
    </xf>
    <xf numFmtId="0" fontId="65" fillId="5" borderId="31" xfId="98" applyFont="1" applyFill="1" applyBorder="1" applyAlignment="1" applyProtection="1">
      <alignment vertical="center" shrinkToFit="1"/>
      <protection locked="0"/>
    </xf>
    <xf numFmtId="184" fontId="65" fillId="5" borderId="31" xfId="11" applyNumberFormat="1" applyFont="1" applyFill="1" applyBorder="1" applyAlignment="1" applyProtection="1">
      <alignment vertical="center" shrinkToFit="1"/>
      <protection locked="0"/>
    </xf>
    <xf numFmtId="0" fontId="28" fillId="5" borderId="0" xfId="98" applyFont="1" applyFill="1" applyAlignment="1" applyProtection="1">
      <alignment horizontal="center" vertical="center"/>
      <protection locked="0"/>
    </xf>
    <xf numFmtId="0" fontId="28" fillId="5" borderId="4" xfId="41" applyFont="1" applyFill="1" applyBorder="1" applyAlignment="1">
      <alignment horizontal="right" vertical="center"/>
    </xf>
    <xf numFmtId="44" fontId="30" fillId="5" borderId="0" xfId="98" applyNumberFormat="1" applyFont="1" applyFill="1" applyAlignment="1" applyProtection="1">
      <alignment vertical="center"/>
      <protection locked="0"/>
    </xf>
    <xf numFmtId="0" fontId="30" fillId="5" borderId="0" xfId="41" applyFont="1" applyFill="1" applyAlignment="1">
      <alignment vertical="center"/>
    </xf>
    <xf numFmtId="0" fontId="28" fillId="5" borderId="7" xfId="41" applyFont="1" applyFill="1" applyBorder="1" applyAlignment="1">
      <alignment horizontal="right" vertical="center"/>
    </xf>
    <xf numFmtId="0" fontId="30" fillId="5" borderId="7" xfId="41" applyFont="1" applyFill="1" applyBorder="1" applyAlignment="1">
      <alignment vertical="center"/>
    </xf>
    <xf numFmtId="0" fontId="28" fillId="5" borderId="7" xfId="41" applyFont="1" applyFill="1" applyBorder="1" applyAlignment="1">
      <alignment horizontal="left" vertical="center"/>
    </xf>
    <xf numFmtId="182" fontId="30" fillId="5" borderId="9" xfId="41" applyNumberFormat="1" applyFont="1" applyFill="1" applyBorder="1" applyAlignment="1">
      <alignment horizontal="right" vertical="center"/>
    </xf>
    <xf numFmtId="0" fontId="28" fillId="5" borderId="2" xfId="41" applyFont="1" applyFill="1" applyBorder="1" applyAlignment="1">
      <alignment horizontal="left" vertical="center"/>
    </xf>
    <xf numFmtId="0" fontId="30" fillId="5" borderId="3" xfId="41" applyFont="1" applyFill="1" applyBorder="1" applyAlignment="1">
      <alignment vertical="center"/>
    </xf>
    <xf numFmtId="182" fontId="30" fillId="5" borderId="11" xfId="41" applyNumberFormat="1" applyFont="1" applyFill="1" applyBorder="1" applyAlignment="1">
      <alignment horizontal="right" vertical="center"/>
    </xf>
    <xf numFmtId="0" fontId="28" fillId="5" borderId="0" xfId="41" applyFont="1" applyFill="1" applyAlignment="1">
      <alignment vertical="center"/>
    </xf>
    <xf numFmtId="0" fontId="23" fillId="0" borderId="0" xfId="41" applyFont="1" applyProtection="1">
      <protection locked="0"/>
    </xf>
    <xf numFmtId="0" fontId="94" fillId="3" borderId="4" xfId="0" applyFont="1" applyFill="1" applyBorder="1" applyAlignment="1">
      <alignment vertical="center"/>
    </xf>
    <xf numFmtId="0" fontId="22" fillId="0" borderId="8" xfId="0" applyFont="1" applyBorder="1" applyAlignment="1" applyProtection="1">
      <alignment horizontal="left" vertical="center" indent="2"/>
      <protection locked="0"/>
    </xf>
    <xf numFmtId="10" fontId="87" fillId="0" borderId="0" xfId="60" applyNumberFormat="1" applyFont="1" applyFill="1" applyAlignment="1" applyProtection="1">
      <alignment horizontal="right" vertical="center" wrapText="1"/>
      <protection locked="0"/>
    </xf>
    <xf numFmtId="49" fontId="26" fillId="0" borderId="0" xfId="0" applyNumberFormat="1" applyFont="1" applyAlignment="1" applyProtection="1">
      <alignment horizontal="left" vertical="center"/>
      <protection locked="0"/>
    </xf>
    <xf numFmtId="0" fontId="22" fillId="0" borderId="19" xfId="95" applyFont="1" applyBorder="1" applyAlignment="1" applyProtection="1">
      <alignment horizontal="left" vertical="center"/>
      <protection locked="0"/>
    </xf>
    <xf numFmtId="0" fontId="30" fillId="0" borderId="22" xfId="95" applyFont="1" applyBorder="1" applyAlignment="1" applyProtection="1">
      <alignment horizontal="left" vertical="center"/>
      <protection locked="0"/>
    </xf>
    <xf numFmtId="0" fontId="23" fillId="0" borderId="20" xfId="0" applyFont="1" applyBorder="1" applyAlignment="1">
      <alignment vertical="center"/>
    </xf>
    <xf numFmtId="0" fontId="22" fillId="0" borderId="27" xfId="95" applyFont="1" applyBorder="1" applyAlignment="1" applyProtection="1">
      <alignment horizontal="left" vertical="center"/>
      <protection locked="0"/>
    </xf>
    <xf numFmtId="0" fontId="23" fillId="0" borderId="28" xfId="0" applyFont="1" applyBorder="1" applyAlignment="1">
      <alignment vertical="center"/>
    </xf>
    <xf numFmtId="0" fontId="22" fillId="0" borderId="26" xfId="95" applyFont="1" applyBorder="1" applyAlignment="1" applyProtection="1">
      <alignment horizontal="left" vertical="center"/>
      <protection locked="0"/>
    </xf>
    <xf numFmtId="0" fontId="30" fillId="0" borderId="13" xfId="95" applyFont="1" applyBorder="1" applyAlignment="1" applyProtection="1">
      <alignment horizontal="center" vertical="center"/>
      <protection locked="0"/>
    </xf>
    <xf numFmtId="0" fontId="30" fillId="0" borderId="29" xfId="95" applyFont="1" applyBorder="1" applyAlignment="1" applyProtection="1">
      <alignment horizontal="center" vertical="center"/>
      <protection locked="0"/>
    </xf>
    <xf numFmtId="0" fontId="30" fillId="0" borderId="0" xfId="0" applyFont="1" applyAlignment="1">
      <alignment horizontal="left" vertical="center"/>
    </xf>
    <xf numFmtId="0" fontId="102" fillId="0" borderId="31" xfId="0" applyFont="1" applyBorder="1" applyAlignment="1" applyProtection="1">
      <alignment horizontal="left" vertical="center"/>
      <protection locked="0"/>
    </xf>
    <xf numFmtId="0" fontId="105" fillId="0" borderId="31" xfId="0" applyFont="1" applyBorder="1" applyAlignment="1">
      <alignment horizontal="center" vertical="center" wrapText="1"/>
    </xf>
    <xf numFmtId="0" fontId="68" fillId="0" borderId="0" xfId="0" applyFont="1" applyAlignment="1" applyProtection="1">
      <alignment horizontal="left" vertical="center"/>
      <protection locked="0"/>
    </xf>
    <xf numFmtId="0" fontId="30" fillId="0" borderId="31" xfId="2" applyFont="1" applyBorder="1" applyAlignment="1" applyProtection="1">
      <alignment horizontal="left" vertical="center"/>
      <protection locked="0"/>
    </xf>
    <xf numFmtId="0" fontId="30" fillId="0" borderId="31" xfId="41" applyFont="1" applyBorder="1" applyAlignment="1">
      <alignment horizontal="left" vertical="center"/>
    </xf>
    <xf numFmtId="0" fontId="30" fillId="0" borderId="31" xfId="41" applyFont="1" applyBorder="1" applyAlignment="1" applyProtection="1">
      <alignment horizontal="center" vertical="center"/>
      <protection locked="0"/>
    </xf>
    <xf numFmtId="14" fontId="30" fillId="0" borderId="6" xfId="98" applyNumberFormat="1" applyFont="1" applyBorder="1" applyAlignment="1" applyProtection="1">
      <alignment horizontal="right" vertical="top"/>
      <protection locked="0"/>
    </xf>
    <xf numFmtId="14" fontId="30" fillId="0" borderId="11" xfId="98" applyNumberFormat="1" applyFont="1" applyBorder="1" applyAlignment="1" applyProtection="1">
      <alignment horizontal="right" vertical="top"/>
      <protection locked="0"/>
    </xf>
    <xf numFmtId="14" fontId="22" fillId="0" borderId="31" xfId="41" applyNumberFormat="1" applyFont="1" applyBorder="1" applyAlignment="1">
      <alignment horizontal="center" vertical="center"/>
    </xf>
    <xf numFmtId="0" fontId="30" fillId="0" borderId="5" xfId="41" applyFont="1" applyBorder="1" applyAlignment="1">
      <alignment horizontal="left" vertical="center"/>
    </xf>
    <xf numFmtId="0" fontId="30" fillId="0" borderId="0" xfId="41" applyFont="1" applyAlignment="1">
      <alignment horizontal="left" vertical="center"/>
    </xf>
    <xf numFmtId="0" fontId="30" fillId="0" borderId="0" xfId="41" applyFont="1" applyAlignment="1">
      <alignment vertical="center"/>
    </xf>
    <xf numFmtId="0" fontId="70" fillId="4" borderId="22" xfId="0" applyFont="1" applyFill="1" applyBorder="1" applyAlignment="1" applyProtection="1">
      <alignment horizontal="centerContinuous" vertical="center"/>
      <protection locked="0"/>
    </xf>
    <xf numFmtId="0" fontId="70" fillId="4" borderId="20" xfId="0" applyFont="1" applyFill="1" applyBorder="1" applyAlignment="1" applyProtection="1">
      <alignment horizontal="centerContinuous" vertical="center"/>
      <protection locked="0"/>
    </xf>
    <xf numFmtId="0" fontId="71" fillId="3" borderId="35" xfId="0" applyFont="1" applyFill="1" applyBorder="1" applyAlignment="1" applyProtection="1">
      <alignment vertical="center"/>
      <protection locked="0"/>
    </xf>
    <xf numFmtId="0" fontId="71" fillId="3" borderId="47" xfId="0" applyFont="1" applyFill="1" applyBorder="1" applyAlignment="1" applyProtection="1">
      <alignment vertical="center"/>
      <protection locked="0"/>
    </xf>
    <xf numFmtId="0" fontId="71" fillId="3" borderId="47" xfId="0" applyFont="1" applyFill="1" applyBorder="1" applyAlignment="1" applyProtection="1">
      <alignment vertical="center" wrapText="1"/>
      <protection locked="0"/>
    </xf>
    <xf numFmtId="0" fontId="71" fillId="3" borderId="47" xfId="0" applyFont="1" applyFill="1" applyBorder="1" applyAlignment="1" applyProtection="1">
      <alignment horizontal="left" vertical="center" wrapText="1"/>
      <protection locked="0"/>
    </xf>
    <xf numFmtId="0" fontId="71" fillId="3" borderId="48" xfId="0" applyFont="1" applyFill="1" applyBorder="1" applyAlignment="1" applyProtection="1">
      <alignment vertical="center" wrapText="1"/>
      <protection locked="0"/>
    </xf>
    <xf numFmtId="0" fontId="22" fillId="0" borderId="0" xfId="41" applyFont="1"/>
    <xf numFmtId="0" fontId="22" fillId="15" borderId="0" xfId="41" applyFont="1" applyFill="1"/>
    <xf numFmtId="0" fontId="71" fillId="0" borderId="0" xfId="41" applyFont="1" applyAlignment="1">
      <alignment horizontal="left" vertical="center"/>
    </xf>
    <xf numFmtId="0" fontId="36" fillId="0" borderId="0" xfId="41" applyFont="1"/>
    <xf numFmtId="0" fontId="30" fillId="0" borderId="0" xfId="41" applyFont="1"/>
    <xf numFmtId="0" fontId="97" fillId="0" borderId="31" xfId="0" applyFont="1" applyBorder="1" applyAlignment="1">
      <alignment horizontal="left" vertical="center" wrapText="1"/>
    </xf>
    <xf numFmtId="0" fontId="37" fillId="10" borderId="31" xfId="7" applyNumberFormat="1" applyFont="1" applyFill="1" applyBorder="1" applyAlignment="1">
      <alignment horizontal="center" vertical="center" wrapText="1"/>
    </xf>
    <xf numFmtId="0" fontId="21" fillId="10" borderId="1" xfId="0" applyFont="1" applyFill="1" applyBorder="1" applyAlignment="1" applyProtection="1">
      <alignment vertical="center"/>
      <protection locked="0"/>
    </xf>
    <xf numFmtId="0" fontId="28" fillId="10" borderId="8" xfId="0" applyFont="1" applyFill="1" applyBorder="1" applyAlignment="1" applyProtection="1">
      <alignment vertical="center"/>
      <protection locked="0"/>
    </xf>
    <xf numFmtId="0" fontId="28" fillId="10" borderId="9" xfId="0" applyFont="1" applyFill="1" applyBorder="1" applyAlignment="1" applyProtection="1">
      <alignment vertical="center"/>
      <protection locked="0"/>
    </xf>
    <xf numFmtId="0" fontId="113" fillId="0" borderId="0" xfId="38" applyNumberFormat="1" applyFont="1" applyFill="1" applyBorder="1" applyAlignment="1" applyProtection="1">
      <alignment horizontal="left" vertical="center" wrapText="1"/>
      <protection locked="0"/>
    </xf>
    <xf numFmtId="0" fontId="30" fillId="0" borderId="31" xfId="0" applyFont="1" applyBorder="1" applyAlignment="1">
      <alignment horizontal="center" vertical="center"/>
    </xf>
    <xf numFmtId="0" fontId="21" fillId="11" borderId="1" xfId="0" applyFont="1" applyFill="1" applyBorder="1" applyAlignment="1">
      <alignment horizontal="center" vertical="center"/>
    </xf>
    <xf numFmtId="0" fontId="21" fillId="11" borderId="8" xfId="0" applyFont="1" applyFill="1" applyBorder="1" applyAlignment="1">
      <alignment horizontal="center" vertical="center"/>
    </xf>
    <xf numFmtId="0" fontId="21" fillId="11" borderId="9" xfId="0" applyFont="1" applyFill="1" applyBorder="1" applyAlignment="1">
      <alignment horizontal="center" vertical="center"/>
    </xf>
    <xf numFmtId="0" fontId="25" fillId="10" borderId="49" xfId="0" applyFont="1" applyFill="1" applyBorder="1" applyAlignment="1">
      <alignment vertical="center"/>
    </xf>
    <xf numFmtId="0" fontId="21" fillId="3" borderId="4" xfId="47" applyFont="1" applyFill="1" applyBorder="1" applyAlignment="1" applyProtection="1">
      <alignment horizontal="right" vertical="center"/>
      <protection locked="0"/>
    </xf>
    <xf numFmtId="14" fontId="21" fillId="3" borderId="7" xfId="47" applyNumberFormat="1" applyFont="1" applyFill="1" applyBorder="1" applyAlignment="1" applyProtection="1">
      <alignment horizontal="right" vertical="center"/>
      <protection locked="0"/>
    </xf>
    <xf numFmtId="43" fontId="21" fillId="3" borderId="7" xfId="47" applyNumberFormat="1" applyFont="1" applyFill="1" applyBorder="1" applyAlignment="1" applyProtection="1">
      <alignment horizontal="right" vertical="center"/>
      <protection locked="0"/>
    </xf>
    <xf numFmtId="0" fontId="21" fillId="3" borderId="7" xfId="47" applyFont="1" applyFill="1" applyBorder="1" applyAlignment="1" applyProtection="1">
      <alignment horizontal="right" vertical="center"/>
      <protection locked="0"/>
    </xf>
    <xf numFmtId="0" fontId="71" fillId="3" borderId="3" xfId="0" applyFont="1" applyFill="1" applyBorder="1" applyAlignment="1" applyProtection="1">
      <alignment vertical="center" wrapText="1"/>
      <protection locked="0"/>
    </xf>
    <xf numFmtId="0" fontId="72" fillId="3" borderId="11" xfId="0" applyFont="1" applyFill="1" applyBorder="1" applyAlignment="1" applyProtection="1">
      <alignment vertical="center"/>
      <protection locked="0"/>
    </xf>
    <xf numFmtId="0" fontId="21" fillId="3" borderId="7" xfId="11" applyNumberFormat="1" applyFont="1" applyFill="1" applyBorder="1" applyAlignment="1" applyProtection="1">
      <alignment horizontal="right" vertical="center"/>
      <protection locked="0"/>
    </xf>
    <xf numFmtId="0" fontId="21" fillId="10" borderId="37" xfId="47" applyFont="1" applyFill="1" applyBorder="1" applyAlignment="1">
      <alignment vertical="center"/>
    </xf>
    <xf numFmtId="0" fontId="25" fillId="12" borderId="31" xfId="0" applyFont="1" applyFill="1" applyBorder="1" applyAlignment="1">
      <alignment horizontal="center" vertical="center" wrapText="1"/>
    </xf>
    <xf numFmtId="0" fontId="78" fillId="5" borderId="0" xfId="41" applyFont="1" applyFill="1" applyAlignment="1">
      <alignment vertical="center"/>
    </xf>
    <xf numFmtId="0" fontId="22" fillId="5" borderId="0" xfId="41" applyFont="1" applyFill="1" applyAlignment="1">
      <alignment horizontal="left" vertical="center"/>
    </xf>
    <xf numFmtId="0" fontId="65" fillId="0" borderId="0" xfId="41" applyFont="1" applyAlignment="1" applyProtection="1">
      <alignment vertical="center" wrapText="1"/>
      <protection locked="0"/>
    </xf>
    <xf numFmtId="0" fontId="63" fillId="0" borderId="0" xfId="48" applyFont="1"/>
    <xf numFmtId="0" fontId="23" fillId="0" borderId="0" xfId="41" applyFont="1"/>
    <xf numFmtId="0" fontId="25" fillId="3" borderId="8" xfId="41" applyFont="1" applyFill="1" applyBorder="1" applyAlignment="1" applyProtection="1">
      <alignment vertical="center"/>
      <protection locked="0"/>
    </xf>
    <xf numFmtId="0" fontId="25" fillId="3" borderId="9" xfId="41" applyFont="1" applyFill="1" applyBorder="1" applyAlignment="1" applyProtection="1">
      <alignment vertical="center"/>
      <protection locked="0"/>
    </xf>
    <xf numFmtId="0" fontId="25" fillId="0" borderId="0" xfId="41" applyFont="1" applyAlignment="1" applyProtection="1">
      <alignment vertical="center"/>
      <protection locked="0"/>
    </xf>
    <xf numFmtId="0" fontId="23" fillId="4" borderId="5" xfId="41" applyFont="1" applyFill="1" applyBorder="1" applyAlignment="1" applyProtection="1">
      <alignment horizontal="centerContinuous" vertical="center"/>
      <protection locked="0"/>
    </xf>
    <xf numFmtId="0" fontId="120" fillId="4" borderId="5" xfId="41" applyFont="1" applyFill="1" applyBorder="1" applyAlignment="1" applyProtection="1">
      <alignment horizontal="centerContinuous" vertical="center"/>
      <protection locked="0"/>
    </xf>
    <xf numFmtId="0" fontId="71" fillId="3" borderId="1" xfId="41" applyFont="1" applyFill="1" applyBorder="1" applyAlignment="1" applyProtection="1">
      <alignment vertical="center"/>
      <protection locked="0"/>
    </xf>
    <xf numFmtId="0" fontId="22" fillId="0" borderId="31" xfId="0" applyFont="1" applyBorder="1" applyAlignment="1">
      <alignment horizontal="left" vertical="center"/>
    </xf>
    <xf numFmtId="0" fontId="0" fillId="3" borderId="7" xfId="0" applyFill="1" applyBorder="1"/>
    <xf numFmtId="49" fontId="30" fillId="0" borderId="0" xfId="0" applyNumberFormat="1" applyFont="1" applyAlignment="1" applyProtection="1">
      <alignment horizontal="left" vertical="center"/>
      <protection locked="0"/>
    </xf>
    <xf numFmtId="10" fontId="87" fillId="0" borderId="21" xfId="60" applyNumberFormat="1" applyFont="1" applyFill="1" applyBorder="1" applyAlignment="1" applyProtection="1">
      <alignment horizontal="right" vertical="center" wrapText="1"/>
      <protection locked="0"/>
    </xf>
    <xf numFmtId="182" fontId="30" fillId="0" borderId="0" xfId="1" applyNumberFormat="1" applyFont="1" applyFill="1" applyBorder="1" applyAlignment="1" applyProtection="1">
      <alignment horizontal="right" vertical="center"/>
      <protection locked="0"/>
    </xf>
    <xf numFmtId="182" fontId="30" fillId="0" borderId="0" xfId="1" applyNumberFormat="1" applyFont="1" applyBorder="1" applyAlignment="1" applyProtection="1">
      <alignment horizontal="right" vertical="center"/>
      <protection locked="0"/>
    </xf>
    <xf numFmtId="178" fontId="23" fillId="0" borderId="10" xfId="0" applyNumberFormat="1" applyFont="1" applyBorder="1" applyAlignment="1" applyProtection="1">
      <alignment vertical="center"/>
      <protection locked="0"/>
    </xf>
    <xf numFmtId="178" fontId="23" fillId="0" borderId="17" xfId="0" applyNumberFormat="1" applyFont="1" applyBorder="1" applyAlignment="1" applyProtection="1">
      <alignment vertical="center"/>
      <protection locked="0"/>
    </xf>
    <xf numFmtId="178" fontId="22" fillId="0" borderId="21" xfId="0" applyNumberFormat="1" applyFont="1" applyBorder="1" applyAlignment="1">
      <alignment vertical="center"/>
    </xf>
    <xf numFmtId="178" fontId="105" fillId="0" borderId="31" xfId="1" applyFont="1" applyFill="1" applyBorder="1" applyAlignment="1">
      <alignment horizontal="right" vertical="center" shrinkToFit="1"/>
    </xf>
    <xf numFmtId="178" fontId="93" fillId="0" borderId="31" xfId="1" applyFont="1" applyFill="1" applyBorder="1" applyAlignment="1">
      <alignment horizontal="right" vertical="center" shrinkToFit="1"/>
    </xf>
    <xf numFmtId="178" fontId="105" fillId="0" borderId="31" xfId="1" applyFont="1" applyFill="1" applyBorder="1" applyAlignment="1" applyProtection="1">
      <alignment horizontal="right" vertical="center" shrinkToFit="1"/>
      <protection locked="0"/>
    </xf>
    <xf numFmtId="178" fontId="105" fillId="5" borderId="31" xfId="1" applyFont="1" applyFill="1" applyBorder="1" applyAlignment="1" applyProtection="1">
      <alignment horizontal="right" vertical="center" shrinkToFit="1"/>
      <protection locked="0"/>
    </xf>
    <xf numFmtId="178" fontId="105" fillId="0" borderId="31" xfId="0" applyNumberFormat="1" applyFont="1" applyBorder="1" applyAlignment="1">
      <alignment horizontal="right" vertical="center" shrinkToFit="1"/>
    </xf>
    <xf numFmtId="178" fontId="102" fillId="5" borderId="0" xfId="0" applyNumberFormat="1" applyFont="1" applyFill="1" applyAlignment="1" applyProtection="1">
      <alignment horizontal="right" vertical="center" shrinkToFit="1"/>
      <protection locked="0"/>
    </xf>
    <xf numFmtId="178" fontId="105" fillId="5" borderId="31" xfId="1" applyFont="1" applyFill="1" applyBorder="1" applyAlignment="1">
      <alignment horizontal="right" vertical="center" shrinkToFit="1"/>
    </xf>
    <xf numFmtId="178" fontId="101" fillId="0" borderId="10" xfId="1" applyFont="1" applyFill="1" applyBorder="1" applyAlignment="1" applyProtection="1">
      <alignment horizontal="right" vertical="center" shrinkToFit="1"/>
      <protection locked="0"/>
    </xf>
    <xf numFmtId="178" fontId="101" fillId="0" borderId="10" xfId="1" applyFont="1" applyBorder="1" applyAlignment="1" applyProtection="1">
      <alignment horizontal="right" vertical="center" shrinkToFit="1"/>
      <protection locked="0"/>
    </xf>
    <xf numFmtId="178" fontId="102" fillId="0" borderId="0" xfId="0" applyNumberFormat="1" applyFont="1" applyAlignment="1" applyProtection="1">
      <alignment horizontal="right" vertical="center" shrinkToFit="1"/>
      <protection locked="0"/>
    </xf>
    <xf numFmtId="178" fontId="101" fillId="0" borderId="17" xfId="1" applyFont="1" applyFill="1" applyBorder="1" applyAlignment="1" applyProtection="1">
      <alignment horizontal="right" vertical="center" shrinkToFit="1"/>
      <protection locked="0"/>
    </xf>
    <xf numFmtId="0" fontId="105" fillId="5" borderId="31" xfId="0" applyFont="1" applyFill="1" applyBorder="1" applyAlignment="1">
      <alignment horizontal="left" vertical="center"/>
    </xf>
    <xf numFmtId="0" fontId="101" fillId="0" borderId="17" xfId="1" applyNumberFormat="1" applyFont="1" applyFill="1" applyBorder="1" applyAlignment="1" applyProtection="1">
      <alignment horizontal="left" vertical="center"/>
      <protection locked="0"/>
    </xf>
    <xf numFmtId="0" fontId="93" fillId="0" borderId="31" xfId="0" applyFont="1" applyBorder="1" applyAlignment="1">
      <alignment horizontal="left" vertical="center"/>
    </xf>
    <xf numFmtId="0" fontId="101" fillId="0" borderId="10" xfId="0" applyFont="1" applyBorder="1" applyAlignment="1" applyProtection="1">
      <alignment horizontal="left" vertical="center"/>
      <protection locked="0"/>
    </xf>
    <xf numFmtId="178" fontId="102" fillId="0" borderId="31" xfId="0" applyNumberFormat="1" applyFont="1" applyBorder="1" applyAlignment="1" applyProtection="1">
      <alignment horizontal="right" vertical="center" shrinkToFit="1"/>
      <protection locked="0"/>
    </xf>
    <xf numFmtId="14" fontId="30" fillId="0" borderId="31" xfId="0" applyNumberFormat="1" applyFont="1" applyBorder="1" applyAlignment="1">
      <alignment horizontal="left" vertical="center" wrapText="1"/>
    </xf>
    <xf numFmtId="178" fontId="30" fillId="0" borderId="31" xfId="0" applyNumberFormat="1" applyFont="1" applyBorder="1" applyAlignment="1">
      <alignment horizontal="right" vertical="center" shrinkToFit="1"/>
    </xf>
    <xf numFmtId="180" fontId="30" fillId="0" borderId="31" xfId="1" applyNumberFormat="1" applyFont="1" applyFill="1" applyBorder="1" applyAlignment="1" applyProtection="1">
      <alignment horizontal="left" vertical="center"/>
      <protection locked="0"/>
    </xf>
    <xf numFmtId="0" fontId="30" fillId="0" borderId="31" xfId="1" applyNumberFormat="1" applyFont="1" applyFill="1" applyBorder="1" applyAlignment="1" applyProtection="1">
      <alignment horizontal="left" vertical="center"/>
      <protection locked="0"/>
    </xf>
    <xf numFmtId="178" fontId="30" fillId="0" borderId="31" xfId="2" applyNumberFormat="1" applyFont="1" applyBorder="1" applyAlignment="1" applyProtection="1">
      <alignment horizontal="right" vertical="center" shrinkToFit="1"/>
      <protection locked="0"/>
    </xf>
    <xf numFmtId="178" fontId="30" fillId="0" borderId="31" xfId="1" applyFont="1" applyFill="1" applyBorder="1" applyAlignment="1" applyProtection="1">
      <alignment horizontal="right" vertical="center" shrinkToFit="1"/>
      <protection locked="0"/>
    </xf>
    <xf numFmtId="178" fontId="30" fillId="0" borderId="31" xfId="1" applyFont="1" applyFill="1" applyBorder="1" applyAlignment="1">
      <alignment horizontal="right" vertical="center" shrinkToFit="1"/>
    </xf>
    <xf numFmtId="0" fontId="78" fillId="0" borderId="31" xfId="20" applyFont="1" applyBorder="1" applyAlignment="1" applyProtection="1">
      <alignment horizontal="left" vertical="center"/>
      <protection locked="0"/>
    </xf>
    <xf numFmtId="0" fontId="23" fillId="0" borderId="31" xfId="0" applyFont="1" applyBorder="1" applyAlignment="1" applyProtection="1">
      <alignment horizontal="left" vertical="center"/>
      <protection locked="0"/>
    </xf>
    <xf numFmtId="0" fontId="23" fillId="0" borderId="31" xfId="41" applyFont="1" applyBorder="1" applyAlignment="1" applyProtection="1">
      <alignment horizontal="left" vertical="center"/>
      <protection locked="0"/>
    </xf>
    <xf numFmtId="0" fontId="22" fillId="0" borderId="31" xfId="41" applyFont="1" applyBorder="1" applyAlignment="1">
      <alignment horizontal="left" vertical="center"/>
    </xf>
    <xf numFmtId="14" fontId="30" fillId="0" borderId="31" xfId="1" applyNumberFormat="1" applyFont="1" applyFill="1" applyBorder="1" applyAlignment="1" applyProtection="1">
      <alignment horizontal="left" vertical="center"/>
      <protection locked="0"/>
    </xf>
    <xf numFmtId="178" fontId="22" fillId="0" borderId="6" xfId="1" applyFont="1" applyFill="1" applyBorder="1" applyAlignment="1">
      <alignment horizontal="right" vertical="center" shrinkToFit="1"/>
    </xf>
    <xf numFmtId="178" fontId="22" fillId="0" borderId="30" xfId="41" applyNumberFormat="1" applyFont="1" applyBorder="1" applyAlignment="1">
      <alignment horizontal="right" vertical="center" shrinkToFit="1"/>
    </xf>
    <xf numFmtId="178" fontId="22" fillId="0" borderId="31" xfId="41" applyNumberFormat="1" applyFont="1" applyBorder="1" applyAlignment="1">
      <alignment horizontal="right" vertical="center" shrinkToFit="1"/>
    </xf>
    <xf numFmtId="178" fontId="67" fillId="0" borderId="31" xfId="31" applyNumberFormat="1" applyFont="1" applyFill="1" applyBorder="1" applyAlignment="1" applyProtection="1">
      <alignment horizontal="right" vertical="center" shrinkToFit="1"/>
      <protection locked="0"/>
    </xf>
    <xf numFmtId="178" fontId="65" fillId="0" borderId="31" xfId="11" applyFont="1" applyFill="1" applyBorder="1" applyAlignment="1" applyProtection="1">
      <alignment horizontal="right" vertical="center" shrinkToFit="1"/>
      <protection locked="0"/>
    </xf>
    <xf numFmtId="178" fontId="65" fillId="0" borderId="31" xfId="31" applyNumberFormat="1" applyFont="1" applyFill="1" applyBorder="1" applyAlignment="1" applyProtection="1">
      <alignment horizontal="right" vertical="center" shrinkToFit="1"/>
      <protection locked="0"/>
    </xf>
    <xf numFmtId="178" fontId="67" fillId="5" borderId="31" xfId="11" applyFont="1" applyFill="1" applyBorder="1" applyAlignment="1" applyProtection="1">
      <alignment horizontal="right" vertical="center" shrinkToFit="1"/>
      <protection locked="0"/>
    </xf>
    <xf numFmtId="178" fontId="65" fillId="5" borderId="31" xfId="11" applyFont="1" applyFill="1" applyBorder="1" applyAlignment="1" applyProtection="1">
      <alignment horizontal="right" vertical="center" shrinkToFit="1"/>
      <protection locked="0"/>
    </xf>
    <xf numFmtId="178" fontId="22" fillId="5" borderId="31" xfId="41" applyNumberFormat="1" applyFont="1" applyFill="1" applyBorder="1" applyAlignment="1">
      <alignment horizontal="right" vertical="center" shrinkToFit="1"/>
    </xf>
    <xf numFmtId="178" fontId="67" fillId="5" borderId="31" xfId="11" applyFont="1" applyFill="1" applyBorder="1" applyAlignment="1" applyProtection="1">
      <alignment horizontal="right" vertical="center" shrinkToFit="1"/>
    </xf>
    <xf numFmtId="178" fontId="67" fillId="5" borderId="31" xfId="11" applyFont="1" applyFill="1" applyBorder="1" applyAlignment="1">
      <alignment horizontal="right" vertical="center" shrinkToFit="1"/>
    </xf>
    <xf numFmtId="178" fontId="30" fillId="5" borderId="31" xfId="11" applyFont="1" applyFill="1" applyBorder="1" applyAlignment="1" applyProtection="1">
      <alignment horizontal="right" vertical="center" shrinkToFit="1"/>
      <protection locked="0"/>
    </xf>
    <xf numFmtId="178" fontId="21" fillId="5" borderId="31" xfId="11" applyFont="1" applyFill="1" applyBorder="1" applyAlignment="1" applyProtection="1">
      <alignment horizontal="right" vertical="center" shrinkToFit="1"/>
      <protection locked="0"/>
    </xf>
    <xf numFmtId="0" fontId="30" fillId="0" borderId="31" xfId="41" applyFont="1" applyBorder="1" applyAlignment="1">
      <alignment horizontal="left" vertical="center" wrapText="1"/>
    </xf>
    <xf numFmtId="0" fontId="21" fillId="0" borderId="31" xfId="11" applyNumberFormat="1" applyFont="1" applyFill="1" applyBorder="1" applyAlignment="1" applyProtection="1">
      <alignment horizontal="left" vertical="center" shrinkToFit="1"/>
      <protection locked="0"/>
    </xf>
    <xf numFmtId="0" fontId="67" fillId="5" borderId="31" xfId="98" applyFont="1" applyFill="1" applyBorder="1" applyAlignment="1" applyProtection="1">
      <alignment horizontal="left" vertical="center" shrinkToFit="1"/>
      <protection locked="0"/>
    </xf>
    <xf numFmtId="0" fontId="23" fillId="0" borderId="31" xfId="20" applyFont="1" applyBorder="1" applyAlignment="1" applyProtection="1">
      <alignment horizontal="left" vertical="center"/>
      <protection locked="0"/>
    </xf>
    <xf numFmtId="0" fontId="22" fillId="0" borderId="31" xfId="0" applyFont="1" applyBorder="1" applyAlignment="1">
      <alignment horizontal="left" vertical="center" wrapText="1"/>
    </xf>
    <xf numFmtId="0" fontId="80" fillId="0" borderId="31" xfId="48" quotePrefix="1" applyFont="1" applyBorder="1" applyAlignment="1">
      <alignment horizontal="center" vertical="center"/>
    </xf>
    <xf numFmtId="0" fontId="118" fillId="0" borderId="31" xfId="0" applyFont="1" applyBorder="1" applyAlignment="1">
      <alignment horizontal="left" vertical="center" wrapText="1"/>
    </xf>
    <xf numFmtId="0" fontId="21" fillId="10" borderId="31" xfId="0" applyFont="1" applyFill="1" applyBorder="1" applyAlignment="1">
      <alignment horizontal="center" vertical="center" wrapText="1"/>
    </xf>
    <xf numFmtId="14" fontId="21" fillId="10" borderId="31" xfId="0" applyNumberFormat="1" applyFont="1" applyFill="1" applyBorder="1" applyAlignment="1">
      <alignment horizontal="center" vertical="center"/>
    </xf>
    <xf numFmtId="0" fontId="30" fillId="0" borderId="31" xfId="0" applyFont="1" applyBorder="1" applyAlignment="1">
      <alignment horizontal="left" vertical="center" wrapText="1"/>
    </xf>
    <xf numFmtId="0" fontId="43" fillId="0" borderId="0" xfId="0" applyFont="1" applyAlignment="1">
      <alignment vertical="center"/>
    </xf>
    <xf numFmtId="0" fontId="30" fillId="0" borderId="0" xfId="0" applyFont="1" applyAlignment="1">
      <alignment horizontal="left" vertical="center" wrapText="1"/>
    </xf>
    <xf numFmtId="0" fontId="30" fillId="0" borderId="31" xfId="0" applyFont="1" applyBorder="1" applyAlignment="1">
      <alignment horizontal="left" vertical="center"/>
    </xf>
    <xf numFmtId="0" fontId="117" fillId="3" borderId="1" xfId="41" applyFont="1" applyFill="1" applyBorder="1" applyAlignment="1" applyProtection="1">
      <alignment vertical="center"/>
      <protection locked="0"/>
    </xf>
    <xf numFmtId="0" fontId="93" fillId="0" borderId="31" xfId="0" applyFont="1" applyBorder="1" applyAlignment="1">
      <alignment horizontal="left" vertical="center" wrapText="1"/>
    </xf>
    <xf numFmtId="0" fontId="71" fillId="3" borderId="1" xfId="0" applyFont="1" applyFill="1" applyBorder="1" applyAlignment="1" applyProtection="1">
      <alignment horizontal="left" vertical="center"/>
      <protection locked="0"/>
    </xf>
    <xf numFmtId="0" fontId="30" fillId="0" borderId="2" xfId="0" applyFont="1" applyBorder="1" applyAlignment="1" applyProtection="1">
      <alignment horizontal="left" vertical="center" indent="2"/>
      <protection locked="0"/>
    </xf>
    <xf numFmtId="0" fontId="22" fillId="0" borderId="3" xfId="0" applyFont="1" applyBorder="1" applyAlignment="1" applyProtection="1">
      <alignment horizontal="left" vertical="center"/>
      <protection locked="0"/>
    </xf>
    <xf numFmtId="0" fontId="23" fillId="0" borderId="3" xfId="0" applyFont="1" applyBorder="1" applyAlignment="1" applyProtection="1">
      <alignment horizontal="left" vertical="center"/>
      <protection locked="0"/>
    </xf>
    <xf numFmtId="0" fontId="23" fillId="0" borderId="11" xfId="0" applyFont="1" applyBorder="1" applyAlignment="1" applyProtection="1">
      <alignment horizontal="left" vertical="center"/>
      <protection locked="0"/>
    </xf>
    <xf numFmtId="0" fontId="21" fillId="0" borderId="0" xfId="41" applyFont="1" applyAlignment="1" applyProtection="1">
      <alignment vertical="center"/>
      <protection locked="0"/>
    </xf>
    <xf numFmtId="0" fontId="115" fillId="0" borderId="0" xfId="0" applyFont="1" applyAlignment="1">
      <alignment horizontal="left" vertical="center" wrapText="1"/>
    </xf>
    <xf numFmtId="0" fontId="122" fillId="0" borderId="0" xfId="97" applyFont="1" applyAlignment="1" applyProtection="1">
      <alignment vertical="center"/>
      <protection locked="0"/>
    </xf>
    <xf numFmtId="0" fontId="115" fillId="0" borderId="0" xfId="0" applyFont="1" applyAlignment="1">
      <alignment horizontal="left" vertical="center"/>
    </xf>
    <xf numFmtId="0" fontId="25" fillId="11" borderId="31" xfId="0" applyFont="1" applyFill="1" applyBorder="1" applyAlignment="1">
      <alignment horizontal="center" vertical="center" wrapText="1"/>
    </xf>
    <xf numFmtId="0" fontId="32" fillId="11" borderId="31" xfId="0" applyFont="1" applyFill="1" applyBorder="1" applyAlignment="1">
      <alignment horizontal="center" vertical="center" wrapText="1"/>
    </xf>
    <xf numFmtId="0" fontId="25" fillId="10" borderId="31" xfId="0" applyFont="1" applyFill="1" applyBorder="1" applyAlignment="1">
      <alignment horizontal="center" vertical="center" wrapText="1"/>
    </xf>
    <xf numFmtId="0" fontId="37" fillId="10" borderId="31" xfId="0" applyFont="1" applyFill="1" applyBorder="1" applyAlignment="1">
      <alignment horizontal="center" vertical="center" wrapText="1"/>
    </xf>
    <xf numFmtId="14" fontId="30" fillId="0" borderId="31" xfId="0" applyNumberFormat="1" applyFont="1" applyBorder="1" applyAlignment="1">
      <alignment horizontal="left" vertical="center"/>
    </xf>
    <xf numFmtId="0" fontId="52" fillId="0" borderId="1" xfId="0" applyFont="1" applyBorder="1" applyAlignment="1">
      <alignment vertical="center"/>
    </xf>
    <xf numFmtId="0" fontId="28" fillId="0" borderId="8" xfId="0" applyFont="1" applyBorder="1" applyAlignment="1" applyProtection="1">
      <alignment vertical="center"/>
      <protection locked="0"/>
    </xf>
    <xf numFmtId="0" fontId="28" fillId="0" borderId="9" xfId="0" applyFont="1" applyBorder="1" applyAlignment="1" applyProtection="1">
      <alignment vertical="center"/>
      <protection locked="0"/>
    </xf>
    <xf numFmtId="0" fontId="114" fillId="4" borderId="19" xfId="0" applyFont="1" applyFill="1" applyBorder="1" applyAlignment="1" applyProtection="1">
      <alignment horizontal="centerContinuous" vertical="center"/>
      <protection locked="0"/>
    </xf>
    <xf numFmtId="0" fontId="22" fillId="0" borderId="1" xfId="0" applyFont="1" applyBorder="1" applyAlignment="1">
      <alignment horizontal="center" vertical="center"/>
    </xf>
    <xf numFmtId="0" fontId="22" fillId="0" borderId="1" xfId="0" applyFont="1" applyBorder="1" applyAlignment="1">
      <alignment horizontal="center"/>
    </xf>
    <xf numFmtId="0" fontId="22" fillId="0" borderId="1" xfId="0" applyFont="1" applyBorder="1" applyAlignment="1">
      <alignment horizontal="center" vertical="center" wrapText="1"/>
    </xf>
    <xf numFmtId="0" fontId="114" fillId="4" borderId="4" xfId="41" applyFont="1" applyFill="1" applyBorder="1" applyAlignment="1" applyProtection="1">
      <alignment horizontal="centerContinuous" vertical="center"/>
      <protection locked="0"/>
    </xf>
    <xf numFmtId="0" fontId="25" fillId="0" borderId="8" xfId="41" applyFont="1" applyBorder="1" applyAlignment="1" applyProtection="1">
      <alignment horizontal="left" vertical="center" indent="2"/>
      <protection locked="0"/>
    </xf>
    <xf numFmtId="0" fontId="25" fillId="0" borderId="9" xfId="41" applyFont="1" applyBorder="1" applyAlignment="1" applyProtection="1">
      <alignment horizontal="left" vertical="center" indent="2"/>
      <protection locked="0"/>
    </xf>
    <xf numFmtId="0" fontId="30" fillId="5" borderId="31" xfId="11" applyNumberFormat="1" applyFont="1" applyFill="1" applyBorder="1" applyAlignment="1" applyProtection="1">
      <alignment horizontal="left" vertical="center" shrinkToFit="1"/>
      <protection locked="0"/>
    </xf>
    <xf numFmtId="0" fontId="30" fillId="0" borderId="31" xfId="98" applyFont="1" applyBorder="1" applyAlignment="1" applyProtection="1">
      <alignment horizontal="left" vertical="center" shrinkToFit="1"/>
      <protection locked="0"/>
    </xf>
    <xf numFmtId="0" fontId="21" fillId="0" borderId="0" xfId="0" applyFont="1"/>
    <xf numFmtId="14" fontId="67" fillId="0" borderId="31" xfId="98" applyNumberFormat="1" applyFont="1" applyBorder="1" applyAlignment="1" applyProtection="1">
      <alignment horizontal="left" vertical="center" shrinkToFit="1"/>
      <protection locked="0"/>
    </xf>
    <xf numFmtId="0" fontId="21" fillId="13" borderId="31" xfId="0" applyFont="1" applyFill="1" applyBorder="1" applyAlignment="1">
      <alignment horizontal="left" vertical="center" wrapText="1"/>
    </xf>
    <xf numFmtId="0" fontId="93" fillId="0" borderId="31" xfId="0" applyFont="1" applyBorder="1" applyAlignment="1">
      <alignment horizontal="left" vertical="center" wrapText="1"/>
    </xf>
    <xf numFmtId="0" fontId="22" fillId="0" borderId="31" xfId="0" applyFont="1" applyBorder="1" applyAlignment="1">
      <alignment horizontal="left" vertical="center" wrapText="1"/>
    </xf>
    <xf numFmtId="0" fontId="118" fillId="0" borderId="31" xfId="0" applyFont="1" applyBorder="1" applyAlignment="1">
      <alignment horizontal="left" vertical="center" wrapText="1"/>
    </xf>
    <xf numFmtId="0" fontId="118" fillId="0" borderId="1" xfId="0" applyFont="1" applyBorder="1" applyAlignment="1">
      <alignment horizontal="left" vertical="center" wrapText="1"/>
    </xf>
    <xf numFmtId="0" fontId="22" fillId="0" borderId="8" xfId="0" applyFont="1" applyBorder="1" applyAlignment="1">
      <alignment horizontal="left" vertical="center" wrapText="1"/>
    </xf>
    <xf numFmtId="0" fontId="22" fillId="0" borderId="9" xfId="0" applyFont="1" applyBorder="1" applyAlignment="1">
      <alignment horizontal="left" vertical="center" wrapText="1"/>
    </xf>
    <xf numFmtId="0" fontId="80" fillId="0" borderId="31" xfId="48" quotePrefix="1" applyFont="1" applyBorder="1" applyAlignment="1">
      <alignment horizontal="center" vertical="center"/>
    </xf>
    <xf numFmtId="0" fontId="80" fillId="0" borderId="31" xfId="48" applyFont="1" applyBorder="1" applyAlignment="1">
      <alignment horizontal="center" vertical="center"/>
    </xf>
    <xf numFmtId="0" fontId="25" fillId="13" borderId="31" xfId="0" applyFont="1" applyFill="1" applyBorder="1" applyAlignment="1">
      <alignment horizontal="left" vertical="center" wrapText="1"/>
    </xf>
    <xf numFmtId="0" fontId="25" fillId="13" borderId="31" xfId="0" applyFont="1" applyFill="1" applyBorder="1" applyAlignment="1">
      <alignment horizontal="left" vertical="center"/>
    </xf>
    <xf numFmtId="0" fontId="21" fillId="10" borderId="25" xfId="0" applyFont="1" applyFill="1" applyBorder="1" applyAlignment="1">
      <alignment horizontal="center" vertical="center" wrapText="1"/>
    </xf>
    <xf numFmtId="0" fontId="21" fillId="10" borderId="24" xfId="0" applyFont="1" applyFill="1" applyBorder="1" applyAlignment="1">
      <alignment horizontal="center" vertical="center" wrapText="1"/>
    </xf>
    <xf numFmtId="0" fontId="114" fillId="4" borderId="1" xfId="0" applyFont="1" applyFill="1" applyBorder="1" applyAlignment="1" applyProtection="1">
      <alignment horizontal="center" vertical="center"/>
      <protection locked="0"/>
    </xf>
    <xf numFmtId="0" fontId="70" fillId="4" borderId="8" xfId="0" applyFont="1" applyFill="1" applyBorder="1" applyAlignment="1" applyProtection="1">
      <alignment horizontal="center" vertical="center"/>
      <protection locked="0"/>
    </xf>
    <xf numFmtId="0" fontId="70" fillId="4" borderId="5" xfId="0" applyFont="1" applyFill="1" applyBorder="1" applyAlignment="1" applyProtection="1">
      <alignment horizontal="center" vertical="center"/>
      <protection locked="0"/>
    </xf>
    <xf numFmtId="0" fontId="70" fillId="4" borderId="6" xfId="0" applyFont="1" applyFill="1" applyBorder="1" applyAlignment="1" applyProtection="1">
      <alignment horizontal="center" vertical="center"/>
      <protection locked="0"/>
    </xf>
    <xf numFmtId="0" fontId="104" fillId="3" borderId="4" xfId="0" applyFont="1" applyFill="1" applyBorder="1" applyAlignment="1">
      <alignment horizontal="left" vertical="center" wrapText="1" indent="7"/>
    </xf>
    <xf numFmtId="0" fontId="71" fillId="3" borderId="5" xfId="0" applyFont="1" applyFill="1" applyBorder="1" applyAlignment="1">
      <alignment horizontal="left" vertical="center" wrapText="1" indent="7"/>
    </xf>
    <xf numFmtId="0" fontId="71" fillId="3" borderId="6" xfId="0" applyFont="1" applyFill="1" applyBorder="1" applyAlignment="1">
      <alignment horizontal="left" vertical="center" wrapText="1" indent="7"/>
    </xf>
    <xf numFmtId="0" fontId="71" fillId="3" borderId="7" xfId="0" applyFont="1" applyFill="1" applyBorder="1" applyAlignment="1">
      <alignment horizontal="left" vertical="center" wrapText="1" indent="7"/>
    </xf>
    <xf numFmtId="0" fontId="71" fillId="3" borderId="0" xfId="0" applyFont="1" applyFill="1" applyAlignment="1">
      <alignment horizontal="left" vertical="center" wrapText="1" indent="7"/>
    </xf>
    <xf numFmtId="0" fontId="71" fillId="3" borderId="30" xfId="0" applyFont="1" applyFill="1" applyBorder="1" applyAlignment="1">
      <alignment horizontal="left" vertical="center" wrapText="1" indent="7"/>
    </xf>
    <xf numFmtId="0" fontId="71" fillId="3" borderId="2" xfId="0" applyFont="1" applyFill="1" applyBorder="1" applyAlignment="1">
      <alignment horizontal="left" vertical="center" wrapText="1" indent="7"/>
    </xf>
    <xf numFmtId="0" fontId="71" fillId="3" borderId="3" xfId="0" applyFont="1" applyFill="1" applyBorder="1" applyAlignment="1">
      <alignment horizontal="left" vertical="center" wrapText="1" indent="7"/>
    </xf>
    <xf numFmtId="0" fontId="71" fillId="3" borderId="11" xfId="0" applyFont="1" applyFill="1" applyBorder="1" applyAlignment="1">
      <alignment horizontal="left" vertical="center" wrapText="1" indent="7"/>
    </xf>
    <xf numFmtId="0" fontId="51" fillId="0" borderId="19" xfId="38" applyNumberFormat="1" applyFont="1" applyFill="1" applyBorder="1" applyAlignment="1" applyProtection="1">
      <alignment horizontal="left" vertical="center" wrapText="1"/>
      <protection locked="0"/>
    </xf>
    <xf numFmtId="0" fontId="52" fillId="0" borderId="22" xfId="38" applyNumberFormat="1" applyFont="1" applyFill="1" applyBorder="1" applyAlignment="1" applyProtection="1">
      <alignment horizontal="left" vertical="center" wrapText="1"/>
      <protection locked="0"/>
    </xf>
    <xf numFmtId="0" fontId="52" fillId="0" borderId="20" xfId="38" applyNumberFormat="1" applyFont="1" applyFill="1" applyBorder="1" applyAlignment="1" applyProtection="1">
      <alignment horizontal="left" vertical="center" wrapText="1"/>
      <protection locked="0"/>
    </xf>
    <xf numFmtId="0" fontId="52" fillId="0" borderId="27" xfId="38" applyNumberFormat="1" applyFont="1" applyFill="1" applyBorder="1" applyAlignment="1" applyProtection="1">
      <alignment horizontal="left" vertical="center" wrapText="1"/>
      <protection locked="0"/>
    </xf>
    <xf numFmtId="0" fontId="52" fillId="0" borderId="0" xfId="38" applyNumberFormat="1" applyFont="1" applyFill="1" applyBorder="1" applyAlignment="1" applyProtection="1">
      <alignment horizontal="left" vertical="center" wrapText="1"/>
      <protection locked="0"/>
    </xf>
    <xf numFmtId="0" fontId="52" fillId="0" borderId="28" xfId="38" applyNumberFormat="1" applyFont="1" applyFill="1" applyBorder="1" applyAlignment="1" applyProtection="1">
      <alignment horizontal="left" vertical="center" wrapText="1"/>
      <protection locked="0"/>
    </xf>
    <xf numFmtId="0" fontId="52" fillId="0" borderId="26" xfId="38" applyNumberFormat="1" applyFont="1" applyFill="1" applyBorder="1" applyAlignment="1" applyProtection="1">
      <alignment horizontal="left" vertical="center" wrapText="1"/>
      <protection locked="0"/>
    </xf>
    <xf numFmtId="0" fontId="52" fillId="0" borderId="13" xfId="38" applyNumberFormat="1" applyFont="1" applyFill="1" applyBorder="1" applyAlignment="1" applyProtection="1">
      <alignment horizontal="left" vertical="center" wrapText="1"/>
      <protection locked="0"/>
    </xf>
    <xf numFmtId="0" fontId="52" fillId="0" borderId="29" xfId="38" applyNumberFormat="1" applyFont="1" applyFill="1" applyBorder="1" applyAlignment="1" applyProtection="1">
      <alignment horizontal="left" vertical="center" wrapText="1"/>
      <protection locked="0"/>
    </xf>
    <xf numFmtId="0" fontId="115" fillId="0" borderId="0" xfId="0" applyFont="1" applyAlignment="1">
      <alignment horizontal="left" vertical="center" wrapText="1"/>
    </xf>
    <xf numFmtId="0" fontId="21" fillId="10" borderId="31" xfId="0" applyFont="1" applyFill="1" applyBorder="1" applyAlignment="1">
      <alignment horizontal="center" vertical="center" wrapText="1"/>
    </xf>
    <xf numFmtId="0" fontId="30" fillId="0" borderId="4" xfId="39" applyFont="1" applyBorder="1" applyAlignment="1">
      <alignment horizontal="left" vertical="center" wrapText="1"/>
    </xf>
    <xf numFmtId="0" fontId="30" fillId="0" borderId="38" xfId="39" applyFont="1" applyBorder="1" applyAlignment="1">
      <alignment horizontal="left" vertical="center" wrapText="1"/>
    </xf>
    <xf numFmtId="0" fontId="30" fillId="0" borderId="39" xfId="39" applyFont="1" applyBorder="1" applyAlignment="1">
      <alignment horizontal="left" vertical="center" wrapText="1"/>
    </xf>
    <xf numFmtId="0" fontId="30" fillId="0" borderId="40" xfId="39" applyFont="1" applyBorder="1" applyAlignment="1">
      <alignment horizontal="left" vertical="center" wrapText="1"/>
    </xf>
    <xf numFmtId="0" fontId="30" fillId="0" borderId="19" xfId="39" applyFont="1" applyBorder="1" applyAlignment="1">
      <alignment horizontal="left" vertical="center" wrapText="1"/>
    </xf>
    <xf numFmtId="0" fontId="30" fillId="0" borderId="41" xfId="39" applyFont="1" applyBorder="1" applyAlignment="1">
      <alignment horizontal="left" vertical="center" wrapText="1"/>
    </xf>
    <xf numFmtId="0" fontId="30" fillId="0" borderId="42" xfId="39" applyFont="1" applyBorder="1" applyAlignment="1">
      <alignment horizontal="left" vertical="center" wrapText="1"/>
    </xf>
    <xf numFmtId="0" fontId="30" fillId="0" borderId="43" xfId="39" applyFont="1" applyBorder="1" applyAlignment="1">
      <alignment horizontal="left" vertical="center" wrapText="1"/>
    </xf>
    <xf numFmtId="0" fontId="30" fillId="0" borderId="44" xfId="39" applyFont="1" applyBorder="1" applyAlignment="1">
      <alignment horizontal="left" vertical="center" wrapText="1"/>
    </xf>
    <xf numFmtId="14" fontId="21" fillId="10" borderId="31" xfId="0" applyNumberFormat="1" applyFont="1" applyFill="1" applyBorder="1" applyAlignment="1">
      <alignment horizontal="center" vertical="center"/>
    </xf>
    <xf numFmtId="0" fontId="28" fillId="10" borderId="31" xfId="0" applyFont="1" applyFill="1" applyBorder="1" applyAlignment="1">
      <alignment horizontal="center" vertical="center" wrapText="1"/>
    </xf>
    <xf numFmtId="0" fontId="21" fillId="10" borderId="1" xfId="0" applyFont="1" applyFill="1" applyBorder="1" applyAlignment="1">
      <alignment horizontal="center" vertical="center"/>
    </xf>
    <xf numFmtId="0" fontId="21" fillId="10" borderId="9" xfId="0" applyFont="1" applyFill="1" applyBorder="1" applyAlignment="1">
      <alignment horizontal="center" vertical="center"/>
    </xf>
    <xf numFmtId="0" fontId="30" fillId="0" borderId="19" xfId="38" applyNumberFormat="1" applyFont="1" applyFill="1" applyBorder="1" applyAlignment="1" applyProtection="1">
      <alignment horizontal="left" vertical="center" wrapText="1"/>
      <protection locked="0"/>
    </xf>
    <xf numFmtId="0" fontId="30" fillId="0" borderId="22" xfId="38" applyNumberFormat="1" applyFont="1" applyFill="1" applyBorder="1" applyAlignment="1" applyProtection="1">
      <alignment horizontal="left" vertical="center" wrapText="1"/>
      <protection locked="0"/>
    </xf>
    <xf numFmtId="0" fontId="30" fillId="0" borderId="20" xfId="38" applyNumberFormat="1" applyFont="1" applyFill="1" applyBorder="1" applyAlignment="1" applyProtection="1">
      <alignment horizontal="left" vertical="center" wrapText="1"/>
      <protection locked="0"/>
    </xf>
    <xf numFmtId="0" fontId="30" fillId="0" borderId="27" xfId="38" applyNumberFormat="1" applyFont="1" applyFill="1" applyBorder="1" applyAlignment="1" applyProtection="1">
      <alignment horizontal="left" vertical="center" wrapText="1"/>
      <protection locked="0"/>
    </xf>
    <xf numFmtId="0" fontId="30" fillId="0" borderId="0" xfId="38" applyNumberFormat="1" applyFont="1" applyFill="1" applyBorder="1" applyAlignment="1" applyProtection="1">
      <alignment horizontal="left" vertical="center" wrapText="1"/>
      <protection locked="0"/>
    </xf>
    <xf numFmtId="0" fontId="30" fillId="0" borderId="28" xfId="38" applyNumberFormat="1" applyFont="1" applyFill="1" applyBorder="1" applyAlignment="1" applyProtection="1">
      <alignment horizontal="left" vertical="center" wrapText="1"/>
      <protection locked="0"/>
    </xf>
    <xf numFmtId="0" fontId="30" fillId="0" borderId="26" xfId="38" applyNumberFormat="1" applyFont="1" applyFill="1" applyBorder="1" applyAlignment="1" applyProtection="1">
      <alignment horizontal="left" vertical="center" wrapText="1"/>
      <protection locked="0"/>
    </xf>
    <xf numFmtId="0" fontId="30" fillId="0" borderId="13" xfId="38" applyNumberFormat="1" applyFont="1" applyFill="1" applyBorder="1" applyAlignment="1" applyProtection="1">
      <alignment horizontal="left" vertical="center" wrapText="1"/>
      <protection locked="0"/>
    </xf>
    <xf numFmtId="0" fontId="30" fillId="0" borderId="29" xfId="38" applyNumberFormat="1" applyFont="1" applyFill="1" applyBorder="1" applyAlignment="1" applyProtection="1">
      <alignment horizontal="left" vertical="center" wrapText="1"/>
      <protection locked="0"/>
    </xf>
    <xf numFmtId="0" fontId="30" fillId="0" borderId="4" xfId="38" applyNumberFormat="1" applyFont="1" applyFill="1" applyBorder="1" applyAlignment="1" applyProtection="1">
      <alignment horizontal="left" vertical="center" wrapText="1"/>
      <protection locked="0"/>
    </xf>
    <xf numFmtId="0" fontId="30" fillId="0" borderId="5" xfId="38" applyNumberFormat="1" applyFont="1" applyFill="1" applyBorder="1" applyAlignment="1" applyProtection="1">
      <alignment horizontal="left" vertical="center" wrapText="1"/>
      <protection locked="0"/>
    </xf>
    <xf numFmtId="0" fontId="30" fillId="0" borderId="6" xfId="38" applyNumberFormat="1" applyFont="1" applyFill="1" applyBorder="1" applyAlignment="1" applyProtection="1">
      <alignment horizontal="left" vertical="center" wrapText="1"/>
      <protection locked="0"/>
    </xf>
    <xf numFmtId="0" fontId="30" fillId="0" borderId="7" xfId="38" applyNumberFormat="1" applyFont="1" applyFill="1" applyBorder="1" applyAlignment="1" applyProtection="1">
      <alignment horizontal="left" vertical="center" wrapText="1"/>
      <protection locked="0"/>
    </xf>
    <xf numFmtId="0" fontId="30" fillId="0" borderId="30" xfId="38" applyNumberFormat="1" applyFont="1" applyFill="1" applyBorder="1" applyAlignment="1" applyProtection="1">
      <alignment horizontal="left" vertical="center" wrapText="1"/>
      <protection locked="0"/>
    </xf>
    <xf numFmtId="0" fontId="30" fillId="0" borderId="2" xfId="38" applyNumberFormat="1" applyFont="1" applyFill="1" applyBorder="1" applyAlignment="1" applyProtection="1">
      <alignment horizontal="left" vertical="center" wrapText="1"/>
      <protection locked="0"/>
    </xf>
    <xf numFmtId="0" fontId="30" fillId="0" borderId="3" xfId="38" applyNumberFormat="1" applyFont="1" applyFill="1" applyBorder="1" applyAlignment="1" applyProtection="1">
      <alignment horizontal="left" vertical="center" wrapText="1"/>
      <protection locked="0"/>
    </xf>
    <xf numFmtId="0" fontId="30" fillId="0" borderId="11" xfId="38" applyNumberFormat="1" applyFont="1" applyFill="1" applyBorder="1" applyAlignment="1" applyProtection="1">
      <alignment horizontal="left" vertical="center" wrapText="1"/>
      <protection locked="0"/>
    </xf>
    <xf numFmtId="0" fontId="89" fillId="11" borderId="31" xfId="0" applyFont="1" applyFill="1" applyBorder="1" applyAlignment="1">
      <alignment horizontal="left" vertical="center"/>
    </xf>
    <xf numFmtId="0" fontId="50" fillId="11" borderId="1" xfId="0" applyFont="1" applyFill="1" applyBorder="1" applyAlignment="1">
      <alignment horizontal="center" vertical="center"/>
    </xf>
    <xf numFmtId="0" fontId="97" fillId="11" borderId="9" xfId="0" applyFont="1" applyFill="1" applyBorder="1" applyAlignment="1">
      <alignment horizontal="center" vertical="center"/>
    </xf>
    <xf numFmtId="0" fontId="21" fillId="11" borderId="8" xfId="0" applyFont="1" applyFill="1" applyBorder="1" applyAlignment="1">
      <alignment horizontal="center" vertical="center" wrapText="1"/>
    </xf>
    <xf numFmtId="0" fontId="21" fillId="11" borderId="9" xfId="0" applyFont="1" applyFill="1" applyBorder="1" applyAlignment="1">
      <alignment horizontal="center" vertical="center" wrapText="1"/>
    </xf>
    <xf numFmtId="0" fontId="21" fillId="11" borderId="18" xfId="0" applyFont="1" applyFill="1" applyBorder="1" applyAlignment="1">
      <alignment horizontal="center" vertical="center" wrapText="1"/>
    </xf>
    <xf numFmtId="0" fontId="97" fillId="10" borderId="25" xfId="0" applyFont="1" applyFill="1" applyBorder="1" applyAlignment="1">
      <alignment horizontal="center" vertical="center" wrapText="1"/>
    </xf>
    <xf numFmtId="0" fontId="97" fillId="10" borderId="24" xfId="0" applyFont="1" applyFill="1" applyBorder="1" applyAlignment="1">
      <alignment horizontal="center" vertical="center" wrapText="1"/>
    </xf>
    <xf numFmtId="0" fontId="28" fillId="10" borderId="1" xfId="0" applyFont="1" applyFill="1" applyBorder="1" applyAlignment="1">
      <alignment horizontal="center" vertical="center"/>
    </xf>
    <xf numFmtId="0" fontId="28" fillId="10" borderId="8" xfId="0" applyFont="1" applyFill="1" applyBorder="1" applyAlignment="1">
      <alignment horizontal="center" vertical="center"/>
    </xf>
    <xf numFmtId="0" fontId="28" fillId="10" borderId="9" xfId="0" applyFont="1" applyFill="1" applyBorder="1" applyAlignment="1">
      <alignment horizontal="center" vertical="center"/>
    </xf>
    <xf numFmtId="0" fontId="51" fillId="0" borderId="27" xfId="38" applyNumberFormat="1" applyFont="1" applyFill="1" applyBorder="1" applyAlignment="1" applyProtection="1">
      <alignment horizontal="left" vertical="center" wrapText="1"/>
      <protection locked="0"/>
    </xf>
    <xf numFmtId="0" fontId="28" fillId="11" borderId="1" xfId="0" applyFont="1" applyFill="1" applyBorder="1" applyAlignment="1">
      <alignment horizontal="center" vertical="center"/>
    </xf>
    <xf numFmtId="0" fontId="28" fillId="11" borderId="8" xfId="0" applyFont="1" applyFill="1" applyBorder="1" applyAlignment="1">
      <alignment horizontal="center" vertical="center"/>
    </xf>
    <xf numFmtId="0" fontId="28" fillId="11" borderId="9" xfId="0" applyFont="1" applyFill="1" applyBorder="1" applyAlignment="1">
      <alignment horizontal="center" vertical="center"/>
    </xf>
    <xf numFmtId="0" fontId="26" fillId="0" borderId="4" xfId="0" applyFont="1" applyBorder="1" applyAlignment="1">
      <alignment horizontal="left" vertical="center" wrapText="1"/>
    </xf>
    <xf numFmtId="0" fontId="26" fillId="0" borderId="5" xfId="0" applyFont="1" applyBorder="1" applyAlignment="1">
      <alignment horizontal="left" vertical="center" wrapText="1"/>
    </xf>
    <xf numFmtId="0" fontId="26" fillId="0" borderId="6" xfId="0" applyFont="1" applyBorder="1" applyAlignment="1">
      <alignment horizontal="left" vertical="center" wrapText="1"/>
    </xf>
    <xf numFmtId="0" fontId="26" fillId="0" borderId="7" xfId="0" applyFont="1" applyBorder="1" applyAlignment="1">
      <alignment horizontal="left" vertical="center" wrapText="1"/>
    </xf>
    <xf numFmtId="0" fontId="26" fillId="0" borderId="0" xfId="0" applyFont="1" applyAlignment="1">
      <alignment horizontal="left" vertical="center" wrapText="1"/>
    </xf>
    <xf numFmtId="0" fontId="26" fillId="0" borderId="30" xfId="0" applyFont="1" applyBorder="1" applyAlignment="1">
      <alignment horizontal="left" vertical="center" wrapText="1"/>
    </xf>
    <xf numFmtId="0" fontId="26" fillId="0" borderId="2" xfId="0" applyFont="1" applyBorder="1" applyAlignment="1">
      <alignment horizontal="left" vertical="center" wrapText="1"/>
    </xf>
    <xf numFmtId="0" fontId="26" fillId="0" borderId="3" xfId="0" applyFont="1" applyBorder="1" applyAlignment="1">
      <alignment horizontal="left" vertical="center" wrapText="1"/>
    </xf>
    <xf numFmtId="0" fontId="26" fillId="0" borderId="11" xfId="0" applyFont="1" applyBorder="1" applyAlignment="1">
      <alignment horizontal="left" vertical="center" wrapText="1"/>
    </xf>
    <xf numFmtId="0" fontId="30" fillId="0" borderId="31" xfId="0" applyFont="1" applyBorder="1" applyAlignment="1" applyProtection="1">
      <alignment horizontal="left" vertical="center" wrapText="1"/>
      <protection locked="0"/>
    </xf>
    <xf numFmtId="0" fontId="30" fillId="0" borderId="31" xfId="0" applyFont="1" applyBorder="1" applyAlignment="1" applyProtection="1">
      <alignment horizontal="left" vertical="top" wrapText="1"/>
      <protection locked="0"/>
    </xf>
    <xf numFmtId="0" fontId="22" fillId="0" borderId="31" xfId="0" applyFont="1" applyBorder="1" applyAlignment="1" applyProtection="1">
      <alignment horizontal="left" vertical="center" wrapText="1" indent="1"/>
      <protection locked="0"/>
    </xf>
    <xf numFmtId="0" fontId="39" fillId="0" borderId="31" xfId="0" applyFont="1" applyBorder="1" applyAlignment="1" applyProtection="1">
      <alignment horizontal="left" vertical="center" wrapText="1" indent="1"/>
      <protection locked="0"/>
    </xf>
    <xf numFmtId="0" fontId="124" fillId="6" borderId="4" xfId="41" applyFont="1" applyFill="1" applyBorder="1" applyAlignment="1">
      <alignment horizontal="center" vertical="center"/>
    </xf>
    <xf numFmtId="0" fontId="116" fillId="6" borderId="5" xfId="41" applyFont="1" applyFill="1" applyBorder="1" applyAlignment="1">
      <alignment horizontal="center" vertical="center"/>
    </xf>
    <xf numFmtId="0" fontId="71" fillId="3" borderId="1" xfId="41" applyFont="1" applyFill="1" applyBorder="1" applyAlignment="1">
      <alignment horizontal="left" vertical="center"/>
    </xf>
    <xf numFmtId="0" fontId="71" fillId="3" borderId="8" xfId="41" applyFont="1" applyFill="1" applyBorder="1" applyAlignment="1">
      <alignment horizontal="left" vertical="center"/>
    </xf>
    <xf numFmtId="0" fontId="71" fillId="3" borderId="9" xfId="41" applyFont="1" applyFill="1" applyBorder="1" applyAlignment="1">
      <alignment horizontal="left" vertical="center"/>
    </xf>
    <xf numFmtId="0" fontId="30" fillId="0" borderId="1" xfId="41" applyFont="1" applyBorder="1" applyAlignment="1" applyProtection="1">
      <alignment horizontal="left" vertical="center" wrapText="1"/>
      <protection locked="0"/>
    </xf>
    <xf numFmtId="0" fontId="30" fillId="0" borderId="8" xfId="41" applyFont="1" applyBorder="1" applyAlignment="1" applyProtection="1">
      <alignment horizontal="left" vertical="center" wrapText="1"/>
      <protection locked="0"/>
    </xf>
    <xf numFmtId="0" fontId="30" fillId="0" borderId="9" xfId="41" applyFont="1" applyBorder="1" applyAlignment="1" applyProtection="1">
      <alignment horizontal="left" vertical="center" wrapText="1"/>
      <protection locked="0"/>
    </xf>
    <xf numFmtId="0" fontId="30" fillId="0" borderId="31" xfId="41" applyFont="1" applyBorder="1" applyAlignment="1" applyProtection="1">
      <alignment horizontal="left" vertical="center" wrapText="1"/>
      <protection locked="0"/>
    </xf>
    <xf numFmtId="0" fontId="22" fillId="0" borderId="1" xfId="41" applyFont="1" applyBorder="1" applyAlignment="1" applyProtection="1">
      <alignment horizontal="left" vertical="center" wrapText="1" indent="2"/>
      <protection locked="0"/>
    </xf>
    <xf numFmtId="0" fontId="25" fillId="0" borderId="8" xfId="41" applyFont="1" applyBorder="1" applyAlignment="1" applyProtection="1">
      <alignment horizontal="left" vertical="center" wrapText="1" indent="2"/>
      <protection locked="0"/>
    </xf>
    <xf numFmtId="0" fontId="25" fillId="0" borderId="9" xfId="41" applyFont="1" applyBorder="1" applyAlignment="1" applyProtection="1">
      <alignment horizontal="left" vertical="center" wrapText="1" indent="2"/>
      <protection locked="0"/>
    </xf>
    <xf numFmtId="0" fontId="28" fillId="11" borderId="31" xfId="41" applyFont="1" applyFill="1" applyBorder="1" applyAlignment="1">
      <alignment horizontal="center" vertical="center"/>
    </xf>
    <xf numFmtId="0" fontId="121" fillId="0" borderId="4" xfId="98" applyFont="1" applyBorder="1" applyAlignment="1">
      <alignment horizontal="left" vertical="center" wrapText="1"/>
    </xf>
    <xf numFmtId="0" fontId="121" fillId="0" borderId="5" xfId="98" applyFont="1" applyBorder="1" applyAlignment="1">
      <alignment horizontal="left" vertical="center" wrapText="1"/>
    </xf>
    <xf numFmtId="0" fontId="121" fillId="0" borderId="6" xfId="98" applyFont="1" applyBorder="1" applyAlignment="1">
      <alignment horizontal="left" vertical="center" wrapText="1"/>
    </xf>
    <xf numFmtId="0" fontId="121" fillId="0" borderId="7" xfId="98" applyFont="1" applyBorder="1" applyAlignment="1">
      <alignment horizontal="left" vertical="center" wrapText="1"/>
    </xf>
    <xf numFmtId="0" fontId="121" fillId="0" borderId="0" xfId="98" applyFont="1" applyAlignment="1">
      <alignment horizontal="left" vertical="center" wrapText="1"/>
    </xf>
    <xf numFmtId="0" fontId="121" fillId="0" borderId="30" xfId="98" applyFont="1" applyBorder="1" applyAlignment="1">
      <alignment horizontal="left" vertical="center" wrapText="1"/>
    </xf>
    <xf numFmtId="0" fontId="121" fillId="0" borderId="2" xfId="98" applyFont="1" applyBorder="1" applyAlignment="1">
      <alignment horizontal="left" vertical="center" wrapText="1"/>
    </xf>
    <xf numFmtId="0" fontId="121" fillId="0" borderId="3" xfId="98" applyFont="1" applyBorder="1" applyAlignment="1">
      <alignment horizontal="left" vertical="center" wrapText="1"/>
    </xf>
    <xf numFmtId="0" fontId="121" fillId="0" borderId="11" xfId="98" applyFont="1" applyBorder="1" applyAlignment="1">
      <alignment horizontal="left" vertical="center" wrapText="1"/>
    </xf>
    <xf numFmtId="0" fontId="30" fillId="0" borderId="31" xfId="0" applyFont="1" applyBorder="1" applyAlignment="1">
      <alignment horizontal="left" vertical="center" wrapText="1"/>
    </xf>
    <xf numFmtId="0" fontId="43" fillId="0" borderId="0" xfId="0" applyFont="1" applyAlignment="1">
      <alignment vertical="center"/>
    </xf>
    <xf numFmtId="0" fontId="30" fillId="12" borderId="25" xfId="0" applyFont="1" applyFill="1" applyBorder="1" applyAlignment="1">
      <alignment horizontal="center" vertical="center" wrapText="1"/>
    </xf>
    <xf numFmtId="0" fontId="30" fillId="12" borderId="12" xfId="0" applyFont="1" applyFill="1" applyBorder="1" applyAlignment="1">
      <alignment horizontal="center" vertical="center" wrapText="1"/>
    </xf>
    <xf numFmtId="0" fontId="30" fillId="12" borderId="24" xfId="0" applyFont="1" applyFill="1" applyBorder="1" applyAlignment="1">
      <alignment horizontal="center" vertical="center" wrapText="1"/>
    </xf>
    <xf numFmtId="0" fontId="30" fillId="0" borderId="4" xfId="0" applyFont="1" applyBorder="1" applyAlignment="1">
      <alignment horizontal="left" vertical="center" wrapText="1"/>
    </xf>
    <xf numFmtId="0" fontId="30" fillId="0" borderId="5" xfId="0" applyFont="1" applyBorder="1" applyAlignment="1">
      <alignment horizontal="left" vertical="center" wrapText="1"/>
    </xf>
    <xf numFmtId="0" fontId="30" fillId="0" borderId="6" xfId="0" applyFont="1" applyBorder="1" applyAlignment="1">
      <alignment horizontal="left" vertical="center" wrapText="1"/>
    </xf>
    <xf numFmtId="0" fontId="30" fillId="0" borderId="7" xfId="0" applyFont="1" applyBorder="1" applyAlignment="1">
      <alignment horizontal="left" vertical="center" wrapText="1"/>
    </xf>
    <xf numFmtId="0" fontId="30" fillId="0" borderId="0" xfId="0" applyFont="1" applyAlignment="1">
      <alignment horizontal="left" vertical="center" wrapText="1"/>
    </xf>
    <xf numFmtId="0" fontId="30" fillId="0" borderId="30" xfId="0" applyFont="1" applyBorder="1" applyAlignment="1">
      <alignment horizontal="left" vertical="center" wrapText="1"/>
    </xf>
    <xf numFmtId="0" fontId="30" fillId="0" borderId="2" xfId="0" applyFont="1" applyBorder="1" applyAlignment="1">
      <alignment horizontal="left" vertical="center" wrapText="1"/>
    </xf>
    <xf numFmtId="0" fontId="30" fillId="0" borderId="3" xfId="0" applyFont="1" applyBorder="1" applyAlignment="1">
      <alignment horizontal="left" vertical="center" wrapText="1"/>
    </xf>
    <xf numFmtId="0" fontId="30" fillId="0" borderId="11" xfId="0" applyFont="1" applyBorder="1" applyAlignment="1">
      <alignment horizontal="left" vertical="center" wrapText="1"/>
    </xf>
    <xf numFmtId="0" fontId="22" fillId="0" borderId="19" xfId="0" applyFont="1" applyBorder="1" applyAlignment="1" applyProtection="1">
      <alignment horizontal="left" vertical="center" wrapText="1"/>
      <protection locked="0"/>
    </xf>
    <xf numFmtId="0" fontId="22" fillId="0" borderId="22" xfId="0" applyFont="1" applyBorder="1" applyAlignment="1" applyProtection="1">
      <alignment horizontal="left" vertical="center" wrapText="1"/>
      <protection locked="0"/>
    </xf>
    <xf numFmtId="0" fontId="22" fillId="0" borderId="20" xfId="0" applyFont="1" applyBorder="1" applyAlignment="1" applyProtection="1">
      <alignment horizontal="left" vertical="center" wrapText="1"/>
      <protection locked="0"/>
    </xf>
    <xf numFmtId="0" fontId="22" fillId="0" borderId="27" xfId="0" applyFont="1" applyBorder="1" applyAlignment="1" applyProtection="1">
      <alignment horizontal="left" vertical="center" wrapText="1"/>
      <protection locked="0"/>
    </xf>
    <xf numFmtId="0" fontId="22" fillId="0" borderId="0" xfId="0" applyFont="1" applyAlignment="1" applyProtection="1">
      <alignment horizontal="left" vertical="center" wrapText="1"/>
      <protection locked="0"/>
    </xf>
    <xf numFmtId="0" fontId="22" fillId="0" borderId="28" xfId="0" applyFont="1" applyBorder="1" applyAlignment="1" applyProtection="1">
      <alignment horizontal="left" vertical="center" wrapText="1"/>
      <protection locked="0"/>
    </xf>
    <xf numFmtId="0" fontId="22" fillId="0" borderId="26" xfId="0" applyFont="1" applyBorder="1" applyAlignment="1" applyProtection="1">
      <alignment horizontal="left" vertical="center" wrapText="1"/>
      <protection locked="0"/>
    </xf>
    <xf numFmtId="0" fontId="22" fillId="0" borderId="13" xfId="0" applyFont="1" applyBorder="1" applyAlignment="1" applyProtection="1">
      <alignment horizontal="left" vertical="center" wrapText="1"/>
      <protection locked="0"/>
    </xf>
    <xf numFmtId="0" fontId="22" fillId="0" borderId="29" xfId="0" applyFont="1" applyBorder="1" applyAlignment="1" applyProtection="1">
      <alignment horizontal="left" vertical="center" wrapText="1"/>
      <protection locked="0"/>
    </xf>
    <xf numFmtId="0" fontId="114" fillId="4" borderId="4" xfId="0" applyFont="1" applyFill="1" applyBorder="1" applyAlignment="1" applyProtection="1">
      <alignment horizontal="center" vertical="center"/>
      <protection locked="0"/>
    </xf>
    <xf numFmtId="0" fontId="30" fillId="0" borderId="31" xfId="0" applyFont="1" applyBorder="1" applyAlignment="1">
      <alignment horizontal="left" vertical="center"/>
    </xf>
    <xf numFmtId="0" fontId="30" fillId="0" borderId="1" xfId="0" applyFont="1" applyBorder="1" applyAlignment="1">
      <alignment horizontal="left" vertical="center"/>
    </xf>
    <xf numFmtId="0" fontId="30" fillId="0" borderId="8" xfId="0" applyFont="1" applyBorder="1" applyAlignment="1">
      <alignment horizontal="left" vertical="center"/>
    </xf>
    <xf numFmtId="0" fontId="30" fillId="0" borderId="9" xfId="0" applyFont="1" applyBorder="1" applyAlignment="1">
      <alignment horizontal="left" vertical="center"/>
    </xf>
    <xf numFmtId="0" fontId="21" fillId="9" borderId="8" xfId="0" applyFont="1" applyFill="1" applyBorder="1" applyAlignment="1">
      <alignment horizontal="left" vertical="center"/>
    </xf>
    <xf numFmtId="0" fontId="21" fillId="9" borderId="9" xfId="0" applyFont="1" applyFill="1" applyBorder="1" applyAlignment="1">
      <alignment horizontal="left" vertical="center"/>
    </xf>
    <xf numFmtId="3" fontId="22" fillId="0" borderId="31" xfId="0" applyNumberFormat="1" applyFont="1" applyBorder="1" applyAlignment="1">
      <alignment horizontal="left" vertical="center"/>
    </xf>
    <xf numFmtId="0" fontId="30" fillId="0" borderId="19" xfId="0" applyFont="1" applyBorder="1" applyAlignment="1">
      <alignment horizontal="left" vertical="center" wrapText="1"/>
    </xf>
    <xf numFmtId="0" fontId="30" fillId="0" borderId="22" xfId="0" applyFont="1" applyBorder="1" applyAlignment="1">
      <alignment horizontal="left" vertical="center" wrapText="1"/>
    </xf>
    <xf numFmtId="0" fontId="30" fillId="0" borderId="20" xfId="0" applyFont="1" applyBorder="1" applyAlignment="1">
      <alignment horizontal="left" vertical="center" wrapText="1"/>
    </xf>
    <xf numFmtId="0" fontId="30" fillId="0" borderId="27" xfId="0" applyFont="1" applyBorder="1" applyAlignment="1">
      <alignment horizontal="left" vertical="center" wrapText="1"/>
    </xf>
    <xf numFmtId="0" fontId="30" fillId="0" borderId="28" xfId="0" applyFont="1" applyBorder="1" applyAlignment="1">
      <alignment horizontal="left" vertical="center" wrapText="1"/>
    </xf>
    <xf numFmtId="0" fontId="30" fillId="0" borderId="26" xfId="0" applyFont="1" applyBorder="1" applyAlignment="1">
      <alignment horizontal="left" vertical="center" wrapText="1"/>
    </xf>
    <xf numFmtId="0" fontId="30" fillId="0" borderId="13" xfId="0" applyFont="1" applyBorder="1" applyAlignment="1">
      <alignment horizontal="left" vertical="center" wrapText="1"/>
    </xf>
    <xf numFmtId="0" fontId="30" fillId="0" borderId="29" xfId="0" applyFont="1" applyBorder="1" applyAlignment="1">
      <alignment horizontal="left" vertical="center" wrapText="1"/>
    </xf>
    <xf numFmtId="0" fontId="0" fillId="0" borderId="0" xfId="0" applyBorder="1"/>
    <xf numFmtId="0" fontId="80" fillId="0" borderId="0" xfId="48" quotePrefix="1" applyFont="1" applyBorder="1" applyAlignment="1">
      <alignment vertical="center"/>
    </xf>
    <xf numFmtId="0" fontId="80" fillId="0" borderId="0" xfId="48" applyFont="1" applyBorder="1" applyAlignment="1">
      <alignment vertical="center"/>
    </xf>
  </cellXfs>
  <cellStyles count="99">
    <cellStyle name="Comma [0] 2" xfId="38" xr:uid="{17C8E145-D4A4-4775-9627-2461820E48B6}"/>
    <cellStyle name="Comma 12" xfId="43" xr:uid="{D1ACD0F8-267D-42CA-8679-213AC0AC2012}"/>
    <cellStyle name="Comma 13" xfId="94" xr:uid="{5570820C-AB2E-45FB-BD7C-681D95A99017}"/>
    <cellStyle name="Comma 16" xfId="46" xr:uid="{05DC04EB-2DD8-4E53-8BB1-7956F5140388}"/>
    <cellStyle name="Comma 17 8" xfId="12" xr:uid="{F9F53BC9-7F77-40AE-836B-90D1FF2B3BE3}"/>
    <cellStyle name="Comma 2" xfId="11" xr:uid="{FF87C839-5FE4-4D6B-A796-D3E622C3CFCB}"/>
    <cellStyle name="Comma 2 2" xfId="56" xr:uid="{71BE7BAA-1B0F-45A3-B213-A9FD7018B799}"/>
    <cellStyle name="Comma 2 3" xfId="92" xr:uid="{B47E32ED-728A-4ED3-A6CF-ABD6B320FED3}"/>
    <cellStyle name="Comma 3" xfId="15" xr:uid="{CB154530-BB49-41CD-A34A-24B8FF41885F}"/>
    <cellStyle name="Comma 4" xfId="25" xr:uid="{DD9FDABE-6F49-468B-8504-DCD9D494B28F}"/>
    <cellStyle name="Comma 4 3" xfId="7" xr:uid="{22539F66-3396-4DD3-9845-81C9FA5D12CD}"/>
    <cellStyle name="Comma 5" xfId="27" xr:uid="{B3556522-3B46-49E7-B85E-F48597D57732}"/>
    <cellStyle name="Comma 6" xfId="3" xr:uid="{0B4E5A9B-AFAE-4848-8F56-82D29E3023FD}"/>
    <cellStyle name="Comma 6 2" xfId="62" xr:uid="{BD2DAA53-5314-4632-A64A-EDD9BCE14F09}"/>
    <cellStyle name="Comma 7" xfId="79" xr:uid="{71A1FDF9-57EA-49DF-82B5-8ABDB65D1156}"/>
    <cellStyle name="Comma 9" xfId="91" xr:uid="{9719DF02-D978-4498-B7B1-DFAA6F2E0035}"/>
    <cellStyle name="Comma_A 8 2a CAL - Interim 2 2" xfId="59" xr:uid="{D0F51462-F9A1-4EC9-83C6-984AFB0B0AA2}"/>
    <cellStyle name="Currency 2" xfId="19" xr:uid="{6E765CE7-C5B9-4222-8793-EC1ECF1DE83A}"/>
    <cellStyle name="Currency 2 2" xfId="9" xr:uid="{FB2CA79D-5D69-4467-B82D-D064F6F37FCD}"/>
    <cellStyle name="Currency 3" xfId="17" xr:uid="{4804E190-3D7B-4AB4-AD7E-03EFE64E736D}"/>
    <cellStyle name="Currency 4" xfId="21" xr:uid="{BB553CB5-A7CB-4827-B2E6-3055717FCA5D}"/>
    <cellStyle name="Currency 4 2" xfId="32" xr:uid="{FA62B968-2FA7-4771-B170-D35803C1911F}"/>
    <cellStyle name="Currency 5" xfId="28" xr:uid="{3148A4D9-89BE-48FD-80A3-EE50FBE1485C}"/>
    <cellStyle name="Currency 6" xfId="10" xr:uid="{DD2EA198-9C71-4890-AADA-3961DCA39995}"/>
    <cellStyle name="Currency 9" xfId="44" xr:uid="{53FBCCB8-43C8-4B8B-B4AD-5A05448E7E82}"/>
    <cellStyle name="Hyperlink 10" xfId="67" xr:uid="{887A3D3F-5F42-4C03-8B65-B63BBCE678B3}"/>
    <cellStyle name="Hyperlink 2" xfId="37" xr:uid="{44C203B1-4F54-4AE5-92E1-FE8D35C146BD}"/>
    <cellStyle name="Hyperlink 2 2" xfId="45" xr:uid="{A55AFCF6-0B6C-4A97-8740-55741A54ADA3}"/>
    <cellStyle name="Hyperlink 2 3" xfId="76" xr:uid="{22136C48-0F71-4391-8E5A-6CDAD03F9457}"/>
    <cellStyle name="Hyperlink 3" xfId="52" xr:uid="{C9DE1CAB-CFB3-4C00-A7BB-3B83D4AEF41F}"/>
    <cellStyle name="Hyperlink 4" xfId="71" xr:uid="{F03DC9FC-5561-447B-8522-1CE7B1C1FD93}"/>
    <cellStyle name="Normal 10" xfId="6" xr:uid="{401EF897-0159-4244-ACCB-797EFB2A3B2F}"/>
    <cellStyle name="Normal 10 10" xfId="51" xr:uid="{210D9BDD-5D6B-408D-97E6-F3001504EB03}"/>
    <cellStyle name="Normal 10 10 2" xfId="80" xr:uid="{64EE02D2-6B77-4E7B-B222-27EFC360BFB1}"/>
    <cellStyle name="Normal 11" xfId="69" xr:uid="{450286E0-0CCA-448F-B64D-F14B5BA1277A}"/>
    <cellStyle name="Normal 118" xfId="41" xr:uid="{C0B37B2C-A163-4D44-80B5-6ED6EB33B831}"/>
    <cellStyle name="Normal 12" xfId="75" xr:uid="{1749F2B9-43A4-41F8-81B4-7A8EA11F609C}"/>
    <cellStyle name="Normal 12 3" xfId="61" xr:uid="{EC0DB352-DEE9-4FA6-80D7-0A5D97B5C22B}"/>
    <cellStyle name="Normal 12 4" xfId="97" xr:uid="{3072EB85-7718-4CD2-A8B4-B972F949F58E}"/>
    <cellStyle name="Normal 121" xfId="74" xr:uid="{9E90176D-0139-4296-B291-DC6655ADD2D0}"/>
    <cellStyle name="Normal 121 2" xfId="39" xr:uid="{2C55916E-2C01-4D5F-B5E7-9C057A918068}"/>
    <cellStyle name="Normal 121 2 2" xfId="78" xr:uid="{C2618642-102C-4DE6-A7F3-9E03DD0646E0}"/>
    <cellStyle name="Normal 121 2 2 2 4" xfId="81" xr:uid="{8525B4E0-2BB0-45BA-825C-307D7F85844F}"/>
    <cellStyle name="Normal 121 4" xfId="83" xr:uid="{A411FC7D-C565-4BC4-A009-4165A95FA41C}"/>
    <cellStyle name="Normal 13" xfId="90" xr:uid="{80618955-8E57-4722-B612-06A6C9D08EA6}"/>
    <cellStyle name="Normal 17 2" xfId="89" xr:uid="{089B8755-41D8-4E31-A207-F0C271AC3584}"/>
    <cellStyle name="Normal 2" xfId="4" xr:uid="{5012D357-BBBA-4FC9-A6D2-8B9F962A4B4E}"/>
    <cellStyle name="Normal 2 10 2" xfId="40" xr:uid="{2A49111D-905C-4E7D-92A0-B41E1D8BE285}"/>
    <cellStyle name="Normal 2 2" xfId="14" xr:uid="{5FC3E4E2-413B-4E69-B9CC-DFB0D77FFF36}"/>
    <cellStyle name="Normal 2 2 2" xfId="36" xr:uid="{F171A1C3-52AA-4F76-8563-31597ED90FE9}"/>
    <cellStyle name="Normal 2 2 2 2" xfId="55" xr:uid="{3AE43285-F401-419D-8B20-1CA66B03DF2C}"/>
    <cellStyle name="Normal 2 2 3" xfId="47" xr:uid="{66592226-F916-48EA-8FE3-A353A0EA309B}"/>
    <cellStyle name="Normal 2 2 4" xfId="57" xr:uid="{2EEBA40A-1BA8-4D63-9522-C6157068BD78}"/>
    <cellStyle name="Normal 2 24" xfId="87" xr:uid="{89DD4CDE-43D9-466C-8931-7A8D5F9F3728}"/>
    <cellStyle name="Normal 2 3" xfId="23" xr:uid="{77DA1DB6-F7D1-4EE4-AF6B-7C5724D29527}"/>
    <cellStyle name="Normal 2 3 10" xfId="84" xr:uid="{6064FE73-06D5-4A40-B43A-CB593DF32C3F}"/>
    <cellStyle name="Normal 2 3 6 2" xfId="70" xr:uid="{92F0C3E8-9389-49F7-ABFC-FBD5C4FB0BE6}"/>
    <cellStyle name="Normal 2 4" xfId="30" xr:uid="{2B4021D0-0D8E-45CC-A9BD-D554656288E4}"/>
    <cellStyle name="Normal 2 4 3" xfId="98" xr:uid="{1CA3F932-0CC4-4665-A6B5-2EA5BB89D3D8}"/>
    <cellStyle name="Normal 2 5" xfId="82" xr:uid="{3DB18851-9DBA-4937-A4D5-E4320D623473}"/>
    <cellStyle name="Normal 3" xfId="5" xr:uid="{52EFBD29-E133-48B3-BD65-00E4D13E2BFF}"/>
    <cellStyle name="Normal 3 2" xfId="18" xr:uid="{7D6A49E3-EA72-4A84-8BAD-493DAAA3A34C}"/>
    <cellStyle name="Normal 3 3" xfId="24" xr:uid="{FA078663-12B0-4375-A950-562A5CFEF969}"/>
    <cellStyle name="Normal 3 4" xfId="33" xr:uid="{46315373-81C9-4CAF-9494-432B2EE743F3}"/>
    <cellStyle name="Normal 3 5" xfId="49" xr:uid="{94B7FF9F-127B-4772-938A-EFB47EAEF25B}"/>
    <cellStyle name="Normal 4" xfId="16" xr:uid="{7DE395C8-C36F-4316-B924-83E628427648}"/>
    <cellStyle name="Normal 4 2" xfId="34" xr:uid="{FFCD15DB-3F56-40B9-9EFC-0C4FA68B6A78}"/>
    <cellStyle name="Normal 4 3" xfId="50" xr:uid="{828F6F80-958E-4893-9432-68BA3D2F0AE5}"/>
    <cellStyle name="Normal 5" xfId="20" xr:uid="{175D09E2-6BF7-4333-806F-7BC0558FCB8D}"/>
    <cellStyle name="Normal 5 2" xfId="35" xr:uid="{4B452923-AC04-4FBA-9F42-340E0A360039}"/>
    <cellStyle name="Normal 55" xfId="42" xr:uid="{5E9A8A1F-A04C-402B-8044-74708E38353A}"/>
    <cellStyle name="Normal 55 2" xfId="66" xr:uid="{6EC1E3C8-DB1B-48E9-B6A5-4582F11079AF}"/>
    <cellStyle name="Normal 6" xfId="22" xr:uid="{7037DEF8-C095-4BAE-A87D-6AF21A2EDBE6}"/>
    <cellStyle name="Normal 7" xfId="26" xr:uid="{FC5188E1-5A74-4694-84C1-D0FA1CBE6793}"/>
    <cellStyle name="Normal 8" xfId="2" xr:uid="{C2B26D83-A39B-4546-A7B7-5423056BA27A}"/>
    <cellStyle name="Normal 9" xfId="64" xr:uid="{8B2C2D54-292E-4E35-B576-8E17B2D3D2AF}"/>
    <cellStyle name="Normal_SHEET" xfId="8" xr:uid="{99F6C191-C1B7-494A-8B5D-F3C9F65D5771}"/>
    <cellStyle name="Percent 2" xfId="31" xr:uid="{3F5B3F23-CD30-402F-AC0A-4543A5A5EF28}"/>
    <cellStyle name="Percent 2 2" xfId="53" xr:uid="{B89F877A-5BAB-4233-B67C-8CE303619ACD}"/>
    <cellStyle name="Percent 2 3" xfId="93" xr:uid="{FE92F82E-2F99-4A63-B747-FC7F87A87D0E}"/>
    <cellStyle name="Percent 3" xfId="29" xr:uid="{EBF455FE-0A48-4A27-ABD0-2458F1B60D4E}"/>
    <cellStyle name="Percent 4" xfId="54" xr:uid="{0F962B4F-BC39-4D8F-A517-BFAEE46D3E6C}"/>
    <cellStyle name="Percent 4 2" xfId="58" xr:uid="{E6A4028F-F5E0-48BF-81CD-7BB4FADDC792}"/>
    <cellStyle name="Percent 5" xfId="77" xr:uid="{B40124EB-FA43-4892-86DB-E062E7E692B3}"/>
    <cellStyle name="Style 1 5 4" xfId="13" xr:uid="{4A16567B-6B62-41A5-9FE5-08AA50B0AEE5}"/>
    <cellStyle name="百分比" xfId="60" builtinId="5"/>
    <cellStyle name="常规" xfId="0" builtinId="0"/>
    <cellStyle name="常规 10 3" xfId="65" xr:uid="{028C021D-A256-4D32-A011-49D77564F311}"/>
    <cellStyle name="常规 10 5" xfId="68" xr:uid="{8102C958-4AD2-4672-B174-9FB76CCB11AD}"/>
    <cellStyle name="常规 15" xfId="72" xr:uid="{151928A9-2A32-47E4-A7C5-862493A9F426}"/>
    <cellStyle name="常规 16" xfId="63" xr:uid="{D70034BD-50CE-4854-8903-956B9DAFF744}"/>
    <cellStyle name="常规 2" xfId="96" xr:uid="{D03E9470-DF6C-4B5D-82C2-E5F8D123A913}"/>
    <cellStyle name="常规 2 2 4" xfId="88" xr:uid="{EE6B3D02-E78A-410A-8624-B135846D4264}"/>
    <cellStyle name="常规 2 9" xfId="73" xr:uid="{AB0BD77B-BEB1-4768-81E4-374ABBA08449}"/>
    <cellStyle name="常规 2 9 2" xfId="85" xr:uid="{8837C5FC-C813-46A0-87FB-E62DFE50FE38}"/>
    <cellStyle name="常规 3 2" xfId="95" xr:uid="{0501BF89-1948-4386-A0DB-3EF70CC7B367}"/>
    <cellStyle name="超链接" xfId="48" builtinId="8"/>
    <cellStyle name="超链接 2 6" xfId="86" xr:uid="{5FBA8B1B-3249-4AC0-BB6C-38CF494908D9}"/>
    <cellStyle name="千位分隔" xfId="1" builtinId="3"/>
  </cellStyles>
  <dxfs count="43">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mediumGray"/>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D9E1F2"/>
      <color rgb="FFFFFEEE"/>
      <color rgb="FFFFFFEE"/>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Altas-PSP-%E9%93%BE%E6%8E%A5.aspx#:~:text=%E7%9B%B8%E5%85%B3PSP%20%E4%BB%A5%E5%8F%8AOSP%20%E5%8F%AF%E4%BB%8EAtlas%20%E4%B8%AD%E8%8E%B7%E5%BE%97%EF%BC%8CAtlas%20Link%3A%C2%A0%C2%A0%C2%A0%C2%A0%0A(CN)%20Q%2DNon%2Dcurrent%20loans%20and%20borrowings%20and%20related%20income%20statement%20accounts%0A%E6%9B%B4%E5%A4%9A%E8%AF%A5%E7%A7%91%E7%9B%AE%E7%9B%B8%E5%85%B3%E5%AE%A1%E8%AE%A1%E4%BC%9A%E8%AE%A1%E7%9F%A5%E8%AF%86%E5%8F%AF%E5%8F%82%E8%80%83%E2%80%9C%E5%A4%A7%E4%B8%AD%E5%8D%8E%E5%8C%BA%E4%BC%9A%E8%AE%A1%E5%AE%A1%E8%AE%A1%E7%9F%A5%E8%AF%86%E5%BA%93%E2%80%9D%C2%A0%C2%A0%C2%A0%C2%A0%0AQ1_%E7%9F%AD%E6%9C%9F%26%E9%95%BF%E6%9C%9F%E5%80%9F%E6%AC%BE" TargetMode="External"/><Relationship Id="rId5"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4%2D%E6%B3%A8%E9%87%8A9,%E6%89%A7%E8%A1%8C%E8%AF%A6%E7%BB%86%E6%B5%8B%E8%AF%95%EF%BC%9B" TargetMode="External"/><Relationship Id="rId4" Type="http://schemas.openxmlformats.org/officeDocument/2006/relationships/hyperlink" Target="https://eychinamanaged.sharepoint.cn/sites/GCknowledgecenter/SitePages/%E6%A0%87%E5%87%86%E5%BA%95%E7%A8%BF%E6%A8%A1%E6%9D%BF%E7%AD%94%E7%96%91%E9%93%BE%E6%8E%A5.aspx"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1%2D%E6%B3%A8%E9%87%8A3,%E5%88%92%E5%88%86%E4%B8%BA%E9%9D%9E%E6%B5%81%E5%8A%A8%E8%B4%9F%E5%80%BA%E3%80%82" TargetMode="External"/><Relationship Id="rId1" Type="http://schemas.openxmlformats.org/officeDocument/2006/relationships/image" Target="../media/image2.png"/><Relationship Id="rId6"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1%2D%E6%B3%A8%E9%87%8A,%E5%85%AC%E5%BC%8F%EF%BC%88%E5%A6%82%E9%80%82%E7%94%A8%EF%BC%89%E3%80%82" TargetMode="External"/><Relationship Id="rId5" Type="http://schemas.openxmlformats.org/officeDocument/2006/relationships/image" Target="../media/image4.png"/><Relationship Id="rId4"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1%2D%E6%B3%A8%E9%87%8A2,%E7%9B%B4%E6%8E%A5%E7%9B%B8%E5%85%B3%E7%9A%84%E8%B4%B9%E7%94%A8%E3%80%82"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2a%2D%E6%B3%A8%E9%87%8A4,%E6%B5%8B%E8%AF%95%3E%E3%80%82" TargetMode="Externa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3%2D%E6%B3%A8%E9%87%8A,%E6%A0%B7%E6%9C%AC%E8%BF%9B%E8%A1%8C%E6%B5%8B%E8%AF%95%E3%80%82" TargetMode="External"/><Relationship Id="rId1" Type="http://schemas.openxmlformats.org/officeDocument/2006/relationships/image" Target="../media/image2.png"/><Relationship Id="rId4"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3%2D%E6%B3%A8%E9%87%8A6,%E5%90%88%E5%90%8C%E4%B9%89%E5%8A%A1%E7%9A%84%E6%9D%83%E5%88%A9%E2%80%8B%E2%80%8B%E2%80%9D%E3%80%82"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4%2D%E6%B3%A8%E9%87%8A9,%E6%89%A7%E8%A1%8C%E8%AF%A6%E7%BB%86%E6%B5%8B%E8%AF%95%EF%BC%9B" TargetMode="External"/><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4%2D%E6%B3%A8%E9%87%8A7,%E6%8C%87%E5%BC%95%E8%A6%81%E6%B1%82%E2%80%AF" TargetMode="External"/><Relationship Id="rId1" Type="http://schemas.openxmlformats.org/officeDocument/2006/relationships/image" Target="../media/image2.png"/><Relationship Id="rId5" Type="http://schemas.openxmlformats.org/officeDocument/2006/relationships/image" Target="../media/image4.png"/><Relationship Id="rId4"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3%2D%E6%B3%A8%E9%87%8A,%E6%A0%B7%E6%9C%AC%E8%BF%9B%E8%A1%8C%E6%B5%8B%E8%AF%95%E3%80%82"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4%2D%E6%B3%A8%E9%87%8A8%EF%BC%9A%E5%85%B3%E4%BA%8E%E5%88%A9%E6%81%AF%E8%AE%A1%E7%AE%97,%E7%AB%A0%20%E9%87%91%E8%9E%8D%E5%B7%A5%E5%85%B7%E7%A1%AE%E8%AE%A4%E5%92%8C%E8%AE%A1%E9%87%8F" TargetMode="External"/><Relationship Id="rId1" Type="http://schemas.openxmlformats.org/officeDocument/2006/relationships/image" Target="../media/image2.png"/><Relationship Id="rId5" Type="http://schemas.openxmlformats.org/officeDocument/2006/relationships/image" Target="../media/image5.png"/><Relationship Id="rId4"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4%2D%E6%B3%A8%E9%87%8A7,%E6%8C%87%E5%BC%95%E8%A6%81%E6%B1%82%E2%80%AF"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5%2D%E6%B3%A8%E9%87%8A11,%E7%9B%B8%E5%BA%94%E5%AE%A1%E8%AE%A1%E7%A8%8B%E5%BA%8F%E3%80%82" TargetMode="External"/><Relationship Id="rId1" Type="http://schemas.openxmlformats.org/officeDocument/2006/relationships/image" Target="../media/image2.png"/><Relationship Id="rId4"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5%2D%E6%B3%A8%E9%87%8A12,5.4.1%E2%80%AFCovenant%E2%80%AFWaivers%3A%20EY%20Atlas" TargetMode="External"/></Relationships>
</file>

<file path=xl/drawings/drawing1.xml><?xml version="1.0" encoding="utf-8"?>
<xdr:wsDr xmlns:xdr="http://schemas.openxmlformats.org/drawingml/2006/spreadsheetDrawing" xmlns:a="http://schemas.openxmlformats.org/drawingml/2006/main">
  <xdr:twoCellAnchor>
    <xdr:from>
      <xdr:col>1</xdr:col>
      <xdr:colOff>633185</xdr:colOff>
      <xdr:row>2</xdr:row>
      <xdr:rowOff>217715</xdr:rowOff>
    </xdr:from>
    <xdr:to>
      <xdr:col>2</xdr:col>
      <xdr:colOff>18142</xdr:colOff>
      <xdr:row>4</xdr:row>
      <xdr:rowOff>31147</xdr:rowOff>
    </xdr:to>
    <xdr:pic>
      <xdr:nvPicPr>
        <xdr:cNvPr id="2" name="图片 3">
          <a:hlinkClick xmlns:r="http://schemas.openxmlformats.org/officeDocument/2006/relationships" r:id="rId1" tooltip="Altas PSP 链接"/>
          <a:extLst>
            <a:ext uri="{FF2B5EF4-FFF2-40B4-BE49-F238E27FC236}">
              <a16:creationId xmlns:a16="http://schemas.microsoft.com/office/drawing/2014/main" id="{154935EE-2C5D-4B82-8C25-0AAC3EC568E0}"/>
            </a:ext>
          </a:extLst>
        </xdr:cNvPr>
        <xdr:cNvPicPr>
          <a:picLocks noChangeAspect="1"/>
        </xdr:cNvPicPr>
      </xdr:nvPicPr>
      <xdr:blipFill>
        <a:blip xmlns:r="http://schemas.openxmlformats.org/officeDocument/2006/relationships" r:embed="rId2"/>
        <a:stretch>
          <a:fillRect/>
        </a:stretch>
      </xdr:blipFill>
      <xdr:spPr>
        <a:xfrm>
          <a:off x="751114" y="471715"/>
          <a:ext cx="255814" cy="230718"/>
        </a:xfrm>
        <a:prstGeom prst="rect">
          <a:avLst/>
        </a:prstGeom>
      </xdr:spPr>
    </xdr:pic>
    <xdr:clientData/>
  </xdr:twoCellAnchor>
  <xdr:oneCellAnchor>
    <xdr:from>
      <xdr:col>6</xdr:col>
      <xdr:colOff>789214</xdr:colOff>
      <xdr:row>3</xdr:row>
      <xdr:rowOff>9071</xdr:rowOff>
    </xdr:from>
    <xdr:ext cx="208643" cy="202505"/>
    <xdr:pic>
      <xdr:nvPicPr>
        <xdr:cNvPr id="3" name="图片 4">
          <a:hlinkClick xmlns:r="http://schemas.openxmlformats.org/officeDocument/2006/relationships" r:id="rId3" tooltip="预审&amp;年审工作注意事项"/>
          <a:extLst>
            <a:ext uri="{FF2B5EF4-FFF2-40B4-BE49-F238E27FC236}">
              <a16:creationId xmlns:a16="http://schemas.microsoft.com/office/drawing/2014/main" id="{0D495BF1-4324-4676-BBA6-A47E9BDC0EF9}"/>
            </a:ext>
          </a:extLst>
        </xdr:cNvPr>
        <xdr:cNvPicPr>
          <a:picLocks noChangeAspect="1"/>
        </xdr:cNvPicPr>
      </xdr:nvPicPr>
      <xdr:blipFill>
        <a:blip xmlns:r="http://schemas.openxmlformats.org/officeDocument/2006/relationships" r:embed="rId2"/>
        <a:stretch>
          <a:fillRect/>
        </a:stretch>
      </xdr:blipFill>
      <xdr:spPr>
        <a:xfrm>
          <a:off x="9026071" y="489857"/>
          <a:ext cx="208643" cy="202505"/>
        </a:xfrm>
        <a:prstGeom prst="rect">
          <a:avLst/>
        </a:prstGeom>
      </xdr:spPr>
    </xdr:pic>
    <xdr:clientData/>
  </xdr:oneCellAnchor>
  <xdr:oneCellAnchor>
    <xdr:from>
      <xdr:col>8</xdr:col>
      <xdr:colOff>1324428</xdr:colOff>
      <xdr:row>3</xdr:row>
      <xdr:rowOff>0</xdr:rowOff>
    </xdr:from>
    <xdr:ext cx="205343" cy="199303"/>
    <xdr:pic>
      <xdr:nvPicPr>
        <xdr:cNvPr id="4" name="图片 3">
          <a:hlinkClick xmlns:r="http://schemas.openxmlformats.org/officeDocument/2006/relationships" r:id="rId4" tooltip="如需帮助请点击"/>
          <a:extLst>
            <a:ext uri="{FF2B5EF4-FFF2-40B4-BE49-F238E27FC236}">
              <a16:creationId xmlns:a16="http://schemas.microsoft.com/office/drawing/2014/main" id="{A6909442-394E-4D10-8253-75FF3317D2BB}"/>
            </a:ext>
          </a:extLst>
        </xdr:cNvPr>
        <xdr:cNvPicPr>
          <a:picLocks noChangeAspect="1"/>
        </xdr:cNvPicPr>
      </xdr:nvPicPr>
      <xdr:blipFill>
        <a:blip xmlns:r="http://schemas.openxmlformats.org/officeDocument/2006/relationships" r:embed="rId2"/>
        <a:stretch>
          <a:fillRect/>
        </a:stretch>
      </xdr:blipFill>
      <xdr:spPr>
        <a:xfrm>
          <a:off x="11883571" y="480786"/>
          <a:ext cx="205343" cy="199303"/>
        </a:xfrm>
        <a:prstGeom prst="rect">
          <a:avLst/>
        </a:prstGeom>
      </xdr:spPr>
    </xdr:pic>
    <xdr:clientData/>
  </xdr:oneCellAnchor>
  <xdr:twoCellAnchor>
    <xdr:from>
      <xdr:col>3</xdr:col>
      <xdr:colOff>941613</xdr:colOff>
      <xdr:row>14</xdr:row>
      <xdr:rowOff>1813</xdr:rowOff>
    </xdr:from>
    <xdr:to>
      <xdr:col>3</xdr:col>
      <xdr:colOff>1152072</xdr:colOff>
      <xdr:row>15</xdr:row>
      <xdr:rowOff>3836</xdr:rowOff>
    </xdr:to>
    <xdr:pic>
      <xdr:nvPicPr>
        <xdr:cNvPr id="5" name="图片 3">
          <a:hlinkClick xmlns:r="http://schemas.openxmlformats.org/officeDocument/2006/relationships" r:id="rId5" tooltip="利息费用测试方法指引"/>
          <a:extLst>
            <a:ext uri="{FF2B5EF4-FFF2-40B4-BE49-F238E27FC236}">
              <a16:creationId xmlns:a16="http://schemas.microsoft.com/office/drawing/2014/main" id="{12036E32-E446-921A-4004-6CB2E6BBC585}"/>
            </a:ext>
          </a:extLst>
        </xdr:cNvPr>
        <xdr:cNvPicPr>
          <a:picLocks noChangeAspect="1"/>
        </xdr:cNvPicPr>
      </xdr:nvPicPr>
      <xdr:blipFill>
        <a:blip xmlns:r="http://schemas.openxmlformats.org/officeDocument/2006/relationships" r:embed="rId2"/>
        <a:stretch>
          <a:fillRect/>
        </a:stretch>
      </xdr:blipFill>
      <xdr:spPr>
        <a:xfrm>
          <a:off x="3617684" y="4927599"/>
          <a:ext cx="210459" cy="1925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0</xdr:row>
      <xdr:rowOff>66221</xdr:rowOff>
    </xdr:from>
    <xdr:to>
      <xdr:col>1</xdr:col>
      <xdr:colOff>550741</xdr:colOff>
      <xdr:row>0</xdr:row>
      <xdr:rowOff>590912</xdr:rowOff>
    </xdr:to>
    <xdr:pic>
      <xdr:nvPicPr>
        <xdr:cNvPr id="5" name="Picture 4">
          <a:extLst>
            <a:ext uri="{FF2B5EF4-FFF2-40B4-BE49-F238E27FC236}">
              <a16:creationId xmlns:a16="http://schemas.microsoft.com/office/drawing/2014/main" id="{59CE3830-979D-4B77-AB86-A98ADAE0613B}"/>
            </a:ext>
          </a:extLst>
        </xdr:cNvPr>
        <xdr:cNvPicPr>
          <a:picLocks noChangeAspect="1"/>
        </xdr:cNvPicPr>
      </xdr:nvPicPr>
      <xdr:blipFill>
        <a:blip xmlns:r="http://schemas.openxmlformats.org/officeDocument/2006/relationships" r:embed="rId1"/>
        <a:stretch>
          <a:fillRect/>
        </a:stretch>
      </xdr:blipFill>
      <xdr:spPr>
        <a:xfrm>
          <a:off x="247650" y="66221"/>
          <a:ext cx="494861" cy="517071"/>
        </a:xfrm>
        <a:prstGeom prst="rect">
          <a:avLst/>
        </a:prstGeom>
      </xdr:spPr>
    </xdr:pic>
    <xdr:clientData/>
  </xdr:twoCellAnchor>
  <xdr:twoCellAnchor>
    <xdr:from>
      <xdr:col>10</xdr:col>
      <xdr:colOff>947511</xdr:colOff>
      <xdr:row>0</xdr:row>
      <xdr:rowOff>408214</xdr:rowOff>
    </xdr:from>
    <xdr:to>
      <xdr:col>14</xdr:col>
      <xdr:colOff>547915</xdr:colOff>
      <xdr:row>4</xdr:row>
      <xdr:rowOff>209548</xdr:rowOff>
    </xdr:to>
    <xdr:sp macro="" textlink="">
      <xdr:nvSpPr>
        <xdr:cNvPr id="2" name="文本框 1">
          <a:extLst>
            <a:ext uri="{FF2B5EF4-FFF2-40B4-BE49-F238E27FC236}">
              <a16:creationId xmlns:a16="http://schemas.microsoft.com/office/drawing/2014/main" id="{6CB4A87C-1123-4002-B7B5-FA1676A9A3C7}"/>
            </a:ext>
            <a:ext uri="{147F2762-F138-4A5C-976F-8EAC2B608ADB}">
              <a16:predDERef xmlns:a16="http://schemas.microsoft.com/office/drawing/2014/main" pred="{59CE3830-979D-4B77-AB86-A98ADAE0613B}"/>
            </a:ext>
          </a:extLst>
        </xdr:cNvPr>
        <xdr:cNvSpPr txBox="1"/>
      </xdr:nvSpPr>
      <xdr:spPr>
        <a:xfrm>
          <a:off x="12118975" y="408214"/>
          <a:ext cx="4254047" cy="1543048"/>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lIns="91440" tIns="0" rIns="9144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高亮标记的单元格需要审计项目组输入内容。团队完成底稿后请移除高亮标记和红色说明文字。</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xdr:from>
      <xdr:col>3</xdr:col>
      <xdr:colOff>426356</xdr:colOff>
      <xdr:row>39</xdr:row>
      <xdr:rowOff>18143</xdr:rowOff>
    </xdr:from>
    <xdr:to>
      <xdr:col>3</xdr:col>
      <xdr:colOff>598713</xdr:colOff>
      <xdr:row>41</xdr:row>
      <xdr:rowOff>117929</xdr:rowOff>
    </xdr:to>
    <xdr:grpSp>
      <xdr:nvGrpSpPr>
        <xdr:cNvPr id="3" name="Group 10">
          <a:extLst>
            <a:ext uri="{FF2B5EF4-FFF2-40B4-BE49-F238E27FC236}">
              <a16:creationId xmlns:a16="http://schemas.microsoft.com/office/drawing/2014/main" id="{53A6A84D-8319-4910-AE97-5DCAF5F7A1D7}"/>
            </a:ext>
          </a:extLst>
        </xdr:cNvPr>
        <xdr:cNvGrpSpPr/>
      </xdr:nvGrpSpPr>
      <xdr:grpSpPr>
        <a:xfrm>
          <a:off x="3537856" y="9978572"/>
          <a:ext cx="172357" cy="480786"/>
          <a:chOff x="5778500" y="8636000"/>
          <a:chExt cx="114300" cy="758825"/>
        </a:xfrm>
      </xdr:grpSpPr>
      <xdr:cxnSp macro="">
        <xdr:nvCxnSpPr>
          <xdr:cNvPr id="4" name="Straight Connector 8">
            <a:extLst>
              <a:ext uri="{FF2B5EF4-FFF2-40B4-BE49-F238E27FC236}">
                <a16:creationId xmlns:a16="http://schemas.microsoft.com/office/drawing/2014/main" id="{57291473-FF01-32D8-5D1C-0D7F45E4E560}"/>
              </a:ext>
            </a:extLst>
          </xdr:cNvPr>
          <xdr:cNvCxnSpPr/>
        </xdr:nvCxnSpPr>
        <xdr:spPr>
          <a:xfrm>
            <a:off x="5829300" y="86360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6" name="Straight Connector 9">
            <a:extLst>
              <a:ext uri="{FF2B5EF4-FFF2-40B4-BE49-F238E27FC236}">
                <a16:creationId xmlns:a16="http://schemas.microsoft.com/office/drawing/2014/main" id="{1BC363BA-9EFB-E956-0556-2BF06556B4E9}"/>
              </a:ext>
            </a:extLst>
          </xdr:cNvPr>
          <xdr:cNvCxnSpPr/>
        </xdr:nvCxnSpPr>
        <xdr:spPr>
          <a:xfrm>
            <a:off x="5778500" y="93948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550741</xdr:colOff>
      <xdr:row>0</xdr:row>
      <xdr:rowOff>588509</xdr:rowOff>
    </xdr:to>
    <xdr:pic>
      <xdr:nvPicPr>
        <xdr:cNvPr id="2" name="Picture 5">
          <a:extLst>
            <a:ext uri="{FF2B5EF4-FFF2-40B4-BE49-F238E27FC236}">
              <a16:creationId xmlns:a16="http://schemas.microsoft.com/office/drawing/2014/main" id="{3D5FC863-5D94-458E-A58F-99B7CFE40174}"/>
            </a:ext>
          </a:extLst>
        </xdr:cNvPr>
        <xdr:cNvPicPr>
          <a:picLocks noChangeAspect="1"/>
        </xdr:cNvPicPr>
      </xdr:nvPicPr>
      <xdr:blipFill>
        <a:blip xmlns:r="http://schemas.openxmlformats.org/officeDocument/2006/relationships" r:embed="rId1"/>
        <a:stretch>
          <a:fillRect/>
        </a:stretch>
      </xdr:blipFill>
      <xdr:spPr>
        <a:xfrm>
          <a:off x="234950" y="63500"/>
          <a:ext cx="487241" cy="523421"/>
        </a:xfrm>
        <a:prstGeom prst="rect">
          <a:avLst/>
        </a:prstGeom>
      </xdr:spPr>
    </xdr:pic>
    <xdr:clientData/>
  </xdr:twoCellAnchor>
  <xdr:twoCellAnchor editAs="oneCell">
    <xdr:from>
      <xdr:col>14</xdr:col>
      <xdr:colOff>637950</xdr:colOff>
      <xdr:row>9</xdr:row>
      <xdr:rowOff>312964</xdr:rowOff>
    </xdr:from>
    <xdr:to>
      <xdr:col>14</xdr:col>
      <xdr:colOff>904589</xdr:colOff>
      <xdr:row>9</xdr:row>
      <xdr:rowOff>517071</xdr:rowOff>
    </xdr:to>
    <xdr:pic>
      <xdr:nvPicPr>
        <xdr:cNvPr id="6" name="Picture 5">
          <a:hlinkClick xmlns:r="http://schemas.openxmlformats.org/officeDocument/2006/relationships" r:id="rId2" tooltip="金融负债流动性的分类"/>
          <a:extLst>
            <a:ext uri="{FF2B5EF4-FFF2-40B4-BE49-F238E27FC236}">
              <a16:creationId xmlns:a16="http://schemas.microsoft.com/office/drawing/2014/main" id="{BC15BF63-0FFC-5A96-F34E-ABAC7C1766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flipH="1">
          <a:off x="17728521" y="2653393"/>
          <a:ext cx="266639" cy="204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588963</xdr:colOff>
      <xdr:row>9</xdr:row>
      <xdr:rowOff>412750</xdr:rowOff>
    </xdr:from>
    <xdr:to>
      <xdr:col>7</xdr:col>
      <xdr:colOff>818244</xdr:colOff>
      <xdr:row>10</xdr:row>
      <xdr:rowOff>2724</xdr:rowOff>
    </xdr:to>
    <xdr:pic>
      <xdr:nvPicPr>
        <xdr:cNvPr id="3" name="图片 5">
          <a:hlinkClick xmlns:r="http://schemas.openxmlformats.org/officeDocument/2006/relationships" r:id="rId4" tooltip="递延融资费用"/>
          <a:extLst>
            <a:ext uri="{FF2B5EF4-FFF2-40B4-BE49-F238E27FC236}">
              <a16:creationId xmlns:a16="http://schemas.microsoft.com/office/drawing/2014/main" id="{5F5701EA-405E-4044-93ED-A8F79D3DA3C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304463" y="2753179"/>
          <a:ext cx="229281" cy="2159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2136321</xdr:colOff>
      <xdr:row>7</xdr:row>
      <xdr:rowOff>0</xdr:rowOff>
    </xdr:from>
    <xdr:to>
      <xdr:col>1</xdr:col>
      <xdr:colOff>2382698</xdr:colOff>
      <xdr:row>8</xdr:row>
      <xdr:rowOff>27214</xdr:rowOff>
    </xdr:to>
    <xdr:pic>
      <xdr:nvPicPr>
        <xdr:cNvPr id="4" name="Picture 5">
          <a:hlinkClick xmlns:r="http://schemas.openxmlformats.org/officeDocument/2006/relationships" r:id="rId6" tooltip="表格使用注意事项"/>
          <a:extLst>
            <a:ext uri="{FF2B5EF4-FFF2-40B4-BE49-F238E27FC236}">
              <a16:creationId xmlns:a16="http://schemas.microsoft.com/office/drawing/2014/main" id="{12C2A107-609B-6559-04A3-785B9CC9E8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40428" y="1973036"/>
          <a:ext cx="246377" cy="231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554551</xdr:colOff>
      <xdr:row>0</xdr:row>
      <xdr:rowOff>579301</xdr:rowOff>
    </xdr:to>
    <xdr:pic>
      <xdr:nvPicPr>
        <xdr:cNvPr id="2" name="Picture 1">
          <a:extLst>
            <a:ext uri="{FF2B5EF4-FFF2-40B4-BE49-F238E27FC236}">
              <a16:creationId xmlns:a16="http://schemas.microsoft.com/office/drawing/2014/main" id="{6A12A203-82C0-4062-8A2F-92E639DED43B}"/>
            </a:ext>
          </a:extLst>
        </xdr:cNvPr>
        <xdr:cNvPicPr>
          <a:picLocks noChangeAspect="1"/>
        </xdr:cNvPicPr>
      </xdr:nvPicPr>
      <xdr:blipFill>
        <a:blip xmlns:r="http://schemas.openxmlformats.org/officeDocument/2006/relationships" r:embed="rId1"/>
        <a:stretch>
          <a:fillRect/>
        </a:stretch>
      </xdr:blipFill>
      <xdr:spPr>
        <a:xfrm>
          <a:off x="234950" y="63500"/>
          <a:ext cx="491051" cy="518976"/>
        </a:xfrm>
        <a:prstGeom prst="rect">
          <a:avLst/>
        </a:prstGeom>
      </xdr:spPr>
    </xdr:pic>
    <xdr:clientData/>
  </xdr:twoCellAnchor>
  <xdr:twoCellAnchor editAs="oneCell">
    <xdr:from>
      <xdr:col>1</xdr:col>
      <xdr:colOff>63500</xdr:colOff>
      <xdr:row>0</xdr:row>
      <xdr:rowOff>63500</xdr:rowOff>
    </xdr:from>
    <xdr:to>
      <xdr:col>1</xdr:col>
      <xdr:colOff>554551</xdr:colOff>
      <xdr:row>0</xdr:row>
      <xdr:rowOff>579301</xdr:rowOff>
    </xdr:to>
    <xdr:pic>
      <xdr:nvPicPr>
        <xdr:cNvPr id="4" name="Picture 3">
          <a:extLst>
            <a:ext uri="{FF2B5EF4-FFF2-40B4-BE49-F238E27FC236}">
              <a16:creationId xmlns:a16="http://schemas.microsoft.com/office/drawing/2014/main" id="{5D4DD34C-2417-429A-8216-49EF4D91DC23}"/>
            </a:ext>
          </a:extLst>
        </xdr:cNvPr>
        <xdr:cNvPicPr>
          <a:picLocks noChangeAspect="1"/>
        </xdr:cNvPicPr>
      </xdr:nvPicPr>
      <xdr:blipFill>
        <a:blip xmlns:r="http://schemas.openxmlformats.org/officeDocument/2006/relationships" r:embed="rId1"/>
        <a:stretch>
          <a:fillRect/>
        </a:stretch>
      </xdr:blipFill>
      <xdr:spPr>
        <a:xfrm>
          <a:off x="234950" y="63500"/>
          <a:ext cx="491051" cy="518976"/>
        </a:xfrm>
        <a:prstGeom prst="rect">
          <a:avLst/>
        </a:prstGeom>
      </xdr:spPr>
    </xdr:pic>
    <xdr:clientData/>
  </xdr:twoCellAnchor>
  <xdr:twoCellAnchor editAs="oneCell">
    <xdr:from>
      <xdr:col>1</xdr:col>
      <xdr:colOff>63500</xdr:colOff>
      <xdr:row>0</xdr:row>
      <xdr:rowOff>66221</xdr:rowOff>
    </xdr:from>
    <xdr:to>
      <xdr:col>1</xdr:col>
      <xdr:colOff>550741</xdr:colOff>
      <xdr:row>0</xdr:row>
      <xdr:rowOff>590912</xdr:rowOff>
    </xdr:to>
    <xdr:pic>
      <xdr:nvPicPr>
        <xdr:cNvPr id="5" name="Picture 4">
          <a:extLst>
            <a:ext uri="{FF2B5EF4-FFF2-40B4-BE49-F238E27FC236}">
              <a16:creationId xmlns:a16="http://schemas.microsoft.com/office/drawing/2014/main" id="{50FFD13A-947B-49EF-BB96-B43867FF65FB}"/>
            </a:ext>
            <a:ext uri="{147F2762-F138-4A5C-976F-8EAC2B608ADB}">
              <a16:predDERef xmlns:a16="http://schemas.microsoft.com/office/drawing/2014/main" pred="{5585AA0C-4DA0-40F7-BF1F-B6EFBB504E56}"/>
            </a:ext>
          </a:extLst>
        </xdr:cNvPr>
        <xdr:cNvPicPr>
          <a:picLocks noChangeAspect="1"/>
        </xdr:cNvPicPr>
      </xdr:nvPicPr>
      <xdr:blipFill>
        <a:blip xmlns:r="http://schemas.openxmlformats.org/officeDocument/2006/relationships" r:embed="rId1"/>
        <a:stretch>
          <a:fillRect/>
        </a:stretch>
      </xdr:blipFill>
      <xdr:spPr>
        <a:xfrm>
          <a:off x="234950" y="66221"/>
          <a:ext cx="487241" cy="524691"/>
        </a:xfrm>
        <a:prstGeom prst="rect">
          <a:avLst/>
        </a:prstGeom>
      </xdr:spPr>
    </xdr:pic>
    <xdr:clientData/>
  </xdr:twoCellAnchor>
  <xdr:twoCellAnchor>
    <xdr:from>
      <xdr:col>1</xdr:col>
      <xdr:colOff>244927</xdr:colOff>
      <xdr:row>14</xdr:row>
      <xdr:rowOff>9072</xdr:rowOff>
    </xdr:from>
    <xdr:to>
      <xdr:col>9</xdr:col>
      <xdr:colOff>716643</xdr:colOff>
      <xdr:row>22</xdr:row>
      <xdr:rowOff>72572</xdr:rowOff>
    </xdr:to>
    <xdr:sp macro="" textlink="">
      <xdr:nvSpPr>
        <xdr:cNvPr id="22" name="TextBox 5">
          <a:extLst>
            <a:ext uri="{FF2B5EF4-FFF2-40B4-BE49-F238E27FC236}">
              <a16:creationId xmlns:a16="http://schemas.microsoft.com/office/drawing/2014/main" id="{AD88F9B0-5640-488C-A82B-4F2AA350259C}"/>
            </a:ext>
            <a:ext uri="{147F2762-F138-4A5C-976F-8EAC2B608ADB}">
              <a16:predDERef xmlns:a16="http://schemas.microsoft.com/office/drawing/2014/main" pred="{0768782E-920F-4C1F-87B9-B13D7A4C016C}"/>
            </a:ext>
          </a:extLst>
        </xdr:cNvPr>
        <xdr:cNvSpPr txBox="1"/>
      </xdr:nvSpPr>
      <xdr:spPr>
        <a:xfrm>
          <a:off x="426356" y="3846286"/>
          <a:ext cx="7946573" cy="1514929"/>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使用函证网站收发函证的项目组。</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应当在函证网站完成底稿内容，并使用</a:t>
          </a:r>
          <a:r>
            <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rPr>
            <a:t>Skwind</a:t>
          </a: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工具下载的底稿替换本页面。</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无需手工录入信息。</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xdr:from>
      <xdr:col>17</xdr:col>
      <xdr:colOff>571501</xdr:colOff>
      <xdr:row>0</xdr:row>
      <xdr:rowOff>81642</xdr:rowOff>
    </xdr:from>
    <xdr:to>
      <xdr:col>21</xdr:col>
      <xdr:colOff>651783</xdr:colOff>
      <xdr:row>1</xdr:row>
      <xdr:rowOff>136070</xdr:rowOff>
    </xdr:to>
    <xdr:sp macro="" textlink="">
      <xdr:nvSpPr>
        <xdr:cNvPr id="11" name="TextBox 5">
          <a:extLst>
            <a:ext uri="{FF2B5EF4-FFF2-40B4-BE49-F238E27FC236}">
              <a16:creationId xmlns:a16="http://schemas.microsoft.com/office/drawing/2014/main" id="{80032FCC-8131-46E5-804D-C566ABB3B303}"/>
            </a:ext>
          </a:extLst>
        </xdr:cNvPr>
        <xdr:cNvSpPr txBox="1"/>
      </xdr:nvSpPr>
      <xdr:spPr>
        <a:xfrm>
          <a:off x="15693572" y="81642"/>
          <a:ext cx="4461782" cy="689428"/>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如果不适用，审计小组可以删除此工作底稿选项卡。</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editAs="oneCell">
    <xdr:from>
      <xdr:col>18</xdr:col>
      <xdr:colOff>775607</xdr:colOff>
      <xdr:row>13</xdr:row>
      <xdr:rowOff>530678</xdr:rowOff>
    </xdr:from>
    <xdr:to>
      <xdr:col>18</xdr:col>
      <xdr:colOff>1042246</xdr:colOff>
      <xdr:row>14</xdr:row>
      <xdr:rowOff>0</xdr:rowOff>
    </xdr:to>
    <xdr:pic>
      <xdr:nvPicPr>
        <xdr:cNvPr id="3" name="Picture 5">
          <a:hlinkClick xmlns:r="http://schemas.openxmlformats.org/officeDocument/2006/relationships" r:id="rId2" tooltip="抵质押资产"/>
          <a:extLst>
            <a:ext uri="{FF2B5EF4-FFF2-40B4-BE49-F238E27FC236}">
              <a16:creationId xmlns:a16="http://schemas.microsoft.com/office/drawing/2014/main" id="{04F2DB83-28DD-4AEC-BE31-A0C5E57E5A2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flipH="1">
          <a:off x="18328821" y="3660321"/>
          <a:ext cx="266639" cy="204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554551</xdr:colOff>
      <xdr:row>0</xdr:row>
      <xdr:rowOff>579301</xdr:rowOff>
    </xdr:to>
    <xdr:pic>
      <xdr:nvPicPr>
        <xdr:cNvPr id="2" name="Picture 1">
          <a:extLst>
            <a:ext uri="{FF2B5EF4-FFF2-40B4-BE49-F238E27FC236}">
              <a16:creationId xmlns:a16="http://schemas.microsoft.com/office/drawing/2014/main" id="{6ED56F77-CC1E-4C7A-B094-772781C587F1}"/>
            </a:ext>
          </a:extLst>
        </xdr:cNvPr>
        <xdr:cNvPicPr>
          <a:picLocks noChangeAspect="1"/>
        </xdr:cNvPicPr>
      </xdr:nvPicPr>
      <xdr:blipFill>
        <a:blip xmlns:r="http://schemas.openxmlformats.org/officeDocument/2006/relationships" r:embed="rId1"/>
        <a:stretch>
          <a:fillRect/>
        </a:stretch>
      </xdr:blipFill>
      <xdr:spPr>
        <a:xfrm>
          <a:off x="254000" y="63500"/>
          <a:ext cx="491051" cy="515801"/>
        </a:xfrm>
        <a:prstGeom prst="rect">
          <a:avLst/>
        </a:prstGeom>
      </xdr:spPr>
    </xdr:pic>
    <xdr:clientData/>
  </xdr:twoCellAnchor>
  <xdr:twoCellAnchor editAs="oneCell">
    <xdr:from>
      <xdr:col>1</xdr:col>
      <xdr:colOff>63500</xdr:colOff>
      <xdr:row>0</xdr:row>
      <xdr:rowOff>63500</xdr:rowOff>
    </xdr:from>
    <xdr:to>
      <xdr:col>1</xdr:col>
      <xdr:colOff>554551</xdr:colOff>
      <xdr:row>0</xdr:row>
      <xdr:rowOff>579301</xdr:rowOff>
    </xdr:to>
    <xdr:pic>
      <xdr:nvPicPr>
        <xdr:cNvPr id="3" name="Picture 2">
          <a:extLst>
            <a:ext uri="{FF2B5EF4-FFF2-40B4-BE49-F238E27FC236}">
              <a16:creationId xmlns:a16="http://schemas.microsoft.com/office/drawing/2014/main" id="{86BD697D-C264-441B-B2F8-88AB5B04F5B8}"/>
            </a:ext>
          </a:extLst>
        </xdr:cNvPr>
        <xdr:cNvPicPr>
          <a:picLocks noChangeAspect="1"/>
        </xdr:cNvPicPr>
      </xdr:nvPicPr>
      <xdr:blipFill>
        <a:blip xmlns:r="http://schemas.openxmlformats.org/officeDocument/2006/relationships" r:embed="rId1"/>
        <a:stretch>
          <a:fillRect/>
        </a:stretch>
      </xdr:blipFill>
      <xdr:spPr>
        <a:xfrm>
          <a:off x="254000" y="63500"/>
          <a:ext cx="491051" cy="515801"/>
        </a:xfrm>
        <a:prstGeom prst="rect">
          <a:avLst/>
        </a:prstGeom>
      </xdr:spPr>
    </xdr:pic>
    <xdr:clientData/>
  </xdr:twoCellAnchor>
  <xdr:twoCellAnchor editAs="oneCell">
    <xdr:from>
      <xdr:col>1</xdr:col>
      <xdr:colOff>63500</xdr:colOff>
      <xdr:row>0</xdr:row>
      <xdr:rowOff>66221</xdr:rowOff>
    </xdr:from>
    <xdr:to>
      <xdr:col>1</xdr:col>
      <xdr:colOff>550741</xdr:colOff>
      <xdr:row>0</xdr:row>
      <xdr:rowOff>590912</xdr:rowOff>
    </xdr:to>
    <xdr:pic>
      <xdr:nvPicPr>
        <xdr:cNvPr id="4" name="Picture 3">
          <a:extLst>
            <a:ext uri="{FF2B5EF4-FFF2-40B4-BE49-F238E27FC236}">
              <a16:creationId xmlns:a16="http://schemas.microsoft.com/office/drawing/2014/main" id="{CCC09528-657B-48EA-A1A5-8094ADBF073D}"/>
            </a:ext>
            <a:ext uri="{147F2762-F138-4A5C-976F-8EAC2B608ADB}">
              <a16:predDERef xmlns:a16="http://schemas.microsoft.com/office/drawing/2014/main" pred="{5585AA0C-4DA0-40F7-BF1F-B6EFBB504E56}"/>
            </a:ext>
          </a:extLst>
        </xdr:cNvPr>
        <xdr:cNvPicPr>
          <a:picLocks noChangeAspect="1"/>
        </xdr:cNvPicPr>
      </xdr:nvPicPr>
      <xdr:blipFill>
        <a:blip xmlns:r="http://schemas.openxmlformats.org/officeDocument/2006/relationships" r:embed="rId1"/>
        <a:stretch>
          <a:fillRect/>
        </a:stretch>
      </xdr:blipFill>
      <xdr:spPr>
        <a:xfrm>
          <a:off x="254000" y="66221"/>
          <a:ext cx="487241" cy="524691"/>
        </a:xfrm>
        <a:prstGeom prst="rect">
          <a:avLst/>
        </a:prstGeom>
      </xdr:spPr>
    </xdr:pic>
    <xdr:clientData/>
  </xdr:twoCellAnchor>
  <xdr:twoCellAnchor>
    <xdr:from>
      <xdr:col>11</xdr:col>
      <xdr:colOff>0</xdr:colOff>
      <xdr:row>0</xdr:row>
      <xdr:rowOff>0</xdr:rowOff>
    </xdr:from>
    <xdr:to>
      <xdr:col>15</xdr:col>
      <xdr:colOff>760639</xdr:colOff>
      <xdr:row>1</xdr:row>
      <xdr:rowOff>54428</xdr:rowOff>
    </xdr:to>
    <xdr:sp macro="" textlink="">
      <xdr:nvSpPr>
        <xdr:cNvPr id="5" name="TextBox 5">
          <a:extLst>
            <a:ext uri="{FF2B5EF4-FFF2-40B4-BE49-F238E27FC236}">
              <a16:creationId xmlns:a16="http://schemas.microsoft.com/office/drawing/2014/main" id="{CFEFDDC1-9614-4792-914D-257697E4B461}"/>
            </a:ext>
          </a:extLst>
        </xdr:cNvPr>
        <xdr:cNvSpPr txBox="1"/>
      </xdr:nvSpPr>
      <xdr:spPr>
        <a:xfrm>
          <a:off x="9497786" y="0"/>
          <a:ext cx="4461782" cy="689428"/>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如果不适用，审计小组可以删除此工作底稿选项卡。</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554551</xdr:colOff>
      <xdr:row>0</xdr:row>
      <xdr:rowOff>579301</xdr:rowOff>
    </xdr:to>
    <xdr:pic>
      <xdr:nvPicPr>
        <xdr:cNvPr id="2" name="Picture 1">
          <a:extLst>
            <a:ext uri="{FF2B5EF4-FFF2-40B4-BE49-F238E27FC236}">
              <a16:creationId xmlns:a16="http://schemas.microsoft.com/office/drawing/2014/main" id="{72BA54C3-B3EC-450C-8E44-DC82EBD09154}"/>
            </a:ext>
          </a:extLst>
        </xdr:cNvPr>
        <xdr:cNvPicPr>
          <a:picLocks noChangeAspect="1"/>
        </xdr:cNvPicPr>
      </xdr:nvPicPr>
      <xdr:blipFill>
        <a:blip xmlns:r="http://schemas.openxmlformats.org/officeDocument/2006/relationships" r:embed="rId1"/>
        <a:stretch>
          <a:fillRect/>
        </a:stretch>
      </xdr:blipFill>
      <xdr:spPr>
        <a:xfrm>
          <a:off x="254000" y="63500"/>
          <a:ext cx="491051" cy="515801"/>
        </a:xfrm>
        <a:prstGeom prst="rect">
          <a:avLst/>
        </a:prstGeom>
      </xdr:spPr>
    </xdr:pic>
    <xdr:clientData/>
  </xdr:twoCellAnchor>
  <xdr:twoCellAnchor editAs="oneCell">
    <xdr:from>
      <xdr:col>1</xdr:col>
      <xdr:colOff>63500</xdr:colOff>
      <xdr:row>0</xdr:row>
      <xdr:rowOff>63500</xdr:rowOff>
    </xdr:from>
    <xdr:to>
      <xdr:col>1</xdr:col>
      <xdr:colOff>554551</xdr:colOff>
      <xdr:row>0</xdr:row>
      <xdr:rowOff>579301</xdr:rowOff>
    </xdr:to>
    <xdr:pic>
      <xdr:nvPicPr>
        <xdr:cNvPr id="3" name="Picture 2">
          <a:extLst>
            <a:ext uri="{FF2B5EF4-FFF2-40B4-BE49-F238E27FC236}">
              <a16:creationId xmlns:a16="http://schemas.microsoft.com/office/drawing/2014/main" id="{5F6902AB-E46F-4AD5-A784-ABED30B67AD3}"/>
            </a:ext>
          </a:extLst>
        </xdr:cNvPr>
        <xdr:cNvPicPr>
          <a:picLocks noChangeAspect="1"/>
        </xdr:cNvPicPr>
      </xdr:nvPicPr>
      <xdr:blipFill>
        <a:blip xmlns:r="http://schemas.openxmlformats.org/officeDocument/2006/relationships" r:embed="rId1"/>
        <a:stretch>
          <a:fillRect/>
        </a:stretch>
      </xdr:blipFill>
      <xdr:spPr>
        <a:xfrm>
          <a:off x="254000" y="63500"/>
          <a:ext cx="491051" cy="515801"/>
        </a:xfrm>
        <a:prstGeom prst="rect">
          <a:avLst/>
        </a:prstGeom>
      </xdr:spPr>
    </xdr:pic>
    <xdr:clientData/>
  </xdr:twoCellAnchor>
  <xdr:twoCellAnchor editAs="oneCell">
    <xdr:from>
      <xdr:col>1</xdr:col>
      <xdr:colOff>63500</xdr:colOff>
      <xdr:row>0</xdr:row>
      <xdr:rowOff>66221</xdr:rowOff>
    </xdr:from>
    <xdr:to>
      <xdr:col>1</xdr:col>
      <xdr:colOff>550741</xdr:colOff>
      <xdr:row>0</xdr:row>
      <xdr:rowOff>590912</xdr:rowOff>
    </xdr:to>
    <xdr:pic>
      <xdr:nvPicPr>
        <xdr:cNvPr id="4" name="Picture 3">
          <a:extLst>
            <a:ext uri="{FF2B5EF4-FFF2-40B4-BE49-F238E27FC236}">
              <a16:creationId xmlns:a16="http://schemas.microsoft.com/office/drawing/2014/main" id="{9136407E-9CA0-4E8F-A1E4-AFCE76A7658C}"/>
            </a:ext>
            <a:ext uri="{147F2762-F138-4A5C-976F-8EAC2B608ADB}">
              <a16:predDERef xmlns:a16="http://schemas.microsoft.com/office/drawing/2014/main" pred="{5585AA0C-4DA0-40F7-BF1F-B6EFBB504E56}"/>
            </a:ext>
          </a:extLst>
        </xdr:cNvPr>
        <xdr:cNvPicPr>
          <a:picLocks noChangeAspect="1"/>
        </xdr:cNvPicPr>
      </xdr:nvPicPr>
      <xdr:blipFill>
        <a:blip xmlns:r="http://schemas.openxmlformats.org/officeDocument/2006/relationships" r:embed="rId1"/>
        <a:stretch>
          <a:fillRect/>
        </a:stretch>
      </xdr:blipFill>
      <xdr:spPr>
        <a:xfrm>
          <a:off x="254000" y="66221"/>
          <a:ext cx="487241" cy="524691"/>
        </a:xfrm>
        <a:prstGeom prst="rect">
          <a:avLst/>
        </a:prstGeom>
      </xdr:spPr>
    </xdr:pic>
    <xdr:clientData/>
  </xdr:twoCellAnchor>
  <xdr:twoCellAnchor>
    <xdr:from>
      <xdr:col>9</xdr:col>
      <xdr:colOff>0</xdr:colOff>
      <xdr:row>0</xdr:row>
      <xdr:rowOff>0</xdr:rowOff>
    </xdr:from>
    <xdr:to>
      <xdr:col>12</xdr:col>
      <xdr:colOff>760639</xdr:colOff>
      <xdr:row>1</xdr:row>
      <xdr:rowOff>54428</xdr:rowOff>
    </xdr:to>
    <xdr:sp macro="" textlink="">
      <xdr:nvSpPr>
        <xdr:cNvPr id="5" name="TextBox 5">
          <a:extLst>
            <a:ext uri="{FF2B5EF4-FFF2-40B4-BE49-F238E27FC236}">
              <a16:creationId xmlns:a16="http://schemas.microsoft.com/office/drawing/2014/main" id="{B9D5CC05-B917-4A69-8BEE-B75FDDD0E72C}"/>
            </a:ext>
          </a:extLst>
        </xdr:cNvPr>
        <xdr:cNvSpPr txBox="1"/>
      </xdr:nvSpPr>
      <xdr:spPr>
        <a:xfrm>
          <a:off x="10042071" y="0"/>
          <a:ext cx="4461782" cy="689428"/>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如果不适用，审计小组可以删除此工作底稿选项卡。</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550741</xdr:colOff>
      <xdr:row>0</xdr:row>
      <xdr:rowOff>592001</xdr:rowOff>
    </xdr:to>
    <xdr:pic>
      <xdr:nvPicPr>
        <xdr:cNvPr id="3" name="Picture 2">
          <a:extLst>
            <a:ext uri="{FF2B5EF4-FFF2-40B4-BE49-F238E27FC236}">
              <a16:creationId xmlns:a16="http://schemas.microsoft.com/office/drawing/2014/main" id="{377F9FCF-116E-45AB-A4D7-D34C4A0A7FB5}"/>
            </a:ext>
          </a:extLst>
        </xdr:cNvPr>
        <xdr:cNvPicPr>
          <a:picLocks noChangeAspect="1"/>
        </xdr:cNvPicPr>
      </xdr:nvPicPr>
      <xdr:blipFill>
        <a:blip xmlns:r="http://schemas.openxmlformats.org/officeDocument/2006/relationships" r:embed="rId1"/>
        <a:stretch>
          <a:fillRect/>
        </a:stretch>
      </xdr:blipFill>
      <xdr:spPr>
        <a:xfrm>
          <a:off x="247650" y="63500"/>
          <a:ext cx="494861" cy="517071"/>
        </a:xfrm>
        <a:prstGeom prst="rect">
          <a:avLst/>
        </a:prstGeom>
      </xdr:spPr>
    </xdr:pic>
    <xdr:clientData/>
  </xdr:twoCellAnchor>
  <xdr:twoCellAnchor editAs="oneCell">
    <xdr:from>
      <xdr:col>1</xdr:col>
      <xdr:colOff>63500</xdr:colOff>
      <xdr:row>0</xdr:row>
      <xdr:rowOff>63500</xdr:rowOff>
    </xdr:from>
    <xdr:to>
      <xdr:col>1</xdr:col>
      <xdr:colOff>550741</xdr:colOff>
      <xdr:row>0</xdr:row>
      <xdr:rowOff>592001</xdr:rowOff>
    </xdr:to>
    <xdr:pic>
      <xdr:nvPicPr>
        <xdr:cNvPr id="2" name="Picture 1">
          <a:extLst>
            <a:ext uri="{FF2B5EF4-FFF2-40B4-BE49-F238E27FC236}">
              <a16:creationId xmlns:a16="http://schemas.microsoft.com/office/drawing/2014/main" id="{2A4BD42A-C821-470E-A646-84410D90E6EB}"/>
            </a:ext>
          </a:extLst>
        </xdr:cNvPr>
        <xdr:cNvPicPr>
          <a:picLocks noChangeAspect="1"/>
        </xdr:cNvPicPr>
      </xdr:nvPicPr>
      <xdr:blipFill>
        <a:blip xmlns:r="http://schemas.openxmlformats.org/officeDocument/2006/relationships" r:embed="rId1"/>
        <a:stretch>
          <a:fillRect/>
        </a:stretch>
      </xdr:blipFill>
      <xdr:spPr>
        <a:xfrm>
          <a:off x="244475" y="63500"/>
          <a:ext cx="491051" cy="518976"/>
        </a:xfrm>
        <a:prstGeom prst="rect">
          <a:avLst/>
        </a:prstGeom>
      </xdr:spPr>
    </xdr:pic>
    <xdr:clientData/>
  </xdr:twoCellAnchor>
  <xdr:twoCellAnchor editAs="oneCell">
    <xdr:from>
      <xdr:col>1</xdr:col>
      <xdr:colOff>63500</xdr:colOff>
      <xdr:row>0</xdr:row>
      <xdr:rowOff>66221</xdr:rowOff>
    </xdr:from>
    <xdr:to>
      <xdr:col>1</xdr:col>
      <xdr:colOff>554551</xdr:colOff>
      <xdr:row>0</xdr:row>
      <xdr:rowOff>588690</xdr:rowOff>
    </xdr:to>
    <xdr:pic>
      <xdr:nvPicPr>
        <xdr:cNvPr id="4" name="Picture 4">
          <a:extLst>
            <a:ext uri="{FF2B5EF4-FFF2-40B4-BE49-F238E27FC236}">
              <a16:creationId xmlns:a16="http://schemas.microsoft.com/office/drawing/2014/main" id="{5CA74C06-99AA-4276-9721-A6A687979A81}"/>
            </a:ext>
            <a:ext uri="{147F2762-F138-4A5C-976F-8EAC2B608ADB}">
              <a16:predDERef xmlns:a16="http://schemas.microsoft.com/office/drawing/2014/main" pred="{2A4BD42A-C821-470E-A646-84410D90E6EB}"/>
            </a:ext>
          </a:extLst>
        </xdr:cNvPr>
        <xdr:cNvPicPr>
          <a:picLocks noChangeAspect="1"/>
        </xdr:cNvPicPr>
      </xdr:nvPicPr>
      <xdr:blipFill>
        <a:blip xmlns:r="http://schemas.openxmlformats.org/officeDocument/2006/relationships" r:embed="rId1"/>
        <a:stretch>
          <a:fillRect/>
        </a:stretch>
      </xdr:blipFill>
      <xdr:spPr>
        <a:xfrm>
          <a:off x="234950" y="66221"/>
          <a:ext cx="487241" cy="524691"/>
        </a:xfrm>
        <a:prstGeom prst="rect">
          <a:avLst/>
        </a:prstGeom>
      </xdr:spPr>
    </xdr:pic>
    <xdr:clientData/>
  </xdr:twoCellAnchor>
  <xdr:twoCellAnchor editAs="oneCell">
    <xdr:from>
      <xdr:col>2</xdr:col>
      <xdr:colOff>761175</xdr:colOff>
      <xdr:row>15</xdr:row>
      <xdr:rowOff>165760</xdr:rowOff>
    </xdr:from>
    <xdr:to>
      <xdr:col>2</xdr:col>
      <xdr:colOff>989775</xdr:colOff>
      <xdr:row>17</xdr:row>
      <xdr:rowOff>4413</xdr:rowOff>
    </xdr:to>
    <xdr:pic>
      <xdr:nvPicPr>
        <xdr:cNvPr id="5" name="图片 4">
          <a:hlinkClick xmlns:r="http://schemas.openxmlformats.org/officeDocument/2006/relationships" r:id="rId2" tooltip="抽取代表性样本"/>
          <a:extLst>
            <a:ext uri="{FF2B5EF4-FFF2-40B4-BE49-F238E27FC236}">
              <a16:creationId xmlns:a16="http://schemas.microsoft.com/office/drawing/2014/main" id="{9E47C4E1-962B-9AC3-1781-EB74BB2DA4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58175" y="3779487"/>
          <a:ext cx="228600" cy="231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384736</xdr:colOff>
      <xdr:row>27</xdr:row>
      <xdr:rowOff>156883</xdr:rowOff>
    </xdr:from>
    <xdr:ext cx="231776" cy="211292"/>
    <xdr:pic>
      <xdr:nvPicPr>
        <xdr:cNvPr id="8" name="图片 5">
          <a:hlinkClick xmlns:r="http://schemas.openxmlformats.org/officeDocument/2006/relationships" r:id="rId4" tooltip="借款赎回、其他提前还款特征、加速条款"/>
          <a:extLst>
            <a:ext uri="{FF2B5EF4-FFF2-40B4-BE49-F238E27FC236}">
              <a16:creationId xmlns:a16="http://schemas.microsoft.com/office/drawing/2014/main" id="{CCFADA58-5C18-4366-BF79-941D72E913C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4736" y="5591736"/>
          <a:ext cx="231776" cy="21129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979715</xdr:colOff>
      <xdr:row>0</xdr:row>
      <xdr:rowOff>0</xdr:rowOff>
    </xdr:from>
    <xdr:to>
      <xdr:col>15</xdr:col>
      <xdr:colOff>4309</xdr:colOff>
      <xdr:row>1</xdr:row>
      <xdr:rowOff>136070</xdr:rowOff>
    </xdr:to>
    <xdr:sp macro="" textlink="">
      <xdr:nvSpPr>
        <xdr:cNvPr id="12" name="TextBox 5">
          <a:extLst>
            <a:ext uri="{FF2B5EF4-FFF2-40B4-BE49-F238E27FC236}">
              <a16:creationId xmlns:a16="http://schemas.microsoft.com/office/drawing/2014/main" id="{601AF402-8FFE-4763-8208-06C86C9E6C14}"/>
            </a:ext>
          </a:extLst>
        </xdr:cNvPr>
        <xdr:cNvSpPr txBox="1"/>
      </xdr:nvSpPr>
      <xdr:spPr>
        <a:xfrm>
          <a:off x="12019644" y="0"/>
          <a:ext cx="4485594" cy="771070"/>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如果不适用，审计小组可以删除此工作底稿选项卡。</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0</xdr:row>
      <xdr:rowOff>28575</xdr:rowOff>
    </xdr:from>
    <xdr:to>
      <xdr:col>1</xdr:col>
      <xdr:colOff>538676</xdr:colOff>
      <xdr:row>0</xdr:row>
      <xdr:rowOff>546281</xdr:rowOff>
    </xdr:to>
    <xdr:pic>
      <xdr:nvPicPr>
        <xdr:cNvPr id="2" name="Picture 1">
          <a:extLst>
            <a:ext uri="{FF2B5EF4-FFF2-40B4-BE49-F238E27FC236}">
              <a16:creationId xmlns:a16="http://schemas.microsoft.com/office/drawing/2014/main" id="{F5462ACB-84E7-490F-B23C-EE27AF0613CF}"/>
            </a:ext>
          </a:extLst>
        </xdr:cNvPr>
        <xdr:cNvPicPr>
          <a:picLocks noChangeAspect="1"/>
        </xdr:cNvPicPr>
      </xdr:nvPicPr>
      <xdr:blipFill>
        <a:blip xmlns:r="http://schemas.openxmlformats.org/officeDocument/2006/relationships" r:embed="rId1"/>
        <a:stretch>
          <a:fillRect/>
        </a:stretch>
      </xdr:blipFill>
      <xdr:spPr>
        <a:xfrm>
          <a:off x="219075" y="28575"/>
          <a:ext cx="491051" cy="517706"/>
        </a:xfrm>
        <a:prstGeom prst="rect">
          <a:avLst/>
        </a:prstGeom>
      </xdr:spPr>
    </xdr:pic>
    <xdr:clientData/>
  </xdr:twoCellAnchor>
  <xdr:twoCellAnchor>
    <xdr:from>
      <xdr:col>0</xdr:col>
      <xdr:colOff>142422</xdr:colOff>
      <xdr:row>8</xdr:row>
      <xdr:rowOff>453</xdr:rowOff>
    </xdr:from>
    <xdr:to>
      <xdr:col>12</xdr:col>
      <xdr:colOff>732064</xdr:colOff>
      <xdr:row>19</xdr:row>
      <xdr:rowOff>0</xdr:rowOff>
    </xdr:to>
    <xdr:sp macro="" textlink="">
      <xdr:nvSpPr>
        <xdr:cNvPr id="9" name="TextBox 2">
          <a:extLst>
            <a:ext uri="{FF2B5EF4-FFF2-40B4-BE49-F238E27FC236}">
              <a16:creationId xmlns:a16="http://schemas.microsoft.com/office/drawing/2014/main" id="{6390D9EC-ECF7-4B64-B02A-298A1DF31698}"/>
            </a:ext>
          </a:extLst>
        </xdr:cNvPr>
        <xdr:cNvSpPr txBox="1"/>
      </xdr:nvSpPr>
      <xdr:spPr>
        <a:xfrm>
          <a:off x="142422" y="2014310"/>
          <a:ext cx="11602356" cy="2095047"/>
        </a:xfrm>
        <a:prstGeom prst="rect">
          <a:avLst/>
        </a:prstGeom>
        <a:solidFill>
          <a:schemeClr val="bg1">
            <a:lumMod val="9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[NOTE-</a:t>
          </a:r>
          <a:r>
            <a:rPr kumimoji="1" lang="zh-CN"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归档前删除</a:t>
          </a:r>
          <a:r>
            <a:rPr kumimoji="1" lang="en-US"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p>
        <a:p>
          <a:pPr marL="0" marR="0" lvl="0" indent="0" algn="l" defTabSz="914400" eaLnBrk="1" fontAlgn="auto" latinLnBrk="0" hangingPunct="1">
            <a:lnSpc>
              <a:spcPct val="100000"/>
            </a:lnSpc>
            <a:spcBef>
              <a:spcPts val="0"/>
            </a:spcBef>
            <a:spcAft>
              <a:spcPts val="0"/>
            </a:spcAft>
            <a:buClrTx/>
            <a:buSzTx/>
            <a:buFontTx/>
            <a:buNone/>
            <a:tabLst/>
            <a:defRPr/>
          </a:pPr>
          <a:br>
            <a:rPr lang="en-US" altLang="zh-CN" sz="1400">
              <a:solidFill>
                <a:srgbClr val="FF0000"/>
              </a:solidFill>
              <a:effectLst/>
              <a:latin typeface="Arial" panose="020B0604020202020204" pitchFamily="34" charset="0"/>
              <a:ea typeface="微软雅黑" panose="020B0503020204020204" pitchFamily="34" charset="-122"/>
              <a:cs typeface="Arial" panose="020B0604020202020204" pitchFamily="34" charset="0"/>
            </a:rPr>
          </a:b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如果我们执行实质性分析程序（SAP）测试借款的利息</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费用</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须</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填写表格</a:t>
          </a:r>
          <a:r>
            <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表格</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264-SWP</a:t>
          </a:r>
          <a:r>
            <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（即</a:t>
          </a:r>
          <a:r>
            <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表格</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264 SWP</a:t>
          </a:r>
          <a:r>
            <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或</a:t>
          </a:r>
          <a:r>
            <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表格</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264US-SWP</a:t>
          </a:r>
          <a:r>
            <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如适用</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，对于非</a:t>
          </a:r>
          <a:r>
            <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US</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项目还可以使用</a:t>
          </a:r>
          <a:r>
            <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Q1.04.SAP</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模板</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endPar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endParaRPr>
        </a:p>
        <a:p>
          <a:pPr algn="l" eaLnBrk="1" fontAlgn="auto" latinLnBrk="0" hangingPunct="1"/>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我们将工作底稿</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以“</a:t>
          </a:r>
          <a:r>
            <a:rPr lang="en-GB"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Q1.04 SWP </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实质性分析程序</a:t>
          </a:r>
          <a:r>
            <a:rPr lang="en-GB"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.xlsx</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”的名称上传至</a:t>
          </a:r>
          <a:r>
            <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canvas</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，并完成Canvas</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中指导的工作流程</a:t>
          </a:r>
          <a:r>
            <a:rPr lang="en-US" alt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Q.04</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endParaRPr sz="1400" i="1">
            <a:latin typeface="Arial" panose="020B0604020202020204" pitchFamily="34" charset="0"/>
            <a:ea typeface="微软雅黑" panose="020B0503020204020204" pitchFamily="34" charset="-122"/>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如果我们</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未</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执行实质性分析程序（SAP）来测试利息</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费用</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lang="zh-CN"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则删除此提示框</a:t>
          </a:r>
          <a:r>
            <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p>
      </xdr:txBody>
    </xdr:sp>
    <xdr:clientData/>
  </xdr:twoCellAnchor>
  <xdr:twoCellAnchor>
    <xdr:from>
      <xdr:col>2</xdr:col>
      <xdr:colOff>489857</xdr:colOff>
      <xdr:row>1</xdr:row>
      <xdr:rowOff>54427</xdr:rowOff>
    </xdr:from>
    <xdr:to>
      <xdr:col>2</xdr:col>
      <xdr:colOff>827314</xdr:colOff>
      <xdr:row>1</xdr:row>
      <xdr:rowOff>326570</xdr:rowOff>
    </xdr:to>
    <xdr:pic>
      <xdr:nvPicPr>
        <xdr:cNvPr id="4" name="图片 3">
          <a:hlinkClick xmlns:r="http://schemas.openxmlformats.org/officeDocument/2006/relationships" r:id="rId2" tooltip="利息费用测试方法指引"/>
          <a:extLst>
            <a:ext uri="{FF2B5EF4-FFF2-40B4-BE49-F238E27FC236}">
              <a16:creationId xmlns:a16="http://schemas.microsoft.com/office/drawing/2014/main" id="{03139C91-3B63-4035-8CAB-B006E208F4A8}"/>
            </a:ext>
          </a:extLst>
        </xdr:cNvPr>
        <xdr:cNvPicPr>
          <a:picLocks noChangeAspect="1"/>
        </xdr:cNvPicPr>
      </xdr:nvPicPr>
      <xdr:blipFill>
        <a:blip xmlns:r="http://schemas.openxmlformats.org/officeDocument/2006/relationships" r:embed="rId3"/>
        <a:stretch>
          <a:fillRect/>
        </a:stretch>
      </xdr:blipFill>
      <xdr:spPr>
        <a:xfrm>
          <a:off x="1864178" y="693963"/>
          <a:ext cx="337457" cy="272143"/>
        </a:xfrm>
        <a:prstGeom prst="rect">
          <a:avLst/>
        </a:prstGeom>
      </xdr:spPr>
    </xdr:pic>
    <xdr:clientData/>
  </xdr:twoCellAnchor>
  <xdr:twoCellAnchor>
    <xdr:from>
      <xdr:col>8</xdr:col>
      <xdr:colOff>503463</xdr:colOff>
      <xdr:row>0</xdr:row>
      <xdr:rowOff>95249</xdr:rowOff>
    </xdr:from>
    <xdr:to>
      <xdr:col>12</xdr:col>
      <xdr:colOff>326570</xdr:colOff>
      <xdr:row>6</xdr:row>
      <xdr:rowOff>13606</xdr:rowOff>
    </xdr:to>
    <xdr:sp macro="" textlink="">
      <xdr:nvSpPr>
        <xdr:cNvPr id="26" name="TextBox 2">
          <a:extLst>
            <a:ext uri="{FF2B5EF4-FFF2-40B4-BE49-F238E27FC236}">
              <a16:creationId xmlns:a16="http://schemas.microsoft.com/office/drawing/2014/main" id="{0131F98E-0C8A-4388-95D6-9E906D06468B}"/>
            </a:ext>
          </a:extLst>
        </xdr:cNvPr>
        <xdr:cNvSpPr txBox="1"/>
      </xdr:nvSpPr>
      <xdr:spPr>
        <a:xfrm>
          <a:off x="8232320" y="95249"/>
          <a:ext cx="3106964" cy="1551214"/>
        </a:xfrm>
        <a:prstGeom prst="rect">
          <a:avLst/>
        </a:prstGeom>
        <a:solidFill>
          <a:schemeClr val="bg1">
            <a:lumMod val="9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[NOTE-</a:t>
          </a:r>
          <a:r>
            <a:rPr kumimoji="1" lang="zh-CN"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归档前删除</a:t>
          </a:r>
          <a:r>
            <a:rPr kumimoji="1" lang="en-US"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p>
        <a:p>
          <a:br>
            <a:rPr lang="en-US" altLang="zh-CN" sz="1400">
              <a:solidFill>
                <a:srgbClr val="FF0000"/>
              </a:solidFill>
              <a:effectLst/>
              <a:latin typeface="Arial" panose="020B0604020202020204" pitchFamily="34" charset="0"/>
              <a:ea typeface="微软雅黑" panose="020B0503020204020204" pitchFamily="34" charset="-122"/>
              <a:cs typeface="Arial" panose="020B0604020202020204" pitchFamily="34" charset="0"/>
            </a:rPr>
          </a:br>
          <a:r>
            <a:rPr lang="zh-SG"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项目组可根据实际情况采用</a:t>
          </a:r>
          <a:r>
            <a:rPr lang="en-US" altLang="zh-SG"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Q1.04</a:t>
          </a:r>
          <a:r>
            <a:rPr lang="zh-SG" altLang="en-US"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rPr>
            <a:t>实质性分析程序或细节测试执行审计程序，两种程序二选一。</a:t>
          </a:r>
        </a:p>
        <a:p>
          <a:r>
            <a:rPr lang="zh-SG" altLang="en-US" sz="1100">
              <a:solidFill>
                <a:schemeClr val="dk1"/>
              </a:solidFill>
              <a:effectLst/>
              <a:latin typeface="+mn-lt"/>
              <a:ea typeface="+mn-ea"/>
              <a:cs typeface="+mn-cs"/>
            </a:rPr>
            <a:t> </a:t>
          </a:r>
          <a:endParaRPr lang="zh-CN" sz="1400" i="1">
            <a:solidFill>
              <a:srgbClr val="FF0000"/>
            </a:solidFill>
            <a:effectLst/>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1</xdr:col>
      <xdr:colOff>63500</xdr:colOff>
      <xdr:row>0</xdr:row>
      <xdr:rowOff>63500</xdr:rowOff>
    </xdr:from>
    <xdr:ext cx="504386" cy="523421"/>
    <xdr:pic>
      <xdr:nvPicPr>
        <xdr:cNvPr id="2" name="Picture 1">
          <a:extLst>
            <a:ext uri="{FF2B5EF4-FFF2-40B4-BE49-F238E27FC236}">
              <a16:creationId xmlns:a16="http://schemas.microsoft.com/office/drawing/2014/main" id="{00761F46-C588-478B-960E-CE4665F7287E}"/>
            </a:ext>
          </a:extLst>
        </xdr:cNvPr>
        <xdr:cNvPicPr>
          <a:picLocks noChangeAspect="1"/>
        </xdr:cNvPicPr>
      </xdr:nvPicPr>
      <xdr:blipFill>
        <a:blip xmlns:r="http://schemas.openxmlformats.org/officeDocument/2006/relationships" r:embed="rId1"/>
        <a:stretch>
          <a:fillRect/>
        </a:stretch>
      </xdr:blipFill>
      <xdr:spPr>
        <a:xfrm>
          <a:off x="234950" y="63500"/>
          <a:ext cx="504386" cy="523421"/>
        </a:xfrm>
        <a:prstGeom prst="rect">
          <a:avLst/>
        </a:prstGeom>
      </xdr:spPr>
    </xdr:pic>
    <xdr:clientData/>
  </xdr:oneCellAnchor>
  <xdr:oneCellAnchor>
    <xdr:from>
      <xdr:col>1</xdr:col>
      <xdr:colOff>63500</xdr:colOff>
      <xdr:row>0</xdr:row>
      <xdr:rowOff>63500</xdr:rowOff>
    </xdr:from>
    <xdr:ext cx="504386" cy="523421"/>
    <xdr:pic>
      <xdr:nvPicPr>
        <xdr:cNvPr id="3" name="Picture 2">
          <a:extLst>
            <a:ext uri="{FF2B5EF4-FFF2-40B4-BE49-F238E27FC236}">
              <a16:creationId xmlns:a16="http://schemas.microsoft.com/office/drawing/2014/main" id="{9783861C-CFDE-44EA-AF22-F4EE01AC4C6E}"/>
            </a:ext>
          </a:extLst>
        </xdr:cNvPr>
        <xdr:cNvPicPr>
          <a:picLocks noChangeAspect="1"/>
        </xdr:cNvPicPr>
      </xdr:nvPicPr>
      <xdr:blipFill>
        <a:blip xmlns:r="http://schemas.openxmlformats.org/officeDocument/2006/relationships" r:embed="rId1"/>
        <a:stretch>
          <a:fillRect/>
        </a:stretch>
      </xdr:blipFill>
      <xdr:spPr>
        <a:xfrm>
          <a:off x="234950" y="63500"/>
          <a:ext cx="504386" cy="523421"/>
        </a:xfrm>
        <a:prstGeom prst="rect">
          <a:avLst/>
        </a:prstGeom>
      </xdr:spPr>
    </xdr:pic>
    <xdr:clientData/>
  </xdr:oneCellAnchor>
  <xdr:oneCellAnchor>
    <xdr:from>
      <xdr:col>1</xdr:col>
      <xdr:colOff>63500</xdr:colOff>
      <xdr:row>0</xdr:row>
      <xdr:rowOff>66221</xdr:rowOff>
    </xdr:from>
    <xdr:ext cx="504386" cy="539931"/>
    <xdr:pic>
      <xdr:nvPicPr>
        <xdr:cNvPr id="4" name="Picture 3">
          <a:extLst>
            <a:ext uri="{FF2B5EF4-FFF2-40B4-BE49-F238E27FC236}">
              <a16:creationId xmlns:a16="http://schemas.microsoft.com/office/drawing/2014/main" id="{21E33B14-4DF1-4C81-AEC8-6EA5D724DBB5}"/>
            </a:ext>
            <a:ext uri="{147F2762-F138-4A5C-976F-8EAC2B608ADB}">
              <a16:predDERef xmlns:a16="http://schemas.microsoft.com/office/drawing/2014/main" pred="{5585AA0C-4DA0-40F7-BF1F-B6EFBB504E56}"/>
            </a:ext>
          </a:extLst>
        </xdr:cNvPr>
        <xdr:cNvPicPr>
          <a:picLocks noChangeAspect="1"/>
        </xdr:cNvPicPr>
      </xdr:nvPicPr>
      <xdr:blipFill>
        <a:blip xmlns:r="http://schemas.openxmlformats.org/officeDocument/2006/relationships" r:embed="rId1"/>
        <a:stretch>
          <a:fillRect/>
        </a:stretch>
      </xdr:blipFill>
      <xdr:spPr>
        <a:xfrm>
          <a:off x="234950" y="66221"/>
          <a:ext cx="504386" cy="539931"/>
        </a:xfrm>
        <a:prstGeom prst="rect">
          <a:avLst/>
        </a:prstGeom>
      </xdr:spPr>
    </xdr:pic>
    <xdr:clientData/>
  </xdr:oneCellAnchor>
  <xdr:twoCellAnchor>
    <xdr:from>
      <xdr:col>11</xdr:col>
      <xdr:colOff>798285</xdr:colOff>
      <xdr:row>0</xdr:row>
      <xdr:rowOff>0</xdr:rowOff>
    </xdr:from>
    <xdr:to>
      <xdr:col>17</xdr:col>
      <xdr:colOff>215</xdr:colOff>
      <xdr:row>1</xdr:row>
      <xdr:rowOff>66385</xdr:rowOff>
    </xdr:to>
    <xdr:sp macro="" textlink="">
      <xdr:nvSpPr>
        <xdr:cNvPr id="5" name="TextBox 4">
          <a:extLst>
            <a:ext uri="{FF2B5EF4-FFF2-40B4-BE49-F238E27FC236}">
              <a16:creationId xmlns:a16="http://schemas.microsoft.com/office/drawing/2014/main" id="{F34DA108-622B-46E8-8169-BD4672FE1462}"/>
            </a:ext>
          </a:extLst>
        </xdr:cNvPr>
        <xdr:cNvSpPr txBox="1"/>
      </xdr:nvSpPr>
      <xdr:spPr>
        <a:xfrm>
          <a:off x="11955235" y="0"/>
          <a:ext cx="5793230" cy="701385"/>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zh-CN"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kumimoji="1" lang="en-US"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NOTE-</a:t>
          </a:r>
          <a:r>
            <a:rPr kumimoji="1" lang="zh-CN"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归档前删除]</a:t>
          </a:r>
          <a:endParaRPr lang="zh-CN" altLang="zh-CN" sz="1400">
            <a:solidFill>
              <a:srgbClr val="FF0000"/>
            </a:solidFill>
            <a:effectLst/>
            <a:latin typeface="Arial" panose="020B0604020202020204" pitchFamily="34" charset="0"/>
            <a:ea typeface="微软雅黑" panose="020B0503020204020204" pitchFamily="34" charset="-122"/>
            <a:cs typeface="Arial" panose="020B0604020202020204" pitchFamily="34" charset="0"/>
          </a:endParaRP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如果不适用，审计小组可以删除此工作底稿选项卡。</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oneCellAnchor>
    <xdr:from>
      <xdr:col>2</xdr:col>
      <xdr:colOff>898072</xdr:colOff>
      <xdr:row>11</xdr:row>
      <xdr:rowOff>0</xdr:rowOff>
    </xdr:from>
    <xdr:ext cx="222250" cy="222250"/>
    <xdr:pic>
      <xdr:nvPicPr>
        <xdr:cNvPr id="6" name="图片 2">
          <a:hlinkClick xmlns:r="http://schemas.openxmlformats.org/officeDocument/2006/relationships" r:id="rId2" tooltip="资本化利息测算"/>
          <a:extLst>
            <a:ext uri="{FF2B5EF4-FFF2-40B4-BE49-F238E27FC236}">
              <a16:creationId xmlns:a16="http://schemas.microsoft.com/office/drawing/2014/main" id="{52D7D7B6-A1A9-4213-96F7-978F28D6223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1" y="2735036"/>
          <a:ext cx="222250" cy="222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775608</xdr:colOff>
      <xdr:row>21</xdr:row>
      <xdr:rowOff>13607</xdr:rowOff>
    </xdr:from>
    <xdr:to>
      <xdr:col>2</xdr:col>
      <xdr:colOff>1004208</xdr:colOff>
      <xdr:row>22</xdr:row>
      <xdr:rowOff>48533</xdr:rowOff>
    </xdr:to>
    <xdr:pic>
      <xdr:nvPicPr>
        <xdr:cNvPr id="8" name="图片 7">
          <a:hlinkClick xmlns:r="http://schemas.openxmlformats.org/officeDocument/2006/relationships" r:id="rId4" tooltip="抽取代表性样本"/>
          <a:extLst>
            <a:ext uri="{FF2B5EF4-FFF2-40B4-BE49-F238E27FC236}">
              <a16:creationId xmlns:a16="http://schemas.microsoft.com/office/drawing/2014/main" id="{BB3E46DF-E22E-4438-8D91-2F27D12E606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63537" y="4653643"/>
          <a:ext cx="228600" cy="225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63500</xdr:colOff>
      <xdr:row>0</xdr:row>
      <xdr:rowOff>63500</xdr:rowOff>
    </xdr:from>
    <xdr:ext cx="504386" cy="523421"/>
    <xdr:pic>
      <xdr:nvPicPr>
        <xdr:cNvPr id="2" name="Picture 1">
          <a:extLst>
            <a:ext uri="{FF2B5EF4-FFF2-40B4-BE49-F238E27FC236}">
              <a16:creationId xmlns:a16="http://schemas.microsoft.com/office/drawing/2014/main" id="{37BC56D4-8527-4FE6-BA89-F6072B299B11}"/>
            </a:ext>
          </a:extLst>
        </xdr:cNvPr>
        <xdr:cNvPicPr>
          <a:picLocks noChangeAspect="1"/>
        </xdr:cNvPicPr>
      </xdr:nvPicPr>
      <xdr:blipFill>
        <a:blip xmlns:r="http://schemas.openxmlformats.org/officeDocument/2006/relationships" r:embed="rId1"/>
        <a:stretch>
          <a:fillRect/>
        </a:stretch>
      </xdr:blipFill>
      <xdr:spPr>
        <a:xfrm>
          <a:off x="234950" y="63500"/>
          <a:ext cx="504386" cy="523421"/>
        </a:xfrm>
        <a:prstGeom prst="rect">
          <a:avLst/>
        </a:prstGeom>
      </xdr:spPr>
    </xdr:pic>
    <xdr:clientData/>
  </xdr:oneCellAnchor>
  <xdr:oneCellAnchor>
    <xdr:from>
      <xdr:col>1</xdr:col>
      <xdr:colOff>63500</xdr:colOff>
      <xdr:row>0</xdr:row>
      <xdr:rowOff>63500</xdr:rowOff>
    </xdr:from>
    <xdr:ext cx="504386" cy="523421"/>
    <xdr:pic>
      <xdr:nvPicPr>
        <xdr:cNvPr id="3" name="Picture 2">
          <a:extLst>
            <a:ext uri="{FF2B5EF4-FFF2-40B4-BE49-F238E27FC236}">
              <a16:creationId xmlns:a16="http://schemas.microsoft.com/office/drawing/2014/main" id="{7292749D-A928-4DF8-9319-8114FCF40452}"/>
            </a:ext>
          </a:extLst>
        </xdr:cNvPr>
        <xdr:cNvPicPr>
          <a:picLocks noChangeAspect="1"/>
        </xdr:cNvPicPr>
      </xdr:nvPicPr>
      <xdr:blipFill>
        <a:blip xmlns:r="http://schemas.openxmlformats.org/officeDocument/2006/relationships" r:embed="rId1"/>
        <a:stretch>
          <a:fillRect/>
        </a:stretch>
      </xdr:blipFill>
      <xdr:spPr>
        <a:xfrm>
          <a:off x="234950" y="63500"/>
          <a:ext cx="504386" cy="523421"/>
        </a:xfrm>
        <a:prstGeom prst="rect">
          <a:avLst/>
        </a:prstGeom>
      </xdr:spPr>
    </xdr:pic>
    <xdr:clientData/>
  </xdr:oneCellAnchor>
  <xdr:oneCellAnchor>
    <xdr:from>
      <xdr:col>1</xdr:col>
      <xdr:colOff>63500</xdr:colOff>
      <xdr:row>0</xdr:row>
      <xdr:rowOff>66221</xdr:rowOff>
    </xdr:from>
    <xdr:ext cx="504386" cy="539931"/>
    <xdr:pic>
      <xdr:nvPicPr>
        <xdr:cNvPr id="4" name="Picture 3">
          <a:extLst>
            <a:ext uri="{FF2B5EF4-FFF2-40B4-BE49-F238E27FC236}">
              <a16:creationId xmlns:a16="http://schemas.microsoft.com/office/drawing/2014/main" id="{A3BB503D-007F-4602-BE46-1CC5DCEBC819}"/>
            </a:ext>
            <a:ext uri="{147F2762-F138-4A5C-976F-8EAC2B608ADB}">
              <a16:predDERef xmlns:a16="http://schemas.microsoft.com/office/drawing/2014/main" pred="{5585AA0C-4DA0-40F7-BF1F-B6EFBB504E56}"/>
            </a:ext>
          </a:extLst>
        </xdr:cNvPr>
        <xdr:cNvPicPr>
          <a:picLocks noChangeAspect="1"/>
        </xdr:cNvPicPr>
      </xdr:nvPicPr>
      <xdr:blipFill>
        <a:blip xmlns:r="http://schemas.openxmlformats.org/officeDocument/2006/relationships" r:embed="rId1"/>
        <a:stretch>
          <a:fillRect/>
        </a:stretch>
      </xdr:blipFill>
      <xdr:spPr>
        <a:xfrm>
          <a:off x="234950" y="66221"/>
          <a:ext cx="504386" cy="539931"/>
        </a:xfrm>
        <a:prstGeom prst="rect">
          <a:avLst/>
        </a:prstGeom>
      </xdr:spPr>
    </xdr:pic>
    <xdr:clientData/>
  </xdr:oneCellAnchor>
  <xdr:twoCellAnchor>
    <xdr:from>
      <xdr:col>11</xdr:col>
      <xdr:colOff>798285</xdr:colOff>
      <xdr:row>0</xdr:row>
      <xdr:rowOff>0</xdr:rowOff>
    </xdr:from>
    <xdr:to>
      <xdr:col>17</xdr:col>
      <xdr:colOff>215</xdr:colOff>
      <xdr:row>1</xdr:row>
      <xdr:rowOff>66385</xdr:rowOff>
    </xdr:to>
    <xdr:sp macro="" textlink="">
      <xdr:nvSpPr>
        <xdr:cNvPr id="5" name="TextBox 4">
          <a:extLst>
            <a:ext uri="{FF2B5EF4-FFF2-40B4-BE49-F238E27FC236}">
              <a16:creationId xmlns:a16="http://schemas.microsoft.com/office/drawing/2014/main" id="{A179C1C5-86E7-4112-A9DA-5C2CCBC7AA8A}"/>
            </a:ext>
          </a:extLst>
        </xdr:cNvPr>
        <xdr:cNvSpPr txBox="1"/>
      </xdr:nvSpPr>
      <xdr:spPr>
        <a:xfrm>
          <a:off x="12069535" y="0"/>
          <a:ext cx="5793230" cy="701385"/>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zh-CN"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a:t>
          </a:r>
          <a:r>
            <a:rPr kumimoji="1" lang="en-US"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NOTE-</a:t>
          </a:r>
          <a:r>
            <a:rPr kumimoji="1" lang="zh-CN" altLang="zh-CN" sz="1400" b="1" i="0">
              <a:solidFill>
                <a:srgbClr val="FF0000"/>
              </a:solidFill>
              <a:effectLst/>
              <a:latin typeface="Arial" panose="020B0604020202020204" pitchFamily="34" charset="0"/>
              <a:ea typeface="微软雅黑" panose="020B0503020204020204" pitchFamily="34" charset="-122"/>
              <a:cs typeface="Arial" panose="020B0604020202020204" pitchFamily="34" charset="0"/>
            </a:rPr>
            <a:t>归档前删除]</a:t>
          </a:r>
          <a:endParaRPr lang="zh-CN" altLang="zh-CN" sz="1400">
            <a:solidFill>
              <a:srgbClr val="FF0000"/>
            </a:solidFill>
            <a:effectLst/>
            <a:latin typeface="Arial" panose="020B0604020202020204" pitchFamily="34" charset="0"/>
            <a:ea typeface="微软雅黑" panose="020B0503020204020204" pitchFamily="34" charset="-122"/>
            <a:cs typeface="Arial" panose="020B0604020202020204" pitchFamily="34" charset="0"/>
          </a:endParaRP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如果不适用，审计小组可以删除此工作底稿选项卡。</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editAs="oneCell">
    <xdr:from>
      <xdr:col>2</xdr:col>
      <xdr:colOff>136072</xdr:colOff>
      <xdr:row>5</xdr:row>
      <xdr:rowOff>149679</xdr:rowOff>
    </xdr:from>
    <xdr:to>
      <xdr:col>2</xdr:col>
      <xdr:colOff>364672</xdr:colOff>
      <xdr:row>7</xdr:row>
      <xdr:rowOff>21318</xdr:rowOff>
    </xdr:to>
    <xdr:pic>
      <xdr:nvPicPr>
        <xdr:cNvPr id="8" name="图片 8">
          <a:hlinkClick xmlns:r="http://schemas.openxmlformats.org/officeDocument/2006/relationships" r:id="rId2" tooltip="关于利息计算及披露的注意事项"/>
          <a:extLst>
            <a:ext uri="{FF2B5EF4-FFF2-40B4-BE49-F238E27FC236}">
              <a16:creationId xmlns:a16="http://schemas.microsoft.com/office/drawing/2014/main" id="{57B21159-CEEE-4846-9521-D877D817267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06072" y="10449379"/>
          <a:ext cx="228600" cy="22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898072</xdr:colOff>
      <xdr:row>8</xdr:row>
      <xdr:rowOff>0</xdr:rowOff>
    </xdr:from>
    <xdr:ext cx="222250" cy="222250"/>
    <xdr:pic>
      <xdr:nvPicPr>
        <xdr:cNvPr id="9" name="图片 2">
          <a:hlinkClick xmlns:r="http://schemas.openxmlformats.org/officeDocument/2006/relationships" r:id="rId4" tooltip="资本化利息测算"/>
          <a:extLst>
            <a:ext uri="{FF2B5EF4-FFF2-40B4-BE49-F238E27FC236}">
              <a16:creationId xmlns:a16="http://schemas.microsoft.com/office/drawing/2014/main" id="{C12313ED-D461-457D-8487-19AF69596A0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68072" y="2730500"/>
          <a:ext cx="222250" cy="222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550741</xdr:colOff>
      <xdr:row>0</xdr:row>
      <xdr:rowOff>588509</xdr:rowOff>
    </xdr:to>
    <xdr:pic>
      <xdr:nvPicPr>
        <xdr:cNvPr id="2" name="Picture 1">
          <a:extLst>
            <a:ext uri="{FF2B5EF4-FFF2-40B4-BE49-F238E27FC236}">
              <a16:creationId xmlns:a16="http://schemas.microsoft.com/office/drawing/2014/main" id="{B569F97E-1713-4436-A208-6AC57EFF9963}"/>
            </a:ext>
          </a:extLst>
        </xdr:cNvPr>
        <xdr:cNvPicPr>
          <a:picLocks noChangeAspect="1"/>
        </xdr:cNvPicPr>
      </xdr:nvPicPr>
      <xdr:blipFill>
        <a:blip xmlns:r="http://schemas.openxmlformats.org/officeDocument/2006/relationships" r:embed="rId1"/>
        <a:stretch>
          <a:fillRect/>
        </a:stretch>
      </xdr:blipFill>
      <xdr:spPr>
        <a:xfrm>
          <a:off x="244475" y="63500"/>
          <a:ext cx="491051" cy="518976"/>
        </a:xfrm>
        <a:prstGeom prst="rect">
          <a:avLst/>
        </a:prstGeom>
      </xdr:spPr>
    </xdr:pic>
    <xdr:clientData/>
  </xdr:twoCellAnchor>
  <xdr:twoCellAnchor editAs="oneCell">
    <xdr:from>
      <xdr:col>1</xdr:col>
      <xdr:colOff>63500</xdr:colOff>
      <xdr:row>0</xdr:row>
      <xdr:rowOff>63500</xdr:rowOff>
    </xdr:from>
    <xdr:to>
      <xdr:col>1</xdr:col>
      <xdr:colOff>550741</xdr:colOff>
      <xdr:row>0</xdr:row>
      <xdr:rowOff>588509</xdr:rowOff>
    </xdr:to>
    <xdr:pic>
      <xdr:nvPicPr>
        <xdr:cNvPr id="4" name="Picture 3">
          <a:extLst>
            <a:ext uri="{FF2B5EF4-FFF2-40B4-BE49-F238E27FC236}">
              <a16:creationId xmlns:a16="http://schemas.microsoft.com/office/drawing/2014/main" id="{299DE618-DA87-401C-B0F3-FDD2D8D09D2F}"/>
            </a:ext>
          </a:extLst>
        </xdr:cNvPr>
        <xdr:cNvPicPr>
          <a:picLocks noChangeAspect="1"/>
        </xdr:cNvPicPr>
      </xdr:nvPicPr>
      <xdr:blipFill>
        <a:blip xmlns:r="http://schemas.openxmlformats.org/officeDocument/2006/relationships" r:embed="rId1"/>
        <a:stretch>
          <a:fillRect/>
        </a:stretch>
      </xdr:blipFill>
      <xdr:spPr>
        <a:xfrm>
          <a:off x="244475" y="63500"/>
          <a:ext cx="491051" cy="518976"/>
        </a:xfrm>
        <a:prstGeom prst="rect">
          <a:avLst/>
        </a:prstGeom>
      </xdr:spPr>
    </xdr:pic>
    <xdr:clientData/>
  </xdr:twoCellAnchor>
  <xdr:twoCellAnchor editAs="oneCell">
    <xdr:from>
      <xdr:col>7</xdr:col>
      <xdr:colOff>455330</xdr:colOff>
      <xdr:row>25</xdr:row>
      <xdr:rowOff>519623</xdr:rowOff>
    </xdr:from>
    <xdr:to>
      <xdr:col>7</xdr:col>
      <xdr:colOff>707330</xdr:colOff>
      <xdr:row>25</xdr:row>
      <xdr:rowOff>771625</xdr:rowOff>
    </xdr:to>
    <xdr:pic>
      <xdr:nvPicPr>
        <xdr:cNvPr id="12" name="图片 2">
          <a:hlinkClick xmlns:r="http://schemas.openxmlformats.org/officeDocument/2006/relationships" r:id="rId2" tooltip="限制性契约"/>
          <a:extLst>
            <a:ext uri="{FF2B5EF4-FFF2-40B4-BE49-F238E27FC236}">
              <a16:creationId xmlns:a16="http://schemas.microsoft.com/office/drawing/2014/main" id="{81B5344A-CD00-4E2B-ADEE-8EFB7ABE76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47473" y="5921659"/>
          <a:ext cx="252000" cy="2520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984250</xdr:colOff>
      <xdr:row>0</xdr:row>
      <xdr:rowOff>0</xdr:rowOff>
    </xdr:from>
    <xdr:to>
      <xdr:col>14</xdr:col>
      <xdr:colOff>8844</xdr:colOff>
      <xdr:row>1</xdr:row>
      <xdr:rowOff>54428</xdr:rowOff>
    </xdr:to>
    <xdr:sp macro="" textlink="">
      <xdr:nvSpPr>
        <xdr:cNvPr id="9" name="TextBox 5">
          <a:extLst>
            <a:ext uri="{FF2B5EF4-FFF2-40B4-BE49-F238E27FC236}">
              <a16:creationId xmlns:a16="http://schemas.microsoft.com/office/drawing/2014/main" id="{10BB9AAD-6929-440F-ABAE-E2A2C1526D9F}"/>
            </a:ext>
          </a:extLst>
        </xdr:cNvPr>
        <xdr:cNvSpPr txBox="1"/>
      </xdr:nvSpPr>
      <xdr:spPr>
        <a:xfrm>
          <a:off x="8177893" y="0"/>
          <a:ext cx="4458380" cy="689428"/>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如果不适用，审计小组可以删除此工作底稿选项卡。</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editAs="oneCell">
    <xdr:from>
      <xdr:col>1</xdr:col>
      <xdr:colOff>169579</xdr:colOff>
      <xdr:row>22</xdr:row>
      <xdr:rowOff>2551</xdr:rowOff>
    </xdr:from>
    <xdr:to>
      <xdr:col>1</xdr:col>
      <xdr:colOff>367392</xdr:colOff>
      <xdr:row>23</xdr:row>
      <xdr:rowOff>9865</xdr:rowOff>
    </xdr:to>
    <xdr:pic>
      <xdr:nvPicPr>
        <xdr:cNvPr id="3" name="图片 2">
          <a:hlinkClick xmlns:r="http://schemas.openxmlformats.org/officeDocument/2006/relationships" r:id="rId4" tooltip="关于限制性契约披露的特殊考虑"/>
          <a:extLst>
            <a:ext uri="{FF2B5EF4-FFF2-40B4-BE49-F238E27FC236}">
              <a16:creationId xmlns:a16="http://schemas.microsoft.com/office/drawing/2014/main" id="{3C8034A6-2E67-4C22-45C2-0E119616AB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0079" y="4833087"/>
          <a:ext cx="197813" cy="19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x:/r/sites/china.audit.standard.working.paper/Shared%20Documents/FY26/Q/SWP/%E5%BE%85%E4%BF%AE%E6%94%B9V6%E5%BA%95%E7%A8%BF/Supplementary-%E5%80%9F%E6%AC%BE/Q%20SWP%20%E5%88%A9%E6%81%AF%E8%B5%84%E6%9C%AC%E5%8C%96%E6%B5%8B%E8%AF%95%20202YMMDD%20XYZ%E5%85%AC%E5%8F%B8.xlsx?d=w31a5b2dd40d045589e2a4e753797aa2c&amp;csf=1&amp;web=1&amp;e=EnC21P"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E33D-B7C9-4153-A3FA-C1125BE4EC9C}">
  <dimension ref="A1:I69"/>
  <sheetViews>
    <sheetView showGridLines="0" tabSelected="1" zoomScale="70" zoomScaleNormal="70" workbookViewId="0">
      <selection activeCell="K9" sqref="K9"/>
    </sheetView>
  </sheetViews>
  <sheetFormatPr defaultColWidth="9.08984375" defaultRowHeight="12.75" customHeight="1"/>
  <cols>
    <col min="1" max="1" width="2.6328125" style="25" customWidth="1"/>
    <col min="2" max="2" width="12.453125" style="24" customWidth="1"/>
    <col min="3" max="4" width="23.26953125" style="24" customWidth="1"/>
    <col min="5" max="5" width="45.90625" style="24" customWidth="1"/>
    <col min="6" max="6" width="27.36328125" style="24" customWidth="1"/>
    <col min="7" max="7" width="16.08984375" style="24" customWidth="1"/>
    <col min="8" max="8" width="17.08984375" style="24" customWidth="1"/>
    <col min="9" max="9" width="31.08984375" style="24" customWidth="1"/>
    <col min="10" max="16384" width="9.08984375" style="24"/>
  </cols>
  <sheetData>
    <row r="1" spans="1:9" ht="20">
      <c r="A1" s="578" t="s">
        <v>5</v>
      </c>
    </row>
    <row r="2" spans="1:9" ht="18">
      <c r="A2" s="24"/>
      <c r="B2" s="220" t="s">
        <v>6</v>
      </c>
      <c r="C2" s="19"/>
      <c r="D2" s="3"/>
      <c r="E2" s="756" t="s">
        <v>368</v>
      </c>
      <c r="F2" s="268"/>
      <c r="G2" s="28"/>
      <c r="H2" s="3"/>
      <c r="I2" s="28"/>
    </row>
    <row r="3" spans="1:9" ht="13">
      <c r="B3" s="19"/>
      <c r="C3" s="29"/>
      <c r="D3" s="3"/>
      <c r="E3" s="757"/>
      <c r="F3" s="268"/>
      <c r="G3" s="28"/>
      <c r="H3" s="3"/>
      <c r="I3" s="28"/>
    </row>
    <row r="4" spans="1:9" ht="15" customHeight="1">
      <c r="B4" s="31" t="s">
        <v>7</v>
      </c>
      <c r="C4" s="609" t="s">
        <v>8</v>
      </c>
      <c r="D4" s="609"/>
      <c r="E4" s="609"/>
      <c r="F4" s="32" t="s">
        <v>9</v>
      </c>
      <c r="G4" s="32" t="s">
        <v>10</v>
      </c>
      <c r="H4" s="32" t="s">
        <v>11</v>
      </c>
      <c r="I4" s="32" t="s">
        <v>12</v>
      </c>
    </row>
    <row r="5" spans="1:9" ht="35.65" customHeight="1">
      <c r="B5" s="481">
        <v>1</v>
      </c>
      <c r="C5" s="601" t="s">
        <v>13</v>
      </c>
      <c r="D5" s="601"/>
      <c r="E5" s="601"/>
      <c r="F5" s="561" t="s">
        <v>0</v>
      </c>
      <c r="G5" s="33"/>
      <c r="H5" s="506"/>
      <c r="I5" s="506"/>
    </row>
    <row r="6" spans="1:9" ht="15" customHeight="1">
      <c r="B6" s="31" t="s">
        <v>14</v>
      </c>
      <c r="C6" s="599" t="s">
        <v>15</v>
      </c>
      <c r="D6" s="599"/>
      <c r="E6" s="599"/>
      <c r="F6" s="32" t="s">
        <v>9</v>
      </c>
      <c r="G6" s="32" t="s">
        <v>10</v>
      </c>
      <c r="H6" s="32" t="s">
        <v>11</v>
      </c>
      <c r="I6" s="32" t="s">
        <v>12</v>
      </c>
    </row>
    <row r="7" spans="1:9" ht="29.25" customHeight="1">
      <c r="B7" s="481">
        <v>1</v>
      </c>
      <c r="C7" s="601" t="s">
        <v>16</v>
      </c>
      <c r="D7" s="601"/>
      <c r="E7" s="601"/>
      <c r="F7" s="606" t="s">
        <v>1</v>
      </c>
      <c r="G7" s="33"/>
      <c r="H7" s="506"/>
      <c r="I7" s="506"/>
    </row>
    <row r="8" spans="1:9" ht="31.5" customHeight="1">
      <c r="B8" s="481">
        <v>2</v>
      </c>
      <c r="C8" s="601" t="s">
        <v>17</v>
      </c>
      <c r="D8" s="601"/>
      <c r="E8" s="601"/>
      <c r="F8" s="607"/>
      <c r="G8" s="33"/>
      <c r="H8" s="506"/>
      <c r="I8" s="506"/>
    </row>
    <row r="9" spans="1:9" ht="15" customHeight="1">
      <c r="B9" s="31" t="s">
        <v>18</v>
      </c>
      <c r="C9" s="608" t="s">
        <v>19</v>
      </c>
      <c r="D9" s="608"/>
      <c r="E9" s="608"/>
      <c r="F9" s="32" t="s">
        <v>9</v>
      </c>
      <c r="G9" s="32" t="s">
        <v>10</v>
      </c>
      <c r="H9" s="32" t="s">
        <v>11</v>
      </c>
      <c r="I9" s="32" t="s">
        <v>12</v>
      </c>
    </row>
    <row r="10" spans="1:9" ht="49.5" customHeight="1">
      <c r="B10" s="30">
        <v>1</v>
      </c>
      <c r="C10" s="755" t="s">
        <v>20</v>
      </c>
      <c r="D10" s="601"/>
      <c r="E10" s="601"/>
      <c r="F10" s="266" t="s">
        <v>2</v>
      </c>
      <c r="G10" s="33"/>
      <c r="H10" s="259"/>
      <c r="I10" s="259"/>
    </row>
    <row r="11" spans="1:9" ht="49.5" customHeight="1">
      <c r="B11" s="34">
        <v>2</v>
      </c>
      <c r="C11" s="601" t="s">
        <v>21</v>
      </c>
      <c r="D11" s="601"/>
      <c r="E11" s="601"/>
      <c r="F11" s="267" t="s">
        <v>3</v>
      </c>
      <c r="G11" s="33"/>
      <c r="H11" s="506"/>
      <c r="I11" s="260"/>
    </row>
    <row r="12" spans="1:9" ht="43.5" customHeight="1">
      <c r="A12" s="23" t="s">
        <v>22</v>
      </c>
      <c r="B12" s="34">
        <v>3</v>
      </c>
      <c r="C12" s="602" t="s">
        <v>23</v>
      </c>
      <c r="D12" s="601"/>
      <c r="E12" s="601"/>
      <c r="F12" s="267" t="s">
        <v>4</v>
      </c>
      <c r="G12" s="33"/>
      <c r="H12" s="506"/>
      <c r="I12" s="260"/>
    </row>
    <row r="13" spans="1:9" ht="15" customHeight="1">
      <c r="A13" s="23"/>
      <c r="B13" s="31" t="s">
        <v>24</v>
      </c>
      <c r="C13" s="599" t="s">
        <v>25</v>
      </c>
      <c r="D13" s="599"/>
      <c r="E13" s="599"/>
      <c r="F13" s="32" t="s">
        <v>9</v>
      </c>
      <c r="G13" s="32" t="s">
        <v>10</v>
      </c>
      <c r="H13" s="32" t="s">
        <v>11</v>
      </c>
      <c r="I13" s="32" t="s">
        <v>12</v>
      </c>
    </row>
    <row r="14" spans="1:9" ht="38.65" customHeight="1">
      <c r="B14" s="34">
        <v>1</v>
      </c>
      <c r="C14" s="602" t="s">
        <v>26</v>
      </c>
      <c r="D14" s="601"/>
      <c r="E14" s="601"/>
      <c r="F14" s="561" t="s">
        <v>27</v>
      </c>
      <c r="G14" s="33"/>
      <c r="H14" s="506"/>
      <c r="I14" s="260"/>
    </row>
    <row r="15" spans="1:9" ht="15" customHeight="1">
      <c r="B15" s="31" t="s">
        <v>28</v>
      </c>
      <c r="C15" s="599" t="s">
        <v>29</v>
      </c>
      <c r="D15" s="599"/>
      <c r="E15" s="599"/>
      <c r="F15" s="32" t="s">
        <v>9</v>
      </c>
      <c r="G15" s="32" t="s">
        <v>10</v>
      </c>
      <c r="H15" s="32" t="s">
        <v>11</v>
      </c>
      <c r="I15" s="32" t="s">
        <v>12</v>
      </c>
    </row>
    <row r="16" spans="1:9" s="27" customFormat="1" ht="41.25" customHeight="1">
      <c r="A16" s="26"/>
      <c r="B16" s="34">
        <v>1</v>
      </c>
      <c r="C16" s="601" t="s">
        <v>30</v>
      </c>
      <c r="D16" s="601"/>
      <c r="E16" s="601"/>
      <c r="F16" s="267" t="s">
        <v>31</v>
      </c>
      <c r="G16" s="33"/>
      <c r="H16" s="506"/>
      <c r="I16" s="560" t="s">
        <v>32</v>
      </c>
    </row>
    <row r="17" spans="1:9" s="27" customFormat="1" ht="62.5" customHeight="1">
      <c r="A17" s="26"/>
      <c r="B17" s="34">
        <v>2</v>
      </c>
      <c r="C17" s="600" t="s">
        <v>33</v>
      </c>
      <c r="D17" s="601"/>
      <c r="E17" s="601"/>
      <c r="F17" s="267" t="s">
        <v>34</v>
      </c>
      <c r="G17" s="33"/>
      <c r="H17" s="506"/>
      <c r="I17" s="562" t="s">
        <v>35</v>
      </c>
    </row>
    <row r="18" spans="1:9" s="27" customFormat="1" ht="41.25" customHeight="1">
      <c r="A18" s="26"/>
      <c r="B18" s="34">
        <v>3</v>
      </c>
      <c r="C18" s="603" t="s">
        <v>36</v>
      </c>
      <c r="D18" s="604"/>
      <c r="E18" s="605"/>
      <c r="F18" s="267" t="s">
        <v>37</v>
      </c>
      <c r="G18" s="33"/>
      <c r="H18" s="506"/>
      <c r="I18" s="560"/>
    </row>
    <row r="19" spans="1:9" ht="15" customHeight="1">
      <c r="B19" s="31" t="s">
        <v>38</v>
      </c>
      <c r="C19" s="599" t="s">
        <v>39</v>
      </c>
      <c r="D19" s="599"/>
      <c r="E19" s="599"/>
      <c r="F19" s="32" t="s">
        <v>9</v>
      </c>
      <c r="G19" s="32" t="s">
        <v>10</v>
      </c>
      <c r="H19" s="32" t="s">
        <v>11</v>
      </c>
      <c r="I19" s="32" t="s">
        <v>12</v>
      </c>
    </row>
    <row r="20" spans="1:9" ht="28.5" customHeight="1">
      <c r="B20" s="269">
        <v>1</v>
      </c>
      <c r="C20" s="601" t="s">
        <v>40</v>
      </c>
      <c r="D20" s="601"/>
      <c r="E20" s="601"/>
      <c r="F20" s="561" t="s">
        <v>41</v>
      </c>
      <c r="G20" s="33"/>
      <c r="H20" s="270"/>
      <c r="I20" s="270"/>
    </row>
    <row r="21" spans="1:9" ht="13">
      <c r="B21" s="41"/>
      <c r="C21" s="41"/>
      <c r="D21" s="41"/>
      <c r="E21" s="41"/>
      <c r="F21" s="41"/>
      <c r="G21" s="41"/>
      <c r="H21" s="41"/>
      <c r="I21" s="41"/>
    </row>
    <row r="22" spans="1:9" ht="18.75" customHeight="1">
      <c r="B22" s="41"/>
      <c r="C22" s="41"/>
      <c r="D22" s="41"/>
      <c r="E22" s="41"/>
      <c r="F22" s="41"/>
      <c r="G22" s="41"/>
      <c r="H22" s="41"/>
      <c r="I22" s="41"/>
    </row>
    <row r="23" spans="1:9" ht="18.75" customHeight="1">
      <c r="B23" s="41"/>
      <c r="C23" s="41"/>
      <c r="D23" s="41"/>
      <c r="E23" s="41"/>
      <c r="F23" s="41"/>
      <c r="G23" s="41"/>
      <c r="H23" s="41"/>
      <c r="I23" s="41"/>
    </row>
    <row r="24" spans="1:9" ht="48.75" customHeight="1">
      <c r="B24" s="41"/>
      <c r="C24" s="41"/>
      <c r="D24" s="41"/>
      <c r="E24" s="41"/>
      <c r="F24" s="41"/>
      <c r="G24" s="41"/>
      <c r="H24" s="41"/>
      <c r="I24" s="41"/>
    </row>
    <row r="25" spans="1:9" ht="18.75" customHeight="1">
      <c r="B25" s="41"/>
      <c r="C25" s="41"/>
      <c r="D25" s="41"/>
      <c r="E25" s="41"/>
      <c r="F25" s="41"/>
      <c r="G25" s="41"/>
      <c r="H25" s="41"/>
      <c r="I25" s="41"/>
    </row>
    <row r="26" spans="1:9" ht="37.5" customHeight="1">
      <c r="B26" s="41"/>
      <c r="C26" s="41"/>
      <c r="D26" s="41"/>
      <c r="E26" s="41"/>
      <c r="F26" s="41"/>
      <c r="G26" s="41"/>
      <c r="H26" s="41"/>
      <c r="I26" s="41"/>
    </row>
    <row r="27" spans="1:9" ht="23.65" customHeight="1">
      <c r="B27" s="41"/>
      <c r="C27" s="41"/>
      <c r="D27" s="41"/>
      <c r="E27" s="41"/>
      <c r="F27" s="41"/>
      <c r="G27" s="41"/>
      <c r="H27" s="41"/>
      <c r="I27" s="41"/>
    </row>
    <row r="28" spans="1:9" ht="34.15" customHeight="1">
      <c r="B28" s="41"/>
      <c r="C28" s="41"/>
      <c r="D28" s="41"/>
      <c r="E28" s="41"/>
      <c r="F28" s="41"/>
      <c r="G28" s="41"/>
      <c r="H28" s="41"/>
      <c r="I28" s="41"/>
    </row>
    <row r="29" spans="1:9" ht="25.15" customHeight="1">
      <c r="B29" s="41"/>
      <c r="C29" s="41"/>
      <c r="D29" s="41"/>
      <c r="E29" s="41"/>
      <c r="F29" s="41"/>
      <c r="G29" s="41"/>
      <c r="H29" s="41"/>
      <c r="I29" s="41"/>
    </row>
    <row r="30" spans="1:9" ht="12.75" customHeight="1">
      <c r="B30" s="41"/>
      <c r="C30" s="41"/>
      <c r="D30" s="41"/>
      <c r="E30" s="41"/>
      <c r="F30" s="41"/>
      <c r="G30" s="41"/>
      <c r="H30" s="41"/>
      <c r="I30" s="41"/>
    </row>
    <row r="31" spans="1:9" ht="12.75" customHeight="1">
      <c r="B31" s="41"/>
      <c r="C31" s="41"/>
      <c r="D31" s="41"/>
      <c r="E31" s="41"/>
      <c r="F31" s="41"/>
      <c r="G31" s="41"/>
      <c r="H31" s="41"/>
      <c r="I31" s="41"/>
    </row>
    <row r="32" spans="1:9" ht="12.75" customHeight="1">
      <c r="B32" s="41"/>
      <c r="C32" s="41"/>
      <c r="D32" s="41"/>
      <c r="E32" s="41"/>
      <c r="F32" s="41"/>
      <c r="G32" s="41"/>
      <c r="H32" s="41"/>
      <c r="I32" s="41"/>
    </row>
    <row r="33" spans="2:9" ht="12.75" customHeight="1">
      <c r="B33" s="41"/>
      <c r="C33" s="41"/>
      <c r="D33" s="41"/>
      <c r="E33" s="41"/>
      <c r="F33" s="41"/>
      <c r="G33" s="41"/>
      <c r="H33" s="41"/>
      <c r="I33" s="41"/>
    </row>
    <row r="34" spans="2:9" ht="12.75" customHeight="1">
      <c r="B34" s="41"/>
      <c r="C34" s="41"/>
      <c r="D34" s="41"/>
      <c r="E34" s="41"/>
      <c r="F34" s="41"/>
      <c r="G34" s="41"/>
      <c r="H34" s="41"/>
      <c r="I34" s="41"/>
    </row>
    <row r="35" spans="2:9" ht="12.75" customHeight="1">
      <c r="B35" s="41"/>
      <c r="C35" s="41"/>
      <c r="D35" s="41"/>
      <c r="E35" s="41"/>
      <c r="F35" s="41"/>
      <c r="G35" s="41"/>
      <c r="H35" s="41"/>
      <c r="I35" s="41"/>
    </row>
    <row r="36" spans="2:9" ht="12.75" customHeight="1">
      <c r="B36" s="41"/>
      <c r="C36" s="41"/>
      <c r="D36" s="41"/>
      <c r="E36" s="41"/>
      <c r="F36" s="41"/>
      <c r="G36" s="41"/>
      <c r="H36" s="41"/>
      <c r="I36" s="41"/>
    </row>
    <row r="37" spans="2:9" ht="12.75" customHeight="1">
      <c r="B37" s="41"/>
      <c r="C37" s="41"/>
      <c r="D37" s="41"/>
      <c r="E37" s="41"/>
      <c r="F37" s="41"/>
      <c r="G37" s="41"/>
      <c r="H37" s="41"/>
      <c r="I37" s="41"/>
    </row>
    <row r="38" spans="2:9" ht="12.75" customHeight="1">
      <c r="B38" s="41"/>
      <c r="C38" s="41"/>
      <c r="D38" s="41"/>
      <c r="E38" s="41"/>
      <c r="F38" s="41"/>
      <c r="G38" s="41"/>
      <c r="H38" s="41"/>
      <c r="I38" s="41"/>
    </row>
    <row r="39" spans="2:9" ht="12.75" customHeight="1">
      <c r="B39" s="41"/>
      <c r="C39" s="41"/>
      <c r="D39" s="41"/>
      <c r="E39" s="41"/>
      <c r="F39" s="41"/>
      <c r="G39" s="41"/>
      <c r="H39" s="41"/>
      <c r="I39" s="41"/>
    </row>
    <row r="40" spans="2:9" ht="12.75" customHeight="1">
      <c r="B40" s="41"/>
      <c r="C40" s="41"/>
      <c r="D40" s="41"/>
      <c r="E40" s="41"/>
      <c r="F40" s="41"/>
      <c r="G40" s="41"/>
      <c r="H40" s="41"/>
      <c r="I40" s="41"/>
    </row>
    <row r="41" spans="2:9" ht="12.75" customHeight="1">
      <c r="B41" s="41"/>
      <c r="C41" s="41"/>
      <c r="D41" s="41"/>
      <c r="E41" s="41"/>
      <c r="F41" s="41"/>
      <c r="G41" s="41"/>
      <c r="H41" s="41"/>
      <c r="I41" s="41"/>
    </row>
    <row r="42" spans="2:9" ht="12.75" customHeight="1">
      <c r="B42" s="41"/>
      <c r="C42" s="41"/>
      <c r="D42" s="41"/>
      <c r="E42" s="41"/>
      <c r="F42" s="41"/>
      <c r="G42" s="41"/>
      <c r="H42" s="41"/>
      <c r="I42" s="41"/>
    </row>
    <row r="43" spans="2:9" ht="12.75" customHeight="1">
      <c r="B43" s="41"/>
      <c r="C43" s="41"/>
      <c r="D43" s="41"/>
      <c r="E43" s="41"/>
      <c r="F43" s="41"/>
      <c r="G43" s="41"/>
      <c r="H43" s="41"/>
      <c r="I43" s="41"/>
    </row>
    <row r="44" spans="2:9" ht="12.75" customHeight="1">
      <c r="B44" s="41"/>
      <c r="C44" s="41"/>
      <c r="D44" s="41"/>
      <c r="E44" s="41"/>
      <c r="F44" s="41"/>
      <c r="G44" s="41"/>
      <c r="H44" s="41"/>
      <c r="I44" s="41"/>
    </row>
    <row r="45" spans="2:9" ht="12.75" customHeight="1">
      <c r="B45" s="41"/>
      <c r="C45" s="41"/>
      <c r="D45" s="41"/>
      <c r="E45" s="41"/>
      <c r="F45" s="41"/>
      <c r="G45" s="41"/>
      <c r="H45" s="41"/>
      <c r="I45" s="41"/>
    </row>
    <row r="46" spans="2:9" ht="12.75" customHeight="1">
      <c r="B46" s="41"/>
      <c r="C46" s="41"/>
      <c r="D46" s="41"/>
      <c r="E46" s="41"/>
      <c r="F46" s="41"/>
      <c r="G46" s="41"/>
      <c r="H46" s="41"/>
      <c r="I46" s="41"/>
    </row>
    <row r="47" spans="2:9" ht="12.75" customHeight="1">
      <c r="B47" s="41"/>
      <c r="C47" s="41"/>
      <c r="D47" s="41"/>
      <c r="E47" s="41"/>
      <c r="F47" s="41"/>
      <c r="G47" s="41"/>
      <c r="H47" s="41"/>
      <c r="I47" s="41"/>
    </row>
    <row r="48" spans="2:9" ht="12.75" customHeight="1">
      <c r="B48" s="41"/>
      <c r="C48" s="41"/>
      <c r="D48" s="41"/>
      <c r="E48" s="41"/>
      <c r="F48" s="41"/>
      <c r="G48" s="41"/>
      <c r="H48" s="41"/>
      <c r="I48" s="41"/>
    </row>
    <row r="49" spans="2:9" ht="12.75" customHeight="1">
      <c r="B49" s="41"/>
      <c r="C49" s="41"/>
      <c r="D49" s="41"/>
      <c r="E49" s="41"/>
      <c r="F49" s="41"/>
      <c r="G49" s="41"/>
      <c r="H49" s="41"/>
      <c r="I49" s="41"/>
    </row>
    <row r="50" spans="2:9" ht="12.75" customHeight="1">
      <c r="B50" s="41"/>
      <c r="C50" s="41"/>
      <c r="D50" s="41"/>
      <c r="E50" s="41"/>
      <c r="F50" s="41"/>
      <c r="G50" s="41"/>
      <c r="H50" s="41"/>
      <c r="I50" s="41"/>
    </row>
    <row r="51" spans="2:9" ht="12.75" customHeight="1">
      <c r="B51" s="41"/>
      <c r="C51" s="41"/>
      <c r="D51" s="41"/>
      <c r="E51" s="41"/>
      <c r="F51" s="41"/>
      <c r="G51" s="41"/>
      <c r="H51" s="41"/>
      <c r="I51" s="41"/>
    </row>
    <row r="52" spans="2:9" ht="12.75" customHeight="1">
      <c r="B52" s="41"/>
      <c r="C52" s="41"/>
      <c r="D52" s="41"/>
      <c r="E52" s="41"/>
      <c r="F52" s="41"/>
      <c r="G52" s="41"/>
      <c r="H52" s="41"/>
      <c r="I52" s="41"/>
    </row>
    <row r="53" spans="2:9" ht="12.75" customHeight="1">
      <c r="B53" s="41"/>
      <c r="C53" s="41"/>
      <c r="D53" s="41"/>
      <c r="E53" s="41"/>
      <c r="F53" s="41"/>
      <c r="G53" s="41"/>
      <c r="H53" s="41"/>
      <c r="I53" s="41"/>
    </row>
    <row r="54" spans="2:9" ht="12.75" customHeight="1">
      <c r="B54" s="41"/>
      <c r="C54" s="41"/>
      <c r="D54" s="41"/>
      <c r="E54" s="41"/>
      <c r="F54" s="41"/>
      <c r="G54" s="41"/>
      <c r="H54" s="41"/>
      <c r="I54" s="41"/>
    </row>
    <row r="55" spans="2:9" ht="12.75" customHeight="1">
      <c r="B55" s="41"/>
      <c r="C55" s="41"/>
      <c r="D55" s="41"/>
      <c r="E55" s="41"/>
      <c r="F55" s="41"/>
      <c r="G55" s="41"/>
      <c r="H55" s="41"/>
      <c r="I55" s="41"/>
    </row>
    <row r="56" spans="2:9" ht="12.75" customHeight="1">
      <c r="B56" s="41"/>
      <c r="C56" s="41"/>
      <c r="D56" s="41"/>
      <c r="E56" s="41"/>
      <c r="F56" s="41"/>
      <c r="G56" s="41"/>
      <c r="H56" s="41"/>
      <c r="I56" s="41"/>
    </row>
    <row r="57" spans="2:9" ht="12.75" customHeight="1">
      <c r="B57" s="41"/>
      <c r="C57" s="41"/>
      <c r="D57" s="41"/>
      <c r="E57" s="41"/>
      <c r="F57" s="41"/>
      <c r="G57" s="41"/>
      <c r="H57" s="41"/>
      <c r="I57" s="41"/>
    </row>
    <row r="58" spans="2:9" ht="12.75" customHeight="1">
      <c r="B58" s="41"/>
      <c r="C58" s="41"/>
      <c r="D58" s="41"/>
      <c r="E58" s="41"/>
      <c r="F58" s="41"/>
      <c r="G58" s="41"/>
      <c r="H58" s="41"/>
      <c r="I58" s="41"/>
    </row>
    <row r="59" spans="2:9" ht="12.75" customHeight="1">
      <c r="B59" s="41"/>
      <c r="C59" s="41"/>
      <c r="D59" s="41"/>
      <c r="E59" s="41"/>
      <c r="F59" s="41"/>
      <c r="G59" s="41"/>
      <c r="H59" s="41"/>
      <c r="I59" s="41"/>
    </row>
    <row r="60" spans="2:9" ht="12.75" customHeight="1">
      <c r="B60" s="41"/>
      <c r="C60" s="41"/>
      <c r="D60" s="41"/>
      <c r="E60" s="41"/>
      <c r="F60" s="41"/>
      <c r="G60" s="41"/>
      <c r="H60" s="41"/>
      <c r="I60" s="41"/>
    </row>
    <row r="61" spans="2:9" ht="12.75" customHeight="1">
      <c r="B61" s="41"/>
      <c r="C61" s="41"/>
      <c r="D61" s="41"/>
      <c r="E61" s="41"/>
      <c r="F61" s="41"/>
      <c r="G61" s="41"/>
      <c r="H61" s="41"/>
      <c r="I61" s="41"/>
    </row>
    <row r="62" spans="2:9" ht="12.75" customHeight="1">
      <c r="B62" s="41"/>
      <c r="C62" s="41"/>
      <c r="D62" s="41"/>
      <c r="E62" s="41"/>
      <c r="F62" s="41"/>
      <c r="G62" s="41"/>
      <c r="H62" s="41"/>
      <c r="I62" s="41"/>
    </row>
    <row r="63" spans="2:9" ht="12.75" customHeight="1">
      <c r="B63" s="41"/>
      <c r="C63" s="41"/>
      <c r="D63" s="41"/>
      <c r="E63" s="41"/>
      <c r="F63" s="41"/>
      <c r="G63" s="41"/>
      <c r="H63" s="41"/>
      <c r="I63" s="41"/>
    </row>
    <row r="64" spans="2:9" ht="12.75" customHeight="1">
      <c r="B64" s="41"/>
      <c r="C64" s="41"/>
      <c r="D64" s="41"/>
      <c r="E64" s="41"/>
      <c r="F64" s="41"/>
      <c r="G64" s="41"/>
      <c r="H64" s="41"/>
      <c r="I64" s="41"/>
    </row>
    <row r="65" spans="2:9" ht="12.75" customHeight="1">
      <c r="B65" s="41"/>
      <c r="C65" s="41"/>
      <c r="D65" s="41"/>
      <c r="E65" s="41"/>
      <c r="F65" s="41"/>
      <c r="G65" s="41"/>
      <c r="H65" s="41"/>
      <c r="I65" s="41"/>
    </row>
    <row r="66" spans="2:9" ht="12.75" customHeight="1">
      <c r="B66" s="41"/>
      <c r="C66" s="41"/>
      <c r="D66" s="41"/>
      <c r="E66" s="41"/>
      <c r="F66" s="41"/>
      <c r="G66" s="41"/>
      <c r="H66" s="41"/>
      <c r="I66" s="41"/>
    </row>
    <row r="67" spans="2:9" ht="12.75" customHeight="1">
      <c r="B67" s="41"/>
      <c r="C67" s="41"/>
      <c r="D67" s="41"/>
      <c r="E67" s="41"/>
      <c r="F67" s="41"/>
      <c r="G67" s="41"/>
      <c r="H67" s="41"/>
      <c r="I67" s="41"/>
    </row>
    <row r="68" spans="2:9" ht="12.75" customHeight="1">
      <c r="B68" s="41"/>
      <c r="C68" s="41"/>
      <c r="D68" s="41"/>
      <c r="E68" s="41"/>
      <c r="F68" s="41"/>
      <c r="G68" s="41"/>
      <c r="H68" s="41"/>
      <c r="I68" s="41"/>
    </row>
    <row r="69" spans="2:9" ht="12.75" customHeight="1">
      <c r="B69" s="41"/>
      <c r="C69" s="41"/>
      <c r="D69" s="41"/>
      <c r="E69" s="41"/>
      <c r="F69" s="41"/>
      <c r="G69" s="41"/>
      <c r="H69" s="41"/>
      <c r="I69" s="41"/>
    </row>
  </sheetData>
  <mergeCells count="18">
    <mergeCell ref="C4:E4"/>
    <mergeCell ref="C5:E5"/>
    <mergeCell ref="C6:E6"/>
    <mergeCell ref="C7:E7"/>
    <mergeCell ref="C13:E13"/>
    <mergeCell ref="F7:F8"/>
    <mergeCell ref="C8:E8"/>
    <mergeCell ref="C9:E9"/>
    <mergeCell ref="C11:E11"/>
    <mergeCell ref="C12:E12"/>
    <mergeCell ref="C15:E15"/>
    <mergeCell ref="C17:E17"/>
    <mergeCell ref="C10:E10"/>
    <mergeCell ref="C19:E19"/>
    <mergeCell ref="C20:E20"/>
    <mergeCell ref="C14:E14"/>
    <mergeCell ref="C16:E16"/>
    <mergeCell ref="C18:E18"/>
  </mergeCells>
  <phoneticPr fontId="33" type="noConversion"/>
  <conditionalFormatting sqref="G5">
    <cfRule type="containsBlanks" dxfId="42" priority="16">
      <formula>LEN(TRIM(G5))=0</formula>
    </cfRule>
  </conditionalFormatting>
  <conditionalFormatting sqref="G7:G8">
    <cfRule type="containsBlanks" dxfId="41" priority="17">
      <formula>LEN(TRIM(G7))=0</formula>
    </cfRule>
  </conditionalFormatting>
  <conditionalFormatting sqref="G10:G12">
    <cfRule type="containsBlanks" dxfId="40" priority="18">
      <formula>LEN(TRIM(G10))=0</formula>
    </cfRule>
  </conditionalFormatting>
  <conditionalFormatting sqref="G14">
    <cfRule type="containsBlanks" dxfId="39" priority="19">
      <formula>LEN(TRIM(G14))=0</formula>
    </cfRule>
  </conditionalFormatting>
  <conditionalFormatting sqref="G16:G18">
    <cfRule type="containsBlanks" dxfId="38" priority="20">
      <formula>LEN(TRIM(G16))=0</formula>
    </cfRule>
  </conditionalFormatting>
  <conditionalFormatting sqref="G20">
    <cfRule type="containsBlanks" dxfId="37" priority="21">
      <formula>LEN(TRIM(G20))=0</formula>
    </cfRule>
  </conditionalFormatting>
  <conditionalFormatting sqref="H5 H7:H8 H10:H12 H14 H16:H18 H20">
    <cfRule type="expression" dxfId="36" priority="1">
      <formula>SUMPRODUCT((G5="否")*(LEN(H5)=0))</formula>
    </cfRule>
  </conditionalFormatting>
  <dataValidations count="1">
    <dataValidation type="list" allowBlank="1" showInputMessage="1" showErrorMessage="1" sqref="G5 G7:G8 G10:G12 G16:G18 G14 G20" xr:uid="{A788A2FD-1928-4E3B-8205-CCF407AD0E1C}">
      <formula1>"是,否"</formula1>
    </dataValidation>
  </dataValidations>
  <hyperlinks>
    <hyperlink ref="F5" location="'Q1.00 Lead'!A1" display="Q1.00 Lead" xr:uid="{F3C1DAD4-0DF4-44F4-B7A7-FD9DE4EDD78F}"/>
    <hyperlink ref="F7:F8" location="'Q1.01 BKD'!A1" display="Q1.01 BKD" xr:uid="{BF59A18B-4DBA-4E00-AA8B-7E372B66D763}"/>
    <hyperlink ref="F10" location="'Q1.02a 函证'!A1" display="Q1.02a 函证" xr:uid="{9A8E0AD3-F7E9-498C-9E54-FA175805606E}"/>
    <hyperlink ref="F11" location="'Q1.02b 抵押担保测试'!A1" display="Q1.02b 抵押担保测试" xr:uid="{D1504867-7F37-48E4-94F9-6291661F1039}"/>
    <hyperlink ref="F12" location="'Q1.02c 函证-替代测试'!A1" display="Q1.02c 函证-替代测试" xr:uid="{1AF26737-203B-4088-80F2-E1D92A3306EB}"/>
    <hyperlink ref="F14" location="'Q1.03 增加（ToD）'!A1" display="Q1.03 增加（ToD）" xr:uid="{31F9DD4C-1145-42E3-9EFA-15C54A512BB3}"/>
    <hyperlink ref="F20" location="'Q1.05 限制性契约'!A1" display="Q1.05 限制性契约" xr:uid="{7E04639C-38EC-4A8F-AB9F-A52238529573}"/>
    <hyperlink ref="F16" location="'Q1.04 SAP'!A1" display="Q1.04 SAP" xr:uid="{570B4092-9E70-4F67-B0DE-EDE686B36A94}"/>
    <hyperlink ref="F17" location="'Q1.04.01 利息费用（ToD）'!A1" display="Q1.04.01 利息费用（ToD）" xr:uid="{74E37640-4936-481D-8EC8-479F1B68A8C4}"/>
    <hyperlink ref="F18" location="'Q1.04.02 利息费用（重新计算）'!A1" display="Q1.04.02 利息费用（重新计算）" xr:uid="{A974087B-9D21-45DE-8544-C84169101484}"/>
    <hyperlink ref="E2" r:id="rId1"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xr:uid="{41B13A2B-2135-4DAB-B158-785507BFF02B}"/>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3D2D-D9B8-4D0E-8F7D-2A99D23BAFB1}">
  <sheetPr codeName="Sheet2">
    <pageSetUpPr fitToPage="1"/>
  </sheetPr>
  <dimension ref="A1:R119"/>
  <sheetViews>
    <sheetView showGridLines="0" zoomScale="70" zoomScaleNormal="70" zoomScalePageLayoutView="70" workbookViewId="0">
      <selection activeCell="G16" sqref="G16"/>
    </sheetView>
  </sheetViews>
  <sheetFormatPr defaultColWidth="9.453125" defaultRowHeight="15" customHeight="1"/>
  <cols>
    <col min="1" max="1" width="2.6328125" style="47" customWidth="1"/>
    <col min="2" max="2" width="21.08984375" style="47" customWidth="1"/>
    <col min="3" max="3" width="20.90625" style="47" customWidth="1"/>
    <col min="4" max="4" width="13.36328125" style="47" customWidth="1"/>
    <col min="5" max="6" width="14.453125" style="47" bestFit="1" customWidth="1"/>
    <col min="7" max="7" width="16.453125" style="47" bestFit="1" customWidth="1"/>
    <col min="8" max="8" width="16.453125" style="47" customWidth="1"/>
    <col min="9" max="12" width="13.36328125" style="47" customWidth="1"/>
    <col min="13" max="14" width="17.08984375" style="47" customWidth="1"/>
    <col min="15" max="15" width="19.453125" style="47" customWidth="1"/>
    <col min="16" max="16" width="2.6328125" style="178" customWidth="1"/>
    <col min="17" max="17" width="1.6328125" style="47" customWidth="1"/>
    <col min="18" max="20" width="9.453125" style="47"/>
    <col min="21" max="21" width="1.6328125" style="47" customWidth="1"/>
    <col min="22" max="16384" width="9.453125" style="47"/>
  </cols>
  <sheetData>
    <row r="1" spans="2:17" ht="50.25" customHeight="1">
      <c r="B1" s="612" t="s">
        <v>364</v>
      </c>
      <c r="C1" s="613"/>
      <c r="D1" s="614"/>
      <c r="E1" s="614"/>
      <c r="F1" s="614"/>
      <c r="G1" s="614"/>
      <c r="H1" s="614"/>
      <c r="I1" s="614"/>
      <c r="J1" s="614"/>
      <c r="K1" s="614"/>
      <c r="L1" s="614"/>
      <c r="M1" s="614"/>
      <c r="N1" s="614"/>
      <c r="O1" s="615"/>
      <c r="Q1" s="179"/>
    </row>
    <row r="2" spans="2:17" ht="29.25" customHeight="1">
      <c r="B2" s="438" t="s">
        <v>42</v>
      </c>
      <c r="C2" s="486"/>
      <c r="D2" s="616" t="s">
        <v>43</v>
      </c>
      <c r="E2" s="617"/>
      <c r="F2" s="617"/>
      <c r="G2" s="617"/>
      <c r="H2" s="617"/>
      <c r="I2" s="617"/>
      <c r="J2" s="617"/>
      <c r="K2" s="617"/>
      <c r="L2" s="617"/>
      <c r="M2" s="617"/>
      <c r="N2" s="617"/>
      <c r="O2" s="618"/>
      <c r="Q2" s="179"/>
    </row>
    <row r="3" spans="2:17" ht="29.25" customHeight="1">
      <c r="B3" s="248" t="s">
        <v>44</v>
      </c>
      <c r="C3" s="487">
        <v>46022</v>
      </c>
      <c r="D3" s="619"/>
      <c r="E3" s="620"/>
      <c r="F3" s="620"/>
      <c r="G3" s="620"/>
      <c r="H3" s="620"/>
      <c r="I3" s="620"/>
      <c r="J3" s="620"/>
      <c r="K3" s="620"/>
      <c r="L3" s="620"/>
      <c r="M3" s="620"/>
      <c r="N3" s="620"/>
      <c r="O3" s="621"/>
      <c r="Q3" s="179"/>
    </row>
    <row r="4" spans="2:17" ht="29.25" customHeight="1">
      <c r="B4" s="248" t="s">
        <v>45</v>
      </c>
      <c r="C4" s="487"/>
      <c r="D4" s="619"/>
      <c r="E4" s="620"/>
      <c r="F4" s="620"/>
      <c r="G4" s="620"/>
      <c r="H4" s="620"/>
      <c r="I4" s="620"/>
      <c r="J4" s="620"/>
      <c r="K4" s="620"/>
      <c r="L4" s="620"/>
      <c r="M4" s="620"/>
      <c r="N4" s="620"/>
      <c r="O4" s="621"/>
      <c r="Q4" s="179"/>
    </row>
    <row r="5" spans="2:17" ht="29.25" customHeight="1">
      <c r="B5" s="248" t="s">
        <v>46</v>
      </c>
      <c r="C5" s="488"/>
      <c r="D5" s="619"/>
      <c r="E5" s="620"/>
      <c r="F5" s="620"/>
      <c r="G5" s="620"/>
      <c r="H5" s="620"/>
      <c r="I5" s="620"/>
      <c r="J5" s="620"/>
      <c r="K5" s="620"/>
      <c r="L5" s="620"/>
      <c r="M5" s="620"/>
      <c r="N5" s="620"/>
      <c r="O5" s="621"/>
      <c r="Q5" s="179"/>
    </row>
    <row r="6" spans="2:17" ht="29.25" customHeight="1">
      <c r="B6" s="507" t="s">
        <v>47</v>
      </c>
      <c r="C6" s="488"/>
      <c r="D6" s="619"/>
      <c r="E6" s="620"/>
      <c r="F6" s="620"/>
      <c r="G6" s="620"/>
      <c r="H6" s="620"/>
      <c r="I6" s="620"/>
      <c r="J6" s="620"/>
      <c r="K6" s="620"/>
      <c r="L6" s="620"/>
      <c r="M6" s="620"/>
      <c r="N6" s="620"/>
      <c r="O6" s="621"/>
      <c r="Q6" s="179"/>
    </row>
    <row r="7" spans="2:17" ht="29.25" customHeight="1">
      <c r="B7" s="248" t="s">
        <v>48</v>
      </c>
      <c r="C7" s="492"/>
      <c r="D7" s="619"/>
      <c r="E7" s="620"/>
      <c r="F7" s="620"/>
      <c r="G7" s="620"/>
      <c r="H7" s="620"/>
      <c r="I7" s="620"/>
      <c r="J7" s="620"/>
      <c r="K7" s="620"/>
      <c r="L7" s="620"/>
      <c r="M7" s="620"/>
      <c r="N7" s="620"/>
      <c r="O7" s="621"/>
      <c r="Q7" s="179"/>
    </row>
    <row r="8" spans="2:17" ht="29.25" customHeight="1">
      <c r="B8" s="248" t="s">
        <v>49</v>
      </c>
      <c r="C8" s="489"/>
      <c r="D8" s="622"/>
      <c r="E8" s="623"/>
      <c r="F8" s="623"/>
      <c r="G8" s="623"/>
      <c r="H8" s="623"/>
      <c r="I8" s="623"/>
      <c r="J8" s="623"/>
      <c r="K8" s="623"/>
      <c r="L8" s="623"/>
      <c r="M8" s="623"/>
      <c r="N8" s="623"/>
      <c r="O8" s="624"/>
      <c r="Q8" s="179"/>
    </row>
    <row r="9" spans="2:17" s="42" customFormat="1" ht="30" customHeight="1">
      <c r="B9" s="48" t="s">
        <v>50</v>
      </c>
      <c r="C9" s="175"/>
      <c r="D9" s="490"/>
      <c r="E9" s="490"/>
      <c r="F9" s="490"/>
      <c r="G9" s="490"/>
      <c r="H9" s="490"/>
      <c r="I9" s="490"/>
      <c r="J9" s="490"/>
      <c r="K9" s="490"/>
      <c r="L9" s="490"/>
      <c r="M9" s="490"/>
      <c r="N9" s="490"/>
      <c r="O9" s="491"/>
      <c r="Q9" s="180"/>
    </row>
    <row r="10" spans="2:17" s="42" customFormat="1" ht="17.149999999999999" customHeight="1">
      <c r="B10" s="181"/>
      <c r="C10" s="182"/>
      <c r="D10" s="182"/>
      <c r="E10" s="182"/>
      <c r="F10" s="182"/>
      <c r="G10" s="182"/>
      <c r="H10" s="182"/>
      <c r="I10" s="182"/>
      <c r="J10" s="182"/>
      <c r="K10" s="182"/>
      <c r="L10" s="182"/>
      <c r="M10" s="182"/>
      <c r="N10" s="182"/>
      <c r="Q10" s="180"/>
    </row>
    <row r="11" spans="2:17" s="42" customFormat="1" ht="17.149999999999999" customHeight="1">
      <c r="B11" s="249" t="s">
        <v>51</v>
      </c>
      <c r="C11" s="182"/>
      <c r="D11" s="182"/>
      <c r="E11" s="182"/>
      <c r="F11" s="182"/>
      <c r="G11" s="182"/>
      <c r="H11" s="182"/>
      <c r="I11" s="182"/>
      <c r="J11" s="182"/>
      <c r="K11" s="182"/>
      <c r="L11" s="182"/>
      <c r="M11" s="182"/>
      <c r="N11" s="182"/>
      <c r="Q11" s="180"/>
    </row>
    <row r="12" spans="2:17" ht="15" customHeight="1">
      <c r="H12" s="182"/>
      <c r="I12" s="182"/>
      <c r="J12" s="182"/>
      <c r="K12" s="182"/>
      <c r="L12" s="182"/>
      <c r="Q12" s="179"/>
    </row>
    <row r="13" spans="2:17" ht="15" customHeight="1">
      <c r="D13" s="647" t="s">
        <v>52</v>
      </c>
      <c r="E13" s="648"/>
      <c r="F13" s="58"/>
      <c r="G13" s="58"/>
      <c r="H13" s="182"/>
      <c r="I13" s="182"/>
      <c r="J13" s="182"/>
      <c r="K13" s="482" t="s">
        <v>53</v>
      </c>
      <c r="L13" s="483"/>
      <c r="M13" s="483"/>
      <c r="N13" s="483"/>
      <c r="O13" s="484"/>
      <c r="Q13" s="179"/>
    </row>
    <row r="14" spans="2:17" ht="15" customHeight="1">
      <c r="B14" s="36" t="s">
        <v>54</v>
      </c>
      <c r="C14" s="36" t="s">
        <v>55</v>
      </c>
      <c r="D14" s="36" t="s">
        <v>56</v>
      </c>
      <c r="E14" s="205" t="s">
        <v>57</v>
      </c>
      <c r="F14" s="58"/>
      <c r="G14" s="58"/>
      <c r="H14" s="182"/>
      <c r="I14" s="182"/>
      <c r="J14" s="182"/>
      <c r="K14" s="221" t="s">
        <v>58</v>
      </c>
      <c r="L14" s="183" t="s">
        <v>59</v>
      </c>
      <c r="M14" s="222"/>
      <c r="N14" s="222"/>
      <c r="O14" s="223"/>
      <c r="Q14" s="179"/>
    </row>
    <row r="15" spans="2:17" ht="15" customHeight="1">
      <c r="B15" s="589" t="s">
        <v>60</v>
      </c>
      <c r="C15" s="506"/>
      <c r="D15" s="1">
        <f>IF(C15="Minimal",$C$5*50%,IF(C15="Low",$C$5*25%,IF(C15="Moderate",$C$5*15%,IF(C15="High",$C$5*10%,IF(C15="N/A","-",)))))</f>
        <v>0</v>
      </c>
      <c r="E15" s="185">
        <f>MIN($D$15:$D$19)</f>
        <v>0</v>
      </c>
      <c r="F15" s="58"/>
      <c r="G15" s="58"/>
      <c r="H15" s="182"/>
      <c r="I15" s="182"/>
      <c r="J15" s="182"/>
      <c r="K15" s="224" t="s">
        <v>61</v>
      </c>
      <c r="L15" s="183" t="s">
        <v>62</v>
      </c>
      <c r="M15" s="188"/>
      <c r="N15" s="184"/>
      <c r="O15" s="225"/>
      <c r="Q15" s="179"/>
    </row>
    <row r="16" spans="2:17" ht="15" customHeight="1">
      <c r="B16" s="589" t="s">
        <v>63</v>
      </c>
      <c r="C16" s="506"/>
      <c r="D16" s="1">
        <f>IF(C16="Minimal",$C$5*100%,IF(C16="Low",$C$5*75%,IF(C16="Moderate",$C$5*50%,IF(C16="High",$C$5*25%,IF(C16="N/A","-",)))))</f>
        <v>0</v>
      </c>
      <c r="E16" s="186"/>
      <c r="F16" s="66"/>
      <c r="G16" s="58"/>
      <c r="H16" s="182"/>
      <c r="I16" s="182"/>
      <c r="J16" s="182"/>
      <c r="K16" s="221" t="s">
        <v>64</v>
      </c>
      <c r="L16" s="226" t="s">
        <v>65</v>
      </c>
      <c r="M16" s="227"/>
      <c r="N16" s="184"/>
      <c r="O16" s="225"/>
      <c r="Q16" s="179"/>
    </row>
    <row r="17" spans="1:17" ht="15" customHeight="1">
      <c r="B17" s="590" t="s">
        <v>66</v>
      </c>
      <c r="C17" s="506"/>
      <c r="D17" s="1">
        <f t="shared" ref="D17:D19" si="0">IF(C17="Minimal",$C$5*100%,IF(C17="Low",$C$5*75%,IF(C17="Moderate",$C$5*50%,IF(C17="High",$C$5*25%,IF(C17="N/A","-",)))))</f>
        <v>0</v>
      </c>
      <c r="E17" s="186"/>
      <c r="F17" s="66"/>
      <c r="G17" s="58"/>
      <c r="H17" s="182"/>
      <c r="I17" s="182"/>
      <c r="J17" s="182"/>
      <c r="K17" s="221" t="s">
        <v>67</v>
      </c>
      <c r="L17" s="226" t="s">
        <v>68</v>
      </c>
      <c r="M17" s="190"/>
      <c r="N17" s="184"/>
      <c r="O17" s="225"/>
      <c r="Q17" s="179"/>
    </row>
    <row r="18" spans="1:17" ht="15" customHeight="1">
      <c r="B18" s="589" t="s">
        <v>69</v>
      </c>
      <c r="C18" s="506"/>
      <c r="D18" s="1">
        <f t="shared" si="0"/>
        <v>0</v>
      </c>
      <c r="E18" s="186"/>
      <c r="F18" s="66"/>
      <c r="G18" s="58"/>
      <c r="H18" s="182"/>
      <c r="I18" s="182"/>
      <c r="J18" s="182"/>
      <c r="K18" s="228" t="s">
        <v>70</v>
      </c>
      <c r="L18" s="183" t="s">
        <v>71</v>
      </c>
      <c r="M18" s="152"/>
      <c r="N18" s="86"/>
      <c r="O18" s="229"/>
      <c r="Q18" s="179"/>
    </row>
    <row r="19" spans="1:17" ht="15" customHeight="1">
      <c r="B19" s="591" t="s">
        <v>72</v>
      </c>
      <c r="C19" s="506"/>
      <c r="D19" s="1">
        <f t="shared" si="0"/>
        <v>0</v>
      </c>
      <c r="E19" s="187"/>
      <c r="F19" s="66"/>
      <c r="G19" s="58"/>
      <c r="H19" s="182"/>
      <c r="I19" s="182"/>
      <c r="J19" s="182"/>
      <c r="K19" s="230" t="s">
        <v>73</v>
      </c>
      <c r="L19" s="183" t="s">
        <v>74</v>
      </c>
      <c r="M19" s="184"/>
      <c r="N19" s="184"/>
      <c r="O19" s="225"/>
      <c r="Q19" s="179"/>
    </row>
    <row r="20" spans="1:17" ht="17.149999999999999" customHeight="1">
      <c r="B20" s="634" t="s">
        <v>75</v>
      </c>
      <c r="C20" s="634"/>
      <c r="D20" s="634"/>
      <c r="E20" s="634"/>
      <c r="F20" s="66"/>
      <c r="G20" s="182"/>
      <c r="H20" s="182"/>
      <c r="I20" s="182"/>
      <c r="J20" s="182"/>
      <c r="K20" s="221" t="s">
        <v>76</v>
      </c>
      <c r="L20" s="183" t="s">
        <v>77</v>
      </c>
      <c r="M20" s="184"/>
      <c r="N20" s="184"/>
      <c r="O20" s="225"/>
      <c r="Q20" s="179"/>
    </row>
    <row r="21" spans="1:17" ht="17.149999999999999" customHeight="1">
      <c r="B21" s="579" t="s">
        <v>78</v>
      </c>
      <c r="C21" s="577"/>
      <c r="D21" s="577"/>
      <c r="E21" s="577"/>
      <c r="F21" s="66"/>
      <c r="G21" s="58"/>
      <c r="H21" s="182"/>
      <c r="I21" s="182"/>
      <c r="J21" s="182"/>
      <c r="K21" s="230" t="s">
        <v>79</v>
      </c>
      <c r="L21" s="183" t="s">
        <v>80</v>
      </c>
      <c r="M21" s="184"/>
      <c r="N21" s="184"/>
      <c r="O21" s="225"/>
      <c r="Q21" s="179"/>
    </row>
    <row r="22" spans="1:17" ht="17.149999999999999" customHeight="1">
      <c r="B22" s="579" t="s">
        <v>81</v>
      </c>
      <c r="C22" s="577"/>
      <c r="D22" s="577"/>
      <c r="E22" s="577"/>
      <c r="F22" s="189"/>
      <c r="G22" s="58"/>
      <c r="H22" s="182"/>
      <c r="I22" s="182"/>
      <c r="J22" s="182"/>
      <c r="K22" s="231" t="s">
        <v>82</v>
      </c>
      <c r="L22" s="232" t="s">
        <v>83</v>
      </c>
      <c r="M22" s="184"/>
      <c r="N22" s="184"/>
      <c r="O22" s="225"/>
      <c r="Q22" s="179"/>
    </row>
    <row r="23" spans="1:17" ht="44.15" customHeight="1">
      <c r="B23" s="634" t="s">
        <v>84</v>
      </c>
      <c r="C23" s="634"/>
      <c r="D23" s="634"/>
      <c r="E23" s="634"/>
      <c r="F23" s="191"/>
      <c r="G23" s="191"/>
      <c r="H23" s="182"/>
      <c r="I23" s="182"/>
      <c r="J23" s="182"/>
      <c r="K23" s="182"/>
      <c r="L23" s="182"/>
      <c r="Q23" s="179"/>
    </row>
    <row r="24" spans="1:17" ht="15.5">
      <c r="B24" s="191"/>
      <c r="C24" s="191"/>
      <c r="D24" s="191"/>
      <c r="E24" s="191"/>
      <c r="F24" s="191"/>
      <c r="G24" s="191"/>
      <c r="H24" s="182"/>
      <c r="I24" s="182"/>
      <c r="J24" s="182"/>
      <c r="K24" s="182"/>
      <c r="L24" s="182"/>
      <c r="Q24" s="179"/>
    </row>
    <row r="25" spans="1:17" ht="17.5">
      <c r="B25" s="19" t="s">
        <v>85</v>
      </c>
      <c r="C25" s="20"/>
      <c r="D25" s="20"/>
      <c r="E25" s="20"/>
      <c r="F25" s="20"/>
      <c r="G25" s="191"/>
      <c r="H25" s="182"/>
      <c r="I25" s="182"/>
      <c r="J25" s="182"/>
      <c r="K25" s="182"/>
      <c r="L25" s="182"/>
      <c r="M25" s="58"/>
      <c r="N25" s="58"/>
      <c r="Q25" s="179"/>
    </row>
    <row r="26" spans="1:17" ht="14">
      <c r="B26" s="636"/>
      <c r="C26" s="637"/>
      <c r="D26" s="637"/>
      <c r="E26" s="637"/>
      <c r="F26" s="638"/>
      <c r="G26" s="191"/>
      <c r="H26" s="191"/>
      <c r="I26" s="191"/>
      <c r="J26" s="192"/>
      <c r="L26" s="58"/>
      <c r="M26" s="58"/>
      <c r="N26" s="58"/>
      <c r="Q26" s="179"/>
    </row>
    <row r="27" spans="1:17" ht="14">
      <c r="B27" s="639"/>
      <c r="C27" s="640"/>
      <c r="D27" s="640"/>
      <c r="E27" s="640"/>
      <c r="F27" s="641"/>
      <c r="G27" s="191"/>
      <c r="H27" s="191"/>
      <c r="I27" s="191"/>
      <c r="J27" s="192"/>
      <c r="L27" s="58"/>
      <c r="M27" s="58"/>
      <c r="N27" s="58"/>
      <c r="Q27" s="179"/>
    </row>
    <row r="28" spans="1:17" ht="14">
      <c r="B28" s="642"/>
      <c r="C28" s="643"/>
      <c r="D28" s="643"/>
      <c r="E28" s="643"/>
      <c r="F28" s="644"/>
      <c r="G28" s="191"/>
      <c r="H28" s="191"/>
      <c r="I28" s="191"/>
      <c r="J28" s="193"/>
      <c r="L28" s="58"/>
      <c r="M28" s="58"/>
      <c r="N28" s="58"/>
      <c r="Q28" s="179"/>
    </row>
    <row r="29" spans="1:17" ht="15" customHeight="1">
      <c r="A29" s="173"/>
      <c r="B29" s="161"/>
      <c r="C29" s="194"/>
      <c r="D29" s="194"/>
      <c r="E29" s="194"/>
      <c r="F29" s="194"/>
      <c r="G29" s="194"/>
      <c r="H29" s="194"/>
      <c r="I29" s="194"/>
      <c r="J29" s="194"/>
      <c r="K29" s="195"/>
      <c r="L29" s="196"/>
      <c r="O29" s="173"/>
      <c r="Q29" s="179"/>
    </row>
    <row r="30" spans="1:17" ht="15" customHeight="1">
      <c r="A30" s="173"/>
      <c r="B30" s="197" t="s">
        <v>86</v>
      </c>
      <c r="C30" s="198"/>
      <c r="D30" s="199"/>
      <c r="E30" s="194"/>
      <c r="F30" s="194"/>
      <c r="G30" s="194"/>
      <c r="H30" s="194"/>
      <c r="I30" s="194"/>
      <c r="J30" s="194"/>
      <c r="K30" s="195"/>
      <c r="L30" s="196"/>
      <c r="O30" s="173"/>
      <c r="Q30" s="179"/>
    </row>
    <row r="31" spans="1:17" ht="13">
      <c r="B31" s="243" t="str">
        <f>"波动幅度 ("&amp;C8&amp; "):"</f>
        <v>波动幅度 ():</v>
      </c>
      <c r="C31" s="200">
        <f>$E$15</f>
        <v>0</v>
      </c>
      <c r="D31" s="199"/>
      <c r="E31" s="201"/>
      <c r="F31" s="201"/>
      <c r="G31" s="201"/>
      <c r="H31" s="201"/>
      <c r="I31" s="201"/>
      <c r="J31" s="201"/>
      <c r="K31" s="201"/>
      <c r="L31" s="201"/>
      <c r="M31" s="201"/>
      <c r="N31" s="201"/>
      <c r="Q31" s="179"/>
    </row>
    <row r="32" spans="1:17" ht="15" customHeight="1">
      <c r="B32" s="493" t="s">
        <v>87</v>
      </c>
      <c r="C32" s="202">
        <v>0.1</v>
      </c>
      <c r="D32" s="203"/>
      <c r="Q32" s="179"/>
    </row>
    <row r="33" spans="2:18" ht="15" customHeight="1">
      <c r="B33" s="203"/>
      <c r="C33" s="203"/>
      <c r="Q33" s="179"/>
    </row>
    <row r="34" spans="2:18" ht="15" customHeight="1">
      <c r="B34" s="42"/>
      <c r="C34" s="42"/>
      <c r="D34" s="42"/>
      <c r="E34" s="42"/>
      <c r="F34" s="61"/>
      <c r="G34" s="135"/>
      <c r="H34" s="135"/>
      <c r="I34" s="135"/>
      <c r="J34" s="135"/>
      <c r="K34" s="204"/>
      <c r="L34" s="42"/>
      <c r="M34" s="42"/>
      <c r="O34" s="42"/>
      <c r="P34" s="47"/>
      <c r="Q34" s="179"/>
      <c r="R34" s="178"/>
    </row>
    <row r="35" spans="2:18" ht="15" customHeight="1">
      <c r="F35" s="61"/>
      <c r="G35" s="135"/>
      <c r="H35" s="135"/>
      <c r="I35" s="135"/>
      <c r="J35" s="135"/>
      <c r="K35" s="204"/>
      <c r="L35" s="177"/>
      <c r="M35" s="177"/>
      <c r="O35" s="42"/>
      <c r="P35" s="47"/>
      <c r="Q35" s="179"/>
      <c r="R35" s="178"/>
    </row>
    <row r="36" spans="2:18" s="58" customFormat="1" ht="15" customHeight="1">
      <c r="E36" s="61" t="s">
        <v>88</v>
      </c>
      <c r="F36" s="135"/>
      <c r="G36" s="135"/>
      <c r="H36" s="135"/>
      <c r="I36" s="135"/>
      <c r="J36" s="204" t="s">
        <v>89</v>
      </c>
      <c r="P36" s="178"/>
      <c r="Q36" s="179"/>
    </row>
    <row r="37" spans="2:18" ht="13">
      <c r="B37" s="610" t="s">
        <v>90</v>
      </c>
      <c r="C37" s="610" t="s">
        <v>91</v>
      </c>
      <c r="D37" s="635" t="s">
        <v>92</v>
      </c>
      <c r="E37" s="645">
        <f>C3</f>
        <v>46022</v>
      </c>
      <c r="F37" s="645"/>
      <c r="G37" s="645"/>
      <c r="H37" s="645"/>
      <c r="I37" s="645"/>
      <c r="J37" s="564">
        <f>DATE(YEAR($E$37)-1,12,31)</f>
        <v>45657</v>
      </c>
      <c r="K37" s="647" t="s">
        <v>93</v>
      </c>
      <c r="L37" s="648"/>
      <c r="M37" s="646" t="s">
        <v>94</v>
      </c>
      <c r="N37" s="635" t="s">
        <v>95</v>
      </c>
      <c r="O37" s="635" t="s">
        <v>96</v>
      </c>
      <c r="Q37" s="179"/>
    </row>
    <row r="38" spans="2:18" ht="27" customHeight="1">
      <c r="B38" s="611"/>
      <c r="C38" s="611"/>
      <c r="D38" s="635"/>
      <c r="E38" s="494" t="s">
        <v>97</v>
      </c>
      <c r="F38" s="580" t="s">
        <v>98</v>
      </c>
      <c r="G38" s="580" t="s">
        <v>99</v>
      </c>
      <c r="H38" s="580" t="s">
        <v>100</v>
      </c>
      <c r="I38" s="494" t="s">
        <v>101</v>
      </c>
      <c r="J38" s="494" t="s">
        <v>102</v>
      </c>
      <c r="K38" s="36" t="s">
        <v>103</v>
      </c>
      <c r="L38" s="36" t="s">
        <v>104</v>
      </c>
      <c r="M38" s="646"/>
      <c r="N38" s="635"/>
      <c r="O38" s="635"/>
      <c r="Q38" s="179"/>
    </row>
    <row r="39" spans="2:18" s="172" customFormat="1" ht="15" customHeight="1">
      <c r="B39" s="508"/>
      <c r="C39" s="441" t="s">
        <v>105</v>
      </c>
      <c r="D39" s="135" t="s">
        <v>106</v>
      </c>
      <c r="E39" s="510"/>
      <c r="F39" s="511"/>
      <c r="G39" s="511">
        <f>E39+F39</f>
        <v>0</v>
      </c>
      <c r="H39" s="511"/>
      <c r="I39" s="511">
        <f>G39+H39</f>
        <v>0</v>
      </c>
      <c r="J39" s="510"/>
      <c r="K39" s="234">
        <f>E39-J39</f>
        <v>0</v>
      </c>
      <c r="L39" s="440">
        <f>IF(J39&lt;&gt;0,K39/J39,1)</f>
        <v>1</v>
      </c>
      <c r="M39" s="235" t="s">
        <v>107</v>
      </c>
      <c r="N39" s="450" t="str">
        <f>IF(AND(ABS(K39)&gt;=$C$31,ABS(L39)&gt;=$C$32),"是","否")</f>
        <v>是</v>
      </c>
      <c r="O39" s="450"/>
      <c r="Q39" s="206"/>
    </row>
    <row r="40" spans="2:18" s="172" customFormat="1" ht="15" customHeight="1">
      <c r="B40" s="508"/>
      <c r="C40" s="441" t="s">
        <v>108</v>
      </c>
      <c r="D40" s="233"/>
      <c r="E40" s="510"/>
      <c r="F40" s="511"/>
      <c r="G40" s="511">
        <f>E40+F40</f>
        <v>0</v>
      </c>
      <c r="H40" s="511"/>
      <c r="I40" s="511">
        <f>G40+H40</f>
        <v>0</v>
      </c>
      <c r="J40" s="510"/>
      <c r="K40" s="234">
        <f>E40-J40</f>
        <v>0</v>
      </c>
      <c r="L40" s="440">
        <f>IF(J40&lt;&gt;0,K40/J40,1)</f>
        <v>1</v>
      </c>
      <c r="M40" s="236"/>
      <c r="N40" s="450" t="str">
        <f t="shared" ref="N40:N42" si="1">IF(AND(ABS(K40)&gt;=$C$31,ABS(L40)&gt;=$C$32),"是","否")</f>
        <v>是</v>
      </c>
      <c r="O40" s="450"/>
      <c r="Q40" s="206"/>
    </row>
    <row r="41" spans="2:18" s="172" customFormat="1" ht="15" customHeight="1">
      <c r="B41" s="508"/>
      <c r="C41" s="441" t="s">
        <v>109</v>
      </c>
      <c r="D41" s="233"/>
      <c r="E41" s="510"/>
      <c r="F41" s="511"/>
      <c r="G41" s="511">
        <f t="shared" ref="G41:G42" si="2">E41+F41</f>
        <v>0</v>
      </c>
      <c r="H41" s="511"/>
      <c r="I41" s="511">
        <f t="shared" ref="I41:I42" si="3">G41+H41</f>
        <v>0</v>
      </c>
      <c r="J41" s="510"/>
      <c r="K41" s="234">
        <f>E41-J41</f>
        <v>0</v>
      </c>
      <c r="L41" s="440">
        <f>IF(J41&lt;&gt;0,K41/J41,1)</f>
        <v>1</v>
      </c>
      <c r="M41" s="11"/>
      <c r="N41" s="450" t="str">
        <f t="shared" si="1"/>
        <v>是</v>
      </c>
      <c r="O41" s="450"/>
      <c r="Q41" s="206"/>
    </row>
    <row r="42" spans="2:18" s="172" customFormat="1" ht="15" customHeight="1">
      <c r="B42" s="508"/>
      <c r="C42" s="441" t="s">
        <v>110</v>
      </c>
      <c r="D42" s="233"/>
      <c r="E42" s="510"/>
      <c r="F42" s="511"/>
      <c r="G42" s="511">
        <f t="shared" si="2"/>
        <v>0</v>
      </c>
      <c r="H42" s="511"/>
      <c r="I42" s="511">
        <f t="shared" si="3"/>
        <v>0</v>
      </c>
      <c r="J42" s="510"/>
      <c r="K42" s="234">
        <f>E42-J42</f>
        <v>0</v>
      </c>
      <c r="L42" s="440">
        <f>IF(J42&lt;&gt;0,K42/J42,1)</f>
        <v>1</v>
      </c>
      <c r="M42" s="236"/>
      <c r="N42" s="450" t="str">
        <f t="shared" si="1"/>
        <v>是</v>
      </c>
      <c r="O42" s="450"/>
      <c r="Q42" s="206"/>
    </row>
    <row r="43" spans="2:18" ht="15" customHeight="1">
      <c r="J43" s="152"/>
      <c r="K43" s="39"/>
      <c r="L43" s="207"/>
      <c r="M43" s="208"/>
      <c r="N43" s="209"/>
      <c r="O43" s="209"/>
      <c r="Q43" s="179"/>
    </row>
    <row r="44" spans="2:18" ht="15" customHeight="1">
      <c r="D44" s="73" t="s">
        <v>111</v>
      </c>
      <c r="E44" s="512">
        <f>SUM(E39:E43)</f>
        <v>0</v>
      </c>
      <c r="F44" s="512">
        <f>SUM(F39:F43)</f>
        <v>0</v>
      </c>
      <c r="G44" s="512">
        <f t="shared" ref="G44:J44" si="4">SUM(G39:G43)</f>
        <v>0</v>
      </c>
      <c r="H44" s="512">
        <f t="shared" si="4"/>
        <v>0</v>
      </c>
      <c r="I44" s="512">
        <f t="shared" si="4"/>
        <v>0</v>
      </c>
      <c r="J44" s="513">
        <f t="shared" si="4"/>
        <v>0</v>
      </c>
      <c r="K44" s="514">
        <f>E44-J44</f>
        <v>0</v>
      </c>
      <c r="L44" s="509">
        <f>IF(J44&lt;&gt;0,K44/J44,1)</f>
        <v>1</v>
      </c>
      <c r="M44" s="236"/>
      <c r="N44" s="450" t="str">
        <f>IF(AND(ABS(K44)&gt;=$C$31,ABS(L44)&gt;=$C$32),"是","否")</f>
        <v>是</v>
      </c>
      <c r="O44" s="450"/>
      <c r="Q44" s="179"/>
    </row>
    <row r="45" spans="2:18" s="172" customFormat="1" ht="13">
      <c r="B45" s="210"/>
      <c r="C45" s="210"/>
      <c r="D45" s="210"/>
      <c r="E45" s="5" t="s">
        <v>76</v>
      </c>
      <c r="F45" s="5" t="s">
        <v>76</v>
      </c>
      <c r="G45" s="5" t="s">
        <v>76</v>
      </c>
      <c r="H45" s="5" t="s">
        <v>76</v>
      </c>
      <c r="I45" s="5" t="s">
        <v>76</v>
      </c>
      <c r="J45" s="5" t="s">
        <v>76</v>
      </c>
      <c r="K45" s="211"/>
      <c r="L45" s="211"/>
      <c r="M45" s="212"/>
      <c r="N45" s="212"/>
      <c r="O45" s="212"/>
      <c r="Q45" s="206"/>
    </row>
    <row r="46" spans="2:18" ht="15" customHeight="1">
      <c r="B46" s="21"/>
      <c r="C46" s="21"/>
      <c r="D46" s="21"/>
      <c r="E46" s="21"/>
      <c r="F46" s="21"/>
      <c r="K46" s="214"/>
      <c r="L46" s="215"/>
      <c r="M46" s="215"/>
      <c r="N46" s="215"/>
      <c r="O46" s="215"/>
      <c r="Q46" s="179"/>
    </row>
    <row r="47" spans="2:18" ht="15" customHeight="1">
      <c r="B47" s="140" t="s">
        <v>112</v>
      </c>
      <c r="C47" s="21"/>
      <c r="D47" s="21"/>
      <c r="E47" s="22"/>
      <c r="J47" s="214"/>
      <c r="K47" s="215"/>
      <c r="L47" s="215"/>
      <c r="M47" s="215"/>
      <c r="N47" s="215"/>
      <c r="O47" s="215"/>
      <c r="P47" s="47"/>
      <c r="Q47" s="179"/>
    </row>
    <row r="48" spans="2:18" ht="15" customHeight="1">
      <c r="B48" s="625" t="s">
        <v>113</v>
      </c>
      <c r="C48" s="626"/>
      <c r="D48" s="626"/>
      <c r="E48" s="626"/>
      <c r="F48" s="627"/>
      <c r="K48" s="214"/>
      <c r="L48" s="215"/>
      <c r="M48" s="215"/>
      <c r="N48" s="215"/>
      <c r="O48" s="215"/>
      <c r="P48" s="47"/>
      <c r="Q48" s="179"/>
    </row>
    <row r="49" spans="1:17" ht="15" customHeight="1">
      <c r="B49" s="628"/>
      <c r="C49" s="629"/>
      <c r="D49" s="629"/>
      <c r="E49" s="629"/>
      <c r="F49" s="630"/>
      <c r="K49" s="214"/>
      <c r="L49" s="215"/>
      <c r="M49" s="215"/>
      <c r="N49" s="215"/>
      <c r="O49" s="215"/>
      <c r="P49" s="47"/>
      <c r="Q49" s="179"/>
    </row>
    <row r="50" spans="1:17" ht="15" customHeight="1">
      <c r="B50" s="631"/>
      <c r="C50" s="632"/>
      <c r="D50" s="632"/>
      <c r="E50" s="632"/>
      <c r="F50" s="633"/>
      <c r="K50" s="214"/>
      <c r="L50" s="215"/>
      <c r="M50" s="215"/>
      <c r="N50" s="215"/>
      <c r="O50" s="215"/>
      <c r="P50" s="47"/>
      <c r="Q50" s="179"/>
    </row>
    <row r="51" spans="1:17" ht="15" customHeight="1">
      <c r="B51" s="216"/>
      <c r="K51" s="214"/>
      <c r="L51" s="215"/>
      <c r="M51" s="215"/>
      <c r="N51" s="215"/>
      <c r="O51" s="215"/>
      <c r="P51" s="47"/>
      <c r="Q51" s="179"/>
    </row>
    <row r="52" spans="1:17" ht="15" customHeight="1">
      <c r="B52" s="100" t="s">
        <v>114</v>
      </c>
      <c r="C52" s="237"/>
      <c r="D52" s="238"/>
      <c r="E52" s="238"/>
      <c r="F52" s="239"/>
      <c r="K52" s="214"/>
      <c r="L52" s="215"/>
      <c r="M52" s="215"/>
      <c r="N52" s="215"/>
      <c r="O52" s="215"/>
      <c r="P52" s="47"/>
      <c r="Q52" s="179"/>
    </row>
    <row r="53" spans="1:17" ht="15" customHeight="1">
      <c r="B53" s="240" t="s">
        <v>115</v>
      </c>
      <c r="C53" s="241"/>
      <c r="D53" s="241"/>
      <c r="E53" s="242"/>
      <c r="F53" s="242"/>
      <c r="K53" s="214"/>
      <c r="L53" s="215"/>
      <c r="M53" s="215"/>
      <c r="N53" s="215"/>
      <c r="O53" s="215"/>
      <c r="P53" s="47"/>
      <c r="Q53" s="179"/>
    </row>
    <row r="54" spans="1:17" ht="15" customHeight="1">
      <c r="B54" s="442"/>
      <c r="C54" s="443"/>
      <c r="D54" s="443"/>
      <c r="E54" s="227"/>
      <c r="F54" s="444"/>
      <c r="K54" s="214"/>
      <c r="L54" s="215"/>
      <c r="M54" s="215"/>
      <c r="N54" s="215"/>
      <c r="O54" s="215"/>
      <c r="P54" s="47"/>
      <c r="Q54" s="179"/>
    </row>
    <row r="55" spans="1:17" ht="15" customHeight="1">
      <c r="B55" s="445"/>
      <c r="C55" s="238"/>
      <c r="D55" s="238"/>
      <c r="E55" s="21"/>
      <c r="F55" s="446"/>
      <c r="K55" s="214"/>
      <c r="L55" s="215"/>
      <c r="M55" s="215"/>
      <c r="N55" s="215"/>
      <c r="O55" s="215"/>
      <c r="P55" s="47"/>
      <c r="Q55" s="179"/>
    </row>
    <row r="56" spans="1:17" ht="15" customHeight="1">
      <c r="B56" s="445"/>
      <c r="C56" s="238"/>
      <c r="D56" s="238"/>
      <c r="E56" s="21"/>
      <c r="F56" s="446"/>
      <c r="K56" s="214"/>
      <c r="L56" s="215"/>
      <c r="M56" s="215"/>
      <c r="N56" s="215"/>
      <c r="O56" s="215"/>
      <c r="P56" s="47"/>
      <c r="Q56" s="179"/>
    </row>
    <row r="57" spans="1:17" s="172" customFormat="1" ht="15" customHeight="1">
      <c r="B57" s="447"/>
      <c r="C57" s="448"/>
      <c r="D57" s="448"/>
      <c r="E57" s="448"/>
      <c r="F57" s="449"/>
      <c r="L57" s="217"/>
      <c r="M57" s="213"/>
      <c r="N57" s="213"/>
      <c r="O57" s="213"/>
      <c r="Q57" s="206"/>
    </row>
    <row r="58" spans="1:17" s="172" customFormat="1" ht="15" customHeight="1">
      <c r="L58" s="217"/>
      <c r="M58" s="213"/>
      <c r="N58" s="213"/>
      <c r="O58" s="213"/>
      <c r="Q58" s="206"/>
    </row>
    <row r="59" spans="1:17" ht="7.5" customHeight="1">
      <c r="A59" s="179"/>
      <c r="B59" s="179"/>
      <c r="C59" s="179"/>
      <c r="D59" s="179"/>
      <c r="E59" s="179"/>
      <c r="F59" s="179"/>
      <c r="G59" s="179"/>
      <c r="H59" s="179"/>
      <c r="I59" s="179"/>
      <c r="J59" s="179"/>
      <c r="K59" s="179"/>
      <c r="L59" s="218"/>
      <c r="M59" s="219"/>
      <c r="N59" s="219"/>
      <c r="O59" s="219"/>
      <c r="P59" s="219"/>
      <c r="Q59" s="179"/>
    </row>
    <row r="60" spans="1:17" ht="15" customHeight="1">
      <c r="L60" s="214"/>
      <c r="M60" s="215"/>
      <c r="N60" s="215"/>
      <c r="O60" s="215"/>
      <c r="P60" s="47"/>
    </row>
    <row r="61" spans="1:17" s="58" customFormat="1" ht="15" customHeight="1"/>
    <row r="62" spans="1:17" s="58" customFormat="1" ht="15" customHeight="1"/>
    <row r="63" spans="1:17" s="58" customFormat="1" ht="15" customHeight="1"/>
    <row r="64" spans="1:17" s="58" customFormat="1" ht="15" customHeight="1"/>
    <row r="65" s="58" customFormat="1" ht="29.25" customHeight="1"/>
    <row r="66" s="58" customFormat="1" ht="15" customHeight="1"/>
    <row r="67" s="58" customFormat="1" ht="15" customHeight="1"/>
    <row r="68" s="58" customFormat="1" ht="15" customHeight="1"/>
    <row r="69" s="58" customFormat="1" ht="15" customHeight="1"/>
    <row r="70" s="58" customFormat="1" ht="29.25" customHeight="1"/>
    <row r="71" s="58" customFormat="1" ht="15" customHeight="1"/>
    <row r="72" s="58" customFormat="1" ht="29.25" customHeight="1"/>
    <row r="73" s="58" customFormat="1" ht="29.25" customHeight="1"/>
    <row r="74" s="58" customFormat="1" ht="15" customHeight="1"/>
    <row r="75" s="58" customFormat="1" ht="15" customHeight="1"/>
    <row r="76" s="58" customFormat="1" ht="15" customHeight="1"/>
    <row r="77" s="58" customFormat="1" ht="15" customHeight="1"/>
    <row r="78" s="58" customFormat="1" ht="15" customHeight="1"/>
    <row r="79" s="58" customFormat="1" ht="15" customHeight="1"/>
    <row r="80" s="58" customFormat="1" ht="15" customHeight="1"/>
    <row r="81" s="58" customFormat="1" ht="15" customHeight="1"/>
    <row r="82" s="58" customFormat="1" ht="15" customHeight="1"/>
    <row r="83" s="58" customFormat="1" ht="15" customHeight="1"/>
    <row r="84" s="58" customFormat="1" ht="15" customHeight="1"/>
    <row r="85" s="58" customFormat="1" ht="15" customHeight="1"/>
    <row r="86" s="58" customFormat="1" ht="15" customHeight="1"/>
    <row r="87" s="58" customFormat="1" ht="15" customHeight="1"/>
    <row r="88" s="58" customFormat="1" ht="15" customHeight="1"/>
    <row r="89" s="58" customFormat="1" ht="15" customHeight="1"/>
    <row r="90" s="58" customFormat="1" ht="15" customHeight="1"/>
    <row r="91" s="58" customFormat="1" ht="15" customHeight="1"/>
    <row r="92" s="58" customFormat="1" ht="15" customHeight="1"/>
    <row r="93" s="58" customFormat="1" ht="15" customHeight="1"/>
    <row r="94" s="58" customFormat="1" ht="15" customHeight="1"/>
    <row r="95" s="58" customFormat="1" ht="15" customHeight="1"/>
    <row r="96" s="58" customFormat="1" ht="15" customHeight="1"/>
    <row r="97" s="58" customFormat="1" ht="15" customHeight="1"/>
    <row r="98" s="58" customFormat="1" ht="15" customHeight="1"/>
    <row r="99" s="58" customFormat="1" ht="15" customHeight="1"/>
    <row r="100" s="58" customFormat="1" ht="15" customHeight="1"/>
    <row r="101" s="58" customFormat="1" ht="15" customHeight="1"/>
    <row r="102" s="58" customFormat="1" ht="15" customHeight="1"/>
    <row r="103" s="58" customFormat="1" ht="15" customHeight="1"/>
    <row r="104" s="58" customFormat="1" ht="15" customHeight="1"/>
    <row r="105" s="58" customFormat="1" ht="15" customHeight="1"/>
    <row r="106" s="58" customFormat="1" ht="15" customHeight="1"/>
    <row r="107" s="58" customFormat="1" ht="15" customHeight="1"/>
    <row r="108" s="58" customFormat="1" ht="15" customHeight="1"/>
    <row r="109" s="58" customFormat="1" ht="15" customHeight="1"/>
    <row r="110" s="58" customFormat="1" ht="15" customHeight="1"/>
    <row r="111" s="58" customFormat="1" ht="15" customHeight="1"/>
    <row r="112" s="58" customFormat="1" ht="15" customHeight="1"/>
    <row r="113" s="58" customFormat="1" ht="15" customHeight="1"/>
    <row r="114" s="58" customFormat="1" ht="15" customHeight="1"/>
    <row r="115" s="58" customFormat="1" ht="15" customHeight="1"/>
    <row r="116" s="58" customFormat="1" ht="15" customHeight="1"/>
    <row r="117" s="58" customFormat="1" ht="15" customHeight="1"/>
    <row r="118" s="58" customFormat="1" ht="15" customHeight="1"/>
    <row r="119" s="58" customFormat="1" ht="15" customHeight="1"/>
  </sheetData>
  <sheetProtection formatCells="0" formatColumns="0" formatRows="0" insertColumns="0" insertRows="0" insertHyperlinks="0" deleteColumns="0" deleteRows="0" sort="0" autoFilter="0" pivotTables="0"/>
  <mergeCells count="15">
    <mergeCell ref="B37:B38"/>
    <mergeCell ref="B1:O1"/>
    <mergeCell ref="D2:O8"/>
    <mergeCell ref="C37:C38"/>
    <mergeCell ref="B48:F50"/>
    <mergeCell ref="B23:E23"/>
    <mergeCell ref="O37:O38"/>
    <mergeCell ref="D37:D38"/>
    <mergeCell ref="B26:F28"/>
    <mergeCell ref="E37:I37"/>
    <mergeCell ref="M37:M38"/>
    <mergeCell ref="N37:N38"/>
    <mergeCell ref="D13:E13"/>
    <mergeCell ref="K37:L37"/>
    <mergeCell ref="B20:E20"/>
  </mergeCells>
  <phoneticPr fontId="18"/>
  <conditionalFormatting sqref="B26">
    <cfRule type="containsBlanks" dxfId="35" priority="11">
      <formula>LEN(TRIM(B26))=0</formula>
    </cfRule>
  </conditionalFormatting>
  <conditionalFormatting sqref="B39:C42 B48:B49">
    <cfRule type="containsBlanks" dxfId="34" priority="10">
      <formula>LEN(TRIM(B39))=0</formula>
    </cfRule>
  </conditionalFormatting>
  <conditionalFormatting sqref="B54:F54 C55:F55 B55:B57">
    <cfRule type="containsBlanks" dxfId="33" priority="9">
      <formula>LEN(TRIM(B54))=0</formula>
    </cfRule>
  </conditionalFormatting>
  <conditionalFormatting sqref="C2:C8">
    <cfRule type="containsBlanks" dxfId="32" priority="34">
      <formula>LEN(TRIM(C2))=0</formula>
    </cfRule>
  </conditionalFormatting>
  <conditionalFormatting sqref="C15:C19">
    <cfRule type="containsBlanks" dxfId="31" priority="6">
      <formula>LEN(TRIM(C15))=0</formula>
    </cfRule>
  </conditionalFormatting>
  <conditionalFormatting sqref="C56:F57">
    <cfRule type="containsBlanks" dxfId="30" priority="8">
      <formula>LEN(TRIM(C56))=0</formula>
    </cfRule>
  </conditionalFormatting>
  <conditionalFormatting sqref="E39:E42 J39:J42 L39:L42">
    <cfRule type="containsBlanks" dxfId="29" priority="7">
      <formula>LEN(TRIM(E39))=0</formula>
    </cfRule>
  </conditionalFormatting>
  <conditionalFormatting sqref="L44">
    <cfRule type="containsBlanks" dxfId="28" priority="1">
      <formula>LEN(TRIM(L44))=0</formula>
    </cfRule>
  </conditionalFormatting>
  <conditionalFormatting sqref="N39:N42">
    <cfRule type="containsBlanks" dxfId="27" priority="5">
      <formula>LEN(TRIM(N39))=0</formula>
    </cfRule>
  </conditionalFormatting>
  <conditionalFormatting sqref="N44">
    <cfRule type="containsBlanks" dxfId="26" priority="3">
      <formula>LEN(TRIM(N44))=0</formula>
    </cfRule>
  </conditionalFormatting>
  <conditionalFormatting sqref="O39:O42">
    <cfRule type="containsBlanks" dxfId="25" priority="4">
      <formula>LEN(TRIM(O39))=0</formula>
    </cfRule>
  </conditionalFormatting>
  <conditionalFormatting sqref="O44">
    <cfRule type="containsBlanks" dxfId="24" priority="2">
      <formula>LEN(TRIM(O44))=0</formula>
    </cfRule>
  </conditionalFormatting>
  <dataValidations count="3">
    <dataValidation type="list" allowBlank="1" showInputMessage="1" sqref="B54:B57" xr:uid="{01B71E9C-B61E-4B67-87AC-AAD88947F896}">
      <formula1>"管理层账表调整(CLA),已更正审计调整(AA/RA/OA),未更正审计调整(SAD)"</formula1>
    </dataValidation>
    <dataValidation type="list" allowBlank="1" showInputMessage="1" showErrorMessage="1" sqref="C15:C19" xr:uid="{5B279B7A-ECD2-43F4-B949-DD2E8C16C87B}">
      <formula1>"Minimal,Low,Moderate,High,N/A"</formula1>
    </dataValidation>
    <dataValidation type="list" allowBlank="1" showInputMessage="1" sqref="O39:O42 O44" xr:uid="{36F47505-994D-40F4-B8E6-07D4DB78766F}">
      <formula1>"是,否"</formula1>
    </dataValidation>
  </dataValidations>
  <hyperlinks>
    <hyperlink ref="B11" location="汇总!A1" display="返回汇总页" xr:uid="{5FB7BFA2-3780-4FA5-AE33-1B9A431AE3F5}"/>
  </hyperlinks>
  <pageMargins left="0.70866141732283505" right="0.70866141732283505" top="0.74803149606299202" bottom="0.74803149606299202" header="0.31496062992126" footer="0.31496062992126"/>
  <pageSetup paperSize="9" scale="63" fitToHeight="0" orientation="landscape" horizontalDpi="300" r:id="rId1"/>
  <headerFooter>
    <oddFooter>&amp;L&amp;"Arial,Regular"&amp;10Q SWP Loans and borrowings
(22 July 2025)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B0DA4-D4C9-4CFE-BD01-E22B076E1D84}">
  <sheetPr>
    <pageSetUpPr autoPageBreaks="0"/>
  </sheetPr>
  <dimension ref="A1:T62"/>
  <sheetViews>
    <sheetView showGridLines="0" zoomScale="70" zoomScaleNormal="70" zoomScalePageLayoutView="90" workbookViewId="0">
      <selection activeCell="B4" sqref="B4"/>
    </sheetView>
  </sheetViews>
  <sheetFormatPr defaultColWidth="8.453125" defaultRowHeight="15" customHeight="1" outlineLevelCol="1"/>
  <cols>
    <col min="1" max="1" width="2.6328125" style="47" customWidth="1"/>
    <col min="2" max="2" width="39.453125" style="272" customWidth="1"/>
    <col min="3" max="3" width="16.453125" style="272" customWidth="1"/>
    <col min="4" max="4" width="15.90625" style="272" customWidth="1"/>
    <col min="5" max="5" width="18.08984375" style="273" customWidth="1"/>
    <col min="6" max="6" width="17.36328125" style="272" customWidth="1"/>
    <col min="7" max="7" width="17.453125" style="272" customWidth="1"/>
    <col min="8" max="8" width="17.6328125" style="272" customWidth="1"/>
    <col min="9" max="9" width="18.36328125" style="272" customWidth="1" outlineLevel="1"/>
    <col min="10" max="10" width="17.26953125" style="272" customWidth="1"/>
    <col min="11" max="11" width="13.26953125" style="273" customWidth="1"/>
    <col min="12" max="12" width="13.26953125" style="272" customWidth="1"/>
    <col min="13" max="13" width="15.36328125" style="273" customWidth="1"/>
    <col min="14" max="14" width="1.6328125" style="272" customWidth="1"/>
    <col min="15" max="15" width="13.26953125" style="272" customWidth="1"/>
    <col min="16" max="16" width="13.26953125" style="273" customWidth="1"/>
    <col min="17" max="17" width="16.453125" style="273" customWidth="1"/>
    <col min="18" max="18" width="13.26953125" style="272" customWidth="1"/>
    <col min="19" max="19" width="2.6328125" style="274" customWidth="1"/>
    <col min="20" max="20" width="1.6328125" style="272" customWidth="1"/>
    <col min="21" max="16384" width="8.453125" style="272"/>
  </cols>
  <sheetData>
    <row r="1" spans="1:20" s="47" customFormat="1" ht="50.25" customHeight="1">
      <c r="B1" s="588" t="s">
        <v>365</v>
      </c>
      <c r="C1" s="463"/>
      <c r="D1" s="463"/>
      <c r="E1" s="463"/>
      <c r="F1" s="463"/>
      <c r="G1" s="463"/>
      <c r="H1" s="463"/>
      <c r="I1" s="463"/>
      <c r="J1" s="463"/>
      <c r="K1" s="463"/>
      <c r="L1" s="463"/>
      <c r="M1" s="463"/>
      <c r="N1" s="463"/>
      <c r="O1" s="463"/>
      <c r="P1" s="463"/>
      <c r="Q1" s="463"/>
      <c r="R1" s="464"/>
      <c r="S1" s="173"/>
      <c r="T1" s="174"/>
    </row>
    <row r="2" spans="1:20" s="42" customFormat="1" ht="30" customHeight="1">
      <c r="B2" s="465" t="s">
        <v>116</v>
      </c>
      <c r="C2" s="466"/>
      <c r="D2" s="467"/>
      <c r="E2" s="468"/>
      <c r="F2" s="467"/>
      <c r="G2" s="467"/>
      <c r="H2" s="467"/>
      <c r="I2" s="467"/>
      <c r="J2" s="467"/>
      <c r="K2" s="468"/>
      <c r="L2" s="467"/>
      <c r="M2" s="468"/>
      <c r="N2" s="467"/>
      <c r="O2" s="467"/>
      <c r="P2" s="468"/>
      <c r="Q2" s="468"/>
      <c r="R2" s="469"/>
      <c r="S2" s="176"/>
      <c r="T2" s="174"/>
    </row>
    <row r="3" spans="1:20" ht="15" customHeight="1">
      <c r="E3" s="272"/>
      <c r="J3" s="273"/>
      <c r="L3" s="273"/>
      <c r="M3" s="272"/>
      <c r="N3" s="273"/>
      <c r="O3" s="273"/>
      <c r="P3" s="272"/>
      <c r="R3" s="273"/>
      <c r="T3" s="275"/>
    </row>
    <row r="4" spans="1:20" ht="15" customHeight="1">
      <c r="B4" s="276" t="s">
        <v>117</v>
      </c>
      <c r="E4" s="272"/>
      <c r="J4" s="273"/>
      <c r="L4" s="273"/>
      <c r="M4" s="272"/>
      <c r="N4" s="273"/>
      <c r="O4" s="273"/>
      <c r="P4" s="272"/>
      <c r="R4" s="273"/>
      <c r="T4" s="275"/>
    </row>
    <row r="5" spans="1:20" ht="15" customHeight="1">
      <c r="E5" s="272"/>
      <c r="J5" s="273"/>
      <c r="L5" s="273"/>
      <c r="M5" s="272"/>
      <c r="N5" s="273"/>
      <c r="O5" s="273"/>
      <c r="P5" s="272"/>
      <c r="R5" s="273"/>
      <c r="T5" s="275"/>
    </row>
    <row r="6" spans="1:20" ht="15" customHeight="1">
      <c r="B6" s="277">
        <f>MIN('Q1.00 Lead'!E15)</f>
        <v>0</v>
      </c>
      <c r="C6" s="485" t="s">
        <v>118</v>
      </c>
      <c r="D6" s="278"/>
      <c r="E6" s="279"/>
      <c r="J6" s="273"/>
      <c r="L6" s="273"/>
      <c r="M6" s="272"/>
      <c r="N6" s="273"/>
      <c r="O6" s="273"/>
      <c r="P6" s="272"/>
      <c r="R6" s="273"/>
      <c r="T6" s="275"/>
    </row>
    <row r="7" spans="1:20" ht="15" customHeight="1">
      <c r="B7" s="280"/>
      <c r="C7" s="281"/>
      <c r="D7" s="281"/>
      <c r="E7" s="272"/>
      <c r="L7" s="282"/>
      <c r="N7" s="273"/>
      <c r="P7" s="272"/>
      <c r="T7" s="275"/>
    </row>
    <row r="8" spans="1:20" ht="14.5">
      <c r="B8" s="283" t="s">
        <v>119</v>
      </c>
      <c r="C8" s="284"/>
      <c r="K8" s="282"/>
      <c r="L8" s="285"/>
      <c r="M8" s="285"/>
      <c r="N8" s="273"/>
      <c r="O8" s="283" t="s">
        <v>120</v>
      </c>
      <c r="P8" s="272"/>
      <c r="R8" s="273"/>
      <c r="T8" s="275"/>
    </row>
    <row r="9" spans="1:20" ht="13">
      <c r="D9" s="286" t="s">
        <v>121</v>
      </c>
      <c r="E9" s="286"/>
      <c r="F9" s="286"/>
      <c r="G9" s="285" t="s">
        <v>122</v>
      </c>
      <c r="H9" s="285" t="s">
        <v>122</v>
      </c>
      <c r="I9" s="286"/>
      <c r="J9" s="286"/>
      <c r="K9" s="282"/>
      <c r="L9" s="255"/>
      <c r="M9" s="285"/>
      <c r="N9" s="273"/>
      <c r="O9" s="285"/>
      <c r="P9" s="285"/>
      <c r="Q9" s="272"/>
      <c r="T9" s="275"/>
    </row>
    <row r="10" spans="1:20" ht="43.5">
      <c r="B10" s="287" t="s">
        <v>123</v>
      </c>
      <c r="C10" s="287" t="s">
        <v>124</v>
      </c>
      <c r="D10" s="288" t="s">
        <v>125</v>
      </c>
      <c r="E10" s="289" t="s">
        <v>126</v>
      </c>
      <c r="F10" s="288" t="s">
        <v>127</v>
      </c>
      <c r="G10" s="290" t="s">
        <v>128</v>
      </c>
      <c r="H10" s="291" t="s">
        <v>129</v>
      </c>
      <c r="I10" s="288" t="s">
        <v>130</v>
      </c>
      <c r="J10" s="289" t="s">
        <v>131</v>
      </c>
      <c r="K10" s="290" t="s">
        <v>132</v>
      </c>
      <c r="L10" s="289" t="s">
        <v>133</v>
      </c>
      <c r="M10" s="291" t="s">
        <v>134</v>
      </c>
      <c r="N10" s="273"/>
      <c r="O10" s="291" t="s">
        <v>135</v>
      </c>
      <c r="P10" s="291" t="s">
        <v>136</v>
      </c>
      <c r="Q10" s="262" t="s">
        <v>137</v>
      </c>
      <c r="R10" s="290" t="s">
        <v>138</v>
      </c>
      <c r="T10" s="275"/>
    </row>
    <row r="11" spans="1:20" s="274" customFormat="1" ht="14.5">
      <c r="A11" s="173"/>
      <c r="B11" s="570" t="s">
        <v>139</v>
      </c>
      <c r="C11" s="528"/>
      <c r="D11" s="515"/>
      <c r="E11" s="515"/>
      <c r="F11" s="515"/>
      <c r="G11" s="516"/>
      <c r="H11" s="515"/>
      <c r="I11" s="517"/>
      <c r="J11" s="517"/>
      <c r="K11" s="518">
        <f>D11+E11-F11+I11+J11</f>
        <v>0</v>
      </c>
      <c r="L11" s="519"/>
      <c r="M11" s="518">
        <f>K11-L11</f>
        <v>0</v>
      </c>
      <c r="N11" s="520"/>
      <c r="O11" s="515"/>
      <c r="P11" s="521">
        <f>K11-O11</f>
        <v>0</v>
      </c>
      <c r="Q11" s="452"/>
      <c r="R11" s="526"/>
      <c r="T11" s="275"/>
    </row>
    <row r="12" spans="1:20" s="274" customFormat="1" ht="14.5">
      <c r="A12" s="173"/>
      <c r="B12" s="570" t="s">
        <v>140</v>
      </c>
      <c r="C12" s="528"/>
      <c r="D12" s="515"/>
      <c r="E12" s="515"/>
      <c r="F12" s="515"/>
      <c r="G12" s="516"/>
      <c r="H12" s="515"/>
      <c r="I12" s="517"/>
      <c r="J12" s="517"/>
      <c r="K12" s="518">
        <f>D12+E12-F12+I12+J12</f>
        <v>0</v>
      </c>
      <c r="L12" s="519"/>
      <c r="M12" s="518">
        <f t="shared" ref="M12:M13" si="0">K12-L12</f>
        <v>0</v>
      </c>
      <c r="N12" s="520"/>
      <c r="O12" s="515"/>
      <c r="P12" s="521">
        <f t="shared" ref="P12:P13" si="1">K12-O12</f>
        <v>0</v>
      </c>
      <c r="Q12" s="452"/>
      <c r="R12" s="526"/>
      <c r="T12" s="275"/>
    </row>
    <row r="13" spans="1:20" s="274" customFormat="1" ht="14.5">
      <c r="A13" s="173"/>
      <c r="B13" s="271" t="s">
        <v>141</v>
      </c>
      <c r="C13" s="528"/>
      <c r="D13" s="515"/>
      <c r="E13" s="515"/>
      <c r="F13" s="515"/>
      <c r="G13" s="516"/>
      <c r="H13" s="515"/>
      <c r="I13" s="517"/>
      <c r="J13" s="517"/>
      <c r="K13" s="518">
        <f>D13+H13-G13+I13+J13</f>
        <v>0</v>
      </c>
      <c r="L13" s="519"/>
      <c r="M13" s="518">
        <f t="shared" si="0"/>
        <v>0</v>
      </c>
      <c r="N13" s="520"/>
      <c r="O13" s="515"/>
      <c r="P13" s="521">
        <f t="shared" si="1"/>
        <v>0</v>
      </c>
      <c r="Q13" s="453" t="s">
        <v>142</v>
      </c>
      <c r="R13" s="526"/>
      <c r="T13" s="275"/>
    </row>
    <row r="14" spans="1:20" s="274" customFormat="1" ht="13">
      <c r="A14" s="173"/>
      <c r="B14" s="271"/>
      <c r="C14" s="528"/>
      <c r="D14" s="519"/>
      <c r="E14" s="519"/>
      <c r="F14" s="519"/>
      <c r="G14" s="519"/>
      <c r="H14" s="519"/>
      <c r="I14" s="519"/>
      <c r="J14" s="519"/>
      <c r="K14" s="518">
        <f>D14+H14-G14+I14+J14</f>
        <v>0</v>
      </c>
      <c r="L14" s="519"/>
      <c r="M14" s="518">
        <f>K14-L14</f>
        <v>0</v>
      </c>
      <c r="N14" s="520"/>
      <c r="O14" s="519"/>
      <c r="P14" s="521">
        <f>K14-O14</f>
        <v>0</v>
      </c>
      <c r="Q14" s="452"/>
      <c r="R14" s="526"/>
      <c r="S14" s="292"/>
      <c r="T14" s="275"/>
    </row>
    <row r="15" spans="1:20" s="296" customFormat="1" ht="15" customHeight="1" thickBot="1">
      <c r="A15" s="73"/>
      <c r="B15" s="293" t="s">
        <v>143</v>
      </c>
      <c r="C15" s="529"/>
      <c r="D15" s="522">
        <f t="shared" ref="D15:M15" si="2">SUM(D11:D14)</f>
        <v>0</v>
      </c>
      <c r="E15" s="522">
        <f t="shared" si="2"/>
        <v>0</v>
      </c>
      <c r="F15" s="522">
        <f t="shared" si="2"/>
        <v>0</v>
      </c>
      <c r="G15" s="522">
        <f t="shared" si="2"/>
        <v>0</v>
      </c>
      <c r="H15" s="523">
        <f t="shared" si="2"/>
        <v>0</v>
      </c>
      <c r="I15" s="522">
        <f t="shared" si="2"/>
        <v>0</v>
      </c>
      <c r="J15" s="522">
        <f t="shared" si="2"/>
        <v>0</v>
      </c>
      <c r="K15" s="522">
        <f t="shared" si="2"/>
        <v>0</v>
      </c>
      <c r="L15" s="522">
        <f t="shared" si="2"/>
        <v>0</v>
      </c>
      <c r="M15" s="522">
        <f t="shared" si="2"/>
        <v>0</v>
      </c>
      <c r="N15" s="524"/>
      <c r="O15" s="525">
        <f>SUM(O11:O14)</f>
        <v>0</v>
      </c>
      <c r="P15" s="525">
        <f>K15-O15</f>
        <v>0</v>
      </c>
      <c r="Q15" s="294">
        <f>COUNTIF(Q11:Q14,"是")</f>
        <v>0</v>
      </c>
      <c r="R15" s="527"/>
      <c r="S15" s="295"/>
      <c r="T15" s="275"/>
    </row>
    <row r="16" spans="1:20" ht="15" customHeight="1" thickTop="1">
      <c r="B16" s="297" t="s">
        <v>144</v>
      </c>
      <c r="D16" s="298"/>
      <c r="E16" s="297" t="s">
        <v>145</v>
      </c>
      <c r="F16" s="299"/>
      <c r="G16" s="299"/>
      <c r="H16" s="297" t="s">
        <v>146</v>
      </c>
      <c r="I16" s="300"/>
      <c r="J16" s="297" t="s">
        <v>147</v>
      </c>
      <c r="K16" s="297" t="s">
        <v>148</v>
      </c>
      <c r="L16" s="301" t="s">
        <v>149</v>
      </c>
      <c r="M16" s="261"/>
      <c r="N16" s="273"/>
      <c r="O16" s="261"/>
      <c r="P16" s="261"/>
      <c r="Q16" s="302" t="s">
        <v>150</v>
      </c>
      <c r="R16" s="303"/>
      <c r="T16" s="275"/>
    </row>
    <row r="17" spans="2:20" ht="15" customHeight="1">
      <c r="B17" s="304"/>
      <c r="D17" s="298"/>
      <c r="E17" s="299"/>
      <c r="F17" s="299"/>
      <c r="G17" s="299"/>
      <c r="H17" s="299"/>
      <c r="I17" s="300"/>
      <c r="J17" s="302"/>
      <c r="K17" s="302"/>
      <c r="L17" s="305"/>
      <c r="M17" s="261"/>
      <c r="N17" s="273"/>
      <c r="O17" s="261"/>
      <c r="P17" s="261"/>
      <c r="Q17" s="306"/>
      <c r="R17" s="303"/>
      <c r="T17" s="275"/>
    </row>
    <row r="18" spans="2:20" ht="15" customHeight="1" thickBot="1">
      <c r="B18" s="307" t="s">
        <v>151</v>
      </c>
      <c r="C18" s="308"/>
      <c r="D18" s="309"/>
      <c r="E18" s="310" t="str">
        <f>IF(ABS(E15)&gt;$B$6,"是","否")</f>
        <v>否</v>
      </c>
      <c r="F18" s="310"/>
      <c r="G18" s="310"/>
      <c r="H18" s="310" t="str">
        <f>IF(ABS(H15)&gt;$B$6,"是","否")</f>
        <v>否</v>
      </c>
      <c r="I18" s="310"/>
      <c r="J18" s="310" t="str">
        <f>IF(ABS(J15)&gt;$B$6,"是","否")</f>
        <v>否</v>
      </c>
      <c r="K18" s="309"/>
      <c r="L18" s="311"/>
      <c r="M18" s="311"/>
      <c r="N18" s="312"/>
      <c r="O18" s="311"/>
      <c r="P18" s="311"/>
      <c r="Q18" s="313" t="str">
        <f>IF(Q15=0,"否","是")</f>
        <v>否</v>
      </c>
      <c r="R18" s="314"/>
      <c r="T18" s="275"/>
    </row>
    <row r="19" spans="2:20" ht="15" customHeight="1" thickTop="1">
      <c r="B19" s="247"/>
      <c r="C19" s="247"/>
      <c r="D19" s="315"/>
      <c r="E19" s="299"/>
      <c r="F19" s="299"/>
      <c r="G19" s="299"/>
      <c r="H19" s="299"/>
      <c r="I19" s="300"/>
      <c r="K19" s="316"/>
      <c r="L19" s="317"/>
      <c r="M19" s="261"/>
      <c r="N19" s="273"/>
      <c r="O19" s="318"/>
      <c r="P19" s="319"/>
      <c r="Q19" s="306"/>
      <c r="R19" s="261"/>
      <c r="T19" s="275"/>
    </row>
    <row r="20" spans="2:20" ht="15" customHeight="1">
      <c r="B20" s="247" t="s">
        <v>152</v>
      </c>
      <c r="C20" s="320">
        <f>G15-D13+K13-H15</f>
        <v>0</v>
      </c>
      <c r="D20" s="315"/>
      <c r="E20" s="299"/>
      <c r="F20" s="299"/>
      <c r="G20" s="299"/>
      <c r="H20" s="299"/>
      <c r="I20" s="300"/>
      <c r="K20" s="316"/>
      <c r="L20" s="317"/>
      <c r="M20" s="261"/>
      <c r="N20" s="273"/>
      <c r="O20" s="318"/>
      <c r="P20" s="319"/>
      <c r="Q20" s="306"/>
      <c r="R20" s="261"/>
      <c r="T20" s="275"/>
    </row>
    <row r="21" spans="2:20" ht="15" customHeight="1">
      <c r="B21" s="247"/>
      <c r="C21" s="247"/>
      <c r="D21" s="315"/>
      <c r="E21" s="299"/>
      <c r="F21" s="299"/>
      <c r="G21" s="299"/>
      <c r="H21" s="299"/>
      <c r="I21" s="300"/>
      <c r="K21" s="316"/>
      <c r="L21" s="317"/>
      <c r="M21" s="261"/>
      <c r="N21" s="273"/>
      <c r="O21" s="318"/>
      <c r="P21" s="319"/>
      <c r="Q21" s="306"/>
      <c r="R21" s="261"/>
      <c r="T21" s="275"/>
    </row>
    <row r="22" spans="2:20" ht="15" customHeight="1">
      <c r="B22" s="321" t="s">
        <v>153</v>
      </c>
      <c r="D22" s="322"/>
      <c r="E22" s="272"/>
      <c r="H22" s="323"/>
      <c r="I22" s="324"/>
      <c r="J22" s="273"/>
      <c r="K22" s="325"/>
      <c r="L22" s="326"/>
      <c r="M22" s="322"/>
      <c r="N22" s="273"/>
      <c r="O22" s="326"/>
      <c r="P22" s="322"/>
      <c r="Q22" s="326"/>
      <c r="R22" s="326"/>
      <c r="T22" s="275"/>
    </row>
    <row r="23" spans="2:20" ht="15" customHeight="1">
      <c r="B23" s="321" t="s">
        <v>154</v>
      </c>
      <c r="D23" s="322"/>
      <c r="E23" s="272"/>
      <c r="H23" s="323"/>
      <c r="I23" s="324"/>
      <c r="J23" s="273"/>
      <c r="K23" s="325"/>
      <c r="L23" s="326"/>
      <c r="M23" s="322"/>
      <c r="N23" s="273"/>
      <c r="O23" s="326"/>
      <c r="P23" s="322"/>
      <c r="Q23" s="326"/>
      <c r="R23" s="326"/>
      <c r="T23" s="275"/>
    </row>
    <row r="24" spans="2:20" ht="15" customHeight="1">
      <c r="B24" s="327" t="s">
        <v>155</v>
      </c>
      <c r="D24" s="322"/>
      <c r="E24" s="272"/>
      <c r="H24" s="323"/>
      <c r="I24" s="324"/>
      <c r="J24" s="273"/>
      <c r="K24" s="325"/>
      <c r="L24" s="326"/>
      <c r="M24" s="322"/>
      <c r="N24" s="273"/>
      <c r="O24" s="326"/>
      <c r="P24" s="322"/>
      <c r="Q24" s="326"/>
      <c r="R24" s="326"/>
      <c r="T24" s="275"/>
    </row>
    <row r="25" spans="2:20" ht="15" customHeight="1">
      <c r="B25" s="321"/>
      <c r="D25" s="322"/>
      <c r="E25" s="272"/>
      <c r="H25" s="323"/>
      <c r="I25" s="324"/>
      <c r="J25" s="273"/>
      <c r="K25" s="325"/>
      <c r="L25" s="326"/>
      <c r="M25" s="322"/>
      <c r="N25" s="273"/>
      <c r="O25" s="326"/>
      <c r="P25" s="322"/>
      <c r="Q25" s="326"/>
      <c r="R25" s="326"/>
      <c r="T25" s="275"/>
    </row>
    <row r="26" spans="2:20" ht="15" customHeight="1">
      <c r="B26" s="328" t="s">
        <v>94</v>
      </c>
      <c r="C26" s="261"/>
      <c r="D26" s="261"/>
      <c r="E26" s="261"/>
      <c r="F26" s="329"/>
      <c r="H26" s="323"/>
      <c r="I26" s="324"/>
      <c r="J26" s="273"/>
      <c r="K26" s="325"/>
      <c r="L26" s="326"/>
      <c r="M26" s="322"/>
      <c r="N26" s="273"/>
      <c r="O26" s="326"/>
      <c r="P26" s="322"/>
      <c r="Q26" s="326"/>
      <c r="R26" s="326"/>
      <c r="T26" s="275"/>
    </row>
    <row r="27" spans="2:20" ht="15" customHeight="1">
      <c r="B27" s="649"/>
      <c r="C27" s="650"/>
      <c r="D27" s="650"/>
      <c r="E27" s="650"/>
      <c r="F27" s="651"/>
      <c r="H27" s="323"/>
      <c r="I27" s="324"/>
      <c r="J27" s="273"/>
      <c r="K27" s="325"/>
      <c r="L27" s="326"/>
      <c r="M27" s="322"/>
      <c r="N27" s="273"/>
      <c r="O27" s="326"/>
      <c r="P27" s="322"/>
      <c r="Q27" s="326"/>
      <c r="R27" s="326"/>
      <c r="T27" s="275"/>
    </row>
    <row r="28" spans="2:20" ht="15" customHeight="1">
      <c r="B28" s="652"/>
      <c r="C28" s="653"/>
      <c r="D28" s="653"/>
      <c r="E28" s="653"/>
      <c r="F28" s="654"/>
      <c r="H28" s="323"/>
      <c r="I28" s="324"/>
      <c r="J28" s="273"/>
      <c r="K28" s="325"/>
      <c r="L28" s="326"/>
      <c r="M28" s="322"/>
      <c r="N28" s="273"/>
      <c r="O28" s="326"/>
      <c r="P28" s="322"/>
      <c r="Q28" s="326"/>
      <c r="R28" s="326"/>
      <c r="T28" s="275"/>
    </row>
    <row r="29" spans="2:20" ht="15" customHeight="1">
      <c r="B29" s="652"/>
      <c r="C29" s="653"/>
      <c r="D29" s="653"/>
      <c r="E29" s="653"/>
      <c r="F29" s="654"/>
      <c r="H29" s="323"/>
      <c r="I29" s="324"/>
      <c r="J29" s="273"/>
      <c r="K29" s="325"/>
      <c r="L29" s="326"/>
      <c r="M29" s="322"/>
      <c r="N29" s="273"/>
      <c r="O29" s="326"/>
      <c r="P29" s="322"/>
      <c r="Q29" s="326"/>
      <c r="R29" s="326"/>
      <c r="T29" s="275"/>
    </row>
    <row r="30" spans="2:20" ht="15" customHeight="1">
      <c r="B30" s="655"/>
      <c r="C30" s="656"/>
      <c r="D30" s="656"/>
      <c r="E30" s="656"/>
      <c r="F30" s="657"/>
      <c r="H30" s="323"/>
      <c r="I30" s="324"/>
      <c r="J30" s="273"/>
      <c r="K30" s="325"/>
      <c r="L30" s="326"/>
      <c r="M30" s="322"/>
      <c r="N30" s="273"/>
      <c r="O30" s="326"/>
      <c r="P30" s="322"/>
      <c r="Q30" s="326"/>
      <c r="R30" s="326"/>
      <c r="T30" s="275"/>
    </row>
    <row r="31" spans="2:20" ht="15" customHeight="1">
      <c r="B31" s="480"/>
      <c r="C31" s="480"/>
      <c r="D31" s="480"/>
      <c r="E31" s="480"/>
      <c r="F31" s="480"/>
      <c r="H31" s="323"/>
      <c r="I31" s="324"/>
      <c r="J31" s="273"/>
      <c r="K31" s="325"/>
      <c r="L31" s="326"/>
      <c r="M31" s="322"/>
      <c r="N31" s="273"/>
      <c r="O31" s="326"/>
      <c r="P31" s="322"/>
      <c r="Q31" s="326"/>
      <c r="R31" s="326"/>
      <c r="T31" s="275"/>
    </row>
    <row r="32" spans="2:20" ht="14.5">
      <c r="B32" s="283" t="s">
        <v>156</v>
      </c>
      <c r="D32" s="322"/>
      <c r="E32" s="282"/>
      <c r="F32" s="286"/>
      <c r="I32" s="322"/>
      <c r="J32" s="273"/>
      <c r="L32" s="326"/>
      <c r="M32" s="322"/>
      <c r="N32" s="326"/>
      <c r="O32" s="326"/>
      <c r="P32" s="322"/>
      <c r="Q32" s="326"/>
      <c r="R32" s="326"/>
      <c r="T32" s="275"/>
    </row>
    <row r="33" spans="1:20" ht="13">
      <c r="B33" s="283"/>
      <c r="D33" s="322"/>
      <c r="E33" s="282"/>
      <c r="F33" s="285"/>
      <c r="G33" s="285"/>
      <c r="I33" s="322"/>
      <c r="J33" s="273"/>
      <c r="L33" s="326"/>
      <c r="M33" s="322"/>
      <c r="N33" s="326"/>
      <c r="O33" s="326"/>
      <c r="P33" s="322"/>
      <c r="Q33" s="326"/>
      <c r="R33" s="326"/>
      <c r="T33" s="275"/>
    </row>
    <row r="34" spans="1:20" ht="14.5">
      <c r="B34" s="666" t="s">
        <v>157</v>
      </c>
      <c r="C34" s="666"/>
      <c r="D34" s="666"/>
      <c r="E34" s="666"/>
      <c r="F34" s="666"/>
      <c r="G34" s="666"/>
      <c r="H34" s="666"/>
      <c r="I34" s="666"/>
      <c r="J34" s="322"/>
      <c r="L34" s="322"/>
      <c r="M34" s="322"/>
      <c r="N34" s="322"/>
      <c r="O34" s="326"/>
      <c r="P34" s="322"/>
      <c r="Q34" s="326"/>
      <c r="R34" s="326"/>
      <c r="T34" s="275"/>
    </row>
    <row r="35" spans="1:20" ht="18.75" customHeight="1">
      <c r="B35" s="330" t="s">
        <v>158</v>
      </c>
      <c r="C35" s="331" t="s">
        <v>159</v>
      </c>
      <c r="D35" s="331" t="s">
        <v>160</v>
      </c>
      <c r="E35" s="332" t="s">
        <v>161</v>
      </c>
      <c r="F35" s="332" t="s">
        <v>162</v>
      </c>
      <c r="G35" s="333" t="s">
        <v>163</v>
      </c>
      <c r="H35" s="331" t="s">
        <v>164</v>
      </c>
      <c r="I35" s="334" t="s">
        <v>94</v>
      </c>
      <c r="K35" s="322"/>
      <c r="L35" s="322"/>
      <c r="M35" s="322"/>
      <c r="N35" s="326"/>
      <c r="O35" s="322"/>
      <c r="P35" s="326"/>
      <c r="Q35" s="326"/>
      <c r="R35" s="274"/>
      <c r="S35" s="272"/>
      <c r="T35" s="275"/>
    </row>
    <row r="36" spans="1:20" ht="15" customHeight="1">
      <c r="B36" s="271" t="s">
        <v>165</v>
      </c>
      <c r="C36" s="451"/>
      <c r="D36" s="530"/>
      <c r="E36" s="530"/>
      <c r="F36" s="530">
        <f>D36*E36</f>
        <v>0</v>
      </c>
      <c r="G36" s="530">
        <f>K11</f>
        <v>0</v>
      </c>
      <c r="H36" s="335">
        <f>F36-G36</f>
        <v>0</v>
      </c>
      <c r="I36" s="451"/>
      <c r="K36" s="272"/>
      <c r="L36" s="273"/>
      <c r="M36" s="272"/>
      <c r="O36" s="273"/>
      <c r="Q36" s="272"/>
      <c r="R36" s="274"/>
      <c r="T36" s="275"/>
    </row>
    <row r="37" spans="1:20" ht="15" customHeight="1">
      <c r="B37" s="271" t="s">
        <v>166</v>
      </c>
      <c r="C37" s="451"/>
      <c r="D37" s="530"/>
      <c r="E37" s="530"/>
      <c r="F37" s="530">
        <f t="shared" ref="F37" si="3">D37*E37</f>
        <v>0</v>
      </c>
      <c r="G37" s="530"/>
      <c r="H37" s="335">
        <f>F37-G37</f>
        <v>0</v>
      </c>
      <c r="I37" s="451"/>
      <c r="K37" s="272"/>
      <c r="L37" s="273"/>
      <c r="M37" s="272"/>
      <c r="O37" s="273"/>
      <c r="Q37" s="272"/>
      <c r="R37" s="274"/>
      <c r="T37" s="275"/>
    </row>
    <row r="38" spans="1:20" ht="15" customHeight="1">
      <c r="B38" s="271" t="s">
        <v>167</v>
      </c>
      <c r="C38" s="451"/>
      <c r="D38" s="530"/>
      <c r="E38" s="530"/>
      <c r="F38" s="530">
        <f>D38*E38</f>
        <v>0</v>
      </c>
      <c r="G38" s="530"/>
      <c r="H38" s="335">
        <f>F38-G38</f>
        <v>0</v>
      </c>
      <c r="I38" s="451"/>
      <c r="K38" s="272"/>
      <c r="L38" s="273"/>
      <c r="M38" s="272"/>
      <c r="O38" s="273"/>
      <c r="Q38" s="272"/>
      <c r="R38" s="274"/>
      <c r="T38" s="275"/>
    </row>
    <row r="39" spans="1:20" ht="15" customHeight="1">
      <c r="H39" s="336"/>
      <c r="I39" s="336"/>
      <c r="T39" s="275"/>
    </row>
    <row r="40" spans="1:20" ht="15" customHeight="1">
      <c r="B40" s="328" t="s">
        <v>168</v>
      </c>
      <c r="C40" s="261"/>
      <c r="D40" s="261"/>
      <c r="E40" s="261"/>
      <c r="F40" s="329"/>
      <c r="H40" s="336"/>
      <c r="I40" s="336"/>
      <c r="T40" s="275"/>
    </row>
    <row r="41" spans="1:20" ht="15" customHeight="1">
      <c r="B41" s="658"/>
      <c r="C41" s="659"/>
      <c r="D41" s="659"/>
      <c r="E41" s="659"/>
      <c r="F41" s="660"/>
      <c r="H41" s="336"/>
      <c r="I41" s="336"/>
      <c r="T41" s="275"/>
    </row>
    <row r="42" spans="1:20" ht="15" customHeight="1">
      <c r="B42" s="661"/>
      <c r="C42" s="653"/>
      <c r="D42" s="653"/>
      <c r="E42" s="653"/>
      <c r="F42" s="662"/>
      <c r="H42" s="336"/>
      <c r="I42" s="336"/>
      <c r="T42" s="275"/>
    </row>
    <row r="43" spans="1:20" ht="15" customHeight="1">
      <c r="B43" s="661"/>
      <c r="C43" s="653"/>
      <c r="D43" s="653"/>
      <c r="E43" s="653"/>
      <c r="F43" s="662"/>
      <c r="H43" s="336"/>
      <c r="I43" s="336"/>
      <c r="T43" s="275"/>
    </row>
    <row r="44" spans="1:20" ht="15" customHeight="1">
      <c r="B44" s="663"/>
      <c r="C44" s="664"/>
      <c r="D44" s="664"/>
      <c r="E44" s="664"/>
      <c r="F44" s="665"/>
      <c r="H44" s="336"/>
      <c r="I44" s="336"/>
      <c r="T44" s="275"/>
    </row>
    <row r="45" spans="1:20" ht="15" customHeight="1">
      <c r="E45" s="272"/>
      <c r="T45" s="275"/>
    </row>
    <row r="46" spans="1:20" ht="10.15" customHeight="1">
      <c r="A46" s="174"/>
      <c r="B46" s="275"/>
      <c r="C46" s="275"/>
      <c r="D46" s="275"/>
      <c r="E46" s="275"/>
      <c r="F46" s="275"/>
      <c r="G46" s="275"/>
      <c r="H46" s="275"/>
      <c r="I46" s="275"/>
      <c r="J46" s="275"/>
      <c r="K46" s="275"/>
      <c r="L46" s="275"/>
      <c r="M46" s="275"/>
      <c r="N46" s="275"/>
      <c r="O46" s="275"/>
      <c r="P46" s="275"/>
      <c r="Q46" s="275"/>
      <c r="R46" s="275"/>
      <c r="S46" s="275"/>
      <c r="T46" s="275"/>
    </row>
    <row r="50" spans="2:20" ht="15" customHeight="1">
      <c r="F50" s="273"/>
      <c r="K50" s="272"/>
      <c r="L50" s="273"/>
      <c r="M50" s="272"/>
      <c r="N50" s="273"/>
      <c r="P50" s="272"/>
      <c r="R50" s="273"/>
      <c r="S50" s="272"/>
      <c r="T50" s="274"/>
    </row>
    <row r="51" spans="2:20" ht="15" customHeight="1">
      <c r="F51" s="273"/>
      <c r="K51" s="272"/>
      <c r="L51" s="273"/>
      <c r="M51" s="272"/>
      <c r="N51" s="273"/>
      <c r="P51" s="272"/>
      <c r="R51" s="273"/>
      <c r="S51" s="272"/>
      <c r="T51" s="274"/>
    </row>
    <row r="52" spans="2:20" ht="15" customHeight="1">
      <c r="F52" s="273"/>
      <c r="K52" s="272"/>
      <c r="L52" s="273"/>
      <c r="M52" s="272"/>
      <c r="N52" s="273"/>
      <c r="P52" s="272"/>
      <c r="R52" s="273"/>
      <c r="S52" s="272"/>
      <c r="T52" s="274"/>
    </row>
    <row r="53" spans="2:20" ht="33" customHeight="1">
      <c r="C53" s="312"/>
      <c r="D53" s="312"/>
      <c r="E53" s="312"/>
      <c r="F53" s="337"/>
      <c r="G53" s="312"/>
      <c r="J53" s="273"/>
      <c r="K53" s="272"/>
      <c r="L53" s="273"/>
      <c r="M53" s="272"/>
      <c r="O53" s="273"/>
      <c r="Q53" s="272"/>
      <c r="R53" s="274"/>
      <c r="S53" s="272"/>
    </row>
    <row r="54" spans="2:20" ht="15" customHeight="1">
      <c r="B54" s="312"/>
      <c r="C54" s="338"/>
      <c r="D54" s="312"/>
      <c r="E54" s="338"/>
      <c r="G54" s="338"/>
      <c r="I54" s="323"/>
      <c r="J54" s="273"/>
      <c r="K54" s="272"/>
      <c r="L54" s="273"/>
      <c r="M54" s="272"/>
      <c r="O54" s="273"/>
      <c r="Q54" s="272"/>
      <c r="R54" s="274"/>
      <c r="S54" s="272"/>
    </row>
    <row r="55" spans="2:20" ht="15" customHeight="1">
      <c r="B55" s="312"/>
      <c r="C55" s="338"/>
      <c r="D55" s="338"/>
      <c r="E55" s="338"/>
      <c r="F55" s="323"/>
      <c r="G55" s="338"/>
      <c r="H55" s="323"/>
      <c r="J55" s="273"/>
      <c r="K55" s="272"/>
      <c r="L55" s="273"/>
      <c r="M55" s="272"/>
      <c r="O55" s="273"/>
      <c r="Q55" s="272"/>
      <c r="R55" s="274"/>
      <c r="S55" s="272"/>
    </row>
    <row r="56" spans="2:20" ht="15" customHeight="1">
      <c r="F56" s="323"/>
      <c r="J56" s="273"/>
      <c r="K56" s="272"/>
      <c r="L56" s="273"/>
      <c r="M56" s="272"/>
      <c r="O56" s="273"/>
      <c r="Q56" s="272"/>
      <c r="R56" s="274"/>
      <c r="S56" s="272"/>
    </row>
    <row r="57" spans="2:20" ht="15" customHeight="1">
      <c r="D57" s="339"/>
      <c r="F57" s="323"/>
      <c r="J57" s="273"/>
      <c r="K57" s="272"/>
      <c r="L57" s="273"/>
      <c r="M57" s="272"/>
      <c r="O57" s="273"/>
      <c r="Q57" s="272"/>
      <c r="R57" s="274"/>
      <c r="S57" s="272"/>
    </row>
    <row r="58" spans="2:20" ht="15" customHeight="1">
      <c r="J58" s="273"/>
      <c r="K58" s="272"/>
      <c r="L58" s="273"/>
      <c r="M58" s="272"/>
      <c r="O58" s="273"/>
      <c r="Q58" s="272"/>
      <c r="R58" s="274"/>
      <c r="S58" s="272"/>
    </row>
    <row r="59" spans="2:20" ht="15" customHeight="1">
      <c r="J59" s="273"/>
      <c r="K59" s="272"/>
      <c r="L59" s="273"/>
      <c r="M59" s="272"/>
      <c r="O59" s="273"/>
      <c r="Q59" s="272"/>
      <c r="R59" s="274"/>
      <c r="S59" s="272"/>
    </row>
    <row r="60" spans="2:20" ht="15" customHeight="1">
      <c r="F60" s="323"/>
      <c r="K60" s="272"/>
      <c r="L60" s="273"/>
      <c r="M60" s="272"/>
      <c r="N60" s="273"/>
      <c r="P60" s="272"/>
      <c r="R60" s="273"/>
      <c r="S60" s="272"/>
      <c r="T60" s="274"/>
    </row>
    <row r="61" spans="2:20" ht="15" customHeight="1">
      <c r="F61" s="340"/>
      <c r="K61" s="272"/>
      <c r="L61" s="273"/>
      <c r="M61" s="272"/>
      <c r="N61" s="273"/>
      <c r="P61" s="272"/>
      <c r="R61" s="273"/>
      <c r="S61" s="272"/>
      <c r="T61" s="274"/>
    </row>
    <row r="62" spans="2:20" ht="15" customHeight="1">
      <c r="F62" s="273"/>
      <c r="K62" s="272"/>
      <c r="L62" s="273"/>
      <c r="M62" s="272"/>
      <c r="N62" s="273"/>
      <c r="P62" s="272"/>
      <c r="R62" s="273"/>
      <c r="S62" s="272"/>
      <c r="T62" s="274"/>
    </row>
  </sheetData>
  <sheetProtection formatCells="0" formatColumns="0" formatRows="0" insertColumns="0" insertRows="0" insertHyperlinks="0" deleteColumns="0" deleteRows="0" sort="0" autoFilter="0" pivotTables="0"/>
  <mergeCells count="3">
    <mergeCell ref="B27:F30"/>
    <mergeCell ref="B41:F44"/>
    <mergeCell ref="B34:I34"/>
  </mergeCells>
  <phoneticPr fontId="33" type="noConversion"/>
  <conditionalFormatting sqref="B36:G38">
    <cfRule type="containsBlanks" dxfId="23" priority="1">
      <formula>LEN(TRIM(B36))=0</formula>
    </cfRule>
  </conditionalFormatting>
  <conditionalFormatting sqref="B11:J14 L11:L14 O11:O14 Q11:Q14 B27:F30 B41:F44">
    <cfRule type="containsBlanks" dxfId="22" priority="2">
      <formula>LEN(TRIM(B11))=0</formula>
    </cfRule>
  </conditionalFormatting>
  <dataValidations disablePrompts="1" count="1">
    <dataValidation type="list" allowBlank="1" showInputMessage="1" sqref="Q11:Q12 Q14" xr:uid="{DC7E6F14-BE83-4A91-9A3E-2EF76352BC2A}">
      <formula1>"是,否"</formula1>
    </dataValidation>
  </dataValidations>
  <hyperlinks>
    <hyperlink ref="B4" location="汇总!A1" display="返回汇总页" xr:uid="{30A817CB-2FB2-41EC-8AA6-F0AC6FE6246A}"/>
  </hyperlinks>
  <pageMargins left="0.70866141732283505" right="0.70866141732283505" top="0.74803149606299202" bottom="0.74803149606299202" header="0.31496062992126" footer="0.31496062992126"/>
  <pageSetup paperSize="9" scale="57" fitToHeight="0" orientation="landscape" horizontalDpi="300" r:id="rId1"/>
  <headerFooter>
    <oddFooter>&amp;L&amp;"Arial,Regular"&amp;10Q SWP Loans and borrowings
(22 July 2025)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87C0-AC1D-4DDB-88A2-E3E093549363}">
  <sheetPr codeName="Sheet5">
    <pageSetUpPr autoPageBreaks="0"/>
  </sheetPr>
  <dimension ref="A1:Y27"/>
  <sheetViews>
    <sheetView showGridLines="0" zoomScale="70" zoomScaleNormal="70" workbookViewId="0">
      <selection activeCell="I12" sqref="I12"/>
    </sheetView>
  </sheetViews>
  <sheetFormatPr defaultColWidth="8.453125" defaultRowHeight="14" outlineLevelCol="1"/>
  <cols>
    <col min="1" max="1" width="2.6328125" style="42" customWidth="1"/>
    <col min="2" max="12" width="13.36328125" style="42" customWidth="1"/>
    <col min="13" max="17" width="13.36328125" style="42" customWidth="1" outlineLevel="1"/>
    <col min="18" max="18" width="13.36328125" style="42" customWidth="1"/>
    <col min="19" max="19" width="16" style="42" customWidth="1"/>
    <col min="20" max="20" width="16.36328125" style="42" customWidth="1"/>
    <col min="21" max="21" width="17" style="42" customWidth="1"/>
    <col min="22" max="23" width="13.36328125" style="42" customWidth="1"/>
    <col min="24" max="24" width="2.6328125" style="42" customWidth="1"/>
    <col min="25" max="25" width="1.6328125" style="42" customWidth="1"/>
    <col min="26" max="16384" width="8.453125" style="42"/>
  </cols>
  <sheetData>
    <row r="1" spans="1:25" ht="50.25" customHeight="1">
      <c r="B1" s="345" t="s">
        <v>364</v>
      </c>
      <c r="C1" s="43"/>
      <c r="D1" s="43"/>
      <c r="E1" s="43"/>
      <c r="F1" s="44"/>
      <c r="G1" s="44"/>
      <c r="H1" s="44"/>
      <c r="I1" s="44"/>
      <c r="J1" s="44"/>
      <c r="K1" s="44"/>
      <c r="L1" s="44"/>
      <c r="M1" s="44"/>
      <c r="N1" s="44"/>
      <c r="O1" s="45"/>
      <c r="P1" s="93"/>
      <c r="Q1" s="45"/>
      <c r="R1" s="45"/>
      <c r="S1" s="45"/>
      <c r="T1" s="45"/>
      <c r="U1" s="45"/>
      <c r="V1" s="45"/>
      <c r="W1" s="93"/>
      <c r="Y1" s="163"/>
    </row>
    <row r="2" spans="1:25" ht="30" customHeight="1">
      <c r="A2" s="47"/>
      <c r="B2" s="265" t="s">
        <v>169</v>
      </c>
      <c r="C2" s="141"/>
      <c r="D2" s="141"/>
      <c r="E2" s="141"/>
      <c r="F2" s="141"/>
      <c r="G2" s="141"/>
      <c r="H2" s="141"/>
      <c r="I2" s="141"/>
      <c r="J2" s="141"/>
      <c r="K2" s="141"/>
      <c r="L2" s="141"/>
      <c r="M2" s="141"/>
      <c r="N2" s="141"/>
      <c r="O2" s="141"/>
      <c r="P2" s="141"/>
      <c r="Q2" s="141"/>
      <c r="R2" s="141"/>
      <c r="S2" s="141"/>
      <c r="T2" s="141"/>
      <c r="U2" s="141"/>
      <c r="V2" s="141"/>
      <c r="W2" s="263"/>
      <c r="Y2" s="163"/>
    </row>
    <row r="3" spans="1:25" s="47" customFormat="1" ht="15" customHeight="1">
      <c r="B3" s="89"/>
      <c r="Y3" s="163"/>
    </row>
    <row r="4" spans="1:25" s="47" customFormat="1" ht="15" customHeight="1">
      <c r="B4" s="249" t="s">
        <v>117</v>
      </c>
      <c r="Y4" s="163"/>
    </row>
    <row r="5" spans="1:25" s="47" customFormat="1" ht="15" customHeight="1">
      <c r="B5" s="89"/>
      <c r="Y5" s="163"/>
    </row>
    <row r="6" spans="1:25" s="47" customFormat="1" ht="15" customHeight="1">
      <c r="B6" s="97" t="s">
        <v>170</v>
      </c>
      <c r="C6" s="98"/>
      <c r="D6" s="98"/>
      <c r="E6" s="98"/>
      <c r="F6" s="98"/>
      <c r="G6" s="98"/>
      <c r="H6" s="98"/>
      <c r="I6" s="98"/>
      <c r="J6" s="98"/>
      <c r="K6" s="98"/>
      <c r="L6" s="98"/>
      <c r="M6" s="98"/>
      <c r="N6" s="98"/>
      <c r="O6" s="98"/>
      <c r="P6" s="98"/>
      <c r="Q6" s="98"/>
      <c r="R6" s="98"/>
      <c r="S6" s="98"/>
      <c r="T6" s="98"/>
      <c r="U6" s="98"/>
      <c r="V6" s="98"/>
      <c r="W6" s="98"/>
      <c r="Y6" s="163"/>
    </row>
    <row r="7" spans="1:25" s="47" customFormat="1" ht="15" customHeight="1">
      <c r="B7" s="94"/>
      <c r="Y7" s="163"/>
    </row>
    <row r="8" spans="1:25" s="47" customFormat="1" ht="15" customHeight="1">
      <c r="B8" s="143" t="s">
        <v>171</v>
      </c>
      <c r="C8" s="159"/>
      <c r="D8" s="159"/>
      <c r="E8" s="159"/>
      <c r="F8" s="159"/>
      <c r="G8" s="159"/>
      <c r="H8" s="159"/>
      <c r="I8" s="159"/>
      <c r="J8" s="159"/>
      <c r="K8" s="159"/>
      <c r="L8" s="159"/>
      <c r="M8" s="159"/>
      <c r="N8" s="159"/>
      <c r="O8" s="159"/>
      <c r="P8" s="159"/>
      <c r="Q8" s="160"/>
      <c r="Y8" s="163"/>
    </row>
    <row r="9" spans="1:25" s="47" customFormat="1" ht="15" customHeight="1">
      <c r="B9" s="165" t="s">
        <v>172</v>
      </c>
      <c r="C9" s="166"/>
      <c r="D9" s="166"/>
      <c r="E9" s="166"/>
      <c r="F9" s="166"/>
      <c r="G9" s="166"/>
      <c r="H9" s="166"/>
      <c r="I9" s="166"/>
      <c r="J9" s="166"/>
      <c r="K9" s="166"/>
      <c r="L9" s="166"/>
      <c r="M9" s="166"/>
      <c r="N9" s="167"/>
      <c r="O9" s="167"/>
      <c r="P9" s="167"/>
      <c r="Q9" s="168"/>
      <c r="Y9" s="163"/>
    </row>
    <row r="10" spans="1:25" s="47" customFormat="1" ht="15" customHeight="1">
      <c r="B10" s="79" t="s">
        <v>173</v>
      </c>
      <c r="C10" s="169"/>
      <c r="D10" s="169"/>
      <c r="E10" s="169"/>
      <c r="F10" s="169"/>
      <c r="G10" s="169"/>
      <c r="H10" s="169"/>
      <c r="I10" s="169"/>
      <c r="J10" s="169"/>
      <c r="K10" s="169"/>
      <c r="L10" s="169"/>
      <c r="M10" s="169"/>
      <c r="N10" s="170"/>
      <c r="O10" s="170"/>
      <c r="P10" s="170"/>
      <c r="Q10" s="171"/>
      <c r="Y10" s="163"/>
    </row>
    <row r="11" spans="1:25" s="47" customFormat="1" ht="15" customHeight="1">
      <c r="B11" s="88"/>
      <c r="C11" s="161"/>
      <c r="D11" s="161"/>
      <c r="E11" s="161"/>
      <c r="F11" s="161"/>
      <c r="G11" s="161"/>
      <c r="H11" s="161"/>
      <c r="I11" s="161"/>
      <c r="J11" s="161"/>
      <c r="K11" s="161"/>
      <c r="L11" s="161"/>
      <c r="M11" s="161"/>
      <c r="N11" s="172"/>
      <c r="O11" s="172"/>
      <c r="P11" s="172"/>
      <c r="Q11" s="172"/>
      <c r="Y11" s="163"/>
    </row>
    <row r="12" spans="1:25" s="47" customFormat="1" ht="15" customHeight="1">
      <c r="B12" s="4" t="s">
        <v>174</v>
      </c>
      <c r="C12" s="3"/>
      <c r="D12" s="3"/>
      <c r="E12" s="3"/>
      <c r="F12" s="3"/>
      <c r="G12" s="3"/>
      <c r="H12" s="3"/>
      <c r="I12" s="3"/>
      <c r="J12" s="3"/>
      <c r="K12" s="3"/>
      <c r="L12" s="3"/>
      <c r="M12" s="3"/>
      <c r="N12" s="3"/>
      <c r="O12" s="3"/>
      <c r="P12" s="3"/>
      <c r="Q12" s="3"/>
      <c r="R12" s="5"/>
      <c r="S12" s="3"/>
      <c r="T12" s="3"/>
      <c r="U12" s="3"/>
      <c r="V12" s="3"/>
      <c r="W12" s="3"/>
      <c r="Y12" s="163"/>
    </row>
    <row r="13" spans="1:25" s="47" customFormat="1" ht="14.5">
      <c r="B13" s="6" t="s">
        <v>175</v>
      </c>
      <c r="C13" s="6" t="s">
        <v>175</v>
      </c>
      <c r="D13" s="6" t="s">
        <v>175</v>
      </c>
      <c r="E13" s="6" t="s">
        <v>175</v>
      </c>
      <c r="F13" s="6" t="s">
        <v>175</v>
      </c>
      <c r="G13" s="6" t="s">
        <v>175</v>
      </c>
      <c r="H13" s="7"/>
      <c r="I13" s="18" t="s">
        <v>176</v>
      </c>
      <c r="J13" s="18" t="s">
        <v>176</v>
      </c>
      <c r="K13" s="18" t="s">
        <v>176</v>
      </c>
      <c r="L13" s="18" t="s">
        <v>176</v>
      </c>
      <c r="M13" s="18" t="s">
        <v>176</v>
      </c>
      <c r="N13" s="18" t="s">
        <v>176</v>
      </c>
      <c r="O13" s="18" t="s">
        <v>176</v>
      </c>
      <c r="P13" s="18" t="s">
        <v>176</v>
      </c>
      <c r="Q13" s="18" t="s">
        <v>176</v>
      </c>
      <c r="R13" s="6" t="s">
        <v>177</v>
      </c>
      <c r="S13" s="6" t="s">
        <v>178</v>
      </c>
      <c r="T13" s="6" t="s">
        <v>178</v>
      </c>
      <c r="U13" s="6" t="s">
        <v>178</v>
      </c>
      <c r="V13" s="667" t="s">
        <v>179</v>
      </c>
      <c r="W13" s="668"/>
      <c r="Y13" s="163"/>
    </row>
    <row r="14" spans="1:25" s="47" customFormat="1" ht="58">
      <c r="B14" s="37" t="s">
        <v>180</v>
      </c>
      <c r="C14" s="37" t="s">
        <v>181</v>
      </c>
      <c r="D14" s="37" t="s">
        <v>182</v>
      </c>
      <c r="E14" s="37" t="s">
        <v>183</v>
      </c>
      <c r="F14" s="581" t="s">
        <v>184</v>
      </c>
      <c r="G14" s="581" t="s">
        <v>185</v>
      </c>
      <c r="H14" s="582" t="s">
        <v>186</v>
      </c>
      <c r="I14" s="37" t="s">
        <v>180</v>
      </c>
      <c r="J14" s="37" t="s">
        <v>181</v>
      </c>
      <c r="K14" s="582" t="s">
        <v>187</v>
      </c>
      <c r="L14" s="583" t="s">
        <v>188</v>
      </c>
      <c r="M14" s="582" t="s">
        <v>189</v>
      </c>
      <c r="N14" s="563" t="s">
        <v>190</v>
      </c>
      <c r="O14" s="563" t="s">
        <v>191</v>
      </c>
      <c r="P14" s="563" t="s">
        <v>192</v>
      </c>
      <c r="Q14" s="563" t="s">
        <v>193</v>
      </c>
      <c r="R14" s="330" t="s">
        <v>194</v>
      </c>
      <c r="S14" s="37" t="s">
        <v>195</v>
      </c>
      <c r="T14" s="37" t="s">
        <v>196</v>
      </c>
      <c r="U14" s="330" t="s">
        <v>197</v>
      </c>
      <c r="V14" s="37" t="s">
        <v>198</v>
      </c>
      <c r="W14" s="37" t="s">
        <v>199</v>
      </c>
      <c r="Y14" s="163"/>
    </row>
    <row r="15" spans="1:25" s="47" customFormat="1">
      <c r="B15" s="565"/>
      <c r="C15" s="565"/>
      <c r="D15" s="565"/>
      <c r="E15" s="568"/>
      <c r="F15" s="532"/>
      <c r="G15" s="532"/>
      <c r="H15" s="565"/>
      <c r="I15" s="565"/>
      <c r="J15" s="565"/>
      <c r="K15" s="568"/>
      <c r="L15" s="532"/>
      <c r="M15" s="531"/>
      <c r="N15" s="531"/>
      <c r="O15" s="565"/>
      <c r="P15" s="568"/>
      <c r="Q15" s="568"/>
      <c r="R15" s="532"/>
      <c r="S15" s="568"/>
      <c r="T15" s="568"/>
      <c r="U15" s="568"/>
      <c r="V15" s="568"/>
      <c r="W15" s="568"/>
      <c r="Y15" s="163"/>
    </row>
    <row r="16" spans="1:25" s="47" customFormat="1">
      <c r="B16" s="565"/>
      <c r="C16" s="565"/>
      <c r="D16" s="565"/>
      <c r="E16" s="568"/>
      <c r="F16" s="532"/>
      <c r="G16" s="532"/>
      <c r="H16" s="565"/>
      <c r="I16" s="565"/>
      <c r="J16" s="565"/>
      <c r="K16" s="568"/>
      <c r="L16" s="532"/>
      <c r="M16" s="531"/>
      <c r="N16" s="531"/>
      <c r="O16" s="565"/>
      <c r="P16" s="568"/>
      <c r="Q16" s="568"/>
      <c r="R16" s="532"/>
      <c r="S16" s="568"/>
      <c r="T16" s="568"/>
      <c r="U16" s="568"/>
      <c r="V16" s="568"/>
      <c r="W16" s="568"/>
      <c r="Y16" s="163"/>
    </row>
    <row r="17" spans="1:25" s="47" customFormat="1">
      <c r="B17" s="565"/>
      <c r="C17" s="565"/>
      <c r="D17" s="565"/>
      <c r="E17" s="568"/>
      <c r="F17" s="532"/>
      <c r="G17" s="532"/>
      <c r="H17" s="565"/>
      <c r="I17" s="565"/>
      <c r="J17" s="565"/>
      <c r="K17" s="568"/>
      <c r="L17" s="532"/>
      <c r="M17" s="531"/>
      <c r="N17" s="531"/>
      <c r="O17" s="565"/>
      <c r="P17" s="568"/>
      <c r="Q17" s="568"/>
      <c r="R17" s="532"/>
      <c r="S17" s="568"/>
      <c r="T17" s="568"/>
      <c r="U17" s="568"/>
      <c r="V17" s="568"/>
      <c r="W17" s="568"/>
      <c r="Y17" s="163"/>
    </row>
    <row r="18" spans="1:25" s="47" customFormat="1">
      <c r="B18" s="565"/>
      <c r="C18" s="565"/>
      <c r="D18" s="565"/>
      <c r="E18" s="568"/>
      <c r="F18" s="532"/>
      <c r="G18" s="532"/>
      <c r="H18" s="565"/>
      <c r="I18" s="565"/>
      <c r="J18" s="565"/>
      <c r="K18" s="568"/>
      <c r="L18" s="532"/>
      <c r="M18" s="531"/>
      <c r="N18" s="531"/>
      <c r="O18" s="565"/>
      <c r="P18" s="568"/>
      <c r="Q18" s="568"/>
      <c r="R18" s="532"/>
      <c r="S18" s="568"/>
      <c r="T18" s="568"/>
      <c r="U18" s="568"/>
      <c r="V18" s="568"/>
      <c r="W18" s="568"/>
      <c r="Y18" s="163"/>
    </row>
    <row r="19" spans="1:25" s="47" customFormat="1">
      <c r="B19" s="565"/>
      <c r="C19" s="565"/>
      <c r="D19" s="565"/>
      <c r="E19" s="568"/>
      <c r="F19" s="532"/>
      <c r="G19" s="532"/>
      <c r="H19" s="565"/>
      <c r="I19" s="565"/>
      <c r="J19" s="565"/>
      <c r="K19" s="568"/>
      <c r="L19" s="532"/>
      <c r="M19" s="531"/>
      <c r="N19" s="584"/>
      <c r="O19" s="565"/>
      <c r="P19" s="568"/>
      <c r="Q19" s="568"/>
      <c r="R19" s="532"/>
      <c r="S19" s="568"/>
      <c r="T19" s="568"/>
      <c r="U19" s="568"/>
      <c r="V19" s="568"/>
      <c r="W19" s="568"/>
      <c r="Y19" s="163"/>
    </row>
    <row r="20" spans="1:25" s="47" customFormat="1">
      <c r="B20" s="565"/>
      <c r="C20" s="565"/>
      <c r="D20" s="565"/>
      <c r="E20" s="568"/>
      <c r="F20" s="532"/>
      <c r="G20" s="532"/>
      <c r="H20" s="565"/>
      <c r="I20" s="565"/>
      <c r="J20" s="565"/>
      <c r="K20" s="568"/>
      <c r="L20" s="532"/>
      <c r="M20" s="531"/>
      <c r="N20" s="584"/>
      <c r="O20" s="565"/>
      <c r="P20" s="568"/>
      <c r="Q20" s="568"/>
      <c r="R20" s="532"/>
      <c r="S20" s="568"/>
      <c r="T20" s="568"/>
      <c r="U20" s="568"/>
      <c r="V20" s="568"/>
      <c r="W20" s="568"/>
      <c r="Y20" s="163"/>
    </row>
    <row r="21" spans="1:25" s="47" customFormat="1">
      <c r="B21" s="565"/>
      <c r="C21" s="565"/>
      <c r="D21" s="565"/>
      <c r="E21" s="568"/>
      <c r="F21" s="532"/>
      <c r="G21" s="532"/>
      <c r="H21" s="565"/>
      <c r="I21" s="565"/>
      <c r="J21" s="565"/>
      <c r="K21" s="568"/>
      <c r="L21" s="532"/>
      <c r="M21" s="531"/>
      <c r="N21" s="584"/>
      <c r="O21" s="565"/>
      <c r="P21" s="568"/>
      <c r="Q21" s="568"/>
      <c r="R21" s="532"/>
      <c r="S21" s="568"/>
      <c r="T21" s="568"/>
      <c r="U21" s="568"/>
      <c r="V21" s="568"/>
      <c r="W21" s="568"/>
      <c r="Y21" s="163"/>
    </row>
    <row r="22" spans="1:25" s="47" customFormat="1">
      <c r="B22" s="565"/>
      <c r="C22" s="565"/>
      <c r="D22" s="565"/>
      <c r="E22" s="568"/>
      <c r="F22" s="532"/>
      <c r="G22" s="532"/>
      <c r="H22" s="565"/>
      <c r="I22" s="565"/>
      <c r="J22" s="565"/>
      <c r="K22" s="568"/>
      <c r="L22" s="532"/>
      <c r="M22" s="531"/>
      <c r="N22" s="584"/>
      <c r="O22" s="565"/>
      <c r="P22" s="568"/>
      <c r="Q22" s="568"/>
      <c r="R22" s="532"/>
      <c r="S22" s="568"/>
      <c r="T22" s="568"/>
      <c r="U22" s="568"/>
      <c r="V22" s="568"/>
      <c r="W22" s="568"/>
      <c r="Y22" s="163"/>
    </row>
    <row r="23" spans="1:25" s="47" customFormat="1">
      <c r="B23" s="565"/>
      <c r="C23" s="565"/>
      <c r="D23" s="565"/>
      <c r="E23" s="565"/>
      <c r="F23" s="532"/>
      <c r="G23" s="532"/>
      <c r="H23" s="565"/>
      <c r="I23" s="565"/>
      <c r="J23" s="565"/>
      <c r="K23" s="568"/>
      <c r="L23" s="532"/>
      <c r="M23" s="531"/>
      <c r="N23" s="584"/>
      <c r="O23" s="565"/>
      <c r="P23" s="568"/>
      <c r="Q23" s="568"/>
      <c r="R23" s="532"/>
      <c r="S23" s="568"/>
      <c r="T23" s="568"/>
      <c r="U23" s="568"/>
      <c r="V23" s="568"/>
      <c r="W23" s="568"/>
      <c r="Y23" s="163"/>
    </row>
    <row r="24" spans="1:25" s="47" customFormat="1" ht="15" customHeight="1">
      <c r="A24" s="91"/>
      <c r="C24" s="91"/>
      <c r="D24" s="91"/>
      <c r="E24" s="91"/>
      <c r="F24" s="92"/>
      <c r="G24" s="91"/>
      <c r="H24" s="91"/>
      <c r="I24" s="91"/>
      <c r="J24" s="91"/>
      <c r="K24" s="91"/>
      <c r="L24" s="91"/>
      <c r="M24" s="91"/>
      <c r="N24" s="91"/>
      <c r="O24" s="91"/>
      <c r="P24" s="91"/>
      <c r="Y24" s="163"/>
    </row>
    <row r="25" spans="1:25" ht="15" customHeight="1">
      <c r="B25" s="112" t="s">
        <v>200</v>
      </c>
      <c r="Y25" s="163"/>
    </row>
    <row r="26" spans="1:25" ht="15" customHeight="1">
      <c r="B26" s="112"/>
      <c r="Y26" s="163"/>
    </row>
    <row r="27" spans="1:25" ht="6.75" customHeight="1">
      <c r="A27" s="163"/>
      <c r="B27" s="163"/>
      <c r="C27" s="163"/>
      <c r="D27" s="163"/>
      <c r="E27" s="164"/>
      <c r="F27" s="164">
        <v>45349</v>
      </c>
      <c r="G27" s="163"/>
      <c r="H27" s="163"/>
      <c r="I27" s="163"/>
      <c r="J27" s="163"/>
      <c r="K27" s="163"/>
      <c r="L27" s="163"/>
      <c r="M27" s="163"/>
      <c r="N27" s="163"/>
      <c r="O27" s="163"/>
      <c r="P27" s="163"/>
      <c r="Q27" s="163"/>
      <c r="R27" s="163"/>
      <c r="S27" s="163"/>
      <c r="T27" s="163"/>
      <c r="U27" s="163"/>
      <c r="V27" s="163"/>
      <c r="W27" s="163"/>
      <c r="X27" s="163"/>
      <c r="Y27" s="163"/>
    </row>
  </sheetData>
  <sheetProtection formatCells="0" formatColumns="0" formatRows="0" insertColumns="0" insertRows="0" insertHyperlinks="0" deleteColumns="0" deleteRows="0" sort="0" autoFilter="0" pivotTables="0"/>
  <mergeCells count="1">
    <mergeCell ref="V13:W13"/>
  </mergeCells>
  <phoneticPr fontId="18"/>
  <conditionalFormatting sqref="B15:W23">
    <cfRule type="containsBlanks" dxfId="21" priority="1">
      <formula>LEN(TRIM(B15))=0</formula>
    </cfRule>
  </conditionalFormatting>
  <hyperlinks>
    <hyperlink ref="B4" location="汇总!A1" display="返回汇总页" xr:uid="{F9892DC7-BAA0-49AD-8F3C-82A6BD36AA10}"/>
  </hyperlinks>
  <pageMargins left="0.70866141732283505" right="0.70866141732283505" top="0.74803149606299202" bottom="0.74803149606299202" header="0.31496062992126" footer="0.31496062992126"/>
  <pageSetup paperSize="9" scale="57" orientation="landscape" horizontalDpi="300" r:id="rId1"/>
  <headerFooter>
    <oddFooter>&amp;L&amp;"Arial,Regular"&amp;10Q SWP Loans and borrowings
(22 July 2025)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C6FD9-2D97-4889-95C2-0780E15600DC}">
  <sheetPr>
    <pageSetUpPr autoPageBreaks="0"/>
  </sheetPr>
  <dimension ref="A1:U33"/>
  <sheetViews>
    <sheetView showGridLines="0" zoomScale="70" zoomScaleNormal="70" workbookViewId="0">
      <selection activeCell="G5" sqref="G5"/>
    </sheetView>
  </sheetViews>
  <sheetFormatPr defaultColWidth="8.453125" defaultRowHeight="13.5" customHeight="1"/>
  <cols>
    <col min="1" max="1" width="2.6328125" style="42" customWidth="1"/>
    <col min="2" max="7" width="13.26953125" style="42" customWidth="1"/>
    <col min="8" max="8" width="14.26953125" style="42" customWidth="1"/>
    <col min="9" max="16" width="13.26953125" style="42" customWidth="1"/>
    <col min="17" max="17" width="15.36328125" style="42" customWidth="1"/>
    <col min="18" max="19" width="13.26953125" style="42" customWidth="1"/>
    <col min="20" max="20" width="2.6328125" style="42" customWidth="1"/>
    <col min="21" max="21" width="1.6328125" style="42" customWidth="1"/>
    <col min="22" max="22" width="8.453125" style="42"/>
    <col min="23" max="23" width="1.453125" style="42" customWidth="1"/>
    <col min="24" max="16384" width="8.453125" style="42"/>
  </cols>
  <sheetData>
    <row r="1" spans="1:21" ht="50.25" customHeight="1">
      <c r="B1" s="345" t="s">
        <v>365</v>
      </c>
      <c r="C1" s="43"/>
      <c r="D1" s="43"/>
      <c r="E1" s="43"/>
      <c r="F1" s="43"/>
      <c r="G1" s="43"/>
      <c r="H1" s="44"/>
      <c r="I1" s="44"/>
      <c r="J1" s="44"/>
      <c r="K1" s="44"/>
      <c r="L1" s="44"/>
      <c r="M1" s="44"/>
      <c r="N1" s="45"/>
      <c r="O1" s="93"/>
      <c r="P1" s="158"/>
      <c r="Q1" s="45"/>
      <c r="R1" s="45"/>
      <c r="S1" s="93"/>
      <c r="T1" s="46"/>
      <c r="U1" s="163"/>
    </row>
    <row r="2" spans="1:21" ht="30" customHeight="1">
      <c r="A2" s="47"/>
      <c r="B2" s="265" t="s">
        <v>201</v>
      </c>
      <c r="C2" s="141"/>
      <c r="D2" s="141"/>
      <c r="E2" s="141"/>
      <c r="F2" s="141"/>
      <c r="G2" s="141"/>
      <c r="H2" s="141"/>
      <c r="I2" s="141"/>
      <c r="J2" s="141"/>
      <c r="K2" s="141"/>
      <c r="L2" s="141"/>
      <c r="M2" s="141"/>
      <c r="N2" s="141"/>
      <c r="O2" s="141"/>
      <c r="P2" s="141"/>
      <c r="Q2" s="141"/>
      <c r="R2" s="141"/>
      <c r="S2" s="263"/>
      <c r="T2" s="142"/>
      <c r="U2" s="163"/>
    </row>
    <row r="3" spans="1:21" s="47" customFormat="1" ht="15" customHeight="1">
      <c r="B3" s="89"/>
      <c r="U3" s="163"/>
    </row>
    <row r="4" spans="1:21" s="47" customFormat="1" ht="15" customHeight="1">
      <c r="B4" s="249" t="s">
        <v>117</v>
      </c>
      <c r="U4" s="163"/>
    </row>
    <row r="5" spans="1:21" s="47" customFormat="1" ht="15" customHeight="1">
      <c r="B5" s="89"/>
      <c r="U5" s="163"/>
    </row>
    <row r="6" spans="1:21" s="47" customFormat="1" ht="15" customHeight="1">
      <c r="B6" s="97" t="s">
        <v>202</v>
      </c>
      <c r="C6" s="98"/>
      <c r="D6" s="98"/>
      <c r="E6" s="98"/>
      <c r="F6" s="98"/>
      <c r="G6" s="98"/>
      <c r="H6" s="98"/>
      <c r="I6" s="98"/>
      <c r="J6" s="98"/>
      <c r="K6" s="98"/>
      <c r="L6" s="98"/>
      <c r="M6" s="98"/>
      <c r="N6" s="98"/>
      <c r="O6" s="98"/>
      <c r="P6" s="98"/>
      <c r="Q6" s="98"/>
      <c r="R6" s="98"/>
      <c r="S6" s="98"/>
      <c r="U6" s="163"/>
    </row>
    <row r="7" spans="1:21" s="47" customFormat="1" ht="15" customHeight="1">
      <c r="B7" s="94"/>
      <c r="U7" s="163"/>
    </row>
    <row r="8" spans="1:21" s="47" customFormat="1" ht="15" customHeight="1">
      <c r="B8" s="143" t="s">
        <v>203</v>
      </c>
      <c r="C8" s="159"/>
      <c r="D8" s="159"/>
      <c r="E8" s="159"/>
      <c r="F8" s="159"/>
      <c r="G8" s="159"/>
      <c r="H8" s="159"/>
      <c r="I8" s="159"/>
      <c r="J8" s="159"/>
      <c r="K8" s="159"/>
      <c r="L8" s="159"/>
      <c r="M8" s="159"/>
      <c r="N8" s="159"/>
      <c r="O8" s="159"/>
      <c r="P8" s="160"/>
      <c r="U8" s="163"/>
    </row>
    <row r="9" spans="1:21" s="47" customFormat="1" ht="15" customHeight="1">
      <c r="B9" s="572" t="s">
        <v>204</v>
      </c>
      <c r="C9" s="573"/>
      <c r="D9" s="573"/>
      <c r="E9" s="573"/>
      <c r="F9" s="573"/>
      <c r="G9" s="573"/>
      <c r="H9" s="573"/>
      <c r="I9" s="573"/>
      <c r="J9" s="573"/>
      <c r="K9" s="573"/>
      <c r="L9" s="573"/>
      <c r="M9" s="574"/>
      <c r="N9" s="574"/>
      <c r="O9" s="574"/>
      <c r="P9" s="575"/>
      <c r="U9" s="163"/>
    </row>
    <row r="10" spans="1:21" s="47" customFormat="1" ht="15" customHeight="1">
      <c r="B10" s="161"/>
      <c r="U10" s="163"/>
    </row>
    <row r="11" spans="1:21" s="47" customFormat="1" ht="15" customHeight="1">
      <c r="B11" s="4" t="s">
        <v>205</v>
      </c>
      <c r="U11" s="163"/>
    </row>
    <row r="12" spans="1:21" s="47" customFormat="1" ht="15" customHeight="1">
      <c r="B12" s="4"/>
      <c r="C12" s="3"/>
      <c r="D12" s="3"/>
      <c r="H12" s="671" t="s">
        <v>206</v>
      </c>
      <c r="I12" s="671"/>
      <c r="J12" s="671"/>
      <c r="K12" s="669" t="s">
        <v>207</v>
      </c>
      <c r="L12" s="669"/>
      <c r="M12" s="669"/>
      <c r="N12" s="669"/>
      <c r="O12" s="669"/>
      <c r="P12" s="669"/>
      <c r="Q12" s="670"/>
      <c r="R12" s="341" t="s">
        <v>208</v>
      </c>
      <c r="S12" s="672" t="s">
        <v>209</v>
      </c>
      <c r="U12" s="163"/>
    </row>
    <row r="13" spans="1:21" s="47" customFormat="1" ht="60" customHeight="1">
      <c r="B13" s="37" t="s">
        <v>210</v>
      </c>
      <c r="C13" s="37" t="s">
        <v>181</v>
      </c>
      <c r="D13" s="162" t="s">
        <v>158</v>
      </c>
      <c r="E13" s="37" t="s">
        <v>211</v>
      </c>
      <c r="F13" s="37" t="s">
        <v>212</v>
      </c>
      <c r="G13" s="37" t="s">
        <v>213</v>
      </c>
      <c r="H13" s="37" t="s">
        <v>214</v>
      </c>
      <c r="I13" s="37" t="s">
        <v>215</v>
      </c>
      <c r="J13" s="37" t="s">
        <v>216</v>
      </c>
      <c r="K13" s="37" t="s">
        <v>217</v>
      </c>
      <c r="L13" s="37" t="s">
        <v>218</v>
      </c>
      <c r="M13" s="37" t="s">
        <v>219</v>
      </c>
      <c r="N13" s="37" t="s">
        <v>220</v>
      </c>
      <c r="O13" s="37" t="s">
        <v>221</v>
      </c>
      <c r="P13" s="37" t="s">
        <v>222</v>
      </c>
      <c r="Q13" s="37" t="s">
        <v>223</v>
      </c>
      <c r="R13" s="37">
        <v>1</v>
      </c>
      <c r="S13" s="673"/>
      <c r="U13" s="163"/>
    </row>
    <row r="14" spans="1:21" s="47" customFormat="1" ht="14">
      <c r="B14" s="565"/>
      <c r="C14" s="565"/>
      <c r="D14" s="565"/>
      <c r="E14" s="565"/>
      <c r="F14" s="532"/>
      <c r="G14" s="534"/>
      <c r="H14" s="565"/>
      <c r="I14" s="565"/>
      <c r="J14" s="532"/>
      <c r="K14" s="454"/>
      <c r="L14" s="454"/>
      <c r="M14" s="454"/>
      <c r="N14" s="454"/>
      <c r="O14" s="454"/>
      <c r="P14" s="535"/>
      <c r="Q14" s="454"/>
      <c r="R14" s="259"/>
      <c r="S14" s="156"/>
      <c r="U14" s="163"/>
    </row>
    <row r="15" spans="1:21" s="47" customFormat="1" ht="15" customHeight="1">
      <c r="B15" s="565"/>
      <c r="C15" s="565"/>
      <c r="D15" s="565"/>
      <c r="E15" s="565"/>
      <c r="F15" s="532"/>
      <c r="G15" s="534"/>
      <c r="H15" s="565"/>
      <c r="I15" s="565"/>
      <c r="J15" s="532"/>
      <c r="K15" s="454"/>
      <c r="L15" s="454"/>
      <c r="M15" s="454"/>
      <c r="N15" s="454"/>
      <c r="O15" s="454"/>
      <c r="P15" s="535"/>
      <c r="Q15" s="454"/>
      <c r="R15" s="259"/>
      <c r="S15" s="156"/>
      <c r="U15" s="163"/>
    </row>
    <row r="16" spans="1:21" s="47" customFormat="1" ht="15" customHeight="1">
      <c r="B16" s="565"/>
      <c r="C16" s="565"/>
      <c r="D16" s="565"/>
      <c r="E16" s="565"/>
      <c r="F16" s="532"/>
      <c r="G16" s="534"/>
      <c r="H16" s="565"/>
      <c r="I16" s="565"/>
      <c r="J16" s="532"/>
      <c r="K16" s="454"/>
      <c r="L16" s="454"/>
      <c r="M16" s="454"/>
      <c r="N16" s="454"/>
      <c r="O16" s="454"/>
      <c r="P16" s="535"/>
      <c r="Q16" s="454"/>
      <c r="R16" s="259"/>
      <c r="S16" s="156"/>
      <c r="U16" s="163"/>
    </row>
    <row r="17" spans="2:21" s="47" customFormat="1" ht="15" customHeight="1">
      <c r="B17" s="565"/>
      <c r="C17" s="565"/>
      <c r="D17" s="565"/>
      <c r="E17" s="565"/>
      <c r="F17" s="532"/>
      <c r="G17" s="534"/>
      <c r="H17" s="565"/>
      <c r="I17" s="565"/>
      <c r="J17" s="532"/>
      <c r="K17" s="454"/>
      <c r="L17" s="454"/>
      <c r="M17" s="454"/>
      <c r="N17" s="454"/>
      <c r="O17" s="454"/>
      <c r="P17" s="535"/>
      <c r="Q17" s="454"/>
      <c r="R17" s="259"/>
      <c r="S17" s="156"/>
      <c r="U17" s="163"/>
    </row>
    <row r="18" spans="2:21" s="47" customFormat="1" ht="15" customHeight="1">
      <c r="B18" s="565"/>
      <c r="C18" s="565"/>
      <c r="D18" s="565"/>
      <c r="E18" s="565"/>
      <c r="F18" s="532"/>
      <c r="G18" s="534"/>
      <c r="H18" s="565"/>
      <c r="I18" s="565"/>
      <c r="J18" s="532"/>
      <c r="K18" s="454"/>
      <c r="L18" s="454"/>
      <c r="M18" s="454"/>
      <c r="N18" s="454"/>
      <c r="O18" s="454"/>
      <c r="P18" s="535"/>
      <c r="Q18" s="454"/>
      <c r="R18" s="259"/>
      <c r="S18" s="156"/>
      <c r="U18" s="163"/>
    </row>
    <row r="19" spans="2:21" s="47" customFormat="1" ht="15" customHeight="1">
      <c r="B19" s="565"/>
      <c r="C19" s="565"/>
      <c r="D19" s="565"/>
      <c r="E19" s="565"/>
      <c r="F19" s="532"/>
      <c r="G19" s="534"/>
      <c r="H19" s="565"/>
      <c r="I19" s="565"/>
      <c r="J19" s="532"/>
      <c r="K19" s="454"/>
      <c r="L19" s="454"/>
      <c r="M19" s="454"/>
      <c r="N19" s="454"/>
      <c r="O19" s="454"/>
      <c r="P19" s="535"/>
      <c r="Q19" s="454"/>
      <c r="R19" s="259"/>
      <c r="S19" s="156"/>
      <c r="U19" s="163"/>
    </row>
    <row r="20" spans="2:21" s="47" customFormat="1" ht="15" customHeight="1">
      <c r="B20" s="565"/>
      <c r="C20" s="565"/>
      <c r="D20" s="565"/>
      <c r="E20" s="565"/>
      <c r="F20" s="532"/>
      <c r="G20" s="534"/>
      <c r="H20" s="565"/>
      <c r="I20" s="565"/>
      <c r="J20" s="532"/>
      <c r="K20" s="454"/>
      <c r="L20" s="454"/>
      <c r="M20" s="454"/>
      <c r="N20" s="454"/>
      <c r="O20" s="454"/>
      <c r="P20" s="535"/>
      <c r="Q20" s="454"/>
      <c r="R20" s="259"/>
      <c r="S20" s="156"/>
      <c r="U20" s="163"/>
    </row>
    <row r="21" spans="2:21" s="47" customFormat="1" ht="15" customHeight="1">
      <c r="B21" s="565"/>
      <c r="C21" s="565"/>
      <c r="D21" s="565"/>
      <c r="E21" s="565"/>
      <c r="F21" s="532"/>
      <c r="G21" s="534"/>
      <c r="H21" s="565"/>
      <c r="I21" s="565"/>
      <c r="J21" s="532"/>
      <c r="K21" s="454"/>
      <c r="L21" s="454"/>
      <c r="M21" s="454"/>
      <c r="N21" s="454"/>
      <c r="O21" s="454"/>
      <c r="P21" s="535"/>
      <c r="Q21" s="454"/>
      <c r="R21" s="259"/>
      <c r="S21" s="156"/>
      <c r="U21" s="163"/>
    </row>
    <row r="22" spans="2:21" s="47" customFormat="1" ht="15" customHeight="1">
      <c r="B22" s="3"/>
      <c r="C22" s="3"/>
      <c r="D22" s="3"/>
      <c r="E22" s="3"/>
      <c r="F22" s="3"/>
      <c r="G22" s="3"/>
      <c r="H22" s="3"/>
      <c r="I22" s="3"/>
      <c r="J22" s="3"/>
      <c r="K22" s="3"/>
      <c r="L22" s="3"/>
      <c r="M22" s="3"/>
      <c r="N22" s="3"/>
      <c r="O22" s="3"/>
      <c r="P22" s="3"/>
      <c r="Q22" s="3"/>
      <c r="R22" s="3"/>
      <c r="S22" s="3"/>
      <c r="U22" s="163"/>
    </row>
    <row r="23" spans="2:21" s="47" customFormat="1" ht="15" customHeight="1">
      <c r="B23" s="112" t="s">
        <v>224</v>
      </c>
      <c r="C23" s="3"/>
      <c r="D23" s="3"/>
      <c r="E23" s="3"/>
      <c r="F23" s="3"/>
      <c r="G23" s="3"/>
      <c r="H23" s="3"/>
      <c r="I23" s="3"/>
      <c r="J23" s="3"/>
      <c r="K23" s="3"/>
      <c r="L23" s="3"/>
      <c r="M23" s="3"/>
      <c r="N23" s="3"/>
      <c r="O23" s="3"/>
      <c r="P23" s="3"/>
      <c r="Q23" s="3"/>
      <c r="R23" s="3"/>
      <c r="S23" s="3"/>
      <c r="U23" s="163"/>
    </row>
    <row r="24" spans="2:21" s="47" customFormat="1" ht="15" customHeight="1">
      <c r="B24" s="112" t="s">
        <v>225</v>
      </c>
      <c r="C24" s="3"/>
      <c r="D24" s="3"/>
      <c r="E24" s="3"/>
      <c r="F24" s="3"/>
      <c r="G24" s="3"/>
      <c r="H24" s="3"/>
      <c r="I24" s="3"/>
      <c r="J24" s="3"/>
      <c r="K24" s="3"/>
      <c r="L24" s="3"/>
      <c r="M24" s="3"/>
      <c r="N24" s="3"/>
      <c r="O24" s="3"/>
      <c r="P24" s="3"/>
      <c r="Q24" s="3"/>
      <c r="R24" s="3"/>
      <c r="S24" s="3"/>
      <c r="U24" s="163"/>
    </row>
    <row r="25" spans="2:21" s="47" customFormat="1" ht="15" customHeight="1">
      <c r="B25" s="112" t="s">
        <v>226</v>
      </c>
      <c r="C25" s="3"/>
      <c r="D25" s="3"/>
      <c r="E25" s="3"/>
      <c r="F25" s="3"/>
      <c r="G25" s="3"/>
      <c r="H25" s="3"/>
      <c r="I25" s="3"/>
      <c r="J25" s="3"/>
      <c r="K25" s="3"/>
      <c r="L25" s="3"/>
      <c r="M25" s="3"/>
      <c r="N25" s="3"/>
      <c r="O25" s="3"/>
      <c r="P25" s="3"/>
      <c r="Q25" s="3"/>
      <c r="R25" s="3"/>
      <c r="S25" s="3"/>
      <c r="U25" s="163"/>
    </row>
    <row r="26" spans="2:21" s="47" customFormat="1" ht="15" customHeight="1">
      <c r="B26" s="3"/>
      <c r="C26" s="3"/>
      <c r="D26" s="3"/>
      <c r="E26" s="3"/>
      <c r="F26" s="3"/>
      <c r="G26" s="3"/>
      <c r="H26" s="3"/>
      <c r="I26" s="3"/>
      <c r="J26" s="3"/>
      <c r="K26" s="3"/>
      <c r="L26" s="3"/>
      <c r="M26" s="3"/>
      <c r="N26" s="3"/>
      <c r="O26" s="3"/>
      <c r="P26" s="3"/>
      <c r="Q26" s="3"/>
      <c r="R26" s="3"/>
      <c r="S26" s="3"/>
      <c r="U26" s="163"/>
    </row>
    <row r="27" spans="2:21" s="47" customFormat="1" ht="15" customHeight="1">
      <c r="B27" s="140" t="s">
        <v>94</v>
      </c>
      <c r="C27" s="21"/>
      <c r="D27" s="21"/>
      <c r="E27" s="21"/>
      <c r="F27" s="22"/>
      <c r="G27" s="100"/>
      <c r="H27" s="100"/>
      <c r="I27" s="100"/>
      <c r="J27" s="100"/>
      <c r="K27" s="100"/>
      <c r="L27" s="100"/>
      <c r="M27" s="100"/>
      <c r="N27" s="100"/>
      <c r="O27" s="100"/>
      <c r="P27" s="100"/>
      <c r="Q27" s="100"/>
      <c r="R27" s="100"/>
      <c r="S27" s="100"/>
      <c r="T27" s="100"/>
      <c r="U27" s="163"/>
    </row>
    <row r="28" spans="2:21" s="47" customFormat="1" ht="15" customHeight="1">
      <c r="B28" s="649"/>
      <c r="C28" s="650"/>
      <c r="D28" s="650"/>
      <c r="E28" s="650"/>
      <c r="F28" s="651"/>
      <c r="G28" s="100"/>
      <c r="H28" s="100"/>
      <c r="I28" s="100"/>
      <c r="J28" s="100"/>
      <c r="K28" s="100"/>
      <c r="L28" s="100"/>
      <c r="M28" s="100"/>
      <c r="N28" s="100"/>
      <c r="O28" s="100"/>
      <c r="P28" s="100"/>
      <c r="T28" s="100"/>
      <c r="U28" s="163"/>
    </row>
    <row r="29" spans="2:21" s="47" customFormat="1" ht="15" customHeight="1">
      <c r="B29" s="652"/>
      <c r="C29" s="653"/>
      <c r="D29" s="653"/>
      <c r="E29" s="653"/>
      <c r="F29" s="654"/>
      <c r="G29" s="91"/>
      <c r="H29" s="91"/>
      <c r="I29" s="91"/>
      <c r="J29" s="91"/>
      <c r="K29" s="91"/>
      <c r="L29" s="91"/>
      <c r="M29" s="91"/>
      <c r="N29" s="91"/>
      <c r="O29" s="91"/>
      <c r="U29" s="163"/>
    </row>
    <row r="30" spans="2:21" s="47" customFormat="1" ht="15" customHeight="1">
      <c r="B30" s="652"/>
      <c r="C30" s="653"/>
      <c r="D30" s="653"/>
      <c r="E30" s="653"/>
      <c r="F30" s="654"/>
      <c r="G30" s="91"/>
      <c r="H30" s="91"/>
      <c r="I30" s="91"/>
      <c r="J30" s="91"/>
      <c r="K30" s="91"/>
      <c r="L30" s="91"/>
      <c r="M30" s="91"/>
      <c r="N30" s="91"/>
      <c r="O30" s="91"/>
      <c r="U30" s="163"/>
    </row>
    <row r="31" spans="2:21" s="47" customFormat="1" ht="15" customHeight="1">
      <c r="B31" s="655"/>
      <c r="C31" s="656"/>
      <c r="D31" s="656"/>
      <c r="E31" s="656"/>
      <c r="F31" s="657"/>
      <c r="G31" s="91"/>
      <c r="H31" s="91"/>
      <c r="I31" s="91"/>
      <c r="J31" s="91"/>
      <c r="K31" s="91"/>
      <c r="L31" s="91"/>
      <c r="M31" s="91"/>
      <c r="N31" s="91"/>
      <c r="O31" s="91"/>
      <c r="U31" s="163"/>
    </row>
    <row r="32" spans="2:21" s="47" customFormat="1" ht="15" customHeight="1">
      <c r="B32" s="91"/>
      <c r="C32" s="91"/>
      <c r="D32" s="91"/>
      <c r="E32" s="91"/>
      <c r="F32" s="92"/>
      <c r="G32" s="91"/>
      <c r="H32" s="91"/>
      <c r="I32" s="91"/>
      <c r="J32" s="91"/>
      <c r="K32" s="91"/>
      <c r="L32" s="91"/>
      <c r="M32" s="91"/>
      <c r="N32" s="91"/>
      <c r="O32" s="91"/>
      <c r="U32" s="163"/>
    </row>
    <row r="33" spans="1:21" ht="6.75" customHeight="1">
      <c r="A33" s="163"/>
      <c r="B33" s="163"/>
      <c r="C33" s="163"/>
      <c r="D33" s="163"/>
      <c r="E33" s="164"/>
      <c r="F33" s="164">
        <v>45471</v>
      </c>
      <c r="G33" s="163"/>
      <c r="H33" s="163"/>
      <c r="I33" s="163"/>
      <c r="J33" s="163"/>
      <c r="K33" s="163"/>
      <c r="L33" s="163"/>
      <c r="M33" s="163"/>
      <c r="N33" s="163"/>
      <c r="O33" s="163"/>
      <c r="P33" s="163"/>
      <c r="Q33" s="163"/>
      <c r="R33" s="163"/>
      <c r="S33" s="163"/>
      <c r="T33" s="163"/>
      <c r="U33" s="163"/>
    </row>
  </sheetData>
  <sheetProtection formatCells="0" formatColumns="0" formatRows="0" insertColumns="0" insertRows="0" insertHyperlinks="0" deleteColumns="0" deleteRows="0" sort="0" autoFilter="0" pivotTables="0"/>
  <mergeCells count="4">
    <mergeCell ref="K12:Q12"/>
    <mergeCell ref="H12:J12"/>
    <mergeCell ref="B28:F31"/>
    <mergeCell ref="S12:S13"/>
  </mergeCells>
  <phoneticPr fontId="33" type="noConversion"/>
  <conditionalFormatting sqref="B28:F31">
    <cfRule type="containsBlanks" dxfId="20" priority="1">
      <formula>LEN(TRIM(B28))=0</formula>
    </cfRule>
  </conditionalFormatting>
  <conditionalFormatting sqref="B14:R21">
    <cfRule type="containsBlanks" dxfId="19" priority="2">
      <formula>LEN(TRIM(B14))=0</formula>
    </cfRule>
  </conditionalFormatting>
  <dataValidations count="1">
    <dataValidation type="list" allowBlank="1" showInputMessage="1" sqref="R14:R21" xr:uid="{825574A9-2559-4E05-A501-9DFA5BE5F382}">
      <formula1>"Y,N"</formula1>
    </dataValidation>
  </dataValidations>
  <hyperlinks>
    <hyperlink ref="B4" location="汇总!A1" display="返回汇总页" xr:uid="{E763B914-73FF-4942-BB27-0E00EF42B267}"/>
  </hyperlinks>
  <pageMargins left="0.70866141732283505" right="0.70866141732283505" top="0.74803149606299202" bottom="0.74803149606299202" header="0.31496062992126" footer="0.31496062992126"/>
  <pageSetup paperSize="9" scale="57" orientation="landscape" horizontalDpi="300" r:id="rId1"/>
  <headerFooter>
    <oddFooter>&amp;L&amp;"Arial,Regular"&amp;10Q SWP Loans and borrowings
(22 July 2025)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79021-0A62-4F56-A5B6-5896778519C4}">
  <dimension ref="A1:U28"/>
  <sheetViews>
    <sheetView showGridLines="0" zoomScale="70" zoomScaleNormal="70" workbookViewId="0">
      <selection activeCell="F4" sqref="F4"/>
    </sheetView>
  </sheetViews>
  <sheetFormatPr defaultColWidth="8.453125" defaultRowHeight="14"/>
  <cols>
    <col min="1" max="1" width="2.453125" style="42" customWidth="1"/>
    <col min="2" max="13" width="17.6328125" style="42" customWidth="1"/>
    <col min="14" max="14" width="2.453125" style="42" customWidth="1"/>
    <col min="15" max="15" width="0.90625" style="42" customWidth="1"/>
    <col min="16" max="16" width="8.453125" style="42"/>
    <col min="17" max="17" width="1.453125" style="42" customWidth="1"/>
    <col min="18" max="16384" width="8.453125" style="42"/>
  </cols>
  <sheetData>
    <row r="1" spans="1:15" ht="50.25" customHeight="1">
      <c r="B1" s="345" t="s">
        <v>365</v>
      </c>
      <c r="C1" s="43"/>
      <c r="D1" s="43"/>
      <c r="E1" s="44"/>
      <c r="F1" s="44"/>
      <c r="G1" s="44"/>
      <c r="H1" s="44"/>
      <c r="I1" s="45"/>
      <c r="J1" s="93"/>
      <c r="K1" s="45"/>
      <c r="L1" s="45"/>
      <c r="M1" s="93"/>
      <c r="N1" s="46"/>
      <c r="O1" s="163"/>
    </row>
    <row r="2" spans="1:15" ht="30" customHeight="1">
      <c r="A2" s="47"/>
      <c r="B2" s="571" t="s">
        <v>227</v>
      </c>
      <c r="C2" s="141"/>
      <c r="D2" s="141"/>
      <c r="E2" s="141"/>
      <c r="F2" s="141"/>
      <c r="G2" s="141"/>
      <c r="H2" s="141"/>
      <c r="I2" s="141"/>
      <c r="J2" s="141"/>
      <c r="K2" s="141"/>
      <c r="L2" s="141"/>
      <c r="M2" s="263"/>
      <c r="N2" s="142"/>
      <c r="O2" s="163"/>
    </row>
    <row r="3" spans="1:15" s="47" customFormat="1" ht="15" customHeight="1">
      <c r="B3" s="89"/>
      <c r="O3" s="163"/>
    </row>
    <row r="4" spans="1:15" s="47" customFormat="1" ht="15" customHeight="1">
      <c r="B4" s="249" t="s">
        <v>117</v>
      </c>
      <c r="O4" s="163"/>
    </row>
    <row r="5" spans="1:15" s="47" customFormat="1" ht="15" customHeight="1">
      <c r="B5" s="89"/>
      <c r="O5" s="163"/>
    </row>
    <row r="6" spans="1:15" s="47" customFormat="1" ht="15" customHeight="1">
      <c r="B6" s="245" t="s">
        <v>228</v>
      </c>
      <c r="C6" s="98"/>
      <c r="D6" s="98"/>
      <c r="E6" s="98"/>
      <c r="F6" s="98"/>
      <c r="G6" s="98"/>
      <c r="H6" s="98"/>
      <c r="I6" s="98"/>
      <c r="J6" s="98"/>
      <c r="K6" s="98"/>
      <c r="L6" s="98"/>
      <c r="M6" s="98"/>
      <c r="O6" s="163"/>
    </row>
    <row r="7" spans="1:15" s="47" customFormat="1" ht="15" customHeight="1">
      <c r="B7" s="91"/>
      <c r="C7" s="91"/>
      <c r="D7" s="91"/>
      <c r="E7" s="91"/>
      <c r="F7" s="91"/>
      <c r="G7" s="91"/>
      <c r="H7" s="91"/>
      <c r="I7" s="91"/>
      <c r="J7" s="91"/>
      <c r="O7" s="163"/>
    </row>
    <row r="8" spans="1:15" s="47" customFormat="1" ht="15" customHeight="1">
      <c r="B8" s="143" t="s">
        <v>203</v>
      </c>
      <c r="C8" s="144"/>
      <c r="D8" s="144"/>
      <c r="E8" s="144"/>
      <c r="F8" s="144"/>
      <c r="G8" s="144"/>
      <c r="H8" s="144"/>
      <c r="I8" s="145"/>
      <c r="O8" s="163"/>
    </row>
    <row r="9" spans="1:15" s="47" customFormat="1" ht="15" customHeight="1">
      <c r="B9" s="146" t="s">
        <v>229</v>
      </c>
      <c r="C9" s="147"/>
      <c r="D9" s="147"/>
      <c r="E9" s="147"/>
      <c r="F9" s="147"/>
      <c r="G9" s="147"/>
      <c r="H9" s="147"/>
      <c r="I9" s="148"/>
      <c r="O9" s="163"/>
    </row>
    <row r="10" spans="1:15" s="47" customFormat="1" ht="15" customHeight="1">
      <c r="B10" s="149" t="s">
        <v>230</v>
      </c>
      <c r="C10" s="150"/>
      <c r="D10" s="150"/>
      <c r="E10" s="150"/>
      <c r="F10" s="150"/>
      <c r="G10" s="150"/>
      <c r="H10" s="150"/>
      <c r="I10" s="151"/>
      <c r="O10" s="163"/>
    </row>
    <row r="11" spans="1:15" s="47" customFormat="1" ht="16.5" customHeight="1">
      <c r="B11" s="149" t="s">
        <v>231</v>
      </c>
      <c r="C11" s="152"/>
      <c r="D11" s="152"/>
      <c r="E11" s="152"/>
      <c r="F11" s="152"/>
      <c r="G11" s="152"/>
      <c r="H11" s="152"/>
      <c r="I11" s="153"/>
      <c r="M11" s="91"/>
      <c r="O11" s="163"/>
    </row>
    <row r="12" spans="1:15" s="47" customFormat="1" ht="15" customHeight="1">
      <c r="B12" s="91"/>
      <c r="C12" s="91"/>
      <c r="D12" s="91"/>
      <c r="E12" s="91"/>
      <c r="F12" s="91"/>
      <c r="G12" s="91"/>
      <c r="H12" s="91"/>
      <c r="I12" s="91"/>
      <c r="O12" s="163"/>
    </row>
    <row r="13" spans="1:15" s="47" customFormat="1" ht="15" customHeight="1">
      <c r="B13" s="154" t="s">
        <v>205</v>
      </c>
      <c r="C13" s="154"/>
      <c r="D13" s="91"/>
      <c r="E13" s="135" t="s">
        <v>232</v>
      </c>
      <c r="G13" s="91"/>
      <c r="H13" s="91"/>
      <c r="I13" s="91"/>
      <c r="J13" s="674" t="s">
        <v>208</v>
      </c>
      <c r="K13" s="675"/>
      <c r="L13" s="676"/>
      <c r="O13" s="163"/>
    </row>
    <row r="14" spans="1:15" s="47" customFormat="1" ht="60" customHeight="1">
      <c r="B14" s="155" t="s">
        <v>158</v>
      </c>
      <c r="C14" s="563" t="s">
        <v>233</v>
      </c>
      <c r="D14" s="563" t="s">
        <v>212</v>
      </c>
      <c r="E14" s="563" t="s">
        <v>234</v>
      </c>
      <c r="F14" s="342" t="s">
        <v>235</v>
      </c>
      <c r="G14" s="563" t="s">
        <v>191</v>
      </c>
      <c r="H14" s="563" t="s">
        <v>236</v>
      </c>
      <c r="I14" s="563" t="s">
        <v>237</v>
      </c>
      <c r="J14" s="563">
        <v>1</v>
      </c>
      <c r="K14" s="563">
        <v>2</v>
      </c>
      <c r="L14" s="563">
        <v>3</v>
      </c>
      <c r="M14" s="343" t="s">
        <v>209</v>
      </c>
      <c r="O14" s="163"/>
    </row>
    <row r="15" spans="1:15" s="47" customFormat="1" ht="15" customHeight="1">
      <c r="B15" s="454"/>
      <c r="C15" s="454"/>
      <c r="D15" s="536"/>
      <c r="E15" s="536">
        <f>C15-D15</f>
        <v>0</v>
      </c>
      <c r="F15" s="40"/>
      <c r="G15" s="536"/>
      <c r="H15" s="454"/>
      <c r="I15" s="454"/>
      <c r="J15" s="565"/>
      <c r="K15" s="565"/>
      <c r="L15" s="565"/>
      <c r="M15" s="533"/>
      <c r="O15" s="163"/>
    </row>
    <row r="16" spans="1:15" s="47" customFormat="1" ht="15" customHeight="1">
      <c r="B16" s="454"/>
      <c r="C16" s="454"/>
      <c r="D16" s="536"/>
      <c r="E16" s="536">
        <f t="shared" ref="E16:E19" si="0">C16-D16</f>
        <v>0</v>
      </c>
      <c r="F16" s="40"/>
      <c r="G16" s="536"/>
      <c r="H16" s="454"/>
      <c r="I16" s="454"/>
      <c r="J16" s="565"/>
      <c r="K16" s="565"/>
      <c r="L16" s="565"/>
      <c r="M16" s="533"/>
      <c r="O16" s="163"/>
    </row>
    <row r="17" spans="1:21" s="47" customFormat="1" ht="15" customHeight="1">
      <c r="B17" s="454"/>
      <c r="C17" s="454"/>
      <c r="D17" s="536"/>
      <c r="E17" s="536">
        <f t="shared" si="0"/>
        <v>0</v>
      </c>
      <c r="F17" s="40"/>
      <c r="G17" s="536"/>
      <c r="H17" s="454"/>
      <c r="I17" s="454"/>
      <c r="J17" s="565"/>
      <c r="K17" s="565"/>
      <c r="L17" s="565"/>
      <c r="M17" s="533"/>
      <c r="O17" s="163"/>
    </row>
    <row r="18" spans="1:21" s="47" customFormat="1" ht="15" customHeight="1">
      <c r="B18" s="454"/>
      <c r="C18" s="454"/>
      <c r="D18" s="536"/>
      <c r="E18" s="536">
        <f t="shared" si="0"/>
        <v>0</v>
      </c>
      <c r="F18" s="40"/>
      <c r="G18" s="536"/>
      <c r="H18" s="454"/>
      <c r="I18" s="454"/>
      <c r="J18" s="565"/>
      <c r="K18" s="565"/>
      <c r="L18" s="565"/>
      <c r="M18" s="454"/>
      <c r="O18" s="163"/>
    </row>
    <row r="19" spans="1:21" s="47" customFormat="1" ht="15" customHeight="1">
      <c r="B19" s="454"/>
      <c r="C19" s="454"/>
      <c r="D19" s="536"/>
      <c r="E19" s="536">
        <f t="shared" si="0"/>
        <v>0</v>
      </c>
      <c r="F19" s="40"/>
      <c r="G19" s="536"/>
      <c r="H19" s="454"/>
      <c r="I19" s="454"/>
      <c r="J19" s="565"/>
      <c r="K19" s="565"/>
      <c r="L19" s="565"/>
      <c r="M19" s="454"/>
      <c r="O19" s="163"/>
    </row>
    <row r="20" spans="1:21" s="47" customFormat="1" ht="15" customHeight="1">
      <c r="B20" s="91"/>
      <c r="C20" s="91"/>
      <c r="D20" s="157" t="s">
        <v>149</v>
      </c>
      <c r="E20" s="91"/>
      <c r="F20" s="91"/>
      <c r="G20" s="91"/>
      <c r="H20" s="91"/>
      <c r="I20" s="91"/>
      <c r="O20" s="163"/>
    </row>
    <row r="21" spans="1:21" s="47" customFormat="1" ht="15" customHeight="1">
      <c r="B21" s="91"/>
      <c r="C21" s="91"/>
      <c r="D21" s="91"/>
      <c r="E21" s="91"/>
      <c r="F21" s="91"/>
      <c r="G21" s="91"/>
      <c r="H21" s="91"/>
      <c r="I21" s="91"/>
      <c r="O21" s="163"/>
    </row>
    <row r="22" spans="1:21" s="47" customFormat="1" ht="15" customHeight="1">
      <c r="B22" s="140" t="s">
        <v>94</v>
      </c>
      <c r="C22" s="21"/>
      <c r="D22" s="21"/>
      <c r="E22" s="21"/>
      <c r="F22" s="22"/>
      <c r="G22" s="91"/>
      <c r="H22" s="91"/>
      <c r="I22" s="91"/>
      <c r="O22" s="163"/>
    </row>
    <row r="23" spans="1:21" s="47" customFormat="1" ht="15" customHeight="1">
      <c r="B23" s="625"/>
      <c r="C23" s="626"/>
      <c r="D23" s="626"/>
      <c r="E23" s="626"/>
      <c r="F23" s="627"/>
      <c r="O23" s="163"/>
    </row>
    <row r="24" spans="1:21" s="47" customFormat="1" ht="15" customHeight="1">
      <c r="B24" s="677"/>
      <c r="C24" s="629"/>
      <c r="D24" s="629"/>
      <c r="E24" s="629"/>
      <c r="F24" s="630"/>
      <c r="O24" s="163"/>
    </row>
    <row r="25" spans="1:21" ht="15" customHeight="1">
      <c r="B25" s="628"/>
      <c r="C25" s="629"/>
      <c r="D25" s="629"/>
      <c r="E25" s="629"/>
      <c r="F25" s="630"/>
      <c r="O25" s="163"/>
    </row>
    <row r="26" spans="1:21" ht="15" customHeight="1">
      <c r="B26" s="631"/>
      <c r="C26" s="632"/>
      <c r="D26" s="632"/>
      <c r="E26" s="632"/>
      <c r="F26" s="633"/>
      <c r="O26" s="163"/>
    </row>
    <row r="27" spans="1:21" ht="15" customHeight="1">
      <c r="O27" s="163"/>
    </row>
    <row r="28" spans="1:21" ht="6.75" customHeight="1">
      <c r="A28" s="163"/>
      <c r="B28" s="163"/>
      <c r="C28" s="163"/>
      <c r="D28" s="163"/>
      <c r="E28" s="164"/>
      <c r="F28" s="164">
        <v>45471</v>
      </c>
      <c r="G28" s="163"/>
      <c r="H28" s="163"/>
      <c r="I28" s="163"/>
      <c r="J28" s="163"/>
      <c r="K28" s="163"/>
      <c r="L28" s="163"/>
      <c r="M28" s="163"/>
      <c r="N28" s="163"/>
      <c r="O28" s="163"/>
      <c r="P28" s="47"/>
      <c r="Q28" s="47"/>
      <c r="R28" s="47"/>
      <c r="S28" s="47"/>
      <c r="T28" s="47"/>
      <c r="U28" s="47"/>
    </row>
  </sheetData>
  <sheetProtection formatCells="0" formatColumns="0" formatRows="0" insertColumns="0" insertRows="0" insertHyperlinks="0" deleteColumns="0" deleteRows="0" sort="0" autoFilter="0" pivotTables="0"/>
  <mergeCells count="2">
    <mergeCell ref="J13:L13"/>
    <mergeCell ref="B23:F26"/>
  </mergeCells>
  <phoneticPr fontId="33" type="noConversion"/>
  <conditionalFormatting sqref="B23:B25">
    <cfRule type="containsBlanks" dxfId="18" priority="2">
      <formula>LEN(TRIM(B23))=0</formula>
    </cfRule>
  </conditionalFormatting>
  <conditionalFormatting sqref="B15:D19">
    <cfRule type="containsBlanks" dxfId="17" priority="6">
      <formula>LEN(TRIM(B15))=0</formula>
    </cfRule>
  </conditionalFormatting>
  <conditionalFormatting sqref="F15:L19">
    <cfRule type="containsBlanks" dxfId="16" priority="1">
      <formula>LEN(TRIM(F15))=0</formula>
    </cfRule>
  </conditionalFormatting>
  <dataValidations count="1">
    <dataValidation type="list" allowBlank="1" showInputMessage="1" sqref="J15:L19" xr:uid="{84FFF816-E47D-41B7-A01E-D47C9AFEC675}">
      <formula1>"Y,N"</formula1>
    </dataValidation>
  </dataValidations>
  <hyperlinks>
    <hyperlink ref="B4" location="汇总!A1" display="返回汇总页" xr:uid="{D3C54B29-59B8-422C-88B6-006DF2656AF8}"/>
  </hyperlinks>
  <pageMargins left="0.70866141732283505" right="0.70866141732283505" top="0.74803149606299202" bottom="0.74803149606299202" header="0.31496062992126" footer="0.31496062992126"/>
  <pageSetup paperSize="9" scale="57" orientation="landscape" horizontalDpi="300" r:id="rId1"/>
  <headerFooter>
    <oddFooter>&amp;L&amp;"Arial,Regular"&amp;10Q SWP Loans and borrowings
(22 July 2025)</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D7B41-7D90-44FB-8CAC-44D92D566263}">
  <sheetPr codeName="Sheet3">
    <pageSetUpPr autoPageBreaks="0"/>
  </sheetPr>
  <dimension ref="A1:V61"/>
  <sheetViews>
    <sheetView showGridLines="0" zoomScale="70" zoomScaleNormal="70" workbookViewId="0">
      <selection activeCell="D4" sqref="D4"/>
    </sheetView>
  </sheetViews>
  <sheetFormatPr defaultColWidth="8.453125" defaultRowHeight="15" customHeight="1"/>
  <cols>
    <col min="1" max="1" width="2.6328125" style="42" customWidth="1"/>
    <col min="2" max="11" width="17.26953125" style="42" customWidth="1"/>
    <col min="12" max="12" width="18" style="42" customWidth="1"/>
    <col min="13" max="13" width="17.26953125" style="42" customWidth="1"/>
    <col min="14" max="14" width="13.08984375" style="42" customWidth="1"/>
    <col min="15" max="15" width="12.36328125" style="42" customWidth="1"/>
    <col min="16" max="16" width="11" style="42" customWidth="1"/>
    <col min="17" max="17" width="13.90625" style="42" customWidth="1"/>
    <col min="18" max="18" width="7.36328125" style="42" customWidth="1"/>
    <col min="19" max="19" width="2.6328125" style="42" customWidth="1"/>
    <col min="20" max="20" width="1.6328125" style="42" customWidth="1"/>
    <col min="21" max="16384" width="8.453125" style="42"/>
  </cols>
  <sheetData>
    <row r="1" spans="1:20" ht="50.25" customHeight="1">
      <c r="B1" s="345" t="s">
        <v>364</v>
      </c>
      <c r="C1" s="114"/>
      <c r="D1" s="114"/>
      <c r="E1" s="114"/>
      <c r="F1" s="115"/>
      <c r="G1" s="115"/>
      <c r="H1" s="115"/>
      <c r="I1" s="115"/>
      <c r="J1" s="115"/>
      <c r="K1" s="115"/>
      <c r="L1" s="115"/>
      <c r="M1" s="115"/>
      <c r="N1" s="116"/>
      <c r="O1" s="116"/>
      <c r="P1" s="116"/>
      <c r="Q1" s="116"/>
      <c r="R1" s="256"/>
      <c r="T1" s="163"/>
    </row>
    <row r="2" spans="1:20" ht="30" customHeight="1">
      <c r="A2" s="47"/>
      <c r="B2" s="48" t="s">
        <v>238</v>
      </c>
      <c r="C2" s="49"/>
      <c r="D2" s="49"/>
      <c r="E2" s="49"/>
      <c r="F2" s="49"/>
      <c r="G2" s="49"/>
      <c r="H2" s="49"/>
      <c r="I2" s="49"/>
      <c r="J2" s="49"/>
      <c r="K2" s="49"/>
      <c r="L2" s="49"/>
      <c r="M2" s="49"/>
      <c r="N2" s="49"/>
      <c r="O2" s="49"/>
      <c r="P2" s="49"/>
      <c r="Q2" s="49"/>
      <c r="R2" s="50"/>
      <c r="T2" s="163"/>
    </row>
    <row r="3" spans="1:20" ht="15" customHeight="1">
      <c r="B3" s="51"/>
      <c r="C3" s="51"/>
      <c r="D3" s="51"/>
      <c r="E3" s="51"/>
      <c r="F3" s="51"/>
      <c r="G3" s="51"/>
      <c r="H3" s="51"/>
      <c r="I3" s="51"/>
      <c r="J3" s="51"/>
      <c r="K3" s="51"/>
      <c r="L3" s="51"/>
      <c r="M3" s="51"/>
      <c r="N3" s="51"/>
      <c r="O3" s="51"/>
      <c r="T3" s="163"/>
    </row>
    <row r="4" spans="1:20" ht="15" customHeight="1">
      <c r="B4" s="249" t="s">
        <v>117</v>
      </c>
      <c r="C4" s="51"/>
      <c r="D4" s="51"/>
      <c r="E4" s="51"/>
      <c r="F4" s="51"/>
      <c r="G4" s="51"/>
      <c r="H4" s="51"/>
      <c r="I4" s="51"/>
      <c r="J4" s="51"/>
      <c r="K4" s="51"/>
      <c r="L4" s="51"/>
      <c r="M4" s="51"/>
      <c r="N4" s="51"/>
      <c r="O4" s="51"/>
      <c r="T4" s="163"/>
    </row>
    <row r="5" spans="1:20" ht="15" customHeight="1">
      <c r="B5" s="51"/>
      <c r="C5" s="51"/>
      <c r="D5" s="51"/>
      <c r="E5" s="51"/>
      <c r="F5" s="51"/>
      <c r="G5" s="51"/>
      <c r="H5" s="51"/>
      <c r="I5" s="51"/>
      <c r="J5" s="51"/>
      <c r="K5" s="51"/>
      <c r="L5" s="51"/>
      <c r="M5" s="51"/>
      <c r="N5" s="51"/>
      <c r="O5" s="51"/>
      <c r="T5" s="163"/>
    </row>
    <row r="6" spans="1:20" s="47" customFormat="1" ht="15" customHeight="1">
      <c r="B6" s="257" t="s">
        <v>239</v>
      </c>
      <c r="C6" s="117"/>
      <c r="D6" s="117"/>
      <c r="E6" s="117"/>
      <c r="F6" s="117"/>
      <c r="G6" s="117"/>
      <c r="H6" s="117"/>
      <c r="I6" s="117"/>
      <c r="J6" s="117"/>
      <c r="K6" s="117"/>
      <c r="L6" s="117"/>
      <c r="M6" s="117"/>
      <c r="N6" s="117"/>
      <c r="O6" s="117"/>
      <c r="T6" s="163"/>
    </row>
    <row r="7" spans="1:20" s="47" customFormat="1" ht="15" customHeight="1">
      <c r="B7" s="690"/>
      <c r="C7" s="690"/>
      <c r="D7" s="690"/>
      <c r="E7" s="690"/>
      <c r="F7" s="690"/>
      <c r="G7" s="690"/>
      <c r="H7" s="690"/>
      <c r="I7" s="690"/>
      <c r="J7" s="690"/>
      <c r="K7" s="690"/>
      <c r="L7" s="690"/>
      <c r="M7" s="118"/>
      <c r="N7" s="118"/>
      <c r="O7" s="118"/>
      <c r="T7" s="163"/>
    </row>
    <row r="8" spans="1:20" s="47" customFormat="1" ht="15" customHeight="1">
      <c r="B8" s="690"/>
      <c r="C8" s="690"/>
      <c r="D8" s="690"/>
      <c r="E8" s="690"/>
      <c r="F8" s="690"/>
      <c r="G8" s="690"/>
      <c r="H8" s="690"/>
      <c r="I8" s="690"/>
      <c r="J8" s="690"/>
      <c r="K8" s="690"/>
      <c r="L8" s="690"/>
      <c r="M8" s="118"/>
      <c r="N8" s="118"/>
      <c r="O8" s="118"/>
      <c r="T8" s="163"/>
    </row>
    <row r="9" spans="1:20" s="47" customFormat="1" ht="15" customHeight="1">
      <c r="B9" s="690"/>
      <c r="C9" s="690"/>
      <c r="D9" s="690"/>
      <c r="E9" s="690"/>
      <c r="F9" s="690"/>
      <c r="G9" s="690"/>
      <c r="H9" s="690"/>
      <c r="I9" s="690"/>
      <c r="J9" s="690"/>
      <c r="K9" s="690"/>
      <c r="L9" s="690"/>
      <c r="M9" s="118"/>
      <c r="N9" s="118"/>
      <c r="O9" s="118"/>
      <c r="T9" s="163"/>
    </row>
    <row r="10" spans="1:20" s="47" customFormat="1" ht="15" customHeight="1">
      <c r="B10" s="56"/>
      <c r="C10" s="56"/>
      <c r="D10" s="56"/>
      <c r="E10" s="56"/>
      <c r="T10" s="163"/>
    </row>
    <row r="11" spans="1:20" s="47" customFormat="1" ht="15" customHeight="1">
      <c r="B11" s="119"/>
      <c r="C11" s="120"/>
      <c r="D11" s="120"/>
      <c r="E11" s="121"/>
      <c r="I11" s="58"/>
      <c r="J11" s="58"/>
      <c r="K11" s="58"/>
      <c r="L11" s="58"/>
      <c r="N11" s="58"/>
      <c r="O11" s="58"/>
      <c r="T11" s="163"/>
    </row>
    <row r="12" spans="1:20" s="47" customFormat="1" ht="15" customHeight="1">
      <c r="B12" s="120" t="s">
        <v>240</v>
      </c>
      <c r="C12" s="120"/>
      <c r="D12" s="120"/>
      <c r="E12" s="2"/>
      <c r="F12" s="61"/>
      <c r="I12" s="58"/>
      <c r="J12" s="58"/>
      <c r="K12" s="58"/>
      <c r="L12" s="58"/>
      <c r="N12" s="58"/>
      <c r="O12" s="58"/>
      <c r="T12" s="163"/>
    </row>
    <row r="13" spans="1:20" s="47" customFormat="1" ht="19.5" customHeight="1">
      <c r="B13" s="119" t="s">
        <v>241</v>
      </c>
      <c r="C13" s="120"/>
      <c r="D13" s="120"/>
      <c r="E13" s="2">
        <f>'Q1.01 BKD'!E15</f>
        <v>0</v>
      </c>
      <c r="F13" s="61" t="s">
        <v>242</v>
      </c>
      <c r="I13" s="58"/>
      <c r="J13" s="58"/>
      <c r="K13" s="58"/>
      <c r="L13" s="58"/>
      <c r="N13" s="58"/>
      <c r="O13" s="58"/>
      <c r="T13" s="163"/>
    </row>
    <row r="14" spans="1:20" s="47" customFormat="1" ht="15" customHeight="1">
      <c r="B14" s="122" t="s">
        <v>243</v>
      </c>
      <c r="C14" s="122"/>
      <c r="D14" s="122"/>
      <c r="E14" s="63">
        <f>E12-E13</f>
        <v>0</v>
      </c>
      <c r="F14" s="61" t="s">
        <v>76</v>
      </c>
      <c r="G14" s="64" t="s">
        <v>244</v>
      </c>
      <c r="H14" s="58"/>
      <c r="I14" s="58"/>
      <c r="J14" s="123" t="str">
        <f>IF(ABS(E14)&gt;'Q1.00 Lead'!$C$6, "是", "否")</f>
        <v>否</v>
      </c>
      <c r="K14" s="58"/>
      <c r="L14" s="58"/>
      <c r="N14" s="58"/>
      <c r="O14" s="58"/>
      <c r="T14" s="163"/>
    </row>
    <row r="15" spans="1:20" s="47" customFormat="1" ht="15" customHeight="1">
      <c r="B15" s="112"/>
      <c r="C15" s="120"/>
      <c r="D15" s="120"/>
      <c r="E15" s="66"/>
      <c r="F15" s="61"/>
      <c r="G15" s="64"/>
      <c r="H15" s="58"/>
      <c r="I15" s="58"/>
      <c r="J15" s="58"/>
      <c r="K15" s="58"/>
      <c r="L15" s="58"/>
      <c r="N15" s="58"/>
      <c r="O15" s="58"/>
      <c r="T15" s="163"/>
    </row>
    <row r="16" spans="1:20" s="47" customFormat="1" ht="15" customHeight="1">
      <c r="B16" s="91" t="s">
        <v>245</v>
      </c>
      <c r="C16" s="91"/>
      <c r="D16" s="124"/>
      <c r="E16" s="2">
        <f>SUM(K34:K40)</f>
        <v>0</v>
      </c>
      <c r="F16" s="125"/>
      <c r="H16" s="126"/>
      <c r="I16" s="58"/>
      <c r="J16" s="58"/>
      <c r="K16" s="58"/>
      <c r="L16" s="58"/>
      <c r="N16" s="58"/>
      <c r="O16" s="58"/>
      <c r="T16" s="163"/>
    </row>
    <row r="17" spans="1:20" s="47" customFormat="1" ht="15" customHeight="1">
      <c r="B17" s="122" t="s">
        <v>246</v>
      </c>
      <c r="C17" s="122"/>
      <c r="D17" s="58"/>
      <c r="E17" s="127">
        <f>E12-E16</f>
        <v>0</v>
      </c>
      <c r="F17" s="61" t="s">
        <v>76</v>
      </c>
      <c r="H17" s="72"/>
      <c r="I17" s="58"/>
      <c r="J17" s="58"/>
      <c r="K17" s="58"/>
      <c r="L17" s="58"/>
      <c r="N17" s="58"/>
      <c r="O17" s="58"/>
      <c r="T17" s="163"/>
    </row>
    <row r="18" spans="1:20" s="47" customFormat="1" ht="15" customHeight="1">
      <c r="B18" s="112" t="s">
        <v>247</v>
      </c>
      <c r="C18" s="126"/>
      <c r="D18" s="126"/>
      <c r="E18" s="126"/>
      <c r="F18" s="128"/>
      <c r="G18" s="126"/>
      <c r="H18" s="126"/>
      <c r="I18" s="126"/>
      <c r="J18" s="126"/>
      <c r="N18" s="58"/>
      <c r="O18" s="58"/>
      <c r="T18" s="163"/>
    </row>
    <row r="19" spans="1:20" s="47" customFormat="1" ht="15" customHeight="1">
      <c r="B19" s="112"/>
      <c r="C19" s="126"/>
      <c r="D19" s="126"/>
      <c r="E19" s="126"/>
      <c r="F19" s="128"/>
      <c r="G19" s="126"/>
      <c r="H19" s="126"/>
      <c r="I19" s="126"/>
      <c r="J19" s="126"/>
      <c r="N19" s="58"/>
      <c r="O19" s="58"/>
      <c r="T19" s="163"/>
    </row>
    <row r="20" spans="1:20" s="47" customFormat="1" ht="15" customHeight="1">
      <c r="B20" s="258" t="s">
        <v>248</v>
      </c>
      <c r="C20" s="129"/>
      <c r="D20" s="129"/>
      <c r="E20" s="94"/>
      <c r="F20" s="129"/>
      <c r="G20" s="129"/>
      <c r="H20" s="129"/>
      <c r="I20" s="129"/>
      <c r="J20" s="129"/>
      <c r="T20" s="163"/>
    </row>
    <row r="21" spans="1:20" s="47" customFormat="1" ht="14">
      <c r="B21" s="691"/>
      <c r="C21" s="691"/>
      <c r="D21" s="691"/>
      <c r="E21" s="691"/>
      <c r="F21" s="691"/>
      <c r="G21" s="691"/>
      <c r="H21" s="691"/>
      <c r="I21" s="691"/>
      <c r="J21" s="691"/>
      <c r="K21" s="691"/>
      <c r="L21" s="691"/>
      <c r="M21" s="118"/>
      <c r="N21" s="118"/>
      <c r="O21" s="118"/>
      <c r="T21" s="163"/>
    </row>
    <row r="22" spans="1:20" s="47" customFormat="1" ht="14">
      <c r="B22" s="691"/>
      <c r="C22" s="691"/>
      <c r="D22" s="691"/>
      <c r="E22" s="691"/>
      <c r="F22" s="691"/>
      <c r="G22" s="691"/>
      <c r="H22" s="691"/>
      <c r="I22" s="691"/>
      <c r="J22" s="691"/>
      <c r="K22" s="691"/>
      <c r="L22" s="691"/>
      <c r="M22" s="118"/>
      <c r="N22" s="118"/>
      <c r="O22" s="118"/>
      <c r="T22" s="163"/>
    </row>
    <row r="23" spans="1:20" s="47" customFormat="1" ht="14">
      <c r="B23" s="691"/>
      <c r="C23" s="691"/>
      <c r="D23" s="691"/>
      <c r="E23" s="691"/>
      <c r="F23" s="691"/>
      <c r="G23" s="691"/>
      <c r="H23" s="691"/>
      <c r="I23" s="691"/>
      <c r="J23" s="691"/>
      <c r="K23" s="691"/>
      <c r="L23" s="691"/>
      <c r="M23" s="118"/>
      <c r="N23" s="118"/>
      <c r="O23" s="118"/>
      <c r="T23" s="163"/>
    </row>
    <row r="24" spans="1:20" s="47" customFormat="1" ht="17.25" customHeight="1">
      <c r="B24" s="55"/>
      <c r="C24" s="55"/>
      <c r="D24" s="55"/>
      <c r="E24" s="55"/>
      <c r="F24" s="55"/>
      <c r="G24" s="55"/>
      <c r="H24" s="55"/>
      <c r="I24" s="55"/>
      <c r="J24" s="55"/>
      <c r="K24" s="55"/>
      <c r="L24" s="55"/>
      <c r="M24" s="118"/>
      <c r="N24" s="118"/>
      <c r="O24" s="118"/>
      <c r="T24" s="163"/>
    </row>
    <row r="25" spans="1:20" s="47" customFormat="1" ht="15" customHeight="1">
      <c r="A25" s="60"/>
      <c r="B25" s="255" t="s">
        <v>249</v>
      </c>
      <c r="C25" s="52"/>
      <c r="D25" s="130"/>
      <c r="E25" s="130"/>
      <c r="F25" s="71"/>
      <c r="G25" s="72"/>
      <c r="H25" s="131"/>
      <c r="I25" s="132"/>
      <c r="J25" s="73"/>
      <c r="T25" s="163"/>
    </row>
    <row r="26" spans="1:20" s="47" customFormat="1" ht="15" customHeight="1">
      <c r="A26" s="74"/>
      <c r="B26" s="477" t="s">
        <v>203</v>
      </c>
      <c r="C26" s="478"/>
      <c r="D26" s="478"/>
      <c r="E26" s="478"/>
      <c r="F26" s="478"/>
      <c r="G26" s="478"/>
      <c r="H26" s="478"/>
      <c r="I26" s="478"/>
      <c r="J26" s="478"/>
      <c r="K26" s="478"/>
      <c r="L26" s="479"/>
      <c r="M26" s="96"/>
      <c r="T26" s="163"/>
    </row>
    <row r="27" spans="1:20" s="47" customFormat="1" ht="15" customHeight="1">
      <c r="A27" s="74"/>
      <c r="B27" s="585" t="s">
        <v>250</v>
      </c>
      <c r="C27" s="586"/>
      <c r="D27" s="586"/>
      <c r="E27" s="586"/>
      <c r="F27" s="586"/>
      <c r="G27" s="586"/>
      <c r="H27" s="586"/>
      <c r="I27" s="586"/>
      <c r="J27" s="586"/>
      <c r="K27" s="586"/>
      <c r="L27" s="587"/>
      <c r="M27" s="96"/>
      <c r="T27" s="163"/>
    </row>
    <row r="28" spans="1:20" s="133" customFormat="1" ht="14">
      <c r="B28" s="692" t="s">
        <v>251</v>
      </c>
      <c r="C28" s="692"/>
      <c r="D28" s="692"/>
      <c r="E28" s="692"/>
      <c r="F28" s="692"/>
      <c r="G28" s="692"/>
      <c r="H28" s="692"/>
      <c r="I28" s="692"/>
      <c r="J28" s="692"/>
      <c r="K28" s="692"/>
      <c r="L28" s="692"/>
      <c r="M28" s="134"/>
      <c r="N28" s="134"/>
      <c r="O28" s="134"/>
      <c r="T28" s="163"/>
    </row>
    <row r="29" spans="1:20" s="133" customFormat="1" ht="14">
      <c r="B29" s="692" t="s">
        <v>252</v>
      </c>
      <c r="C29" s="692"/>
      <c r="D29" s="692"/>
      <c r="E29" s="692"/>
      <c r="F29" s="692"/>
      <c r="G29" s="692"/>
      <c r="H29" s="692"/>
      <c r="I29" s="692"/>
      <c r="J29" s="692"/>
      <c r="K29" s="692"/>
      <c r="L29" s="692"/>
      <c r="M29" s="134"/>
      <c r="N29" s="134"/>
      <c r="O29" s="134"/>
      <c r="T29" s="163"/>
    </row>
    <row r="30" spans="1:20" s="133" customFormat="1" ht="29.65" customHeight="1">
      <c r="B30" s="692" t="s">
        <v>253</v>
      </c>
      <c r="C30" s="692"/>
      <c r="D30" s="692"/>
      <c r="E30" s="692"/>
      <c r="F30" s="692"/>
      <c r="G30" s="692"/>
      <c r="H30" s="692"/>
      <c r="I30" s="692"/>
      <c r="J30" s="692"/>
      <c r="K30" s="692"/>
      <c r="L30" s="692"/>
      <c r="M30" s="134"/>
      <c r="N30" s="134"/>
      <c r="O30" s="134"/>
      <c r="T30" s="163"/>
    </row>
    <row r="31" spans="1:20" s="47" customFormat="1" ht="15" customHeight="1">
      <c r="B31" s="693" t="s">
        <v>254</v>
      </c>
      <c r="C31" s="692"/>
      <c r="D31" s="692"/>
      <c r="E31" s="692"/>
      <c r="F31" s="692"/>
      <c r="G31" s="692"/>
      <c r="H31" s="692"/>
      <c r="I31" s="692"/>
      <c r="J31" s="692"/>
      <c r="K31" s="692"/>
      <c r="L31" s="692"/>
      <c r="T31" s="163"/>
    </row>
    <row r="32" spans="1:20" s="47" customFormat="1" ht="15" customHeight="1">
      <c r="B32" s="19"/>
      <c r="F32" s="125"/>
      <c r="K32" s="58"/>
      <c r="L32" s="135" t="s">
        <v>232</v>
      </c>
      <c r="N32" s="678" t="s">
        <v>255</v>
      </c>
      <c r="O32" s="679"/>
      <c r="P32" s="679"/>
      <c r="Q32" s="680"/>
      <c r="T32" s="163"/>
    </row>
    <row r="33" spans="1:20" s="47" customFormat="1" ht="67.5" customHeight="1">
      <c r="B33" s="563" t="s">
        <v>256</v>
      </c>
      <c r="C33" s="264" t="s">
        <v>257</v>
      </c>
      <c r="D33" s="136" t="s">
        <v>158</v>
      </c>
      <c r="E33" s="136" t="s">
        <v>258</v>
      </c>
      <c r="F33" s="136" t="s">
        <v>259</v>
      </c>
      <c r="G33" s="136" t="s">
        <v>260</v>
      </c>
      <c r="H33" s="137" t="s">
        <v>261</v>
      </c>
      <c r="I33" s="136" t="s">
        <v>262</v>
      </c>
      <c r="J33" s="476" t="s">
        <v>263</v>
      </c>
      <c r="K33" s="138" t="s">
        <v>264</v>
      </c>
      <c r="L33" s="138" t="s">
        <v>265</v>
      </c>
      <c r="M33" s="139" t="s">
        <v>191</v>
      </c>
      <c r="N33" s="246">
        <v>1</v>
      </c>
      <c r="O33" s="246">
        <v>2</v>
      </c>
      <c r="P33" s="246">
        <v>3</v>
      </c>
      <c r="Q33" s="246">
        <v>4</v>
      </c>
      <c r="R33" s="343" t="s">
        <v>209</v>
      </c>
      <c r="S33" s="58"/>
      <c r="T33" s="163"/>
    </row>
    <row r="34" spans="1:20" s="47" customFormat="1" ht="15" customHeight="1">
      <c r="B34" s="538"/>
      <c r="C34" s="539"/>
      <c r="D34" s="565"/>
      <c r="E34" s="565"/>
      <c r="F34" s="565"/>
      <c r="G34" s="531"/>
      <c r="H34" s="531"/>
      <c r="I34" s="565"/>
      <c r="J34" s="537"/>
      <c r="K34" s="537"/>
      <c r="L34" s="536">
        <f>J34-K34</f>
        <v>0</v>
      </c>
      <c r="M34" s="532"/>
      <c r="N34" s="250"/>
      <c r="O34" s="250"/>
      <c r="P34" s="250"/>
      <c r="Q34" s="250"/>
      <c r="R34" s="565"/>
      <c r="S34" s="567"/>
      <c r="T34" s="163"/>
    </row>
    <row r="35" spans="1:20" s="47" customFormat="1" ht="15" customHeight="1">
      <c r="B35" s="538"/>
      <c r="C35" s="539"/>
      <c r="D35" s="565"/>
      <c r="E35" s="565"/>
      <c r="F35" s="565"/>
      <c r="G35" s="531"/>
      <c r="H35" s="531"/>
      <c r="I35" s="565"/>
      <c r="J35" s="537"/>
      <c r="K35" s="537"/>
      <c r="L35" s="536">
        <f>J35-K35</f>
        <v>0</v>
      </c>
      <c r="M35" s="532"/>
      <c r="N35" s="250"/>
      <c r="O35" s="250"/>
      <c r="P35" s="250"/>
      <c r="Q35" s="250"/>
      <c r="R35" s="565"/>
      <c r="S35" s="567"/>
      <c r="T35" s="163"/>
    </row>
    <row r="36" spans="1:20" s="47" customFormat="1" ht="15" customHeight="1">
      <c r="B36" s="538"/>
      <c r="C36" s="539"/>
      <c r="D36" s="565"/>
      <c r="E36" s="565"/>
      <c r="F36" s="565"/>
      <c r="G36" s="531"/>
      <c r="H36" s="531"/>
      <c r="I36" s="565"/>
      <c r="J36" s="537"/>
      <c r="K36" s="537"/>
      <c r="L36" s="536">
        <f>J36-K36</f>
        <v>0</v>
      </c>
      <c r="M36" s="532"/>
      <c r="N36" s="250"/>
      <c r="O36" s="250"/>
      <c r="P36" s="250"/>
      <c r="Q36" s="250"/>
      <c r="R36" s="565"/>
      <c r="S36" s="567"/>
      <c r="T36" s="163"/>
    </row>
    <row r="37" spans="1:20" s="47" customFormat="1" ht="15" customHeight="1">
      <c r="B37" s="538"/>
      <c r="C37" s="539"/>
      <c r="D37" s="565"/>
      <c r="E37" s="565"/>
      <c r="F37" s="565"/>
      <c r="G37" s="531"/>
      <c r="H37" s="531"/>
      <c r="I37" s="565"/>
      <c r="J37" s="537"/>
      <c r="K37" s="537"/>
      <c r="L37" s="536">
        <f t="shared" ref="L37:L40" si="0">J37-K37</f>
        <v>0</v>
      </c>
      <c r="M37" s="532"/>
      <c r="N37" s="250"/>
      <c r="O37" s="250"/>
      <c r="P37" s="250"/>
      <c r="Q37" s="250"/>
      <c r="R37" s="565"/>
      <c r="S37" s="567"/>
      <c r="T37" s="163"/>
    </row>
    <row r="38" spans="1:20" s="47" customFormat="1" ht="15" customHeight="1">
      <c r="B38" s="538"/>
      <c r="C38" s="539"/>
      <c r="D38" s="565"/>
      <c r="E38" s="565"/>
      <c r="F38" s="565"/>
      <c r="G38" s="531"/>
      <c r="H38" s="531"/>
      <c r="I38" s="565"/>
      <c r="J38" s="537"/>
      <c r="K38" s="537"/>
      <c r="L38" s="536">
        <f t="shared" si="0"/>
        <v>0</v>
      </c>
      <c r="M38" s="532"/>
      <c r="N38" s="250"/>
      <c r="O38" s="250"/>
      <c r="P38" s="250"/>
      <c r="Q38" s="250"/>
      <c r="R38" s="565"/>
      <c r="S38" s="567"/>
      <c r="T38" s="163"/>
    </row>
    <row r="39" spans="1:20" s="47" customFormat="1" ht="15" customHeight="1">
      <c r="B39" s="538"/>
      <c r="C39" s="539"/>
      <c r="D39" s="565"/>
      <c r="E39" s="565"/>
      <c r="F39" s="565"/>
      <c r="G39" s="531"/>
      <c r="H39" s="531"/>
      <c r="I39" s="565"/>
      <c r="J39" s="537"/>
      <c r="K39" s="537"/>
      <c r="L39" s="536">
        <f t="shared" si="0"/>
        <v>0</v>
      </c>
      <c r="M39" s="532"/>
      <c r="N39" s="250"/>
      <c r="O39" s="250"/>
      <c r="P39" s="250"/>
      <c r="Q39" s="250"/>
      <c r="R39" s="565"/>
      <c r="S39" s="567"/>
      <c r="T39" s="163"/>
    </row>
    <row r="40" spans="1:20" s="47" customFormat="1" ht="15" customHeight="1">
      <c r="B40" s="538"/>
      <c r="C40" s="539"/>
      <c r="D40" s="565"/>
      <c r="E40" s="565"/>
      <c r="F40" s="565"/>
      <c r="G40" s="531"/>
      <c r="H40" s="531"/>
      <c r="I40" s="565"/>
      <c r="J40" s="537"/>
      <c r="K40" s="537"/>
      <c r="L40" s="536">
        <f t="shared" si="0"/>
        <v>0</v>
      </c>
      <c r="M40" s="532"/>
      <c r="N40" s="250"/>
      <c r="O40" s="250"/>
      <c r="P40" s="250"/>
      <c r="Q40" s="250"/>
      <c r="R40" s="565"/>
      <c r="S40" s="567"/>
      <c r="T40" s="163"/>
    </row>
    <row r="41" spans="1:20" s="58" customFormat="1" ht="15" customHeight="1">
      <c r="T41" s="163"/>
    </row>
    <row r="42" spans="1:20" s="58" customFormat="1" ht="15" customHeight="1">
      <c r="A42" s="42"/>
      <c r="B42" s="140" t="s">
        <v>94</v>
      </c>
      <c r="C42" s="42"/>
      <c r="D42" s="42"/>
      <c r="E42" s="42"/>
      <c r="F42" s="42"/>
      <c r="H42" s="42"/>
      <c r="I42" s="42"/>
      <c r="J42" s="42"/>
      <c r="K42" s="42"/>
      <c r="L42" s="42"/>
      <c r="M42" s="42"/>
      <c r="T42" s="163"/>
    </row>
    <row r="43" spans="1:20" s="58" customFormat="1" ht="13.9" customHeight="1">
      <c r="A43" s="42"/>
      <c r="B43" s="658"/>
      <c r="C43" s="659"/>
      <c r="D43" s="659"/>
      <c r="E43" s="659"/>
      <c r="F43" s="660"/>
      <c r="H43" s="42"/>
      <c r="I43" s="42"/>
      <c r="J43" s="42"/>
      <c r="K43" s="42"/>
      <c r="L43" s="42"/>
      <c r="M43" s="42"/>
      <c r="T43" s="163"/>
    </row>
    <row r="44" spans="1:20" s="58" customFormat="1" ht="13.9" customHeight="1">
      <c r="A44" s="42"/>
      <c r="B44" s="661"/>
      <c r="C44" s="653"/>
      <c r="D44" s="653"/>
      <c r="E44" s="653"/>
      <c r="F44" s="662"/>
      <c r="H44" s="42"/>
      <c r="I44" s="42"/>
      <c r="J44" s="42"/>
      <c r="K44" s="42"/>
      <c r="L44" s="42"/>
      <c r="M44" s="42"/>
      <c r="T44" s="163"/>
    </row>
    <row r="45" spans="1:20" s="58" customFormat="1" ht="13.9" customHeight="1">
      <c r="A45" s="42"/>
      <c r="B45" s="663"/>
      <c r="C45" s="664"/>
      <c r="D45" s="664"/>
      <c r="E45" s="664"/>
      <c r="F45" s="665"/>
      <c r="H45" s="42"/>
      <c r="I45" s="42"/>
      <c r="J45" s="42"/>
      <c r="K45" s="42"/>
      <c r="L45" s="42"/>
      <c r="M45" s="42"/>
      <c r="T45" s="163"/>
    </row>
    <row r="46" spans="1:20" s="58" customFormat="1" ht="14">
      <c r="A46" s="42"/>
      <c r="B46" s="42"/>
      <c r="C46" s="42"/>
      <c r="D46" s="42"/>
      <c r="E46" s="42"/>
      <c r="F46" s="42"/>
      <c r="G46" s="42"/>
      <c r="H46" s="42"/>
      <c r="I46" s="42"/>
      <c r="J46" s="42"/>
      <c r="K46" s="42"/>
      <c r="L46" s="42"/>
      <c r="M46" s="42"/>
      <c r="T46" s="163"/>
    </row>
    <row r="47" spans="1:20" s="58" customFormat="1" ht="14.5">
      <c r="A47" s="42"/>
      <c r="B47" s="11" t="s">
        <v>266</v>
      </c>
      <c r="C47" s="42"/>
      <c r="D47" s="42"/>
      <c r="E47" s="42"/>
      <c r="F47" s="42"/>
      <c r="G47" s="42"/>
      <c r="H47" s="42"/>
      <c r="I47" s="42"/>
      <c r="J47" s="42"/>
      <c r="K47" s="42"/>
      <c r="L47" s="42"/>
      <c r="M47" s="42"/>
      <c r="T47" s="163"/>
    </row>
    <row r="48" spans="1:20" s="58" customFormat="1" ht="14">
      <c r="A48" s="5"/>
      <c r="B48" s="681" t="s">
        <v>267</v>
      </c>
      <c r="C48" s="682"/>
      <c r="D48" s="682"/>
      <c r="E48" s="682"/>
      <c r="F48" s="683"/>
      <c r="H48" s="42"/>
      <c r="I48" s="42"/>
      <c r="J48" s="42"/>
      <c r="K48" s="42"/>
      <c r="L48" s="42"/>
      <c r="M48" s="42"/>
      <c r="T48" s="163"/>
    </row>
    <row r="49" spans="1:22" s="58" customFormat="1" ht="14">
      <c r="B49" s="684"/>
      <c r="C49" s="685"/>
      <c r="D49" s="685"/>
      <c r="E49" s="685"/>
      <c r="F49" s="686"/>
      <c r="H49" s="42"/>
      <c r="I49" s="42"/>
      <c r="J49" s="42"/>
      <c r="K49" s="42"/>
      <c r="L49" s="42"/>
      <c r="M49" s="42"/>
      <c r="T49" s="163"/>
    </row>
    <row r="50" spans="1:22" s="58" customFormat="1" ht="14">
      <c r="B50" s="684"/>
      <c r="C50" s="685"/>
      <c r="D50" s="685"/>
      <c r="E50" s="685"/>
      <c r="F50" s="686"/>
      <c r="H50" s="42"/>
      <c r="I50" s="42"/>
      <c r="J50" s="42"/>
      <c r="K50" s="42"/>
      <c r="L50" s="42"/>
      <c r="M50" s="42"/>
      <c r="T50" s="163"/>
    </row>
    <row r="51" spans="1:22" s="58" customFormat="1" ht="14">
      <c r="B51" s="684"/>
      <c r="C51" s="685"/>
      <c r="D51" s="685"/>
      <c r="E51" s="685"/>
      <c r="F51" s="686"/>
      <c r="H51" s="42"/>
      <c r="I51" s="42"/>
      <c r="J51" s="42"/>
      <c r="K51" s="42"/>
      <c r="L51" s="42"/>
      <c r="M51" s="42"/>
      <c r="T51" s="163"/>
    </row>
    <row r="52" spans="1:22" s="58" customFormat="1" ht="14">
      <c r="B52" s="684"/>
      <c r="C52" s="685"/>
      <c r="D52" s="685"/>
      <c r="E52" s="685"/>
      <c r="F52" s="686"/>
      <c r="H52" s="42"/>
      <c r="I52" s="42"/>
      <c r="J52" s="42"/>
      <c r="K52" s="42"/>
      <c r="L52" s="42"/>
      <c r="M52" s="42"/>
      <c r="T52" s="163"/>
    </row>
    <row r="53" spans="1:22" s="58" customFormat="1" ht="14">
      <c r="B53" s="684"/>
      <c r="C53" s="685"/>
      <c r="D53" s="685"/>
      <c r="E53" s="685"/>
      <c r="F53" s="686"/>
      <c r="H53" s="42"/>
      <c r="I53" s="42"/>
      <c r="J53" s="42"/>
      <c r="K53" s="42"/>
      <c r="L53" s="42"/>
      <c r="M53" s="42"/>
      <c r="T53" s="163"/>
    </row>
    <row r="54" spans="1:22" s="58" customFormat="1" ht="14">
      <c r="B54" s="684"/>
      <c r="C54" s="685"/>
      <c r="D54" s="685"/>
      <c r="E54" s="685"/>
      <c r="F54" s="686"/>
      <c r="H54" s="42"/>
      <c r="I54" s="42"/>
      <c r="J54" s="42"/>
      <c r="K54" s="42"/>
      <c r="L54" s="42"/>
      <c r="M54" s="42"/>
      <c r="T54" s="163"/>
    </row>
    <row r="55" spans="1:22" s="58" customFormat="1" ht="14">
      <c r="B55" s="684"/>
      <c r="C55" s="685"/>
      <c r="D55" s="685"/>
      <c r="E55" s="685"/>
      <c r="F55" s="686"/>
      <c r="H55" s="42"/>
      <c r="I55" s="42"/>
      <c r="J55" s="42"/>
      <c r="K55" s="42"/>
      <c r="L55" s="42"/>
      <c r="M55" s="42"/>
      <c r="T55" s="163"/>
    </row>
    <row r="56" spans="1:22" s="58" customFormat="1" ht="14">
      <c r="B56" s="684"/>
      <c r="C56" s="685"/>
      <c r="D56" s="685"/>
      <c r="E56" s="685"/>
      <c r="F56" s="686"/>
      <c r="H56" s="42"/>
      <c r="I56" s="42"/>
      <c r="J56" s="42"/>
      <c r="K56" s="42"/>
      <c r="L56" s="42"/>
      <c r="M56" s="42"/>
      <c r="T56" s="163"/>
    </row>
    <row r="57" spans="1:22" s="58" customFormat="1" ht="31.15" customHeight="1">
      <c r="B57" s="687"/>
      <c r="C57" s="688"/>
      <c r="D57" s="688"/>
      <c r="E57" s="688"/>
      <c r="F57" s="689"/>
      <c r="H57" s="42"/>
      <c r="I57" s="42"/>
      <c r="J57" s="42"/>
      <c r="K57" s="42"/>
      <c r="L57" s="42"/>
      <c r="M57" s="42"/>
      <c r="T57" s="163"/>
    </row>
    <row r="58" spans="1:22" s="47" customFormat="1" ht="15" customHeight="1">
      <c r="B58" s="91"/>
      <c r="C58" s="91"/>
      <c r="D58" s="91"/>
      <c r="E58" s="91"/>
      <c r="F58" s="91"/>
      <c r="G58" s="91"/>
      <c r="H58" s="91"/>
      <c r="I58" s="91"/>
      <c r="J58" s="91"/>
      <c r="K58" s="91"/>
      <c r="L58" s="91"/>
      <c r="M58" s="91"/>
      <c r="N58" s="91"/>
      <c r="O58" s="91"/>
      <c r="T58" s="163"/>
    </row>
    <row r="59" spans="1:22" ht="7.5" customHeight="1">
      <c r="A59" s="163"/>
      <c r="B59" s="163"/>
      <c r="C59" s="163"/>
      <c r="D59" s="163"/>
      <c r="E59" s="164"/>
      <c r="F59" s="164">
        <v>45471</v>
      </c>
      <c r="G59" s="163"/>
      <c r="H59" s="163"/>
      <c r="I59" s="163"/>
      <c r="J59" s="163"/>
      <c r="K59" s="163"/>
      <c r="L59" s="163"/>
      <c r="M59" s="163"/>
      <c r="N59" s="163"/>
      <c r="O59" s="163"/>
      <c r="P59" s="163"/>
      <c r="Q59" s="163"/>
      <c r="R59" s="163"/>
      <c r="S59" s="163"/>
      <c r="T59" s="163"/>
      <c r="U59" s="47"/>
      <c r="V59" s="47"/>
    </row>
    <row r="60" spans="1:22" s="58" customFormat="1" ht="15" customHeight="1">
      <c r="T60" s="42"/>
    </row>
    <row r="61" spans="1:22" s="47" customFormat="1" ht="15" customHeight="1">
      <c r="T61" s="42"/>
    </row>
  </sheetData>
  <sheetProtection formatCells="0" formatColumns="0" formatRows="0" insertColumns="0" insertRows="0" insertHyperlinks="0" deleteColumns="0" deleteRows="0" sort="0" autoFilter="0" pivotTables="0"/>
  <mergeCells count="9">
    <mergeCell ref="N32:Q32"/>
    <mergeCell ref="B48:F57"/>
    <mergeCell ref="B7:L9"/>
    <mergeCell ref="B21:L23"/>
    <mergeCell ref="B28:L28"/>
    <mergeCell ref="B29:L29"/>
    <mergeCell ref="B30:L30"/>
    <mergeCell ref="B43:F45"/>
    <mergeCell ref="B31:L31"/>
  </mergeCells>
  <phoneticPr fontId="18"/>
  <conditionalFormatting sqref="B7 B43">
    <cfRule type="containsBlanks" dxfId="15" priority="53">
      <formula>LEN(TRIM(B7))=0</formula>
    </cfRule>
  </conditionalFormatting>
  <conditionalFormatting sqref="B21">
    <cfRule type="containsBlanks" dxfId="14" priority="54">
      <formula>LEN(TRIM(B21))=0</formula>
    </cfRule>
  </conditionalFormatting>
  <conditionalFormatting sqref="B34:M40">
    <cfRule type="containsBlanks" dxfId="13" priority="3">
      <formula>LEN(TRIM(B34))=0</formula>
    </cfRule>
  </conditionalFormatting>
  <conditionalFormatting sqref="E12:E13">
    <cfRule type="containsBlanks" dxfId="12" priority="1">
      <formula>LEN(TRIM(E12))=0</formula>
    </cfRule>
  </conditionalFormatting>
  <conditionalFormatting sqref="E16">
    <cfRule type="containsBlanks" dxfId="11" priority="56">
      <formula>LEN(TRIM(E16))=0</formula>
    </cfRule>
  </conditionalFormatting>
  <conditionalFormatting sqref="L32">
    <cfRule type="expression" dxfId="10" priority="22">
      <formula>#REF! = "No"</formula>
    </cfRule>
  </conditionalFormatting>
  <conditionalFormatting sqref="N34:Q40">
    <cfRule type="containsBlanks" dxfId="9" priority="2">
      <formula>LEN(TRIM(N34))=0</formula>
    </cfRule>
  </conditionalFormatting>
  <dataValidations count="2">
    <dataValidation type="list" allowBlank="1" showInputMessage="1" sqref="N34:Q40" xr:uid="{4C1FE935-A66F-45B1-AF50-05B763B5CEC1}">
      <formula1>"Y,N"</formula1>
    </dataValidation>
    <dataValidation type="list" allowBlank="1" showInputMessage="1" sqref="C34:C40" xr:uid="{3DC72B4B-251F-40A0-9CE3-EAA3E0CC891E}">
      <formula1>"关键项,代表性样本"</formula1>
    </dataValidation>
  </dataValidations>
  <hyperlinks>
    <hyperlink ref="B4" location="汇总!A1" display="返回汇总页" xr:uid="{E1794CB3-5A9B-4D68-AC75-2D8E3F46DDA1}"/>
  </hyperlinks>
  <pageMargins left="0.70866141732283505" right="0.70866141732283505" top="0.74803149606299202" bottom="0.74803149606299202" header="0.31496062992126" footer="0.31496062992126"/>
  <pageSetup paperSize="9" scale="57" orientation="landscape" horizontalDpi="300" verticalDpi="300" r:id="rId1"/>
  <headerFooter>
    <oddFooter>&amp;L&amp;"Arial,Regular"&amp;10Q SWP Loans and borrowings
(22 July 2025)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DEC72-D385-42DF-86DD-C877971D40C5}">
  <dimension ref="A1:Q29"/>
  <sheetViews>
    <sheetView showGridLines="0" zoomScale="70" zoomScaleNormal="70" workbookViewId="0">
      <selection activeCell="C5" sqref="C5"/>
    </sheetView>
  </sheetViews>
  <sheetFormatPr defaultColWidth="8.7265625" defaultRowHeight="14"/>
  <cols>
    <col min="1" max="1" width="2.453125" style="359" customWidth="1"/>
    <col min="2" max="9" width="15.453125" style="359" customWidth="1"/>
    <col min="10" max="13" width="10.453125" style="359" customWidth="1"/>
    <col min="14" max="14" width="2.453125" style="359" customWidth="1"/>
    <col min="15" max="15" width="1.453125" style="359" customWidth="1"/>
    <col min="16" max="16" width="8.7265625" style="359"/>
    <col min="17" max="17" width="10.453125" style="359" bestFit="1" customWidth="1"/>
    <col min="18" max="16384" width="8.7265625" style="359"/>
  </cols>
  <sheetData>
    <row r="1" spans="1:17" ht="50.25" customHeight="1">
      <c r="A1" s="470"/>
      <c r="B1" s="694" t="s">
        <v>366</v>
      </c>
      <c r="C1" s="695"/>
      <c r="D1" s="695"/>
      <c r="E1" s="695"/>
      <c r="F1" s="695"/>
      <c r="G1" s="695"/>
      <c r="H1" s="695"/>
      <c r="I1" s="695"/>
      <c r="J1" s="695"/>
      <c r="K1" s="695"/>
      <c r="L1" s="695"/>
      <c r="M1" s="695"/>
      <c r="N1" s="470"/>
      <c r="O1" s="471" t="s">
        <v>268</v>
      </c>
      <c r="P1" s="470"/>
      <c r="Q1" s="470"/>
    </row>
    <row r="2" spans="1:17" ht="30" customHeight="1">
      <c r="A2" s="470"/>
      <c r="B2" s="696" t="s">
        <v>269</v>
      </c>
      <c r="C2" s="697"/>
      <c r="D2" s="697"/>
      <c r="E2" s="697"/>
      <c r="F2" s="697"/>
      <c r="G2" s="697"/>
      <c r="H2" s="697"/>
      <c r="I2" s="697"/>
      <c r="J2" s="697"/>
      <c r="K2" s="697"/>
      <c r="L2" s="697"/>
      <c r="M2" s="698"/>
      <c r="N2" s="470"/>
      <c r="O2" s="471" t="s">
        <v>268</v>
      </c>
      <c r="P2" s="470"/>
      <c r="Q2" s="470"/>
    </row>
    <row r="3" spans="1:17" ht="11.5" customHeight="1">
      <c r="A3" s="470"/>
      <c r="B3" s="472"/>
      <c r="C3" s="472"/>
      <c r="D3" s="472"/>
      <c r="E3" s="472"/>
      <c r="F3" s="472"/>
      <c r="G3" s="472"/>
      <c r="H3" s="472"/>
      <c r="I3" s="472"/>
      <c r="J3" s="472"/>
      <c r="K3" s="472"/>
      <c r="L3" s="472"/>
      <c r="M3" s="472"/>
      <c r="N3" s="470"/>
      <c r="O3" s="471" t="s">
        <v>268</v>
      </c>
      <c r="P3" s="470"/>
      <c r="Q3" s="470"/>
    </row>
    <row r="4" spans="1:17" ht="10.5" customHeight="1">
      <c r="A4" s="470"/>
      <c r="B4" s="249" t="s">
        <v>51</v>
      </c>
      <c r="C4" s="473"/>
      <c r="D4" s="470"/>
      <c r="E4" s="473"/>
      <c r="F4" s="474"/>
      <c r="G4" s="474"/>
      <c r="H4" s="473"/>
      <c r="I4" s="470"/>
      <c r="J4" s="470"/>
      <c r="K4" s="470"/>
      <c r="L4" s="470"/>
      <c r="M4" s="470"/>
      <c r="N4" s="470"/>
      <c r="O4" s="471" t="s">
        <v>268</v>
      </c>
      <c r="P4" s="470"/>
      <c r="Q4" s="470"/>
    </row>
    <row r="5" spans="1:17" ht="11.5" customHeight="1">
      <c r="A5" s="470"/>
      <c r="B5" s="473"/>
      <c r="C5" s="473"/>
      <c r="D5" s="470"/>
      <c r="E5" s="473"/>
      <c r="F5" s="474"/>
      <c r="G5" s="474"/>
      <c r="H5" s="473"/>
      <c r="I5" s="470"/>
      <c r="J5" s="470"/>
      <c r="K5" s="470"/>
      <c r="L5" s="470"/>
      <c r="M5" s="470"/>
      <c r="N5" s="470"/>
      <c r="O5" s="471"/>
      <c r="P5" s="470"/>
      <c r="Q5" s="470"/>
    </row>
    <row r="6" spans="1:17" ht="15" customHeight="1">
      <c r="A6" s="470"/>
      <c r="B6" s="379" t="s">
        <v>270</v>
      </c>
      <c r="C6" s="576" t="s">
        <v>271</v>
      </c>
      <c r="D6" s="470"/>
      <c r="E6" s="473"/>
      <c r="F6" s="474"/>
      <c r="G6" s="474"/>
      <c r="H6" s="473"/>
      <c r="I6" s="470"/>
      <c r="J6" s="470"/>
      <c r="K6" s="470"/>
      <c r="L6" s="470"/>
      <c r="M6" s="470"/>
      <c r="N6" s="470"/>
      <c r="O6" s="471"/>
      <c r="P6" s="470"/>
      <c r="Q6" s="470"/>
    </row>
    <row r="7" spans="1:17" ht="15" customHeight="1">
      <c r="A7" s="470"/>
      <c r="B7" s="699"/>
      <c r="C7" s="700"/>
      <c r="D7" s="700"/>
      <c r="E7" s="700"/>
      <c r="F7" s="700"/>
      <c r="G7" s="700"/>
      <c r="H7" s="700"/>
      <c r="I7" s="700"/>
      <c r="J7" s="700"/>
      <c r="K7" s="700"/>
      <c r="L7" s="700"/>
      <c r="M7" s="701"/>
      <c r="N7" s="470"/>
      <c r="O7" s="471"/>
      <c r="P7" s="470"/>
      <c r="Q7" s="470"/>
    </row>
    <row r="8" spans="1:17" ht="15" customHeight="1">
      <c r="A8" s="470"/>
      <c r="B8" s="473"/>
      <c r="C8" s="473"/>
      <c r="D8" s="470"/>
      <c r="E8" s="473"/>
      <c r="F8" s="474"/>
      <c r="G8" s="474"/>
      <c r="H8" s="473"/>
      <c r="I8" s="470"/>
      <c r="J8" s="470"/>
      <c r="K8" s="470"/>
      <c r="L8" s="470"/>
      <c r="M8" s="470"/>
      <c r="N8" s="470"/>
      <c r="O8" s="471"/>
      <c r="P8" s="470"/>
      <c r="Q8" s="470"/>
    </row>
    <row r="9" spans="1:17" ht="15" customHeight="1">
      <c r="A9" s="470"/>
      <c r="B9" s="473"/>
      <c r="C9" s="473"/>
      <c r="D9" s="470"/>
      <c r="E9" s="473"/>
      <c r="F9" s="474"/>
      <c r="G9" s="474"/>
      <c r="H9" s="473"/>
      <c r="I9" s="470"/>
      <c r="J9" s="470"/>
      <c r="K9" s="470"/>
      <c r="L9" s="470"/>
      <c r="M9" s="470"/>
      <c r="N9" s="470"/>
      <c r="O9" s="471"/>
      <c r="P9" s="470"/>
      <c r="Q9" s="470"/>
    </row>
    <row r="10" spans="1:17" ht="15" customHeight="1">
      <c r="A10" s="470"/>
      <c r="B10" s="473"/>
      <c r="C10" s="473"/>
      <c r="D10" s="470"/>
      <c r="E10" s="473"/>
      <c r="F10" s="474"/>
      <c r="G10" s="474"/>
      <c r="H10" s="473"/>
      <c r="I10" s="470"/>
      <c r="J10" s="470"/>
      <c r="K10" s="470"/>
      <c r="L10" s="470"/>
      <c r="M10" s="470"/>
      <c r="N10" s="470"/>
      <c r="O10" s="471"/>
      <c r="P10" s="470"/>
      <c r="Q10" s="470"/>
    </row>
    <row r="11" spans="1:17" ht="15" customHeight="1">
      <c r="A11" s="470"/>
      <c r="B11" s="473"/>
      <c r="C11" s="473"/>
      <c r="D11" s="470"/>
      <c r="E11" s="473"/>
      <c r="F11" s="474"/>
      <c r="G11" s="474"/>
      <c r="H11" s="473"/>
      <c r="I11" s="470"/>
      <c r="J11" s="470"/>
      <c r="K11" s="470"/>
      <c r="L11" s="470"/>
      <c r="M11" s="470"/>
      <c r="N11" s="470"/>
      <c r="O11" s="471"/>
      <c r="P11" s="470"/>
      <c r="Q11" s="470"/>
    </row>
    <row r="12" spans="1:17" ht="15" customHeight="1">
      <c r="A12" s="470"/>
      <c r="B12" s="473"/>
      <c r="C12" s="473"/>
      <c r="D12" s="470"/>
      <c r="E12" s="473"/>
      <c r="F12" s="474"/>
      <c r="G12" s="474"/>
      <c r="H12" s="473"/>
      <c r="I12" s="470"/>
      <c r="J12" s="470"/>
      <c r="K12" s="470"/>
      <c r="L12" s="470"/>
      <c r="M12" s="470"/>
      <c r="N12" s="470"/>
      <c r="O12" s="471"/>
      <c r="P12" s="470"/>
      <c r="Q12" s="470"/>
    </row>
    <row r="13" spans="1:17" ht="15" customHeight="1">
      <c r="A13" s="470"/>
      <c r="B13" s="473"/>
      <c r="C13" s="473"/>
      <c r="D13" s="470"/>
      <c r="E13" s="473"/>
      <c r="F13" s="474"/>
      <c r="G13" s="474"/>
      <c r="H13" s="473"/>
      <c r="I13" s="470"/>
      <c r="J13" s="470"/>
      <c r="K13" s="470"/>
      <c r="L13" s="470"/>
      <c r="M13" s="470"/>
      <c r="N13" s="470"/>
      <c r="O13" s="471"/>
      <c r="P13" s="470"/>
      <c r="Q13" s="470"/>
    </row>
    <row r="14" spans="1:17" ht="15" customHeight="1">
      <c r="A14" s="470"/>
      <c r="B14" s="470"/>
      <c r="C14" s="470"/>
      <c r="D14" s="470"/>
      <c r="E14" s="470"/>
      <c r="F14" s="470"/>
      <c r="G14" s="470"/>
      <c r="H14" s="470"/>
      <c r="I14" s="470"/>
      <c r="J14" s="470"/>
      <c r="K14" s="470"/>
      <c r="L14" s="470"/>
      <c r="M14" s="470"/>
      <c r="N14" s="470"/>
      <c r="O14" s="471" t="s">
        <v>268</v>
      </c>
      <c r="P14" s="470"/>
      <c r="Q14" s="470"/>
    </row>
    <row r="15" spans="1:17" ht="15" customHeight="1">
      <c r="A15" s="470"/>
      <c r="B15" s="470"/>
      <c r="C15" s="470"/>
      <c r="D15" s="470"/>
      <c r="E15" s="470"/>
      <c r="F15" s="470"/>
      <c r="G15" s="470"/>
      <c r="H15" s="470"/>
      <c r="I15" s="470"/>
      <c r="J15" s="470"/>
      <c r="K15" s="470"/>
      <c r="L15" s="470"/>
      <c r="M15" s="470"/>
      <c r="N15" s="470"/>
      <c r="O15" s="471"/>
      <c r="P15" s="470"/>
      <c r="Q15" s="470"/>
    </row>
    <row r="16" spans="1:17" ht="15" customHeight="1">
      <c r="A16" s="470"/>
      <c r="B16" s="470"/>
      <c r="C16" s="470"/>
      <c r="D16" s="470"/>
      <c r="E16" s="470"/>
      <c r="F16" s="470"/>
      <c r="G16" s="470"/>
      <c r="H16" s="470"/>
      <c r="I16" s="470"/>
      <c r="J16" s="470"/>
      <c r="K16" s="470"/>
      <c r="L16" s="470"/>
      <c r="M16" s="470"/>
      <c r="N16" s="470"/>
      <c r="O16" s="471"/>
      <c r="P16" s="470"/>
      <c r="Q16" s="470"/>
    </row>
    <row r="17" spans="1:17" ht="15" customHeight="1">
      <c r="A17" s="470"/>
      <c r="B17" s="470"/>
      <c r="C17" s="470"/>
      <c r="D17" s="470"/>
      <c r="E17" s="470"/>
      <c r="F17" s="470"/>
      <c r="G17" s="470"/>
      <c r="H17" s="470"/>
      <c r="I17" s="470"/>
      <c r="J17" s="470"/>
      <c r="K17" s="470"/>
      <c r="L17" s="470"/>
      <c r="M17" s="470"/>
      <c r="N17" s="470"/>
      <c r="O17" s="471"/>
      <c r="P17" s="470"/>
      <c r="Q17" s="470"/>
    </row>
    <row r="18" spans="1:17" ht="15" customHeight="1">
      <c r="A18" s="470"/>
      <c r="B18" s="470"/>
      <c r="C18" s="470"/>
      <c r="D18" s="470"/>
      <c r="E18" s="470"/>
      <c r="F18" s="470"/>
      <c r="G18" s="470"/>
      <c r="H18" s="470"/>
      <c r="I18" s="470"/>
      <c r="J18" s="470"/>
      <c r="K18" s="470"/>
      <c r="L18" s="470"/>
      <c r="M18" s="470"/>
      <c r="N18" s="470"/>
      <c r="O18" s="471"/>
      <c r="P18" s="470"/>
      <c r="Q18" s="470"/>
    </row>
    <row r="19" spans="1:17" ht="15" customHeight="1">
      <c r="A19" s="470"/>
      <c r="B19" s="470"/>
      <c r="C19" s="470"/>
      <c r="D19" s="470"/>
      <c r="E19" s="470"/>
      <c r="F19" s="470"/>
      <c r="G19" s="470"/>
      <c r="H19" s="470"/>
      <c r="I19" s="470"/>
      <c r="J19" s="470"/>
      <c r="K19" s="470"/>
      <c r="L19" s="470"/>
      <c r="M19" s="470"/>
      <c r="N19" s="470"/>
      <c r="O19" s="471"/>
      <c r="P19" s="470"/>
      <c r="Q19" s="470"/>
    </row>
    <row r="20" spans="1:17" ht="15" customHeight="1">
      <c r="A20" s="470"/>
      <c r="B20" s="470"/>
      <c r="C20" s="470"/>
      <c r="D20" s="470"/>
      <c r="E20" s="470"/>
      <c r="F20" s="470"/>
      <c r="G20" s="470"/>
      <c r="H20" s="470"/>
      <c r="I20" s="470"/>
      <c r="J20" s="470"/>
      <c r="K20" s="470"/>
      <c r="L20" s="470"/>
      <c r="M20" s="470"/>
      <c r="N20" s="470"/>
      <c r="O20" s="471"/>
      <c r="P20" s="470"/>
      <c r="Q20" s="470"/>
    </row>
    <row r="21" spans="1:17" ht="9" customHeight="1">
      <c r="A21" s="471" t="s">
        <v>268</v>
      </c>
      <c r="B21" s="471" t="s">
        <v>268</v>
      </c>
      <c r="C21" s="471" t="s">
        <v>268</v>
      </c>
      <c r="D21" s="471" t="s">
        <v>268</v>
      </c>
      <c r="E21" s="471" t="s">
        <v>268</v>
      </c>
      <c r="F21" s="471" t="s">
        <v>268</v>
      </c>
      <c r="G21" s="471" t="s">
        <v>268</v>
      </c>
      <c r="H21" s="471" t="s">
        <v>268</v>
      </c>
      <c r="I21" s="471" t="s">
        <v>268</v>
      </c>
      <c r="J21" s="471" t="s">
        <v>268</v>
      </c>
      <c r="K21" s="471" t="s">
        <v>268</v>
      </c>
      <c r="L21" s="471" t="s">
        <v>268</v>
      </c>
      <c r="M21" s="471" t="s">
        <v>268</v>
      </c>
      <c r="N21" s="471" t="s">
        <v>268</v>
      </c>
      <c r="O21" s="471" t="s">
        <v>268</v>
      </c>
      <c r="P21" s="470"/>
      <c r="Q21" s="470"/>
    </row>
    <row r="22" spans="1:17">
      <c r="A22" s="470"/>
      <c r="B22" s="470"/>
      <c r="C22" s="470"/>
      <c r="D22" s="470"/>
      <c r="E22" s="470"/>
      <c r="F22" s="470"/>
      <c r="G22" s="470"/>
      <c r="H22" s="470"/>
      <c r="I22" s="470"/>
      <c r="J22" s="470"/>
      <c r="K22" s="470"/>
      <c r="L22" s="470"/>
      <c r="M22" s="470"/>
      <c r="N22" s="470"/>
      <c r="O22" s="470"/>
      <c r="P22" s="470"/>
      <c r="Q22" s="470"/>
    </row>
    <row r="23" spans="1:17">
      <c r="A23" s="470"/>
      <c r="B23" s="470"/>
      <c r="C23" s="470"/>
      <c r="D23" s="470"/>
      <c r="E23" s="470"/>
      <c r="F23" s="470"/>
      <c r="G23" s="470"/>
      <c r="H23" s="470"/>
      <c r="I23" s="470"/>
      <c r="J23" s="470"/>
      <c r="K23" s="470"/>
      <c r="L23" s="470"/>
      <c r="M23" s="470"/>
      <c r="N23" s="470"/>
      <c r="O23" s="470"/>
      <c r="P23" s="470"/>
      <c r="Q23" s="470"/>
    </row>
    <row r="24" spans="1:17">
      <c r="A24" s="470"/>
      <c r="B24" s="470"/>
      <c r="C24" s="470"/>
      <c r="D24" s="470"/>
      <c r="E24" s="470"/>
      <c r="F24" s="470"/>
      <c r="G24" s="470"/>
      <c r="H24" s="470"/>
      <c r="I24" s="470"/>
      <c r="J24" s="470"/>
      <c r="K24" s="470"/>
      <c r="L24" s="470"/>
      <c r="M24" s="470"/>
      <c r="N24" s="470"/>
      <c r="O24" s="470"/>
      <c r="P24" s="470"/>
      <c r="Q24" s="470"/>
    </row>
    <row r="25" spans="1:17">
      <c r="A25" s="470"/>
      <c r="B25" s="470"/>
      <c r="C25" s="470"/>
      <c r="D25" s="470"/>
      <c r="E25" s="470"/>
      <c r="F25" s="470"/>
      <c r="G25" s="470"/>
      <c r="H25" s="470"/>
      <c r="I25" s="470"/>
      <c r="J25" s="470"/>
      <c r="K25" s="470"/>
      <c r="L25" s="470"/>
      <c r="M25" s="470"/>
      <c r="N25" s="470"/>
      <c r="O25" s="470"/>
      <c r="P25" s="470"/>
      <c r="Q25" s="470"/>
    </row>
    <row r="26" spans="1:17">
      <c r="A26" s="470"/>
      <c r="B26" s="470"/>
      <c r="C26" s="470"/>
      <c r="D26" s="470"/>
      <c r="E26" s="470"/>
      <c r="F26" s="470"/>
      <c r="G26" s="470"/>
      <c r="H26" s="470"/>
      <c r="I26" s="470"/>
      <c r="J26" s="470"/>
      <c r="K26" s="470"/>
      <c r="L26" s="470"/>
      <c r="M26" s="470"/>
      <c r="N26" s="470"/>
      <c r="O26" s="470"/>
      <c r="P26" s="470"/>
      <c r="Q26" s="470"/>
    </row>
    <row r="27" spans="1:17">
      <c r="A27" s="470"/>
      <c r="B27" s="470"/>
      <c r="C27" s="470"/>
      <c r="D27" s="470"/>
      <c r="E27" s="470"/>
      <c r="F27" s="470"/>
      <c r="G27" s="470"/>
      <c r="H27" s="470"/>
      <c r="I27" s="470"/>
      <c r="J27" s="470"/>
      <c r="K27" s="470"/>
      <c r="L27" s="470"/>
      <c r="M27" s="470"/>
      <c r="N27" s="470"/>
      <c r="O27" s="470"/>
      <c r="P27" s="470"/>
      <c r="Q27" s="470"/>
    </row>
    <row r="28" spans="1:17">
      <c r="A28" s="470"/>
      <c r="B28" s="470"/>
      <c r="C28" s="470"/>
      <c r="D28" s="470"/>
      <c r="E28" s="470"/>
      <c r="F28" s="470"/>
      <c r="G28" s="470"/>
      <c r="H28" s="470"/>
      <c r="I28" s="470"/>
      <c r="J28" s="470"/>
      <c r="K28" s="470"/>
      <c r="L28" s="470"/>
      <c r="M28" s="470"/>
      <c r="N28" s="470"/>
      <c r="O28" s="470"/>
      <c r="P28" s="470"/>
      <c r="Q28" s="470"/>
    </row>
    <row r="29" spans="1:17">
      <c r="A29" s="470"/>
      <c r="B29" s="470"/>
      <c r="C29" s="470"/>
      <c r="D29" s="470"/>
      <c r="E29" s="470"/>
      <c r="F29" s="470"/>
      <c r="G29" s="470"/>
      <c r="H29" s="470"/>
      <c r="I29" s="470"/>
      <c r="J29" s="470"/>
      <c r="K29" s="470"/>
      <c r="L29" s="470"/>
      <c r="M29" s="470"/>
      <c r="N29" s="470"/>
      <c r="O29" s="470"/>
      <c r="P29" s="470"/>
      <c r="Q29" s="470"/>
    </row>
  </sheetData>
  <mergeCells count="3">
    <mergeCell ref="B1:M1"/>
    <mergeCell ref="B2:M2"/>
    <mergeCell ref="B7:M7"/>
  </mergeCells>
  <phoneticPr fontId="90" type="noConversion"/>
  <conditionalFormatting sqref="B7">
    <cfRule type="containsBlanks" dxfId="8" priority="2">
      <formula>LEN(TRIM(B7))=0</formula>
    </cfRule>
  </conditionalFormatting>
  <hyperlinks>
    <hyperlink ref="B4" location="汇总!A1" display="返回汇总页" xr:uid="{4D591720-C0C0-40CE-A299-39411B9C9059}"/>
  </hyperlinks>
  <pageMargins left="0.7" right="0.7" top="0.75" bottom="0.75" header="0.3" footer="0.3"/>
  <pageSetup paperSize="9" orientation="portrait" horizontalDpi="300" r:id="rId1"/>
  <headerFooter>
    <oddFooter>&amp;LQ SWP Loans and borrowings
(22 July 2025)</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37587-050F-4FFB-8EB7-08C2123EA25C}">
  <dimension ref="A1:S50"/>
  <sheetViews>
    <sheetView showGridLines="0" zoomScale="70" zoomScaleNormal="70" workbookViewId="0">
      <selection activeCell="J41" sqref="J41"/>
    </sheetView>
  </sheetViews>
  <sheetFormatPr defaultColWidth="8.453125" defaultRowHeight="12.5"/>
  <cols>
    <col min="1" max="1" width="2.453125" style="350" customWidth="1"/>
    <col min="2" max="10" width="15.7265625" style="350" customWidth="1"/>
    <col min="11" max="11" width="17.36328125" style="350" customWidth="1"/>
    <col min="12" max="16" width="15.7265625" style="350" customWidth="1"/>
    <col min="17" max="17" width="15.7265625" style="41" customWidth="1"/>
    <col min="18" max="18" width="2.453125" style="350" customWidth="1"/>
    <col min="19" max="19" width="1.6328125" style="350" customWidth="1"/>
    <col min="20" max="16384" width="8.453125" style="350"/>
  </cols>
  <sheetData>
    <row r="1" spans="2:19" ht="50.25" customHeight="1">
      <c r="B1" s="592" t="s">
        <v>367</v>
      </c>
      <c r="C1" s="503"/>
      <c r="D1" s="503"/>
      <c r="E1" s="503"/>
      <c r="F1" s="504"/>
      <c r="G1" s="504"/>
      <c r="H1" s="504"/>
      <c r="I1" s="504"/>
      <c r="J1" s="504"/>
      <c r="K1" s="504"/>
      <c r="L1" s="346"/>
      <c r="M1" s="347"/>
      <c r="N1" s="347"/>
      <c r="O1" s="346"/>
      <c r="P1" s="347"/>
      <c r="Q1" s="346"/>
      <c r="R1" s="348"/>
      <c r="S1" s="349"/>
    </row>
    <row r="2" spans="2:19" ht="30" customHeight="1">
      <c r="B2" s="505" t="s">
        <v>272</v>
      </c>
      <c r="C2" s="500"/>
      <c r="D2" s="500"/>
      <c r="E2" s="500"/>
      <c r="F2" s="500"/>
      <c r="G2" s="500"/>
      <c r="H2" s="500"/>
      <c r="I2" s="500"/>
      <c r="J2" s="500"/>
      <c r="K2" s="500"/>
      <c r="L2" s="500"/>
      <c r="M2" s="500"/>
      <c r="N2" s="500"/>
      <c r="O2" s="500"/>
      <c r="P2" s="500"/>
      <c r="Q2" s="501"/>
      <c r="R2" s="502"/>
      <c r="S2" s="349"/>
    </row>
    <row r="3" spans="2:19" ht="15" customHeight="1">
      <c r="B3" s="497"/>
      <c r="C3" s="497"/>
      <c r="D3" s="497"/>
      <c r="E3" s="497"/>
      <c r="F3" s="497"/>
      <c r="G3" s="497"/>
      <c r="H3" s="497"/>
      <c r="I3" s="497"/>
      <c r="J3" s="497"/>
      <c r="K3" s="497"/>
      <c r="Q3" s="350"/>
      <c r="S3" s="349"/>
    </row>
    <row r="4" spans="2:19" ht="15" customHeight="1">
      <c r="B4" s="249" t="s">
        <v>51</v>
      </c>
      <c r="C4" s="497"/>
      <c r="D4" s="497"/>
      <c r="E4" s="497"/>
      <c r="F4" s="497"/>
      <c r="G4" s="497"/>
      <c r="H4" s="497"/>
      <c r="I4" s="497"/>
      <c r="J4" s="497"/>
      <c r="K4" s="497"/>
      <c r="Q4" s="350"/>
      <c r="S4" s="349"/>
    </row>
    <row r="5" spans="2:19" ht="15" customHeight="1">
      <c r="B5" s="497"/>
      <c r="C5" s="497"/>
      <c r="D5" s="497"/>
      <c r="E5" s="497"/>
      <c r="F5" s="497"/>
      <c r="G5" s="497"/>
      <c r="H5" s="497"/>
      <c r="I5" s="497"/>
      <c r="J5" s="497"/>
      <c r="K5" s="497"/>
      <c r="Q5" s="350"/>
      <c r="S5" s="349"/>
    </row>
    <row r="6" spans="2:19" ht="15" customHeight="1">
      <c r="B6" s="351" t="s">
        <v>273</v>
      </c>
      <c r="C6" s="352"/>
      <c r="D6" s="352"/>
      <c r="E6" s="352"/>
      <c r="F6" s="352"/>
      <c r="G6" s="352"/>
      <c r="H6" s="352"/>
      <c r="I6" s="352"/>
      <c r="J6" s="352"/>
      <c r="K6" s="352"/>
      <c r="L6" s="352"/>
      <c r="M6" s="352"/>
      <c r="N6" s="352"/>
      <c r="O6" s="352"/>
      <c r="P6" s="352"/>
      <c r="Q6" s="352"/>
      <c r="S6" s="349"/>
    </row>
    <row r="7" spans="2:19" ht="15" customHeight="1">
      <c r="B7" s="702"/>
      <c r="C7" s="702"/>
      <c r="D7" s="702"/>
      <c r="E7" s="702"/>
      <c r="F7" s="702"/>
      <c r="G7" s="702"/>
      <c r="H7" s="702"/>
      <c r="I7" s="702"/>
      <c r="J7" s="702"/>
      <c r="K7" s="702"/>
      <c r="L7" s="702"/>
      <c r="M7" s="702"/>
      <c r="N7" s="702"/>
      <c r="O7" s="702"/>
      <c r="P7" s="702"/>
      <c r="Q7" s="702"/>
      <c r="S7" s="349"/>
    </row>
    <row r="8" spans="2:19" ht="15" customHeight="1">
      <c r="B8" s="702"/>
      <c r="C8" s="702"/>
      <c r="D8" s="702"/>
      <c r="E8" s="702"/>
      <c r="F8" s="702"/>
      <c r="G8" s="702"/>
      <c r="H8" s="702"/>
      <c r="I8" s="702"/>
      <c r="J8" s="702"/>
      <c r="K8" s="702"/>
      <c r="L8" s="702"/>
      <c r="M8" s="702"/>
      <c r="N8" s="702"/>
      <c r="O8" s="702"/>
      <c r="P8" s="702"/>
      <c r="Q8" s="702"/>
      <c r="S8" s="349"/>
    </row>
    <row r="9" spans="2:19" ht="15" customHeight="1">
      <c r="B9" s="702"/>
      <c r="C9" s="702"/>
      <c r="D9" s="702"/>
      <c r="E9" s="702"/>
      <c r="F9" s="702"/>
      <c r="G9" s="702"/>
      <c r="H9" s="702"/>
      <c r="I9" s="702"/>
      <c r="J9" s="702"/>
      <c r="K9" s="702"/>
      <c r="L9" s="702"/>
      <c r="M9" s="702"/>
      <c r="N9" s="702"/>
      <c r="O9" s="702"/>
      <c r="P9" s="702"/>
      <c r="Q9" s="702"/>
      <c r="S9" s="349"/>
    </row>
    <row r="10" spans="2:19" ht="15" customHeight="1">
      <c r="Q10" s="350"/>
      <c r="S10" s="349"/>
    </row>
    <row r="11" spans="2:19" ht="15" customHeight="1">
      <c r="B11" s="69"/>
      <c r="C11" s="353"/>
      <c r="D11" s="353"/>
      <c r="E11" s="353"/>
      <c r="F11" s="353"/>
      <c r="G11" s="353"/>
      <c r="H11" s="353"/>
      <c r="I11" s="353"/>
      <c r="J11" s="353"/>
      <c r="K11" s="353"/>
      <c r="L11" s="353"/>
      <c r="M11" s="353"/>
      <c r="N11" s="353"/>
      <c r="O11" s="353"/>
      <c r="P11" s="353"/>
      <c r="Q11" s="353"/>
      <c r="S11" s="349"/>
    </row>
    <row r="12" spans="2:19" ht="15" customHeight="1">
      <c r="B12" s="94" t="s">
        <v>274</v>
      </c>
      <c r="C12" s="353"/>
      <c r="D12" s="95" t="s">
        <v>275</v>
      </c>
      <c r="E12" s="353"/>
      <c r="F12" s="353"/>
      <c r="G12" s="353"/>
      <c r="H12" s="353"/>
      <c r="I12" s="353"/>
      <c r="J12" s="353"/>
      <c r="K12" s="353"/>
      <c r="L12" s="353"/>
      <c r="M12" s="353"/>
      <c r="N12" s="353"/>
      <c r="O12" s="353"/>
      <c r="P12" s="353"/>
      <c r="Q12" s="353"/>
      <c r="S12" s="349"/>
    </row>
    <row r="13" spans="2:19" ht="15" customHeight="1">
      <c r="B13" s="94"/>
      <c r="C13" s="353"/>
      <c r="D13" s="498"/>
      <c r="E13" s="353"/>
      <c r="F13" s="353"/>
      <c r="G13" s="353"/>
      <c r="H13" s="353"/>
      <c r="I13" s="353"/>
      <c r="J13" s="353"/>
      <c r="K13" s="353"/>
      <c r="L13" s="353"/>
      <c r="M13" s="353"/>
      <c r="N13" s="353"/>
      <c r="O13" s="353"/>
      <c r="P13" s="353"/>
      <c r="Q13" s="353"/>
      <c r="S13" s="349"/>
    </row>
    <row r="14" spans="2:19" ht="15" customHeight="1">
      <c r="B14" s="69" t="s">
        <v>276</v>
      </c>
      <c r="C14" s="353"/>
      <c r="D14" s="353"/>
      <c r="E14" s="353"/>
      <c r="F14" s="353"/>
      <c r="G14" s="353"/>
      <c r="H14" s="353"/>
      <c r="I14" s="353"/>
      <c r="J14" s="353"/>
      <c r="K14" s="353"/>
      <c r="L14" s="353"/>
      <c r="M14" s="353"/>
      <c r="N14" s="353"/>
      <c r="O14" s="353"/>
      <c r="P14" s="353"/>
      <c r="Q14" s="353"/>
      <c r="S14" s="349"/>
    </row>
    <row r="15" spans="2:19" ht="15" customHeight="1">
      <c r="B15" s="354" t="s">
        <v>277</v>
      </c>
      <c r="C15" s="355"/>
      <c r="D15" s="355"/>
      <c r="E15" s="355"/>
      <c r="F15" s="355"/>
      <c r="G15" s="355"/>
      <c r="H15" s="355"/>
      <c r="I15" s="355"/>
      <c r="J15" s="355"/>
      <c r="K15" s="355"/>
      <c r="L15" s="355"/>
      <c r="M15" s="355"/>
      <c r="N15" s="355"/>
      <c r="O15" s="355"/>
      <c r="P15" s="355"/>
      <c r="Q15" s="355"/>
      <c r="S15" s="349"/>
    </row>
    <row r="16" spans="2:19" ht="15" customHeight="1">
      <c r="B16" s="56"/>
      <c r="C16" s="56"/>
      <c r="D16" s="56"/>
      <c r="E16" s="56"/>
      <c r="I16" s="356"/>
      <c r="J16" s="356"/>
      <c r="K16" s="356"/>
      <c r="Q16" s="350"/>
      <c r="S16" s="349"/>
    </row>
    <row r="17" spans="1:19" ht="15" customHeight="1">
      <c r="B17" s="120" t="s">
        <v>278</v>
      </c>
      <c r="C17" s="99"/>
      <c r="D17" s="2"/>
      <c r="F17" s="393"/>
      <c r="G17" s="393"/>
      <c r="H17" s="393"/>
      <c r="I17" s="393"/>
      <c r="J17" s="393"/>
      <c r="K17" s="393"/>
      <c r="L17" s="393"/>
      <c r="M17" s="393"/>
      <c r="N17" s="393"/>
      <c r="O17" s="393"/>
      <c r="P17" s="393"/>
      <c r="Q17" s="350"/>
      <c r="S17" s="349"/>
    </row>
    <row r="18" spans="1:19" ht="15" customHeight="1">
      <c r="B18" s="120" t="s">
        <v>279</v>
      </c>
      <c r="C18" s="99"/>
      <c r="D18" s="2">
        <f>'Q1.01 BKD'!H15</f>
        <v>0</v>
      </c>
      <c r="E18" s="357" t="s">
        <v>242</v>
      </c>
      <c r="F18" s="393"/>
      <c r="G18" s="393"/>
      <c r="H18" s="393"/>
      <c r="I18" s="393"/>
      <c r="J18" s="393"/>
      <c r="K18" s="393"/>
      <c r="L18" s="393"/>
      <c r="M18" s="393"/>
      <c r="N18" s="393"/>
      <c r="O18" s="393"/>
      <c r="P18" s="393"/>
      <c r="Q18" s="357"/>
      <c r="S18" s="349"/>
    </row>
    <row r="19" spans="1:19" ht="15" customHeight="1">
      <c r="B19" s="122" t="s">
        <v>280</v>
      </c>
      <c r="C19" s="62"/>
      <c r="D19" s="63">
        <f>D17-D18</f>
        <v>0</v>
      </c>
      <c r="F19" s="64" t="s">
        <v>281</v>
      </c>
      <c r="H19" s="456" t="str">
        <f>IF(ABS(D19)&gt;'Q1.00 Lead'!$C$6, "是", "否")</f>
        <v>否</v>
      </c>
      <c r="I19" s="244"/>
      <c r="J19" s="244"/>
      <c r="L19" s="393"/>
      <c r="M19" s="393"/>
      <c r="N19" s="393"/>
      <c r="O19" s="393"/>
      <c r="P19" s="393"/>
      <c r="Q19" s="357"/>
      <c r="S19" s="349"/>
    </row>
    <row r="20" spans="1:19" ht="15" customHeight="1">
      <c r="B20" s="57"/>
      <c r="C20" s="99"/>
      <c r="D20" s="66"/>
      <c r="F20" s="64"/>
      <c r="H20" s="244"/>
      <c r="I20" s="244"/>
      <c r="J20" s="244"/>
      <c r="L20" s="393"/>
      <c r="M20" s="393"/>
      <c r="N20" s="393"/>
      <c r="O20" s="393"/>
      <c r="P20" s="393"/>
      <c r="Q20" s="357"/>
      <c r="S20" s="349"/>
    </row>
    <row r="21" spans="1:19" ht="15" customHeight="1">
      <c r="B21" s="101" t="s">
        <v>282</v>
      </c>
      <c r="C21" s="358"/>
      <c r="D21" s="2">
        <f>SUMIF($C$40:$C$42,"关键项",$G$40:$G$42)</f>
        <v>0</v>
      </c>
      <c r="F21" s="393"/>
      <c r="G21" s="393"/>
      <c r="H21" s="393"/>
      <c r="I21" s="393"/>
      <c r="J21" s="393"/>
      <c r="K21" s="393"/>
      <c r="L21" s="393"/>
      <c r="M21" s="393"/>
      <c r="N21" s="393"/>
      <c r="O21" s="393"/>
      <c r="P21" s="393"/>
      <c r="Q21" s="350"/>
      <c r="S21" s="349"/>
    </row>
    <row r="22" spans="1:19" ht="15" customHeight="1">
      <c r="B22" s="122" t="s">
        <v>283</v>
      </c>
      <c r="C22" s="499"/>
      <c r="D22" s="360">
        <f>D17-D21</f>
        <v>0</v>
      </c>
      <c r="E22" s="361"/>
      <c r="F22" s="393"/>
      <c r="G22" s="393"/>
      <c r="H22" s="393"/>
      <c r="I22" s="393"/>
      <c r="J22" s="393"/>
      <c r="K22" s="393"/>
      <c r="L22" s="393"/>
      <c r="M22" s="393"/>
      <c r="Q22" s="350"/>
      <c r="S22" s="349"/>
    </row>
    <row r="23" spans="1:19" ht="15" customHeight="1">
      <c r="B23" s="362"/>
      <c r="C23" s="362"/>
      <c r="D23" s="362"/>
      <c r="E23" s="362"/>
      <c r="F23" s="362"/>
      <c r="G23" s="362"/>
      <c r="H23" s="362"/>
      <c r="I23" s="362"/>
      <c r="J23" s="362"/>
      <c r="K23" s="362"/>
      <c r="L23" s="393"/>
      <c r="Q23" s="350"/>
      <c r="S23" s="349"/>
    </row>
    <row r="24" spans="1:19" ht="15" customHeight="1">
      <c r="B24" s="495" t="s">
        <v>284</v>
      </c>
      <c r="C24" s="363"/>
      <c r="D24" s="363"/>
      <c r="E24" s="363"/>
      <c r="F24" s="364"/>
      <c r="G24" s="363"/>
      <c r="H24" s="363"/>
      <c r="I24" s="363"/>
      <c r="J24" s="363"/>
      <c r="K24" s="363"/>
      <c r="L24" s="363"/>
      <c r="M24" s="363"/>
      <c r="N24" s="363"/>
      <c r="Q24" s="350"/>
      <c r="S24" s="349"/>
    </row>
    <row r="25" spans="1:19" ht="15" customHeight="1">
      <c r="B25" s="702"/>
      <c r="C25" s="702"/>
      <c r="D25" s="702"/>
      <c r="E25" s="702"/>
      <c r="F25" s="702"/>
      <c r="G25" s="702"/>
      <c r="H25" s="702"/>
      <c r="I25" s="702"/>
      <c r="J25" s="702"/>
      <c r="K25" s="702"/>
      <c r="L25" s="702"/>
      <c r="M25" s="702"/>
      <c r="N25" s="702"/>
      <c r="O25" s="702"/>
      <c r="P25" s="702"/>
      <c r="Q25" s="702"/>
      <c r="S25" s="349"/>
    </row>
    <row r="26" spans="1:19" ht="15" customHeight="1">
      <c r="B26" s="702"/>
      <c r="C26" s="702"/>
      <c r="D26" s="702"/>
      <c r="E26" s="702"/>
      <c r="F26" s="702"/>
      <c r="G26" s="702"/>
      <c r="H26" s="702"/>
      <c r="I26" s="702"/>
      <c r="J26" s="702"/>
      <c r="K26" s="702"/>
      <c r="L26" s="702"/>
      <c r="M26" s="702"/>
      <c r="N26" s="702"/>
      <c r="O26" s="702"/>
      <c r="P26" s="702"/>
      <c r="Q26" s="702"/>
      <c r="S26" s="349"/>
    </row>
    <row r="27" spans="1:19" ht="15" customHeight="1">
      <c r="B27" s="702"/>
      <c r="C27" s="702"/>
      <c r="D27" s="702"/>
      <c r="E27" s="702"/>
      <c r="F27" s="702"/>
      <c r="G27" s="702"/>
      <c r="H27" s="702"/>
      <c r="I27" s="702"/>
      <c r="J27" s="702"/>
      <c r="K27" s="702"/>
      <c r="L27" s="702"/>
      <c r="M27" s="702"/>
      <c r="N27" s="702"/>
      <c r="O27" s="702"/>
      <c r="P27" s="702"/>
      <c r="Q27" s="702"/>
      <c r="S27" s="349"/>
    </row>
    <row r="28" spans="1:19" ht="15" customHeight="1">
      <c r="B28" s="57"/>
      <c r="C28" s="57"/>
      <c r="D28" s="57"/>
      <c r="E28" s="57"/>
      <c r="F28" s="365"/>
      <c r="H28" s="366"/>
      <c r="I28" s="366"/>
      <c r="J28" s="366"/>
      <c r="K28" s="366"/>
      <c r="Q28" s="350"/>
      <c r="S28" s="349"/>
    </row>
    <row r="29" spans="1:19" ht="15" customHeight="1">
      <c r="A29" s="367"/>
      <c r="B29" s="368" t="s">
        <v>285</v>
      </c>
      <c r="C29" s="369"/>
      <c r="D29" s="369"/>
      <c r="E29" s="369"/>
      <c r="F29" s="369"/>
      <c r="G29" s="369"/>
      <c r="H29" s="369"/>
      <c r="I29" s="369"/>
      <c r="J29" s="369"/>
      <c r="K29" s="369"/>
      <c r="L29" s="369"/>
      <c r="M29" s="369"/>
      <c r="N29" s="369"/>
      <c r="O29" s="369"/>
      <c r="P29" s="369"/>
      <c r="Q29" s="370"/>
      <c r="S29" s="349"/>
    </row>
    <row r="30" spans="1:19" ht="15" customHeight="1">
      <c r="B30" s="371" t="s">
        <v>286</v>
      </c>
      <c r="C30" s="372"/>
      <c r="D30" s="372"/>
      <c r="E30" s="372"/>
      <c r="F30" s="372"/>
      <c r="G30" s="372"/>
      <c r="H30" s="372"/>
      <c r="I30" s="372"/>
      <c r="J30" s="372"/>
      <c r="K30" s="372"/>
      <c r="L30" s="372"/>
      <c r="M30" s="372"/>
      <c r="N30" s="372"/>
      <c r="O30" s="372"/>
      <c r="P30" s="372"/>
      <c r="Q30" s="373"/>
      <c r="S30" s="349"/>
    </row>
    <row r="31" spans="1:19" ht="15" customHeight="1">
      <c r="B31" s="371" t="s">
        <v>287</v>
      </c>
      <c r="C31" s="372"/>
      <c r="D31" s="372"/>
      <c r="E31" s="372"/>
      <c r="F31" s="372"/>
      <c r="G31" s="372"/>
      <c r="H31" s="372"/>
      <c r="I31" s="372"/>
      <c r="J31" s="372"/>
      <c r="K31" s="372"/>
      <c r="L31" s="372"/>
      <c r="M31" s="372"/>
      <c r="N31" s="372"/>
      <c r="O31" s="372"/>
      <c r="P31" s="372"/>
      <c r="Q31" s="373"/>
      <c r="S31" s="349"/>
    </row>
    <row r="32" spans="1:19" ht="15" customHeight="1">
      <c r="B32" s="371" t="s">
        <v>288</v>
      </c>
      <c r="C32" s="374"/>
      <c r="D32" s="374"/>
      <c r="E32" s="374"/>
      <c r="F32" s="374"/>
      <c r="G32" s="374"/>
      <c r="H32" s="374"/>
      <c r="I32" s="374"/>
      <c r="J32" s="374"/>
      <c r="K32" s="374"/>
      <c r="L32" s="374"/>
      <c r="M32" s="374"/>
      <c r="N32" s="374"/>
      <c r="O32" s="374"/>
      <c r="P32" s="374"/>
      <c r="Q32" s="375"/>
      <c r="S32" s="349"/>
    </row>
    <row r="33" spans="2:19" ht="15" customHeight="1">
      <c r="B33" s="371" t="s">
        <v>289</v>
      </c>
      <c r="C33" s="376"/>
      <c r="D33" s="376"/>
      <c r="E33" s="376"/>
      <c r="F33" s="376"/>
      <c r="G33" s="376"/>
      <c r="H33" s="376"/>
      <c r="I33" s="376"/>
      <c r="J33" s="376"/>
      <c r="K33" s="376"/>
      <c r="L33" s="376"/>
      <c r="M33" s="376"/>
      <c r="N33" s="376"/>
      <c r="O33" s="376"/>
      <c r="P33" s="376"/>
      <c r="Q33" s="377"/>
      <c r="S33" s="349"/>
    </row>
    <row r="34" spans="2:19" ht="15" customHeight="1">
      <c r="B34" s="703" t="s">
        <v>290</v>
      </c>
      <c r="C34" s="704"/>
      <c r="D34" s="704"/>
      <c r="E34" s="704"/>
      <c r="F34" s="704"/>
      <c r="G34" s="704"/>
      <c r="H34" s="704"/>
      <c r="I34" s="704"/>
      <c r="J34" s="704"/>
      <c r="K34" s="704"/>
      <c r="L34" s="704"/>
      <c r="M34" s="704"/>
      <c r="N34" s="704"/>
      <c r="O34" s="704"/>
      <c r="P34" s="704"/>
      <c r="Q34" s="705"/>
      <c r="S34" s="349"/>
    </row>
    <row r="35" spans="2:19" ht="15" customHeight="1">
      <c r="B35" s="371" t="s">
        <v>291</v>
      </c>
      <c r="C35" s="593"/>
      <c r="D35" s="593"/>
      <c r="E35" s="593"/>
      <c r="F35" s="593"/>
      <c r="G35" s="593"/>
      <c r="H35" s="593"/>
      <c r="I35" s="593"/>
      <c r="J35" s="593"/>
      <c r="K35" s="593"/>
      <c r="L35" s="593"/>
      <c r="M35" s="593"/>
      <c r="N35" s="593"/>
      <c r="O35" s="593"/>
      <c r="P35" s="593"/>
      <c r="Q35" s="594"/>
      <c r="S35" s="349"/>
    </row>
    <row r="36" spans="2:19" ht="15" customHeight="1">
      <c r="B36" s="378"/>
      <c r="C36" s="378"/>
      <c r="D36" s="378"/>
      <c r="E36" s="378"/>
      <c r="F36" s="378"/>
      <c r="Q36" s="350"/>
      <c r="S36" s="349"/>
    </row>
    <row r="37" spans="2:19" ht="15" customHeight="1">
      <c r="B37" s="378"/>
      <c r="C37" s="378"/>
      <c r="D37" s="378"/>
      <c r="E37" s="378"/>
      <c r="F37" s="378"/>
      <c r="Q37" s="350"/>
      <c r="S37" s="349"/>
    </row>
    <row r="38" spans="2:19" ht="15" customHeight="1">
      <c r="B38" s="379"/>
      <c r="G38" s="380"/>
      <c r="I38" s="381" t="s">
        <v>292</v>
      </c>
      <c r="L38" s="706" t="s">
        <v>179</v>
      </c>
      <c r="M38" s="706"/>
      <c r="N38" s="706"/>
      <c r="O38" s="706"/>
      <c r="P38" s="706"/>
      <c r="Q38" s="706"/>
      <c r="S38" s="349"/>
    </row>
    <row r="39" spans="2:19" ht="55.5" customHeight="1">
      <c r="B39" s="382" t="s">
        <v>293</v>
      </c>
      <c r="C39" s="383" t="s">
        <v>294</v>
      </c>
      <c r="D39" s="384" t="s">
        <v>295</v>
      </c>
      <c r="E39" s="385" t="s">
        <v>296</v>
      </c>
      <c r="F39" s="386" t="s">
        <v>297</v>
      </c>
      <c r="G39" s="387" t="s">
        <v>298</v>
      </c>
      <c r="H39" s="382" t="s">
        <v>299</v>
      </c>
      <c r="I39" s="388" t="s">
        <v>300</v>
      </c>
      <c r="J39" s="389" t="s">
        <v>301</v>
      </c>
      <c r="K39" s="388" t="s">
        <v>302</v>
      </c>
      <c r="L39" s="390">
        <v>1</v>
      </c>
      <c r="M39" s="391">
        <v>2</v>
      </c>
      <c r="N39" s="391">
        <v>3</v>
      </c>
      <c r="O39" s="391">
        <v>4</v>
      </c>
      <c r="P39" s="391">
        <v>5</v>
      </c>
      <c r="Q39" s="391">
        <v>6</v>
      </c>
      <c r="S39" s="349"/>
    </row>
    <row r="40" spans="2:19" ht="15" customHeight="1">
      <c r="B40" s="455"/>
      <c r="C40" s="540"/>
      <c r="D40" s="455"/>
      <c r="E40" s="455"/>
      <c r="F40" s="541"/>
      <c r="G40" s="537"/>
      <c r="H40" s="537"/>
      <c r="I40" s="536">
        <f>G40-H40</f>
        <v>0</v>
      </c>
      <c r="J40" s="542"/>
      <c r="K40" s="392"/>
      <c r="L40" s="455"/>
      <c r="M40" s="455"/>
      <c r="N40" s="455"/>
      <c r="O40" s="455"/>
      <c r="P40" s="455"/>
      <c r="Q40" s="455"/>
      <c r="S40" s="349"/>
    </row>
    <row r="41" spans="2:19" ht="15" customHeight="1">
      <c r="B41" s="455"/>
      <c r="C41" s="540"/>
      <c r="D41" s="455"/>
      <c r="E41" s="455"/>
      <c r="F41" s="455"/>
      <c r="G41" s="537"/>
      <c r="H41" s="537"/>
      <c r="I41" s="536">
        <f>G41-H41</f>
        <v>0</v>
      </c>
      <c r="J41" s="542"/>
      <c r="K41" s="392"/>
      <c r="L41" s="455"/>
      <c r="M41" s="455"/>
      <c r="N41" s="455"/>
      <c r="O41" s="455"/>
      <c r="P41" s="455"/>
      <c r="Q41" s="455"/>
      <c r="S41" s="349"/>
    </row>
    <row r="42" spans="2:19" ht="15" customHeight="1">
      <c r="B42" s="455"/>
      <c r="C42" s="540"/>
      <c r="D42" s="455"/>
      <c r="E42" s="455"/>
      <c r="F42" s="455"/>
      <c r="G42" s="537"/>
      <c r="H42" s="537"/>
      <c r="I42" s="536">
        <f>G42-H42</f>
        <v>0</v>
      </c>
      <c r="J42" s="542"/>
      <c r="K42" s="392"/>
      <c r="L42" s="455"/>
      <c r="M42" s="455"/>
      <c r="N42" s="455"/>
      <c r="O42" s="455"/>
      <c r="P42" s="455"/>
      <c r="Q42" s="455"/>
      <c r="S42" s="349"/>
    </row>
    <row r="43" spans="2:19" ht="15" customHeight="1">
      <c r="B43" s="101"/>
      <c r="C43" s="101"/>
      <c r="D43" s="101"/>
      <c r="E43" s="393"/>
      <c r="F43" s="393"/>
      <c r="G43" s="393"/>
      <c r="H43" s="393"/>
      <c r="I43" s="393"/>
      <c r="J43" s="393"/>
      <c r="K43" s="393"/>
      <c r="L43" s="393"/>
      <c r="M43" s="393"/>
      <c r="N43" s="393"/>
      <c r="O43" s="393"/>
      <c r="P43" s="393"/>
      <c r="Q43" s="393"/>
      <c r="S43" s="349"/>
    </row>
    <row r="44" spans="2:19" ht="13">
      <c r="B44" s="393" t="s">
        <v>303</v>
      </c>
      <c r="C44" s="394"/>
      <c r="D44" s="394"/>
      <c r="E44" s="394"/>
      <c r="F44" s="394"/>
      <c r="Q44" s="350"/>
      <c r="S44" s="349"/>
    </row>
    <row r="45" spans="2:19">
      <c r="B45" s="707"/>
      <c r="C45" s="708"/>
      <c r="D45" s="708"/>
      <c r="E45" s="708"/>
      <c r="F45" s="709"/>
      <c r="Q45" s="350"/>
      <c r="S45" s="349"/>
    </row>
    <row r="46" spans="2:19">
      <c r="B46" s="710"/>
      <c r="C46" s="711"/>
      <c r="D46" s="711"/>
      <c r="E46" s="711"/>
      <c r="F46" s="712"/>
      <c r="Q46" s="350"/>
      <c r="S46" s="349"/>
    </row>
    <row r="47" spans="2:19">
      <c r="B47" s="710"/>
      <c r="C47" s="711"/>
      <c r="D47" s="711"/>
      <c r="E47" s="711"/>
      <c r="F47" s="712"/>
      <c r="Q47" s="350"/>
      <c r="S47" s="349"/>
    </row>
    <row r="48" spans="2:19">
      <c r="B48" s="713"/>
      <c r="C48" s="714"/>
      <c r="D48" s="714"/>
      <c r="E48" s="714"/>
      <c r="F48" s="715"/>
      <c r="Q48" s="350"/>
      <c r="S48" s="349"/>
    </row>
    <row r="49" spans="1:19">
      <c r="S49" s="395"/>
    </row>
    <row r="50" spans="1:19">
      <c r="A50" s="395"/>
      <c r="B50" s="395"/>
      <c r="C50" s="395"/>
      <c r="D50" s="395"/>
      <c r="E50" s="395"/>
      <c r="F50" s="395"/>
      <c r="G50" s="395"/>
      <c r="H50" s="395"/>
      <c r="I50" s="395"/>
      <c r="J50" s="395"/>
      <c r="K50" s="395"/>
      <c r="L50" s="395"/>
      <c r="M50" s="395"/>
      <c r="N50" s="395"/>
      <c r="O50" s="395"/>
      <c r="P50" s="395"/>
      <c r="Q50" s="395"/>
      <c r="R50" s="395"/>
      <c r="S50" s="395"/>
    </row>
  </sheetData>
  <sheetProtection formatCells="0" formatColumns="0" formatRows="0" insertColumns="0" insertRows="0" insertHyperlinks="0" deleteColumns="0" deleteRows="0" sort="0" autoFilter="0" pivotTables="0"/>
  <mergeCells count="5">
    <mergeCell ref="B7:Q9"/>
    <mergeCell ref="B25:Q27"/>
    <mergeCell ref="B34:Q34"/>
    <mergeCell ref="L38:Q38"/>
    <mergeCell ref="B45:F48"/>
  </mergeCells>
  <phoneticPr fontId="90" type="noConversion"/>
  <conditionalFormatting sqref="B40:J42">
    <cfRule type="containsBlanks" dxfId="7" priority="2">
      <formula>LEN(TRIM(B40))=0</formula>
    </cfRule>
  </conditionalFormatting>
  <conditionalFormatting sqref="B7:Q9 B17 D17:D19 B19 H19 B21 D21:D22 B25:Q27 B45:F48">
    <cfRule type="containsBlanks" dxfId="6" priority="4">
      <formula>LEN(TRIM(B7))=0</formula>
    </cfRule>
  </conditionalFormatting>
  <conditionalFormatting sqref="L40:Q42">
    <cfRule type="containsBlanks" dxfId="5" priority="3">
      <formula>LEN(TRIM(L40))=0</formula>
    </cfRule>
  </conditionalFormatting>
  <dataValidations count="2">
    <dataValidation type="list" allowBlank="1" showInputMessage="1" sqref="C40:C42" xr:uid="{99C86177-F5AC-4866-A7ED-111F3D07EC9D}">
      <formula1>"关键项,代表性样本"</formula1>
    </dataValidation>
    <dataValidation type="list" allowBlank="1" showInputMessage="1" sqref="L40:Q42" xr:uid="{094F8441-4712-4078-881F-A717B1E77917}">
      <formula1>"Y,N"</formula1>
    </dataValidation>
  </dataValidations>
  <hyperlinks>
    <hyperlink ref="B4" location="汇总!A1" display="返回汇总页" xr:uid="{9BD55AB7-7B34-4A47-9483-969362F931A6}"/>
    <hyperlink ref="D12" r:id="rId1" display="https://eychinamanaged.sharepoint.cn/:x:/r/sites/china.audit.standard.working.paper/Shared Documents/FY26/Q/SWP/%E5%BE%85%E4%BF%AE%E6%94%B9V6%E5%BA%95%E7%A8%BF/Supplementary-%E5%80%9F%E6%AC%BE/Q SWP %E5%88%A9%E6%81%AF%E8%B5%84%E6%9C%AC%E5%8C%96%E6%B5%8B%E8%AF%95 202YMMDD XYZ%E5%85%AC%E5%8F%B8.xlsx?d=w31a5b2dd40d045589e2a4e753797aa2c&amp;csf=1&amp;web=1&amp;e=EnC21P" xr:uid="{E12AFE26-4D8A-4BE2-97B8-AB6A6282060C}"/>
  </hyperlinks>
  <pageMargins left="0.70866141732283505" right="0.70866141732283505" top="0.74803149606299202" bottom="0.74803149606299202" header="0.31496062992126" footer="0.31496062992126"/>
  <pageSetup paperSize="9" scale="57" orientation="landscape" horizontalDpi="300" verticalDpi="300" r:id="rId2"/>
  <headerFooter>
    <oddFooter>&amp;L&amp;"Arial,Regular"&amp;10Q SWP Loans and borrowings
(22 July 2025)</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C5EE0-02FF-40E0-A647-D855B3A6CA54}">
  <dimension ref="A1:S41"/>
  <sheetViews>
    <sheetView showGridLines="0" zoomScale="70" zoomScaleNormal="70" workbookViewId="0">
      <selection activeCell="W12" sqref="W12"/>
    </sheetView>
  </sheetViews>
  <sheetFormatPr defaultColWidth="8.453125" defaultRowHeight="12.5" outlineLevelRow="2"/>
  <cols>
    <col min="1" max="1" width="2.453125" style="350" customWidth="1"/>
    <col min="2" max="10" width="15.7265625" style="350" customWidth="1"/>
    <col min="11" max="11" width="17.36328125" style="350" customWidth="1"/>
    <col min="12" max="16" width="15.7265625" style="350" customWidth="1"/>
    <col min="17" max="17" width="15.7265625" style="41" customWidth="1"/>
    <col min="18" max="18" width="2.453125" style="350" customWidth="1"/>
    <col min="19" max="19" width="1.6328125" style="350" customWidth="1"/>
    <col min="20" max="16384" width="8.453125" style="350"/>
  </cols>
  <sheetData>
    <row r="1" spans="1:19" ht="50.25" customHeight="1">
      <c r="B1" s="592" t="s">
        <v>367</v>
      </c>
      <c r="C1" s="503"/>
      <c r="D1" s="503"/>
      <c r="E1" s="503"/>
      <c r="F1" s="504"/>
      <c r="G1" s="504"/>
      <c r="H1" s="504"/>
      <c r="I1" s="504"/>
      <c r="J1" s="504"/>
      <c r="K1" s="504"/>
      <c r="L1" s="346"/>
      <c r="M1" s="347"/>
      <c r="N1" s="347"/>
      <c r="O1" s="346"/>
      <c r="P1" s="347"/>
      <c r="Q1" s="346"/>
      <c r="R1" s="348"/>
      <c r="S1" s="349"/>
    </row>
    <row r="2" spans="1:19" ht="30" customHeight="1">
      <c r="B2" s="569" t="s">
        <v>304</v>
      </c>
      <c r="C2" s="500"/>
      <c r="D2" s="500"/>
      <c r="E2" s="500"/>
      <c r="F2" s="500"/>
      <c r="G2" s="500"/>
      <c r="H2" s="500"/>
      <c r="I2" s="500"/>
      <c r="J2" s="500"/>
      <c r="K2" s="500"/>
      <c r="L2" s="500"/>
      <c r="M2" s="500"/>
      <c r="N2" s="500"/>
      <c r="O2" s="500"/>
      <c r="P2" s="500"/>
      <c r="Q2" s="501"/>
      <c r="R2" s="502"/>
      <c r="S2" s="349"/>
    </row>
    <row r="3" spans="1:19" ht="15" customHeight="1">
      <c r="B3" s="497"/>
      <c r="C3" s="497"/>
      <c r="D3" s="497"/>
      <c r="E3" s="497"/>
      <c r="F3" s="497"/>
      <c r="G3" s="497"/>
      <c r="H3" s="497"/>
      <c r="I3" s="497"/>
      <c r="J3" s="497"/>
      <c r="K3" s="497"/>
      <c r="Q3" s="350"/>
      <c r="S3" s="349"/>
    </row>
    <row r="4" spans="1:19" ht="15" customHeight="1">
      <c r="B4" s="249" t="s">
        <v>51</v>
      </c>
      <c r="C4" s="497"/>
      <c r="D4" s="497"/>
      <c r="E4" s="497"/>
      <c r="F4" s="497"/>
      <c r="G4" s="497"/>
      <c r="H4" s="497"/>
      <c r="I4" s="497"/>
      <c r="J4" s="497"/>
      <c r="K4" s="497"/>
      <c r="Q4" s="350"/>
      <c r="S4" s="349"/>
    </row>
    <row r="5" spans="1:19" ht="15" customHeight="1">
      <c r="B5" s="497"/>
      <c r="C5" s="497"/>
      <c r="D5" s="497"/>
      <c r="E5" s="497"/>
      <c r="F5" s="497"/>
      <c r="G5" s="497"/>
      <c r="H5" s="497"/>
      <c r="I5" s="497"/>
      <c r="J5" s="497"/>
      <c r="K5" s="497"/>
      <c r="Q5" s="350"/>
      <c r="S5" s="349"/>
    </row>
    <row r="6" spans="1:19" ht="13">
      <c r="A6" s="437"/>
      <c r="B6" s="69" t="s">
        <v>305</v>
      </c>
      <c r="C6" s="437"/>
      <c r="D6" s="437"/>
      <c r="E6" s="437"/>
      <c r="F6" s="437"/>
      <c r="G6" s="437"/>
      <c r="H6" s="437"/>
      <c r="I6" s="437"/>
      <c r="J6" s="437"/>
      <c r="K6" s="437"/>
      <c r="L6" s="437"/>
      <c r="M6" s="437"/>
      <c r="N6" s="437"/>
      <c r="O6" s="437"/>
      <c r="P6" s="437"/>
      <c r="R6" s="437"/>
      <c r="S6" s="349"/>
    </row>
    <row r="7" spans="1:19" ht="15" customHeight="1">
      <c r="A7" s="356"/>
      <c r="B7" s="354" t="s">
        <v>306</v>
      </c>
      <c r="C7" s="355"/>
      <c r="D7" s="355"/>
      <c r="E7" s="355"/>
      <c r="F7" s="355"/>
      <c r="G7" s="355"/>
      <c r="H7" s="355"/>
      <c r="I7" s="355"/>
      <c r="J7" s="355"/>
      <c r="K7" s="355"/>
      <c r="L7" s="355"/>
      <c r="M7" s="355"/>
      <c r="N7" s="355"/>
      <c r="O7" s="355"/>
      <c r="P7" s="355"/>
      <c r="Q7" s="355"/>
      <c r="S7" s="395"/>
    </row>
    <row r="8" spans="1:19" ht="15" customHeight="1">
      <c r="A8" s="356"/>
      <c r="B8" s="363"/>
      <c r="Q8" s="350"/>
      <c r="S8" s="349"/>
    </row>
    <row r="9" spans="1:19" ht="15" customHeight="1">
      <c r="B9" s="94" t="s">
        <v>274</v>
      </c>
      <c r="C9" s="353"/>
      <c r="D9" s="756" t="s">
        <v>368</v>
      </c>
      <c r="E9" s="353"/>
      <c r="F9" s="353"/>
      <c r="G9" s="353"/>
      <c r="H9" s="353"/>
      <c r="I9" s="353"/>
      <c r="J9" s="353"/>
      <c r="K9" s="353"/>
      <c r="L9" s="353"/>
      <c r="M9" s="353"/>
      <c r="N9" s="353"/>
      <c r="O9" s="353"/>
      <c r="P9" s="353"/>
      <c r="Q9" s="353"/>
      <c r="S9" s="349"/>
    </row>
    <row r="10" spans="1:19" ht="15" customHeight="1">
      <c r="B10" s="94"/>
      <c r="C10" s="353"/>
      <c r="D10" s="95"/>
      <c r="E10" s="353"/>
      <c r="F10" s="353"/>
      <c r="G10" s="353"/>
      <c r="H10" s="353"/>
      <c r="I10" s="353"/>
      <c r="J10" s="353"/>
      <c r="K10" s="353"/>
      <c r="L10" s="353"/>
      <c r="M10" s="353"/>
      <c r="N10" s="353"/>
      <c r="O10" s="353"/>
      <c r="P10" s="353"/>
      <c r="Q10" s="353"/>
      <c r="S10" s="349"/>
    </row>
    <row r="11" spans="1:19" ht="15.75" customHeight="1" outlineLevel="1">
      <c r="A11" s="396"/>
      <c r="B11" s="102" t="s">
        <v>285</v>
      </c>
      <c r="C11" s="103"/>
      <c r="D11" s="103"/>
      <c r="E11" s="103"/>
      <c r="F11" s="103"/>
      <c r="G11" s="103"/>
      <c r="H11" s="103"/>
      <c r="I11" s="103"/>
      <c r="J11" s="103"/>
      <c r="K11" s="103"/>
      <c r="L11" s="103"/>
      <c r="M11" s="103"/>
      <c r="N11" s="103"/>
      <c r="O11" s="104"/>
      <c r="S11" s="395"/>
    </row>
    <row r="12" spans="1:19" ht="15.75" customHeight="1" outlineLevel="1">
      <c r="A12" s="356"/>
      <c r="B12" s="105" t="s">
        <v>307</v>
      </c>
      <c r="C12" s="106"/>
      <c r="D12" s="106"/>
      <c r="E12" s="106"/>
      <c r="F12" s="106"/>
      <c r="G12" s="106"/>
      <c r="H12" s="106"/>
      <c r="I12" s="106"/>
      <c r="J12" s="106"/>
      <c r="K12" s="106"/>
      <c r="L12" s="106"/>
      <c r="M12" s="106"/>
      <c r="N12" s="106"/>
      <c r="O12" s="107"/>
      <c r="S12" s="395"/>
    </row>
    <row r="13" spans="1:19" ht="15.75" customHeight="1" outlineLevel="1">
      <c r="A13" s="356"/>
      <c r="B13" s="399" t="s">
        <v>308</v>
      </c>
      <c r="C13" s="397"/>
      <c r="D13" s="397"/>
      <c r="E13" s="397"/>
      <c r="F13" s="397"/>
      <c r="G13" s="397"/>
      <c r="H13" s="397"/>
      <c r="I13" s="397"/>
      <c r="J13" s="397"/>
      <c r="K13" s="397"/>
      <c r="L13" s="397"/>
      <c r="M13" s="397"/>
      <c r="N13" s="397"/>
      <c r="O13" s="398"/>
      <c r="S13" s="395"/>
    </row>
    <row r="14" spans="1:19" ht="15.75" customHeight="1" outlineLevel="1">
      <c r="A14" s="356"/>
      <c r="B14" s="399" t="s">
        <v>309</v>
      </c>
      <c r="C14" s="111"/>
      <c r="D14" s="111"/>
      <c r="E14" s="111"/>
      <c r="F14" s="111"/>
      <c r="G14" s="111"/>
      <c r="H14" s="111"/>
      <c r="I14" s="111"/>
      <c r="J14" s="111"/>
      <c r="K14" s="111"/>
      <c r="L14" s="111"/>
      <c r="M14" s="111"/>
      <c r="N14" s="111"/>
      <c r="O14" s="400"/>
      <c r="S14" s="395"/>
    </row>
    <row r="15" spans="1:19" ht="15.75" customHeight="1" outlineLevel="1">
      <c r="A15" s="356"/>
      <c r="B15" s="108" t="s">
        <v>310</v>
      </c>
      <c r="C15" s="109"/>
      <c r="D15" s="109"/>
      <c r="E15" s="109"/>
      <c r="F15" s="109"/>
      <c r="G15" s="109"/>
      <c r="H15" s="109"/>
      <c r="I15" s="109"/>
      <c r="J15" s="109"/>
      <c r="K15" s="109"/>
      <c r="L15" s="109"/>
      <c r="M15" s="109"/>
      <c r="N15" s="109"/>
      <c r="O15" s="110"/>
      <c r="S15" s="395"/>
    </row>
    <row r="16" spans="1:19" ht="15.75" customHeight="1" outlineLevel="1">
      <c r="A16" s="356"/>
      <c r="B16" s="111"/>
      <c r="C16" s="111"/>
      <c r="D16" s="111"/>
      <c r="E16" s="111"/>
      <c r="F16" s="111"/>
      <c r="G16" s="111"/>
      <c r="H16" s="111"/>
      <c r="I16" s="111"/>
      <c r="J16" s="111"/>
      <c r="K16" s="111"/>
      <c r="L16" s="111"/>
      <c r="M16" s="111"/>
      <c r="N16" s="111"/>
      <c r="O16" s="111"/>
      <c r="S16" s="395"/>
    </row>
    <row r="17" spans="1:19" ht="15.75" customHeight="1" outlineLevel="1">
      <c r="A17" s="356"/>
      <c r="B17" s="401" t="s">
        <v>311</v>
      </c>
      <c r="C17" s="457">
        <v>45658</v>
      </c>
      <c r="D17" s="402"/>
      <c r="E17" s="403"/>
      <c r="F17" s="403"/>
      <c r="G17" s="403"/>
      <c r="H17" s="404"/>
      <c r="I17" s="404"/>
      <c r="J17" s="403"/>
      <c r="K17" s="403"/>
      <c r="L17" s="403"/>
      <c r="M17" s="403"/>
      <c r="N17" s="403"/>
      <c r="O17" s="9"/>
      <c r="P17" s="9"/>
      <c r="S17" s="395"/>
    </row>
    <row r="18" spans="1:19" ht="15.75" customHeight="1" outlineLevel="1">
      <c r="A18" s="356"/>
      <c r="B18" s="405" t="s">
        <v>312</v>
      </c>
      <c r="C18" s="458">
        <v>46022</v>
      </c>
      <c r="D18" s="404"/>
      <c r="E18" s="406"/>
      <c r="F18" s="407"/>
      <c r="G18" s="404"/>
      <c r="H18" s="404"/>
      <c r="I18" s="404"/>
      <c r="J18" s="404"/>
      <c r="K18" s="404"/>
      <c r="L18" s="404"/>
      <c r="M18" s="404"/>
      <c r="N18" s="404"/>
      <c r="O18" s="404"/>
      <c r="P18" s="406"/>
      <c r="S18" s="395"/>
    </row>
    <row r="19" spans="1:19" ht="15.75" customHeight="1" outlineLevel="1">
      <c r="A19" s="356"/>
      <c r="B19" s="404"/>
      <c r="C19" s="408"/>
      <c r="D19" s="404"/>
      <c r="E19" s="406"/>
      <c r="F19" s="407"/>
      <c r="G19" s="404"/>
      <c r="H19" s="404"/>
      <c r="I19" s="404"/>
      <c r="J19" s="404"/>
      <c r="K19" s="404"/>
      <c r="L19" s="404"/>
      <c r="M19" s="404"/>
      <c r="N19" s="404"/>
      <c r="O19" s="404"/>
      <c r="P19" s="406"/>
      <c r="S19" s="395"/>
    </row>
    <row r="20" spans="1:19" ht="15.75" customHeight="1" outlineLevel="1">
      <c r="A20" s="356"/>
      <c r="B20" s="409" t="s">
        <v>313</v>
      </c>
      <c r="C20" s="404"/>
      <c r="D20" s="404"/>
      <c r="E20" s="406"/>
      <c r="F20" s="404"/>
      <c r="G20" s="407"/>
      <c r="H20" s="404"/>
      <c r="I20" s="404"/>
      <c r="J20" s="404"/>
      <c r="K20" s="410"/>
      <c r="L20" s="404"/>
      <c r="M20" s="404"/>
      <c r="N20" s="404"/>
      <c r="O20" s="406"/>
      <c r="P20" s="406"/>
      <c r="S20" s="395"/>
    </row>
    <row r="21" spans="1:19" ht="15.75" customHeight="1" outlineLevel="2">
      <c r="A21" s="356"/>
      <c r="B21" s="404"/>
      <c r="C21" s="404"/>
      <c r="D21" s="411"/>
      <c r="E21" s="411"/>
      <c r="F21" s="412" t="s">
        <v>314</v>
      </c>
      <c r="G21" s="413"/>
      <c r="H21" s="413"/>
      <c r="I21" s="413"/>
      <c r="J21" s="413"/>
      <c r="K21" s="413"/>
      <c r="L21" s="413"/>
      <c r="M21" s="413"/>
      <c r="N21" s="413"/>
      <c r="O21" s="413"/>
      <c r="P21" s="9"/>
      <c r="S21" s="395"/>
    </row>
    <row r="22" spans="1:19" s="415" customFormat="1" ht="39" outlineLevel="2">
      <c r="A22" s="356"/>
      <c r="B22" s="35" t="s">
        <v>296</v>
      </c>
      <c r="C22" s="35" t="s">
        <v>295</v>
      </c>
      <c r="D22" s="35" t="s">
        <v>315</v>
      </c>
      <c r="E22" s="35" t="s">
        <v>316</v>
      </c>
      <c r="F22" s="35" t="s">
        <v>317</v>
      </c>
      <c r="G22" s="35" t="s">
        <v>318</v>
      </c>
      <c r="H22" s="35" t="s">
        <v>319</v>
      </c>
      <c r="I22" s="35" t="s">
        <v>320</v>
      </c>
      <c r="J22" s="35" t="s">
        <v>321</v>
      </c>
      <c r="K22" s="35" t="s">
        <v>322</v>
      </c>
      <c r="L22" s="35" t="s">
        <v>323</v>
      </c>
      <c r="M22" s="35" t="s">
        <v>324</v>
      </c>
      <c r="N22" s="113" t="s">
        <v>325</v>
      </c>
      <c r="O22" s="35" t="s">
        <v>326</v>
      </c>
      <c r="P22" s="414"/>
      <c r="Q22" s="41"/>
      <c r="S22" s="395"/>
    </row>
    <row r="23" spans="1:19" ht="15.75" customHeight="1" outlineLevel="2">
      <c r="A23" s="356"/>
      <c r="B23" s="556"/>
      <c r="C23" s="455"/>
      <c r="D23" s="545"/>
      <c r="E23" s="545"/>
      <c r="F23" s="459">
        <f>C17</f>
        <v>45658</v>
      </c>
      <c r="G23" s="595">
        <f>F24-F23</f>
        <v>-45658</v>
      </c>
      <c r="H23" s="549">
        <f>-D23*E23*G23/360</f>
        <v>0</v>
      </c>
      <c r="I23" s="558"/>
      <c r="J23" s="598"/>
      <c r="K23" s="551">
        <f>IF(J23&lt;&gt;"",+$C$18-J23,0)</f>
        <v>0</v>
      </c>
      <c r="L23" s="552">
        <f>D23*E23*K23/360</f>
        <v>0</v>
      </c>
      <c r="M23" s="545"/>
      <c r="N23" s="545"/>
      <c r="O23" s="554">
        <f>L23-M23-N23</f>
        <v>0</v>
      </c>
      <c r="P23" s="9"/>
      <c r="S23" s="395"/>
    </row>
    <row r="24" spans="1:19" ht="15.75" customHeight="1" outlineLevel="2">
      <c r="A24" s="356"/>
      <c r="B24" s="556"/>
      <c r="C24" s="455"/>
      <c r="D24" s="545"/>
      <c r="E24" s="545"/>
      <c r="F24" s="416"/>
      <c r="G24" s="595">
        <f t="shared" ref="G24:G30" si="0">F25-F24</f>
        <v>0</v>
      </c>
      <c r="H24" s="549">
        <f t="shared" ref="H24:H30" si="1">-D24*E24*G24/360</f>
        <v>0</v>
      </c>
      <c r="I24" s="558"/>
      <c r="J24" s="598"/>
      <c r="K24" s="551">
        <f t="shared" ref="K24:K31" si="2">IF(J24&lt;&gt;"",+$C$18-J24,0)</f>
        <v>0</v>
      </c>
      <c r="L24" s="553">
        <f>D24*E24*K24/360</f>
        <v>0</v>
      </c>
      <c r="M24" s="545"/>
      <c r="N24" s="545"/>
      <c r="O24" s="554">
        <f t="shared" ref="O24:O31" si="3">L24-M24-N24</f>
        <v>0</v>
      </c>
      <c r="P24" s="9"/>
      <c r="S24" s="395"/>
    </row>
    <row r="25" spans="1:19" ht="15.75" customHeight="1" outlineLevel="2">
      <c r="A25" s="356"/>
      <c r="B25" s="556"/>
      <c r="C25" s="455"/>
      <c r="D25" s="545"/>
      <c r="E25" s="545"/>
      <c r="F25" s="416"/>
      <c r="G25" s="595">
        <f t="shared" si="0"/>
        <v>0</v>
      </c>
      <c r="H25" s="549">
        <f t="shared" si="1"/>
        <v>0</v>
      </c>
      <c r="I25" s="558"/>
      <c r="J25" s="598"/>
      <c r="K25" s="551">
        <f t="shared" si="2"/>
        <v>0</v>
      </c>
      <c r="L25" s="553">
        <f>D25*E25*K25/360</f>
        <v>0</v>
      </c>
      <c r="M25" s="545"/>
      <c r="N25" s="545"/>
      <c r="O25" s="554">
        <f t="shared" si="3"/>
        <v>0</v>
      </c>
      <c r="P25" s="9"/>
      <c r="S25" s="395"/>
    </row>
    <row r="26" spans="1:19" ht="15.75" customHeight="1" outlineLevel="2">
      <c r="A26" s="356"/>
      <c r="B26" s="556"/>
      <c r="C26" s="455"/>
      <c r="D26" s="545"/>
      <c r="E26" s="545"/>
      <c r="F26" s="416"/>
      <c r="G26" s="595">
        <f t="shared" si="0"/>
        <v>0</v>
      </c>
      <c r="H26" s="549">
        <f t="shared" si="1"/>
        <v>0</v>
      </c>
      <c r="I26" s="558"/>
      <c r="J26" s="598"/>
      <c r="K26" s="551">
        <f t="shared" si="2"/>
        <v>0</v>
      </c>
      <c r="L26" s="553">
        <f>D26*E26*K26/360</f>
        <v>0</v>
      </c>
      <c r="M26" s="545"/>
      <c r="N26" s="545"/>
      <c r="O26" s="554">
        <f t="shared" si="3"/>
        <v>0</v>
      </c>
      <c r="P26" s="9"/>
      <c r="S26" s="395"/>
    </row>
    <row r="27" spans="1:19" ht="15.75" customHeight="1" outlineLevel="2">
      <c r="A27" s="356"/>
      <c r="B27" s="556"/>
      <c r="C27" s="455"/>
      <c r="D27" s="545"/>
      <c r="E27" s="546"/>
      <c r="F27" s="416"/>
      <c r="G27" s="595">
        <f t="shared" si="0"/>
        <v>0</v>
      </c>
      <c r="H27" s="549">
        <f t="shared" si="1"/>
        <v>0</v>
      </c>
      <c r="I27" s="558"/>
      <c r="J27" s="598"/>
      <c r="K27" s="551">
        <f t="shared" si="2"/>
        <v>0</v>
      </c>
      <c r="L27" s="553">
        <f t="shared" ref="L27:L31" si="4">D27*E27*K27/360</f>
        <v>0</v>
      </c>
      <c r="M27" s="545"/>
      <c r="N27" s="545"/>
      <c r="O27" s="554">
        <f t="shared" si="3"/>
        <v>0</v>
      </c>
      <c r="P27" s="9"/>
      <c r="S27" s="395"/>
    </row>
    <row r="28" spans="1:19" ht="15.75" customHeight="1" outlineLevel="2">
      <c r="A28" s="356"/>
      <c r="B28" s="557"/>
      <c r="C28" s="557"/>
      <c r="D28" s="547"/>
      <c r="E28" s="548"/>
      <c r="F28" s="416"/>
      <c r="G28" s="595">
        <f t="shared" si="0"/>
        <v>0</v>
      </c>
      <c r="H28" s="549">
        <f t="shared" si="1"/>
        <v>0</v>
      </c>
      <c r="I28" s="558"/>
      <c r="J28" s="598"/>
      <c r="K28" s="551">
        <f t="shared" si="2"/>
        <v>0</v>
      </c>
      <c r="L28" s="553">
        <f t="shared" si="4"/>
        <v>0</v>
      </c>
      <c r="M28" s="545"/>
      <c r="N28" s="545"/>
      <c r="O28" s="554">
        <f t="shared" si="3"/>
        <v>0</v>
      </c>
      <c r="P28" s="9"/>
      <c r="S28" s="395"/>
    </row>
    <row r="29" spans="1:19" ht="15.75" customHeight="1" outlineLevel="2">
      <c r="A29" s="356"/>
      <c r="B29" s="557"/>
      <c r="C29" s="557"/>
      <c r="D29" s="547"/>
      <c r="E29" s="548"/>
      <c r="F29" s="416"/>
      <c r="G29" s="595">
        <f t="shared" si="0"/>
        <v>0</v>
      </c>
      <c r="H29" s="549">
        <f t="shared" si="1"/>
        <v>0</v>
      </c>
      <c r="I29" s="558"/>
      <c r="J29" s="598"/>
      <c r="K29" s="551">
        <f t="shared" si="2"/>
        <v>0</v>
      </c>
      <c r="L29" s="553">
        <f t="shared" si="4"/>
        <v>0</v>
      </c>
      <c r="M29" s="545"/>
      <c r="N29" s="545"/>
      <c r="O29" s="554">
        <f t="shared" si="3"/>
        <v>0</v>
      </c>
      <c r="P29" s="9"/>
      <c r="S29" s="395"/>
    </row>
    <row r="30" spans="1:19" ht="15.75" customHeight="1" outlineLevel="2">
      <c r="A30" s="356"/>
      <c r="B30" s="557"/>
      <c r="C30" s="557"/>
      <c r="D30" s="547"/>
      <c r="E30" s="548"/>
      <c r="F30" s="416"/>
      <c r="G30" s="595">
        <f t="shared" si="0"/>
        <v>0</v>
      </c>
      <c r="H30" s="549">
        <f t="shared" si="1"/>
        <v>0</v>
      </c>
      <c r="I30" s="558"/>
      <c r="J30" s="598"/>
      <c r="K30" s="551">
        <f t="shared" si="2"/>
        <v>0</v>
      </c>
      <c r="L30" s="553">
        <f t="shared" si="4"/>
        <v>0</v>
      </c>
      <c r="M30" s="545"/>
      <c r="N30" s="545"/>
      <c r="O30" s="554">
        <f t="shared" si="3"/>
        <v>0</v>
      </c>
      <c r="P30" s="9"/>
      <c r="S30" s="395"/>
    </row>
    <row r="31" spans="1:19" ht="15.75" customHeight="1" outlineLevel="2">
      <c r="A31" s="356"/>
      <c r="B31" s="557"/>
      <c r="C31" s="557"/>
      <c r="D31" s="547"/>
      <c r="E31" s="548"/>
      <c r="F31" s="416"/>
      <c r="G31" s="596"/>
      <c r="H31" s="549">
        <f>-D31*E31*G31/360</f>
        <v>0</v>
      </c>
      <c r="I31" s="558"/>
      <c r="J31" s="598"/>
      <c r="K31" s="551">
        <f t="shared" si="2"/>
        <v>0</v>
      </c>
      <c r="L31" s="553">
        <f t="shared" si="4"/>
        <v>0</v>
      </c>
      <c r="M31" s="545"/>
      <c r="N31" s="545"/>
      <c r="O31" s="554">
        <f t="shared" si="3"/>
        <v>0</v>
      </c>
      <c r="P31" s="9"/>
      <c r="S31" s="395"/>
    </row>
    <row r="32" spans="1:19" s="415" customFormat="1" ht="15.75" customHeight="1" outlineLevel="2">
      <c r="A32" s="356"/>
      <c r="B32" s="417"/>
      <c r="C32" s="417"/>
      <c r="D32" s="418"/>
      <c r="E32" s="419"/>
      <c r="F32" s="420"/>
      <c r="G32" s="421" t="s">
        <v>111</v>
      </c>
      <c r="H32" s="550">
        <f>SUM(H23:H31)</f>
        <v>0</v>
      </c>
      <c r="I32" s="422"/>
      <c r="J32" s="423"/>
      <c r="K32" s="424"/>
      <c r="L32" s="550">
        <f>SUM(L23:L31)</f>
        <v>0</v>
      </c>
      <c r="M32" s="550">
        <f>SUM(M23:M31)</f>
        <v>0</v>
      </c>
      <c r="N32" s="550">
        <f>SUM(N23:N31)</f>
        <v>0</v>
      </c>
      <c r="O32" s="555">
        <f>SUM(O23:O31)</f>
        <v>0</v>
      </c>
      <c r="P32" s="414"/>
      <c r="Q32" s="41"/>
      <c r="S32" s="395"/>
    </row>
    <row r="33" spans="1:19" ht="15.75" customHeight="1" outlineLevel="2">
      <c r="A33" s="356"/>
      <c r="B33" s="404"/>
      <c r="C33" s="404"/>
      <c r="D33" s="404"/>
      <c r="E33" s="404"/>
      <c r="F33" s="404"/>
      <c r="G33" s="404"/>
      <c r="H33" s="425" t="s">
        <v>327</v>
      </c>
      <c r="I33" s="404"/>
      <c r="J33" s="404"/>
      <c r="K33" s="404"/>
      <c r="L33" s="404"/>
      <c r="M33" s="404"/>
      <c r="N33" s="404"/>
      <c r="O33" s="404"/>
      <c r="P33" s="9"/>
      <c r="S33" s="395"/>
    </row>
    <row r="34" spans="1:19" ht="15.75" customHeight="1" outlineLevel="1">
      <c r="A34" s="356"/>
      <c r="B34" s="404"/>
      <c r="C34" s="404"/>
      <c r="D34" s="404"/>
      <c r="E34" s="404"/>
      <c r="F34" s="404"/>
      <c r="G34" s="404"/>
      <c r="H34" s="425"/>
      <c r="I34" s="404"/>
      <c r="J34" s="404"/>
      <c r="K34" s="404"/>
      <c r="L34" s="404"/>
      <c r="M34" s="404"/>
      <c r="N34" s="404"/>
      <c r="O34" s="404"/>
      <c r="P34" s="404"/>
      <c r="S34" s="395"/>
    </row>
    <row r="35" spans="1:19" ht="15.75" customHeight="1" outlineLevel="1">
      <c r="A35" s="356"/>
      <c r="B35" s="426" t="s">
        <v>328</v>
      </c>
      <c r="C35" s="460" t="s">
        <v>329</v>
      </c>
      <c r="D35" s="543"/>
      <c r="E35" s="427"/>
      <c r="I35" s="428"/>
      <c r="J35" s="404"/>
      <c r="K35" s="404"/>
      <c r="L35" s="404"/>
      <c r="M35" s="404"/>
      <c r="N35" s="404"/>
      <c r="O35" s="404"/>
      <c r="P35" s="404"/>
      <c r="S35" s="395"/>
    </row>
    <row r="36" spans="1:19" ht="15.75" customHeight="1" outlineLevel="1">
      <c r="A36" s="356"/>
      <c r="B36" s="429" t="s">
        <v>330</v>
      </c>
      <c r="C36" s="461" t="s">
        <v>331</v>
      </c>
      <c r="D36" s="544"/>
      <c r="E36" s="427"/>
      <c r="I36" s="428"/>
      <c r="J36" s="404"/>
      <c r="K36" s="404"/>
      <c r="L36" s="404"/>
      <c r="M36" s="404"/>
      <c r="N36" s="404"/>
      <c r="O36" s="404"/>
      <c r="P36" s="404"/>
      <c r="S36" s="395"/>
    </row>
    <row r="37" spans="1:19" ht="15.75" customHeight="1" outlineLevel="1">
      <c r="A37" s="356"/>
      <c r="B37" s="430"/>
      <c r="C37" s="462" t="s">
        <v>332</v>
      </c>
      <c r="D37" s="544"/>
      <c r="E37" s="427"/>
      <c r="I37" s="428"/>
      <c r="J37" s="404"/>
      <c r="K37" s="404"/>
      <c r="L37" s="404"/>
      <c r="M37" s="404"/>
      <c r="N37" s="404"/>
      <c r="O37" s="404"/>
      <c r="P37" s="404"/>
      <c r="S37" s="395"/>
    </row>
    <row r="38" spans="1:19" ht="15.75" customHeight="1" outlineLevel="1">
      <c r="A38" s="356"/>
      <c r="B38" s="431"/>
      <c r="C38" s="496" t="s">
        <v>111</v>
      </c>
      <c r="D38" s="432">
        <f>SUM(D35:D37)</f>
        <v>0</v>
      </c>
      <c r="E38" s="427"/>
      <c r="I38" s="428"/>
      <c r="J38" s="404"/>
      <c r="K38" s="404"/>
      <c r="L38" s="404"/>
      <c r="M38" s="404"/>
      <c r="N38" s="404"/>
      <c r="O38" s="404"/>
      <c r="P38" s="404"/>
      <c r="S38" s="395"/>
    </row>
    <row r="39" spans="1:19" ht="15.75" customHeight="1" outlineLevel="1">
      <c r="A39" s="356"/>
      <c r="B39" s="433"/>
      <c r="C39" s="434" t="s">
        <v>333</v>
      </c>
      <c r="D39" s="435">
        <f>H32-D38</f>
        <v>0</v>
      </c>
      <c r="E39" s="427"/>
      <c r="I39" s="436"/>
      <c r="J39" s="404"/>
      <c r="K39" s="404"/>
      <c r="L39" s="404"/>
      <c r="M39" s="404"/>
      <c r="N39" s="404"/>
      <c r="O39" s="404"/>
      <c r="P39" s="404"/>
      <c r="S39" s="395"/>
    </row>
    <row r="40" spans="1:19">
      <c r="S40" s="395"/>
    </row>
    <row r="41" spans="1:19">
      <c r="A41" s="395"/>
      <c r="B41" s="395"/>
      <c r="C41" s="395"/>
      <c r="D41" s="395"/>
      <c r="E41" s="395"/>
      <c r="F41" s="395"/>
      <c r="G41" s="395"/>
      <c r="H41" s="395"/>
      <c r="I41" s="395"/>
      <c r="J41" s="395"/>
      <c r="K41" s="395"/>
      <c r="L41" s="395"/>
      <c r="M41" s="395"/>
      <c r="N41" s="395"/>
      <c r="O41" s="395"/>
      <c r="P41" s="395"/>
      <c r="Q41" s="395"/>
      <c r="R41" s="395"/>
      <c r="S41" s="395"/>
    </row>
  </sheetData>
  <sheetProtection formatCells="0" formatColumns="0" formatRows="0" insertColumns="0" insertRows="0" insertHyperlinks="0" deleteColumns="0" deleteRows="0" sort="0" autoFilter="0" pivotTables="0"/>
  <phoneticPr fontId="90" type="noConversion"/>
  <conditionalFormatting sqref="C17:C18 B23:F31 J23:J31 M23:N31 C35:D37">
    <cfRule type="containsBlanks" dxfId="4" priority="2">
      <formula>LEN(TRIM(B17))=0</formula>
    </cfRule>
  </conditionalFormatting>
  <conditionalFormatting sqref="G31">
    <cfRule type="containsBlanks" dxfId="3" priority="1">
      <formula>LEN(TRIM(G31))=0</formula>
    </cfRule>
  </conditionalFormatting>
  <dataValidations count="1">
    <dataValidation allowBlank="1" showInputMessage="1" showErrorMessage="1" prompt="请按照 &quot;yyyy-mm-dd&quot; 格式输入" sqref="F24:F32" xr:uid="{CF90FF0E-0364-4C85-B37B-F1273FCB1FC8}"/>
  </dataValidations>
  <hyperlinks>
    <hyperlink ref="B4" location="汇总!A1" display="返回汇总页" xr:uid="{59D66B70-2116-49D0-AD5E-7E5AAF0C8CB8}"/>
    <hyperlink ref="D9" r:id="rId1"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xr:uid="{074DA489-017D-4DF7-AB5D-B94E38DCEFA8}"/>
  </hyperlinks>
  <pageMargins left="0.70866141732283505" right="0.70866141732283505" top="0.74803149606299202" bottom="0.74803149606299202" header="0.31496062992126" footer="0.31496062992126"/>
  <pageSetup paperSize="9" scale="57" orientation="landscape" horizontalDpi="300" verticalDpi="300" r:id="rId2"/>
  <headerFooter>
    <oddFooter>&amp;L&amp;"Arial,Regular"&amp;10Q SWP Loans and borrowings
(22 July 2025)</odd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600C-5396-4F4B-ADEB-7F2C3C77EF29}">
  <sheetPr codeName="Sheet13">
    <pageSetUpPr autoPageBreaks="0"/>
  </sheetPr>
  <dimension ref="A1:U59"/>
  <sheetViews>
    <sheetView showGridLines="0" zoomScale="70" zoomScaleNormal="70" workbookViewId="0">
      <selection activeCell="B4" sqref="B4"/>
    </sheetView>
  </sheetViews>
  <sheetFormatPr defaultColWidth="8.453125" defaultRowHeight="15" customHeight="1"/>
  <cols>
    <col min="1" max="1" width="2.453125" style="42" customWidth="1"/>
    <col min="2" max="5" width="14.7265625" style="42" customWidth="1"/>
    <col min="6" max="6" width="25.7265625" style="42" customWidth="1"/>
    <col min="7" max="7" width="16.08984375" style="42" customWidth="1"/>
    <col min="8" max="9" width="14.7265625" style="42" customWidth="1"/>
    <col min="10" max="13" width="9.36328125" style="42" customWidth="1"/>
    <col min="14" max="14" width="11" style="42" customWidth="1"/>
    <col min="15" max="15" width="2.6328125" style="42" customWidth="1"/>
    <col min="16" max="16" width="1.6328125" style="42" customWidth="1"/>
    <col min="17" max="16384" width="8.453125" style="42"/>
  </cols>
  <sheetData>
    <row r="1" spans="1:16" ht="50.25" customHeight="1">
      <c r="B1" s="739" t="s">
        <v>364</v>
      </c>
      <c r="C1" s="614"/>
      <c r="D1" s="614"/>
      <c r="E1" s="614"/>
      <c r="F1" s="614"/>
      <c r="G1" s="614"/>
      <c r="H1" s="614"/>
      <c r="I1" s="614"/>
      <c r="J1" s="614"/>
      <c r="K1" s="614"/>
      <c r="L1" s="614"/>
      <c r="M1" s="614"/>
      <c r="N1" s="614"/>
      <c r="P1" s="163"/>
    </row>
    <row r="2" spans="1:16" ht="30" customHeight="1">
      <c r="A2" s="47"/>
      <c r="B2" s="48" t="s">
        <v>334</v>
      </c>
      <c r="C2" s="49"/>
      <c r="D2" s="49"/>
      <c r="E2" s="49"/>
      <c r="F2" s="49"/>
      <c r="G2" s="49"/>
      <c r="H2" s="49"/>
      <c r="I2" s="49"/>
      <c r="J2" s="49"/>
      <c r="K2" s="49"/>
      <c r="L2" s="49"/>
      <c r="M2" s="49"/>
      <c r="N2" s="50"/>
      <c r="P2" s="163"/>
    </row>
    <row r="3" spans="1:16" ht="15" customHeight="1">
      <c r="B3" s="51"/>
      <c r="C3" s="51"/>
      <c r="D3" s="51"/>
      <c r="E3" s="51"/>
      <c r="F3" s="51"/>
      <c r="G3" s="51"/>
      <c r="H3" s="51"/>
      <c r="I3" s="51"/>
      <c r="J3" s="51"/>
      <c r="P3" s="163"/>
    </row>
    <row r="4" spans="1:16" ht="15" customHeight="1">
      <c r="B4" s="249" t="s">
        <v>117</v>
      </c>
      <c r="C4" s="51"/>
      <c r="D4" s="51"/>
      <c r="E4" s="51"/>
      <c r="F4" s="51"/>
      <c r="G4" s="51"/>
      <c r="H4" s="51"/>
      <c r="I4" s="51"/>
      <c r="J4" s="51"/>
      <c r="P4" s="163"/>
    </row>
    <row r="5" spans="1:16" ht="15" customHeight="1">
      <c r="B5" s="51"/>
      <c r="C5" s="51"/>
      <c r="D5" s="51"/>
      <c r="E5" s="51"/>
      <c r="F5" s="51"/>
      <c r="G5" s="51"/>
      <c r="H5" s="51"/>
      <c r="I5" s="51"/>
      <c r="J5" s="51"/>
      <c r="P5" s="163"/>
    </row>
    <row r="6" spans="1:16" s="47" customFormat="1" ht="15" customHeight="1">
      <c r="B6" s="52" t="s">
        <v>335</v>
      </c>
      <c r="C6" s="53"/>
      <c r="D6" s="53"/>
      <c r="E6" s="53"/>
      <c r="F6" s="53"/>
      <c r="G6" s="53"/>
      <c r="H6" s="53"/>
      <c r="I6" s="53"/>
      <c r="J6" s="53"/>
      <c r="K6" s="53"/>
      <c r="L6" s="53"/>
      <c r="M6" s="54"/>
      <c r="N6" s="54"/>
      <c r="P6" s="163"/>
    </row>
    <row r="7" spans="1:16" s="47" customFormat="1" ht="15" customHeight="1">
      <c r="B7" s="730"/>
      <c r="C7" s="731"/>
      <c r="D7" s="731"/>
      <c r="E7" s="731"/>
      <c r="F7" s="732"/>
      <c r="G7" s="51"/>
      <c r="H7" s="51"/>
      <c r="I7" s="51"/>
      <c r="J7" s="51"/>
      <c r="K7" s="51"/>
      <c r="L7" s="51"/>
      <c r="M7" s="51"/>
      <c r="N7" s="55"/>
      <c r="P7" s="163"/>
    </row>
    <row r="8" spans="1:16" s="47" customFormat="1" ht="15" customHeight="1">
      <c r="B8" s="733"/>
      <c r="C8" s="734"/>
      <c r="D8" s="734"/>
      <c r="E8" s="734"/>
      <c r="F8" s="735"/>
      <c r="G8" s="51"/>
      <c r="H8" s="51"/>
      <c r="I8" s="51"/>
      <c r="J8" s="51"/>
      <c r="K8" s="51"/>
      <c r="L8" s="51"/>
      <c r="M8" s="51"/>
      <c r="N8" s="55"/>
      <c r="P8" s="163"/>
    </row>
    <row r="9" spans="1:16" s="47" customFormat="1" ht="15" customHeight="1">
      <c r="B9" s="736"/>
      <c r="C9" s="737"/>
      <c r="D9" s="737"/>
      <c r="E9" s="737"/>
      <c r="F9" s="738"/>
      <c r="G9" s="51"/>
      <c r="H9" s="51"/>
      <c r="I9" s="51"/>
      <c r="J9" s="51"/>
      <c r="K9" s="51"/>
      <c r="L9" s="51"/>
      <c r="M9" s="51"/>
      <c r="N9" s="55"/>
      <c r="P9" s="163"/>
    </row>
    <row r="10" spans="1:16" s="47" customFormat="1" ht="15" customHeight="1">
      <c r="B10" s="56"/>
      <c r="C10" s="56"/>
      <c r="D10" s="56"/>
      <c r="P10" s="163"/>
    </row>
    <row r="11" spans="1:16" s="47" customFormat="1" ht="15" customHeight="1">
      <c r="B11" s="57" t="s">
        <v>336</v>
      </c>
      <c r="C11" s="57"/>
      <c r="D11" s="57"/>
      <c r="E11" s="2"/>
      <c r="H11" s="58"/>
      <c r="I11" s="58"/>
      <c r="J11" s="58"/>
      <c r="K11" s="58"/>
      <c r="L11" s="58"/>
      <c r="M11" s="58"/>
      <c r="P11" s="163"/>
    </row>
    <row r="12" spans="1:16" s="47" customFormat="1" ht="15" customHeight="1">
      <c r="B12" s="59" t="s">
        <v>337</v>
      </c>
      <c r="C12" s="57"/>
      <c r="D12" s="60"/>
      <c r="E12" s="2">
        <f>'Q1.01 BKD'!Q15</f>
        <v>0</v>
      </c>
      <c r="F12" s="61" t="s">
        <v>242</v>
      </c>
      <c r="H12" s="58"/>
      <c r="I12" s="58"/>
      <c r="J12" s="58"/>
      <c r="K12" s="58"/>
      <c r="L12" s="58"/>
      <c r="M12" s="58"/>
      <c r="P12" s="163"/>
    </row>
    <row r="13" spans="1:16" s="47" customFormat="1" ht="15" customHeight="1">
      <c r="B13" s="62" t="s">
        <v>338</v>
      </c>
      <c r="C13" s="62"/>
      <c r="D13" s="62"/>
      <c r="E13" s="63">
        <f>E11-E12</f>
        <v>0</v>
      </c>
      <c r="F13" s="61" t="s">
        <v>76</v>
      </c>
      <c r="G13" s="64" t="s">
        <v>244</v>
      </c>
      <c r="I13" s="65" t="str">
        <f>IF(ABS(E13)&gt;'Q1.00 Lead'!$C$6, "是", "否")</f>
        <v>否</v>
      </c>
      <c r="M13" s="58"/>
      <c r="P13" s="163"/>
    </row>
    <row r="14" spans="1:16" s="47" customFormat="1" ht="15" customHeight="1">
      <c r="B14" s="57"/>
      <c r="C14" s="57"/>
      <c r="D14" s="57"/>
      <c r="E14" s="66"/>
      <c r="F14" s="61"/>
      <c r="G14" s="64"/>
      <c r="I14" s="67"/>
      <c r="M14" s="58"/>
      <c r="P14" s="163"/>
    </row>
    <row r="15" spans="1:16" s="47" customFormat="1" ht="15" customHeight="1">
      <c r="B15" s="68" t="s">
        <v>339</v>
      </c>
      <c r="C15" s="57"/>
      <c r="D15" s="60"/>
      <c r="E15" s="2"/>
      <c r="F15" s="69"/>
      <c r="G15" s="64"/>
      <c r="I15" s="67"/>
      <c r="M15" s="58"/>
      <c r="P15" s="163"/>
    </row>
    <row r="16" spans="1:16" s="47" customFormat="1" ht="15" customHeight="1">
      <c r="B16" s="62" t="s">
        <v>340</v>
      </c>
      <c r="C16" s="62"/>
      <c r="D16" s="62"/>
      <c r="E16" s="70">
        <f>E13-E15</f>
        <v>0</v>
      </c>
      <c r="F16" s="61"/>
      <c r="H16" s="64"/>
      <c r="I16" s="67"/>
      <c r="M16" s="58"/>
      <c r="P16" s="163"/>
    </row>
    <row r="17" spans="1:16" s="47" customFormat="1" ht="15" customHeight="1">
      <c r="B17" s="57"/>
      <c r="C17" s="57"/>
      <c r="D17" s="57"/>
      <c r="E17" s="71"/>
      <c r="G17" s="72"/>
      <c r="H17" s="73"/>
      <c r="P17" s="163"/>
    </row>
    <row r="18" spans="1:16" s="47" customFormat="1" ht="15" customHeight="1">
      <c r="A18" s="74"/>
      <c r="B18" s="75" t="s">
        <v>203</v>
      </c>
      <c r="C18" s="76"/>
      <c r="D18" s="76"/>
      <c r="E18" s="76"/>
      <c r="F18" s="76"/>
      <c r="G18" s="76"/>
      <c r="H18" s="76"/>
      <c r="I18" s="76"/>
      <c r="J18" s="76"/>
      <c r="K18" s="76"/>
      <c r="L18" s="76"/>
      <c r="M18" s="77"/>
      <c r="N18" s="78"/>
      <c r="P18" s="163"/>
    </row>
    <row r="19" spans="1:16" s="47" customFormat="1" ht="15" customHeight="1">
      <c r="B19" s="79" t="s">
        <v>341</v>
      </c>
      <c r="C19" s="439"/>
      <c r="D19" s="80"/>
      <c r="E19" s="80"/>
      <c r="F19" s="80"/>
      <c r="G19" s="80"/>
      <c r="H19" s="81"/>
      <c r="I19" s="80"/>
      <c r="J19" s="80"/>
      <c r="K19" s="80"/>
      <c r="L19" s="80"/>
      <c r="M19" s="82"/>
      <c r="N19" s="78"/>
      <c r="P19" s="163"/>
    </row>
    <row r="20" spans="1:16" s="47" customFormat="1" ht="15" customHeight="1">
      <c r="B20" s="79" t="s">
        <v>342</v>
      </c>
      <c r="C20" s="83"/>
      <c r="D20" s="83"/>
      <c r="E20" s="83"/>
      <c r="F20" s="83"/>
      <c r="G20" s="83"/>
      <c r="H20" s="83"/>
      <c r="I20" s="83"/>
      <c r="J20" s="83"/>
      <c r="K20" s="83"/>
      <c r="L20" s="83"/>
      <c r="M20" s="84"/>
      <c r="P20" s="163"/>
    </row>
    <row r="21" spans="1:16" s="47" customFormat="1" ht="15" customHeight="1">
      <c r="B21" s="79" t="s">
        <v>343</v>
      </c>
      <c r="C21" s="83"/>
      <c r="D21" s="83"/>
      <c r="E21" s="83"/>
      <c r="F21" s="83"/>
      <c r="G21" s="83"/>
      <c r="H21" s="83"/>
      <c r="I21" s="83"/>
      <c r="J21" s="83"/>
      <c r="K21" s="83"/>
      <c r="L21" s="83"/>
      <c r="M21" s="84"/>
      <c r="P21" s="163"/>
    </row>
    <row r="22" spans="1:16" s="47" customFormat="1" ht="15" customHeight="1">
      <c r="B22" s="79" t="s">
        <v>344</v>
      </c>
      <c r="C22" s="439"/>
      <c r="D22" s="80"/>
      <c r="E22" s="80"/>
      <c r="F22" s="80"/>
      <c r="G22" s="80"/>
      <c r="H22" s="80"/>
      <c r="I22" s="80"/>
      <c r="J22" s="80"/>
      <c r="K22" s="80"/>
      <c r="L22" s="80"/>
      <c r="M22" s="82"/>
      <c r="N22" s="78"/>
      <c r="P22" s="163"/>
    </row>
    <row r="23" spans="1:16" s="47" customFormat="1" ht="15" customHeight="1">
      <c r="B23" s="79" t="s">
        <v>345</v>
      </c>
      <c r="C23" s="85"/>
      <c r="D23" s="85"/>
      <c r="E23" s="85"/>
      <c r="F23" s="85"/>
      <c r="G23" s="86"/>
      <c r="H23" s="86"/>
      <c r="I23" s="86"/>
      <c r="J23" s="86"/>
      <c r="K23" s="86"/>
      <c r="L23" s="86"/>
      <c r="M23" s="87"/>
      <c r="P23" s="163"/>
    </row>
    <row r="24" spans="1:16" s="47" customFormat="1" ht="15" customHeight="1">
      <c r="B24" s="88"/>
      <c r="C24" s="89"/>
      <c r="D24" s="89"/>
      <c r="E24" s="89"/>
      <c r="F24" s="89"/>
      <c r="P24" s="163"/>
    </row>
    <row r="25" spans="1:16" s="47" customFormat="1" ht="15" customHeight="1">
      <c r="B25" s="19"/>
      <c r="I25" s="58"/>
      <c r="J25" s="678" t="s">
        <v>255</v>
      </c>
      <c r="K25" s="679"/>
      <c r="L25" s="679"/>
      <c r="M25" s="679"/>
      <c r="N25" s="680"/>
      <c r="P25" s="163"/>
    </row>
    <row r="26" spans="1:16" s="47" customFormat="1" ht="64.5" customHeight="1">
      <c r="B26" s="35" t="s">
        <v>256</v>
      </c>
      <c r="C26" s="35" t="s">
        <v>158</v>
      </c>
      <c r="D26" s="35" t="s">
        <v>258</v>
      </c>
      <c r="E26" s="35" t="s">
        <v>346</v>
      </c>
      <c r="F26" s="35" t="s">
        <v>347</v>
      </c>
      <c r="G26" s="38" t="s">
        <v>348</v>
      </c>
      <c r="H26" s="344" t="s">
        <v>94</v>
      </c>
      <c r="I26" s="35" t="s">
        <v>349</v>
      </c>
      <c r="J26" s="35">
        <v>1</v>
      </c>
      <c r="K26" s="35">
        <v>2</v>
      </c>
      <c r="L26" s="35">
        <v>3</v>
      </c>
      <c r="M26" s="35">
        <v>4</v>
      </c>
      <c r="N26" s="35">
        <v>5</v>
      </c>
      <c r="P26" s="163"/>
    </row>
    <row r="27" spans="1:16" s="47" customFormat="1" ht="14.5">
      <c r="B27" s="559"/>
      <c r="C27" s="565"/>
      <c r="D27" s="565"/>
      <c r="E27" s="565"/>
      <c r="F27" s="475" t="s">
        <v>350</v>
      </c>
      <c r="G27" s="533"/>
      <c r="H27" s="568"/>
      <c r="I27" s="568"/>
      <c r="J27" s="250"/>
      <c r="K27" s="250"/>
      <c r="L27" s="250"/>
      <c r="M27" s="250"/>
      <c r="N27" s="250"/>
      <c r="P27" s="163"/>
    </row>
    <row r="28" spans="1:16" s="47" customFormat="1" ht="14.5">
      <c r="B28" s="559"/>
      <c r="C28" s="568"/>
      <c r="D28" s="568"/>
      <c r="E28" s="568"/>
      <c r="F28" s="475" t="s">
        <v>350</v>
      </c>
      <c r="G28" s="533"/>
      <c r="H28" s="568"/>
      <c r="I28" s="568"/>
      <c r="J28" s="250"/>
      <c r="K28" s="250"/>
      <c r="L28" s="250"/>
      <c r="M28" s="250"/>
      <c r="N28" s="250"/>
      <c r="P28" s="163"/>
    </row>
    <row r="29" spans="1:16" s="9" customFormat="1" ht="14">
      <c r="A29" s="10"/>
      <c r="B29" s="90"/>
      <c r="C29" s="8"/>
      <c r="D29" s="8"/>
      <c r="E29" s="8"/>
      <c r="F29" s="13"/>
      <c r="G29" s="13"/>
      <c r="H29" s="13"/>
      <c r="P29" s="163"/>
    </row>
    <row r="30" spans="1:16" s="47" customFormat="1" ht="15" customHeight="1">
      <c r="B30" s="261" t="s">
        <v>351</v>
      </c>
      <c r="C30" s="21"/>
      <c r="D30" s="21"/>
      <c r="E30" s="21"/>
      <c r="F30" s="21"/>
      <c r="G30" s="58"/>
      <c r="H30" s="58"/>
      <c r="P30" s="163"/>
    </row>
    <row r="31" spans="1:16" s="47" customFormat="1" ht="15" customHeight="1">
      <c r="B31" s="747"/>
      <c r="C31" s="748"/>
      <c r="D31" s="748"/>
      <c r="E31" s="748"/>
      <c r="F31" s="749"/>
      <c r="G31" s="58"/>
      <c r="H31" s="58"/>
      <c r="I31" s="58"/>
      <c r="J31" s="58"/>
      <c r="K31" s="58"/>
      <c r="L31" s="58"/>
      <c r="M31" s="58"/>
      <c r="N31" s="58"/>
      <c r="P31" s="163"/>
    </row>
    <row r="32" spans="1:16" s="47" customFormat="1" ht="15" customHeight="1">
      <c r="B32" s="750"/>
      <c r="C32" s="725"/>
      <c r="D32" s="725"/>
      <c r="E32" s="725"/>
      <c r="F32" s="751"/>
      <c r="G32" s="91"/>
      <c r="H32" s="91"/>
      <c r="I32" s="91"/>
      <c r="J32" s="91"/>
      <c r="K32" s="91"/>
      <c r="L32" s="91"/>
      <c r="M32" s="91"/>
      <c r="P32" s="163"/>
    </row>
    <row r="33" spans="2:16" s="47" customFormat="1" ht="15" customHeight="1">
      <c r="B33" s="752"/>
      <c r="C33" s="753"/>
      <c r="D33" s="753"/>
      <c r="E33" s="753"/>
      <c r="F33" s="754"/>
      <c r="G33" s="91"/>
      <c r="H33" s="91"/>
      <c r="I33" s="91"/>
      <c r="J33" s="91"/>
      <c r="K33" s="91"/>
      <c r="L33" s="91"/>
      <c r="M33" s="91"/>
      <c r="P33" s="163"/>
    </row>
    <row r="34" spans="2:16" ht="15" customHeight="1">
      <c r="B34" s="12"/>
      <c r="C34" s="12"/>
      <c r="D34" s="12"/>
      <c r="E34" s="12"/>
      <c r="F34" s="566"/>
      <c r="P34" s="163"/>
    </row>
    <row r="35" spans="2:16" ht="14.5">
      <c r="B35" s="597" t="s">
        <v>352</v>
      </c>
      <c r="C35" s="12"/>
      <c r="D35" s="12"/>
      <c r="E35" s="12"/>
      <c r="F35" s="566"/>
      <c r="P35" s="163"/>
    </row>
    <row r="36" spans="2:16" ht="14">
      <c r="B36" s="15"/>
      <c r="C36" s="15"/>
      <c r="D36" s="15"/>
      <c r="E36" s="15"/>
      <c r="F36" s="566"/>
      <c r="P36" s="163"/>
    </row>
    <row r="37" spans="2:16" ht="14.5">
      <c r="B37" s="251" t="s">
        <v>353</v>
      </c>
      <c r="C37" s="740"/>
      <c r="D37" s="740"/>
      <c r="E37" s="740"/>
      <c r="F37" s="566"/>
      <c r="P37" s="163"/>
    </row>
    <row r="38" spans="2:16" ht="14.5">
      <c r="B38" s="251" t="s">
        <v>354</v>
      </c>
      <c r="C38" s="746"/>
      <c r="D38" s="746"/>
      <c r="E38" s="746"/>
      <c r="F38" s="566"/>
      <c r="P38" s="163"/>
    </row>
    <row r="39" spans="2:16" ht="14.5">
      <c r="B39" s="251" t="s">
        <v>355</v>
      </c>
      <c r="C39" s="740"/>
      <c r="D39" s="740"/>
      <c r="E39" s="740"/>
      <c r="F39" s="566"/>
      <c r="P39" s="163"/>
    </row>
    <row r="40" spans="2:16" ht="14">
      <c r="B40" s="15"/>
      <c r="C40" s="15"/>
      <c r="D40" s="15"/>
      <c r="E40" s="15"/>
      <c r="F40" s="566"/>
      <c r="P40" s="163"/>
    </row>
    <row r="41" spans="2:16" ht="14.5">
      <c r="B41" s="252" t="s">
        <v>356</v>
      </c>
      <c r="C41" s="744" t="s">
        <v>357</v>
      </c>
      <c r="D41" s="744"/>
      <c r="E41" s="745"/>
      <c r="F41" s="566"/>
      <c r="P41" s="163"/>
    </row>
    <row r="42" spans="2:16" ht="14">
      <c r="B42" s="16"/>
      <c r="C42" s="16"/>
      <c r="D42" s="16"/>
      <c r="E42" s="16"/>
      <c r="F42" s="566"/>
      <c r="P42" s="163"/>
    </row>
    <row r="43" spans="2:16" ht="14">
      <c r="B43" s="718" t="s">
        <v>358</v>
      </c>
      <c r="C43" s="721"/>
      <c r="D43" s="722"/>
      <c r="E43" s="723"/>
      <c r="F43" s="717"/>
      <c r="P43" s="163"/>
    </row>
    <row r="44" spans="2:16" ht="14">
      <c r="B44" s="719"/>
      <c r="C44" s="724"/>
      <c r="D44" s="725"/>
      <c r="E44" s="726"/>
      <c r="F44" s="717"/>
      <c r="P44" s="163"/>
    </row>
    <row r="45" spans="2:16" ht="14">
      <c r="B45" s="719"/>
      <c r="C45" s="724"/>
      <c r="D45" s="725"/>
      <c r="E45" s="726"/>
      <c r="F45" s="717"/>
      <c r="P45" s="163"/>
    </row>
    <row r="46" spans="2:16" ht="14">
      <c r="B46" s="719"/>
      <c r="C46" s="724"/>
      <c r="D46" s="725"/>
      <c r="E46" s="726"/>
      <c r="F46" s="717"/>
      <c r="P46" s="163"/>
    </row>
    <row r="47" spans="2:16" ht="14">
      <c r="B47" s="720"/>
      <c r="C47" s="727"/>
      <c r="D47" s="728"/>
      <c r="E47" s="729"/>
      <c r="F47" s="717"/>
      <c r="P47" s="163"/>
    </row>
    <row r="48" spans="2:16" ht="14">
      <c r="B48" s="718" t="s">
        <v>359</v>
      </c>
      <c r="C48" s="721"/>
      <c r="D48" s="722"/>
      <c r="E48" s="723"/>
      <c r="F48" s="717"/>
      <c r="P48" s="163"/>
    </row>
    <row r="49" spans="1:21" ht="14">
      <c r="B49" s="719"/>
      <c r="C49" s="724"/>
      <c r="D49" s="725"/>
      <c r="E49" s="726"/>
      <c r="F49" s="717"/>
      <c r="P49" s="163"/>
    </row>
    <row r="50" spans="1:21" ht="14">
      <c r="B50" s="720"/>
      <c r="C50" s="727"/>
      <c r="D50" s="728"/>
      <c r="E50" s="729"/>
      <c r="F50" s="717"/>
      <c r="P50" s="163"/>
    </row>
    <row r="51" spans="1:21" ht="14.5">
      <c r="B51" s="253" t="s">
        <v>360</v>
      </c>
      <c r="C51" s="741"/>
      <c r="D51" s="742"/>
      <c r="E51" s="743"/>
      <c r="F51" s="566"/>
      <c r="P51" s="163"/>
    </row>
    <row r="52" spans="1:21" ht="14">
      <c r="B52" s="17"/>
      <c r="C52" s="15"/>
      <c r="D52" s="15"/>
      <c r="E52" s="15"/>
      <c r="F52" s="566"/>
      <c r="P52" s="163"/>
    </row>
    <row r="53" spans="1:21" ht="14.5">
      <c r="B53" s="11" t="s">
        <v>361</v>
      </c>
      <c r="C53" s="15"/>
      <c r="D53" s="15"/>
      <c r="E53" s="15"/>
      <c r="F53" s="566"/>
      <c r="P53" s="163"/>
    </row>
    <row r="54" spans="1:21" ht="14">
      <c r="B54" s="14"/>
      <c r="C54" s="15"/>
      <c r="D54" s="15"/>
      <c r="E54" s="15"/>
      <c r="F54" s="566"/>
      <c r="P54" s="163"/>
    </row>
    <row r="55" spans="1:21" ht="14.5">
      <c r="B55" s="254" t="s">
        <v>362</v>
      </c>
      <c r="C55" s="740"/>
      <c r="D55" s="740"/>
      <c r="E55" s="740"/>
      <c r="F55" s="566"/>
      <c r="P55" s="163"/>
    </row>
    <row r="56" spans="1:21" ht="14">
      <c r="B56" s="15"/>
      <c r="C56" s="15"/>
      <c r="D56" s="15"/>
      <c r="E56" s="15"/>
      <c r="F56" s="566"/>
      <c r="P56" s="163"/>
    </row>
    <row r="57" spans="1:21" ht="72" customHeight="1">
      <c r="B57" s="253" t="s">
        <v>363</v>
      </c>
      <c r="C57" s="716"/>
      <c r="D57" s="716"/>
      <c r="E57" s="716"/>
      <c r="F57" s="566"/>
      <c r="P57" s="163"/>
    </row>
    <row r="58" spans="1:21" ht="15" customHeight="1">
      <c r="P58" s="163"/>
    </row>
    <row r="59" spans="1:21" ht="7.5" customHeight="1">
      <c r="A59" s="163"/>
      <c r="B59" s="163"/>
      <c r="C59" s="163"/>
      <c r="D59" s="163"/>
      <c r="E59" s="164"/>
      <c r="F59" s="164">
        <v>45471</v>
      </c>
      <c r="G59" s="163"/>
      <c r="H59" s="163"/>
      <c r="I59" s="163"/>
      <c r="J59" s="163"/>
      <c r="K59" s="163"/>
      <c r="L59" s="163"/>
      <c r="M59" s="163"/>
      <c r="N59" s="163"/>
      <c r="O59" s="163"/>
      <c r="P59" s="163"/>
      <c r="T59" s="47"/>
      <c r="U59" s="47"/>
    </row>
  </sheetData>
  <sheetProtection formatCells="0" formatColumns="0" formatRows="0" insertColumns="0" insertRows="0" insertHyperlinks="0" deleteColumns="0" deleteRows="0" sort="0" autoFilter="0" pivotTables="0"/>
  <mergeCells count="23">
    <mergeCell ref="B7:F9"/>
    <mergeCell ref="B1:N1"/>
    <mergeCell ref="C37:E37"/>
    <mergeCell ref="C51:E51"/>
    <mergeCell ref="C55:E55"/>
    <mergeCell ref="C41:E41"/>
    <mergeCell ref="J25:N25"/>
    <mergeCell ref="C38:E38"/>
    <mergeCell ref="C39:E39"/>
    <mergeCell ref="B31:F33"/>
    <mergeCell ref="C57:E57"/>
    <mergeCell ref="F48:F50"/>
    <mergeCell ref="F43:F47"/>
    <mergeCell ref="B48:B50"/>
    <mergeCell ref="C48:E48"/>
    <mergeCell ref="C49:E49"/>
    <mergeCell ref="C44:E44"/>
    <mergeCell ref="C46:E46"/>
    <mergeCell ref="C50:E50"/>
    <mergeCell ref="B43:B47"/>
    <mergeCell ref="C43:E43"/>
    <mergeCell ref="C45:E45"/>
    <mergeCell ref="C47:E47"/>
  </mergeCells>
  <phoneticPr fontId="18"/>
  <conditionalFormatting sqref="B7 E11 E15 B27:G28 C37:E39 C43:E51 C55:E55 C57:E57">
    <cfRule type="containsBlanks" dxfId="2" priority="3">
      <formula>LEN(TRIM(B7))=0</formula>
    </cfRule>
  </conditionalFormatting>
  <conditionalFormatting sqref="B31">
    <cfRule type="containsBlanks" dxfId="1" priority="1">
      <formula>LEN(TRIM(B31))=0</formula>
    </cfRule>
  </conditionalFormatting>
  <conditionalFormatting sqref="J27:N28">
    <cfRule type="containsBlanks" dxfId="0" priority="2">
      <formula>LEN(TRIM(J27))=0</formula>
    </cfRule>
  </conditionalFormatting>
  <dataValidations count="2">
    <dataValidation type="list" allowBlank="1" showInputMessage="1" sqref="G27:G28" xr:uid="{AA4E1AFB-19AB-4659-85A9-F930415D38D6}">
      <formula1>"合规, 不合规"</formula1>
    </dataValidation>
    <dataValidation type="list" allowBlank="1" showInputMessage="1" sqref="J27:N28" xr:uid="{5BC0D493-6983-468C-B60C-BAA5A26D6889}">
      <formula1>"Y,N"</formula1>
    </dataValidation>
  </dataValidations>
  <hyperlinks>
    <hyperlink ref="B4" location="汇总!A1" display="返回汇总页" xr:uid="{D8513881-D559-419C-8CCD-B3E065813673}"/>
  </hyperlinks>
  <pageMargins left="0.70866141732283505" right="0.70866141732283505" top="0.74803149606299202" bottom="0.74803149606299202" header="0.31496062992126" footer="0.31496062992126"/>
  <pageSetup paperSize="9" scale="57" orientation="landscape" horizontalDpi="300" verticalDpi="300" r:id="rId1"/>
  <headerFooter>
    <oddFooter>&amp;L&amp;"Arial,Regular"&amp;10Q SWP Loans and borrowings
(22 July 2025)</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56E0873AC37D4FB8A3D698F54DBA6C" ma:contentTypeVersion="2" ma:contentTypeDescription="Create a new document." ma:contentTypeScope="" ma:versionID="166dea05d31af4acae87a1223536a1d9">
  <xsd:schema xmlns:xsd="http://www.w3.org/2001/XMLSchema" xmlns:xs="http://www.w3.org/2001/XMLSchema" xmlns:p="http://schemas.microsoft.com/office/2006/metadata/properties" xmlns:ns2="df346640-94a9-44cb-ab16-8026cc856e0b" targetNamespace="http://schemas.microsoft.com/office/2006/metadata/properties" ma:root="true" ma:fieldsID="100de0b40aee7ef5aff66d5aabb14c3a" ns2:_="">
    <xsd:import namespace="df346640-94a9-44cb-ab16-8026cc856e0b"/>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346640-94a9-44cb-ab16-8026cc856e0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6386A86-E88B-48C9-9EE0-FD401D8D28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346640-94a9-44cb-ab16-8026cc856e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EAEC12-3E1F-42B9-8678-D4EAACEAF273}">
  <ds:schemaRefs>
    <ds:schemaRef ds:uri="http://schemas.microsoft.com/sharepoint/v3/contenttype/forms"/>
  </ds:schemaRefs>
</ds:datastoreItem>
</file>

<file path=customXml/itemProps3.xml><?xml version="1.0" encoding="utf-8"?>
<ds:datastoreItem xmlns:ds="http://schemas.openxmlformats.org/officeDocument/2006/customXml" ds:itemID="{26F79342-E079-4516-861E-69069F02920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汇总</vt:lpstr>
      <vt:lpstr>Q1.00 Lead</vt:lpstr>
      <vt:lpstr>Q1.01 BKD</vt:lpstr>
      <vt:lpstr>Q1.02a 函证</vt:lpstr>
      <vt:lpstr>Q1.02b 抵押担保测试</vt:lpstr>
      <vt:lpstr>Q1.02c 函证-替代测试</vt:lpstr>
      <vt:lpstr>Q1.03 增加（ToD）</vt:lpstr>
      <vt:lpstr>Q1.04 SAP</vt:lpstr>
      <vt:lpstr>Q1.04.01 利息费用（ToD）</vt:lpstr>
      <vt:lpstr>Q1.04.02 利息费用（重新计算）</vt:lpstr>
      <vt:lpstr>Q1.05 限制性契约</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 SWP 金融负债+银行借款-johnny.xlsx</dc:title>
  <dc:subject/>
  <dc:creator/>
  <cp:keywords>Final Audit.V6.Q1.0926</cp:keywords>
  <dc:description>8FF2F26C-5001-4193-B09A-5DB4A21C22D7</dc:description>
  <cp:lastModifiedBy>Alina Ye</cp:lastModifiedBy>
  <cp:revision>1</cp:revision>
  <dcterms:created xsi:type="dcterms:W3CDTF">2025-07-24T14:44:50Z</dcterms:created>
  <dcterms:modified xsi:type="dcterms:W3CDTF">2025-09-26T12:27:38Z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0x010100C356E0873AC37D4FB8A3D698F54DBA6C</vt:lpwstr>
  </property>
</Properties>
</file>
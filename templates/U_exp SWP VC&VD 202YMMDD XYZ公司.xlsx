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项目-东风\标准审计底稿模板第六版-使用版\标准审计底稿模板第六版-使用版\"/>
    </mc:Choice>
  </mc:AlternateContent>
  <xr:revisionPtr revIDLastSave="0" documentId="13_ncr:1_{DDBBAA53-2D4D-4678-B05B-4695DE345E60}" xr6:coauthVersionLast="47" xr6:coauthVersionMax="47" xr10:uidLastSave="{00000000-0000-0000-0000-000000000000}"/>
  <bookViews>
    <workbookView xWindow="-108" yWindow="-108" windowWidth="30936" windowHeight="16776" tabRatio="874" firstSheet="2" activeTab="7" xr2:uid="{00000000-000D-0000-FFFF-FFFF00000000}"/>
  </bookViews>
  <sheets>
    <sheet name="汇总" sheetId="616" r:id="rId1"/>
    <sheet name="Uexp.00 Lead" sheetId="631" r:id="rId2"/>
    <sheet name="VC.00 销售费用BKD" sheetId="622" r:id="rId3"/>
    <sheet name="VD.00 管理费用BKD" sheetId="627" r:id="rId4"/>
    <sheet name="VC&amp;VD.01.2 TOD 年审" sheetId="632" r:id="rId5"/>
    <sheet name="VC&amp;VD.01.2 TOD 预审+剩余期间" sheetId="633" r:id="rId6"/>
    <sheet name="VC&amp;VD.01.2 TOD 抽样工具输出" sheetId="634" r:id="rId7"/>
    <sheet name="VD.01.3 复核法律费用" sheetId="614" r:id="rId8"/>
    <sheet name="VC&amp;VD.01.4 截止性测试" sheetId="625" r:id="rId9"/>
    <sheet name="SkywindSettingSheet" sheetId="551" state="veryHidden" r:id="rId10"/>
    <sheet name="DS_INTERNAL_SETTINGS_STORAGE" sheetId="617" state="veryHidden" r:id="rId11"/>
    <sheet name="DS_INTERNAL_DOCGROUP_STORAGE" sheetId="618" state="veryHidden" r:id="rId12"/>
    <sheet name="DS_INTERNAL_DOCUMENT_STORAGE" sheetId="619" state="veryHidden" r:id="rId13"/>
    <sheet name="DS_INTERNAL_SNIP_STORAGE" sheetId="620" state="veryHidden" r:id="rId14"/>
  </sheets>
  <externalReferences>
    <externalReference r:id="rId15"/>
  </externalReferences>
  <definedNames>
    <definedName name="_____dod1" localSheetId="1" hidden="1">{#N/A,#N/A,TRUE,"CPRD";#N/A,#N/A,TRUE,"BCCPDR";#N/A,#N/A,TRUE,"EWRD";#N/A,#N/A,TRUE,"5100";#N/A,#N/A,TRUE,"5110"}</definedName>
    <definedName name="_____dod1" localSheetId="4" hidden="1">{#N/A,#N/A,TRUE,"CPRD";#N/A,#N/A,TRUE,"BCCPDR";#N/A,#N/A,TRUE,"EWRD";#N/A,#N/A,TRUE,"5100";#N/A,#N/A,TRUE,"5110"}</definedName>
    <definedName name="_____dod1" localSheetId="5" hidden="1">{#N/A,#N/A,TRUE,"CPRD";#N/A,#N/A,TRUE,"BCCPDR";#N/A,#N/A,TRUE,"EWRD";#N/A,#N/A,TRUE,"5100";#N/A,#N/A,TRUE,"5110"}</definedName>
    <definedName name="_____dod1" localSheetId="8" hidden="1">{#N/A,#N/A,TRUE,"CPRD";#N/A,#N/A,TRUE,"BCCPDR";#N/A,#N/A,TRUE,"EWRD";#N/A,#N/A,TRUE,"5100";#N/A,#N/A,TRUE,"5110"}</definedName>
    <definedName name="_____dod1" localSheetId="2" hidden="1">{#N/A,#N/A,TRUE,"CPRD";#N/A,#N/A,TRUE,"BCCPDR";#N/A,#N/A,TRUE,"EWRD";#N/A,#N/A,TRUE,"5100";#N/A,#N/A,TRUE,"5110"}</definedName>
    <definedName name="_____dod1" hidden="1">{#N/A,#N/A,TRUE,"CPRD";#N/A,#N/A,TRUE,"BCCPDR";#N/A,#N/A,TRUE,"EWRD";#N/A,#N/A,TRUE,"5100";#N/A,#N/A,TRUE,"5110"}</definedName>
    <definedName name="____dod1" localSheetId="1" hidden="1">{#N/A,#N/A,TRUE,"CPRD";#N/A,#N/A,TRUE,"BCCPDR";#N/A,#N/A,TRUE,"EWRD";#N/A,#N/A,TRUE,"5100";#N/A,#N/A,TRUE,"5110"}</definedName>
    <definedName name="____dod1" localSheetId="4" hidden="1">{#N/A,#N/A,TRUE,"CPRD";#N/A,#N/A,TRUE,"BCCPDR";#N/A,#N/A,TRUE,"EWRD";#N/A,#N/A,TRUE,"5100";#N/A,#N/A,TRUE,"5110"}</definedName>
    <definedName name="____dod1" localSheetId="5" hidden="1">{#N/A,#N/A,TRUE,"CPRD";#N/A,#N/A,TRUE,"BCCPDR";#N/A,#N/A,TRUE,"EWRD";#N/A,#N/A,TRUE,"5100";#N/A,#N/A,TRUE,"5110"}</definedName>
    <definedName name="____dod1" localSheetId="8" hidden="1">{#N/A,#N/A,TRUE,"CPRD";#N/A,#N/A,TRUE,"BCCPDR";#N/A,#N/A,TRUE,"EWRD";#N/A,#N/A,TRUE,"5100";#N/A,#N/A,TRUE,"5110"}</definedName>
    <definedName name="____dod1" localSheetId="2" hidden="1">{#N/A,#N/A,TRUE,"CPRD";#N/A,#N/A,TRUE,"BCCPDR";#N/A,#N/A,TRUE,"EWRD";#N/A,#N/A,TRUE,"5100";#N/A,#N/A,TRUE,"5110"}</definedName>
    <definedName name="____dod1" hidden="1">{#N/A,#N/A,TRUE,"CPRD";#N/A,#N/A,TRUE,"BCCPDR";#N/A,#N/A,TRUE,"EWRD";#N/A,#N/A,TRUE,"5100";#N/A,#N/A,TRUE,"5110"}</definedName>
    <definedName name="___dod1" localSheetId="1" hidden="1">{#N/A,#N/A,TRUE,"CPRD";#N/A,#N/A,TRUE,"BCCPDR";#N/A,#N/A,TRUE,"EWRD";#N/A,#N/A,TRUE,"5100";#N/A,#N/A,TRUE,"5110"}</definedName>
    <definedName name="___dod1" localSheetId="4" hidden="1">{#N/A,#N/A,TRUE,"CPRD";#N/A,#N/A,TRUE,"BCCPDR";#N/A,#N/A,TRUE,"EWRD";#N/A,#N/A,TRUE,"5100";#N/A,#N/A,TRUE,"5110"}</definedName>
    <definedName name="___dod1" localSheetId="5" hidden="1">{#N/A,#N/A,TRUE,"CPRD";#N/A,#N/A,TRUE,"BCCPDR";#N/A,#N/A,TRUE,"EWRD";#N/A,#N/A,TRUE,"5100";#N/A,#N/A,TRUE,"5110"}</definedName>
    <definedName name="___dod1" localSheetId="8" hidden="1">{#N/A,#N/A,TRUE,"CPRD";#N/A,#N/A,TRUE,"BCCPDR";#N/A,#N/A,TRUE,"EWRD";#N/A,#N/A,TRUE,"5100";#N/A,#N/A,TRUE,"5110"}</definedName>
    <definedName name="___dod1" localSheetId="2" hidden="1">{#N/A,#N/A,TRUE,"CPRD";#N/A,#N/A,TRUE,"BCCPDR";#N/A,#N/A,TRUE,"EWRD";#N/A,#N/A,TRUE,"5100";#N/A,#N/A,TRUE,"5110"}</definedName>
    <definedName name="___dod1" hidden="1">{#N/A,#N/A,TRUE,"CPRD";#N/A,#N/A,TRUE,"BCCPDR";#N/A,#N/A,TRUE,"EWRD";#N/A,#N/A,TRUE,"5100";#N/A,#N/A,TRUE,"5110"}</definedName>
    <definedName name="___dog1" localSheetId="1" hidden="1">{#N/A,#N/A,TRUE,"CPRD";#N/A,#N/A,TRUE,"BCCPDR";#N/A,#N/A,TRUE,"EWRD";#N/A,#N/A,TRUE,"5100";#N/A,#N/A,TRUE,"5110"}</definedName>
    <definedName name="___dog1" localSheetId="4" hidden="1">{#N/A,#N/A,TRUE,"CPRD";#N/A,#N/A,TRUE,"BCCPDR";#N/A,#N/A,TRUE,"EWRD";#N/A,#N/A,TRUE,"5100";#N/A,#N/A,TRUE,"5110"}</definedName>
    <definedName name="___dog1" localSheetId="5" hidden="1">{#N/A,#N/A,TRUE,"CPRD";#N/A,#N/A,TRUE,"BCCPDR";#N/A,#N/A,TRUE,"EWRD";#N/A,#N/A,TRUE,"5100";#N/A,#N/A,TRUE,"5110"}</definedName>
    <definedName name="___dog1" localSheetId="8" hidden="1">{#N/A,#N/A,TRUE,"CPRD";#N/A,#N/A,TRUE,"BCCPDR";#N/A,#N/A,TRUE,"EWRD";#N/A,#N/A,TRUE,"5100";#N/A,#N/A,TRUE,"5110"}</definedName>
    <definedName name="___dog1" localSheetId="2" hidden="1">{#N/A,#N/A,TRUE,"CPRD";#N/A,#N/A,TRUE,"BCCPDR";#N/A,#N/A,TRUE,"EWRD";#N/A,#N/A,TRUE,"5100";#N/A,#N/A,TRUE,"5110"}</definedName>
    <definedName name="___dog1" hidden="1">{#N/A,#N/A,TRUE,"CPRD";#N/A,#N/A,TRUE,"BCCPDR";#N/A,#N/A,TRUE,"EWRD";#N/A,#N/A,TRUE,"5100";#N/A,#N/A,TRUE,"5110"}</definedName>
    <definedName name="__123Graph_A" localSheetId="8" hidden="1">#REF!</definedName>
    <definedName name="__123Graph_A" hidden="1">#REF!</definedName>
    <definedName name="__123Graph_AGraph1" localSheetId="8" hidden="1">#REF!</definedName>
    <definedName name="__123Graph_AGraph1" hidden="1">#REF!</definedName>
    <definedName name="__123Graph_B" localSheetId="8" hidden="1">#REF!</definedName>
    <definedName name="__123Graph_B" hidden="1">#REF!</definedName>
    <definedName name="__123Graph_BGraph1" localSheetId="8" hidden="1">#REF!</definedName>
    <definedName name="__123Graph_BGraph1" hidden="1">#REF!</definedName>
    <definedName name="__123Graph_C" localSheetId="8" hidden="1">#REF!</definedName>
    <definedName name="__123Graph_C" hidden="1">#REF!</definedName>
    <definedName name="__123Graph_CGraph1" localSheetId="8" hidden="1">#REF!</definedName>
    <definedName name="__123Graph_CGraph1" hidden="1">#REF!</definedName>
    <definedName name="__123Graph_D" hidden="1">#REF!</definedName>
    <definedName name="__123Graph_DGraph1" localSheetId="8" hidden="1">#REF!</definedName>
    <definedName name="__123Graph_DGraph1" hidden="1">#REF!</definedName>
    <definedName name="__123Graph_E" localSheetId="8" hidden="1">#REF!</definedName>
    <definedName name="__123Graph_E" hidden="1">#REF!</definedName>
    <definedName name="__123Graph_EGraph1" localSheetId="8" hidden="1">#REF!</definedName>
    <definedName name="__123Graph_EGraph1" hidden="1">#REF!</definedName>
    <definedName name="__123Graph_X" localSheetId="8" hidden="1">#REF!</definedName>
    <definedName name="__123Graph_X" hidden="1">#REF!</definedName>
    <definedName name="__123Graph_XGraph1" localSheetId="8" hidden="1">#REF!</definedName>
    <definedName name="__123Graph_XGraph1" hidden="1">#REF!</definedName>
    <definedName name="__dod1" localSheetId="1" hidden="1">{#N/A,#N/A,TRUE,"CPRD";#N/A,#N/A,TRUE,"BCCPDR";#N/A,#N/A,TRUE,"EWRD";#N/A,#N/A,TRUE,"5100";#N/A,#N/A,TRUE,"5110"}</definedName>
    <definedName name="__dod1" localSheetId="4" hidden="1">{#N/A,#N/A,TRUE,"CPRD";#N/A,#N/A,TRUE,"BCCPDR";#N/A,#N/A,TRUE,"EWRD";#N/A,#N/A,TRUE,"5100";#N/A,#N/A,TRUE,"5110"}</definedName>
    <definedName name="__dod1" localSheetId="5" hidden="1">{#N/A,#N/A,TRUE,"CPRD";#N/A,#N/A,TRUE,"BCCPDR";#N/A,#N/A,TRUE,"EWRD";#N/A,#N/A,TRUE,"5100";#N/A,#N/A,TRUE,"5110"}</definedName>
    <definedName name="__dod1" localSheetId="8" hidden="1">{#N/A,#N/A,TRUE,"CPRD";#N/A,#N/A,TRUE,"BCCPDR";#N/A,#N/A,TRUE,"EWRD";#N/A,#N/A,TRUE,"5100";#N/A,#N/A,TRUE,"5110"}</definedName>
    <definedName name="__dod1" localSheetId="2" hidden="1">{#N/A,#N/A,TRUE,"CPRD";#N/A,#N/A,TRUE,"BCCPDR";#N/A,#N/A,TRUE,"EWRD";#N/A,#N/A,TRUE,"5100";#N/A,#N/A,TRUE,"5110"}</definedName>
    <definedName name="__dod1" hidden="1">{#N/A,#N/A,TRUE,"CPRD";#N/A,#N/A,TRUE,"BCCPDR";#N/A,#N/A,TRUE,"EWRD";#N/A,#N/A,TRUE,"5100";#N/A,#N/A,TRUE,"5110"}</definedName>
    <definedName name="__dog1" localSheetId="1" hidden="1">{#N/A,#N/A,TRUE,"CPRD";#N/A,#N/A,TRUE,"BCCPDR";#N/A,#N/A,TRUE,"EWRD";#N/A,#N/A,TRUE,"5100";#N/A,#N/A,TRUE,"5110"}</definedName>
    <definedName name="__dog1" localSheetId="4" hidden="1">{#N/A,#N/A,TRUE,"CPRD";#N/A,#N/A,TRUE,"BCCPDR";#N/A,#N/A,TRUE,"EWRD";#N/A,#N/A,TRUE,"5100";#N/A,#N/A,TRUE,"5110"}</definedName>
    <definedName name="__dog1" localSheetId="5" hidden="1">{#N/A,#N/A,TRUE,"CPRD";#N/A,#N/A,TRUE,"BCCPDR";#N/A,#N/A,TRUE,"EWRD";#N/A,#N/A,TRUE,"5100";#N/A,#N/A,TRUE,"5110"}</definedName>
    <definedName name="__dog1" localSheetId="8" hidden="1">{#N/A,#N/A,TRUE,"CPRD";#N/A,#N/A,TRUE,"BCCPDR";#N/A,#N/A,TRUE,"EWRD";#N/A,#N/A,TRUE,"5100";#N/A,#N/A,TRUE,"5110"}</definedName>
    <definedName name="__dog1" localSheetId="2" hidden="1">{#N/A,#N/A,TRUE,"CPRD";#N/A,#N/A,TRUE,"BCCPDR";#N/A,#N/A,TRUE,"EWRD";#N/A,#N/A,TRUE,"5100";#N/A,#N/A,TRUE,"5110"}</definedName>
    <definedName name="__dog1" hidden="1">{#N/A,#N/A,TRUE,"CPRD";#N/A,#N/A,TRUE,"BCCPDR";#N/A,#N/A,TRUE,"EWRD";#N/A,#N/A,TRUE,"5100";#N/A,#N/A,TRUE,"5110"}</definedName>
    <definedName name="__IntlFixup" hidden="1">TRUE</definedName>
    <definedName name="_dod1" localSheetId="1" hidden="1">{#N/A,#N/A,TRUE,"CPRD";#N/A,#N/A,TRUE,"BCCPDR";#N/A,#N/A,TRUE,"EWRD";#N/A,#N/A,TRUE,"5100";#N/A,#N/A,TRUE,"5110"}</definedName>
    <definedName name="_dod1" localSheetId="4" hidden="1">{#N/A,#N/A,TRUE,"CPRD";#N/A,#N/A,TRUE,"BCCPDR";#N/A,#N/A,TRUE,"EWRD";#N/A,#N/A,TRUE,"5100";#N/A,#N/A,TRUE,"5110"}</definedName>
    <definedName name="_dod1" localSheetId="5" hidden="1">{#N/A,#N/A,TRUE,"CPRD";#N/A,#N/A,TRUE,"BCCPDR";#N/A,#N/A,TRUE,"EWRD";#N/A,#N/A,TRUE,"5100";#N/A,#N/A,TRUE,"5110"}</definedName>
    <definedName name="_dod1" localSheetId="8" hidden="1">{#N/A,#N/A,TRUE,"CPRD";#N/A,#N/A,TRUE,"BCCPDR";#N/A,#N/A,TRUE,"EWRD";#N/A,#N/A,TRUE,"5100";#N/A,#N/A,TRUE,"5110"}</definedName>
    <definedName name="_dod1" localSheetId="2" hidden="1">{#N/A,#N/A,TRUE,"CPRD";#N/A,#N/A,TRUE,"BCCPDR";#N/A,#N/A,TRUE,"EWRD";#N/A,#N/A,TRUE,"5100";#N/A,#N/A,TRUE,"5110"}</definedName>
    <definedName name="_dod1" hidden="1">{#N/A,#N/A,TRUE,"CPRD";#N/A,#N/A,TRUE,"BCCPDR";#N/A,#N/A,TRUE,"EWRD";#N/A,#N/A,TRUE,"5100";#N/A,#N/A,TRUE,"5110"}</definedName>
    <definedName name="_dog1" localSheetId="1" hidden="1">{#N/A,#N/A,TRUE,"CPRD";#N/A,#N/A,TRUE,"BCCPDR";#N/A,#N/A,TRUE,"EWRD";#N/A,#N/A,TRUE,"5100";#N/A,#N/A,TRUE,"5110"}</definedName>
    <definedName name="_dog1" localSheetId="4" hidden="1">{#N/A,#N/A,TRUE,"CPRD";#N/A,#N/A,TRUE,"BCCPDR";#N/A,#N/A,TRUE,"EWRD";#N/A,#N/A,TRUE,"5100";#N/A,#N/A,TRUE,"5110"}</definedName>
    <definedName name="_dog1" localSheetId="5" hidden="1">{#N/A,#N/A,TRUE,"CPRD";#N/A,#N/A,TRUE,"BCCPDR";#N/A,#N/A,TRUE,"EWRD";#N/A,#N/A,TRUE,"5100";#N/A,#N/A,TRUE,"5110"}</definedName>
    <definedName name="_dog1" localSheetId="8" hidden="1">{#N/A,#N/A,TRUE,"CPRD";#N/A,#N/A,TRUE,"BCCPDR";#N/A,#N/A,TRUE,"EWRD";#N/A,#N/A,TRUE,"5100";#N/A,#N/A,TRUE,"5110"}</definedName>
    <definedName name="_dog1" localSheetId="2" hidden="1">{#N/A,#N/A,TRUE,"CPRD";#N/A,#N/A,TRUE,"BCCPDR";#N/A,#N/A,TRUE,"EWRD";#N/A,#N/A,TRUE,"5100";#N/A,#N/A,TRUE,"5110"}</definedName>
    <definedName name="_dog1" hidden="1">{#N/A,#N/A,TRUE,"CPRD";#N/A,#N/A,TRUE,"BCCPDR";#N/A,#N/A,TRUE,"EWRD";#N/A,#N/A,TRUE,"5100";#N/A,#N/A,TRUE,"5110"}</definedName>
    <definedName name="_Fill" localSheetId="8" hidden="1">#REF!</definedName>
    <definedName name="_Fill" hidden="1">#REF!</definedName>
    <definedName name="_xlnm._FilterDatabase" localSheetId="8" hidden="1">'VC&amp;VD.01.4 截止性测试'!$I$23:$J$25</definedName>
    <definedName name="_xlnm._FilterDatabase" hidden="1">#REF!</definedName>
    <definedName name="_Key1" localSheetId="8" hidden="1">#REF!</definedName>
    <definedName name="_Key1" hidden="1">#REF!</definedName>
    <definedName name="_Key2" localSheetId="8" hidden="1">#REF!</definedName>
    <definedName name="_Key2" hidden="1">#REF!</definedName>
    <definedName name="_Order1" hidden="1">255</definedName>
    <definedName name="_Order2" hidden="1">255</definedName>
    <definedName name="_Sort" localSheetId="8" hidden="1">#REF!</definedName>
    <definedName name="_Sort" hidden="1">#REF!</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5" hidden="1">{"M1Print",#N/A,TRUE,"M1";"M2Print",#N/A,TRUE,"M2";"M1sPrint",#N/A,TRUE,"M1s";"M2aPrint",#N/A,TRUE,"M2a";"M4Print",#N/A,TRUE,"M4";"M5Print",#N/A,TRUE,"M5";"M6Print",#N/A,TRUE,"M6";"M6_1Print",#N/A,TRUE,"M6_1";"M6_2Print",#N/A,TRUE,"M6_2";"M7_1Print",#N/A,TRUE,"M7_1";"M7_2Print",#N/A,TRUE,"M7_2"}</definedName>
    <definedName name="adas" localSheetId="8"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8" hidden="1">#REF!</definedName>
    <definedName name="AS2TickmarkLS" hidden="1">#REF!</definedName>
    <definedName name="AS2VersionLS" hidden="1">300</definedName>
    <definedName name="ass" localSheetId="1" hidden="1">{#N/A,#N/A,TRUE,"CPRD";#N/A,#N/A,TRUE,"BCCPDR";#N/A,#N/A,TRUE,"EWRD";#N/A,#N/A,TRUE,"5100";#N/A,#N/A,TRUE,"5110"}</definedName>
    <definedName name="ass" localSheetId="4" hidden="1">{#N/A,#N/A,TRUE,"CPRD";#N/A,#N/A,TRUE,"BCCPDR";#N/A,#N/A,TRUE,"EWRD";#N/A,#N/A,TRUE,"5100";#N/A,#N/A,TRUE,"5110"}</definedName>
    <definedName name="ass" localSheetId="5" hidden="1">{#N/A,#N/A,TRUE,"CPRD";#N/A,#N/A,TRUE,"BCCPDR";#N/A,#N/A,TRUE,"EWRD";#N/A,#N/A,TRUE,"5100";#N/A,#N/A,TRUE,"5110"}</definedName>
    <definedName name="ass" localSheetId="8" hidden="1">{#N/A,#N/A,TRUE,"CPRD";#N/A,#N/A,TRUE,"BCCPDR";#N/A,#N/A,TRUE,"EWRD";#N/A,#N/A,TRUE,"5100";#N/A,#N/A,TRUE,"5110"}</definedName>
    <definedName name="ass" localSheetId="2"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8" hidden="1">#REF!</definedName>
    <definedName name="BNE_MESSAGES_HIDDEN" hidden="1">#REF!</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ddd" localSheetId="4" hidden="1">{#N/A,#N/A,TRUE,"CPRD";#N/A,#N/A,TRUE,"BCCPDR";#N/A,#N/A,TRUE,"EWRD";#N/A,#N/A,TRUE,"5100";#N/A,#N/A,TRUE,"5110"}</definedName>
    <definedName name="doddd" localSheetId="5" hidden="1">{#N/A,#N/A,TRUE,"CPRD";#N/A,#N/A,TRUE,"BCCPDR";#N/A,#N/A,TRUE,"EWRD";#N/A,#N/A,TRUE,"5100";#N/A,#N/A,TRUE,"5110"}</definedName>
    <definedName name="doddd" localSheetId="8" hidden="1">{#N/A,#N/A,TRUE,"CPRD";#N/A,#N/A,TRUE,"BCCPDR";#N/A,#N/A,TRUE,"EWRD";#N/A,#N/A,TRUE,"5100";#N/A,#N/A,TRUE,"5110"}</definedName>
    <definedName name="doddd" localSheetId="2" hidden="1">{#N/A,#N/A,TRUE,"CPRD";#N/A,#N/A,TRUE,"BCCPDR";#N/A,#N/A,TRUE,"EWRD";#N/A,#N/A,TRUE,"5100";#N/A,#N/A,TRUE,"5110"}</definedName>
    <definedName name="doddd" hidden="1">{#N/A,#N/A,TRUE,"CPRD";#N/A,#N/A,TRUE,"BCCPDR";#N/A,#N/A,TRUE,"EWRD";#N/A,#N/A,TRUE,"5100";#N/A,#N/A,TRUE,"5110"}</definedName>
    <definedName name="dog" localSheetId="1" hidden="1">{#N/A,#N/A,TRUE,"CPRD";#N/A,#N/A,TRUE,"BCCPDR";#N/A,#N/A,TRUE,"EWRD";#N/A,#N/A,TRUE,"5100";#N/A,#N/A,TRUE,"5110"}</definedName>
    <definedName name="dog" localSheetId="4" hidden="1">{#N/A,#N/A,TRUE,"CPRD";#N/A,#N/A,TRUE,"BCCPDR";#N/A,#N/A,TRUE,"EWRD";#N/A,#N/A,TRUE,"5100";#N/A,#N/A,TRUE,"5110"}</definedName>
    <definedName name="dog" localSheetId="5" hidden="1">{#N/A,#N/A,TRUE,"CPRD";#N/A,#N/A,TRUE,"BCCPDR";#N/A,#N/A,TRUE,"EWRD";#N/A,#N/A,TRUE,"5100";#N/A,#N/A,TRUE,"5110"}</definedName>
    <definedName name="dog" localSheetId="8" hidden="1">{#N/A,#N/A,TRUE,"CPRD";#N/A,#N/A,TRUE,"BCCPDR";#N/A,#N/A,TRUE,"EWRD";#N/A,#N/A,TRUE,"5100";#N/A,#N/A,TRUE,"5110"}</definedName>
    <definedName name="dog" localSheetId="2" hidden="1">{#N/A,#N/A,TRUE,"CPRD";#N/A,#N/A,TRUE,"BCCPDR";#N/A,#N/A,TRUE,"EWRD";#N/A,#N/A,TRUE,"5100";#N/A,#N/A,TRUE,"5110"}</definedName>
    <definedName name="dog" hidden="1">{#N/A,#N/A,TRUE,"CPRD";#N/A,#N/A,TRUE,"BCCPDR";#N/A,#N/A,TRUE,"EWRD";#N/A,#N/A,TRUE,"5100";#N/A,#N/A,TRUE,"5110"}</definedName>
    <definedName name="ehdg" localSheetId="1" hidden="1">{#N/A,#N/A,FALSE,"Jan"}</definedName>
    <definedName name="ehdg" hidden="1">{#N/A,#N/A,FALSE,"Jan"}</definedName>
    <definedName name="EV__LASTREFTIME__" hidden="1">39274.4724884259</definedName>
    <definedName name="ExpenseUpload" localSheetId="1" hidden="1">{#N/A,#N/A,TRUE,"CPRD";#N/A,#N/A,TRUE,"BCCPDR";#N/A,#N/A,TRUE,"EWRD";#N/A,#N/A,TRUE,"5100";#N/A,#N/A,TRUE,"5110"}</definedName>
    <definedName name="ExpenseUpload" localSheetId="4" hidden="1">{#N/A,#N/A,TRUE,"CPRD";#N/A,#N/A,TRUE,"BCCPDR";#N/A,#N/A,TRUE,"EWRD";#N/A,#N/A,TRUE,"5100";#N/A,#N/A,TRUE,"5110"}</definedName>
    <definedName name="ExpenseUpload" localSheetId="5" hidden="1">{#N/A,#N/A,TRUE,"CPRD";#N/A,#N/A,TRUE,"BCCPDR";#N/A,#N/A,TRUE,"EWRD";#N/A,#N/A,TRUE,"5100";#N/A,#N/A,TRUE,"5110"}</definedName>
    <definedName name="ExpenseUpload" localSheetId="8" hidden="1">{#N/A,#N/A,TRUE,"CPRD";#N/A,#N/A,TRUE,"BCCPDR";#N/A,#N/A,TRUE,"EWRD";#N/A,#N/A,TRUE,"5100";#N/A,#N/A,TRUE,"5110"}</definedName>
    <definedName name="ExpenseUpload" localSheetId="2" hidden="1">{#N/A,#N/A,TRUE,"CPRD";#N/A,#N/A,TRUE,"BCCPDR";#N/A,#N/A,TRUE,"EWRD";#N/A,#N/A,TRUE,"5100";#N/A,#N/A,TRUE,"5110"}</definedName>
    <definedName name="ExpenseUpload"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HdctTrnd" localSheetId="1" hidden="1">{#N/A,#N/A,TRUE,"CPRD";#N/A,#N/A,TRUE,"BCCPDR";#N/A,#N/A,TRUE,"EWRD";#N/A,#N/A,TRUE,"5100";#N/A,#N/A,TRUE,"5110"}</definedName>
    <definedName name="HdctTrnd" localSheetId="4" hidden="1">{#N/A,#N/A,TRUE,"CPRD";#N/A,#N/A,TRUE,"BCCPDR";#N/A,#N/A,TRUE,"EWRD";#N/A,#N/A,TRUE,"5100";#N/A,#N/A,TRUE,"5110"}</definedName>
    <definedName name="HdctTrnd" localSheetId="5" hidden="1">{#N/A,#N/A,TRUE,"CPRD";#N/A,#N/A,TRUE,"BCCPDR";#N/A,#N/A,TRUE,"EWRD";#N/A,#N/A,TRUE,"5100";#N/A,#N/A,TRUE,"5110"}</definedName>
    <definedName name="HdctTrnd" localSheetId="8" hidden="1">{#N/A,#N/A,TRUE,"CPRD";#N/A,#N/A,TRUE,"BCCPDR";#N/A,#N/A,TRUE,"EWRD";#N/A,#N/A,TRUE,"5100";#N/A,#N/A,TRUE,"5110"}</definedName>
    <definedName name="HdctTrnd" localSheetId="2"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1" hidden="1">{"'Vxxe_times_J750 (2)'!$A$3:$E$14"}</definedName>
    <definedName name="HTML_Control" localSheetId="4" hidden="1">{"'Vxxe_times_J750 (2)'!$A$3:$E$14"}</definedName>
    <definedName name="HTML_Control" localSheetId="5" hidden="1">{"'Vxxe_times_J750 (2)'!$A$3:$E$14"}</definedName>
    <definedName name="HTML_Control" localSheetId="8" hidden="1">{"'Vxxe_times_J750 (2)'!$A$3:$E$14"}</definedName>
    <definedName name="HTML_Control" localSheetId="2"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1" hidden="1">{#N/A,#N/A,TRUE,"CPRD";#N/A,#N/A,TRUE,"BCCPDR";#N/A,#N/A,TRUE,"EWRD";#N/A,#N/A,TRUE,"5100";#N/A,#N/A,TRUE,"5110"}</definedName>
    <definedName name="notused" localSheetId="4" hidden="1">{#N/A,#N/A,TRUE,"CPRD";#N/A,#N/A,TRUE,"BCCPDR";#N/A,#N/A,TRUE,"EWRD";#N/A,#N/A,TRUE,"5100";#N/A,#N/A,TRUE,"5110"}</definedName>
    <definedName name="notused" localSheetId="5" hidden="1">{#N/A,#N/A,TRUE,"CPRD";#N/A,#N/A,TRUE,"BCCPDR";#N/A,#N/A,TRUE,"EWRD";#N/A,#N/A,TRUE,"5100";#N/A,#N/A,TRUE,"5110"}</definedName>
    <definedName name="notused" localSheetId="8" hidden="1">{#N/A,#N/A,TRUE,"CPRD";#N/A,#N/A,TRUE,"BCCPDR";#N/A,#N/A,TRUE,"EWRD";#N/A,#N/A,TRUE,"5100";#N/A,#N/A,TRUE,"5110"}</definedName>
    <definedName name="notused" localSheetId="2" hidden="1">{#N/A,#N/A,TRUE,"CPRD";#N/A,#N/A,TRUE,"BCCPDR";#N/A,#N/A,TRUE,"EWRD";#N/A,#N/A,TRUE,"5100";#N/A,#N/A,TRUE,"5110"}</definedName>
    <definedName name="notused" hidden="1">{#N/A,#N/A,TRUE,"CPRD";#N/A,#N/A,TRUE,"BCCPDR";#N/A,#N/A,TRUE,"EWRD";#N/A,#N/A,TRUE,"5100";#N/A,#N/A,TRUE,"5110"}</definedName>
    <definedName name="qwertyuiopasdfghjkl" localSheetId="1" hidden="1">{"M2aPrint",#N/A,FALSE,"M2a"}</definedName>
    <definedName name="qwertyuiopasdfghjkl" localSheetId="4" hidden="1">{"M2aPrint",#N/A,FALSE,"M2a"}</definedName>
    <definedName name="qwertyuiopasdfghjkl" localSheetId="5" hidden="1">{"M2aPrint",#N/A,FALSE,"M2a"}</definedName>
    <definedName name="qwertyuiopasdfghjkl" localSheetId="8" hidden="1">{"M2aPrint",#N/A,FALSE,"M2a"}</definedName>
    <definedName name="qwertyuiopasdfghjkl" localSheetId="2" hidden="1">{"M2aPrint",#N/A,FALSE,"M2a"}</definedName>
    <definedName name="qwertyuiopasdfghjkl" hidden="1">{"M2aPrint",#N/A,FALSE,"M2a"}</definedName>
    <definedName name="qwwertyuiop" localSheetId="1" hidden="1">{"M2Print",#N/A,FALSE,"M2"}</definedName>
    <definedName name="qwwertyuiop" localSheetId="4" hidden="1">{"M2Print",#N/A,FALSE,"M2"}</definedName>
    <definedName name="qwwertyuiop" localSheetId="5" hidden="1">{"M2Print",#N/A,FALSE,"M2"}</definedName>
    <definedName name="qwwertyuiop" localSheetId="8" hidden="1">{"M2Print",#N/A,FALSE,"M2"}</definedName>
    <definedName name="qwwertyuiop" localSheetId="2"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8" hidden="1">#REF!</definedName>
    <definedName name="Sheet1_BNE_MESSAGES" hidden="1">#REF!</definedName>
    <definedName name="Sheet1_BNE_MESSAGES_HIDDEN" localSheetId="8" hidden="1">#REF!</definedName>
    <definedName name="Sheet1_BNE_MESSAGES_HIDDEN" hidden="1">#REF!</definedName>
    <definedName name="Sheet1_BNE_MESSAGES_LAMP" localSheetId="8" hidden="1">#REF!</definedName>
    <definedName name="Sheet1_BNE_MESSAGES_LAMP" hidden="1">#REF!</definedName>
    <definedName name="Sheet1_BNE_UPLOAD" localSheetId="8" hidden="1">#REF!</definedName>
    <definedName name="Sheet1_BNE_UPLOAD" hidden="1">#REF!</definedName>
    <definedName name="Sheet1_GL_INTERFACE_ACCOUNTING_DATE" localSheetId="8" hidden="1">#REF!</definedName>
    <definedName name="Sheet1_GL_INTERFACE_ACCOUNTING_DATE" hidden="1">#REF!</definedName>
    <definedName name="Sheet1_GL_INTERFACE_ACTUAL_FLAG" localSheetId="8" hidden="1">#REF!</definedName>
    <definedName name="Sheet1_GL_INTERFACE_ACTUAL_FLAG" hidden="1">#REF!</definedName>
    <definedName name="Sheet1_GL_INTERFACE_CURRENCY_CODE" localSheetId="8" hidden="1">#REF!</definedName>
    <definedName name="Sheet1_GL_INTERFACE_CURRENCY_CODE" hidden="1">#REF!</definedName>
    <definedName name="Sheet1_GL_INTERFACE_DATABASE" localSheetId="8" hidden="1">#REF!</definedName>
    <definedName name="Sheet1_GL_INTERFACE_DATABASE" hidden="1">#REF!</definedName>
    <definedName name="Sheet1_GL_INTERFACE_ENTERED_CR" localSheetId="8" hidden="1">#REF!</definedName>
    <definedName name="Sheet1_GL_INTERFACE_ENTERED_CR" hidden="1">#REF!</definedName>
    <definedName name="Sheet1_GL_INTERFACE_ENTERED_DR" localSheetId="8" hidden="1">#REF!</definedName>
    <definedName name="Sheet1_GL_INTERFACE_ENTERED_DR" hidden="1">#REF!</definedName>
    <definedName name="Sheet1_GL_INTERFACE_REFERENCE1" localSheetId="8" hidden="1">#REF!</definedName>
    <definedName name="Sheet1_GL_INTERFACE_REFERENCE1" hidden="1">#REF!</definedName>
    <definedName name="Sheet1_GL_INTERFACE_REFERENCE10" localSheetId="8" hidden="1">#REF!</definedName>
    <definedName name="Sheet1_GL_INTERFACE_REFERENCE10" hidden="1">#REF!</definedName>
    <definedName name="Sheet1_GL_INTERFACE_REFERENCE4" localSheetId="8" hidden="1">#REF!</definedName>
    <definedName name="Sheet1_GL_INTERFACE_REFERENCE4" hidden="1">#REF!</definedName>
    <definedName name="Sheet1_GL_INTERFACE_REFERENCE5" localSheetId="8" hidden="1">#REF!</definedName>
    <definedName name="Sheet1_GL_INTERFACE_REFERENCE5" hidden="1">#REF!</definedName>
    <definedName name="Sheet1_GL_INTERFACE_REFERENCE6" hidden="1">#REF!</definedName>
    <definedName name="Sheet1_GL_INTERFACE_REFERENCE7" localSheetId="8" hidden="1">#REF!</definedName>
    <definedName name="Sheet1_GL_INTERFACE_REFERENCE7" hidden="1">#REF!</definedName>
    <definedName name="Sheet1_GL_INTERFACE_REFERENCE8" localSheetId="8" hidden="1">#REF!</definedName>
    <definedName name="Sheet1_GL_INTERFACE_REFERENCE8" hidden="1">#REF!</definedName>
    <definedName name="Sheet1_GL_INTERFACE_SEGMENT1" localSheetId="8" hidden="1">#REF!</definedName>
    <definedName name="Sheet1_GL_INTERFACE_SEGMENT1" hidden="1">#REF!</definedName>
    <definedName name="Sheet1_GL_INTERFACE_SEGMENT2" localSheetId="8" hidden="1">#REF!</definedName>
    <definedName name="Sheet1_GL_INTERFACE_SEGMENT2" hidden="1">#REF!</definedName>
    <definedName name="Sheet1_GL_INTERFACE_SEGMENT3" localSheetId="8" hidden="1">#REF!</definedName>
    <definedName name="Sheet1_GL_INTERFACE_SEGMENT3" hidden="1">#REF!</definedName>
    <definedName name="Sheet1_GL_INTERFACE_SEGMENT4" localSheetId="8" hidden="1">#REF!</definedName>
    <definedName name="Sheet1_GL_INTERFACE_SEGMENT4" hidden="1">#REF!</definedName>
    <definedName name="Sheet1_GL_INTERFACE_SEGMENT5" localSheetId="8" hidden="1">#REF!</definedName>
    <definedName name="Sheet1_GL_INTERFACE_SEGMENT5" hidden="1">#REF!</definedName>
    <definedName name="Sheet1_GL_INTERFACE_SEGMENT6" localSheetId="8" hidden="1">#REF!</definedName>
    <definedName name="Sheet1_GL_INTERFACE_SEGMENT6" hidden="1">#REF!</definedName>
    <definedName name="Sheet1_GL_INTERFACE_SET_OF_BOOKS_ID" localSheetId="8" hidden="1">#REF!</definedName>
    <definedName name="Sheet1_GL_INTERFACE_SET_OF_BOOKS_ID" hidden="1">#REF!</definedName>
    <definedName name="Sheet1_GL_INTERFACE_USER_JE_CATEGORY_NAME" localSheetId="8" hidden="1">#REF!</definedName>
    <definedName name="Sheet1_GL_INTERFACE_USER_JE_CATEGORY_NAME" hidden="1">#REF!</definedName>
    <definedName name="Sheet1_GL_INTERFACE_USER_JE_SOURCE_NAME" localSheetId="8" hidden="1">#REF!</definedName>
    <definedName name="Sheet1_GL_INTERFACE_USER_JE_SOURCE_NAME" hidden="1">#REF!</definedName>
    <definedName name="TextRefCopyRangeCount" localSheetId="8" hidden="1">4</definedName>
    <definedName name="TextRefCopyRangeCount" hidden="1">5</definedName>
    <definedName name="wrn.Aging._.and._.Trend._.Analysis." localSheetId="1"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{#N/A,#N/A,FALSE,"SUM";#N/A,#N/A,FALSE,"SK_TOT";#N/A,#N/A,FALSE,"YM";#N/A,#N/A,FALSE,"TSMC";#N/A,#N/A,FALSE,"ICW";#N/A,#N/A,FALSE,"Sheet1"}</definedName>
    <definedName name="wrn.ALL." localSheetId="4" hidden="1">{#N/A,#N/A,FALSE,"SUM";#N/A,#N/A,FALSE,"SK_TOT";#N/A,#N/A,FALSE,"YM";#N/A,#N/A,FALSE,"TSMC";#N/A,#N/A,FALSE,"ICW";#N/A,#N/A,FALSE,"Sheet1"}</definedName>
    <definedName name="wrn.ALL." localSheetId="5" hidden="1">{#N/A,#N/A,FALSE,"SUM";#N/A,#N/A,FALSE,"SK_TOT";#N/A,#N/A,FALSE,"YM";#N/A,#N/A,FALSE,"TSMC";#N/A,#N/A,FALSE,"ICW";#N/A,#N/A,FALSE,"Sheet1"}</definedName>
    <definedName name="wrn.ALL." localSheetId="8" hidden="1">{#N/A,#N/A,FALSE,"SUM";#N/A,#N/A,FALSE,"SK_TOT";#N/A,#N/A,FALSE,"YM";#N/A,#N/A,FALSE,"TSMC";#N/A,#N/A,FALSE,"ICW";#N/A,#N/A,FALSE,"Sheet1"}</definedName>
    <definedName name="wrn.ALL." localSheetId="2" hidden="1">{#N/A,#N/A,FALSE,"SUM";#N/A,#N/A,FALSE,"SK_TOT";#N/A,#N/A,FALSE,"YM";#N/A,#N/A,FALSE,"TSMC";#N/A,#N/A,FALSE,"ICW";#N/A,#N/A,FALSE,"Sheet1"}</definedName>
    <definedName name="wrn.ALL."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5" hidden="1">{#N/A,#N/A,FALSE,"M1s Board";#N/A,#N/A,FALSE,"M3 Board";#N/A,#N/A,FALSE,"M6 Board";#N/A,#N/A,FALSE,"M7";#N/A,#N/A,FALSE,"M7B";#N/A,#N/A,FALSE,"M8";#N/A,#N/A,FALSE,"M8A Board";#N/A,#N/A,FALSE,"AF1 Board"}</definedName>
    <definedName name="wrn.Board._.Reports." localSheetId="8"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1" hidden="1">{#N/A,#N/A,FALSE,"Deposits by day"}</definedName>
    <definedName name="wrn.Deposit._.By._.Day." hidden="1">{#N/A,#N/A,FALSE,"Deposits by day"}</definedName>
    <definedName name="wrn.Deptartment._.Expenses." localSheetId="1" hidden="1">{#N/A,#N/A,TRUE,"CPRD";#N/A,#N/A,TRUE,"BCCPDR";#N/A,#N/A,TRUE,"EWRD";#N/A,#N/A,TRUE,"5100";#N/A,#N/A,TRUE,"5110"}</definedName>
    <definedName name="wrn.Deptartment._.Expenses." localSheetId="4" hidden="1">{#N/A,#N/A,TRUE,"CPRD";#N/A,#N/A,TRUE,"BCCPDR";#N/A,#N/A,TRUE,"EWRD";#N/A,#N/A,TRUE,"5100";#N/A,#N/A,TRUE,"5110"}</definedName>
    <definedName name="wrn.Deptartment._.Expenses." localSheetId="5" hidden="1">{#N/A,#N/A,TRUE,"CPRD";#N/A,#N/A,TRUE,"BCCPDR";#N/A,#N/A,TRUE,"EWRD";#N/A,#N/A,TRUE,"5100";#N/A,#N/A,TRUE,"5110"}</definedName>
    <definedName name="wrn.Deptartment._.Expenses." localSheetId="8" hidden="1">{#N/A,#N/A,TRUE,"CPRD";#N/A,#N/A,TRUE,"BCCPDR";#N/A,#N/A,TRUE,"EWRD";#N/A,#N/A,TRUE,"5100";#N/A,#N/A,TRUE,"5110"}</definedName>
    <definedName name="wrn.Deptartment._.Expenses." localSheetId="2" hidden="1">{#N/A,#N/A,TRUE,"CPRD";#N/A,#N/A,TRUE,"BCCPDR";#N/A,#N/A,TRUE,"EWRD";#N/A,#N/A,TRUE,"5100";#N/A,#N/A,TRUE,"5110"}</definedName>
    <definedName name="wrn.Deptartment._.Expenses." hidden="1">{#N/A,#N/A,TRUE,"CPRD";#N/A,#N/A,TRUE,"BCCPDR";#N/A,#N/A,TRUE,"EWRD";#N/A,#N/A,TRUE,"5100";#N/A,#N/A,TRUE,"5110"}</definedName>
    <definedName name="wrn.jan." localSheetId="1" hidden="1">{#N/A,#N/A,FALSE,"Jan"}</definedName>
    <definedName name="wrn.jan." hidden="1">{#N/A,#N/A,FALSE,"Jan"}</definedName>
    <definedName name="wrn.M1._.Operating._.Statement." localSheetId="1" hidden="1">{"M1Print",#N/A,FALSE,"M1"}</definedName>
    <definedName name="wrn.M1._.Operating._.Statement." localSheetId="4" hidden="1">{"M1Print",#N/A,FALSE,"M1"}</definedName>
    <definedName name="wrn.M1._.Operating._.Statement." localSheetId="5" hidden="1">{"M1Print",#N/A,FALSE,"M1"}</definedName>
    <definedName name="wrn.M1._.Operating._.Statement." localSheetId="8" hidden="1">{"M1Print",#N/A,FALSE,"M1"}</definedName>
    <definedName name="wrn.M1._.Operating._.Statement." localSheetId="2" hidden="1">{"M1Print",#N/A,FALSE,"M1"}</definedName>
    <definedName name="wrn.M1._.Operating._.Statement." hidden="1">{"M1Print",#N/A,FALSE,"M1"}</definedName>
    <definedName name="wrn.M1s._.Statistics." localSheetId="1" hidden="1">{"M1sPrint",#N/A,FALSE,"M1s"}</definedName>
    <definedName name="wrn.M1s._.Statistics." localSheetId="4" hidden="1">{"M1sPrint",#N/A,FALSE,"M1s"}</definedName>
    <definedName name="wrn.M1s._.Statistics." localSheetId="5" hidden="1">{"M1sPrint",#N/A,FALSE,"M1s"}</definedName>
    <definedName name="wrn.M1s._.Statistics." localSheetId="8" hidden="1">{"M1sPrint",#N/A,FALSE,"M1s"}</definedName>
    <definedName name="wrn.M1s._.Statistics." localSheetId="2" hidden="1">{"M1sPrint",#N/A,FALSE,"M1s"}</definedName>
    <definedName name="wrn.M1s._.Statistics." hidden="1">{"M1sPrint",#N/A,FALSE,"M1s"}</definedName>
    <definedName name="wrn.M2._.Balance._.Sheet." localSheetId="1" hidden="1">{"M2Print",#N/A,FALSE,"M2"}</definedName>
    <definedName name="wrn.M2._.Balance._.Sheet." localSheetId="4" hidden="1">{"M2Print",#N/A,FALSE,"M2"}</definedName>
    <definedName name="wrn.M2._.Balance._.Sheet." localSheetId="5" hidden="1">{"M2Print",#N/A,FALSE,"M2"}</definedName>
    <definedName name="wrn.M2._.Balance._.Sheet." localSheetId="8" hidden="1">{"M2Print",#N/A,FALSE,"M2"}</definedName>
    <definedName name="wrn.M2._.Balance._.Sheet." localSheetId="2" hidden="1">{"M2Print",#N/A,FALSE,"M2"}</definedName>
    <definedName name="wrn.M2._.Balance._.Sheet." hidden="1">{"M2Print",#N/A,FALSE,"M2"}</definedName>
    <definedName name="wrn.M2a._.Cashflow." localSheetId="1" hidden="1">{"M2aPrint",#N/A,FALSE,"M2a"}</definedName>
    <definedName name="wrn.M2a._.Cashflow." localSheetId="4" hidden="1">{"M2aPrint",#N/A,FALSE,"M2a"}</definedName>
    <definedName name="wrn.M2a._.Cashflow." localSheetId="5" hidden="1">{"M2aPrint",#N/A,FALSE,"M2a"}</definedName>
    <definedName name="wrn.M2a._.Cashflow." localSheetId="8" hidden="1">{"M2aPrint",#N/A,FALSE,"M2a"}</definedName>
    <definedName name="wrn.M2a._.Cashflow." localSheetId="2" hidden="1">{"M2aPrint",#N/A,FALSE,"M2a"}</definedName>
    <definedName name="wrn.M2a._.Cashflow." hidden="1">{"M2aPrint",#N/A,FALSE,"M2a"}</definedName>
    <definedName name="wrn.M4._.Inventories." localSheetId="1" hidden="1">{"M4Print",#N/A,FALSE,"M4"}</definedName>
    <definedName name="wrn.M4._.Inventories." localSheetId="4" hidden="1">{"M4Print",#N/A,FALSE,"M4"}</definedName>
    <definedName name="wrn.M4._.Inventories." localSheetId="5" hidden="1">{"M4Print",#N/A,FALSE,"M4"}</definedName>
    <definedName name="wrn.M4._.Inventories." localSheetId="8" hidden="1">{"M4Print",#N/A,FALSE,"M4"}</definedName>
    <definedName name="wrn.M4._.Inventories." localSheetId="2" hidden="1">{"M4Print",#N/A,FALSE,"M4"}</definedName>
    <definedName name="wrn.M4._.Inventories." hidden="1">{"M4Print",#N/A,FALSE,"M4"}</definedName>
    <definedName name="wrn.M5._.Flash._.and._.Forecast." localSheetId="1" hidden="1">{"M5Print",#N/A,FALSE,"M5"}</definedName>
    <definedName name="wrn.M5._.Flash._.and._.Forecast." localSheetId="4" hidden="1">{"M5Print",#N/A,FALSE,"M5"}</definedName>
    <definedName name="wrn.M5._.Flash._.and._.Forecast." localSheetId="5" hidden="1">{"M5Print",#N/A,FALSE,"M5"}</definedName>
    <definedName name="wrn.M5._.Flash._.and._.Forecast." localSheetId="8" hidden="1">{"M5Print",#N/A,FALSE,"M5"}</definedName>
    <definedName name="wrn.M5._.Flash._.and._.Forecast." localSheetId="2" hidden="1">{"M5Print",#N/A,FALSE,"M5"}</definedName>
    <definedName name="wrn.M5._.Flash._.and._.Forecast." hidden="1">{"M5Print",#N/A,FALSE,"M5"}</definedName>
    <definedName name="wrn.M6._.Management._.Summary." localSheetId="1" hidden="1">{"M6Print",#N/A,FALSE,"M6";"M6_1Print",#N/A,FALSE,"M6_1";"M6_2Print",#N/A,FALSE,"M6_2"}</definedName>
    <definedName name="wrn.M6._.Management._.Summary." localSheetId="4" hidden="1">{"M6Print",#N/A,FALSE,"M6";"M6_1Print",#N/A,FALSE,"M6_1";"M6_2Print",#N/A,FALSE,"M6_2"}</definedName>
    <definedName name="wrn.M6._.Management._.Summary." localSheetId="5" hidden="1">{"M6Print",#N/A,FALSE,"M6";"M6_1Print",#N/A,FALSE,"M6_1";"M6_2Print",#N/A,FALSE,"M6_2"}</definedName>
    <definedName name="wrn.M6._.Management._.Summary." localSheetId="8" hidden="1">{"M6Print",#N/A,FALSE,"M6";"M6_1Print",#N/A,FALSE,"M6_1";"M6_2Print",#N/A,FALSE,"M6_2"}</definedName>
    <definedName name="wrn.M6._.Management._.Summary." localSheetId="2" hidden="1">{"M6Print",#N/A,FALSE,"M6";"M6_1Print",#N/A,FALSE,"M6_1";"M6_2Print",#N/A,FALSE,"M6_2"}</definedName>
    <definedName name="wrn.M6._.Management._.Summary." hidden="1">{"M6Print",#N/A,FALSE,"M6";"M6_1Print",#N/A,FALSE,"M6_1";"M6_2Print",#N/A,FALSE,"M6_2"}</definedName>
    <definedName name="wrn.M7._.Financial._.Controllers._.report." localSheetId="1" hidden="1">{"M7_1Print",#N/A,TRUE,"M7_1";"M7_2Print",#N/A,TRUE,"M7_2"}</definedName>
    <definedName name="wrn.M7._.Financial._.Controllers._.report." localSheetId="4" hidden="1">{"M7_1Print",#N/A,TRUE,"M7_1";"M7_2Print",#N/A,TRUE,"M7_2"}</definedName>
    <definedName name="wrn.M7._.Financial._.Controllers._.report." localSheetId="5" hidden="1">{"M7_1Print",#N/A,TRUE,"M7_1";"M7_2Print",#N/A,TRUE,"M7_2"}</definedName>
    <definedName name="wrn.M7._.Financial._.Controllers._.report." localSheetId="8" hidden="1">{"M7_1Print",#N/A,TRUE,"M7_1";"M7_2Print",#N/A,TRUE,"M7_2"}</definedName>
    <definedName name="wrn.M7._.Financial._.Controllers._.report." localSheetId="2" hidden="1">{"M7_1Print",#N/A,TRUE,"M7_1";"M7_2Print",#N/A,TRUE,"M7_2"}</definedName>
    <definedName name="wrn.M7._.Financial._.Controllers._.report." hidden="1">{"M7_1Print",#N/A,TRUE,"M7_1";"M7_2Print",#N/A,TRUE,"M7_2"}</definedName>
    <definedName name="wrn.ytd." localSheetId="1" hidden="1">{#N/A,#N/A,FALSE,"YTD"}</definedName>
    <definedName name="wrn.ytd." hidden="1">{#N/A,#N/A,FALSE,"YTD"}</definedName>
    <definedName name="wrnn.all." localSheetId="1" hidden="1">{#N/A,#N/A,FALSE,"SUM";#N/A,#N/A,FALSE,"SK_TOT";#N/A,#N/A,FALSE,"YM";#N/A,#N/A,FALSE,"TSMC";#N/A,#N/A,FALSE,"ICW";#N/A,#N/A,FALSE,"Sheet1"}</definedName>
    <definedName name="wrnn.all." localSheetId="4" hidden="1">{#N/A,#N/A,FALSE,"SUM";#N/A,#N/A,FALSE,"SK_TOT";#N/A,#N/A,FALSE,"YM";#N/A,#N/A,FALSE,"TSMC";#N/A,#N/A,FALSE,"ICW";#N/A,#N/A,FALSE,"Sheet1"}</definedName>
    <definedName name="wrnn.all." localSheetId="5" hidden="1">{#N/A,#N/A,FALSE,"SUM";#N/A,#N/A,FALSE,"SK_TOT";#N/A,#N/A,FALSE,"YM";#N/A,#N/A,FALSE,"TSMC";#N/A,#N/A,FALSE,"ICW";#N/A,#N/A,FALSE,"Sheet1"}</definedName>
    <definedName name="wrnn.all." localSheetId="8" hidden="1">{#N/A,#N/A,FALSE,"SUM";#N/A,#N/A,FALSE,"SK_TOT";#N/A,#N/A,FALSE,"YM";#N/A,#N/A,FALSE,"TSMC";#N/A,#N/A,FALSE,"ICW";#N/A,#N/A,FALSE,"Sheet1"}</definedName>
    <definedName name="wrnn.all." localSheetId="2"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localSheetId="8" hidden="1">#REF!</definedName>
    <definedName name="XREF_COLUMN_10" localSheetId="2" hidden="1">#REF!</definedName>
    <definedName name="XREF_COLUMN_10" hidden="1">#REF!</definedName>
    <definedName name="XREF_COLUMN_11" localSheetId="8" hidden="1">#REF!</definedName>
    <definedName name="XREF_COLUMN_11" localSheetId="2" hidden="1">#REF!</definedName>
    <definedName name="XREF_COLUMN_11" hidden="1">#REF!</definedName>
    <definedName name="XREF_COLUMN_12" localSheetId="2" hidden="1">#REF!</definedName>
    <definedName name="XREF_COLUMN_12" hidden="1">#REF!</definedName>
    <definedName name="XREF_COLUMN_19" localSheetId="8" hidden="1">#REF!</definedName>
    <definedName name="XREF_COLUMN_19" localSheetId="2" hidden="1">#REF!</definedName>
    <definedName name="XREF_COLUMN_19" hidden="1">#REF!</definedName>
    <definedName name="XREF_COLUMN_2" localSheetId="8" hidden="1">#REF!</definedName>
    <definedName name="XREF_COLUMN_2" localSheetId="2" hidden="1">#REF!</definedName>
    <definedName name="XREF_COLUMN_2" hidden="1">#REF!</definedName>
    <definedName name="XREF_COLUMN_20" localSheetId="8" hidden="1">#REF!</definedName>
    <definedName name="XREF_COLUMN_20" localSheetId="2" hidden="1">#REF!</definedName>
    <definedName name="XREF_COLUMN_20" hidden="1">#REF!</definedName>
    <definedName name="XREF_COLUMN_21" localSheetId="8" hidden="1">#REF!</definedName>
    <definedName name="XREF_COLUMN_21" localSheetId="2" hidden="1">#REF!</definedName>
    <definedName name="XREF_COLUMN_21" hidden="1">#REF!</definedName>
    <definedName name="XREF_COLUMN_3" localSheetId="8" hidden="1">#REF!</definedName>
    <definedName name="XREF_COLUMN_3" localSheetId="2" hidden="1">#REF!</definedName>
    <definedName name="XREF_COLUMN_3" hidden="1">#REF!</definedName>
    <definedName name="XREF_COLUMN_4" localSheetId="8" hidden="1">#REF!</definedName>
    <definedName name="XREF_COLUMN_4" localSheetId="2" hidden="1">#REF!</definedName>
    <definedName name="XREF_COLUMN_4" hidden="1">#REF!</definedName>
    <definedName name="XREF_COLUMN_5" localSheetId="8" hidden="1">#REF!</definedName>
    <definedName name="XREF_COLUMN_5" localSheetId="2" hidden="1">#REF!</definedName>
    <definedName name="XREF_COLUMN_5" hidden="1">#REF!</definedName>
    <definedName name="XREF_COLUMN_6" localSheetId="2" hidden="1">#REF!</definedName>
    <definedName name="XREF_COLUMN_6" hidden="1">#REF!</definedName>
    <definedName name="XREF_COLUMN_7" localSheetId="2" hidden="1">#REF!</definedName>
    <definedName name="XREF_COLUMN_7" hidden="1">#REF!</definedName>
    <definedName name="XRefActiveRow" localSheetId="8" hidden="1">#REF!</definedName>
    <definedName name="XRefActiveRow" localSheetId="2" hidden="1">#REF!</definedName>
    <definedName name="XRefActiveRow" hidden="1">#REF!</definedName>
    <definedName name="XRefColumnsCount" hidden="1">2</definedName>
    <definedName name="XRefCopy1" localSheetId="8" hidden="1">#REF!</definedName>
    <definedName name="XRefCopy1" localSheetId="2" hidden="1">#REF!</definedName>
    <definedName name="XRefCopy1" hidden="1">#REF!</definedName>
    <definedName name="XRefCopy10" localSheetId="8" hidden="1">#REF!</definedName>
    <definedName name="XRefCopy10" localSheetId="2" hidden="1">#REF!</definedName>
    <definedName name="XRefCopy10" hidden="1">#REF!</definedName>
    <definedName name="XRefCopy10Row" localSheetId="8" hidden="1">#REF!</definedName>
    <definedName name="XRefCopy10Row" hidden="1">#REF!</definedName>
    <definedName name="XRefCopy11" localSheetId="8" hidden="1">#REF!</definedName>
    <definedName name="XRefCopy11" hidden="1">#REF!</definedName>
    <definedName name="XRefCopy11Row" localSheetId="8" hidden="1">#REF!</definedName>
    <definedName name="XRefCopy11Row" localSheetId="2" hidden="1">#REF!</definedName>
    <definedName name="XRefCopy11Row" hidden="1">#REF!</definedName>
    <definedName name="XRefCopy12" localSheetId="8" hidden="1">#REF!</definedName>
    <definedName name="XRefCopy12" localSheetId="2" hidden="1">#REF!</definedName>
    <definedName name="XRefCopy12" hidden="1">#REF!</definedName>
    <definedName name="XRefCopy13" localSheetId="8" hidden="1">#REF!</definedName>
    <definedName name="XRefCopy13" localSheetId="2" hidden="1">#REF!</definedName>
    <definedName name="XRefCopy13" hidden="1">#REF!</definedName>
    <definedName name="XRefCopy13Row" localSheetId="8" hidden="1">#REF!</definedName>
    <definedName name="XRefCopy13Row" localSheetId="2" hidden="1">#REF!</definedName>
    <definedName name="XRefCopy13Row" hidden="1">#REF!</definedName>
    <definedName name="XRefCopy14" localSheetId="8" hidden="1">#REF!</definedName>
    <definedName name="XRefCopy14" localSheetId="2" hidden="1">#REF!</definedName>
    <definedName name="XRefCopy14" hidden="1">#REF!</definedName>
    <definedName name="XRefCopy15" localSheetId="8" hidden="1">#REF!</definedName>
    <definedName name="XRefCopy15" localSheetId="2" hidden="1">#REF!</definedName>
    <definedName name="XRefCopy15" hidden="1">#REF!</definedName>
    <definedName name="XRefCopy16Row" localSheetId="8" hidden="1">#REF!</definedName>
    <definedName name="XRefCopy16Row" localSheetId="2" hidden="1">#REF!</definedName>
    <definedName name="XRefCopy16Row" hidden="1">#REF!</definedName>
    <definedName name="XRefCopy1Row" localSheetId="8" hidden="1">#REF!</definedName>
    <definedName name="XRefCopy1Row" localSheetId="2" hidden="1">#REF!</definedName>
    <definedName name="XRefCopy1Row" hidden="1">#REF!</definedName>
    <definedName name="XRefCopy2" localSheetId="8" hidden="1">#REF!</definedName>
    <definedName name="XRefCopy2" localSheetId="2" hidden="1">#REF!</definedName>
    <definedName name="XRefCopy2" hidden="1">#REF!</definedName>
    <definedName name="XRefCopy2Row" localSheetId="8" hidden="1">#REF!</definedName>
    <definedName name="XRefCopy2Row" localSheetId="2" hidden="1">#REF!</definedName>
    <definedName name="XRefCopy2Row" hidden="1">#REF!</definedName>
    <definedName name="XRefCopy3" localSheetId="8" hidden="1">#REF!</definedName>
    <definedName name="XRefCopy3" hidden="1">#REF!</definedName>
    <definedName name="XRefCopy3Row" localSheetId="8" hidden="1">#REF!</definedName>
    <definedName name="XRefCopy3Row" hidden="1">#REF!</definedName>
    <definedName name="XRefCopy4" localSheetId="8" hidden="1">#REF!</definedName>
    <definedName name="XRefCopy4" hidden="1">#REF!</definedName>
    <definedName name="XRefCopy46" localSheetId="8" hidden="1">#REF!</definedName>
    <definedName name="XRefCopy46" hidden="1">#REF!</definedName>
    <definedName name="XRefCopy47" localSheetId="8" hidden="1">#REF!</definedName>
    <definedName name="XRefCopy47" hidden="1">#REF!</definedName>
    <definedName name="XRefCopy47Row" localSheetId="8" hidden="1">#REF!</definedName>
    <definedName name="XRefCopy47Row" hidden="1">#REF!</definedName>
    <definedName name="XRefCopy48" localSheetId="8" hidden="1">#REF!</definedName>
    <definedName name="XRefCopy48" hidden="1">#REF!</definedName>
    <definedName name="XRefCopy48Row" localSheetId="8" hidden="1">#REF!</definedName>
    <definedName name="XRefCopy48Row" hidden="1">#REF!</definedName>
    <definedName name="XRefCopy49" localSheetId="8" hidden="1">#REF!</definedName>
    <definedName name="XRefCopy49" hidden="1">#REF!</definedName>
    <definedName name="XRefCopy49Row" localSheetId="8" hidden="1">#REF!</definedName>
    <definedName name="XRefCopy49Row" hidden="1">#REF!</definedName>
    <definedName name="XRefCopy4Row" localSheetId="8" hidden="1">#REF!</definedName>
    <definedName name="XRefCopy4Row" hidden="1">#REF!</definedName>
    <definedName name="XRefCopy5" localSheetId="8" hidden="1">#REF!</definedName>
    <definedName name="XRefCopy5" hidden="1">#REF!</definedName>
    <definedName name="XRefCopy50" localSheetId="8" hidden="1">#REF!</definedName>
    <definedName name="XRefCopy50" hidden="1">#REF!</definedName>
    <definedName name="XRefCopy50Row" localSheetId="8" hidden="1">#REF!</definedName>
    <definedName name="XRefCopy50Row" hidden="1">#REF!</definedName>
    <definedName name="XRefCopy51" localSheetId="8" hidden="1">#REF!</definedName>
    <definedName name="XRefCopy51" hidden="1">#REF!</definedName>
    <definedName name="XRefCopy52" localSheetId="8" hidden="1">#REF!</definedName>
    <definedName name="XRefCopy52" hidden="1">#REF!</definedName>
    <definedName name="XRefCopy52Row" localSheetId="8" hidden="1">#REF!</definedName>
    <definedName name="XRefCopy52Row" hidden="1">#REF!</definedName>
    <definedName name="XRefCopy53" localSheetId="8" hidden="1">#REF!</definedName>
    <definedName name="XRefCopy53" hidden="1">#REF!</definedName>
    <definedName name="XRefCopy53Row" localSheetId="8" hidden="1">#REF!</definedName>
    <definedName name="XRefCopy53Row" hidden="1">#REF!</definedName>
    <definedName name="XRefCopy54" localSheetId="8" hidden="1">#REF!</definedName>
    <definedName name="XRefCopy54" hidden="1">#REF!</definedName>
    <definedName name="XRefCopy54Row" localSheetId="8" hidden="1">#REF!</definedName>
    <definedName name="XRefCopy54Row" hidden="1">#REF!</definedName>
    <definedName name="XRefCopy55" localSheetId="8" hidden="1">#REF!</definedName>
    <definedName name="XRefCopy55" hidden="1">#REF!</definedName>
    <definedName name="XRefCopy55Row" localSheetId="8" hidden="1">#REF!</definedName>
    <definedName name="XRefCopy55Row" hidden="1">#REF!</definedName>
    <definedName name="XRefCopy56" localSheetId="8" hidden="1">#REF!</definedName>
    <definedName name="XRefCopy56" hidden="1">#REF!</definedName>
    <definedName name="XRefCopy56Row" localSheetId="8" hidden="1">#REF!</definedName>
    <definedName name="XRefCopy56Row" hidden="1">#REF!</definedName>
    <definedName name="XRefCopy57" localSheetId="8" hidden="1">#REF!</definedName>
    <definedName name="XRefCopy57" hidden="1">#REF!</definedName>
    <definedName name="XRefCopy57Row" localSheetId="8" hidden="1">#REF!</definedName>
    <definedName name="XRefCopy57Row" hidden="1">#REF!</definedName>
    <definedName name="XRefCopy5Row" localSheetId="8" hidden="1">#REF!</definedName>
    <definedName name="XRefCopy5Row" hidden="1">#REF!</definedName>
    <definedName name="XRefCopy6" localSheetId="8" hidden="1">#REF!</definedName>
    <definedName name="XRefCopy6" hidden="1">#REF!</definedName>
    <definedName name="XRefCopy6Row" localSheetId="8" hidden="1">#REF!</definedName>
    <definedName name="XRefCopy6Row" hidden="1">#REF!</definedName>
    <definedName name="XRefCopy7" localSheetId="8" hidden="1">#REF!</definedName>
    <definedName name="XRefCopy7" hidden="1">#REF!</definedName>
    <definedName name="XRefCopy7Row" localSheetId="8" hidden="1">#REF!</definedName>
    <definedName name="XRefCopy7Row" hidden="1">#REF!</definedName>
    <definedName name="XRefCopy8" localSheetId="8" hidden="1">#REF!</definedName>
    <definedName name="XRefCopy8" hidden="1">#REF!</definedName>
    <definedName name="XRefCopy8Row" localSheetId="8" hidden="1">#REF!</definedName>
    <definedName name="XRefCopy8Row" hidden="1">#REF!</definedName>
    <definedName name="XRefCopy9" localSheetId="8" hidden="1">#REF!</definedName>
    <definedName name="XRefCopy9" hidden="1">#REF!</definedName>
    <definedName name="XRefCopy9Row" localSheetId="8" hidden="1">#REF!</definedName>
    <definedName name="XRefCopy9Row" hidden="1">#REF!</definedName>
    <definedName name="XRefCopyRangeCount" hidden="1">3</definedName>
    <definedName name="XRefPaste1" localSheetId="8" hidden="1">#REF!</definedName>
    <definedName name="XRefPaste1" hidden="1">#REF!</definedName>
    <definedName name="XRefPaste10" localSheetId="8" hidden="1">#REF!</definedName>
    <definedName name="XRefPaste10" hidden="1">#REF!</definedName>
    <definedName name="XRefPaste11" localSheetId="8" hidden="1">#REF!</definedName>
    <definedName name="XRefPaste11" hidden="1">#REF!</definedName>
    <definedName name="XRefPaste1Row" localSheetId="8" hidden="1">#REF!</definedName>
    <definedName name="XRefPaste1Row" hidden="1">#REF!</definedName>
    <definedName name="XRefPaste2" localSheetId="8" hidden="1">#REF!</definedName>
    <definedName name="XRefPaste2" hidden="1">#REF!</definedName>
    <definedName name="XRefPaste24" localSheetId="8" hidden="1">#REF!</definedName>
    <definedName name="XRefPaste24" localSheetId="2" hidden="1">#REF!</definedName>
    <definedName name="XRefPaste24" hidden="1">#REF!</definedName>
    <definedName name="XRefPaste24Row" localSheetId="8" hidden="1">#REF!</definedName>
    <definedName name="XRefPaste24Row" localSheetId="2" hidden="1">#REF!</definedName>
    <definedName name="XRefPaste24Row" hidden="1">#REF!</definedName>
    <definedName name="XRefPaste25" localSheetId="8" hidden="1">#REF!</definedName>
    <definedName name="XRefPaste25" localSheetId="2" hidden="1">#REF!</definedName>
    <definedName name="XRefPaste25" hidden="1">#REF!</definedName>
    <definedName name="XRefPaste25Row" localSheetId="8" hidden="1">#REF!</definedName>
    <definedName name="XRefPaste25Row" hidden="1">#REF!</definedName>
    <definedName name="XRefPaste26" localSheetId="8" hidden="1">#REF!</definedName>
    <definedName name="XRefPaste26" hidden="1">#REF!</definedName>
    <definedName name="XRefPaste26Row" localSheetId="8" hidden="1">#REF!</definedName>
    <definedName name="XRefPaste26Row" hidden="1">#REF!</definedName>
    <definedName name="XRefPaste27" localSheetId="8" hidden="1">#REF!</definedName>
    <definedName name="XRefPaste27" hidden="1">#REF!</definedName>
    <definedName name="XRefPaste27Row" localSheetId="8" hidden="1">#REF!</definedName>
    <definedName name="XRefPaste27Row" hidden="1">#REF!</definedName>
    <definedName name="XRefPaste28" localSheetId="8" hidden="1">#REF!</definedName>
    <definedName name="XRefPaste28" hidden="1">#REF!</definedName>
    <definedName name="XRefPaste28Row" localSheetId="8" hidden="1">#REF!</definedName>
    <definedName name="XRefPaste28Row" hidden="1">#REF!</definedName>
    <definedName name="XRefPaste29" localSheetId="8" hidden="1">#REF!</definedName>
    <definedName name="XRefPaste29" hidden="1">#REF!</definedName>
    <definedName name="XRefPaste29Row" localSheetId="8" hidden="1">#REF!</definedName>
    <definedName name="XRefPaste29Row" hidden="1">#REF!</definedName>
    <definedName name="XRefPaste2Row" localSheetId="8" hidden="1">#REF!</definedName>
    <definedName name="XRefPaste2Row" hidden="1">#REF!</definedName>
    <definedName name="XRefPaste3" localSheetId="8" hidden="1">#REF!</definedName>
    <definedName name="XRefPaste3" localSheetId="2" hidden="1">#REF!</definedName>
    <definedName name="XRefPaste3" hidden="1">#REF!</definedName>
    <definedName name="XRefPaste3Row" localSheetId="8" hidden="1">#REF!</definedName>
    <definedName name="XRefPaste3Row" localSheetId="2" hidden="1">#REF!</definedName>
    <definedName name="XRefPaste3Row" hidden="1">#REF!</definedName>
    <definedName name="XRefPaste4" localSheetId="8" hidden="1">#REF!</definedName>
    <definedName name="XRefPaste4" localSheetId="2" hidden="1">#REF!</definedName>
    <definedName name="XRefPaste4" hidden="1">#REF!</definedName>
    <definedName name="XRefPaste4Row" localSheetId="8" hidden="1">#REF!</definedName>
    <definedName name="XRefPaste4Row" hidden="1">#REF!</definedName>
    <definedName name="XRefPaste5" localSheetId="8" hidden="1">#REF!</definedName>
    <definedName name="XRefPaste5" hidden="1">#REF!</definedName>
    <definedName name="XRefPaste6" localSheetId="8" hidden="1">#REF!</definedName>
    <definedName name="XRefPaste6" hidden="1">#REF!</definedName>
    <definedName name="XRefPaste6Row" localSheetId="8" hidden="1">#REF!</definedName>
    <definedName name="XRefPaste6Row" hidden="1">#REF!</definedName>
    <definedName name="XRefPaste7" localSheetId="8" hidden="1">#REF!</definedName>
    <definedName name="XRefPaste7" localSheetId="2" hidden="1">#REF!</definedName>
    <definedName name="XRefPaste7" hidden="1">#REF!</definedName>
    <definedName name="XRefPaste8" localSheetId="8" hidden="1">#REF!</definedName>
    <definedName name="XRefPaste8" localSheetId="2" hidden="1">#REF!</definedName>
    <definedName name="XRefPaste8" hidden="1">#REF!</definedName>
    <definedName name="XRefPaste9" localSheetId="8" hidden="1">#REF!</definedName>
    <definedName name="XRefPaste9" localSheetId="2" hidden="1">#REF!</definedName>
    <definedName name="XRefPaste9" hidden="1">#REF!</definedName>
    <definedName name="XRefPasteRangeCount" hidden="1">1</definedName>
    <definedName name="xzxsfd" localSheetId="1" hidden="1">{"M1Print",#N/A,FALSE,"M1"}</definedName>
    <definedName name="xzxsfd" localSheetId="4" hidden="1">{"M1Print",#N/A,FALSE,"M1"}</definedName>
    <definedName name="xzxsfd" localSheetId="5" hidden="1">{"M1Print",#N/A,FALSE,"M1"}</definedName>
    <definedName name="xzxsfd" localSheetId="8" hidden="1">{"M1Print",#N/A,FALSE,"M1"}</definedName>
    <definedName name="xzxsfd" localSheetId="2" hidden="1">{"M1Print",#N/A,FALSE,"M1"}</definedName>
    <definedName name="xzxsfd" hidden="1">{"M1Print",#N/A,FALSE,"M1"}</definedName>
    <definedName name="Z_1711050D_B2D8_42FB_A40D_E4BD90297684_.wvu.Cols" hidden="1">#REF!,#REF!,#REF!,#REF!,#REF!</definedName>
    <definedName name="Z_E738B51C_56AE_4F9F_8D8A_36AD6137B90D_.wvu.Cols" localSheetId="8" hidden="1">#REF!</definedName>
    <definedName name="Z_E738B51C_56AE_4F9F_8D8A_36AD6137B90D_.wvu.Cols" hidden="1">#REF!</definedName>
    <definedName name="Z_E738B51C_56AE_4F9F_8D8A_36AD6137B90D_.wvu.PrintArea" localSheetId="8" hidden="1">#REF!</definedName>
    <definedName name="Z_E738B51C_56AE_4F9F_8D8A_36AD6137B90D_.wvu.PrintArea" hidden="1">#REF!</definedName>
    <definedName name="Z_E738B51C_56AE_4F9F_8D8A_36AD6137B90D_.wvu.PrintTitles" localSheetId="4" hidden="1">#REF!,#REF!</definedName>
    <definedName name="Z_E738B51C_56AE_4F9F_8D8A_36AD6137B90D_.wvu.PrintTitles" localSheetId="5" hidden="1">#REF!,#REF!</definedName>
    <definedName name="Z_E738B51C_56AE_4F9F_8D8A_36AD6137B90D_.wvu.PrintTitles" localSheetId="8" hidden="1">#REF!,#REF!</definedName>
    <definedName name="Z_E738B51C_56AE_4F9F_8D8A_36AD6137B90D_.wvu.PrintTitles" hidden="1">#REF!,#REF!</definedName>
    <definedName name="Z_E738B51C_56AE_4F9F_8D8A_36AD6137B90D_.wvu.Rows" localSheetId="8" hidden="1">#REF!</definedName>
    <definedName name="Z_E738B51C_56AE_4F9F_8D8A_36AD6137B90D_.wvu.Rows" hidden="1">#REF!</definedName>
    <definedName name="苛" localSheetId="1" hidden="1">{"M1sPrint",#N/A,FALSE,"M1s"}</definedName>
    <definedName name="苛" localSheetId="4" hidden="1">{"M1sPrint",#N/A,FALSE,"M1s"}</definedName>
    <definedName name="苛" localSheetId="5" hidden="1">{"M1sPrint",#N/A,FALSE,"M1s"}</definedName>
    <definedName name="苛" localSheetId="8" hidden="1">{"M1sPrint",#N/A,FALSE,"M1s"}</definedName>
    <definedName name="苛" localSheetId="2"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2" i="633" l="1"/>
  <c r="D111" i="633"/>
  <c r="O96" i="633"/>
  <c r="O95" i="633"/>
  <c r="O94" i="633"/>
  <c r="O93" i="633"/>
  <c r="O92" i="633"/>
  <c r="O91" i="633"/>
  <c r="O90" i="633"/>
  <c r="O89" i="633"/>
  <c r="O88" i="633"/>
  <c r="O87" i="633"/>
  <c r="O86" i="633"/>
  <c r="O85" i="633"/>
  <c r="O84" i="633"/>
  <c r="O83" i="633"/>
  <c r="O72" i="633"/>
  <c r="O71" i="633"/>
  <c r="O70" i="633"/>
  <c r="O69" i="633"/>
  <c r="O68" i="633"/>
  <c r="O67" i="633"/>
  <c r="O66" i="633"/>
  <c r="O65" i="633"/>
  <c r="O64" i="633"/>
  <c r="O63" i="633"/>
  <c r="O62" i="633"/>
  <c r="O61" i="633"/>
  <c r="O60" i="633"/>
  <c r="F45" i="633"/>
  <c r="E45" i="633"/>
  <c r="J40" i="633"/>
  <c r="I40" i="633"/>
  <c r="H40" i="633"/>
  <c r="G40" i="633"/>
  <c r="F40" i="633"/>
  <c r="E40" i="633"/>
  <c r="J38" i="633"/>
  <c r="I38" i="633"/>
  <c r="J37" i="633"/>
  <c r="I37" i="633"/>
  <c r="J36" i="633"/>
  <c r="I36" i="633"/>
  <c r="H31" i="633"/>
  <c r="G31" i="633"/>
  <c r="I29" i="633"/>
  <c r="I31" i="633" s="1"/>
  <c r="G45" i="633" s="1"/>
  <c r="H29" i="633"/>
  <c r="G29" i="633"/>
  <c r="I27" i="633"/>
  <c r="I26" i="633"/>
  <c r="I25" i="633"/>
  <c r="I24" i="633"/>
  <c r="I23" i="633"/>
  <c r="I22" i="633"/>
  <c r="I21" i="633"/>
  <c r="I20" i="633"/>
  <c r="I19" i="633"/>
  <c r="H15" i="633"/>
  <c r="G15" i="633"/>
  <c r="F15" i="633"/>
  <c r="H14" i="633"/>
  <c r="H13" i="633"/>
  <c r="H12" i="633"/>
  <c r="H11" i="633"/>
  <c r="D85" i="632"/>
  <c r="D84" i="632"/>
  <c r="O69" i="632"/>
  <c r="O68" i="632"/>
  <c r="O67" i="632"/>
  <c r="O66" i="632"/>
  <c r="O65" i="632"/>
  <c r="O64" i="632"/>
  <c r="O63" i="632"/>
  <c r="O62" i="632"/>
  <c r="O61" i="632"/>
  <c r="O60" i="632"/>
  <c r="O59" i="632"/>
  <c r="O58" i="632"/>
  <c r="O57" i="632"/>
  <c r="O56" i="632"/>
  <c r="F39" i="632"/>
  <c r="E39" i="632"/>
  <c r="G31" i="632"/>
  <c r="E44" i="632" s="1"/>
  <c r="G29" i="632"/>
  <c r="F15" i="632"/>
  <c r="B23" i="627" l="1"/>
  <c r="B23" i="622"/>
  <c r="D10" i="622"/>
  <c r="E10" i="625"/>
  <c r="D10" i="625"/>
  <c r="H20" i="614"/>
  <c r="E20" i="614"/>
  <c r="K35" i="627"/>
  <c r="F35" i="627"/>
  <c r="E35" i="627"/>
  <c r="K35" i="622"/>
  <c r="K38" i="622" s="1"/>
  <c r="I35" i="622"/>
  <c r="E35" i="622"/>
  <c r="F35" i="622"/>
  <c r="G31" i="622"/>
  <c r="D9" i="622"/>
  <c r="D8" i="622"/>
  <c r="G26" i="631"/>
  <c r="K38" i="627" l="1"/>
  <c r="E29" i="627"/>
  <c r="K29" i="627" s="1"/>
  <c r="E28" i="627"/>
  <c r="G31" i="627"/>
  <c r="J31" i="627" l="1"/>
  <c r="L31" i="627" s="1"/>
  <c r="M31" i="627" s="1"/>
  <c r="E28" i="622"/>
  <c r="E29" i="622"/>
  <c r="K29" i="622" s="1"/>
  <c r="D8" i="627"/>
  <c r="D9" i="627"/>
  <c r="D10" i="627"/>
  <c r="D11" i="627"/>
  <c r="D11" i="622"/>
  <c r="E8" i="627" l="1"/>
  <c r="C23" i="627" s="1"/>
  <c r="P31" i="627" s="1"/>
  <c r="E8" i="622"/>
  <c r="C23" i="622" s="1"/>
  <c r="J31" i="622"/>
  <c r="L31" i="622" l="1"/>
  <c r="E26" i="631"/>
  <c r="D26" i="631"/>
  <c r="F26" i="631" s="1"/>
  <c r="H26" i="631" s="1"/>
  <c r="G33" i="622"/>
  <c r="G32" i="622"/>
  <c r="G32" i="627"/>
  <c r="G33" i="627"/>
  <c r="D27" i="631"/>
  <c r="E27" i="631"/>
  <c r="I35" i="627"/>
  <c r="G27" i="631" s="1"/>
  <c r="M31" i="622" l="1"/>
  <c r="P31" i="622" s="1"/>
  <c r="F27" i="631"/>
  <c r="H27" i="631" s="1"/>
  <c r="J33" i="627"/>
  <c r="L33" i="627" s="1"/>
  <c r="J32" i="627"/>
  <c r="L32" i="627" s="1"/>
  <c r="G35" i="627"/>
  <c r="J32" i="622"/>
  <c r="L32" i="622" s="1"/>
  <c r="G35" i="622"/>
  <c r="I26" i="631"/>
  <c r="I27" i="631"/>
  <c r="J33" i="622"/>
  <c r="L33" i="622" s="1"/>
  <c r="M32" i="622" l="1"/>
  <c r="P32" i="622" s="1"/>
  <c r="M33" i="622"/>
  <c r="P33" i="622" s="1"/>
  <c r="M32" i="627"/>
  <c r="P32" i="627" s="1"/>
  <c r="M33" i="627"/>
  <c r="P33" i="627" s="1"/>
  <c r="J35" i="627"/>
  <c r="L35" i="627" s="1"/>
  <c r="H33" i="622"/>
  <c r="H31" i="622"/>
  <c r="H32" i="622"/>
  <c r="G38" i="622"/>
  <c r="J35" i="622"/>
  <c r="H33" i="627"/>
  <c r="H32" i="627"/>
  <c r="H31" i="627"/>
  <c r="G38" i="627"/>
  <c r="M35" i="627" l="1"/>
  <c r="P35" i="627" s="1"/>
  <c r="J38" i="627"/>
  <c r="H35" i="627"/>
  <c r="H35" i="622"/>
  <c r="L35" i="622"/>
  <c r="J38" i="622"/>
  <c r="R88" i="551"/>
  <c r="R87" i="551"/>
  <c r="R86" i="551"/>
  <c r="R85" i="551"/>
  <c r="R84" i="551"/>
  <c r="R83" i="551"/>
  <c r="R82" i="551"/>
  <c r="R81" i="551"/>
  <c r="M35" i="622" l="1"/>
  <c r="P35" i="622" s="1"/>
  <c r="R80" i="551"/>
  <c r="R79" i="551"/>
  <c r="R78" i="551"/>
  <c r="R77" i="551"/>
  <c r="R76" i="551"/>
  <c r="R75" i="551"/>
  <c r="R74" i="551"/>
  <c r="R73" i="551"/>
  <c r="R72" i="551"/>
  <c r="R71" i="551"/>
  <c r="R70" i="551"/>
  <c r="R69" i="551"/>
  <c r="R68" i="551"/>
  <c r="R67" i="551"/>
  <c r="R66" i="551"/>
  <c r="R65" i="551"/>
  <c r="R64" i="551"/>
  <c r="R63" i="551"/>
  <c r="R62" i="551"/>
  <c r="R61" i="551"/>
  <c r="R60" i="551"/>
  <c r="R59" i="551"/>
  <c r="R58" i="551"/>
  <c r="R57" i="551"/>
  <c r="R56" i="551"/>
  <c r="R55" i="551"/>
  <c r="R54" i="551"/>
  <c r="R53" i="551"/>
  <c r="R52" i="551"/>
  <c r="R51" i="551"/>
  <c r="R50" i="551"/>
  <c r="R49" i="551"/>
  <c r="R48" i="551"/>
  <c r="R47" i="551"/>
  <c r="R46" i="551"/>
  <c r="R45" i="551"/>
  <c r="R44" i="551"/>
  <c r="R43" i="551"/>
  <c r="R42" i="551"/>
  <c r="R41" i="551"/>
  <c r="R40" i="551"/>
  <c r="R39" i="551"/>
  <c r="R38" i="551"/>
  <c r="R37" i="551"/>
  <c r="R36" i="551"/>
  <c r="R35" i="551"/>
  <c r="R34" i="551"/>
  <c r="R33" i="551"/>
  <c r="R32" i="551"/>
  <c r="R31" i="551"/>
  <c r="R30" i="551"/>
  <c r="R29" i="551"/>
  <c r="R28" i="551"/>
  <c r="R27" i="551"/>
  <c r="R26" i="551"/>
  <c r="R25" i="551"/>
  <c r="R24" i="551"/>
  <c r="R23" i="551"/>
  <c r="R22" i="551"/>
  <c r="R21" i="551"/>
  <c r="R20" i="551"/>
  <c r="R19" i="551"/>
  <c r="R18" i="551"/>
  <c r="R17" i="551"/>
  <c r="R16" i="551"/>
  <c r="R15" i="551"/>
  <c r="F169" i="551"/>
  <c r="F168" i="551"/>
  <c r="F167" i="551"/>
  <c r="F166" i="551"/>
  <c r="F165" i="551"/>
  <c r="F164" i="551"/>
  <c r="F163" i="551"/>
  <c r="F162" i="551"/>
  <c r="F161" i="551"/>
  <c r="F160" i="551"/>
  <c r="F159" i="551" l="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F82" i="551"/>
  <c r="F81" i="551"/>
  <c r="F80" i="551"/>
  <c r="F79" i="551"/>
  <c r="F78" i="551"/>
  <c r="F77" i="551"/>
  <c r="F76" i="551"/>
  <c r="F75" i="551"/>
  <c r="F74" i="551"/>
  <c r="F73" i="551"/>
  <c r="F72" i="551"/>
  <c r="F71" i="551"/>
  <c r="F70" i="551"/>
  <c r="F69" i="551"/>
  <c r="F68" i="551"/>
  <c r="F67" i="551"/>
  <c r="F66" i="551"/>
  <c r="F65" i="551"/>
  <c r="F64" i="551"/>
  <c r="F63" i="551"/>
  <c r="F62" i="551"/>
  <c r="F61" i="551"/>
  <c r="F60" i="551"/>
  <c r="F59" i="551"/>
  <c r="F58" i="551"/>
  <c r="F57" i="551"/>
  <c r="F56" i="551"/>
  <c r="F55" i="551"/>
  <c r="F54" i="551"/>
  <c r="F53" i="551"/>
  <c r="F52" i="551"/>
  <c r="F51" i="551"/>
  <c r="F50" i="551"/>
  <c r="F49" i="551"/>
  <c r="F48" i="551"/>
  <c r="F47" i="551"/>
  <c r="F46" i="551"/>
  <c r="F45" i="551"/>
  <c r="F44" i="551"/>
  <c r="F43" i="551"/>
  <c r="F42" i="551"/>
  <c r="F41" i="551"/>
  <c r="F40" i="551"/>
  <c r="F39" i="551"/>
  <c r="F38" i="551"/>
  <c r="F37" i="551"/>
  <c r="F36" i="551"/>
  <c r="F35" i="551"/>
  <c r="F34" i="551"/>
  <c r="F33" i="551"/>
  <c r="F32" i="551"/>
  <c r="F31" i="551"/>
  <c r="F30" i="551"/>
  <c r="F29" i="551"/>
  <c r="F28" i="551"/>
  <c r="F27" i="551"/>
  <c r="F26" i="551"/>
  <c r="F25" i="551"/>
  <c r="F24" i="551"/>
  <c r="F23" i="551"/>
  <c r="F22" i="551"/>
  <c r="F21" i="551"/>
  <c r="F20" i="551"/>
  <c r="F19" i="551"/>
  <c r="F18" i="551"/>
  <c r="F17" i="551"/>
  <c r="F16" i="551"/>
  <c r="F15" i="551"/>
  <c r="F14" i="551"/>
  <c r="F13" i="551"/>
  <c r="F12" i="551"/>
  <c r="F11" i="551"/>
  <c r="F10" i="551"/>
</calcChain>
</file>

<file path=xl/sharedStrings.xml><?xml version="1.0" encoding="utf-8"?>
<sst xmlns="http://schemas.openxmlformats.org/spreadsheetml/2006/main" count="961" uniqueCount="680">
  <si>
    <t xml:space="preserve">V6 SWP </t>
  </si>
  <si>
    <t>VC&amp;VD.00</t>
    <phoneticPr fontId="103" type="noConversion"/>
  </si>
  <si>
    <r>
      <t xml:space="preserve">VC&amp;VD.00 Lead </t>
    </r>
    <r>
      <rPr>
        <b/>
        <sz val="10"/>
        <color rgb="FF000000"/>
        <rFont val="宋体"/>
        <family val="2"/>
        <charset val="134"/>
      </rPr>
      <t>（认定：</t>
    </r>
    <r>
      <rPr>
        <b/>
        <sz val="10"/>
        <color rgb="FF000000"/>
        <rFont val="Arial"/>
        <family val="2"/>
      </rPr>
      <t>O</t>
    </r>
    <r>
      <rPr>
        <b/>
        <sz val="10"/>
        <color rgb="FF000000"/>
        <rFont val="等线"/>
        <family val="2"/>
        <charset val="134"/>
      </rPr>
      <t>、</t>
    </r>
    <r>
      <rPr>
        <b/>
        <sz val="10"/>
        <color rgb="FF000000"/>
        <rFont val="Arial"/>
        <family val="2"/>
      </rPr>
      <t>M</t>
    </r>
    <r>
      <rPr>
        <b/>
        <sz val="10"/>
        <color rgb="FF000000"/>
        <rFont val="等线"/>
        <family val="2"/>
        <charset val="134"/>
      </rPr>
      <t>、</t>
    </r>
    <r>
      <rPr>
        <b/>
        <sz val="10"/>
        <color rgb="FF000000"/>
        <rFont val="Arial"/>
        <family val="2"/>
      </rPr>
      <t>C</t>
    </r>
    <r>
      <rPr>
        <b/>
        <sz val="10"/>
        <color rgb="FF000000"/>
        <rFont val="等线"/>
        <family val="2"/>
        <charset val="134"/>
      </rPr>
      <t>、</t>
    </r>
    <r>
      <rPr>
        <b/>
        <sz val="10"/>
        <color rgb="FF000000"/>
        <rFont val="Arial"/>
        <family val="2"/>
      </rPr>
      <t>P&amp;D</t>
    </r>
    <r>
      <rPr>
        <b/>
        <sz val="10"/>
        <color rgb="FF000000"/>
        <rFont val="宋体"/>
        <family val="2"/>
        <charset val="134"/>
      </rPr>
      <t>）</t>
    </r>
    <phoneticPr fontId="103" type="noConversion"/>
  </si>
  <si>
    <r>
      <rPr>
        <b/>
        <sz val="10"/>
        <rFont val="微软雅黑"/>
        <family val="2"/>
        <charset val="134"/>
      </rPr>
      <t>程序页</t>
    </r>
    <phoneticPr fontId="103" type="noConversion"/>
  </si>
  <si>
    <r>
      <rPr>
        <b/>
        <sz val="10"/>
        <rFont val="微软雅黑"/>
        <family val="2"/>
        <charset val="134"/>
      </rPr>
      <t>执行</t>
    </r>
  </si>
  <si>
    <r>
      <rPr>
        <b/>
        <sz val="10"/>
        <rFont val="微软雅黑"/>
        <family val="2"/>
        <charset val="134"/>
      </rPr>
      <t>不执行的原因</t>
    </r>
    <phoneticPr fontId="103" type="noConversion"/>
  </si>
  <si>
    <r>
      <rPr>
        <sz val="10"/>
        <rFont val="微软雅黑"/>
        <family val="2"/>
        <charset val="134"/>
      </rPr>
      <t>我们获取或编制了销售费用</t>
    </r>
    <r>
      <rPr>
        <sz val="10"/>
        <rFont val="Arial"/>
        <family val="2"/>
      </rPr>
      <t>/</t>
    </r>
    <r>
      <rPr>
        <sz val="10"/>
        <rFont val="微软雅黑"/>
        <family val="2"/>
        <charset val="134"/>
      </rPr>
      <t>管理费用重大账户的引导表，将本期金额与试算表核对一致，并将上期金额与最终的前期试算表核对一致（如适用）。</t>
    </r>
  </si>
  <si>
    <t>Uexp.00 Lead</t>
    <phoneticPr fontId="99" type="noConversion"/>
  </si>
  <si>
    <t>VC&amp;VD.00 BKD（认定：O、M、C、P&amp;D）</t>
  </si>
  <si>
    <r>
      <rPr>
        <sz val="10"/>
        <color rgb="FF000000"/>
        <rFont val="微软雅黑"/>
        <family val="2"/>
        <charset val="134"/>
      </rPr>
      <t>我们记录了我们对期间内账户波动的预期以及做出这些预期的基础和理由。</t>
    </r>
    <r>
      <rPr>
        <sz val="10"/>
        <color rgb="FF000000"/>
        <rFont val="Arial"/>
        <family val="2"/>
      </rPr>
      <t xml:space="preserve"> </t>
    </r>
    <r>
      <rPr>
        <sz val="10"/>
        <color rgb="FF000000"/>
        <rFont val="微软雅黑"/>
        <family val="2"/>
        <charset val="134"/>
      </rPr>
      <t>对比当期金额和上期金额，调查变动大于范围或与预期不符的变动情况。并就异常事项检查记账凭证、合同等支持性证据，评估其发生的合理性。</t>
    </r>
  </si>
  <si>
    <r>
      <t xml:space="preserve">VC.00 </t>
    </r>
    <r>
      <rPr>
        <b/>
        <u/>
        <sz val="10"/>
        <color theme="4"/>
        <rFont val="微软雅黑"/>
        <family val="2"/>
        <charset val="134"/>
      </rPr>
      <t>销售费用</t>
    </r>
    <r>
      <rPr>
        <b/>
        <u/>
        <sz val="10"/>
        <color theme="4"/>
        <rFont val="Arial"/>
        <family val="2"/>
      </rPr>
      <t>BKD</t>
    </r>
  </si>
  <si>
    <r>
      <t xml:space="preserve">VD.00 </t>
    </r>
    <r>
      <rPr>
        <b/>
        <u/>
        <sz val="10"/>
        <color theme="4"/>
        <rFont val="微软雅黑"/>
        <family val="2"/>
        <charset val="134"/>
      </rPr>
      <t>管理费用</t>
    </r>
    <r>
      <rPr>
        <b/>
        <u/>
        <sz val="10"/>
        <color theme="4"/>
        <rFont val="Arial"/>
        <family val="2"/>
      </rPr>
      <t>BKD</t>
    </r>
  </si>
  <si>
    <t>VC&amp;VD.01.1</t>
    <phoneticPr fontId="103" type="noConversion"/>
  </si>
  <si>
    <r>
      <t xml:space="preserve">VC&amp;VD.01.1 </t>
    </r>
    <r>
      <rPr>
        <b/>
        <sz val="10"/>
        <rFont val="微软雅黑"/>
        <family val="2"/>
        <charset val="134"/>
      </rPr>
      <t>实质性分析程序</t>
    </r>
    <r>
      <rPr>
        <b/>
        <sz val="10"/>
        <rFont val="Arial"/>
        <family val="2"/>
      </rPr>
      <t>SAP</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C</t>
    </r>
    <r>
      <rPr>
        <b/>
        <sz val="10"/>
        <rFont val="微软雅黑"/>
        <family val="2"/>
        <charset val="134"/>
      </rPr>
      <t>、</t>
    </r>
    <r>
      <rPr>
        <b/>
        <sz val="10"/>
        <rFont val="Arial"/>
        <family val="2"/>
      </rPr>
      <t>P&amp;D</t>
    </r>
    <r>
      <rPr>
        <b/>
        <sz val="10"/>
        <rFont val="微软雅黑"/>
        <family val="2"/>
        <charset val="134"/>
      </rPr>
      <t>）</t>
    </r>
    <phoneticPr fontId="103" type="noConversion"/>
  </si>
  <si>
    <r>
      <rPr>
        <sz val="10"/>
        <color rgb="FF000000"/>
        <rFont val="微软雅黑"/>
        <family val="2"/>
        <charset val="134"/>
      </rPr>
      <t>如执行分析性复核程序，则使用</t>
    </r>
    <r>
      <rPr>
        <sz val="10"/>
        <color rgb="FF000000"/>
        <rFont val="Arial"/>
        <family val="2"/>
      </rPr>
      <t>264GL</t>
    </r>
    <r>
      <rPr>
        <sz val="10"/>
        <color rgb="FF000000"/>
        <rFont val="微软雅黑"/>
        <family val="2"/>
        <charset val="134"/>
      </rPr>
      <t>完成相应记录。如不执行，可直接执行</t>
    </r>
    <r>
      <rPr>
        <sz val="10"/>
        <color rgb="FF000000"/>
        <rFont val="Arial"/>
        <family val="2"/>
      </rPr>
      <t xml:space="preserve">VC&amp;VD.01.2 </t>
    </r>
    <r>
      <rPr>
        <sz val="10"/>
        <color rgb="FF000000"/>
        <rFont val="微软雅黑"/>
        <family val="2"/>
        <charset val="134"/>
      </rPr>
      <t xml:space="preserve">详细测试 </t>
    </r>
    <r>
      <rPr>
        <sz val="10"/>
        <color rgb="FF000000"/>
        <rFont val="Arial"/>
        <family val="2"/>
      </rPr>
      <t>TOD</t>
    </r>
    <r>
      <rPr>
        <sz val="10"/>
        <color rgb="FF000000"/>
        <rFont val="微软雅黑"/>
        <family val="2"/>
        <charset val="134"/>
      </rPr>
      <t>。</t>
    </r>
    <phoneticPr fontId="103" type="noConversion"/>
  </si>
  <si>
    <t>如执行，请项目组添加底稿索引，如不执行请直接删除该程序。</t>
    <phoneticPr fontId="99" type="noConversion"/>
  </si>
  <si>
    <t>VC&amp;VD.01.2</t>
    <phoneticPr fontId="103" type="noConversion"/>
  </si>
  <si>
    <r>
      <t xml:space="preserve">VC&amp;VD.01.2 </t>
    </r>
    <r>
      <rPr>
        <b/>
        <sz val="10"/>
        <color rgb="FF000000"/>
        <rFont val="微软雅黑"/>
        <family val="2"/>
        <charset val="134"/>
      </rPr>
      <t>详细测试</t>
    </r>
    <r>
      <rPr>
        <b/>
        <sz val="10"/>
        <color rgb="FF000000"/>
        <rFont val="Arial"/>
        <family val="2"/>
      </rPr>
      <t xml:space="preserve"> TOD</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P&amp;D</t>
    </r>
    <r>
      <rPr>
        <b/>
        <sz val="10"/>
        <rFont val="微软雅黑"/>
        <family val="2"/>
        <charset val="134"/>
      </rPr>
      <t>）</t>
    </r>
  </si>
  <si>
    <r>
      <rPr>
        <sz val="10"/>
        <color rgb="FF242424"/>
        <rFont val="微软雅黑"/>
        <family val="2"/>
        <charset val="134"/>
      </rPr>
      <t>若通过实质分析性复核程序取得的证据不足以就账户余额得出结论，则执行详细测试。</t>
    </r>
  </si>
  <si>
    <r>
      <t xml:space="preserve">VC&amp;VD.01.2 </t>
    </r>
    <r>
      <rPr>
        <b/>
        <u/>
        <sz val="10"/>
        <color theme="4"/>
        <rFont val="微软雅黑"/>
        <family val="2"/>
        <charset val="134"/>
      </rPr>
      <t>详细测试</t>
    </r>
    <r>
      <rPr>
        <b/>
        <u/>
        <sz val="10"/>
        <color theme="4"/>
        <rFont val="Arial"/>
        <family val="2"/>
      </rPr>
      <t xml:space="preserve"> TOD</t>
    </r>
  </si>
  <si>
    <t>VD.01.03</t>
  </si>
  <si>
    <t>VD.01.03复核法律费用（认定：O、M、C、P&amp;D）</t>
  </si>
  <si>
    <r>
      <rPr>
        <sz val="10"/>
        <rFont val="微软雅黑"/>
        <family val="2"/>
        <charset val="134"/>
      </rPr>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r>
    <r>
      <rPr>
        <sz val="10"/>
        <color rgb="FF000000"/>
        <rFont val="微软雅黑"/>
        <family val="2"/>
        <charset val="134"/>
      </rPr>
      <t>。</t>
    </r>
    <phoneticPr fontId="99" type="noConversion"/>
  </si>
  <si>
    <r>
      <t>VD.01.03</t>
    </r>
    <r>
      <rPr>
        <b/>
        <u/>
        <sz val="10"/>
        <color theme="4"/>
        <rFont val="微软雅黑"/>
        <family val="2"/>
        <charset val="134"/>
      </rPr>
      <t>复核法律费用</t>
    </r>
  </si>
  <si>
    <t>VC&amp;VD.01.4</t>
  </si>
  <si>
    <r>
      <rPr>
        <b/>
        <sz val="10"/>
        <color rgb="FF000000"/>
        <rFont val="Arial"/>
        <family val="2"/>
      </rPr>
      <t xml:space="preserve">VC&amp;VD.01.4 </t>
    </r>
    <r>
      <rPr>
        <b/>
        <sz val="10"/>
        <color rgb="FF000000"/>
        <rFont val="微软雅黑"/>
        <family val="2"/>
        <charset val="134"/>
      </rPr>
      <t>截止性测试（认定：O、C）</t>
    </r>
  </si>
  <si>
    <r>
      <rPr>
        <sz val="10"/>
        <rFont val="微软雅黑"/>
        <family val="2"/>
        <charset val="134"/>
      </rPr>
      <t>结合我们对于被审计单位费用确认时点的理解，考虑截止性测试的涵盖期间。</t>
    </r>
    <phoneticPr fontId="99" type="noConversion"/>
  </si>
  <si>
    <r>
      <t xml:space="preserve">VC&amp;VD.01.4 </t>
    </r>
    <r>
      <rPr>
        <b/>
        <u/>
        <sz val="10"/>
        <color theme="4"/>
        <rFont val="微软雅黑"/>
        <family val="2"/>
        <charset val="134"/>
      </rPr>
      <t>截止性测试</t>
    </r>
  </si>
  <si>
    <r>
      <rPr>
        <sz val="10"/>
        <rFont val="微软雅黑"/>
        <family val="2"/>
        <charset val="134"/>
      </rPr>
      <t>记录确定截止性测试样本的策略。</t>
    </r>
    <phoneticPr fontId="99" type="noConversion"/>
  </si>
  <si>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销售费用&amp;管理费用</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</si>
  <si>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</si>
  <si>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VC&amp;VD.00 </t>
    </r>
    <r>
      <rPr>
        <b/>
        <sz val="12"/>
        <color rgb="FF000000"/>
        <rFont val="微软雅黑"/>
        <family val="2"/>
        <charset val="134"/>
      </rPr>
      <t xml:space="preserve">销售费用&amp;管理费用引导表
</t>
    </r>
    <r>
      <rPr>
        <b/>
        <sz val="12"/>
        <color rgb="FF000000"/>
        <rFont val="Arial"/>
        <family val="2"/>
      </rPr>
      <t xml:space="preserve">     • VC&amp;VD.01 </t>
    </r>
    <r>
      <rPr>
        <b/>
        <sz val="12"/>
        <color rgb="FF000000"/>
        <rFont val="微软雅黑"/>
        <family val="2"/>
        <charset val="134"/>
      </rPr>
      <t xml:space="preserve">销售费用&amp;管理费用实质性程序
</t>
    </r>
    <r>
      <rPr>
        <b/>
        <sz val="12"/>
        <color rgb="FF000000"/>
        <rFont val="Arial"/>
        <family val="2"/>
      </rPr>
      <t xml:space="preserve">     • </t>
    </r>
    <r>
      <rPr>
        <b/>
        <sz val="12"/>
        <color rgb="FF000000"/>
        <rFont val="微软雅黑"/>
        <family val="2"/>
        <charset val="134"/>
      </rPr>
      <t>账户结论</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</si>
  <si>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</si>
  <si>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</si>
  <si>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</si>
  <si>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</si>
  <si>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</si>
  <si>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r>
      <rPr>
        <b/>
        <sz val="12"/>
        <rFont val="微软雅黑"/>
        <family val="2"/>
        <charset val="134"/>
      </rPr>
      <t>记账本位币</t>
    </r>
  </si>
  <si>
    <t>VC&amp;VD.00 LEAD</t>
  </si>
  <si>
    <t>62442a70-4601-4582-abe9-90996a0f33f2</t>
    <phoneticPr fontId="99" type="noConversion"/>
  </si>
  <si>
    <r>
      <rPr>
        <u/>
        <sz val="10"/>
        <color rgb="FFFF0000"/>
        <rFont val="微软雅黑"/>
        <family val="2"/>
        <charset val="134"/>
      </rPr>
      <t>返回汇总页</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</si>
  <si>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</si>
  <si>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</si>
  <si>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</si>
  <si>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</si>
  <si>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</si>
  <si>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</si>
  <si>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</si>
  <si>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</si>
  <si>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</si>
  <si>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</si>
  <si>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</si>
  <si>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</si>
  <si>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</si>
  <si>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</si>
  <si>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</si>
  <si>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</si>
  <si>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</si>
  <si>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</si>
  <si>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</si>
  <si>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r>
      <rPr>
        <b/>
        <sz val="10"/>
        <color rgb="FFFF0000"/>
        <rFont val="微软雅黑"/>
        <family val="2"/>
        <charset val="134"/>
      </rPr>
      <t>表</t>
    </r>
    <r>
      <rPr>
        <b/>
        <sz val="10"/>
        <color rgb="FFFF0000"/>
        <rFont val="Arial"/>
        <family val="2"/>
      </rPr>
      <t>1</t>
    </r>
  </si>
  <si>
    <r>
      <rPr>
        <b/>
        <sz val="10"/>
        <color theme="1"/>
        <rFont val="微软雅黑"/>
        <family val="2"/>
        <charset val="134"/>
      </rPr>
      <t>科目名称</t>
    </r>
  </si>
  <si>
    <r>
      <rPr>
        <b/>
        <sz val="10"/>
        <color rgb="FF000000"/>
        <rFont val="微软雅黑"/>
        <family val="2"/>
        <charset val="134"/>
      </rPr>
      <t>索引号</t>
    </r>
  </si>
  <si>
    <r>
      <rPr>
        <b/>
        <sz val="10"/>
        <color rgb="FF000000"/>
        <rFont val="微软雅黑"/>
        <family val="2"/>
        <charset val="134"/>
      </rPr>
      <t>本期账面数</t>
    </r>
  </si>
  <si>
    <t>账表调整数</t>
  </si>
  <si>
    <t>本期未审数</t>
    <phoneticPr fontId="147" type="noConversion"/>
  </si>
  <si>
    <t>审计调整数</t>
  </si>
  <si>
    <t>本期审定数</t>
    <phoneticPr fontId="147" type="noConversion"/>
  </si>
  <si>
    <t>上期审定数</t>
    <phoneticPr fontId="147" type="noConversion"/>
  </si>
  <si>
    <r>
      <rPr>
        <sz val="10"/>
        <color theme="1"/>
        <rFont val="微软雅黑"/>
        <family val="2"/>
        <charset val="134"/>
      </rPr>
      <t>销售费用</t>
    </r>
  </si>
  <si>
    <r>
      <t xml:space="preserve">VC.00 </t>
    </r>
    <r>
      <rPr>
        <u/>
        <sz val="10"/>
        <color theme="10"/>
        <rFont val="微软雅黑"/>
        <family val="2"/>
        <charset val="134"/>
      </rPr>
      <t>销售费用</t>
    </r>
    <r>
      <rPr>
        <u/>
        <sz val="10"/>
        <color theme="10"/>
        <rFont val="Arial"/>
        <family val="2"/>
      </rPr>
      <t>BKD</t>
    </r>
  </si>
  <si>
    <r>
      <rPr>
        <sz val="10"/>
        <color theme="1"/>
        <rFont val="微软雅黑"/>
        <family val="2"/>
        <charset val="134"/>
      </rPr>
      <t>管理费用</t>
    </r>
  </si>
  <si>
    <r>
      <t xml:space="preserve">VD.00 </t>
    </r>
    <r>
      <rPr>
        <u/>
        <sz val="10"/>
        <color theme="10"/>
        <rFont val="微软雅黑"/>
        <family val="2"/>
        <charset val="134"/>
      </rPr>
      <t>管理费用</t>
    </r>
    <r>
      <rPr>
        <u/>
        <sz val="10"/>
        <color theme="10"/>
        <rFont val="Arial"/>
        <family val="2"/>
      </rPr>
      <t>BKD</t>
    </r>
  </si>
  <si>
    <r>
      <rPr>
        <b/>
        <sz val="14"/>
        <color rgb="FFFFFFFF"/>
        <rFont val="微软雅黑"/>
        <family val="2"/>
        <charset val="134"/>
      </rPr>
      <t>标准底稿</t>
    </r>
    <r>
      <rPr>
        <b/>
        <sz val="14"/>
        <color rgb="FFFFFFFF"/>
        <rFont val="Arial"/>
        <family val="2"/>
      </rPr>
      <t xml:space="preserve">: VC SWP </t>
    </r>
    <r>
      <rPr>
        <b/>
        <sz val="14"/>
        <color rgb="FFFFFFFF"/>
        <rFont val="微软雅黑"/>
        <family val="2"/>
        <charset val="134"/>
      </rPr>
      <t>销售费用</t>
    </r>
  </si>
  <si>
    <r>
      <t xml:space="preserve">VC.00 </t>
    </r>
    <r>
      <rPr>
        <b/>
        <sz val="12"/>
        <color rgb="FF000000"/>
        <rFont val="微软雅黑"/>
        <family val="2"/>
        <charset val="134"/>
      </rPr>
      <t>编制汇总表并比较余额</t>
    </r>
  </si>
  <si>
    <r>
      <rPr>
        <u/>
        <sz val="10"/>
        <color rgb="FFFF0000"/>
        <rFont val="微软雅黑"/>
        <family val="2"/>
        <charset val="134"/>
      </rPr>
      <t>返回汇总页</t>
    </r>
    <phoneticPr fontId="99" type="noConversion"/>
  </si>
  <si>
    <t>Threshold(s)</t>
  </si>
  <si>
    <r>
      <rPr>
        <b/>
        <sz val="10"/>
        <rFont val="微软雅黑"/>
        <family val="2"/>
        <charset val="134"/>
      </rPr>
      <t>认定</t>
    </r>
    <phoneticPr fontId="127" type="noConversion"/>
  </si>
  <si>
    <t>CRA</t>
  </si>
  <si>
    <r>
      <rPr>
        <b/>
        <sz val="10"/>
        <rFont val="微软雅黑"/>
        <family val="2"/>
        <charset val="134"/>
      </rPr>
      <t>各项认定</t>
    </r>
    <r>
      <rPr>
        <b/>
        <vertAlign val="superscript"/>
        <sz val="10"/>
        <color rgb="FFFF0000"/>
        <rFont val="Arial"/>
        <family val="2"/>
      </rPr>
      <t>1</t>
    </r>
    <phoneticPr fontId="127"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</si>
  <si>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27" type="noConversion"/>
  </si>
  <si>
    <r>
      <rPr>
        <sz val="10"/>
        <color rgb="FF000000"/>
        <rFont val="微软雅黑"/>
        <family val="2"/>
        <charset val="134"/>
      </rPr>
      <t>完整性</t>
    </r>
    <r>
      <rPr>
        <sz val="10"/>
        <color rgb="FF000000"/>
        <rFont val="Arial"/>
        <family val="2"/>
      </rPr>
      <t xml:space="preserve"> (C)</t>
    </r>
  </si>
  <si>
    <r>
      <rPr>
        <sz val="10"/>
        <color rgb="FF000000"/>
        <rFont val="微软雅黑"/>
        <family val="2"/>
        <charset val="134"/>
      </rPr>
      <t>发生</t>
    </r>
    <r>
      <rPr>
        <sz val="10"/>
        <color rgb="FF000000"/>
        <rFont val="Arial"/>
        <family val="2"/>
      </rPr>
      <t xml:space="preserve"> (O)</t>
    </r>
    <phoneticPr fontId="99" type="noConversion"/>
  </si>
  <si>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</si>
  <si>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列报和披露</t>
    </r>
    <r>
      <rPr>
        <sz val="10"/>
        <color rgb="FF000000"/>
        <rFont val="Arial"/>
        <family val="2"/>
      </rPr>
      <t xml:space="preserve"> (P&amp;D)</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</si>
  <si>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</si>
  <si>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</si>
  <si>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</si>
  <si>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</si>
  <si>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在下文中描述我们当期对账户波动的预期，以及这些预期的理由。</t>
    </r>
  </si>
  <si>
    <t>波动范围</t>
  </si>
  <si>
    <r>
      <rPr>
        <b/>
        <sz val="10"/>
        <rFont val="微软雅黑"/>
        <family val="2"/>
        <charset val="134"/>
      </rPr>
      <t>波动幅度（</t>
    </r>
    <r>
      <rPr>
        <b/>
        <sz val="10"/>
        <rFont val="Arial"/>
        <family val="2"/>
      </rPr>
      <t>%</t>
    </r>
    <r>
      <rPr>
        <b/>
        <sz val="10"/>
        <rFont val="微软雅黑"/>
        <family val="2"/>
        <charset val="134"/>
      </rPr>
      <t>）：</t>
    </r>
  </si>
  <si>
    <t>|--------- TB ---------|</t>
    <phoneticPr fontId="99" type="noConversion"/>
  </si>
  <si>
    <t>|------- PY -------|</t>
    <phoneticPr fontId="145"/>
  </si>
  <si>
    <r>
      <rPr>
        <b/>
        <sz val="10"/>
        <color rgb="FFFF0000"/>
        <rFont val="微软雅黑"/>
        <family val="2"/>
        <charset val="134"/>
      </rPr>
      <t>表</t>
    </r>
    <r>
      <rPr>
        <b/>
        <sz val="10"/>
        <color rgb="FFFF0000"/>
        <rFont val="Arial"/>
        <family val="2"/>
      </rPr>
      <t xml:space="preserve">1 </t>
    </r>
    <phoneticPr fontId="99" type="noConversion"/>
  </si>
  <si>
    <t>本期和上期发生额</t>
  </si>
  <si>
    <t>For X-ref</t>
  </si>
  <si>
    <t>Notes</t>
  </si>
  <si>
    <r>
      <rPr>
        <b/>
        <sz val="10"/>
        <color rgb="FF000000"/>
        <rFont val="微软雅黑"/>
        <family val="2"/>
        <charset val="134"/>
      </rPr>
      <t>进一步调查基于波动幅度？</t>
    </r>
  </si>
  <si>
    <r>
      <rPr>
        <b/>
        <sz val="10"/>
        <color rgb="FF000000"/>
        <rFont val="微软雅黑"/>
        <family val="2"/>
        <charset val="134"/>
      </rPr>
      <t>进一步调查基于定性考虑？</t>
    </r>
  </si>
  <si>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</si>
  <si>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t>总账科目编码</t>
  </si>
  <si>
    <r>
      <rPr>
        <b/>
        <sz val="10"/>
        <color indexed="8"/>
        <rFont val="微软雅黑"/>
        <family val="2"/>
        <charset val="134"/>
      </rPr>
      <t>科目名称</t>
    </r>
  </si>
  <si>
    <t>本期账面数</t>
  </si>
  <si>
    <t>本期未审数</t>
  </si>
  <si>
    <t>结构比</t>
  </si>
  <si>
    <t>本期审定数</t>
  </si>
  <si>
    <t>上期审定数</t>
  </si>
  <si>
    <r>
      <rPr>
        <b/>
        <sz val="10"/>
        <rFont val="微软雅黑"/>
        <family val="2"/>
        <charset val="134"/>
      </rPr>
      <t>变动金额</t>
    </r>
  </si>
  <si>
    <r>
      <rPr>
        <b/>
        <sz val="10"/>
        <rFont val="微软雅黑"/>
        <family val="2"/>
        <charset val="134"/>
      </rPr>
      <t>变动</t>
    </r>
    <r>
      <rPr>
        <b/>
        <sz val="10"/>
        <rFont val="Arial"/>
        <family val="2"/>
      </rPr>
      <t>%</t>
    </r>
  </si>
  <si>
    <t>[A]</t>
  </si>
  <si>
    <r>
      <rPr>
        <b/>
        <sz val="10"/>
        <rFont val="微软雅黑"/>
        <family val="2"/>
        <charset val="134"/>
      </rPr>
      <t>合计</t>
    </r>
  </si>
  <si>
    <t xml:space="preserve"> </t>
    <phoneticPr fontId="99" type="noConversion"/>
  </si>
  <si>
    <t>Diff</t>
  </si>
  <si>
    <r>
      <rPr>
        <b/>
        <sz val="10"/>
        <color rgb="FFFF0000"/>
        <rFont val="微软雅黑"/>
        <family val="2"/>
        <charset val="134"/>
      </rPr>
      <t>波动说明</t>
    </r>
  </si>
  <si>
    <t>[A]</t>
    <phoneticPr fontId="99" type="noConversion"/>
  </si>
  <si>
    <r>
      <rPr>
        <b/>
        <sz val="10"/>
        <color rgb="FF00000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</si>
  <si>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</si>
  <si>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t>标准底稿: VD SWP 管理费用</t>
  </si>
  <si>
    <t>VD.00 编制汇总表并比较余额</t>
  </si>
  <si>
    <t>返回汇总页</t>
    <phoneticPr fontId="99" type="noConversion"/>
  </si>
  <si>
    <t>认定</t>
    <phoneticPr fontId="127" type="noConversion"/>
  </si>
  <si>
    <r>
      <t>各项认定</t>
    </r>
    <r>
      <rPr>
        <b/>
        <vertAlign val="superscript"/>
        <sz val="10"/>
        <color rgb="FFFF0000"/>
        <rFont val="微软雅黑"/>
        <family val="2"/>
        <charset val="134"/>
      </rPr>
      <t>1</t>
    </r>
    <phoneticPr fontId="127" type="noConversion"/>
  </si>
  <si>
    <r>
      <t xml:space="preserve">所有相关认定 </t>
    </r>
    <r>
      <rPr>
        <b/>
        <vertAlign val="superscript"/>
        <sz val="10"/>
        <color rgb="FFFF0000"/>
        <rFont val="微软雅黑"/>
        <family val="2"/>
        <charset val="134"/>
      </rPr>
      <t>2</t>
    </r>
    <phoneticPr fontId="127" type="noConversion"/>
  </si>
  <si>
    <t>完整性 (C)</t>
  </si>
  <si>
    <t>发生 (O)</t>
    <phoneticPr fontId="99" type="noConversion"/>
  </si>
  <si>
    <t>计量（M）</t>
  </si>
  <si>
    <t>列报和披露 (P&amp;D)</t>
  </si>
  <si>
    <t xml:space="preserve">1 各项认定的测试阈值，是根据EY GAM SUBSTANTIVE DESIGN 2.2.1 </t>
  </si>
  <si>
    <t>中的示例测试阈值（用占TE的百分比表示）在相应风险等级（CRA）区间的上限计算得出的。</t>
  </si>
  <si>
    <t>除负债/费用类别账户的完整性认定应当使用负债/费用账户表之外，其他类别账户和认定均可使用资产/收入账户表。</t>
  </si>
  <si>
    <t>2 所有相关认定的测试阈值，是所有有效认定对应之测试阈值的最小值。我们在 Lead中使用该测试阈值：（a）作为选取总账账户进行测试的起点；（b）作为（需要进一步调查的）金额波动范围的起点。</t>
  </si>
  <si>
    <t>在下文中描述我们当期对账户波动的预期，以及这些预期的理由。</t>
  </si>
  <si>
    <t>波动幅度（%）：</t>
  </si>
  <si>
    <t>|------- TB -------|</t>
  </si>
  <si>
    <t xml:space="preserve">表1 </t>
    <phoneticPr fontId="99" type="noConversion"/>
  </si>
  <si>
    <t>For X-ref</t>
    <phoneticPr fontId="99" type="noConversion"/>
  </si>
  <si>
    <t>进一步调查基于波动幅度？</t>
  </si>
  <si>
    <t>进一步调查基于定性考虑？</t>
  </si>
  <si>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</si>
  <si>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科目名称</t>
  </si>
  <si>
    <t>结构比</t>
    <phoneticPr fontId="99" type="noConversion"/>
  </si>
  <si>
    <t>变动金额</t>
  </si>
  <si>
    <t>变动%</t>
  </si>
  <si>
    <t xml:space="preserve">         </t>
    <phoneticPr fontId="99" type="noConversion"/>
  </si>
  <si>
    <t>波动说明</t>
  </si>
  <si>
    <t>调整类型</t>
    <phoneticPr fontId="99" type="noConversion"/>
  </si>
  <si>
    <r>
      <rPr>
        <b/>
        <sz val="14"/>
        <color rgb="FFFFFFFF"/>
        <rFont val="微软雅黑"/>
        <family val="2"/>
        <charset val="134"/>
      </rPr>
      <t>标准工作底稿</t>
    </r>
    <r>
      <rPr>
        <b/>
        <sz val="14"/>
        <color rgb="FFFFFFFF"/>
        <rFont val="Arial"/>
        <family val="2"/>
      </rPr>
      <t xml:space="preserve">: VD SWP </t>
    </r>
    <r>
      <rPr>
        <b/>
        <sz val="14"/>
        <color rgb="FFFFFFFF"/>
        <rFont val="微软雅黑"/>
        <family val="2"/>
        <charset val="134"/>
      </rPr>
      <t>管理费用</t>
    </r>
  </si>
  <si>
    <r>
      <t xml:space="preserve">VD.01.3 </t>
    </r>
    <r>
      <rPr>
        <b/>
        <sz val="12"/>
        <color rgb="FF000000"/>
        <rFont val="微软雅黑"/>
        <family val="2"/>
        <charset val="134"/>
      </rPr>
      <t>复核法律费用</t>
    </r>
  </si>
  <si>
    <r>
      <rPr>
        <b/>
        <sz val="10"/>
        <rFont val="微软雅黑"/>
        <family val="2"/>
        <charset val="134"/>
      </rPr>
      <t>复核法律费用</t>
    </r>
    <phoneticPr fontId="99" type="noConversion"/>
  </si>
  <si>
    <r>
      <rPr>
        <b/>
        <sz val="10"/>
        <rFont val="微软雅黑"/>
        <family val="2"/>
        <charset val="134"/>
      </rPr>
      <t>安永属性测试说明</t>
    </r>
    <r>
      <rPr>
        <b/>
        <sz val="10"/>
        <rFont val="Arial"/>
        <family val="2"/>
      </rPr>
      <t>:</t>
    </r>
  </si>
  <si>
    <t>我们对金额大于测试阈值的法律费用相关账户进行复核（如有），查看其交易性质及金额是否与账面一致，同时对性质特殊（如诉讼等）的法律费用向律师发送审计询问函，对回函差异进行调查，对于未决诉讼，应执行相关程序，请检查勾稽到预期信用损失、预计负债等底稿。</t>
  </si>
  <si>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</si>
  <si>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color indexed="8"/>
        <rFont val="微软雅黑"/>
        <family val="2"/>
        <charset val="134"/>
      </rPr>
      <t>科目编码</t>
    </r>
  </si>
  <si>
    <r>
      <rPr>
        <b/>
        <sz val="10"/>
        <color indexed="8"/>
        <rFont val="微软雅黑"/>
        <family val="2"/>
        <charset val="134"/>
      </rPr>
      <t>项目名称</t>
    </r>
  </si>
  <si>
    <r>
      <rPr>
        <b/>
        <sz val="10"/>
        <color indexed="8"/>
        <rFont val="微软雅黑"/>
        <family val="2"/>
        <charset val="134"/>
      </rPr>
      <t>本期账面数</t>
    </r>
  </si>
  <si>
    <r>
      <rPr>
        <b/>
        <sz val="10"/>
        <color rgb="FF000000"/>
        <rFont val="微软雅黑"/>
        <family val="2"/>
        <charset val="134"/>
      </rPr>
      <t>服务性质</t>
    </r>
    <r>
      <rPr>
        <b/>
        <sz val="10"/>
        <color rgb="FF000000"/>
        <rFont val="Arial"/>
        <family val="2"/>
      </rPr>
      <t>/</t>
    </r>
    <r>
      <rPr>
        <b/>
        <sz val="10"/>
        <color rgb="FF000000"/>
        <rFont val="微软雅黑"/>
        <family val="2"/>
        <charset val="134"/>
      </rPr>
      <t>内容</t>
    </r>
  </si>
  <si>
    <r>
      <rPr>
        <b/>
        <sz val="10"/>
        <color rgb="FF000000"/>
        <rFont val="微软雅黑"/>
        <family val="2"/>
        <charset val="134"/>
      </rPr>
      <t>服务开始时间</t>
    </r>
  </si>
  <si>
    <r>
      <rPr>
        <b/>
        <sz val="10"/>
        <color rgb="FF000000"/>
        <rFont val="微软雅黑"/>
        <family val="2"/>
        <charset val="134"/>
      </rPr>
      <t>金额</t>
    </r>
  </si>
  <si>
    <r>
      <rPr>
        <b/>
        <sz val="10"/>
        <color rgb="FF000000"/>
        <rFont val="微软雅黑"/>
        <family val="2"/>
        <charset val="134"/>
      </rPr>
      <t>是否发函（如不发函请列示原因）</t>
    </r>
  </si>
  <si>
    <r>
      <rPr>
        <b/>
        <sz val="10"/>
        <color rgb="FF000000"/>
        <rFont val="微软雅黑"/>
        <family val="2"/>
        <charset val="134"/>
      </rPr>
      <t>是否回函</t>
    </r>
  </si>
  <si>
    <r>
      <rPr>
        <b/>
        <sz val="10"/>
        <color rgb="FF000000"/>
        <rFont val="微软雅黑"/>
        <family val="2"/>
        <charset val="134"/>
      </rPr>
      <t>回函是否有差异</t>
    </r>
  </si>
  <si>
    <r>
      <rPr>
        <b/>
        <sz val="10"/>
        <color rgb="FF000000"/>
        <rFont val="微软雅黑"/>
        <family val="2"/>
        <charset val="134"/>
      </rPr>
      <t>差异原因</t>
    </r>
    <r>
      <rPr>
        <b/>
        <sz val="10"/>
        <color rgb="FF000000"/>
        <rFont val="Arial"/>
        <family val="2"/>
      </rPr>
      <t>(</t>
    </r>
    <r>
      <rPr>
        <b/>
        <sz val="10"/>
        <color rgb="FF000000"/>
        <rFont val="微软雅黑"/>
        <family val="2"/>
        <charset val="134"/>
      </rPr>
      <t>如适用</t>
    </r>
    <r>
      <rPr>
        <b/>
        <sz val="10"/>
        <color rgb="FF000000"/>
        <rFont val="Arial"/>
        <family val="2"/>
      </rPr>
      <t>)</t>
    </r>
  </si>
  <si>
    <r>
      <rPr>
        <b/>
        <sz val="10"/>
        <color rgb="FF000000"/>
        <rFont val="微软雅黑"/>
        <family val="2"/>
        <charset val="134"/>
      </rPr>
      <t>是否涉及未决诉讼</t>
    </r>
  </si>
  <si>
    <r>
      <t xml:space="preserve">VC&amp;VD.01.4   </t>
    </r>
    <r>
      <rPr>
        <b/>
        <sz val="12"/>
        <color rgb="FF000000"/>
        <rFont val="微软雅黑"/>
        <family val="2"/>
        <charset val="134"/>
      </rPr>
      <t>截止性测试</t>
    </r>
  </si>
  <si>
    <r>
      <rPr>
        <b/>
        <sz val="10"/>
        <rFont val="微软雅黑"/>
        <family val="2"/>
        <charset val="134"/>
      </rPr>
      <t>执行截止性测试</t>
    </r>
  </si>
  <si>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确定截止性测试的涵盖期间</t>
    </r>
    <phoneticPr fontId="99" type="noConversion"/>
  </si>
  <si>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</si>
  <si>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</si>
  <si>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</si>
  <si>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</si>
  <si>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r>
      <rPr>
        <b/>
        <i/>
        <sz val="10"/>
        <color rgb="FFFF0000"/>
        <rFont val="微软雅黑"/>
        <family val="2"/>
        <charset val="134"/>
      </rPr>
      <t>（测试期间项目组要结合被审计单位的</t>
    </r>
    <r>
      <rPr>
        <b/>
        <i/>
        <sz val="10"/>
        <color rgb="FF305496"/>
        <rFont val="微软雅黑"/>
        <family val="2"/>
        <charset val="134"/>
      </rPr>
      <t>费用从实际发生到入账的周期</t>
    </r>
    <r>
      <rPr>
        <b/>
        <i/>
        <sz val="10"/>
        <color rgb="FFFF0000"/>
        <rFont val="微软雅黑"/>
        <family val="2"/>
        <charset val="134"/>
      </rPr>
      <t>进行判断，并在此记录。）</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</si>
  <si>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记录确定截止性测试样本的策略：</t>
    </r>
    <phoneticPr fontId="99" type="noConversion"/>
  </si>
  <si>
    <r>
      <rPr>
        <b/>
        <sz val="10"/>
        <color rgb="FFFF0000"/>
        <rFont val="微软雅黑"/>
        <family val="2"/>
        <charset val="134"/>
      </rPr>
      <t>表</t>
    </r>
    <r>
      <rPr>
        <b/>
        <sz val="10"/>
        <color rgb="FFFF0000"/>
        <rFont val="Arial"/>
        <family val="2"/>
      </rPr>
      <t>3</t>
    </r>
    <r>
      <rPr>
        <b/>
        <sz val="10"/>
        <color theme="1"/>
        <rFont val="Arial"/>
        <family val="2"/>
      </rPr>
      <t xml:space="preserve"> </t>
    </r>
    <r>
      <rPr>
        <b/>
        <sz val="10"/>
        <color theme="1"/>
        <rFont val="微软雅黑"/>
        <family val="2"/>
        <charset val="134"/>
      </rPr>
      <t>测试期间费用的截止性</t>
    </r>
    <phoneticPr fontId="99" type="noConversion"/>
  </si>
  <si>
    <t>安永属性测试说明：</t>
  </si>
  <si>
    <r>
      <rPr>
        <sz val="10"/>
        <color rgb="FF000000"/>
        <rFont val="微软雅黑"/>
        <family val="2"/>
        <charset val="134"/>
      </rPr>
      <t>根据支持性证据（例如：费用结算单等）确定所选交易已</t>
    </r>
    <r>
      <rPr>
        <sz val="10"/>
        <color rgb="FF000000"/>
        <rFont val="等线"/>
        <family val="3"/>
        <charset val="134"/>
      </rPr>
      <t>记录</t>
    </r>
    <r>
      <rPr>
        <sz val="10"/>
        <color rgb="FF000000"/>
        <rFont val="微软雅黑"/>
        <family val="2"/>
        <charset val="134"/>
      </rPr>
      <t>在适当会计期间。</t>
    </r>
    <r>
      <rPr>
        <sz val="10"/>
        <color rgb="FF000000"/>
        <rFont val="Arial"/>
        <family val="2"/>
      </rPr>
      <t xml:space="preserve"> </t>
    </r>
  </si>
  <si>
    <t>入账凭证</t>
    <phoneticPr fontId="99" type="noConversion"/>
  </si>
  <si>
    <t>支持性证据信息</t>
  </si>
  <si>
    <t>金额涉及：</t>
  </si>
  <si>
    <t>EY Works</t>
  </si>
  <si>
    <t>备注</t>
    <phoneticPr fontId="99" type="noConversion"/>
  </si>
  <si>
    <t>（确认控制权转移/接受服务的交易凭据）</t>
    <phoneticPr fontId="99" type="noConversion"/>
  </si>
  <si>
    <t>（用“√”标记）</t>
    <phoneticPr fontId="99" type="noConversion"/>
  </si>
  <si>
    <t>凭证编号</t>
  </si>
  <si>
    <t>日期</t>
    <phoneticPr fontId="99" type="noConversion"/>
  </si>
  <si>
    <t>金额</t>
  </si>
  <si>
    <t>明细科目名称</t>
  </si>
  <si>
    <t>交易凭据名称</t>
  </si>
  <si>
    <t>交易凭据编号</t>
  </si>
  <si>
    <t>交易发生日期</t>
  </si>
  <si>
    <t>本期</t>
  </si>
  <si>
    <t>资产负债表日后期间</t>
  </si>
  <si>
    <r>
      <rPr>
        <b/>
        <i/>
        <sz val="10"/>
        <rFont val="微软雅黑"/>
        <family val="2"/>
        <charset val="134"/>
      </rPr>
      <t>本期资产负债表日前记录的交易</t>
    </r>
  </si>
  <si>
    <r>
      <rPr>
        <b/>
        <i/>
        <sz val="10"/>
        <rFont val="微软雅黑"/>
        <family val="2"/>
        <charset val="134"/>
      </rPr>
      <t>本期资产负债表日后记录的交易</t>
    </r>
  </si>
  <si>
    <t>Notes</t>
    <phoneticPr fontId="99" type="noConversion"/>
  </si>
  <si>
    <r>
      <t>*</t>
    </r>
    <r>
      <rPr>
        <i/>
        <sz val="10"/>
        <color rgb="FFFF0000"/>
        <rFont val="微软雅黑"/>
        <family val="2"/>
        <charset val="134"/>
      </rPr>
      <t xml:space="preserve">我们在注释框中包括我们认为有必要的任何附加评论，以使以前与本项目没有联系的有经验的审计师清楚地理解
</t>
    </r>
    <r>
      <rPr>
        <i/>
        <sz val="10"/>
        <color rgb="FFFF0000"/>
        <rFont val="Arial"/>
        <family val="2"/>
      </rPr>
      <t>1)</t>
    </r>
    <r>
      <rPr>
        <i/>
        <sz val="10"/>
        <color rgb="FFFF0000"/>
        <rFont val="微软雅黑"/>
        <family val="2"/>
        <charset val="134"/>
      </rPr>
      <t>我们所执行程序的性质、时间和范围</t>
    </r>
    <r>
      <rPr>
        <i/>
        <sz val="10"/>
        <color rgb="FFFF0000"/>
        <rFont val="Arial"/>
        <family val="2"/>
      </rPr>
      <t>;
2)</t>
    </r>
    <r>
      <rPr>
        <i/>
        <sz val="10"/>
        <color rgb="FFFF0000"/>
        <rFont val="微软雅黑"/>
        <family val="2"/>
        <charset val="134"/>
      </rPr>
      <t>我们执行的程序的结果</t>
    </r>
    <r>
      <rPr>
        <i/>
        <sz val="10"/>
        <color rgb="FFFF0000"/>
        <rFont val="Arial"/>
        <family val="2"/>
      </rPr>
      <t>;
3)</t>
    </r>
    <r>
      <rPr>
        <i/>
        <sz val="10"/>
        <color rgb="FFFF0000"/>
        <rFont val="微软雅黑"/>
        <family val="2"/>
        <charset val="134"/>
      </rPr>
      <t>获得的证据和得出的结论，包括我们考虑的任何不一致或相反的信息以及与该信息相关的结论</t>
    </r>
    <r>
      <rPr>
        <i/>
        <sz val="10"/>
        <color rgb="FFFF0000"/>
        <rFont val="Arial"/>
        <family val="2"/>
      </rPr>
      <t>;
4)</t>
    </r>
    <r>
      <rPr>
        <i/>
        <sz val="10"/>
        <color rgb="FFFF0000"/>
        <rFont val="微软雅黑"/>
        <family val="2"/>
        <charset val="134"/>
      </rPr>
      <t>确定的例外情况的细节，如果适用，以及如何解决这些问题，包括执行的其他实质性程序。</t>
    </r>
    <phoneticPr fontId="99" type="noConversion"/>
  </si>
  <si>
    <t>6c62fc94-8360-45ff-b236-5283c3da78da</t>
    <phoneticPr fontId="99" type="noConversion"/>
  </si>
  <si>
    <t>{"Id":"2120093264","IsProject":false,"ProjectId":"2006600230","TempProjectName":"测试上数","TempType":2}</t>
  </si>
  <si>
    <t>管理费用</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</si>
  <si>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</si>
  <si>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</si>
  <si>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</si>
  <si>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</si>
  <si>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</si>
  <si>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</si>
  <si>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</si>
  <si>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</si>
  <si>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</si>
  <si>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</si>
  <si>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</si>
  <si>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</si>
  <si>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</si>
  <si>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</si>
  <si>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</si>
  <si>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</si>
  <si>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</si>
  <si>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</si>
  <si>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</si>
  <si>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</si>
  <si>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</si>
  <si>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</si>
  <si>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</si>
  <si>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</si>
  <si>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</si>
  <si>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</si>
  <si>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</si>
  <si>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</si>
  <si>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</si>
  <si>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</si>
  <si>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</si>
  <si>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</si>
  <si>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</si>
  <si>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</si>
  <si>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</si>
  <si>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</si>
  <si>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</si>
  <si>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</si>
  <si>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</si>
  <si>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</si>
  <si>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</si>
  <si>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</si>
  <si>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</si>
  <si>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</si>
  <si>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</si>
  <si>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</si>
  <si>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</si>
  <si>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</si>
  <si>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</si>
  <si>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</si>
  <si>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</si>
  <si>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</si>
  <si>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</si>
  <si>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</si>
  <si>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</si>
  <si>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</si>
  <si>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</si>
  <si>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</si>
  <si>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</si>
  <si>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</si>
  <si>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</si>
  <si>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</si>
  <si>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</si>
  <si>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</si>
  <si>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</si>
  <si>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</si>
  <si>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</si>
  <si>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</si>
  <si>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</si>
  <si>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</si>
  <si>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</si>
  <si>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</si>
  <si>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</si>
  <si>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</si>
  <si>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</si>
  <si>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</si>
  <si>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</si>
  <si>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</si>
  <si>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</si>
  <si>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</si>
  <si>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</si>
  <si>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</si>
  <si>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</si>
  <si>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</si>
  <si>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</si>
  <si>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</si>
  <si>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</si>
  <si>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</si>
  <si>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</si>
  <si>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</si>
  <si>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</si>
  <si>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</si>
  <si>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</si>
  <si>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</si>
  <si>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</si>
  <si>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</si>
  <si>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</si>
  <si>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</si>
  <si>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</si>
  <si>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</si>
  <si>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</si>
  <si>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</si>
  <si>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</si>
  <si>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</si>
  <si>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</si>
  <si>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</si>
  <si>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</si>
  <si>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</si>
  <si>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</si>
  <si>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</si>
  <si>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</si>
  <si>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</si>
  <si>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</si>
  <si>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</si>
  <si>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</si>
  <si>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</si>
  <si>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</si>
  <si>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</si>
  <si>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</si>
  <si>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</si>
  <si>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</si>
  <si>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</si>
  <si>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</si>
  <si>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</si>
  <si>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</si>
  <si>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</si>
  <si>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</si>
  <si>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</si>
  <si>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</si>
  <si>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</si>
  <si>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</si>
  <si>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</si>
  <si>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</si>
  <si>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</si>
  <si>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</si>
  <si>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</si>
  <si>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</si>
  <si>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</si>
  <si>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</si>
  <si>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</si>
  <si>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</si>
  <si>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</si>
  <si>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</si>
  <si>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</si>
  <si>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</si>
  <si>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</si>
  <si>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</si>
  <si>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</si>
  <si>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</si>
  <si>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</si>
  <si>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</si>
  <si>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</si>
  <si>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</si>
  <si>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</si>
  <si>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</si>
  <si>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</si>
  <si>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</si>
  <si>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</si>
  <si>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</si>
  <si>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</si>
  <si>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</si>
  <si>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</si>
  <si>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</si>
  <si>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</si>
  <si>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</si>
  <si>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</si>
  <si>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</si>
  <si>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</si>
  <si>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</si>
  <si>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</si>
  <si>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</si>
  <si>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</si>
  <si>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</si>
  <si>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</si>
  <si>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</si>
  <si>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</si>
  <si>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</si>
  <si>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</si>
  <si>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</si>
  <si>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</si>
  <si>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</si>
  <si>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</si>
  <si>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</si>
  <si>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</si>
  <si>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</si>
  <si>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</si>
  <si>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</si>
  <si>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</si>
  <si>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</si>
  <si>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</si>
  <si>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</si>
  <si>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</si>
  <si>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</si>
  <si>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</si>
  <si>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</si>
  <si>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</si>
  <si>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</si>
  <si>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</si>
  <si>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</si>
  <si>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</si>
  <si>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</si>
  <si>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</si>
  <si>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</si>
  <si>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</si>
  <si>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</si>
  <si>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</si>
  <si>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</si>
  <si>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</si>
  <si>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</si>
  <si>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</si>
  <si>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</si>
  <si>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</si>
  <si>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</si>
  <si>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</si>
  <si>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</si>
  <si>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</si>
  <si>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</si>
  <si>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</si>
  <si>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</si>
  <si>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</si>
  <si>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951f6b75-6ab2-4ff6-892a-e4c04fcb10bf</t>
  </si>
  <si>
    <t>5f6fab2b-27a4-47a0-a48b-2b6682baaf2b</t>
  </si>
  <si>
    <t>e2d4f2f5-1b5a-41fa-8e4f-bf3cb91f05e1</t>
  </si>
  <si>
    <t>b0a8049b-c133-44a8-8ede-9eee3f5dec75</t>
  </si>
  <si>
    <t>ae6f52cd-5f86-4233-bb85-89ef5ca45d72</t>
  </si>
  <si>
    <t>040f6ea6-d72e-4369-b76b-0af362d0bae4</t>
  </si>
  <si>
    <t>6b130a9d-34c6-49cb-869e-9eca5bd203a1</t>
  </si>
  <si>
    <t>b17b04b9-e433-41ce-bd97-d64b8721e7ad</t>
  </si>
  <si>
    <t>e1a9297c-ac45-4f2d-bb0c-2341f0ff0dfa</t>
  </si>
  <si>
    <t>1afdd838-25a4-4e26-99f9-b88bbebb97e4</t>
  </si>
  <si>
    <t>151cc08d-01a7-4807-bbca-d5c138d02eac</t>
  </si>
  <si>
    <t>761cf9fa-a2a1-45ca-9447-8efc64afc129</t>
  </si>
  <si>
    <t>9127e4dd-b4e1-4ea5-af27-ec1aafd44360</t>
  </si>
  <si>
    <t>472bde22-ea7e-4f9e-82fc-8623ab61cb73</t>
  </si>
  <si>
    <t>316c95f0-cb6d-4f12-94d8-130e6f454504</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</si>
  <si>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</si>
  <si>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</si>
  <si>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</si>
  <si>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</si>
  <si>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</si>
  <si>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</si>
  <si>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</si>
  <si>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</si>
  <si>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</si>
  <si>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</si>
  <si>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</si>
  <si>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</si>
  <si>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</si>
  <si>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</si>
  <si>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</si>
  <si>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</si>
  <si>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</si>
  <si>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</si>
  <si>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</si>
  <si>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</si>
  <si>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</si>
  <si>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</si>
  <si>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</si>
  <si>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</si>
  <si>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</si>
  <si>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</si>
  <si>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</si>
  <si>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</si>
  <si>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</si>
  <si>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</si>
  <si>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</si>
  <si>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</si>
  <si>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</si>
  <si>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</si>
  <si>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</si>
  <si>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</si>
  <si>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</si>
  <si>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</si>
  <si>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</si>
  <si>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</si>
  <si>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</si>
  <si>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</si>
  <si>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</si>
  <si>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</si>
  <si>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</si>
  <si>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</si>
  <si>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</si>
  <si>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</si>
  <si>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</si>
  <si>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</si>
  <si>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</si>
  <si>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</si>
  <si>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</si>
  <si>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</si>
  <si>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</si>
  <si>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</si>
  <si>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</si>
  <si>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</si>
  <si>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</si>
  <si>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</si>
  <si>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</si>
  <si>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</si>
  <si>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</si>
  <si>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</si>
  <si>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</si>
  <si>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</si>
  <si>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</si>
  <si>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</si>
  <si>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</si>
  <si>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</si>
  <si>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</si>
  <si>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</si>
  <si>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</si>
  <si>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</si>
  <si>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</si>
  <si>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</si>
  <si>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</si>
  <si>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</si>
  <si>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</si>
  <si>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</si>
  <si>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</si>
  <si>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VZTN83DQ0PNV1SC86TPFW2CC99KYK2XZ14KACGNDYCRQJ22XYD90</t>
  </si>
  <si>
    <t>Tony XD Dong</t>
  </si>
  <si>
    <t>ZF1ETMEZC9QN6WPB23AEWKHPFR4F55CRNQ1D0B5WT7MED0ZKWWQG</t>
  </si>
  <si>
    <t>Amy LQ Chen</t>
  </si>
  <si>
    <t>Q775XYNM7JGDVAMWSN3NR5KKNQM5NY4YPDM7W5EXVBGM3AB475NG</t>
  </si>
  <si>
    <t>Maikey Jin</t>
  </si>
  <si>
    <t>NJCBKWVS3J4F3HCA2MJBBCQ6HKD0ZSBEP3AX4S89TK4M9EY3DH60</t>
  </si>
  <si>
    <t>Phoebe YH Wang</t>
  </si>
  <si>
    <t>JGK2GVV81YN2KH9Z9ZHECPWYD5S5WFFS4ETM387NVKWAVJNE125G</t>
  </si>
  <si>
    <t>Queenie QS Wang</t>
  </si>
  <si>
    <t>G8F8ENVNS6NVQW7T8WXX38NRT9C6F65ED0E0GS4RDRPHKPE6JYW0</t>
  </si>
  <si>
    <t>Yao CY C Chen</t>
  </si>
  <si>
    <t>T5WMV5MGJB59WZ0K302MPWMWM5G98C28W9B39WCZBPJXG5847NB0</t>
  </si>
  <si>
    <t>Grace YT Dai</t>
  </si>
  <si>
    <t>MQFDQD6SPH3FMJP2N0PQQ3N4PZ6XNH4T373A7HWSDE5TZ4A7V1DG</t>
  </si>
  <si>
    <t>Zelda Zhang</t>
  </si>
  <si>
    <t>G7KX5FMG1R3QH83GQBFZHN3Z9N294HNAAMSW34CTJT51MC4J8R8G</t>
  </si>
  <si>
    <t>Barry B Li</t>
  </si>
  <si>
    <t>9QKVRYJWFZ38Q15SSC9F8R37HJH3965E74F5R92CN1PGMMZQECQ0</t>
  </si>
  <si>
    <t>Dan Y Yao</t>
  </si>
  <si>
    <t>ESRXDMFF301213JT3ZH9F7ZDSK4QQHFF3A9ZCB0821P05Y900W90</t>
  </si>
  <si>
    <t>Alina Ye</t>
  </si>
  <si>
    <t>1P2X1MX3XYWCZ8E2MX2Y07YGB3MV287QRPBD8BFP4A63CGJFS7B0</t>
  </si>
  <si>
    <t>Evelyn Z Zhao</t>
  </si>
  <si>
    <t>NCN9GVS7YB2ETCVN7MZBV9G447DJ76R2C78P4GRG46G7PJNY5X10</t>
  </si>
  <si>
    <t>Ke Xin Fan</t>
  </si>
  <si>
    <t>Create</t>
  </si>
  <si>
    <t>43e74f5e-fdec-4851-a7e3-f2b67db0a874</t>
  </si>
  <si>
    <t>{"id":"43e74f5e-fdec-4851-a7e3-f2b67db0a874","type":1,"name":"workbookId","value":"b5fed707-a5e1-41e7-90ea-c8bf1afb7393"}</t>
  </si>
  <si>
    <t>b3b59359-d103-49e6-8aa8-8b3c6dc2469f</t>
  </si>
  <si>
    <t>{"id":"b3b59359-d103-49e6-8aa8-8b3c6dc2469f","type":0,"name":"dataSnipperSheetDeleted","value":"false"}</t>
  </si>
  <si>
    <t>1ba7a49d-3884-45bf-a1cd-9b545a33a148</t>
  </si>
  <si>
    <t>{"id":"1ba7a49d-3884-45bf-a1cd-9b545a33a148","type":0,"name":"embed-documents","value":"false"}</t>
  </si>
  <si>
    <t>2da51c6f-2887-4ab8-b794-f0882ed51f8b</t>
  </si>
  <si>
    <t>{"id":"2da51c6f-2887-4ab8-b794-f0882ed51f8b","type":0,"name":"table-snip-suggestions","value":"true"}</t>
  </si>
  <si>
    <t>59e25a66-02e1-453d-9d73-e54f1002ebaf</t>
  </si>
  <si>
    <t>{"id":"59e25a66-02e1-453d-9d73-e54f1002ebaf","type":1,"name":"migratedFssProjectId","value":""}</t>
  </si>
  <si>
    <t>{"id":"43e74f5e-fdec-4851-a7e3-f2b67db0a874","type":1,"name":"workbookId","value":"40cf15e0-f475-4d40-b690-3b6369fb9626"}</t>
  </si>
  <si>
    <t>{"id":"1ba7a49d-3884-45bf-a1cd-9b545a33a148","type":0,"name":"embed-documents","value":"true"}</t>
  </si>
  <si>
    <t>8FYGPQKC1046Y3JN44MJH8JRYMY9MG15FZA2B6VX5K909WKJATJG</t>
  </si>
  <si>
    <t>Dana D Li</t>
  </si>
  <si>
    <r>
      <rPr>
        <b/>
        <sz val="14"/>
        <color rgb="FFFF0000"/>
        <rFont val="微软雅黑"/>
        <family val="2"/>
        <charset val="134"/>
      </rPr>
      <t>该底稿适用项目组年审时执行全年</t>
    </r>
    <r>
      <rPr>
        <b/>
        <sz val="14"/>
        <color rgb="FFFF0000"/>
        <rFont val="Arial"/>
        <family val="2"/>
      </rPr>
      <t>TOD</t>
    </r>
    <r>
      <rPr>
        <b/>
        <sz val="14"/>
        <color rgb="FFFF0000"/>
        <rFont val="微软雅黑"/>
        <family val="2"/>
        <charset val="134"/>
      </rPr>
      <t>程序。即不在预审分配样本执行</t>
    </r>
    <r>
      <rPr>
        <b/>
        <sz val="14"/>
        <color rgb="FFFF0000"/>
        <rFont val="Arial"/>
        <family val="2"/>
      </rPr>
      <t>TOD</t>
    </r>
    <r>
      <rPr>
        <b/>
        <sz val="14"/>
        <color rgb="FFFF0000"/>
        <rFont val="微软雅黑"/>
        <family val="2"/>
        <charset val="134"/>
      </rPr>
      <t>。</t>
    </r>
  </si>
  <si>
    <r>
      <rPr>
        <b/>
        <u/>
        <sz val="14"/>
        <color indexed="8"/>
        <rFont val="微软雅黑"/>
        <family val="2"/>
        <charset val="134"/>
      </rPr>
      <t>目标</t>
    </r>
  </si>
  <si>
    <r>
      <rPr>
        <sz val="14"/>
        <color indexed="8"/>
        <rFont val="微软雅黑"/>
        <family val="2"/>
        <charset val="134"/>
      </rPr>
      <t>通过在全年费用交易中选取关键项（</t>
    </r>
    <r>
      <rPr>
        <sz val="14"/>
        <color indexed="8"/>
        <rFont val="Arial"/>
        <family val="2"/>
      </rPr>
      <t>key item</t>
    </r>
    <r>
      <rPr>
        <sz val="14"/>
        <color indexed="8"/>
        <rFont val="微软雅黑"/>
        <family val="2"/>
        <charset val="134"/>
      </rPr>
      <t>）和代表性样本进行细节测试，确保对费用交易在本年度内准确记录并正确分类。</t>
    </r>
  </si>
  <si>
    <r>
      <rPr>
        <sz val="14"/>
        <rFont val="微软雅黑"/>
        <family val="2"/>
        <charset val="134"/>
      </rPr>
      <t>非同一重大交易类别且不具有类似特征</t>
    </r>
    <r>
      <rPr>
        <sz val="14"/>
        <rFont val="Arial"/>
        <family val="2"/>
      </rPr>
      <t>(</t>
    </r>
    <r>
      <rPr>
        <sz val="14"/>
        <rFont val="微软雅黑"/>
        <family val="2"/>
        <charset val="134"/>
      </rPr>
      <t>如不同</t>
    </r>
    <r>
      <rPr>
        <sz val="14"/>
        <rFont val="Arial"/>
        <family val="2"/>
      </rPr>
      <t>CRA)</t>
    </r>
    <r>
      <rPr>
        <sz val="14"/>
        <rFont val="微软雅黑"/>
        <family val="2"/>
        <charset val="134"/>
      </rPr>
      <t>的费用类型，应当分别进行</t>
    </r>
    <r>
      <rPr>
        <sz val="14"/>
        <rFont val="Arial"/>
        <family val="2"/>
      </rPr>
      <t>TOD</t>
    </r>
    <r>
      <rPr>
        <sz val="14"/>
        <rFont val="微软雅黑"/>
        <family val="2"/>
        <charset val="134"/>
      </rPr>
      <t>测试。</t>
    </r>
  </si>
  <si>
    <r>
      <rPr>
        <b/>
        <sz val="10"/>
        <rFont val="微软雅黑"/>
        <family val="2"/>
        <charset val="134"/>
      </rPr>
      <t>抽样策略</t>
    </r>
  </si>
  <si>
    <r>
      <rPr>
        <b/>
        <sz val="10"/>
        <color theme="1"/>
        <rFont val="微软雅黑"/>
        <family val="2"/>
        <charset val="134"/>
      </rPr>
      <t>确定样本总体和完整性测试</t>
    </r>
  </si>
  <si>
    <r>
      <rPr>
        <b/>
        <sz val="10"/>
        <color theme="1"/>
        <rFont val="微软雅黑"/>
        <family val="2"/>
        <charset val="134"/>
      </rPr>
      <t>总体名称</t>
    </r>
  </si>
  <si>
    <r>
      <rPr>
        <b/>
        <sz val="10"/>
        <color theme="1"/>
        <rFont val="微软雅黑"/>
        <family val="2"/>
        <charset val="134"/>
      </rPr>
      <t>数据来源</t>
    </r>
    <r>
      <rPr>
        <b/>
        <sz val="10"/>
        <color theme="1"/>
        <rFont val="Arial"/>
        <family val="2"/>
      </rPr>
      <t xml:space="preserve"> X-ref</t>
    </r>
  </si>
  <si>
    <r>
      <rPr>
        <b/>
        <sz val="10"/>
        <color theme="1"/>
        <rFont val="微软雅黑"/>
        <family val="2"/>
        <charset val="134"/>
      </rPr>
      <t>金额</t>
    </r>
  </si>
  <si>
    <r>
      <rPr>
        <b/>
        <sz val="10"/>
        <color theme="1"/>
        <rFont val="微软雅黑"/>
        <family val="2"/>
        <charset val="134"/>
      </rPr>
      <t>总体金额</t>
    </r>
  </si>
  <si>
    <r>
      <rPr>
        <b/>
        <sz val="10"/>
        <color theme="1"/>
        <rFont val="微软雅黑"/>
        <family val="2"/>
        <charset val="134"/>
      </rPr>
      <t>剔除：</t>
    </r>
  </si>
  <si>
    <r>
      <rPr>
        <b/>
        <sz val="10"/>
        <color theme="1"/>
        <rFont val="微软雅黑"/>
        <family val="2"/>
        <charset val="134"/>
      </rPr>
      <t>执行审计工作底稿</t>
    </r>
    <r>
      <rPr>
        <b/>
        <sz val="10"/>
        <color theme="1"/>
        <rFont val="Arial"/>
        <family val="2"/>
      </rPr>
      <t>X-ref</t>
    </r>
  </si>
  <si>
    <r>
      <rPr>
        <b/>
        <sz val="10"/>
        <color rgb="FFFF0000"/>
        <rFont val="Arial"/>
        <family val="2"/>
      </rPr>
      <t xml:space="preserve">a. </t>
    </r>
    <r>
      <rPr>
        <b/>
        <sz val="10"/>
        <color rgb="FF000000"/>
        <rFont val="微软雅黑"/>
        <family val="2"/>
        <charset val="134"/>
      </rPr>
      <t>在其他底稿中已执行程序项：</t>
    </r>
    <r>
      <rPr>
        <b/>
        <i/>
        <sz val="10"/>
        <color rgb="FFFF0000"/>
        <rFont val="Arial"/>
        <family val="2"/>
      </rPr>
      <t>(</t>
    </r>
    <r>
      <rPr>
        <b/>
        <i/>
        <sz val="10"/>
        <color rgb="FFFF0000"/>
        <rFont val="微软雅黑"/>
        <family val="2"/>
        <charset val="134"/>
      </rPr>
      <t>以下可由项目组自定义</t>
    </r>
    <r>
      <rPr>
        <b/>
        <i/>
        <sz val="10"/>
        <color rgb="FFFF0000"/>
        <rFont val="Arial"/>
        <family val="2"/>
      </rPr>
      <t>)</t>
    </r>
    <phoneticPr fontId="167" type="noConversion"/>
  </si>
  <si>
    <t>固定资产折旧费</t>
    <phoneticPr fontId="167" type="noConversion"/>
  </si>
  <si>
    <r>
      <rPr>
        <b/>
        <sz val="10"/>
        <color rgb="FFFF0000"/>
        <rFont val="Arial"/>
        <family val="2"/>
      </rPr>
      <t>eg.</t>
    </r>
    <r>
      <rPr>
        <b/>
        <sz val="10"/>
        <color theme="1"/>
        <rFont val="Arial"/>
        <family val="2"/>
      </rPr>
      <t>VC.00</t>
    </r>
  </si>
  <si>
    <r>
      <rPr>
        <b/>
        <sz val="10"/>
        <color rgb="FFFF0000"/>
        <rFont val="Arial"/>
        <family val="2"/>
      </rPr>
      <t>eg.</t>
    </r>
    <r>
      <rPr>
        <b/>
        <sz val="10"/>
        <color theme="1"/>
        <rFont val="Arial"/>
        <family val="2"/>
      </rPr>
      <t>&lt;</t>
    </r>
    <r>
      <rPr>
        <b/>
        <sz val="10"/>
        <color theme="1"/>
        <rFont val="微软雅黑"/>
        <family val="2"/>
        <charset val="134"/>
      </rPr>
      <t>固定资产折旧测算</t>
    </r>
    <r>
      <rPr>
        <b/>
        <sz val="10"/>
        <color theme="1"/>
        <rFont val="Arial"/>
        <family val="2"/>
      </rPr>
      <t>&gt;</t>
    </r>
  </si>
  <si>
    <t>使用权资产折旧费</t>
    <phoneticPr fontId="167" type="noConversion"/>
  </si>
  <si>
    <t>无形资产摊销费</t>
    <phoneticPr fontId="167" type="noConversion"/>
  </si>
  <si>
    <t>长期待摊费用摊销费</t>
    <phoneticPr fontId="167" type="noConversion"/>
  </si>
  <si>
    <t>工资薪酬</t>
    <phoneticPr fontId="167" type="noConversion"/>
  </si>
  <si>
    <t>租赁费</t>
    <phoneticPr fontId="167" type="noConversion"/>
  </si>
  <si>
    <t>预提费用（含预提和冲销）</t>
    <phoneticPr fontId="167" type="noConversion"/>
  </si>
  <si>
    <r>
      <t>[</t>
    </r>
    <r>
      <rPr>
        <i/>
        <sz val="10"/>
        <color rgb="FFFF0000"/>
        <rFont val="微软雅黑"/>
        <family val="2"/>
        <charset val="134"/>
      </rPr>
      <t>其他剔除金额</t>
    </r>
    <r>
      <rPr>
        <i/>
        <sz val="10"/>
        <color rgb="FFFF0000"/>
        <rFont val="Arial"/>
        <family val="2"/>
      </rPr>
      <t>]</t>
    </r>
    <phoneticPr fontId="167" type="noConversion"/>
  </si>
  <si>
    <r>
      <t xml:space="preserve"> b. </t>
    </r>
    <r>
      <rPr>
        <b/>
        <sz val="10"/>
        <rFont val="微软雅黑"/>
        <family val="2"/>
        <charset val="134"/>
      </rPr>
      <t>负值</t>
    </r>
    <phoneticPr fontId="167" type="noConversion"/>
  </si>
  <si>
    <r>
      <rPr>
        <sz val="10"/>
        <color theme="1"/>
        <rFont val="微软雅黑"/>
        <family val="2"/>
        <charset val="134"/>
      </rPr>
      <t>对于负值我们执行的审计工作详见以下</t>
    </r>
    <r>
      <rPr>
        <b/>
        <sz val="10"/>
        <color rgb="FFFF0000"/>
        <rFont val="微软雅黑"/>
        <family val="2"/>
        <charset val="134"/>
      </rPr>
      <t>表</t>
    </r>
    <r>
      <rPr>
        <b/>
        <sz val="10"/>
        <color rgb="FFFF0000"/>
        <rFont val="Arial"/>
        <family val="2"/>
      </rPr>
      <t>2</t>
    </r>
    <phoneticPr fontId="167" type="noConversion"/>
  </si>
  <si>
    <r>
      <rPr>
        <b/>
        <sz val="10"/>
        <color theme="1"/>
        <rFont val="微软雅黑"/>
        <family val="2"/>
        <charset val="134"/>
      </rPr>
      <t>剔除样本合计</t>
    </r>
  </si>
  <si>
    <r>
      <rPr>
        <b/>
        <sz val="10"/>
        <rFont val="微软雅黑"/>
        <family val="2"/>
        <charset val="134"/>
      </rPr>
      <t>扣除剔除项后样本总体金额：</t>
    </r>
  </si>
  <si>
    <r>
      <rPr>
        <b/>
        <sz val="10"/>
        <color rgb="FF000000"/>
        <rFont val="微软雅黑"/>
        <family val="2"/>
        <charset val="134"/>
      </rPr>
      <t>确定关键项（</t>
    </r>
    <r>
      <rPr>
        <b/>
        <sz val="10"/>
        <color rgb="FF000000"/>
        <rFont val="Arial"/>
        <family val="2"/>
      </rPr>
      <t>key item</t>
    </r>
    <r>
      <rPr>
        <b/>
        <sz val="10"/>
        <color rgb="FF000000"/>
        <rFont val="微软雅黑"/>
        <family val="2"/>
        <charset val="134"/>
      </rPr>
      <t>）</t>
    </r>
  </si>
  <si>
    <r>
      <rPr>
        <b/>
        <sz val="10"/>
        <color theme="1"/>
        <rFont val="微软雅黑"/>
        <family val="2"/>
        <charset val="134"/>
      </rPr>
      <t>数量</t>
    </r>
    <phoneticPr fontId="119" type="noConversion"/>
  </si>
  <si>
    <r>
      <rPr>
        <i/>
        <sz val="10"/>
        <color rgb="FFFF0000"/>
        <rFont val="微软雅黑"/>
        <family val="2"/>
        <charset val="134"/>
      </rPr>
      <t>单笔发生额大于测试阈值</t>
    </r>
  </si>
  <si>
    <r>
      <rPr>
        <i/>
        <sz val="10"/>
        <color rgb="FFFF0000"/>
        <rFont val="微软雅黑"/>
        <family val="2"/>
        <charset val="134"/>
      </rPr>
      <t>性质特殊</t>
    </r>
    <r>
      <rPr>
        <i/>
        <sz val="10"/>
        <color rgb="FFFF0000"/>
        <rFont val="Arial"/>
        <family val="2"/>
      </rPr>
      <t>[</t>
    </r>
    <r>
      <rPr>
        <i/>
        <sz val="10"/>
        <color rgb="FFFF0000"/>
        <rFont val="微软雅黑"/>
        <family val="2"/>
        <charset val="134"/>
      </rPr>
      <t>款项性质</t>
    </r>
    <r>
      <rPr>
        <i/>
        <sz val="10"/>
        <color rgb="FFFF0000"/>
        <rFont val="Arial"/>
        <family val="2"/>
      </rPr>
      <t>]</t>
    </r>
  </si>
  <si>
    <r>
      <t>[</t>
    </r>
    <r>
      <rPr>
        <i/>
        <sz val="10"/>
        <color rgb="FFFF0000"/>
        <rFont val="微软雅黑"/>
        <family val="2"/>
        <charset val="134"/>
      </rPr>
      <t>其他项目组认为存在风险的样本</t>
    </r>
    <r>
      <rPr>
        <i/>
        <sz val="10"/>
        <color rgb="FFFF0000"/>
        <rFont val="Arial"/>
        <family val="2"/>
      </rPr>
      <t>]</t>
    </r>
  </si>
  <si>
    <r>
      <rPr>
        <b/>
        <sz val="10"/>
        <color theme="1"/>
        <rFont val="微软雅黑"/>
        <family val="2"/>
        <charset val="134"/>
      </rPr>
      <t>合计</t>
    </r>
  </si>
  <si>
    <t>Rx</t>
    <phoneticPr fontId="119" type="noConversion"/>
  </si>
  <si>
    <r>
      <rPr>
        <b/>
        <sz val="10"/>
        <color rgb="FF000000"/>
        <rFont val="微软雅黑"/>
        <family val="2"/>
        <charset val="134"/>
      </rPr>
      <t>使用安永抽样工具对扣除关键项后的剩余样本总体抽取代表性样本</t>
    </r>
  </si>
  <si>
    <r>
      <rPr>
        <b/>
        <sz val="10"/>
        <color theme="1"/>
        <rFont val="微软雅黑"/>
        <family val="2"/>
        <charset val="134"/>
      </rPr>
      <t>扣除剔除项和关键项后剩余样本总体：</t>
    </r>
  </si>
  <si>
    <r>
      <rPr>
        <b/>
        <sz val="10"/>
        <rFont val="微软雅黑"/>
        <family val="2"/>
        <charset val="134"/>
      </rPr>
      <t>我们对抽出的关键项和代表性样本执行以下程序：</t>
    </r>
  </si>
  <si>
    <r>
      <rPr>
        <b/>
        <sz val="10"/>
        <rFont val="微软雅黑"/>
        <family val="2"/>
        <charset val="134"/>
      </rPr>
      <t>安永属性测试说明：获取相关支持性文件（如采购订单、发票、交货单、供应商合同、供应商借项通知单、结算单），检查了日记账分录，并得出结论：所记录的费用为：</t>
    </r>
  </si>
  <si>
    <t>A</t>
  </si>
  <si>
    <r>
      <rPr>
        <sz val="10"/>
        <rFont val="微软雅黑"/>
        <family val="2"/>
        <charset val="134"/>
      </rPr>
      <t>金额与支持性文件核对一致。</t>
    </r>
    <phoneticPr fontId="167" type="noConversion"/>
  </si>
  <si>
    <t>B</t>
  </si>
  <si>
    <r>
      <rPr>
        <sz val="10"/>
        <rFont val="微软雅黑"/>
        <family val="2"/>
        <charset val="134"/>
      </rPr>
      <t>记录在恰当的期间。</t>
    </r>
  </si>
  <si>
    <t>C</t>
  </si>
  <si>
    <r>
      <rPr>
        <sz val="10"/>
        <rFont val="微软雅黑"/>
        <family val="2"/>
        <charset val="134"/>
      </rPr>
      <t>分类恰当（即金额被记录至适当的账户，并包含在恰当的利润表项目中），这是基于费用的性质以及我们对该实体会计政策的理解。</t>
    </r>
    <phoneticPr fontId="167" type="noConversion"/>
  </si>
  <si>
    <t>EY Works</t>
    <phoneticPr fontId="167" type="noConversion"/>
  </si>
  <si>
    <r>
      <rPr>
        <b/>
        <sz val="10"/>
        <rFont val="微软雅黑"/>
        <family val="2"/>
        <charset val="134"/>
      </rPr>
      <t>抽样</t>
    </r>
    <r>
      <rPr>
        <b/>
        <sz val="10"/>
        <rFont val="Arial"/>
        <family val="2"/>
      </rPr>
      <t>ID</t>
    </r>
  </si>
  <si>
    <r>
      <rPr>
        <b/>
        <sz val="10"/>
        <rFont val="微软雅黑"/>
        <family val="2"/>
        <charset val="134"/>
      </rPr>
      <t>样本类型</t>
    </r>
    <phoneticPr fontId="167" type="noConversion"/>
  </si>
  <si>
    <r>
      <rPr>
        <b/>
        <sz val="10"/>
        <rFont val="微软雅黑"/>
        <family val="2"/>
        <charset val="134"/>
      </rPr>
      <t>凭证日期</t>
    </r>
    <phoneticPr fontId="167" type="noConversion"/>
  </si>
  <si>
    <r>
      <rPr>
        <b/>
        <sz val="10"/>
        <rFont val="微软雅黑"/>
        <family val="2"/>
        <charset val="134"/>
      </rPr>
      <t>凭证号</t>
    </r>
  </si>
  <si>
    <r>
      <rPr>
        <b/>
        <sz val="10"/>
        <rFont val="微软雅黑"/>
        <family val="2"/>
        <charset val="134"/>
      </rPr>
      <t>凭证摘要</t>
    </r>
  </si>
  <si>
    <r>
      <rPr>
        <b/>
        <sz val="10"/>
        <rFont val="微软雅黑"/>
        <family val="2"/>
        <charset val="134"/>
      </rPr>
      <t>科目编码</t>
    </r>
  </si>
  <si>
    <r>
      <rPr>
        <b/>
        <sz val="10"/>
        <rFont val="微软雅黑"/>
        <family val="2"/>
        <charset val="134"/>
      </rPr>
      <t>科目名称</t>
    </r>
  </si>
  <si>
    <r>
      <rPr>
        <b/>
        <sz val="10"/>
        <rFont val="微软雅黑"/>
        <family val="2"/>
        <charset val="134"/>
      </rPr>
      <t>凭证金额</t>
    </r>
    <phoneticPr fontId="167" type="noConversion"/>
  </si>
  <si>
    <r>
      <rPr>
        <b/>
        <sz val="10"/>
        <rFont val="微软雅黑"/>
        <family val="2"/>
        <charset val="134"/>
      </rPr>
      <t>供应商</t>
    </r>
    <r>
      <rPr>
        <b/>
        <sz val="10"/>
        <rFont val="Arial"/>
        <family val="2"/>
      </rPr>
      <t>/</t>
    </r>
    <r>
      <rPr>
        <b/>
        <sz val="10"/>
        <rFont val="微软雅黑"/>
        <family val="2"/>
        <charset val="134"/>
      </rPr>
      <t>分包商名称</t>
    </r>
  </si>
  <si>
    <r>
      <rPr>
        <b/>
        <sz val="10"/>
        <color rgb="FF000000"/>
        <rFont val="微软雅黑"/>
        <family val="2"/>
        <charset val="134"/>
      </rPr>
      <t>获得的支持性证据的名称及编号</t>
    </r>
    <phoneticPr fontId="167" type="noConversion"/>
  </si>
  <si>
    <r>
      <rPr>
        <b/>
        <sz val="10"/>
        <rFont val="微软雅黑"/>
        <family val="2"/>
        <charset val="134"/>
      </rPr>
      <t>获得的交易凭据日期（费用实际发生日期）</t>
    </r>
    <phoneticPr fontId="167" type="noConversion"/>
  </si>
  <si>
    <r>
      <rPr>
        <b/>
        <sz val="10"/>
        <rFont val="微软雅黑"/>
        <family val="2"/>
        <charset val="134"/>
      </rPr>
      <t>获得的交易凭据金额（费用实际发生金额）</t>
    </r>
    <phoneticPr fontId="167" type="noConversion"/>
  </si>
  <si>
    <r>
      <rPr>
        <b/>
        <sz val="10"/>
        <rFont val="微软雅黑"/>
        <family val="2"/>
        <charset val="134"/>
      </rPr>
      <t>支持性证据金额与凭证金额之间的差异</t>
    </r>
  </si>
  <si>
    <r>
      <rPr>
        <b/>
        <sz val="10"/>
        <rFont val="微软雅黑"/>
        <family val="2"/>
        <charset val="134"/>
      </rPr>
      <t>如有异常，请解释</t>
    </r>
  </si>
  <si>
    <r>
      <rPr>
        <b/>
        <sz val="10"/>
        <color rgb="FFFF0000"/>
        <rFont val="微软雅黑"/>
        <family val="2"/>
        <charset val="134"/>
      </rPr>
      <t>异常解释：</t>
    </r>
    <r>
      <rPr>
        <b/>
        <sz val="10"/>
        <color rgb="FFFF0000"/>
        <rFont val="Arial"/>
        <family val="2"/>
      </rPr>
      <t>(</t>
    </r>
    <r>
      <rPr>
        <b/>
        <sz val="10"/>
        <color rgb="FFFF0000"/>
        <rFont val="微软雅黑"/>
        <family val="2"/>
        <charset val="134"/>
      </rPr>
      <t>如以上有</t>
    </r>
    <r>
      <rPr>
        <b/>
        <sz val="10"/>
        <color rgb="FFFF0000"/>
        <rFont val="Arial"/>
        <family val="2"/>
      </rPr>
      <t>"N",</t>
    </r>
    <r>
      <rPr>
        <b/>
        <sz val="10"/>
        <color rgb="FFFF0000"/>
        <rFont val="微软雅黑"/>
        <family val="2"/>
        <charset val="134"/>
      </rPr>
      <t>则需详细解释异常情况并且记录如何解决，包括记录执行的额外的实质性程序）</t>
    </r>
  </si>
  <si>
    <r>
      <rPr>
        <b/>
        <sz val="10"/>
        <color rgb="FFFF0000"/>
        <rFont val="微软雅黑"/>
        <family val="2"/>
        <charset val="134"/>
      </rPr>
      <t>表</t>
    </r>
    <r>
      <rPr>
        <b/>
        <sz val="10"/>
        <color rgb="FFFF0000"/>
        <rFont val="Arial"/>
        <family val="2"/>
      </rPr>
      <t>2</t>
    </r>
  </si>
  <si>
    <r>
      <rPr>
        <b/>
        <sz val="10"/>
        <color rgb="FF000000"/>
        <rFont val="微软雅黑"/>
        <family val="2"/>
        <charset val="134"/>
      </rPr>
      <t>我们根据剔除负值项金额是否重大</t>
    </r>
    <r>
      <rPr>
        <b/>
        <sz val="10"/>
        <color rgb="FF000000"/>
        <rFont val="Arial"/>
        <family val="2"/>
      </rPr>
      <t>(</t>
    </r>
    <r>
      <rPr>
        <b/>
        <sz val="10"/>
        <color rgb="FF000000"/>
        <rFont val="微软雅黑"/>
        <family val="2"/>
        <charset val="134"/>
      </rPr>
      <t>如绝对值是否超过</t>
    </r>
    <r>
      <rPr>
        <b/>
        <sz val="10"/>
        <color rgb="FF000000"/>
        <rFont val="Arial"/>
        <family val="2"/>
      </rPr>
      <t>TT</t>
    </r>
    <r>
      <rPr>
        <b/>
        <sz val="10"/>
        <color rgb="FF000000"/>
        <rFont val="微软雅黑"/>
        <family val="2"/>
        <charset val="134"/>
      </rPr>
      <t>）、性质是否特殊，判断是否需要对负值项使用安永抽样工具执行抽样检查，我们将执行的工作记录以下：</t>
    </r>
  </si>
  <si>
    <t>a</t>
  </si>
  <si>
    <r>
      <rPr>
        <b/>
        <sz val="10"/>
        <color rgb="FF000000"/>
        <rFont val="微软雅黑"/>
        <family val="2"/>
        <charset val="134"/>
      </rPr>
      <t>我们对负值性质及金额是否重大进行分析记录在以下：注：如果负数中属于冲销预提费用产生的金额建议查看小灯泡获取指引。</t>
    </r>
    <phoneticPr fontId="1" type="noConversion"/>
  </si>
  <si>
    <r>
      <rPr>
        <b/>
        <sz val="10"/>
        <color rgb="FF000000"/>
        <rFont val="微软雅黑"/>
        <family val="2"/>
        <charset val="134"/>
      </rPr>
      <t>按照负值性质分类：</t>
    </r>
    <phoneticPr fontId="1" type="noConversion"/>
  </si>
  <si>
    <r>
      <rPr>
        <b/>
        <sz val="10"/>
        <rFont val="微软雅黑"/>
        <family val="2"/>
        <charset val="134"/>
      </rPr>
      <t>金额</t>
    </r>
    <phoneticPr fontId="1" type="noConversion"/>
  </si>
  <si>
    <r>
      <rPr>
        <b/>
        <sz val="10"/>
        <rFont val="微软雅黑"/>
        <family val="2"/>
        <charset val="134"/>
      </rPr>
      <t>是否抽样进行进一步工作</t>
    </r>
    <phoneticPr fontId="1" type="noConversion"/>
  </si>
  <si>
    <r>
      <rPr>
        <b/>
        <sz val="10"/>
        <color rgb="FF000000"/>
        <rFont val="微软雅黑"/>
        <family val="2"/>
        <charset val="134"/>
      </rPr>
      <t>冲销预提费用</t>
    </r>
    <phoneticPr fontId="1" type="noConversion"/>
  </si>
  <si>
    <r>
      <rPr>
        <b/>
        <sz val="10"/>
        <color rgb="FF000000"/>
        <rFont val="微软雅黑"/>
        <family val="2"/>
        <charset val="134"/>
      </rPr>
      <t>其他性质</t>
    </r>
    <phoneticPr fontId="1" type="noConversion"/>
  </si>
  <si>
    <r>
      <rPr>
        <b/>
        <sz val="10"/>
        <color rgb="FF000000"/>
        <rFont val="微软雅黑"/>
        <family val="2"/>
        <charset val="134"/>
      </rPr>
      <t>合计</t>
    </r>
    <phoneticPr fontId="1" type="noConversion"/>
  </si>
  <si>
    <t>b.1</t>
  </si>
  <si>
    <r>
      <rPr>
        <b/>
        <sz val="10"/>
        <rFont val="微软雅黑"/>
        <family val="2"/>
        <charset val="134"/>
      </rPr>
      <t>如决定对负值进行抽样，则将抽样策略记录在以下：</t>
    </r>
    <phoneticPr fontId="167" type="noConversion"/>
  </si>
  <si>
    <t>b.2</t>
  </si>
  <si>
    <r>
      <rPr>
        <b/>
        <sz val="10"/>
        <rFont val="微软雅黑"/>
        <family val="2"/>
        <charset val="134"/>
      </rPr>
      <t>我们对抽取的样本执行以下工作：</t>
    </r>
    <phoneticPr fontId="1" type="noConversion"/>
  </si>
  <si>
    <r>
      <rPr>
        <b/>
        <sz val="10"/>
        <rFont val="微软雅黑"/>
        <family val="2"/>
        <charset val="134"/>
      </rPr>
      <t>安永属性测试说明：</t>
    </r>
  </si>
  <si>
    <t>D</t>
  </si>
  <si>
    <r>
      <rPr>
        <sz val="10"/>
        <color theme="1"/>
        <rFont val="微软雅黑"/>
        <family val="2"/>
        <charset val="134"/>
      </rPr>
      <t>负值产生的原因是否合理。</t>
    </r>
    <phoneticPr fontId="119" type="noConversion"/>
  </si>
  <si>
    <t>E</t>
  </si>
  <si>
    <r>
      <rPr>
        <sz val="10"/>
        <color theme="1"/>
        <rFont val="微软雅黑"/>
        <family val="2"/>
        <charset val="134"/>
      </rPr>
      <t>负值入账的期间是否合理。</t>
    </r>
    <phoneticPr fontId="119" type="noConversion"/>
  </si>
  <si>
    <t>F</t>
  </si>
  <si>
    <r>
      <rPr>
        <sz val="10"/>
        <color theme="1"/>
        <rFont val="微软雅黑"/>
        <family val="2"/>
        <charset val="134"/>
      </rPr>
      <t>负值金额是否正确。</t>
    </r>
    <phoneticPr fontId="119" type="noConversion"/>
  </si>
  <si>
    <r>
      <rPr>
        <b/>
        <sz val="10"/>
        <rFont val="微软雅黑"/>
        <family val="2"/>
        <charset val="134"/>
      </rPr>
      <t>凭证日期</t>
    </r>
  </si>
  <si>
    <r>
      <rPr>
        <b/>
        <sz val="10"/>
        <rFont val="微软雅黑"/>
        <family val="2"/>
        <charset val="134"/>
      </rPr>
      <t>凭证摘要</t>
    </r>
    <phoneticPr fontId="167" type="noConversion"/>
  </si>
  <si>
    <r>
      <rPr>
        <b/>
        <sz val="10"/>
        <rFont val="微软雅黑"/>
        <family val="2"/>
        <charset val="134"/>
      </rPr>
      <t>科目编码</t>
    </r>
    <phoneticPr fontId="167" type="noConversion"/>
  </si>
  <si>
    <r>
      <rPr>
        <b/>
        <sz val="10"/>
        <rFont val="微软雅黑"/>
        <family val="2"/>
        <charset val="134"/>
      </rPr>
      <t>科目名称</t>
    </r>
    <phoneticPr fontId="167" type="noConversion"/>
  </si>
  <si>
    <r>
      <rPr>
        <b/>
        <sz val="10"/>
        <rFont val="微软雅黑"/>
        <family val="2"/>
        <charset val="134"/>
      </rPr>
      <t>金额</t>
    </r>
  </si>
  <si>
    <r>
      <rPr>
        <b/>
        <sz val="10"/>
        <rFont val="微软雅黑"/>
        <family val="2"/>
        <charset val="134"/>
      </rPr>
      <t>获得支持性证据的名称及编号</t>
    </r>
    <phoneticPr fontId="167" type="noConversion"/>
  </si>
  <si>
    <r>
      <rPr>
        <b/>
        <sz val="10"/>
        <rFont val="微软雅黑"/>
        <family val="2"/>
        <charset val="134"/>
      </rPr>
      <t>负值产生的原因</t>
    </r>
  </si>
  <si>
    <r>
      <rPr>
        <b/>
        <sz val="14"/>
        <color rgb="FFFF0000"/>
        <rFont val="微软雅黑"/>
        <family val="2"/>
        <charset val="134"/>
      </rPr>
      <t>该底稿适用项目组将</t>
    </r>
    <r>
      <rPr>
        <b/>
        <sz val="14"/>
        <color rgb="FFFF0000"/>
        <rFont val="Arial"/>
        <family val="2"/>
      </rPr>
      <t>TOD</t>
    </r>
    <r>
      <rPr>
        <b/>
        <sz val="14"/>
        <color rgb="FFFF0000"/>
        <rFont val="微软雅黑"/>
        <family val="2"/>
        <charset val="134"/>
      </rPr>
      <t>样本在年审预审中进行分配，并分别在预审和年审中执行</t>
    </r>
    <r>
      <rPr>
        <b/>
        <sz val="14"/>
        <color rgb="FFFF0000"/>
        <rFont val="Arial"/>
        <family val="2"/>
      </rPr>
      <t>TOD</t>
    </r>
    <r>
      <rPr>
        <b/>
        <sz val="14"/>
        <color rgb="FFFF0000"/>
        <rFont val="微软雅黑"/>
        <family val="2"/>
        <charset val="134"/>
      </rPr>
      <t>。</t>
    </r>
  </si>
  <si>
    <r>
      <rPr>
        <sz val="14"/>
        <color indexed="8"/>
        <rFont val="微软雅黑"/>
        <family val="2"/>
        <charset val="134"/>
      </rPr>
      <t>非同一重大交易类别且不具有类似特征</t>
    </r>
    <r>
      <rPr>
        <sz val="14"/>
        <color indexed="8"/>
        <rFont val="Arial"/>
        <family val="2"/>
      </rPr>
      <t>(</t>
    </r>
    <r>
      <rPr>
        <sz val="14"/>
        <color indexed="8"/>
        <rFont val="微软雅黑"/>
        <family val="2"/>
        <charset val="134"/>
      </rPr>
      <t>如不同</t>
    </r>
    <r>
      <rPr>
        <sz val="14"/>
        <color indexed="8"/>
        <rFont val="Arial"/>
        <family val="2"/>
      </rPr>
      <t>CRA)</t>
    </r>
    <r>
      <rPr>
        <sz val="14"/>
        <color indexed="8"/>
        <rFont val="微软雅黑"/>
        <family val="2"/>
        <charset val="134"/>
      </rPr>
      <t>的费用类型，应当分别进行</t>
    </r>
    <r>
      <rPr>
        <sz val="14"/>
        <color indexed="8"/>
        <rFont val="Arial"/>
        <family val="2"/>
      </rPr>
      <t>TOD</t>
    </r>
    <r>
      <rPr>
        <sz val="14"/>
        <color indexed="8"/>
        <rFont val="微软雅黑"/>
        <family val="2"/>
        <charset val="134"/>
      </rPr>
      <t>测试。</t>
    </r>
  </si>
  <si>
    <r>
      <rPr>
        <b/>
        <sz val="10"/>
        <color theme="1"/>
        <rFont val="微软雅黑"/>
        <family val="2"/>
        <charset val="134"/>
      </rPr>
      <t>数据来源</t>
    </r>
    <r>
      <rPr>
        <b/>
        <sz val="10"/>
        <color theme="1"/>
        <rFont val="Arial"/>
        <family val="2"/>
      </rPr>
      <t xml:space="preserve"> X-ref</t>
    </r>
    <phoneticPr fontId="119" type="noConversion"/>
  </si>
  <si>
    <r>
      <rPr>
        <b/>
        <sz val="10"/>
        <color theme="1"/>
        <rFont val="微软雅黑"/>
        <family val="2"/>
        <charset val="134"/>
      </rPr>
      <t>预审期间（如</t>
    </r>
    <r>
      <rPr>
        <b/>
        <sz val="10"/>
        <color theme="1"/>
        <rFont val="Arial"/>
        <family val="2"/>
      </rPr>
      <t>1-9</t>
    </r>
    <r>
      <rPr>
        <b/>
        <sz val="10"/>
        <color theme="1"/>
        <rFont val="微软雅黑"/>
        <family val="2"/>
        <charset val="134"/>
      </rPr>
      <t>月份）</t>
    </r>
  </si>
  <si>
    <r>
      <rPr>
        <b/>
        <sz val="10"/>
        <color theme="1"/>
        <rFont val="微软雅黑"/>
        <family val="2"/>
        <charset val="134"/>
      </rPr>
      <t>剩余期间（如</t>
    </r>
    <r>
      <rPr>
        <b/>
        <sz val="10"/>
        <color theme="1"/>
        <rFont val="Arial"/>
        <family val="2"/>
      </rPr>
      <t>10-12</t>
    </r>
    <r>
      <rPr>
        <b/>
        <sz val="10"/>
        <color theme="1"/>
        <rFont val="微软雅黑"/>
        <family val="2"/>
        <charset val="134"/>
      </rPr>
      <t>月份</t>
    </r>
    <r>
      <rPr>
        <b/>
        <sz val="10"/>
        <color theme="1"/>
        <rFont val="Arial"/>
        <family val="2"/>
      </rPr>
      <t>)</t>
    </r>
  </si>
  <si>
    <r>
      <rPr>
        <b/>
        <sz val="10"/>
        <color theme="1"/>
        <rFont val="微软雅黑"/>
        <family val="2"/>
        <charset val="134"/>
      </rPr>
      <t>剔除</t>
    </r>
  </si>
  <si>
    <r>
      <rPr>
        <b/>
        <sz val="10"/>
        <color theme="1"/>
        <rFont val="微软雅黑"/>
        <family val="2"/>
        <charset val="134"/>
      </rPr>
      <t>执行审计工作底稿</t>
    </r>
    <r>
      <rPr>
        <b/>
        <sz val="10"/>
        <color theme="1"/>
        <rFont val="Arial"/>
        <family val="2"/>
      </rPr>
      <t>X-ref</t>
    </r>
    <phoneticPr fontId="119" type="noConversion"/>
  </si>
  <si>
    <r>
      <rPr>
        <b/>
        <sz val="10"/>
        <color rgb="FFFF0000"/>
        <rFont val="Arial"/>
        <family val="2"/>
      </rPr>
      <t xml:space="preserve">a. </t>
    </r>
    <r>
      <rPr>
        <b/>
        <sz val="10"/>
        <color rgb="FF000000"/>
        <rFont val="微软雅黑"/>
        <family val="2"/>
        <charset val="134"/>
      </rPr>
      <t>在其他底稿中已执行程序项：</t>
    </r>
    <r>
      <rPr>
        <b/>
        <i/>
        <sz val="10"/>
        <color rgb="FFFF0000"/>
        <rFont val="微软雅黑"/>
        <family val="2"/>
        <charset val="134"/>
      </rPr>
      <t>（以下可由项目组自定义）</t>
    </r>
    <phoneticPr fontId="167" type="noConversion"/>
  </si>
  <si>
    <r>
      <t xml:space="preserve">      </t>
    </r>
    <r>
      <rPr>
        <i/>
        <sz val="10"/>
        <color rgb="FFFF0000"/>
        <rFont val="微软雅黑"/>
        <family val="2"/>
        <charset val="134"/>
      </rPr>
      <t>固定资产折旧费</t>
    </r>
    <phoneticPr fontId="167" type="noConversion"/>
  </si>
  <si>
    <r>
      <t xml:space="preserve">      </t>
    </r>
    <r>
      <rPr>
        <i/>
        <sz val="10"/>
        <color rgb="FFFF0000"/>
        <rFont val="微软雅黑"/>
        <family val="2"/>
        <charset val="134"/>
      </rPr>
      <t>使用权资产折旧费</t>
    </r>
    <phoneticPr fontId="167" type="noConversion"/>
  </si>
  <si>
    <r>
      <t xml:space="preserve">      </t>
    </r>
    <r>
      <rPr>
        <i/>
        <sz val="10"/>
        <color rgb="FFFF0000"/>
        <rFont val="微软雅黑"/>
        <family val="2"/>
        <charset val="134"/>
      </rPr>
      <t>无形资产摊销费</t>
    </r>
  </si>
  <si>
    <r>
      <t xml:space="preserve">      </t>
    </r>
    <r>
      <rPr>
        <i/>
        <sz val="10"/>
        <color rgb="FFFF0000"/>
        <rFont val="微软雅黑"/>
        <family val="2"/>
        <charset val="134"/>
      </rPr>
      <t>长期待摊费用摊销费</t>
    </r>
  </si>
  <si>
    <r>
      <t xml:space="preserve">      </t>
    </r>
    <r>
      <rPr>
        <i/>
        <sz val="10"/>
        <color rgb="FFFF0000"/>
        <rFont val="微软雅黑"/>
        <family val="2"/>
        <charset val="134"/>
      </rPr>
      <t>工资薪酬</t>
    </r>
    <phoneticPr fontId="167" type="noConversion"/>
  </si>
  <si>
    <r>
      <t xml:space="preserve">      </t>
    </r>
    <r>
      <rPr>
        <i/>
        <sz val="10"/>
        <color rgb="FFFF0000"/>
        <rFont val="微软雅黑"/>
        <family val="2"/>
        <charset val="134"/>
      </rPr>
      <t>租赁费</t>
    </r>
    <phoneticPr fontId="167" type="noConversion"/>
  </si>
  <si>
    <r>
      <t xml:space="preserve">      </t>
    </r>
    <r>
      <rPr>
        <i/>
        <sz val="10"/>
        <color rgb="FFFF0000"/>
        <rFont val="微软雅黑"/>
        <family val="2"/>
        <charset val="134"/>
      </rPr>
      <t>预提费用（含预提和冲销）</t>
    </r>
  </si>
  <si>
    <r>
      <t xml:space="preserve">      [</t>
    </r>
    <r>
      <rPr>
        <i/>
        <sz val="10"/>
        <color rgb="FFFF0000"/>
        <rFont val="微软雅黑"/>
        <family val="2"/>
        <charset val="134"/>
      </rPr>
      <t>其他剔除金额</t>
    </r>
    <r>
      <rPr>
        <i/>
        <sz val="10"/>
        <color rgb="FFFF0000"/>
        <rFont val="Arial"/>
        <family val="2"/>
      </rPr>
      <t>]</t>
    </r>
  </si>
  <si>
    <r>
      <rPr>
        <b/>
        <sz val="10"/>
        <rFont val="微软雅黑"/>
        <family val="2"/>
        <charset val="134"/>
      </rPr>
      <t>预审期间（如</t>
    </r>
    <r>
      <rPr>
        <b/>
        <sz val="10"/>
        <rFont val="Arial"/>
        <family val="2"/>
      </rPr>
      <t>1-9</t>
    </r>
    <r>
      <rPr>
        <b/>
        <sz val="10"/>
        <rFont val="微软雅黑"/>
        <family val="2"/>
        <charset val="134"/>
      </rPr>
      <t>月份）</t>
    </r>
  </si>
  <si>
    <r>
      <rPr>
        <b/>
        <sz val="10"/>
        <rFont val="微软雅黑"/>
        <family val="2"/>
        <charset val="134"/>
      </rPr>
      <t>剩余期间（如</t>
    </r>
    <r>
      <rPr>
        <b/>
        <sz val="10"/>
        <rFont val="Arial"/>
        <family val="2"/>
      </rPr>
      <t>10-12</t>
    </r>
    <r>
      <rPr>
        <b/>
        <sz val="10"/>
        <rFont val="微软雅黑"/>
        <family val="2"/>
        <charset val="134"/>
      </rPr>
      <t>月份）</t>
    </r>
  </si>
  <si>
    <r>
      <rPr>
        <b/>
        <sz val="10"/>
        <color rgb="FF000000"/>
        <rFont val="微软雅黑"/>
        <family val="2"/>
        <charset val="134"/>
      </rPr>
      <t>数量</t>
    </r>
  </si>
  <si>
    <r>
      <rPr>
        <sz val="10"/>
        <color theme="1"/>
        <rFont val="微软雅黑"/>
        <family val="2"/>
        <charset val="134"/>
      </rPr>
      <t>合计</t>
    </r>
  </si>
  <si>
    <r>
      <rPr>
        <b/>
        <sz val="10"/>
        <color theme="1"/>
        <rFont val="微软雅黑"/>
        <family val="2"/>
        <charset val="134"/>
      </rPr>
      <t>使用安永抽样工具对扣除关键项后的剩余样本总体抽取代表性样本</t>
    </r>
  </si>
  <si>
    <r>
      <rPr>
        <b/>
        <sz val="10"/>
        <color theme="1"/>
        <rFont val="微软雅黑"/>
        <family val="2"/>
        <charset val="134"/>
      </rPr>
      <t>请项目组在以下填写年审预审分配代表性样本的策略：</t>
    </r>
  </si>
  <si>
    <r>
      <rPr>
        <b/>
        <sz val="10"/>
        <rFont val="微软雅黑"/>
        <family val="2"/>
        <charset val="134"/>
      </rPr>
      <t>安永属性测试说明：获取相关支持性文件（如采购订单、发票、交货单、供应商合同、供应商借项通知单、结算单），检查了日记账分录，并得出结论：所记录的费用为：</t>
    </r>
    <phoneticPr fontId="167" type="noConversion"/>
  </si>
  <si>
    <r>
      <rPr>
        <sz val="10"/>
        <rFont val="微软雅黑"/>
        <family val="2"/>
        <charset val="134"/>
      </rPr>
      <t>记录在恰当的期间。</t>
    </r>
    <phoneticPr fontId="167" type="noConversion"/>
  </si>
  <si>
    <r>
      <rPr>
        <sz val="10"/>
        <rFont val="微软雅黑"/>
        <family val="2"/>
        <charset val="134"/>
      </rPr>
      <t>分类恰当（即，金额被记录至适当的账户，并包含在恰当的利润表项目中），这是基于费用的性质以及我们对该实体会计政策的理解。</t>
    </r>
    <phoneticPr fontId="167" type="noConversion"/>
  </si>
  <si>
    <r>
      <rPr>
        <b/>
        <sz val="10"/>
        <rFont val="微软雅黑"/>
        <family val="2"/>
        <charset val="134"/>
      </rPr>
      <t>支持性证据金额与凭证金额之间的差异</t>
    </r>
    <phoneticPr fontId="167" type="noConversion"/>
  </si>
  <si>
    <r>
      <rPr>
        <b/>
        <sz val="10"/>
        <color rgb="FFFF0000"/>
        <rFont val="微软雅黑"/>
        <family val="2"/>
        <charset val="134"/>
      </rPr>
      <t>表</t>
    </r>
    <r>
      <rPr>
        <b/>
        <sz val="10"/>
        <color rgb="FFFF0000"/>
        <rFont val="Arial"/>
        <family val="2"/>
      </rPr>
      <t>1.2</t>
    </r>
  </si>
  <si>
    <r>
      <rPr>
        <b/>
        <sz val="10"/>
        <rFont val="微软雅黑"/>
        <family val="2"/>
        <charset val="134"/>
      </rPr>
      <t>我们对抽出的样本执行以下程序：年审阶段</t>
    </r>
  </si>
  <si>
    <r>
      <rPr>
        <b/>
        <sz val="10"/>
        <rFont val="微软雅黑"/>
        <family val="2"/>
        <charset val="134"/>
      </rPr>
      <t>如决定对负值进行抽样，则将抽样策略记录在以下：</t>
    </r>
  </si>
  <si>
    <r>
      <rPr>
        <b/>
        <sz val="10"/>
        <rFont val="微软雅黑"/>
        <family val="2"/>
        <charset val="134"/>
      </rPr>
      <t>我们对抽取的样本执行以下工作：</t>
    </r>
  </si>
  <si>
    <r>
      <rPr>
        <sz val="10"/>
        <color theme="1"/>
        <rFont val="微软雅黑"/>
        <family val="2"/>
        <charset val="134"/>
      </rPr>
      <t>负值产生的原因是否合理。</t>
    </r>
  </si>
  <si>
    <r>
      <rPr>
        <b/>
        <sz val="10"/>
        <color rgb="FF000000"/>
        <rFont val="微软雅黑"/>
        <family val="2"/>
        <charset val="134"/>
      </rPr>
      <t>科目名称</t>
    </r>
  </si>
  <si>
    <t>804a7b04-c4dc-41ba-a745-4666c5f24f11</t>
    <phoneticPr fontId="119" type="noConversion"/>
  </si>
  <si>
    <r>
      <rPr>
        <b/>
        <sz val="14"/>
        <color rgb="FFFF0000"/>
        <rFont val="微软雅黑"/>
        <family val="2"/>
        <charset val="134"/>
      </rPr>
      <t>注：</t>
    </r>
  </si>
  <si>
    <r>
      <rPr>
        <sz val="14"/>
        <color theme="1"/>
        <rFont val="微软雅黑"/>
        <family val="2"/>
        <charset val="134"/>
      </rPr>
      <t>请在此保留安永抽样工具输出的抽样结果底稿。如果未使用抽样工具，请删除该页，但项目组应在底稿中记录抽样过程。</t>
    </r>
  </si>
  <si>
    <t>ABC7dlda9NQGAfw+8G+QyjijW1ok6brvOuarBa3tCSpImOU0+Z0lqZJSU5Wiwi9UKcOQbBDBMFtKL6AFbFS59j8MiZtr/wKNt36whYvBpFGmptCn/POL39yaH8f/lybn8Owu9YHhvkuoVoF+q5iPuYWzpdq1aIs4jcVtZQGFajiNCwAXUL8bQiRH7Pr4vOfTpQUrVki+QhRyC+GA1EyEgyEqUIhkCPISIAiomSeFMFCVASjIbyeExQEJEYGOQla4wtA0uDZ5uUilAaTjwYK1/pfZV2ShgUWlAeHON0eDxEqyhuDbY83qK1AcG6RpLakQlASlap8tolTqnFFl1G/HoosDqtxRRpVg9SwysioiIpQ61fX1kcTwLKyCUXbNl4vl4FaE6yT//X84y48qknw9JSTB49xaVZB0HaJtKpsqKC8XJSkuKpoGgcLq4oIh8tYve75/92zMLlN56VpPptkBYZjYytZnhGEJJvgs7yQ4mIJxhHyqA04FfG8XeBNp+IJLpVJO+od8rxd7J1ZZVjB854Nb55Netl21DopV3S3SJtftsz6oUPXMhvY6Ay5uivDN2g8GMJJzHjz1Nz9bn7dMY63u62DTuO9I9qE7R2c8Lyn5Z2Bdyp4MIgNSM8JI1W/aJwJuzyHCMITnlai45Zvr1E3Gs2TJC9dpy8U5smnYJI6RNhSz9JL2WXUtEXdae51nj10lJoiPWl3Sccvn7ypw5j56KP5ad+svzO/bXc/7zjymqaCtt4hz3va3gQmpGjMOGgZzT1n7t/jH0AnrImwR+0OavPJkbnbNtpvjQft7vFzY+uHMwm3C/iCh+4O9N7+/X6+rxiPP/w6emm+et170XIm7KTdlY347/8CmZ9b/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</si>
</sst>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3" formatCode="_ * #,##0.00_ ;_ * \-#,##0.00_ ;_ * &quot;-&quot;??_ ;_ @_ "/>
    <numFmt numFmtId="176" formatCode="_(* #,##0_);_(* \(#,##0\);_(* &quot;-&quot;_);_(@_)"/>
    <numFmt numFmtId="177" formatCode="_(* #,##0.00_);_(* \(#,##0.00\);_(* &quot;-&quot;??_);_(@_)"/>
    <numFmt numFmtId="178" formatCode="* #,##0.00;[Red]\(#,##0.00\);&quot;-&quot;;\ @"/>
    <numFmt numFmtId="179" formatCode="#,##0;\(#,##0\);\-#,##0"/>
    <numFmt numFmtId="180" formatCode="0_);\(0\)"/>
    <numFmt numFmtId="181" formatCode="_(* #,##0.00_);_(* \(#,##0.00\);_(* &quot;-&quot;??_)"/>
    <numFmt numFmtId="182" formatCode="0.0%"/>
    <numFmt numFmtId="183" formatCode="_([$€-2]* #,##0.00_);_([$€-2]* \(#,##0.00\);_([$€-2]* &quot;-&quot;??_)"/>
    <numFmt numFmtId="184" formatCode="_-* #,##0.0000000000_-;\-* #,##0.0000000000_-;_-* &quot;-&quot;??_-;_-@_-"/>
    <numFmt numFmtId="185" formatCode="\¥#,##0;\-\¥#,##0"/>
    <numFmt numFmtId="186" formatCode="#,##0;\-#,##0;&quot;-&quot;"/>
    <numFmt numFmtId="187" formatCode="&quot;$&quot;#,##0;[Red]&quot;$&quot;&quot;$&quot;&quot;$&quot;&quot;$&quot;&quot;$&quot;&quot;$&quot;&quot;$&quot;\-#,##0"/>
    <numFmt numFmtId="188" formatCode="#,##0;\(#,##0\)"/>
    <numFmt numFmtId="189" formatCode="#,##0.0_);\(#,##0.0\)"/>
    <numFmt numFmtId="190" formatCode="&quot;$&quot;#,##0_);\(&quot;$&quot;#,##0\)"/>
    <numFmt numFmtId="191" formatCode="&quot;$&quot;#,##0.00_);\(&quot;$&quot;#,##0.00\)"/>
    <numFmt numFmtId="192" formatCode="\$#,##0.00;\(\$#,##0.00\)"/>
    <numFmt numFmtId="193" formatCode="\$#,##0;\(\$#,##0\)"/>
    <numFmt numFmtId="194" formatCode="_ [$€-2]* #,##0.00_ ;_ [$€-2]* \-#,##0.00_ ;_ [$€-2]* &quot;-&quot;??_ "/>
    <numFmt numFmtId="195" formatCode="_-* #,##0\ _k_r_-;\-* #,##0\ _k_r_-;_-* &quot;-&quot;\ _k_r_-;_-@_-"/>
    <numFmt numFmtId="196" formatCode="_-* #,##0.00\ _k_r_-;\-* #,##0.00\ _k_r_-;_-* &quot;-&quot;??\ _k_r_-;_-@_-"/>
    <numFmt numFmtId="197" formatCode="#,##0.00_);#,##0.00\)"/>
    <numFmt numFmtId="198" formatCode="0.00000&quot;  &quot;"/>
    <numFmt numFmtId="199" formatCode="_-* #,##0_-;\-* #,##0_-;_-* &quot;-&quot;_-;_-@_-"/>
    <numFmt numFmtId="200" formatCode="_-* #,##0.00_-;\-* #,##0.00_-;_-* &quot;-&quot;??_-;_-@_-"/>
    <numFmt numFmtId="201" formatCode="_([$€-2]* #,##0.00000_);_([$€-2]* \(#,##0.00000\);_([$€-2]* &quot;-&quot;??_)"/>
    <numFmt numFmtId="202" formatCode="_(\¥* #,##0.00_);_(\¥* \(#,##0.00\);_(\¥* &quot;-&quot;??_);_(@_)"/>
    <numFmt numFmtId="203" formatCode="_-&quot;$&quot;* #,##0_-;\-&quot;$&quot;* #,##0_-;_-&quot;$&quot;* &quot;-&quot;_-;_-@_-"/>
    <numFmt numFmtId="204" formatCode="_-&quot;$&quot;* #,##0.00_-;\-&quot;$&quot;* #,##0.00_-;_-&quot;$&quot;* &quot;-&quot;??_-;_-@_-"/>
    <numFmt numFmtId="205" formatCode="&quot;\&quot;#,##0;[Red]&quot;\&quot;&quot;\&quot;\-#,##0"/>
    <numFmt numFmtId="206" formatCode="&quot;\&quot;#,##0.00;[Red]&quot;\&quot;&quot;\&quot;&quot;\&quot;&quot;\&quot;&quot;\&quot;&quot;\&quot;\-#,##0.00"/>
    <numFmt numFmtId="207" formatCode="&quot;\&quot;#,##0.00;[Red]&quot;\&quot;\-#,##0.00"/>
    <numFmt numFmtId="208" formatCode="&quot;\&quot;#,##0;[Red]&quot;\&quot;\-#,##0"/>
    <numFmt numFmtId="209" formatCode="_(&quot;$&quot;* #,##0.00_);_(&quot;$&quot;* \(#,##0.00\);_(&quot;$&quot;* &quot;-&quot;??_);_(@_)"/>
    <numFmt numFmtId="21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1" formatCode="#,##0;\(#,##0\);0"/>
    <numFmt numFmtId="212" formatCode="0_);[Red]\(0\)"/>
    <numFmt numFmtId="213" formatCode="_(* #,##0.00_);[Red]_(* \(#,##0.00\);_(* &quot;-&quot;??_)"/>
  </numFmts>
  <fonts count="173">
    <font>
      <sz val="10"/>
      <name val="宋体"/>
      <family val="2"/>
      <charset val="134"/>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0"/>
      <name val="Arial"/>
      <family val="2"/>
    </font>
    <font>
      <sz val="10"/>
      <color theme="1"/>
      <name val="Arial"/>
      <family val="2"/>
    </font>
    <font>
      <sz val="10"/>
      <name val="微软雅黑"/>
      <family val="2"/>
      <charset val="134"/>
    </font>
    <font>
      <sz val="10"/>
      <color rgb="FF000000"/>
      <name val="Arial"/>
      <family val="2"/>
    </font>
    <font>
      <b/>
      <sz val="10"/>
      <color rgb="FFFF0000"/>
      <name val="Arial"/>
      <family val="2"/>
    </font>
    <font>
      <b/>
      <sz val="10"/>
      <color theme="0"/>
      <name val="Arial"/>
      <family val="2"/>
    </font>
    <font>
      <u/>
      <sz val="10"/>
      <color theme="10"/>
      <name val="Arial"/>
      <family val="2"/>
    </font>
    <font>
      <b/>
      <sz val="10"/>
      <name val="Arial"/>
      <family val="2"/>
    </font>
    <font>
      <b/>
      <sz val="10"/>
      <color rgb="FF000000"/>
      <name val="Arial"/>
      <family val="2"/>
    </font>
    <font>
      <b/>
      <sz val="10"/>
      <color indexed="10"/>
      <name val="Arial"/>
      <family val="2"/>
    </font>
    <font>
      <u/>
      <sz val="10"/>
      <color rgb="FFFF0000"/>
      <name val="Arial"/>
      <family val="2"/>
    </font>
    <font>
      <sz val="14"/>
      <name val="Arial"/>
      <family val="2"/>
    </font>
    <font>
      <b/>
      <sz val="14"/>
      <color rgb="FFFF0000"/>
      <name val="Arial"/>
      <family val="2"/>
    </font>
    <font>
      <b/>
      <sz val="14"/>
      <color rgb="FFFF0000"/>
      <name val="微软雅黑"/>
      <family val="2"/>
      <charset val="134"/>
    </font>
    <font>
      <b/>
      <sz val="10"/>
      <color rgb="FFFF0000"/>
      <name val="微软雅黑"/>
      <family val="2"/>
      <charset val="134"/>
    </font>
    <font>
      <sz val="11"/>
      <color theme="1"/>
      <name val="等线"/>
      <family val="3"/>
      <charset val="134"/>
      <scheme val="minor"/>
    </font>
    <font>
      <b/>
      <strike/>
      <sz val="10"/>
      <color rgb="FF0000FF"/>
      <name val="Arial"/>
      <family val="2"/>
    </font>
    <font>
      <sz val="10"/>
      <color rgb="FF000000"/>
      <name val="微软雅黑"/>
      <family val="2"/>
      <charset val="134"/>
    </font>
    <font>
      <b/>
      <sz val="10"/>
      <color theme="1"/>
      <name val="Arial"/>
      <family val="2"/>
    </font>
    <font>
      <sz val="10"/>
      <color indexed="8"/>
      <name val="Arial"/>
      <family val="2"/>
    </font>
    <font>
      <u val="doubleAccounting"/>
      <sz val="10"/>
      <name val="Arial"/>
      <family val="2"/>
    </font>
    <font>
      <strike/>
      <sz val="10"/>
      <name val="Arial"/>
      <family val="2"/>
    </font>
    <font>
      <sz val="10"/>
      <color rgb="FFFF0000"/>
      <name val="Arial"/>
      <family val="2"/>
    </font>
    <font>
      <sz val="10"/>
      <color indexed="10"/>
      <name val="Arial"/>
      <family val="2"/>
    </font>
    <font>
      <b/>
      <sz val="10"/>
      <color indexed="8"/>
      <name val="Arial"/>
      <family val="2"/>
    </font>
    <font>
      <b/>
      <i/>
      <sz val="10"/>
      <name val="Arial"/>
      <family val="2"/>
    </font>
    <font>
      <i/>
      <sz val="10"/>
      <color theme="0"/>
      <name val="Arial"/>
      <family val="2"/>
    </font>
    <font>
      <sz val="10"/>
      <name val="宋体"/>
      <family val="3"/>
      <charset val="134"/>
    </font>
    <font>
      <sz val="11"/>
      <color theme="1"/>
      <name val="宋体"/>
      <family val="3"/>
      <charset val="134"/>
    </font>
    <font>
      <sz val="12"/>
      <name val="宋体"/>
      <family val="3"/>
      <charset val="134"/>
    </font>
    <font>
      <sz val="11"/>
      <color theme="1"/>
      <name val="等线"/>
      <family val="3"/>
      <charset val="134"/>
      <scheme val="minor"/>
    </font>
    <font>
      <sz val="9"/>
      <color theme="1"/>
      <name val="Arial"/>
      <family val="2"/>
    </font>
    <font>
      <u/>
      <sz val="11"/>
      <color theme="10"/>
      <name val="等线"/>
      <family val="3"/>
      <charset val="134"/>
      <scheme val="minor"/>
    </font>
    <font>
      <u/>
      <sz val="10"/>
      <color indexed="12"/>
      <name val="宋体"/>
      <family val="3"/>
      <charset val="134"/>
    </font>
    <font>
      <sz val="8"/>
      <name val="EYInterstate Light"/>
    </font>
    <font>
      <sz val="11"/>
      <color indexed="8"/>
      <name val="Calibri"/>
      <family val="2"/>
    </font>
    <font>
      <sz val="10"/>
      <name val="Helv"/>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b/>
      <sz val="10"/>
      <name val="Helv"/>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ont>
    <font>
      <b/>
      <sz val="12"/>
      <name val="Arial"/>
      <family val="2"/>
    </font>
    <font>
      <u/>
      <sz val="11"/>
      <color theme="10"/>
      <name val="宋体"/>
      <family val="3"/>
      <charset val="134"/>
    </font>
    <font>
      <b/>
      <sz val="11"/>
      <name val="Helv"/>
    </font>
    <font>
      <sz val="10"/>
      <name val="Tahoma"/>
      <family val="2"/>
    </font>
    <font>
      <sz val="9"/>
      <color theme="1"/>
      <name val="Arial Unicode MS"/>
      <family val="2"/>
    </font>
    <font>
      <sz val="10"/>
      <color indexed="8"/>
      <name val="MS Sans Serif"/>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3"/>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u/>
      <sz val="12"/>
      <color indexed="12"/>
      <name val="宋体"/>
      <family val="3"/>
      <charset val="134"/>
    </font>
    <font>
      <u/>
      <sz val="11"/>
      <color theme="10"/>
      <name val="等线"/>
      <family val="3"/>
      <charset val="134"/>
      <scheme val="minor"/>
    </font>
    <font>
      <u/>
      <sz val="11"/>
      <color theme="10"/>
      <name val="等线"/>
      <family val="3"/>
      <charset val="134"/>
      <scheme val="minor"/>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ont>
    <font>
      <sz val="12"/>
      <name val="新細明體"/>
      <family val="1"/>
    </font>
    <font>
      <sz val="12"/>
      <name val="官帕眉"/>
      <family val="3"/>
      <charset val="134"/>
    </font>
    <font>
      <sz val="10"/>
      <name val="奔覆眉"/>
      <family val="3"/>
      <charset val="134"/>
    </font>
    <font>
      <b/>
      <sz val="12"/>
      <color indexed="8"/>
      <name val="宋体"/>
      <family val="3"/>
      <charset val="134"/>
    </font>
    <font>
      <sz val="12"/>
      <name val="柧挬"/>
      <family val="3"/>
      <charset val="134"/>
    </font>
    <font>
      <sz val="11"/>
      <name val="ＭＳ Ｐゴシック"/>
      <family val="3"/>
      <charset val="134"/>
    </font>
    <font>
      <sz val="12"/>
      <name val="바탕체"/>
      <family val="3"/>
    </font>
    <font>
      <u/>
      <sz val="10"/>
      <color rgb="FFFF0000"/>
      <name val="微软雅黑"/>
      <family val="2"/>
      <charset val="134"/>
    </font>
    <font>
      <sz val="9"/>
      <name val="宋体"/>
      <family val="2"/>
      <charset val="134"/>
    </font>
    <font>
      <sz val="11"/>
      <color theme="1"/>
      <name val="等线"/>
      <family val="2"/>
      <charset val="134"/>
      <scheme val="minor"/>
    </font>
    <font>
      <sz val="10"/>
      <name val="宋体"/>
      <family val="3"/>
      <charset val="134"/>
    </font>
    <font>
      <sz val="10"/>
      <color theme="0"/>
      <name val="Arial"/>
      <family val="2"/>
    </font>
    <font>
      <sz val="9"/>
      <name val="宋体"/>
      <family val="3"/>
      <charset val="134"/>
    </font>
    <font>
      <b/>
      <sz val="10"/>
      <color rgb="FF0000FF"/>
      <name val="Arial"/>
      <family val="2"/>
    </font>
    <font>
      <u/>
      <sz val="10"/>
      <color theme="10"/>
      <name val="宋体"/>
      <family val="2"/>
      <charset val="134"/>
    </font>
    <font>
      <sz val="11"/>
      <color rgb="FF000000"/>
      <name val="Arial"/>
      <family val="2"/>
    </font>
    <font>
      <b/>
      <sz val="11"/>
      <color indexed="10"/>
      <name val="Arial"/>
      <family val="2"/>
    </font>
    <font>
      <sz val="10"/>
      <color rgb="FF000000"/>
      <name val="等线"/>
      <family val="3"/>
      <charset val="134"/>
    </font>
    <font>
      <b/>
      <sz val="14"/>
      <color rgb="FFFFFFFF"/>
      <name val="Arial"/>
      <family val="2"/>
    </font>
    <font>
      <b/>
      <sz val="12"/>
      <color rgb="FF000000"/>
      <name val="Arial"/>
      <family val="2"/>
    </font>
    <font>
      <b/>
      <sz val="14"/>
      <color rgb="FFFFFFFF"/>
      <name val="微软雅黑"/>
      <family val="2"/>
      <charset val="134"/>
    </font>
    <font>
      <b/>
      <sz val="10"/>
      <color rgb="FFFFFFFF"/>
      <name val="Arial"/>
      <family val="2"/>
    </font>
    <font>
      <b/>
      <sz val="10"/>
      <name val="微软雅黑"/>
      <family val="2"/>
      <charset val="134"/>
    </font>
    <font>
      <b/>
      <sz val="10"/>
      <color rgb="FF000000"/>
      <name val="微软雅黑"/>
      <family val="2"/>
      <charset val="134"/>
    </font>
    <font>
      <b/>
      <sz val="12"/>
      <color rgb="FF000000"/>
      <name val="微软雅黑"/>
      <family val="2"/>
      <charset val="134"/>
    </font>
    <font>
      <sz val="10"/>
      <color indexed="8"/>
      <name val="微软雅黑"/>
      <family val="2"/>
      <charset val="134"/>
    </font>
    <font>
      <b/>
      <sz val="10"/>
      <color theme="1"/>
      <name val="微软雅黑"/>
      <family val="2"/>
      <charset val="134"/>
    </font>
    <font>
      <b/>
      <i/>
      <sz val="10"/>
      <name val="微软雅黑"/>
      <family val="2"/>
      <charset val="134"/>
    </font>
    <font>
      <i/>
      <sz val="10"/>
      <color theme="1"/>
      <name val="Arial"/>
      <family val="2"/>
    </font>
    <font>
      <i/>
      <sz val="10"/>
      <color rgb="FFFF0000"/>
      <name val="Arial"/>
      <family val="2"/>
    </font>
    <font>
      <i/>
      <sz val="10"/>
      <color rgb="FFFF0000"/>
      <name val="微软雅黑"/>
      <family val="2"/>
      <charset val="134"/>
    </font>
    <font>
      <b/>
      <sz val="12"/>
      <name val="微软雅黑"/>
      <family val="2"/>
      <charset val="134"/>
    </font>
    <font>
      <sz val="12"/>
      <color rgb="FF000000"/>
      <name val="Arial"/>
      <family val="2"/>
    </font>
    <font>
      <sz val="12"/>
      <name val="Arial"/>
      <family val="2"/>
    </font>
    <font>
      <sz val="12"/>
      <color theme="1"/>
      <name val="Arial"/>
      <family val="2"/>
    </font>
    <font>
      <sz val="10"/>
      <color theme="1"/>
      <name val="微软雅黑"/>
      <family val="2"/>
      <charset val="134"/>
    </font>
    <font>
      <sz val="9"/>
      <name val="等线"/>
      <family val="3"/>
      <charset val="134"/>
      <scheme val="minor"/>
    </font>
    <font>
      <b/>
      <vertAlign val="superscript"/>
      <sz val="10"/>
      <color rgb="FFFF0000"/>
      <name val="Arial"/>
      <family val="2"/>
    </font>
    <font>
      <b/>
      <i/>
      <sz val="9"/>
      <color rgb="FFFF0000"/>
      <name val="Arial"/>
      <family val="2"/>
    </font>
    <font>
      <b/>
      <i/>
      <sz val="9"/>
      <color rgb="FFFF0000"/>
      <name val="微软雅黑"/>
      <family val="2"/>
      <charset val="134"/>
    </font>
    <font>
      <b/>
      <sz val="18"/>
      <name val="微软雅黑"/>
      <family val="2"/>
      <charset val="134"/>
    </font>
    <font>
      <b/>
      <sz val="10"/>
      <color indexed="10"/>
      <name val="Arial"/>
      <family val="2"/>
      <charset val="134"/>
    </font>
    <font>
      <u/>
      <sz val="14"/>
      <color rgb="FFFFFFFF"/>
      <name val="Arial"/>
      <family val="2"/>
    </font>
    <font>
      <sz val="10"/>
      <name val="Arial"/>
      <family val="2"/>
      <charset val="134"/>
    </font>
    <font>
      <u/>
      <sz val="10"/>
      <color theme="10"/>
      <name val="微软雅黑"/>
      <family val="2"/>
      <charset val="134"/>
    </font>
    <font>
      <u/>
      <sz val="11"/>
      <color theme="10"/>
      <name val="等线"/>
      <family val="2"/>
      <charset val="134"/>
      <scheme val="minor"/>
    </font>
    <font>
      <b/>
      <i/>
      <sz val="10"/>
      <color rgb="FFFF0000"/>
      <name val="微软雅黑"/>
      <family val="2"/>
      <charset val="134"/>
    </font>
    <font>
      <b/>
      <i/>
      <sz val="10"/>
      <color rgb="FF305496"/>
      <name val="微软雅黑"/>
      <family val="2"/>
      <charset val="134"/>
    </font>
    <font>
      <b/>
      <i/>
      <sz val="10"/>
      <color rgb="FFFF0000"/>
      <name val="Arial"/>
      <family val="2"/>
    </font>
    <font>
      <sz val="10"/>
      <color rgb="FF242424"/>
      <name val="微软雅黑"/>
      <family val="2"/>
      <charset val="134"/>
    </font>
    <font>
      <sz val="10"/>
      <color rgb="FF242424"/>
      <name val="Arial"/>
      <family val="2"/>
    </font>
    <font>
      <b/>
      <sz val="10"/>
      <color rgb="FF000000"/>
      <name val="宋体"/>
      <family val="2"/>
      <charset val="134"/>
    </font>
    <font>
      <b/>
      <sz val="10"/>
      <color rgb="FF000000"/>
      <name val="等线"/>
      <family val="2"/>
      <charset val="134"/>
    </font>
    <font>
      <b/>
      <u/>
      <sz val="10"/>
      <color theme="4"/>
      <name val="Arial"/>
      <family val="2"/>
    </font>
    <font>
      <b/>
      <i/>
      <sz val="10"/>
      <color theme="0"/>
      <name val="EYInterstate Light"/>
    </font>
    <font>
      <b/>
      <sz val="10"/>
      <color indexed="8"/>
      <name val="微软雅黑"/>
      <family val="2"/>
      <charset val="134"/>
    </font>
    <font>
      <sz val="10"/>
      <name val="宋体"/>
      <family val="2"/>
      <charset val="134"/>
    </font>
    <font>
      <b/>
      <vertAlign val="superscript"/>
      <sz val="10"/>
      <color rgb="FFFF0000"/>
      <name val="微软雅黑"/>
      <family val="2"/>
      <charset val="134"/>
    </font>
    <font>
      <sz val="10"/>
      <color rgb="FFFF0000"/>
      <name val="微软雅黑"/>
      <family val="2"/>
      <charset val="134"/>
    </font>
    <font>
      <sz val="14"/>
      <name val="微软雅黑"/>
      <family val="2"/>
      <charset val="134"/>
    </font>
    <font>
      <b/>
      <sz val="10"/>
      <color indexed="10"/>
      <name val="微软雅黑"/>
      <family val="2"/>
      <charset val="134"/>
    </font>
    <font>
      <b/>
      <sz val="10"/>
      <color rgb="FF0000FF"/>
      <name val="微软雅黑"/>
      <family val="2"/>
      <charset val="134"/>
    </font>
    <font>
      <u val="doubleAccounting"/>
      <sz val="10"/>
      <name val="微软雅黑"/>
      <family val="2"/>
      <charset val="134"/>
    </font>
    <font>
      <i/>
      <sz val="10"/>
      <color theme="1"/>
      <name val="微软雅黑"/>
      <family val="2"/>
      <charset val="134"/>
    </font>
    <font>
      <i/>
      <sz val="10"/>
      <name val="Arial"/>
      <family val="2"/>
    </font>
    <font>
      <b/>
      <sz val="10"/>
      <color rgb="FFFF0000"/>
      <name val="Arial"/>
      <family val="2"/>
      <charset val="134"/>
    </font>
    <font>
      <b/>
      <u/>
      <sz val="10"/>
      <color theme="4"/>
      <name val="微软雅黑"/>
      <family val="2"/>
      <charset val="134"/>
    </font>
    <font>
      <b/>
      <sz val="16"/>
      <color rgb="FFFF0000"/>
      <name val="Arial"/>
      <family val="2"/>
    </font>
    <font>
      <b/>
      <sz val="18"/>
      <name val="Arial"/>
      <family val="2"/>
    </font>
    <font>
      <b/>
      <u/>
      <sz val="14"/>
      <color indexed="8"/>
      <name val="Arial"/>
      <family val="2"/>
    </font>
    <font>
      <b/>
      <u/>
      <sz val="14"/>
      <color indexed="8"/>
      <name val="微软雅黑"/>
      <family val="2"/>
      <charset val="134"/>
    </font>
    <font>
      <sz val="14"/>
      <color indexed="8"/>
      <name val="Arial"/>
      <family val="2"/>
    </font>
    <font>
      <sz val="14"/>
      <color indexed="8"/>
      <name val="微软雅黑"/>
      <family val="2"/>
      <charset val="134"/>
    </font>
    <font>
      <sz val="14"/>
      <color rgb="FF000000"/>
      <name val="Arial"/>
      <family val="2"/>
    </font>
    <font>
      <sz val="11"/>
      <color theme="1"/>
      <name val="等线"/>
      <family val="2"/>
      <scheme val="minor"/>
    </font>
    <font>
      <sz val="14"/>
      <color theme="1"/>
      <name val="Arial"/>
      <family val="2"/>
    </font>
    <font>
      <sz val="9"/>
      <name val="等线"/>
      <family val="2"/>
      <charset val="134"/>
      <scheme val="minor"/>
    </font>
    <font>
      <sz val="10"/>
      <color theme="1"/>
      <name val="Arial"/>
      <family val="2"/>
      <charset val="134"/>
    </font>
    <font>
      <b/>
      <strike/>
      <sz val="10"/>
      <color rgb="FFFF0000"/>
      <name val="Arial"/>
      <family val="2"/>
    </font>
    <font>
      <b/>
      <sz val="14"/>
      <color indexed="8"/>
      <name val="Arial"/>
      <family val="2"/>
    </font>
    <font>
      <sz val="11"/>
      <color theme="1"/>
      <name val="Arial"/>
      <family val="2"/>
    </font>
    <font>
      <sz val="14"/>
      <color theme="1"/>
      <name val="微软雅黑"/>
      <family val="2"/>
      <charset val="134"/>
    </font>
  </fonts>
  <fills count="59">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6"/>
        <bgColor indexed="64"/>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000000"/>
        <bgColor rgb="FF000000"/>
      </patternFill>
    </fill>
    <fill>
      <patternFill patternType="solid">
        <fgColor rgb="FFF2F2F2"/>
        <bgColor rgb="FF000000"/>
      </patternFill>
    </fill>
    <fill>
      <patternFill patternType="solid">
        <fgColor theme="1"/>
        <bgColor indexed="64"/>
      </patternFill>
    </fill>
    <fill>
      <patternFill patternType="solid">
        <fgColor theme="6" tint="0.79998168889431442"/>
        <bgColor rgb="FF000000"/>
      </patternFill>
    </fill>
    <fill>
      <patternFill patternType="solid">
        <fgColor rgb="FF33339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theme="4" tint="0.79989013336588644"/>
        <bgColor indexed="64"/>
      </patternFill>
    </fill>
    <fill>
      <patternFill patternType="solid">
        <fgColor rgb="FFDCE6F1"/>
        <bgColor rgb="FF000000"/>
      </patternFill>
    </fill>
    <fill>
      <patternFill patternType="solid">
        <fgColor theme="4" tint="0.79998168889431442"/>
        <bgColor indexed="64"/>
      </patternFill>
    </fill>
    <fill>
      <patternFill patternType="solid">
        <fgColor theme="2"/>
        <bgColor indexed="64"/>
      </patternFill>
    </fill>
    <fill>
      <patternFill patternType="solid">
        <fgColor theme="0"/>
        <bgColor rgb="FF000000"/>
      </patternFill>
    </fill>
  </fills>
  <borders count="140">
    <border>
      <left/>
      <right/>
      <top/>
      <bottom/>
      <diagonal/>
    </border>
    <border>
      <left style="thin">
        <color indexed="64"/>
      </left>
      <right style="thin">
        <color auto="1"/>
      </right>
      <top style="thin">
        <color indexed="64"/>
      </top>
      <bottom style="thin">
        <color auto="1"/>
      </bottom>
      <diagonal/>
    </border>
    <border>
      <left/>
      <right/>
      <top/>
      <bottom style="medium">
        <color auto="1"/>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double">
        <color auto="1"/>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indexed="64"/>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rgb="FF000000"/>
      </top>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indexed="64"/>
      </left>
      <right style="thin">
        <color rgb="FF000000"/>
      </right>
      <top style="thin">
        <color rgb="FF000000"/>
      </top>
      <bottom style="thin">
        <color indexed="64"/>
      </bottom>
      <diagonal/>
    </border>
    <border>
      <left style="thin">
        <color rgb="FF000000"/>
      </left>
      <right style="thin">
        <color auto="1"/>
      </right>
      <top style="thin">
        <color auto="1"/>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auto="1"/>
      </bottom>
      <diagonal/>
    </border>
    <border>
      <left/>
      <right style="thin">
        <color rgb="FF000000"/>
      </right>
      <top style="thin">
        <color auto="1"/>
      </top>
      <bottom style="thin">
        <color auto="1"/>
      </bottom>
      <diagonal/>
    </border>
    <border>
      <left style="thin">
        <color rgb="FF000000"/>
      </left>
      <right style="thin">
        <color auto="1"/>
      </right>
      <top style="thin">
        <color indexed="64"/>
      </top>
      <bottom style="thin">
        <color auto="1"/>
      </bottom>
      <diagonal/>
    </border>
    <border>
      <left style="thin">
        <color rgb="FF000000"/>
      </left>
      <right/>
      <top style="thin">
        <color auto="1"/>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style="thin">
        <color rgb="FF000000"/>
      </bottom>
      <diagonal/>
    </border>
    <border>
      <left style="thin">
        <color auto="1"/>
      </left>
      <right/>
      <top style="thin">
        <color auto="1"/>
      </top>
      <bottom style="thin">
        <color rgb="FF000000"/>
      </bottom>
      <diagonal/>
    </border>
    <border>
      <left/>
      <right style="thin">
        <color auto="1"/>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diagonal/>
    </border>
    <border>
      <left/>
      <right style="medium">
        <color auto="1"/>
      </right>
      <top style="thin">
        <color auto="1"/>
      </top>
      <bottom style="double">
        <color auto="1"/>
      </bottom>
      <diagonal/>
    </border>
    <border>
      <left/>
      <right style="medium">
        <color indexed="64"/>
      </right>
      <top style="thin">
        <color rgb="FF000000"/>
      </top>
      <bottom style="double">
        <color rgb="FF000000"/>
      </bottom>
      <diagonal/>
    </border>
    <border>
      <left/>
      <right/>
      <top style="thin">
        <color rgb="FF000000"/>
      </top>
      <bottom style="double">
        <color indexed="64"/>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auto="1"/>
      </right>
      <top style="medium">
        <color indexed="64"/>
      </top>
      <bottom style="thin">
        <color auto="1"/>
      </bottom>
      <diagonal/>
    </border>
    <border>
      <left style="thin">
        <color indexed="64"/>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
      <left/>
      <right style="thin">
        <color rgb="FF000000"/>
      </right>
      <top style="medium">
        <color indexed="64"/>
      </top>
      <bottom/>
      <diagonal/>
    </border>
    <border>
      <left/>
      <right style="medium">
        <color auto="1"/>
      </right>
      <top style="medium">
        <color auto="1"/>
      </top>
      <bottom/>
      <diagonal/>
    </border>
    <border>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auto="1"/>
      </left>
      <right/>
      <top style="medium">
        <color auto="1"/>
      </top>
      <bottom/>
      <diagonal/>
    </border>
    <border>
      <left style="medium">
        <color indexed="64"/>
      </left>
      <right style="thin">
        <color auto="1"/>
      </right>
      <top style="medium">
        <color indexed="64"/>
      </top>
      <bottom/>
      <diagonal/>
    </border>
    <border>
      <left style="thin">
        <color auto="1"/>
      </left>
      <right style="thin">
        <color indexed="64"/>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bottom style="thin">
        <color auto="1"/>
      </bottom>
      <diagonal/>
    </border>
    <border>
      <left/>
      <right style="medium">
        <color indexed="64"/>
      </right>
      <top/>
      <bottom style="thin">
        <color auto="1"/>
      </bottom>
      <diagonal/>
    </border>
    <border>
      <left style="medium">
        <color indexed="64"/>
      </left>
      <right style="thin">
        <color auto="1"/>
      </right>
      <top style="thin">
        <color indexed="64"/>
      </top>
      <bottom style="thin">
        <color auto="1"/>
      </bottom>
      <diagonal/>
    </border>
    <border>
      <left style="thin">
        <color indexed="64"/>
      </left>
      <right style="medium">
        <color indexed="64"/>
      </right>
      <top style="thin">
        <color indexed="64"/>
      </top>
      <bottom style="thin">
        <color auto="1"/>
      </bottom>
      <diagonal/>
    </border>
    <border>
      <left style="medium">
        <color auto="1"/>
      </left>
      <right style="thin">
        <color auto="1"/>
      </right>
      <top style="thin">
        <color auto="1"/>
      </top>
      <bottom/>
      <diagonal/>
    </border>
    <border>
      <left style="medium">
        <color indexed="64"/>
      </left>
      <right style="thin">
        <color auto="1"/>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medium">
        <color indexed="64"/>
      </right>
      <top style="medium">
        <color indexed="64"/>
      </top>
      <bottom/>
      <diagonal/>
    </border>
    <border>
      <left style="medium">
        <color indexed="64"/>
      </left>
      <right/>
      <top style="medium">
        <color indexed="64"/>
      </top>
      <bottom style="thin">
        <color auto="1"/>
      </bottom>
      <diagonal/>
    </border>
    <border>
      <left style="medium">
        <color rgb="FF000000"/>
      </left>
      <right/>
      <top style="medium">
        <color indexed="64"/>
      </top>
      <bottom style="thin">
        <color auto="1"/>
      </bottom>
      <diagonal/>
    </border>
    <border>
      <left style="medium">
        <color rgb="FF000000"/>
      </left>
      <right style="medium">
        <color indexed="64"/>
      </right>
      <top style="medium">
        <color indexed="64"/>
      </top>
      <bottom style="thin">
        <color auto="1"/>
      </bottom>
      <diagonal/>
    </border>
    <border>
      <left style="thin">
        <color rgb="FF000000"/>
      </left>
      <right/>
      <top style="medium">
        <color auto="1"/>
      </top>
      <bottom style="thin">
        <color indexed="64"/>
      </bottom>
      <diagonal/>
    </border>
    <border>
      <left style="thin">
        <color rgb="FF000000"/>
      </left>
      <right/>
      <top style="medium">
        <color auto="1"/>
      </top>
      <bottom/>
      <diagonal/>
    </border>
    <border>
      <left style="medium">
        <color rgb="FF000000"/>
      </left>
      <right style="thin">
        <color rgb="FF000000"/>
      </right>
      <top style="medium">
        <color indexed="64"/>
      </top>
      <bottom style="thin">
        <color rgb="FF000000"/>
      </bottom>
      <diagonal/>
    </border>
    <border>
      <left/>
      <right style="medium">
        <color indexed="64"/>
      </right>
      <top style="thin">
        <color indexed="64"/>
      </top>
      <bottom style="thin">
        <color auto="1"/>
      </bottom>
      <diagonal/>
    </border>
    <border>
      <left style="thin">
        <color auto="1"/>
      </left>
      <right style="thin">
        <color indexed="64"/>
      </right>
      <top style="thin">
        <color rgb="FF000000"/>
      </top>
      <bottom style="medium">
        <color indexed="64"/>
      </bottom>
      <diagonal/>
    </border>
    <border>
      <left/>
      <right style="medium">
        <color auto="1"/>
      </right>
      <top style="thin">
        <color auto="1"/>
      </top>
      <bottom style="medium">
        <color auto="1"/>
      </bottom>
      <diagonal/>
    </border>
    <border>
      <left style="medium">
        <color indexed="64"/>
      </left>
      <right/>
      <top style="medium">
        <color auto="1"/>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medium">
        <color indexed="64"/>
      </right>
      <top style="medium">
        <color indexed="64"/>
      </top>
      <bottom style="thin">
        <color rgb="FF000000"/>
      </bottom>
      <diagonal/>
    </border>
    <border>
      <left style="thin">
        <color auto="1"/>
      </left>
      <right/>
      <top style="medium">
        <color auto="1"/>
      </top>
      <bottom/>
      <diagonal/>
    </border>
    <border>
      <left style="medium">
        <color indexed="64"/>
      </left>
      <right style="thin">
        <color auto="1"/>
      </right>
      <top style="medium">
        <color indexed="64"/>
      </top>
      <bottom style="thin">
        <color rgb="FF000000"/>
      </bottom>
      <diagonal/>
    </border>
    <border>
      <left style="thin">
        <color auto="1"/>
      </left>
      <right style="thin">
        <color indexed="64"/>
      </right>
      <top style="medium">
        <color indexed="64"/>
      </top>
      <bottom style="thin">
        <color rgb="FF000000"/>
      </bottom>
      <diagonal/>
    </border>
    <border>
      <left style="thin">
        <color indexed="64"/>
      </left>
      <right style="thin">
        <color auto="1"/>
      </right>
      <top/>
      <bottom style="thin">
        <color rgb="FF000000"/>
      </bottom>
      <diagonal/>
    </border>
    <border>
      <left style="thin">
        <color auto="1"/>
      </left>
      <right/>
      <top style="medium">
        <color auto="1"/>
      </top>
      <bottom style="thin">
        <color rgb="FF000000"/>
      </bottom>
      <diagonal/>
    </border>
    <border>
      <left style="medium">
        <color indexed="64"/>
      </left>
      <right/>
      <top/>
      <bottom style="thin">
        <color rgb="FF000000"/>
      </bottom>
      <diagonal/>
    </border>
    <border>
      <left style="thin">
        <color indexed="64"/>
      </left>
      <right/>
      <top/>
      <bottom style="thin">
        <color rgb="FF000000"/>
      </bottom>
      <diagonal/>
    </border>
    <border>
      <left style="thin">
        <color indexed="64"/>
      </left>
      <right style="medium">
        <color indexed="64"/>
      </right>
      <top/>
      <bottom style="thin">
        <color rgb="FF000000"/>
      </bottom>
      <diagonal/>
    </border>
    <border>
      <left style="thin">
        <color indexed="64"/>
      </left>
      <right style="medium">
        <color indexed="64"/>
      </right>
      <top/>
      <bottom style="thin">
        <color auto="1"/>
      </bottom>
      <diagonal/>
    </border>
  </borders>
  <cellStyleXfs count="1340">
    <xf numFmtId="0" fontId="0" fillId="0" borderId="0"/>
    <xf numFmtId="0" fontId="32" fillId="0" borderId="0"/>
    <xf numFmtId="0" fontId="20" fillId="0" borderId="0">
      <alignment vertical="center"/>
    </xf>
    <xf numFmtId="0" fontId="32" fillId="0" borderId="0"/>
    <xf numFmtId="177" fontId="20" fillId="0" borderId="0" applyFont="0" applyFill="0" applyBorder="0" applyProtection="0"/>
    <xf numFmtId="0" fontId="33" fillId="0" borderId="0"/>
    <xf numFmtId="0" fontId="32" fillId="0" borderId="0"/>
    <xf numFmtId="177" fontId="20" fillId="0" borderId="0" applyFont="0" applyFill="0" applyBorder="0" applyProtection="0"/>
    <xf numFmtId="0" fontId="32" fillId="0" borderId="0"/>
    <xf numFmtId="177" fontId="32" fillId="0" borderId="0" applyFont="0" applyFill="0" applyBorder="0" applyProtection="0"/>
    <xf numFmtId="0" fontId="20" fillId="0" borderId="0"/>
    <xf numFmtId="178" fontId="3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0" fontId="20" fillId="0" borderId="0"/>
    <xf numFmtId="0" fontId="35" fillId="0" borderId="0">
      <alignment vertical="center"/>
    </xf>
    <xf numFmtId="0" fontId="32" fillId="0" borderId="0"/>
    <xf numFmtId="0" fontId="32" fillId="0" borderId="0"/>
    <xf numFmtId="0" fontId="35" fillId="0" borderId="0">
      <alignment vertical="center"/>
    </xf>
    <xf numFmtId="0" fontId="36" fillId="0" borderId="0"/>
    <xf numFmtId="0" fontId="37" fillId="0" borderId="0" applyNumberFormat="0" applyFill="0" applyBorder="0" applyProtection="0"/>
    <xf numFmtId="0" fontId="5" fillId="0" borderId="0"/>
    <xf numFmtId="0" fontId="37" fillId="0" borderId="0" applyNumberFormat="0" applyFill="0" applyBorder="0" applyProtection="0"/>
    <xf numFmtId="0" fontId="37" fillId="0" borderId="0" applyNumberFormat="0" applyFill="0" applyBorder="0" applyAlignment="0" applyProtection="0"/>
    <xf numFmtId="0" fontId="20" fillId="0" borderId="0"/>
    <xf numFmtId="0" fontId="5" fillId="0" borderId="0"/>
    <xf numFmtId="0" fontId="35" fillId="0" borderId="0"/>
    <xf numFmtId="177" fontId="35" fillId="0" borderId="0" applyFont="0" applyFill="0" applyBorder="0" applyAlignment="0" applyProtection="0"/>
    <xf numFmtId="9" fontId="35" fillId="0" borderId="0" applyFont="0" applyFill="0" applyBorder="0" applyAlignment="0" applyProtection="0"/>
    <xf numFmtId="0" fontId="20" fillId="0" borderId="0"/>
    <xf numFmtId="0" fontId="39" fillId="0" borderId="0">
      <alignment vertical="center"/>
    </xf>
    <xf numFmtId="0" fontId="32" fillId="0" borderId="0"/>
    <xf numFmtId="9" fontId="32" fillId="0" borderId="0" applyFont="0" applyFill="0" applyBorder="0" applyProtection="0"/>
    <xf numFmtId="0" fontId="35" fillId="0" borderId="0"/>
    <xf numFmtId="0" fontId="35" fillId="0" borderId="0"/>
    <xf numFmtId="0" fontId="40" fillId="0" borderId="0"/>
    <xf numFmtId="0" fontId="20" fillId="0" borderId="0"/>
    <xf numFmtId="0" fontId="20" fillId="0" borderId="0"/>
    <xf numFmtId="0" fontId="20" fillId="0" borderId="0"/>
    <xf numFmtId="9" fontId="20" fillId="0" borderId="0" applyFont="0" applyFill="0" applyBorder="0" applyProtection="0"/>
    <xf numFmtId="0" fontId="32" fillId="0" borderId="0"/>
    <xf numFmtId="0" fontId="20" fillId="0" borderId="0" applyAlignment="0"/>
    <xf numFmtId="0" fontId="20" fillId="0" borderId="0"/>
    <xf numFmtId="0" fontId="26" fillId="0" borderId="0"/>
    <xf numFmtId="0" fontId="5" fillId="0" borderId="0"/>
    <xf numFmtId="0" fontId="39" fillId="0" borderId="0">
      <alignment vertical="center"/>
    </xf>
    <xf numFmtId="0" fontId="20" fillId="0" borderId="0"/>
    <xf numFmtId="9" fontId="20" fillId="0" borderId="0" applyFont="0" applyFill="0" applyBorder="0" applyProtection="0"/>
    <xf numFmtId="0" fontId="20" fillId="0" borderId="0" applyAlignment="0"/>
    <xf numFmtId="0" fontId="20" fillId="0" borderId="0">
      <alignment vertical="center"/>
    </xf>
    <xf numFmtId="9" fontId="20" fillId="0" borderId="0" applyFont="0" applyFill="0" applyBorder="0" applyProtection="0"/>
    <xf numFmtId="0" fontId="32" fillId="0" borderId="0"/>
    <xf numFmtId="177" fontId="32" fillId="0" borderId="0" applyFont="0" applyFill="0" applyBorder="0" applyProtection="0"/>
    <xf numFmtId="0" fontId="20" fillId="0" borderId="0"/>
    <xf numFmtId="182" fontId="20" fillId="0" borderId="0" applyFont="0" applyFill="0" applyBorder="0" applyAlignment="0" applyProtection="0"/>
    <xf numFmtId="0" fontId="11" fillId="0" borderId="0" applyNumberFormat="0" applyFill="0" applyBorder="0" applyAlignment="0" applyProtection="0"/>
    <xf numFmtId="0" fontId="37" fillId="0" borderId="0" applyNumberFormat="0" applyFill="0" applyBorder="0" applyProtection="0"/>
    <xf numFmtId="0" fontId="20" fillId="0" borderId="0">
      <alignment vertical="center"/>
    </xf>
    <xf numFmtId="177" fontId="20" fillId="0" borderId="0" applyFont="0" applyFill="0" applyBorder="0" applyProtection="0"/>
    <xf numFmtId="176" fontId="20" fillId="0" borderId="0" applyFont="0" applyFill="0" applyBorder="0" applyAlignment="0" applyProtection="0"/>
    <xf numFmtId="0" fontId="34" fillId="0" borderId="0"/>
    <xf numFmtId="0" fontId="20" fillId="0" borderId="0"/>
    <xf numFmtId="0" fontId="33" fillId="0" borderId="0"/>
    <xf numFmtId="0" fontId="32" fillId="0" borderId="0"/>
    <xf numFmtId="0" fontId="32" fillId="0" borderId="0"/>
    <xf numFmtId="0" fontId="38" fillId="0" borderId="0" applyNumberFormat="0" applyFill="0" applyBorder="0">
      <protection locked="0"/>
    </xf>
    <xf numFmtId="0" fontId="20" fillId="0" borderId="0"/>
    <xf numFmtId="0" fontId="32" fillId="0" borderId="0"/>
    <xf numFmtId="0" fontId="5" fillId="0" borderId="0"/>
    <xf numFmtId="0" fontId="20" fillId="0" borderId="0"/>
    <xf numFmtId="0" fontId="20" fillId="0" borderId="0"/>
    <xf numFmtId="0" fontId="5" fillId="0" borderId="0"/>
    <xf numFmtId="183" fontId="41" fillId="0" borderId="0">
      <protection locked="0"/>
    </xf>
    <xf numFmtId="184" fontId="34" fillId="0" borderId="0" applyFont="0" applyFill="0" applyBorder="0" applyAlignment="0" applyProtection="0"/>
    <xf numFmtId="182" fontId="42" fillId="0" borderId="0" applyFont="0" applyFill="0" applyBorder="0" applyAlignment="0" applyProtection="0"/>
    <xf numFmtId="10" fontId="42" fillId="0" borderId="0" applyFont="0" applyFill="0" applyBorder="0" applyAlignment="0" applyProtection="0"/>
    <xf numFmtId="185" fontId="34" fillId="0" borderId="0" applyFont="0" applyFill="0" applyBorder="0" applyAlignment="0" applyProtection="0"/>
    <xf numFmtId="0" fontId="43"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9" borderId="0" applyNumberFormat="0" applyBorder="0" applyAlignment="0" applyProtection="0">
      <alignment vertical="center"/>
    </xf>
    <xf numFmtId="0" fontId="43" fillId="10"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3" fillId="13" borderId="0" applyNumberFormat="0" applyBorder="0" applyAlignment="0" applyProtection="0"/>
    <xf numFmtId="0" fontId="45" fillId="14" borderId="0" applyNumberFormat="0" applyBorder="0" applyAlignment="0" applyProtection="0">
      <alignment vertical="center"/>
    </xf>
    <xf numFmtId="0" fontId="43" fillId="13" borderId="0" applyNumberFormat="0" applyBorder="0" applyAlignment="0" applyProtection="0"/>
    <xf numFmtId="0" fontId="44" fillId="11" borderId="0" applyNumberFormat="0" applyBorder="0" applyAlignment="0" applyProtection="0"/>
    <xf numFmtId="0" fontId="44" fillId="15" borderId="0" applyNumberFormat="0" applyBorder="0" applyAlignment="0" applyProtection="0"/>
    <xf numFmtId="0" fontId="43" fillId="12" borderId="0" applyNumberFormat="0" applyBorder="0" applyAlignment="0" applyProtection="0"/>
    <xf numFmtId="0" fontId="45" fillId="4" borderId="0" applyNumberFormat="0" applyBorder="0" applyAlignment="0" applyProtection="0">
      <alignment vertical="center"/>
    </xf>
    <xf numFmtId="0" fontId="43" fillId="6" borderId="0" applyNumberFormat="0" applyBorder="0" applyAlignment="0" applyProtection="0"/>
    <xf numFmtId="0" fontId="44" fillId="7" borderId="0" applyNumberFormat="0" applyBorder="0" applyAlignment="0" applyProtection="0"/>
    <xf numFmtId="0" fontId="44" fillId="12" borderId="0" applyNumberFormat="0" applyBorder="0" applyAlignment="0" applyProtection="0"/>
    <xf numFmtId="0" fontId="43" fillId="12" borderId="0" applyNumberFormat="0" applyBorder="0" applyAlignment="0" applyProtection="0"/>
    <xf numFmtId="0" fontId="45" fillId="16" borderId="0" applyNumberFormat="0" applyBorder="0" applyAlignment="0" applyProtection="0">
      <alignment vertical="center"/>
    </xf>
    <xf numFmtId="0" fontId="43" fillId="17" borderId="0" applyNumberFormat="0" applyBorder="0" applyAlignment="0" applyProtection="0"/>
    <xf numFmtId="0" fontId="44" fillId="18"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19" borderId="0" applyNumberFormat="0" applyBorder="0" applyAlignment="0" applyProtection="0">
      <alignment vertical="center"/>
    </xf>
    <xf numFmtId="0" fontId="43" fillId="20" borderId="0" applyNumberFormat="0" applyBorder="0" applyAlignment="0" applyProtection="0"/>
    <xf numFmtId="0" fontId="44" fillId="11" borderId="0" applyNumberFormat="0" applyBorder="0" applyAlignment="0" applyProtection="0"/>
    <xf numFmtId="0" fontId="44" fillId="21" borderId="0" applyNumberFormat="0" applyBorder="0" applyAlignment="0" applyProtection="0"/>
    <xf numFmtId="0" fontId="43" fillId="21" borderId="0" applyNumberFormat="0" applyBorder="0" applyAlignment="0" applyProtection="0"/>
    <xf numFmtId="0" fontId="45" fillId="22" borderId="0" applyNumberFormat="0" applyBorder="0" applyAlignment="0" applyProtection="0">
      <alignment vertical="center"/>
    </xf>
    <xf numFmtId="186" fontId="24" fillId="0" borderId="0" applyFill="0" applyBorder="0" applyAlignment="0"/>
    <xf numFmtId="0" fontId="46" fillId="0" borderId="0"/>
    <xf numFmtId="4" fontId="20" fillId="0" borderId="9">
      <alignment horizontal="right"/>
    </xf>
    <xf numFmtId="4" fontId="20" fillId="0" borderId="9">
      <alignment horizontal="right"/>
    </xf>
    <xf numFmtId="4" fontId="20" fillId="0" borderId="1">
      <alignment horizontal="right"/>
    </xf>
    <xf numFmtId="4" fontId="20" fillId="0" borderId="10">
      <alignment horizontal="right"/>
    </xf>
    <xf numFmtId="4" fontId="20" fillId="0" borderId="1">
      <alignment horizontal="right"/>
    </xf>
    <xf numFmtId="4" fontId="20" fillId="0" borderId="1">
      <alignment horizontal="right"/>
    </xf>
    <xf numFmtId="4" fontId="20" fillId="0" borderId="10">
      <alignment horizontal="right"/>
    </xf>
    <xf numFmtId="4" fontId="20" fillId="0" borderId="1">
      <alignment horizontal="right"/>
    </xf>
    <xf numFmtId="0" fontId="47" fillId="23" borderId="11" applyNumberFormat="0" applyAlignment="0" applyProtection="0"/>
    <xf numFmtId="0" fontId="48" fillId="24" borderId="12" applyNumberFormat="0" applyAlignment="0" applyProtection="0"/>
    <xf numFmtId="0" fontId="47" fillId="23" borderId="11" applyNumberFormat="0" applyAlignment="0" applyProtection="0"/>
    <xf numFmtId="0" fontId="49" fillId="0" borderId="8" applyNumberFormat="0" applyFill="0" applyProtection="0">
      <alignment horizontal="center"/>
    </xf>
    <xf numFmtId="187" fontId="5" fillId="0" borderId="0"/>
    <xf numFmtId="187" fontId="5" fillId="0" borderId="0"/>
    <xf numFmtId="187" fontId="5" fillId="0" borderId="0"/>
    <xf numFmtId="187" fontId="5" fillId="0" borderId="0"/>
    <xf numFmtId="187" fontId="5" fillId="0" borderId="0"/>
    <xf numFmtId="187" fontId="5" fillId="0" borderId="0"/>
    <xf numFmtId="187" fontId="5" fillId="0" borderId="0"/>
    <xf numFmtId="187" fontId="5" fillId="0" borderId="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8" fontId="32" fillId="0" borderId="0" applyFont="0" applyFill="0" applyBorder="0" applyProtection="0"/>
    <xf numFmtId="177" fontId="32" fillId="0" borderId="0" applyFont="0" applyFill="0" applyBorder="0" applyProtection="0"/>
    <xf numFmtId="177" fontId="32" fillId="0" borderId="0" applyFont="0" applyFill="0" applyBorder="0" applyProtection="0"/>
    <xf numFmtId="177" fontId="32" fillId="0" borderId="0" applyFont="0" applyFill="0" applyBorder="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50" fillId="0" borderId="0" applyFont="0" applyFill="0" applyBorder="0" applyAlignment="0" applyProtection="0"/>
    <xf numFmtId="176" fontId="50"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8"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1" fillId="0" borderId="0" applyFont="0" applyFill="0" applyBorder="0" applyProtection="0"/>
    <xf numFmtId="177" fontId="51" fillId="0" borderId="0" applyFont="0" applyFill="0" applyBorder="0" applyProtection="0"/>
    <xf numFmtId="177" fontId="51" fillId="0" borderId="0" applyFont="0" applyFill="0" applyBorder="0" applyProtection="0"/>
    <xf numFmtId="177" fontId="51"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32" fillId="0" borderId="0" applyFont="0" applyFill="0" applyBorder="0" applyProtection="0"/>
    <xf numFmtId="176" fontId="5" fillId="0" borderId="0" applyFont="0" applyFill="0" applyBorder="0" applyAlignment="0" applyProtection="0"/>
    <xf numFmtId="176" fontId="5" fillId="0" borderId="0" applyFont="0" applyFill="0" applyBorder="0" applyAlignment="0" applyProtection="0"/>
    <xf numFmtId="177" fontId="32"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8" fontId="34"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5" fillId="0" borderId="0" applyFont="0" applyFill="0" applyBorder="0" applyAlignment="0" applyProtection="0"/>
    <xf numFmtId="177" fontId="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Alignment="0" applyProtection="0"/>
    <xf numFmtId="177" fontId="35" fillId="0" borderId="0" applyFont="0" applyFill="0" applyBorder="0" applyAlignment="0" applyProtection="0"/>
    <xf numFmtId="177" fontId="3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2" fillId="0" borderId="0" applyFont="0" applyFill="0" applyBorder="0" applyAlignment="0" applyProtection="0"/>
    <xf numFmtId="177" fontId="52"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88" fontId="53" fillId="0" borderId="0"/>
    <xf numFmtId="37" fontId="42" fillId="0" borderId="0" applyFont="0" applyFill="0" applyBorder="0" applyAlignment="0" applyProtection="0"/>
    <xf numFmtId="189" fontId="42" fillId="0" borderId="0" applyFont="0" applyFill="0" applyBorder="0" applyAlignment="0" applyProtection="0"/>
    <xf numFmtId="39" fontId="42" fillId="0" borderId="0" applyFont="0" applyFill="0" applyBorder="0" applyAlignment="0" applyProtection="0"/>
    <xf numFmtId="190" fontId="42" fillId="0" borderId="0" applyFont="0" applyFill="0" applyBorder="0" applyAlignment="0" applyProtection="0"/>
    <xf numFmtId="191" fontId="42" fillId="0" borderId="0" applyFont="0" applyFill="0" applyBorder="0" applyAlignment="0" applyProtection="0"/>
    <xf numFmtId="192" fontId="53" fillId="0" borderId="0"/>
    <xf numFmtId="0" fontId="20" fillId="0" borderId="9" applyAlignment="0"/>
    <xf numFmtId="0" fontId="20" fillId="0" borderId="9" applyAlignment="0"/>
    <xf numFmtId="0" fontId="20" fillId="0" borderId="1" applyAlignment="0"/>
    <xf numFmtId="0" fontId="20" fillId="0" borderId="10" applyAlignment="0"/>
    <xf numFmtId="0" fontId="20" fillId="0" borderId="1" applyAlignment="0"/>
    <xf numFmtId="0" fontId="20" fillId="0" borderId="1" applyAlignment="0"/>
    <xf numFmtId="0" fontId="20" fillId="0" borderId="10" applyAlignment="0"/>
    <xf numFmtId="0" fontId="20" fillId="0" borderId="1" applyAlignment="0"/>
    <xf numFmtId="0" fontId="20" fillId="0" borderId="9" applyAlignment="0"/>
    <xf numFmtId="0" fontId="20" fillId="0" borderId="9" applyAlignment="0"/>
    <xf numFmtId="0" fontId="20" fillId="0" borderId="1" applyAlignment="0"/>
    <xf numFmtId="0" fontId="20" fillId="0" borderId="10" applyAlignment="0"/>
    <xf numFmtId="0" fontId="20" fillId="0" borderId="1" applyAlignment="0"/>
    <xf numFmtId="0" fontId="20" fillId="0" borderId="1" applyAlignment="0"/>
    <xf numFmtId="0" fontId="20" fillId="0" borderId="10" applyAlignment="0"/>
    <xf numFmtId="0" fontId="20" fillId="0" borderId="1" applyAlignment="0"/>
    <xf numFmtId="193" fontId="53" fillId="0" borderId="0"/>
    <xf numFmtId="0" fontId="54" fillId="0" borderId="0">
      <alignment horizontal="left"/>
    </xf>
    <xf numFmtId="0" fontId="55" fillId="25" borderId="1"/>
    <xf numFmtId="0" fontId="55" fillId="25" borderId="1"/>
    <xf numFmtId="0" fontId="55" fillId="25" borderId="10"/>
    <xf numFmtId="0" fontId="55" fillId="25" borderId="1"/>
    <xf numFmtId="0" fontId="55" fillId="25" borderId="9"/>
    <xf numFmtId="0" fontId="55" fillId="25" borderId="9"/>
    <xf numFmtId="0" fontId="55" fillId="25" borderId="1"/>
    <xf numFmtId="194" fontId="32" fillId="0" borderId="0" applyFont="0" applyFill="0" applyBorder="0" applyAlignment="0" applyProtection="0"/>
    <xf numFmtId="194" fontId="32" fillId="0" borderId="0" applyFont="0" applyFill="0" applyBorder="0" applyAlignment="0" applyProtection="0"/>
    <xf numFmtId="194" fontId="32" fillId="0" borderId="0" applyFont="0" applyFill="0" applyBorder="0" applyAlignment="0" applyProtection="0"/>
    <xf numFmtId="194" fontId="32" fillId="0" borderId="0" applyFont="0" applyFill="0" applyBorder="0" applyAlignment="0" applyProtection="0"/>
    <xf numFmtId="0" fontId="56" fillId="26" borderId="0" applyNumberFormat="0" applyBorder="0" applyAlignment="0" applyProtection="0"/>
    <xf numFmtId="0" fontId="57" fillId="27" borderId="0" applyNumberFormat="0" applyBorder="0" applyAlignment="0" applyProtection="0"/>
    <xf numFmtId="0" fontId="56" fillId="26" borderId="0" applyNumberFormat="0" applyBorder="0" applyAlignment="0" applyProtection="0"/>
    <xf numFmtId="0" fontId="55" fillId="12" borderId="0" applyNumberFormat="0" applyBorder="0" applyAlignment="0" applyProtection="0"/>
    <xf numFmtId="0" fontId="58" fillId="0" borderId="0">
      <alignment horizontal="left"/>
    </xf>
    <xf numFmtId="0" fontId="59" fillId="0" borderId="6" applyNumberFormat="0" applyProtection="0"/>
    <xf numFmtId="0" fontId="59" fillId="0" borderId="6" applyNumberFormat="0" applyProtection="0"/>
    <xf numFmtId="0" fontId="59" fillId="0" borderId="6" applyNumberFormat="0" applyProtection="0"/>
    <xf numFmtId="0" fontId="59" fillId="0" borderId="6" applyNumberFormat="0" applyProtection="0"/>
    <xf numFmtId="0" fontId="59" fillId="0" borderId="7">
      <alignment horizontal="left" vertical="center"/>
    </xf>
    <xf numFmtId="0" fontId="37" fillId="0" borderId="0" applyNumberFormat="0" applyFill="0" applyBorder="0" applyAlignment="0" applyProtection="0"/>
    <xf numFmtId="0" fontId="6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8" fillId="0" borderId="0" applyNumberFormat="0" applyFill="0" applyBorder="0">
      <protection locked="0"/>
    </xf>
    <xf numFmtId="0" fontId="11"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60" fillId="0" borderId="0" applyNumberFormat="0" applyFill="0" applyBorder="0" applyAlignment="0" applyProtection="0"/>
    <xf numFmtId="0" fontId="37" fillId="0" borderId="0" applyNumberFormat="0" applyFill="0" applyBorder="0" applyAlignment="0" applyProtection="0"/>
    <xf numFmtId="0" fontId="55" fillId="11" borderId="1" applyNumberFormat="0" applyBorder="0" applyAlignment="0" applyProtection="0"/>
    <xf numFmtId="0" fontId="55" fillId="11" borderId="1" applyNumberFormat="0" applyBorder="0" applyAlignment="0" applyProtection="0"/>
    <xf numFmtId="0" fontId="55" fillId="11" borderId="10" applyNumberFormat="0" applyBorder="0" applyAlignment="0" applyProtection="0"/>
    <xf numFmtId="0" fontId="55" fillId="11" borderId="1" applyNumberFormat="0" applyBorder="0" applyAlignment="0" applyProtection="0"/>
    <xf numFmtId="0" fontId="55" fillId="11" borderId="9" applyNumberFormat="0" applyBorder="0" applyAlignment="0" applyProtection="0"/>
    <xf numFmtId="0" fontId="55" fillId="11" borderId="9" applyNumberFormat="0" applyBorder="0" applyAlignment="0" applyProtection="0"/>
    <xf numFmtId="0" fontId="55" fillId="11" borderId="1" applyNumberFormat="0" applyBorder="0" applyAlignment="0" applyProtection="0"/>
    <xf numFmtId="0" fontId="61" fillId="0" borderId="2"/>
    <xf numFmtId="0" fontId="61" fillId="0" borderId="2"/>
    <xf numFmtId="182" fontId="34" fillId="0" borderId="0"/>
    <xf numFmtId="0" fontId="20" fillId="0" borderId="0" applyAlignment="0"/>
    <xf numFmtId="0" fontId="20" fillId="0" borderId="0" applyAlignment="0"/>
    <xf numFmtId="0" fontId="35" fillId="0" borderId="0" applyAlignment="0"/>
    <xf numFmtId="0" fontId="5" fillId="0" borderId="0"/>
    <xf numFmtId="0" fontId="20" fillId="0" borderId="0" applyAlignment="0"/>
    <xf numFmtId="0" fontId="20" fillId="0" borderId="0"/>
    <xf numFmtId="0" fontId="20" fillId="0" borderId="0" applyAlignment="0"/>
    <xf numFmtId="0" fontId="20" fillId="0" borderId="0"/>
    <xf numFmtId="0" fontId="20" fillId="0" borderId="0"/>
    <xf numFmtId="0" fontId="20" fillId="0" borderId="0"/>
    <xf numFmtId="0" fontId="20" fillId="0" borderId="0"/>
    <xf numFmtId="0" fontId="20" fillId="0" borderId="0"/>
    <xf numFmtId="0" fontId="20" fillId="0" borderId="0" applyAlignment="0"/>
    <xf numFmtId="0" fontId="20" fillId="0" borderId="0" applyAlignment="0"/>
    <xf numFmtId="0" fontId="20" fillId="0" borderId="0"/>
    <xf numFmtId="0" fontId="20" fillId="0" borderId="0"/>
    <xf numFmtId="0" fontId="35" fillId="0" borderId="0"/>
    <xf numFmtId="0" fontId="3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51" fillId="0" borderId="0"/>
    <xf numFmtId="0" fontId="51" fillId="0" borderId="0"/>
    <xf numFmtId="0" fontId="51" fillId="0" borderId="0"/>
    <xf numFmtId="0" fontId="51" fillId="0" borderId="0"/>
    <xf numFmtId="0" fontId="35" fillId="0" borderId="0">
      <alignment vertical="center"/>
    </xf>
    <xf numFmtId="0" fontId="20" fillId="0" borderId="0"/>
    <xf numFmtId="0" fontId="20" fillId="0" borderId="0"/>
    <xf numFmtId="0" fontId="39" fillId="0" borderId="0">
      <alignment vertical="center"/>
    </xf>
    <xf numFmtId="0" fontId="39" fillId="0" borderId="0">
      <alignment vertical="center"/>
    </xf>
    <xf numFmtId="0" fontId="5" fillId="0" borderId="0"/>
    <xf numFmtId="0" fontId="39" fillId="0" borderId="0">
      <alignment vertical="center"/>
    </xf>
    <xf numFmtId="0" fontId="62" fillId="0" borderId="0"/>
    <xf numFmtId="0" fontId="20" fillId="0" borderId="0"/>
    <xf numFmtId="0" fontId="20" fillId="0" borderId="0"/>
    <xf numFmtId="0" fontId="20" fillId="0" borderId="0"/>
    <xf numFmtId="0" fontId="3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5" fillId="0" borderId="0"/>
    <xf numFmtId="0" fontId="20" fillId="0" borderId="0"/>
    <xf numFmtId="0" fontId="6" fillId="0" borderId="0"/>
    <xf numFmtId="0" fontId="20" fillId="0" borderId="0"/>
    <xf numFmtId="0" fontId="39" fillId="0" borderId="0">
      <alignment vertical="center"/>
    </xf>
    <xf numFmtId="0" fontId="32" fillId="0" borderId="0"/>
    <xf numFmtId="0" fontId="33" fillId="0" borderId="0"/>
    <xf numFmtId="0" fontId="32" fillId="0" borderId="0"/>
    <xf numFmtId="0" fontId="20" fillId="0" borderId="0"/>
    <xf numFmtId="0" fontId="32" fillId="0" borderId="0"/>
    <xf numFmtId="183" fontId="41" fillId="0" borderId="0">
      <protection locked="0"/>
    </xf>
    <xf numFmtId="0" fontId="20" fillId="0" borderId="0" applyAlignment="0"/>
    <xf numFmtId="0" fontId="32" fillId="0" borderId="0"/>
    <xf numFmtId="0" fontId="32" fillId="0" borderId="0"/>
    <xf numFmtId="0" fontId="20" fillId="0" borderId="0" applyAlignment="0"/>
    <xf numFmtId="0" fontId="20" fillId="0" borderId="0" applyAlignment="0"/>
    <xf numFmtId="0" fontId="32" fillId="0" borderId="0"/>
    <xf numFmtId="0" fontId="32" fillId="0" borderId="0"/>
    <xf numFmtId="0" fontId="63" fillId="0" borderId="0"/>
    <xf numFmtId="0" fontId="32" fillId="0" borderId="0"/>
    <xf numFmtId="0" fontId="20" fillId="0" borderId="0"/>
    <xf numFmtId="183" fontId="41" fillId="0" borderId="0">
      <protection locked="0"/>
    </xf>
    <xf numFmtId="0" fontId="32" fillId="0" borderId="0"/>
    <xf numFmtId="0" fontId="20" fillId="0" borderId="0">
      <alignment vertical="center"/>
    </xf>
    <xf numFmtId="0" fontId="32" fillId="0" borderId="0"/>
    <xf numFmtId="0" fontId="32" fillId="0" borderId="0"/>
    <xf numFmtId="0" fontId="32" fillId="0" borderId="0"/>
    <xf numFmtId="0" fontId="32" fillId="0" borderId="0"/>
    <xf numFmtId="0" fontId="20" fillId="0" borderId="0">
      <alignment vertical="center"/>
    </xf>
    <xf numFmtId="0" fontId="20" fillId="0" borderId="0"/>
    <xf numFmtId="0" fontId="32" fillId="0" borderId="0"/>
    <xf numFmtId="0" fontId="34" fillId="0" borderId="0"/>
    <xf numFmtId="0" fontId="32" fillId="0" borderId="0"/>
    <xf numFmtId="0" fontId="32" fillId="0" borderId="0"/>
    <xf numFmtId="0" fontId="5" fillId="0" borderId="0"/>
    <xf numFmtId="0" fontId="34" fillId="0" borderId="0"/>
    <xf numFmtId="0" fontId="20" fillId="0" borderId="0"/>
    <xf numFmtId="0" fontId="20" fillId="0" borderId="0"/>
    <xf numFmtId="0" fontId="33" fillId="0" borderId="0"/>
    <xf numFmtId="0" fontId="20" fillId="0" borderId="0"/>
    <xf numFmtId="0" fontId="5" fillId="0" borderId="0"/>
    <xf numFmtId="0" fontId="20" fillId="0" borderId="0"/>
    <xf numFmtId="0" fontId="20"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alignment vertical="center"/>
    </xf>
    <xf numFmtId="0" fontId="20" fillId="0" borderId="0">
      <alignment vertical="center"/>
    </xf>
    <xf numFmtId="0" fontId="64" fillId="0" borderId="0"/>
    <xf numFmtId="10" fontId="5" fillId="0" borderId="0" applyFont="0" applyFill="0" applyBorder="0" applyAlignment="0" applyProtection="0"/>
    <xf numFmtId="182" fontId="20" fillId="0" borderId="0" applyFont="0" applyFill="0" applyBorder="0" applyAlignment="0" applyProtection="0"/>
    <xf numFmtId="9" fontId="20" fillId="0" borderId="0" applyFont="0" applyFill="0" applyBorder="0" applyAlignment="0" applyProtection="0"/>
    <xf numFmtId="182" fontId="20" fillId="0" borderId="0" applyFont="0" applyFill="0" applyBorder="0" applyAlignment="0" applyProtection="0"/>
    <xf numFmtId="9" fontId="5"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Protection="0"/>
    <xf numFmtId="9" fontId="20" fillId="0" borderId="0" applyFont="0" applyFill="0" applyBorder="0" applyProtection="0"/>
    <xf numFmtId="0" fontId="55" fillId="12" borderId="1"/>
    <xf numFmtId="0" fontId="55" fillId="12" borderId="1"/>
    <xf numFmtId="0" fontId="55" fillId="12" borderId="10"/>
    <xf numFmtId="0" fontId="55" fillId="12" borderId="1"/>
    <xf numFmtId="0" fontId="55" fillId="12" borderId="9"/>
    <xf numFmtId="0" fontId="55" fillId="12" borderId="9"/>
    <xf numFmtId="0" fontId="55" fillId="12" borderId="1"/>
    <xf numFmtId="4" fontId="54" fillId="0" borderId="0">
      <alignment horizontal="right"/>
    </xf>
    <xf numFmtId="4" fontId="65" fillId="0" borderId="0">
      <alignment horizontal="right"/>
    </xf>
    <xf numFmtId="176" fontId="53" fillId="0" borderId="0" applyFont="0" applyFill="0" applyBorder="0" applyAlignment="0" applyProtection="0"/>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9" borderId="0" applyNumberFormat="0" applyProtection="0">
      <alignment horizontal="left" vertical="center" indent="1"/>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4" fillId="39" borderId="0" applyNumberFormat="0" applyProtection="0">
      <alignment horizontal="left" vertical="center" indent="1"/>
    </xf>
    <xf numFmtId="0" fontId="67" fillId="6" borderId="0" applyNumberFormat="0" applyProtection="0">
      <alignment horizontal="left" vertical="center" indent="1"/>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39" borderId="0" applyNumberFormat="0" applyProtection="0">
      <alignment horizontal="left" vertical="center" indent="1"/>
    </xf>
    <xf numFmtId="0" fontId="24" fillId="29" borderId="0"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center"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6" borderId="13" applyNumberFormat="0" applyProtection="0">
      <alignment horizontal="left" vertical="top"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center"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29" borderId="13" applyNumberFormat="0" applyProtection="0">
      <alignment horizontal="left" vertical="top"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center"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8" borderId="13" applyNumberFormat="0" applyProtection="0">
      <alignment horizontal="left" vertical="top"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center"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5" fillId="39" borderId="13" applyNumberFormat="0" applyProtection="0">
      <alignment horizontal="left" vertical="top" indent="1"/>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69" fillId="40" borderId="0" applyNumberFormat="0" applyProtection="0">
      <alignment horizontal="left" vertical="center" indent="1"/>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70" fillId="0" borderId="0">
      <alignment horizontal="left"/>
    </xf>
    <xf numFmtId="177" fontId="55" fillId="0" borderId="15"/>
    <xf numFmtId="177" fontId="55" fillId="0" borderId="15"/>
    <xf numFmtId="177" fontId="55" fillId="0" borderId="15"/>
    <xf numFmtId="177" fontId="55" fillId="0" borderId="15"/>
    <xf numFmtId="177" fontId="55" fillId="0" borderId="15"/>
    <xf numFmtId="177" fontId="55" fillId="0" borderId="15"/>
    <xf numFmtId="177" fontId="55" fillId="0" borderId="15"/>
    <xf numFmtId="177" fontId="55" fillId="0" borderId="15"/>
    <xf numFmtId="0" fontId="61" fillId="0" borderId="0"/>
    <xf numFmtId="0" fontId="71" fillId="0" borderId="0">
      <alignment horizontal="center"/>
    </xf>
    <xf numFmtId="195" fontId="5" fillId="0" borderId="0" applyFont="0" applyFill="0" applyBorder="0" applyAlignment="0" applyProtection="0"/>
    <xf numFmtId="196" fontId="5" fillId="0" borderId="0" applyFont="0" applyFill="0" applyBorder="0" applyAlignment="0" applyProtection="0"/>
    <xf numFmtId="197" fontId="34" fillId="0" borderId="0" applyFont="0" applyFill="0" applyBorder="0" applyAlignment="0" applyProtection="0"/>
    <xf numFmtId="198" fontId="34" fillId="0" borderId="0" applyFont="0" applyFill="0" applyBorder="0" applyAlignment="0" applyProtection="0"/>
    <xf numFmtId="9" fontId="72" fillId="0" borderId="0" applyFont="0" applyFill="0" applyBorder="0" applyAlignment="0" applyProtection="0"/>
    <xf numFmtId="0" fontId="52" fillId="0" borderId="0"/>
    <xf numFmtId="0" fontId="73" fillId="0" borderId="0"/>
    <xf numFmtId="199" fontId="52" fillId="0" borderId="0" applyFont="0" applyFill="0" applyBorder="0" applyAlignment="0" applyProtection="0"/>
    <xf numFmtId="200" fontId="52" fillId="0" borderId="0" applyFont="0" applyFill="0" applyBorder="0" applyAlignment="0" applyProtection="0"/>
    <xf numFmtId="176" fontId="5" fillId="0" borderId="0" applyFont="0" applyFill="0" applyBorder="0" applyAlignment="0" applyProtection="0"/>
    <xf numFmtId="9" fontId="52" fillId="0" borderId="0" applyFont="0" applyFill="0" applyBorder="0" applyAlignment="0" applyProtection="0"/>
    <xf numFmtId="9" fontId="5" fillId="0" borderId="0" applyFont="0" applyFill="0" applyBorder="0" applyAlignment="0" applyProtection="0"/>
    <xf numFmtId="9" fontId="34" fillId="0" borderId="0" applyFont="0" applyFill="0" applyBorder="0" applyAlignment="0" applyProtection="0"/>
    <xf numFmtId="9" fontId="5" fillId="0" borderId="0" applyFont="0" applyFill="0" applyBorder="0" applyAlignment="0" applyProtection="0"/>
    <xf numFmtId="9" fontId="34" fillId="0" borderId="0" applyFont="0" applyFill="0" applyBorder="0" applyAlignment="0" applyProtection="0"/>
    <xf numFmtId="9" fontId="32" fillId="0" borderId="0" applyFont="0" applyFill="0" applyBorder="0" applyProtection="0"/>
    <xf numFmtId="9" fontId="32" fillId="0" borderId="0" applyFont="0" applyFill="0" applyBorder="0" applyProtection="0"/>
    <xf numFmtId="9" fontId="32" fillId="0" borderId="0" applyFont="0" applyFill="0" applyBorder="0" applyProtection="0"/>
    <xf numFmtId="9" fontId="34" fillId="0" borderId="0" applyFont="0" applyFill="0" applyBorder="0" applyAlignment="0" applyProtection="0"/>
    <xf numFmtId="9" fontId="20" fillId="0" borderId="0" applyFont="0" applyFill="0" applyBorder="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Protection="0"/>
    <xf numFmtId="9" fontId="32" fillId="0" borderId="0" applyFont="0" applyFill="0" applyBorder="0" applyProtection="0"/>
    <xf numFmtId="0" fontId="74" fillId="0" borderId="0" applyFont="0" applyFill="0" applyBorder="0" applyAlignment="0" applyProtection="0"/>
    <xf numFmtId="0" fontId="74" fillId="0" borderId="0" applyFont="0" applyFill="0" applyBorder="0" applyAlignment="0" applyProtection="0"/>
    <xf numFmtId="0" fontId="75" fillId="0" borderId="0" applyNumberFormat="0" applyFill="0" applyBorder="0" applyProtection="0"/>
    <xf numFmtId="4" fontId="76" fillId="0" borderId="0">
      <alignment horizontal="right"/>
    </xf>
    <xf numFmtId="0" fontId="77" fillId="0" borderId="0" applyNumberFormat="0" applyFill="0" applyBorder="0" applyAlignment="0" applyProtection="0"/>
    <xf numFmtId="0" fontId="78" fillId="33" borderId="0" applyNumberFormat="0" applyBorder="0" applyProtection="0"/>
    <xf numFmtId="0" fontId="79" fillId="30" borderId="0" applyNumberFormat="0" applyBorder="0" applyProtection="0"/>
    <xf numFmtId="0" fontId="79" fillId="30" borderId="0" applyNumberFormat="0" applyBorder="0" applyProtection="0"/>
    <xf numFmtId="0" fontId="80" fillId="30" borderId="0" applyNumberFormat="0" applyBorder="0" applyAlignment="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20" fillId="0" borderId="0"/>
    <xf numFmtId="0" fontId="35" fillId="0" borderId="0"/>
    <xf numFmtId="0" fontId="32" fillId="0" borderId="0"/>
    <xf numFmtId="201" fontId="32" fillId="0" borderId="0"/>
    <xf numFmtId="201" fontId="82" fillId="0" borderId="0"/>
    <xf numFmtId="0" fontId="34" fillId="0" borderId="0"/>
    <xf numFmtId="0" fontId="34" fillId="0" borderId="0"/>
    <xf numFmtId="0" fontId="34" fillId="0" borderId="0"/>
    <xf numFmtId="0" fontId="34" fillId="0" borderId="0"/>
    <xf numFmtId="0" fontId="32" fillId="0" borderId="0"/>
    <xf numFmtId="0" fontId="34" fillId="0" borderId="0"/>
    <xf numFmtId="0" fontId="40" fillId="0" borderId="0">
      <protection locked="0"/>
    </xf>
    <xf numFmtId="0" fontId="32" fillId="0" borderId="0"/>
    <xf numFmtId="0" fontId="34" fillId="0" borderId="0"/>
    <xf numFmtId="0" fontId="5" fillId="0" borderId="0">
      <protection locked="0"/>
    </xf>
    <xf numFmtId="0" fontId="34" fillId="0" borderId="0"/>
    <xf numFmtId="0" fontId="34" fillId="0" borderId="0"/>
    <xf numFmtId="0" fontId="34" fillId="0" borderId="0"/>
    <xf numFmtId="0" fontId="5" fillId="0" borderId="0">
      <protection locked="0"/>
    </xf>
    <xf numFmtId="0" fontId="35" fillId="0" borderId="0">
      <alignment vertical="center"/>
    </xf>
    <xf numFmtId="0" fontId="32" fillId="0" borderId="0"/>
    <xf numFmtId="0" fontId="35" fillId="0" borderId="0">
      <alignment vertical="center"/>
    </xf>
    <xf numFmtId="0" fontId="35" fillId="0" borderId="0">
      <alignment vertical="center"/>
    </xf>
    <xf numFmtId="0" fontId="32" fillId="0" borderId="0"/>
    <xf numFmtId="183" fontId="5" fillId="0" borderId="0"/>
    <xf numFmtId="0" fontId="34" fillId="0" borderId="0">
      <alignment vertical="top"/>
    </xf>
    <xf numFmtId="0" fontId="40" fillId="0" borderId="0">
      <protection locked="0"/>
    </xf>
    <xf numFmtId="201" fontId="32" fillId="0" borderId="0"/>
    <xf numFmtId="0" fontId="34" fillId="0" borderId="0"/>
    <xf numFmtId="0" fontId="34" fillId="0" borderId="0"/>
    <xf numFmtId="201" fontId="32" fillId="0" borderId="0"/>
    <xf numFmtId="201" fontId="32" fillId="0" borderId="0"/>
    <xf numFmtId="0" fontId="34" fillId="0" borderId="0"/>
    <xf numFmtId="0" fontId="34" fillId="0" borderId="0"/>
    <xf numFmtId="0" fontId="5" fillId="0" borderId="0">
      <protection locked="0"/>
    </xf>
    <xf numFmtId="0" fontId="20" fillId="0" borderId="0">
      <alignment vertical="center"/>
      <protection locked="0"/>
    </xf>
    <xf numFmtId="0" fontId="32" fillId="0" borderId="0"/>
    <xf numFmtId="0" fontId="20" fillId="0" borderId="0">
      <alignment vertical="center"/>
      <protection locked="0"/>
    </xf>
    <xf numFmtId="0" fontId="5" fillId="0" borderId="0">
      <protection locked="0"/>
    </xf>
    <xf numFmtId="0" fontId="32" fillId="0" borderId="0"/>
    <xf numFmtId="0" fontId="5" fillId="0" borderId="0">
      <protection locked="0"/>
    </xf>
    <xf numFmtId="0" fontId="5" fillId="0" borderId="0">
      <protection locked="0"/>
    </xf>
    <xf numFmtId="0" fontId="32" fillId="0" borderId="0"/>
    <xf numFmtId="0" fontId="32" fillId="0" borderId="0"/>
    <xf numFmtId="0" fontId="34" fillId="0" borderId="0"/>
    <xf numFmtId="0" fontId="20" fillId="0" borderId="0">
      <alignment vertical="center"/>
    </xf>
    <xf numFmtId="0" fontId="35" fillId="0" borderId="0">
      <alignment vertical="center"/>
    </xf>
    <xf numFmtId="0" fontId="35" fillId="0" borderId="0">
      <alignment vertical="center"/>
    </xf>
    <xf numFmtId="0" fontId="32" fillId="0" borderId="0"/>
    <xf numFmtId="0" fontId="20" fillId="0" borderId="0"/>
    <xf numFmtId="0" fontId="32" fillId="0" borderId="0"/>
    <xf numFmtId="0" fontId="34" fillId="0" borderId="0"/>
    <xf numFmtId="0" fontId="32" fillId="0" borderId="0"/>
    <xf numFmtId="0" fontId="34" fillId="0" borderId="0">
      <alignment vertical="center"/>
    </xf>
    <xf numFmtId="0" fontId="20" fillId="0" borderId="0">
      <alignment vertical="center"/>
    </xf>
    <xf numFmtId="0" fontId="32" fillId="0" borderId="0"/>
    <xf numFmtId="0" fontId="20" fillId="0" borderId="0">
      <alignment vertical="center"/>
    </xf>
    <xf numFmtId="0" fontId="32" fillId="0" borderId="0"/>
    <xf numFmtId="0" fontId="32" fillId="0" borderId="0"/>
    <xf numFmtId="0" fontId="32" fillId="0" borderId="0"/>
    <xf numFmtId="0" fontId="20" fillId="0" borderId="0"/>
    <xf numFmtId="0" fontId="32" fillId="0" borderId="0"/>
    <xf numFmtId="0" fontId="83" fillId="0" borderId="0" applyNumberFormat="0" applyFill="0" applyBorder="0">
      <protection locked="0"/>
    </xf>
    <xf numFmtId="0" fontId="84" fillId="0" borderId="0" applyNumberFormat="0" applyFill="0" applyBorder="0" applyAlignment="0" applyProtection="0"/>
    <xf numFmtId="0" fontId="83" fillId="0" borderId="0" applyNumberFormat="0" applyFill="0" applyBorder="0">
      <protection locked="0"/>
    </xf>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7" fillId="0" borderId="0" applyNumberFormat="0" applyFill="0" applyBorder="0" applyProtection="0"/>
    <xf numFmtId="0" fontId="85" fillId="0" borderId="0" applyNumberFormat="0" applyFill="0" applyBorder="0" applyAlignment="0" applyProtection="0">
      <alignment vertical="center"/>
    </xf>
    <xf numFmtId="0" fontId="83" fillId="0" borderId="0" applyNumberFormat="0" applyFill="0" applyBorder="0">
      <protection locked="0"/>
    </xf>
    <xf numFmtId="0" fontId="85" fillId="0" borderId="0" applyNumberFormat="0" applyFill="0" applyBorder="0" applyAlignment="0" applyProtection="0">
      <alignment vertical="center"/>
    </xf>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7" fillId="27" borderId="0" applyNumberFormat="0" applyBorder="0" applyProtection="0"/>
    <xf numFmtId="0" fontId="87" fillId="15" borderId="0" applyNumberFormat="0" applyBorder="0" applyProtection="0"/>
    <xf numFmtId="0" fontId="88" fillId="15" borderId="0" applyNumberFormat="0" applyBorder="0" applyAlignment="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27" borderId="0" applyNumberFormat="0" applyBorder="0" applyProtection="0"/>
    <xf numFmtId="0" fontId="86" fillId="27" borderId="0" applyNumberFormat="0" applyBorder="0" applyProtection="0"/>
    <xf numFmtId="0" fontId="87" fillId="15"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7" fillId="27" borderId="0" applyNumberFormat="0" applyBorder="0" applyProtection="0"/>
    <xf numFmtId="4" fontId="90" fillId="0" borderId="0" applyFont="0" applyFill="0" applyBorder="0" applyAlignment="0" applyProtection="0"/>
    <xf numFmtId="176" fontId="5" fillId="0" borderId="0" applyFont="0" applyFill="0" applyBorder="0" applyAlignment="0" applyProtection="0"/>
    <xf numFmtId="202" fontId="20" fillId="0" borderId="0" applyFont="0" applyFill="0" applyBorder="0" applyProtection="0"/>
    <xf numFmtId="202" fontId="20" fillId="0" borderId="0" applyFont="0" applyFill="0" applyBorder="0" applyProtection="0"/>
    <xf numFmtId="203" fontId="91" fillId="0" borderId="0" applyFont="0" applyFill="0" applyBorder="0" applyAlignment="0" applyProtection="0"/>
    <xf numFmtId="204" fontId="91" fillId="0" borderId="0" applyFont="0" applyFill="0" applyBorder="0" applyAlignment="0" applyProtection="0"/>
    <xf numFmtId="205" fontId="5" fillId="0" borderId="0" applyFont="0" applyFill="0" applyBorder="0" applyAlignment="0" applyProtection="0"/>
    <xf numFmtId="206" fontId="5" fillId="0" borderId="0" applyFont="0" applyFill="0" applyBorder="0" applyAlignment="0" applyProtection="0"/>
    <xf numFmtId="207" fontId="92" fillId="0" borderId="0" applyFont="0" applyFill="0" applyBorder="0" applyAlignment="0" applyProtection="0"/>
    <xf numFmtId="208" fontId="92" fillId="0" borderId="0" applyFont="0" applyFill="0" applyBorder="0" applyAlignment="0" applyProtection="0"/>
    <xf numFmtId="203" fontId="52" fillId="0" borderId="0" applyFont="0" applyFill="0" applyBorder="0" applyAlignment="0" applyProtection="0"/>
    <xf numFmtId="204" fontId="52" fillId="0" borderId="0" applyFont="0" applyFill="0" applyBorder="0" applyAlignment="0" applyProtection="0"/>
    <xf numFmtId="0" fontId="53" fillId="0" borderId="0"/>
    <xf numFmtId="176" fontId="53" fillId="0" borderId="0" applyFont="0" applyFill="0" applyBorder="0" applyAlignment="0" applyProtection="0"/>
    <xf numFmtId="177" fontId="53" fillId="0" borderId="0" applyFont="0" applyFill="0" applyBorder="0" applyAlignment="0" applyProtection="0"/>
    <xf numFmtId="176" fontId="34" fillId="0" borderId="0" applyFont="0" applyFill="0" applyBorder="0" applyAlignment="0" applyProtection="0"/>
    <xf numFmtId="177" fontId="34" fillId="0" borderId="0" applyFont="0" applyFill="0" applyBorder="0" applyAlignment="0" applyProtection="0"/>
    <xf numFmtId="177" fontId="35"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32" fillId="0" borderId="0" applyFont="0" applyFill="0" applyBorder="0" applyProtection="0"/>
    <xf numFmtId="177" fontId="5" fillId="0" borderId="0" applyFont="0" applyFill="0" applyBorder="0" applyAlignment="0" applyProtection="0"/>
    <xf numFmtId="0" fontId="20" fillId="0" borderId="0" applyFont="0" applyFill="0" applyBorder="0" applyProtection="0"/>
    <xf numFmtId="177" fontId="40" fillId="0" borderId="0" applyFont="0" applyAlignment="0" applyProtection="0"/>
    <xf numFmtId="177" fontId="40" fillId="0" borderId="0" applyFont="0" applyAlignment="0" applyProtection="0"/>
    <xf numFmtId="177" fontId="40" fillId="0" borderId="0" applyFont="0" applyAlignment="0" applyProtection="0"/>
    <xf numFmtId="177" fontId="34" fillId="0" borderId="0" applyFont="0" applyFill="0" applyBorder="0" applyAlignment="0" applyProtection="0"/>
    <xf numFmtId="177" fontId="34" fillId="0" borderId="0" applyFont="0" applyFill="0" applyBorder="0" applyAlignment="0" applyProtection="0"/>
    <xf numFmtId="177" fontId="40" fillId="0" borderId="0" applyFont="0" applyAlignment="0" applyProtection="0"/>
    <xf numFmtId="177" fontId="5"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0" fontId="20" fillId="0" borderId="0" applyFont="0" applyFill="0" applyBorder="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5"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Alignment="0" applyProtection="0"/>
    <xf numFmtId="177" fontId="20" fillId="0" borderId="0" applyFont="0" applyFill="0" applyBorder="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20" fillId="0" borderId="0" applyFont="0" applyFill="0" applyBorder="0" applyProtection="0"/>
    <xf numFmtId="177" fontId="32" fillId="0" borderId="0" applyFont="0" applyFill="0" applyBorder="0" applyAlignment="0" applyProtection="0"/>
    <xf numFmtId="177" fontId="32" fillId="0" borderId="0" applyFont="0" applyFill="0" applyBorder="0" applyAlignment="0" applyProtection="0"/>
    <xf numFmtId="177" fontId="32" fillId="0" borderId="0" applyFont="0" applyFill="0" applyBorder="0" applyAlignment="0" applyProtection="0"/>
    <xf numFmtId="177" fontId="20" fillId="0" borderId="0" applyFont="0" applyFill="0" applyBorder="0" applyProtection="0"/>
    <xf numFmtId="177" fontId="20"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0"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20" fillId="0" borderId="0" applyFont="0" applyFill="0" applyBorder="0" applyProtection="0"/>
    <xf numFmtId="177" fontId="32" fillId="0" borderId="0" applyFont="0" applyFill="0" applyBorder="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4" fillId="0" borderId="0" applyFont="0" applyFill="0" applyBorder="0" applyAlignment="0" applyProtection="0"/>
    <xf numFmtId="177" fontId="32" fillId="0" borderId="0" applyFont="0" applyFill="0" applyBorder="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176" fontId="34" fillId="0" borderId="0" applyFont="0" applyFill="0" applyBorder="0" applyAlignment="0" applyProtection="0"/>
    <xf numFmtId="0" fontId="93" fillId="0" borderId="0"/>
    <xf numFmtId="0" fontId="94" fillId="42" borderId="0" applyNumberFormat="0" applyBorder="0" applyAlignment="0" applyProtection="0"/>
    <xf numFmtId="0" fontId="94" fillId="43" borderId="0" applyNumberFormat="0" applyBorder="0" applyAlignment="0" applyProtection="0"/>
    <xf numFmtId="0" fontId="94" fillId="44" borderId="0" applyNumberFormat="0" applyBorder="0" applyAlignment="0" applyProtection="0"/>
    <xf numFmtId="209" fontId="5" fillId="0" borderId="0" applyFont="0" applyFill="0" applyBorder="0" applyAlignment="0" applyProtection="0"/>
    <xf numFmtId="210" fontId="90" fillId="0" borderId="0" applyFont="0" applyFill="0" applyBorder="0" applyAlignment="0" applyProtection="0"/>
    <xf numFmtId="0" fontId="52" fillId="0" borderId="0"/>
    <xf numFmtId="0" fontId="51" fillId="0" borderId="0"/>
    <xf numFmtId="0" fontId="51" fillId="0" borderId="0"/>
    <xf numFmtId="0" fontId="34" fillId="0" borderId="0"/>
    <xf numFmtId="0" fontId="95" fillId="0" borderId="0"/>
    <xf numFmtId="40" fontId="74" fillId="0" borderId="0" applyFont="0" applyFill="0" applyBorder="0" applyAlignment="0" applyProtection="0"/>
    <xf numFmtId="38" fontId="74" fillId="0" borderId="0" applyFont="0" applyFill="0" applyBorder="0" applyAlignment="0" applyProtection="0"/>
    <xf numFmtId="0" fontId="5" fillId="0" borderId="1" applyNumberFormat="0"/>
    <xf numFmtId="0" fontId="5" fillId="0" borderId="1" applyNumberFormat="0"/>
    <xf numFmtId="0" fontId="5" fillId="0" borderId="10" applyNumberFormat="0"/>
    <xf numFmtId="0" fontId="5" fillId="0" borderId="1" applyNumberFormat="0"/>
    <xf numFmtId="0" fontId="5" fillId="0" borderId="9" applyNumberFormat="0"/>
    <xf numFmtId="0" fontId="5" fillId="0" borderId="9" applyNumberFormat="0"/>
    <xf numFmtId="0" fontId="5" fillId="0" borderId="1" applyNumberFormat="0"/>
    <xf numFmtId="38" fontId="96" fillId="0" borderId="0" applyFont="0" applyFill="0" applyBorder="0" applyAlignment="0" applyProtection="0"/>
    <xf numFmtId="40"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0" fontId="97" fillId="0" borderId="0"/>
    <xf numFmtId="0" fontId="101" fillId="0" borderId="0"/>
    <xf numFmtId="0" fontId="100" fillId="0" borderId="0">
      <alignment vertical="center"/>
    </xf>
    <xf numFmtId="0" fontId="4" fillId="0" borderId="0">
      <alignment vertical="center"/>
    </xf>
    <xf numFmtId="0" fontId="3" fillId="0" borderId="0">
      <alignment vertical="center"/>
    </xf>
    <xf numFmtId="0" fontId="2" fillId="0" borderId="0">
      <alignment vertical="center"/>
    </xf>
    <xf numFmtId="0" fontId="32" fillId="0" borderId="0"/>
    <xf numFmtId="0" fontId="20" fillId="0" borderId="0"/>
    <xf numFmtId="0" fontId="20" fillId="0" borderId="0"/>
    <xf numFmtId="0" fontId="20" fillId="0" borderId="0">
      <alignment vertical="center"/>
    </xf>
    <xf numFmtId="0" fontId="20" fillId="0" borderId="0"/>
    <xf numFmtId="0" fontId="2" fillId="0" borderId="0"/>
    <xf numFmtId="0" fontId="136" fillId="0" borderId="0" applyNumberFormat="0" applyFill="0" applyBorder="0" applyAlignment="0" applyProtection="0"/>
    <xf numFmtId="0" fontId="105" fillId="0" borderId="0" applyNumberFormat="0" applyFill="0" applyBorder="0" applyAlignment="0" applyProtection="0"/>
    <xf numFmtId="0" fontId="1" fillId="0" borderId="0"/>
    <xf numFmtId="0" fontId="165" fillId="0" borderId="0"/>
    <xf numFmtId="0" fontId="1" fillId="0" borderId="0">
      <alignment vertical="center"/>
    </xf>
    <xf numFmtId="177" fontId="32" fillId="0" borderId="0" applyFont="0" applyFill="0" applyBorder="0" applyProtection="0"/>
    <xf numFmtId="43" fontId="1" fillId="0" borderId="0" applyFont="0" applyFill="0" applyBorder="0" applyAlignment="0" applyProtection="0">
      <alignment vertical="center"/>
    </xf>
  </cellStyleXfs>
  <cellXfs count="1054">
    <xf numFmtId="0" fontId="0" fillId="0" borderId="0" xfId="0"/>
    <xf numFmtId="0" fontId="5" fillId="0" borderId="0" xfId="0" applyFont="1" applyAlignment="1" applyProtection="1">
      <alignment vertical="center"/>
      <protection locked="0"/>
    </xf>
    <xf numFmtId="0" fontId="6" fillId="0" borderId="0" xfId="2" applyFont="1">
      <alignment vertical="center"/>
    </xf>
    <xf numFmtId="0" fontId="5" fillId="0" borderId="0" xfId="2" applyFont="1">
      <alignment vertical="center"/>
    </xf>
    <xf numFmtId="0" fontId="6" fillId="0" borderId="0" xfId="5" applyFont="1" applyAlignment="1">
      <alignment vertical="center"/>
    </xf>
    <xf numFmtId="177" fontId="5" fillId="0" borderId="0" xfId="7" applyFont="1" applyFill="1" applyAlignment="1" applyProtection="1">
      <alignment horizontal="right" vertical="center" shrinkToFit="1"/>
      <protection locked="0"/>
    </xf>
    <xf numFmtId="0" fontId="5" fillId="0" borderId="0" xfId="3" applyFont="1" applyAlignment="1" applyProtection="1">
      <alignment horizontal="center" vertical="center"/>
      <protection locked="0"/>
    </xf>
    <xf numFmtId="0" fontId="5" fillId="0" borderId="0" xfId="6" applyFont="1" applyAlignment="1" applyProtection="1">
      <alignment horizontal="center" vertical="center"/>
      <protection locked="0"/>
    </xf>
    <xf numFmtId="177" fontId="5" fillId="0" borderId="0" xfId="9" applyFont="1" applyFill="1" applyAlignment="1" applyProtection="1">
      <alignment horizontal="right" vertical="center" shrinkToFit="1"/>
      <protection locked="0"/>
    </xf>
    <xf numFmtId="177" fontId="6" fillId="0" borderId="0" xfId="9" applyFont="1" applyBorder="1" applyAlignment="1">
      <alignment vertical="center"/>
    </xf>
    <xf numFmtId="0" fontId="5" fillId="0" borderId="0" xfId="0" applyFont="1"/>
    <xf numFmtId="0" fontId="9" fillId="0" borderId="0" xfId="6" applyFont="1" applyAlignment="1" applyProtection="1">
      <alignment horizontal="left" vertical="center"/>
      <protection locked="0"/>
    </xf>
    <xf numFmtId="0" fontId="6" fillId="0" borderId="0" xfId="3" applyFont="1" applyAlignment="1" applyProtection="1">
      <alignment vertical="center"/>
      <protection locked="0"/>
    </xf>
    <xf numFmtId="9" fontId="6" fillId="0" borderId="0" xfId="39" applyFont="1" applyAlignment="1">
      <alignment vertical="center"/>
    </xf>
    <xf numFmtId="49" fontId="9" fillId="0" borderId="0" xfId="3" applyNumberFormat="1" applyFont="1" applyAlignment="1" applyProtection="1">
      <alignment horizontal="center" vertical="center" wrapText="1"/>
      <protection locked="0"/>
    </xf>
    <xf numFmtId="10" fontId="9" fillId="0" borderId="0" xfId="39" applyNumberFormat="1" applyFont="1" applyFill="1" applyBorder="1" applyAlignment="1" applyProtection="1">
      <alignment horizontal="center" vertical="center" shrinkToFit="1"/>
      <protection locked="0"/>
    </xf>
    <xf numFmtId="0" fontId="9" fillId="0" borderId="0" xfId="3" applyFont="1" applyAlignment="1" applyProtection="1">
      <alignment horizontal="center" vertical="center" shrinkToFit="1"/>
      <protection locked="0"/>
    </xf>
    <xf numFmtId="0" fontId="9" fillId="0" borderId="0" xfId="5" applyFont="1" applyAlignment="1">
      <alignment horizontal="center" vertical="center"/>
    </xf>
    <xf numFmtId="0" fontId="9" fillId="0" borderId="0" xfId="5" applyFont="1" applyAlignment="1">
      <alignment vertical="center"/>
    </xf>
    <xf numFmtId="177" fontId="6" fillId="0" borderId="0" xfId="4" applyFont="1" applyFill="1" applyBorder="1" applyAlignment="1">
      <alignment vertical="center"/>
    </xf>
    <xf numFmtId="0" fontId="5" fillId="2" borderId="0" xfId="3" applyFont="1" applyFill="1" applyAlignment="1" applyProtection="1">
      <alignment horizontal="center" vertical="center"/>
      <protection locked="0"/>
    </xf>
    <xf numFmtId="0" fontId="6" fillId="0" borderId="0" xfId="6" applyFont="1" applyAlignment="1" applyProtection="1">
      <alignment vertical="center"/>
      <protection locked="0"/>
    </xf>
    <xf numFmtId="0" fontId="5" fillId="0" borderId="0" xfId="6" applyFont="1" applyAlignment="1" applyProtection="1">
      <alignment vertical="center"/>
      <protection locked="0"/>
    </xf>
    <xf numFmtId="9" fontId="6" fillId="0" borderId="0" xfId="47" applyFont="1" applyAlignment="1">
      <alignment vertical="center"/>
    </xf>
    <xf numFmtId="0" fontId="5" fillId="0" borderId="0" xfId="0" applyFont="1" applyAlignment="1">
      <alignment vertical="center"/>
    </xf>
    <xf numFmtId="0" fontId="9" fillId="0" borderId="0" xfId="6" applyFont="1" applyAlignment="1" applyProtection="1">
      <alignment horizontal="center" vertical="center"/>
      <protection locked="0"/>
    </xf>
    <xf numFmtId="0" fontId="9" fillId="0" borderId="0" xfId="0" applyFont="1" applyAlignment="1">
      <alignment horizontal="center" vertical="center"/>
    </xf>
    <xf numFmtId="9" fontId="6" fillId="0" borderId="0" xfId="47" applyFont="1" applyFill="1" applyAlignment="1">
      <alignment vertical="center"/>
    </xf>
    <xf numFmtId="177" fontId="5" fillId="0" borderId="0" xfId="7" applyFont="1" applyFill="1" applyBorder="1" applyAlignment="1" applyProtection="1">
      <alignment horizontal="right" vertical="center" shrinkToFit="1"/>
      <protection locked="0"/>
    </xf>
    <xf numFmtId="177" fontId="5" fillId="0" borderId="0" xfId="7" applyFont="1" applyFill="1" applyBorder="1" applyAlignment="1" applyProtection="1">
      <alignment horizontal="center" vertical="center" shrinkToFit="1"/>
      <protection locked="0"/>
    </xf>
    <xf numFmtId="49" fontId="12" fillId="0" borderId="0" xfId="6" applyNumberFormat="1" applyFont="1" applyAlignment="1" applyProtection="1">
      <alignment horizontal="center" vertical="center" shrinkToFit="1"/>
      <protection locked="0"/>
    </xf>
    <xf numFmtId="9" fontId="5" fillId="0" borderId="0" xfId="47" applyFont="1" applyAlignment="1">
      <alignment vertical="center"/>
    </xf>
    <xf numFmtId="177" fontId="24" fillId="0" borderId="0" xfId="7" applyFont="1" applyFill="1" applyBorder="1" applyAlignment="1" applyProtection="1">
      <alignment horizontal="center" vertical="center" shrinkToFit="1"/>
      <protection locked="0"/>
    </xf>
    <xf numFmtId="177" fontId="6" fillId="0" borderId="0" xfId="7" applyFont="1" applyFill="1" applyBorder="1" applyAlignment="1">
      <alignment horizontal="right" vertical="center" shrinkToFit="1"/>
    </xf>
    <xf numFmtId="10" fontId="25" fillId="0" borderId="0" xfId="47" applyNumberFormat="1" applyFont="1" applyFill="1" applyBorder="1" applyAlignment="1" applyProtection="1">
      <alignment horizontal="right" vertical="center" shrinkToFit="1"/>
    </xf>
    <xf numFmtId="177" fontId="24" fillId="0" borderId="0" xfId="7" applyFont="1" applyFill="1" applyBorder="1" applyAlignment="1" applyProtection="1">
      <alignment horizontal="right" vertical="center" shrinkToFit="1"/>
      <protection locked="0"/>
    </xf>
    <xf numFmtId="177" fontId="9" fillId="0" borderId="0" xfId="6" applyNumberFormat="1" applyFont="1" applyAlignment="1" applyProtection="1">
      <alignment horizontal="center" vertical="center" shrinkToFit="1"/>
      <protection locked="0"/>
    </xf>
    <xf numFmtId="177" fontId="14" fillId="0" borderId="0" xfId="6" applyNumberFormat="1" applyFont="1" applyAlignment="1" applyProtection="1">
      <alignment horizontal="center" vertical="center" shrinkToFit="1"/>
      <protection locked="0"/>
    </xf>
    <xf numFmtId="177" fontId="6" fillId="0" borderId="0" xfId="9" applyFont="1" applyFill="1" applyBorder="1" applyAlignment="1">
      <alignment horizontal="right" vertical="center" shrinkToFit="1"/>
    </xf>
    <xf numFmtId="10" fontId="12" fillId="0" borderId="0" xfId="6" applyNumberFormat="1" applyFont="1" applyAlignment="1" applyProtection="1">
      <alignment horizontal="right" vertical="center" shrinkToFit="1"/>
      <protection locked="0"/>
    </xf>
    <xf numFmtId="0" fontId="6" fillId="0" borderId="0" xfId="49" applyFont="1">
      <alignment vertical="center"/>
    </xf>
    <xf numFmtId="0" fontId="6" fillId="2" borderId="0" xfId="51" applyFont="1" applyFill="1" applyAlignment="1">
      <alignment vertical="center" shrinkToFit="1"/>
    </xf>
    <xf numFmtId="9" fontId="6" fillId="0" borderId="0" xfId="50" applyFont="1" applyAlignment="1">
      <alignment vertical="center"/>
    </xf>
    <xf numFmtId="9" fontId="6" fillId="0" borderId="0" xfId="50" applyFont="1" applyBorder="1" applyAlignment="1">
      <alignment vertical="center"/>
    </xf>
    <xf numFmtId="9" fontId="6" fillId="0" borderId="0" xfId="2" applyNumberFormat="1" applyFont="1">
      <alignment vertical="center"/>
    </xf>
    <xf numFmtId="0" fontId="6" fillId="0" borderId="0" xfId="47" applyNumberFormat="1" applyFont="1" applyAlignment="1">
      <alignment vertical="center"/>
    </xf>
    <xf numFmtId="177" fontId="6" fillId="0" borderId="0" xfId="7" applyFont="1" applyBorder="1" applyAlignment="1">
      <alignment horizontal="right" vertical="center" shrinkToFit="1"/>
    </xf>
    <xf numFmtId="177" fontId="9" fillId="0" borderId="0" xfId="52" applyFont="1" applyFill="1" applyBorder="1" applyAlignment="1">
      <alignment horizontal="center" vertical="center" shrinkToFit="1"/>
    </xf>
    <xf numFmtId="177" fontId="5" fillId="0" borderId="0" xfId="52" applyFont="1" applyFill="1" applyAlignment="1" applyProtection="1">
      <alignment horizontal="center" vertical="center" shrinkToFit="1"/>
      <protection locked="0"/>
    </xf>
    <xf numFmtId="177" fontId="5" fillId="0" borderId="0" xfId="52" applyFont="1" applyFill="1" applyBorder="1" applyAlignment="1">
      <alignment horizontal="right" vertical="center" shrinkToFit="1"/>
    </xf>
    <xf numFmtId="177" fontId="5" fillId="0" borderId="0" xfId="9" applyFont="1" applyFill="1" applyBorder="1" applyAlignment="1" applyProtection="1">
      <alignment horizontal="right" vertical="center" shrinkToFit="1"/>
      <protection locked="0"/>
    </xf>
    <xf numFmtId="0" fontId="9" fillId="0" borderId="0" xfId="0" applyFont="1" applyAlignment="1">
      <alignment horizontal="left" vertical="center"/>
    </xf>
    <xf numFmtId="0" fontId="6" fillId="0" borderId="0" xfId="0" applyFont="1" applyAlignment="1">
      <alignment vertical="center"/>
    </xf>
    <xf numFmtId="177" fontId="6" fillId="0" borderId="0" xfId="9" applyFont="1" applyBorder="1" applyAlignment="1">
      <alignment horizontal="right" vertical="center" shrinkToFit="1"/>
    </xf>
    <xf numFmtId="9" fontId="25" fillId="0" borderId="0" xfId="32" applyFont="1" applyFill="1" applyBorder="1" applyAlignment="1" applyProtection="1">
      <alignment horizontal="right" vertical="center" shrinkToFit="1"/>
    </xf>
    <xf numFmtId="177" fontId="24" fillId="0" borderId="0" xfId="9" applyFont="1" applyFill="1" applyBorder="1" applyAlignment="1" applyProtection="1">
      <alignment horizontal="right" vertical="center" shrinkToFit="1"/>
      <protection locked="0"/>
    </xf>
    <xf numFmtId="0" fontId="6" fillId="2" borderId="0" xfId="57" applyFont="1" applyFill="1">
      <alignment vertical="center"/>
    </xf>
    <xf numFmtId="0" fontId="6" fillId="2" borderId="0" xfId="57" applyFont="1" applyFill="1" applyAlignment="1">
      <alignment vertical="center" wrapText="1"/>
    </xf>
    <xf numFmtId="49" fontId="0" fillId="0" borderId="0" xfId="0" applyNumberFormat="1"/>
    <xf numFmtId="0" fontId="27" fillId="0" borderId="0" xfId="5" applyFont="1" applyAlignment="1">
      <alignment vertical="center"/>
    </xf>
    <xf numFmtId="0" fontId="12" fillId="0" borderId="0" xfId="42" applyFont="1" applyAlignment="1">
      <alignment vertical="center"/>
    </xf>
    <xf numFmtId="0" fontId="102" fillId="0" borderId="0" xfId="42" applyFont="1" applyAlignment="1">
      <alignment vertical="center"/>
    </xf>
    <xf numFmtId="0" fontId="8" fillId="5" borderId="0" xfId="0" applyFont="1" applyFill="1" applyAlignment="1">
      <alignment vertical="center"/>
    </xf>
    <xf numFmtId="177" fontId="14" fillId="0" borderId="0" xfId="9" applyFont="1" applyFill="1" applyBorder="1" applyAlignment="1" applyProtection="1">
      <alignment horizontal="center" vertical="center" shrinkToFit="1"/>
      <protection locked="0"/>
    </xf>
    <xf numFmtId="177" fontId="5" fillId="2" borderId="0" xfId="9" applyFont="1" applyFill="1" applyBorder="1" applyAlignment="1" applyProtection="1">
      <alignment horizontal="center" vertical="center" shrinkToFit="1"/>
      <protection locked="0"/>
    </xf>
    <xf numFmtId="177" fontId="5" fillId="0" borderId="0" xfId="9" applyFont="1" applyFill="1" applyBorder="1" applyAlignment="1" applyProtection="1">
      <alignment horizontal="center" vertical="center" shrinkToFit="1"/>
      <protection locked="0"/>
    </xf>
    <xf numFmtId="0" fontId="14" fillId="0" borderId="0" xfId="6" applyFont="1" applyAlignment="1" applyProtection="1">
      <alignment horizontal="center" vertical="center"/>
      <protection locked="0"/>
    </xf>
    <xf numFmtId="0" fontId="5" fillId="0" borderId="0" xfId="6" applyFont="1" applyAlignment="1" applyProtection="1">
      <alignment horizontal="right" vertical="center"/>
      <protection locked="0"/>
    </xf>
    <xf numFmtId="0" fontId="12" fillId="0" borderId="0" xfId="0" applyFont="1" applyAlignment="1">
      <alignment vertical="center"/>
    </xf>
    <xf numFmtId="179" fontId="12" fillId="0" borderId="0" xfId="43" applyNumberFormat="1" applyFont="1" applyAlignment="1" applyProtection="1">
      <alignment horizontal="right" vertical="center"/>
      <protection locked="0"/>
    </xf>
    <xf numFmtId="179" fontId="12" fillId="0" borderId="0" xfId="43" applyNumberFormat="1" applyFont="1" applyAlignment="1" applyProtection="1">
      <alignment vertical="center" wrapText="1"/>
      <protection locked="0"/>
    </xf>
    <xf numFmtId="0" fontId="6" fillId="2" borderId="0" xfId="0" applyFont="1" applyFill="1" applyAlignment="1">
      <alignment vertical="center"/>
    </xf>
    <xf numFmtId="0" fontId="106" fillId="0" borderId="0" xfId="0" applyFont="1" applyAlignment="1">
      <alignment vertical="center"/>
    </xf>
    <xf numFmtId="0" fontId="14" fillId="2" borderId="0" xfId="57" applyFont="1" applyFill="1" applyAlignment="1">
      <alignment vertical="center" shrinkToFit="1"/>
    </xf>
    <xf numFmtId="0" fontId="6" fillId="2" borderId="0" xfId="57" applyFont="1" applyFill="1" applyAlignment="1">
      <alignment horizontal="right" vertical="center"/>
    </xf>
    <xf numFmtId="0" fontId="14" fillId="2" borderId="0" xfId="57" applyFont="1" applyFill="1" applyAlignment="1">
      <alignment horizontal="left" vertical="center" shrinkToFit="1"/>
    </xf>
    <xf numFmtId="0" fontId="107" fillId="0" borderId="0" xfId="0" applyFont="1" applyAlignment="1">
      <alignment vertical="center"/>
    </xf>
    <xf numFmtId="0" fontId="14" fillId="0" borderId="0" xfId="6" applyFont="1" applyAlignment="1" applyProtection="1">
      <alignment horizontal="left" vertical="center"/>
      <protection locked="0"/>
    </xf>
    <xf numFmtId="0" fontId="14" fillId="0" borderId="0" xfId="0" applyFont="1" applyAlignment="1" applyProtection="1">
      <alignment vertical="center"/>
      <protection locked="0"/>
    </xf>
    <xf numFmtId="0" fontId="14" fillId="0" borderId="0" xfId="0" applyFont="1" applyAlignment="1">
      <alignment horizontal="left"/>
    </xf>
    <xf numFmtId="177" fontId="14" fillId="0" borderId="0" xfId="7" applyFont="1" applyFill="1" applyBorder="1" applyAlignment="1" applyProtection="1">
      <alignment horizontal="left" vertical="center" shrinkToFit="1"/>
      <protection locked="0"/>
    </xf>
    <xf numFmtId="0" fontId="14" fillId="0" borderId="0" xfId="3" applyFont="1" applyAlignment="1" applyProtection="1">
      <alignment vertical="center"/>
      <protection locked="0"/>
    </xf>
    <xf numFmtId="0" fontId="14" fillId="0" borderId="0" xfId="3" applyFont="1" applyAlignment="1" applyProtection="1">
      <alignment horizontal="left" vertical="center"/>
      <protection locked="0"/>
    </xf>
    <xf numFmtId="177" fontId="14" fillId="0" borderId="0" xfId="9" applyFont="1" applyFill="1" applyBorder="1" applyAlignment="1" applyProtection="1">
      <alignment horizontal="left" vertical="center" shrinkToFit="1"/>
      <protection locked="0"/>
    </xf>
    <xf numFmtId="0" fontId="14" fillId="0" borderId="0" xfId="5" applyFont="1" applyAlignment="1">
      <alignment horizontal="left" vertical="center"/>
    </xf>
    <xf numFmtId="0" fontId="27" fillId="0" borderId="0" xfId="0" applyFont="1" applyAlignment="1">
      <alignment vertical="center"/>
    </xf>
    <xf numFmtId="0" fontId="8" fillId="0" borderId="0" xfId="0" applyFont="1" applyAlignment="1">
      <alignment horizontal="left" vertical="center"/>
    </xf>
    <xf numFmtId="0" fontId="16" fillId="0" borderId="0" xfId="0" applyFont="1" applyAlignment="1">
      <alignment horizontal="left" vertical="center"/>
    </xf>
    <xf numFmtId="0" fontId="5" fillId="0" borderId="0" xfId="0" applyFont="1" applyAlignment="1">
      <alignment horizontal="left" vertical="center"/>
    </xf>
    <xf numFmtId="0" fontId="12" fillId="0" borderId="0" xfId="0" applyFont="1" applyAlignment="1">
      <alignment vertical="center" wrapText="1"/>
    </xf>
    <xf numFmtId="10" fontId="24" fillId="0" borderId="0" xfId="47" applyNumberFormat="1" applyFont="1" applyFill="1" applyBorder="1" applyAlignment="1" applyProtection="1">
      <alignment horizontal="center" vertical="center" shrinkToFit="1"/>
      <protection locked="0"/>
    </xf>
    <xf numFmtId="0" fontId="8" fillId="0" borderId="0" xfId="0" applyFont="1"/>
    <xf numFmtId="0" fontId="5" fillId="0" borderId="0" xfId="0" applyFont="1" applyAlignment="1" applyProtection="1">
      <alignment horizontal="left" vertical="center"/>
      <protection locked="0"/>
    </xf>
    <xf numFmtId="0" fontId="5" fillId="49" borderId="0" xfId="6" applyFont="1" applyFill="1" applyAlignment="1" applyProtection="1">
      <alignment horizontal="center" vertical="center"/>
      <protection locked="0"/>
    </xf>
    <xf numFmtId="0" fontId="5" fillId="49" borderId="0" xfId="0" applyFont="1" applyFill="1" applyAlignment="1" applyProtection="1">
      <alignment vertical="center"/>
      <protection locked="0"/>
    </xf>
    <xf numFmtId="0" fontId="6" fillId="49" borderId="0" xfId="0" applyFont="1" applyFill="1" applyAlignment="1">
      <alignment vertical="center"/>
    </xf>
    <xf numFmtId="177" fontId="5" fillId="49" borderId="0" xfId="7" applyFont="1" applyFill="1" applyAlignment="1" applyProtection="1">
      <alignment horizontal="right" vertical="center" shrinkToFit="1"/>
      <protection locked="0"/>
    </xf>
    <xf numFmtId="177" fontId="5" fillId="49" borderId="0" xfId="7" applyFont="1" applyFill="1" applyBorder="1" applyAlignment="1" applyProtection="1">
      <alignment horizontal="right" vertical="center" shrinkToFit="1"/>
      <protection locked="0"/>
    </xf>
    <xf numFmtId="0" fontId="6" fillId="49" borderId="0" xfId="5" applyFont="1" applyFill="1" applyAlignment="1">
      <alignment vertical="center"/>
    </xf>
    <xf numFmtId="0" fontId="5" fillId="49" borderId="0" xfId="3" applyFont="1" applyFill="1" applyAlignment="1" applyProtection="1">
      <alignment horizontal="center" vertical="center"/>
      <protection locked="0"/>
    </xf>
    <xf numFmtId="177" fontId="6" fillId="49" borderId="0" xfId="9" applyFont="1" applyFill="1" applyBorder="1" applyAlignment="1">
      <alignment vertical="center"/>
    </xf>
    <xf numFmtId="0" fontId="14" fillId="49" borderId="0" xfId="6" applyFont="1" applyFill="1" applyAlignment="1" applyProtection="1">
      <alignment horizontal="center" vertical="center"/>
      <protection locked="0"/>
    </xf>
    <xf numFmtId="0" fontId="5" fillId="49" borderId="0" xfId="6" applyFont="1" applyFill="1" applyAlignment="1" applyProtection="1">
      <alignment horizontal="right" vertical="center"/>
      <protection locked="0"/>
    </xf>
    <xf numFmtId="0" fontId="15" fillId="4" borderId="0" xfId="1334" applyFont="1" applyFill="1" applyAlignment="1" applyProtection="1">
      <alignment vertical="center"/>
    </xf>
    <xf numFmtId="177" fontId="14" fillId="49" borderId="0" xfId="9" applyFont="1" applyFill="1" applyBorder="1" applyAlignment="1" applyProtection="1">
      <alignment horizontal="center" vertical="center" shrinkToFit="1"/>
      <protection locked="0"/>
    </xf>
    <xf numFmtId="177" fontId="5" fillId="49" borderId="0" xfId="9" applyFont="1" applyFill="1" applyBorder="1" applyAlignment="1" applyProtection="1">
      <alignment horizontal="right" vertical="center" shrinkToFit="1"/>
      <protection locked="0"/>
    </xf>
    <xf numFmtId="0" fontId="9" fillId="49" borderId="0" xfId="0" applyFont="1" applyFill="1" applyAlignment="1">
      <alignment horizontal="left" vertical="center"/>
    </xf>
    <xf numFmtId="0" fontId="9" fillId="49" borderId="0" xfId="0" applyFont="1" applyFill="1" applyAlignment="1">
      <alignment horizontal="center" vertical="center"/>
    </xf>
    <xf numFmtId="0" fontId="8" fillId="49" borderId="0" xfId="0" applyFont="1" applyFill="1" applyAlignment="1">
      <alignment vertical="center"/>
    </xf>
    <xf numFmtId="0" fontId="5" fillId="49" borderId="0" xfId="2" applyFont="1" applyFill="1">
      <alignment vertical="center"/>
    </xf>
    <xf numFmtId="0" fontId="12" fillId="49" borderId="0" xfId="42" applyFont="1" applyFill="1" applyAlignment="1">
      <alignment vertical="center"/>
    </xf>
    <xf numFmtId="0" fontId="5" fillId="49" borderId="0" xfId="0" applyFont="1" applyFill="1"/>
    <xf numFmtId="10" fontId="25" fillId="49" borderId="0" xfId="47" applyNumberFormat="1" applyFont="1" applyFill="1" applyBorder="1" applyAlignment="1" applyProtection="1">
      <alignment horizontal="right" vertical="center" shrinkToFit="1"/>
    </xf>
    <xf numFmtId="0" fontId="14" fillId="49" borderId="0" xfId="57" applyFont="1" applyFill="1" applyAlignment="1">
      <alignment vertical="center" shrinkToFit="1"/>
    </xf>
    <xf numFmtId="0" fontId="6" fillId="49" borderId="0" xfId="57" applyFont="1" applyFill="1" applyAlignment="1">
      <alignment horizontal="right" vertical="center"/>
    </xf>
    <xf numFmtId="0" fontId="6" fillId="49" borderId="0" xfId="57" applyFont="1" applyFill="1">
      <alignment vertical="center"/>
    </xf>
    <xf numFmtId="0" fontId="106" fillId="49" borderId="0" xfId="0" applyFont="1" applyFill="1" applyAlignment="1">
      <alignment vertical="center"/>
    </xf>
    <xf numFmtId="0" fontId="6" fillId="0" borderId="17" xfId="0" applyFont="1" applyBorder="1" applyAlignment="1">
      <alignment vertical="center"/>
    </xf>
    <xf numFmtId="0" fontId="6" fillId="0" borderId="8" xfId="0" applyFont="1" applyBorder="1" applyAlignment="1">
      <alignment vertical="center"/>
    </xf>
    <xf numFmtId="0" fontId="6" fillId="0" borderId="22" xfId="0" applyFont="1" applyBorder="1" applyAlignment="1">
      <alignment vertical="center"/>
    </xf>
    <xf numFmtId="0" fontId="6" fillId="0" borderId="7" xfId="0" applyFont="1" applyBorder="1" applyAlignment="1">
      <alignment vertical="center"/>
    </xf>
    <xf numFmtId="0" fontId="5" fillId="0" borderId="17" xfId="450" applyFont="1" applyBorder="1" applyAlignment="1">
      <alignment vertical="center"/>
    </xf>
    <xf numFmtId="0" fontId="6" fillId="0" borderId="25" xfId="0" applyFont="1" applyBorder="1" applyAlignment="1">
      <alignment vertical="center"/>
    </xf>
    <xf numFmtId="0" fontId="6" fillId="0" borderId="26" xfId="0" applyFont="1" applyBorder="1" applyAlignment="1">
      <alignment vertical="center"/>
    </xf>
    <xf numFmtId="0" fontId="6" fillId="0" borderId="8" xfId="0" applyFont="1" applyBorder="1" applyAlignment="1" applyProtection="1">
      <alignment vertical="center"/>
      <protection locked="0"/>
    </xf>
    <xf numFmtId="0" fontId="6" fillId="0" borderId="7" xfId="0" applyFont="1" applyBorder="1" applyAlignment="1" applyProtection="1">
      <alignment vertical="center"/>
      <protection locked="0"/>
    </xf>
    <xf numFmtId="180" fontId="5" fillId="0" borderId="0" xfId="6" applyNumberFormat="1" applyFont="1" applyAlignment="1" applyProtection="1">
      <alignment horizontal="left" vertical="center" shrinkToFit="1"/>
      <protection locked="0"/>
    </xf>
    <xf numFmtId="0" fontId="24" fillId="0" borderId="0" xfId="6" applyFont="1" applyAlignment="1" applyProtection="1">
      <alignment horizontal="center" vertical="center" wrapText="1"/>
      <protection locked="0"/>
    </xf>
    <xf numFmtId="181" fontId="24" fillId="0" borderId="0" xfId="6" applyNumberFormat="1" applyFont="1" applyAlignment="1" applyProtection="1">
      <alignment horizontal="right" vertical="center" wrapText="1"/>
      <protection locked="0"/>
    </xf>
    <xf numFmtId="177" fontId="24" fillId="0" borderId="0" xfId="13" applyFont="1" applyFill="1" applyBorder="1" applyAlignment="1" applyProtection="1">
      <alignment horizontal="center" vertical="center" shrinkToFit="1"/>
      <protection locked="0"/>
    </xf>
    <xf numFmtId="0" fontId="5" fillId="0" borderId="0" xfId="0" applyFont="1" applyAlignment="1">
      <alignment horizontal="left"/>
    </xf>
    <xf numFmtId="0" fontId="12" fillId="0" borderId="0" xfId="0" applyFont="1" applyAlignment="1">
      <alignment horizontal="center" vertical="center" wrapText="1"/>
    </xf>
    <xf numFmtId="14" fontId="30" fillId="0" borderId="23" xfId="0" applyNumberFormat="1" applyFont="1" applyBorder="1" applyAlignment="1" applyProtection="1">
      <alignment vertical="center"/>
      <protection locked="0"/>
    </xf>
    <xf numFmtId="0" fontId="12" fillId="0" borderId="30" xfId="0" applyFont="1" applyBorder="1" applyAlignment="1">
      <alignment horizontal="center" vertical="center" wrapText="1"/>
    </xf>
    <xf numFmtId="49" fontId="9" fillId="0" borderId="0" xfId="3" applyNumberFormat="1" applyFont="1" applyAlignment="1" applyProtection="1">
      <alignment horizontal="left" vertical="center" shrinkToFit="1"/>
      <protection locked="0"/>
    </xf>
    <xf numFmtId="0" fontId="9" fillId="0" borderId="0" xfId="9" applyNumberFormat="1" applyFont="1" applyFill="1" applyBorder="1" applyAlignment="1" applyProtection="1">
      <alignment horizontal="left" vertical="center" shrinkToFit="1"/>
      <protection locked="0"/>
    </xf>
    <xf numFmtId="0" fontId="9" fillId="2" borderId="0" xfId="57" applyFont="1" applyFill="1">
      <alignment vertical="center"/>
    </xf>
    <xf numFmtId="9" fontId="5" fillId="0" borderId="49" xfId="0" applyNumberFormat="1" applyFont="1" applyBorder="1" applyAlignment="1">
      <alignment vertical="center"/>
    </xf>
    <xf numFmtId="0" fontId="12" fillId="51" borderId="46" xfId="0" applyFont="1" applyFill="1" applyBorder="1" applyAlignment="1">
      <alignment vertical="center"/>
    </xf>
    <xf numFmtId="0" fontId="12" fillId="51" borderId="48" xfId="0" applyFont="1" applyFill="1" applyBorder="1" applyAlignment="1">
      <alignment vertical="center"/>
    </xf>
    <xf numFmtId="176" fontId="6" fillId="0" borderId="0" xfId="9" applyNumberFormat="1" applyFont="1" applyFill="1" applyBorder="1" applyAlignment="1">
      <alignment horizontal="right" vertical="center" shrinkToFit="1"/>
    </xf>
    <xf numFmtId="0" fontId="12" fillId="51" borderId="5" xfId="0" applyFont="1" applyFill="1" applyBorder="1" applyAlignment="1">
      <alignment vertical="center"/>
    </xf>
    <xf numFmtId="0" fontId="12" fillId="51" borderId="22" xfId="0" applyFont="1" applyFill="1" applyBorder="1" applyAlignment="1">
      <alignment vertical="center"/>
    </xf>
    <xf numFmtId="0" fontId="9" fillId="51" borderId="22" xfId="0" applyFont="1" applyFill="1" applyBorder="1" applyAlignment="1">
      <alignment vertical="center"/>
    </xf>
    <xf numFmtId="0" fontId="9" fillId="51" borderId="21" xfId="0" applyFont="1" applyFill="1" applyBorder="1" applyAlignment="1">
      <alignment vertical="center"/>
    </xf>
    <xf numFmtId="0" fontId="12" fillId="51" borderId="8" xfId="0" applyFont="1" applyFill="1" applyBorder="1" applyAlignment="1">
      <alignment vertical="center"/>
    </xf>
    <xf numFmtId="0" fontId="5" fillId="51" borderId="24" xfId="0" applyFont="1" applyFill="1" applyBorder="1" applyAlignment="1">
      <alignment horizontal="center" vertical="center" wrapText="1"/>
    </xf>
    <xf numFmtId="0" fontId="5" fillId="51" borderId="18" xfId="0" applyFont="1" applyFill="1" applyBorder="1" applyAlignment="1">
      <alignment horizontal="center" vertical="center" wrapText="1"/>
    </xf>
    <xf numFmtId="0" fontId="5" fillId="51" borderId="16" xfId="0" applyFont="1" applyFill="1" applyBorder="1" applyAlignment="1">
      <alignment horizontal="center" vertical="center" wrapText="1"/>
    </xf>
    <xf numFmtId="14" fontId="5" fillId="5" borderId="16" xfId="0" applyNumberFormat="1" applyFont="1" applyFill="1" applyBorder="1" applyAlignment="1">
      <alignment horizontal="left" vertical="center"/>
    </xf>
    <xf numFmtId="0" fontId="112" fillId="0" borderId="0" xfId="0" applyFont="1"/>
    <xf numFmtId="0" fontId="59" fillId="46" borderId="34" xfId="0" applyFont="1" applyFill="1" applyBorder="1" applyAlignment="1">
      <alignment vertical="center"/>
    </xf>
    <xf numFmtId="0" fontId="59" fillId="46" borderId="32" xfId="0" applyFont="1" applyFill="1" applyBorder="1" applyAlignment="1">
      <alignment vertical="center"/>
    </xf>
    <xf numFmtId="0" fontId="123" fillId="0" borderId="0" xfId="0" applyFont="1" applyAlignment="1">
      <alignment vertical="center"/>
    </xf>
    <xf numFmtId="0" fontId="124" fillId="0" borderId="0" xfId="0" applyFont="1"/>
    <xf numFmtId="0" fontId="124" fillId="49" borderId="0" xfId="6" applyFont="1" applyFill="1" applyAlignment="1" applyProtection="1">
      <alignment horizontal="center" vertical="center"/>
      <protection locked="0"/>
    </xf>
    <xf numFmtId="0" fontId="124" fillId="0" borderId="0" xfId="6" applyFont="1" applyAlignment="1" applyProtection="1">
      <alignment horizontal="center" vertical="center"/>
      <protection locked="0"/>
    </xf>
    <xf numFmtId="0" fontId="125" fillId="0" borderId="0" xfId="2" applyFont="1">
      <alignment vertical="center"/>
    </xf>
    <xf numFmtId="0" fontId="125" fillId="0" borderId="0" xfId="6" applyFont="1" applyAlignment="1" applyProtection="1">
      <alignment vertical="center"/>
      <protection locked="0"/>
    </xf>
    <xf numFmtId="9" fontId="125" fillId="0" borderId="0" xfId="47" applyFont="1" applyAlignment="1">
      <alignment vertical="center"/>
    </xf>
    <xf numFmtId="0" fontId="6" fillId="0" borderId="44" xfId="0" applyFont="1" applyBorder="1" applyAlignment="1" applyProtection="1">
      <alignment vertical="center"/>
      <protection locked="0"/>
    </xf>
    <xf numFmtId="0" fontId="6" fillId="0" borderId="45" xfId="0" applyFont="1" applyBorder="1" applyAlignment="1" applyProtection="1">
      <alignment vertical="center"/>
      <protection locked="0"/>
    </xf>
    <xf numFmtId="0" fontId="23" fillId="2" borderId="0" xfId="57" applyFont="1" applyFill="1">
      <alignment vertical="center"/>
    </xf>
    <xf numFmtId="0" fontId="13" fillId="5" borderId="0" xfId="0" applyFont="1" applyFill="1" applyAlignment="1">
      <alignment vertical="center"/>
    </xf>
    <xf numFmtId="0" fontId="15" fillId="4" borderId="0" xfId="1334" applyFont="1" applyFill="1" applyAlignment="1">
      <alignment vertical="center"/>
    </xf>
    <xf numFmtId="0" fontId="9" fillId="0" borderId="28" xfId="0" applyFont="1" applyBorder="1" applyAlignment="1">
      <alignment horizontal="center" vertical="center"/>
    </xf>
    <xf numFmtId="0" fontId="5" fillId="0" borderId="16" xfId="2" applyFont="1" applyBorder="1" applyAlignment="1">
      <alignment horizontal="center" vertical="center"/>
    </xf>
    <xf numFmtId="0" fontId="9" fillId="0" borderId="54" xfId="0" applyFont="1" applyBorder="1" applyAlignment="1">
      <alignment horizontal="center" vertical="center"/>
    </xf>
    <xf numFmtId="0" fontId="6" fillId="0" borderId="40" xfId="0" applyFont="1" applyBorder="1" applyAlignment="1">
      <alignment vertical="center"/>
    </xf>
    <xf numFmtId="0" fontId="104" fillId="0" borderId="54" xfId="0" applyFont="1" applyBorder="1" applyAlignment="1">
      <alignment horizontal="center" vertical="center"/>
    </xf>
    <xf numFmtId="0" fontId="6" fillId="0" borderId="53" xfId="0" applyFont="1" applyBorder="1" applyAlignment="1">
      <alignment vertical="center"/>
    </xf>
    <xf numFmtId="0" fontId="9" fillId="0" borderId="54" xfId="0" applyFont="1" applyBorder="1" applyAlignment="1" applyProtection="1">
      <alignment horizontal="center" vertical="center"/>
      <protection locked="0"/>
    </xf>
    <xf numFmtId="0" fontId="6" fillId="0" borderId="53" xfId="0" applyFont="1" applyBorder="1" applyAlignment="1" applyProtection="1">
      <alignment vertical="center"/>
      <protection locked="0"/>
    </xf>
    <xf numFmtId="0" fontId="21" fillId="0" borderId="54" xfId="0" applyFont="1" applyBorder="1" applyAlignment="1">
      <alignment horizontal="center" vertical="center"/>
    </xf>
    <xf numFmtId="0" fontId="8" fillId="0" borderId="41" xfId="0" applyFont="1" applyBorder="1" applyAlignment="1">
      <alignment vertical="center"/>
    </xf>
    <xf numFmtId="0" fontId="113" fillId="53" borderId="17" xfId="0" applyFont="1" applyFill="1" applyBorder="1" applyAlignment="1">
      <alignment vertical="center"/>
    </xf>
    <xf numFmtId="0" fontId="113" fillId="53" borderId="7" xfId="0" applyFont="1" applyFill="1" applyBorder="1" applyAlignment="1">
      <alignment vertical="center"/>
    </xf>
    <xf numFmtId="0" fontId="113" fillId="53" borderId="18" xfId="0" applyFont="1" applyFill="1" applyBorder="1" applyAlignment="1">
      <alignment vertical="center"/>
    </xf>
    <xf numFmtId="0" fontId="10" fillId="2" borderId="0" xfId="2" applyFont="1" applyFill="1">
      <alignment vertical="center"/>
    </xf>
    <xf numFmtId="0" fontId="131" fillId="0" borderId="0" xfId="0" applyFont="1" applyAlignment="1">
      <alignment vertical="center"/>
    </xf>
    <xf numFmtId="0" fontId="132" fillId="0" borderId="0" xfId="2" applyFont="1">
      <alignment vertical="center"/>
    </xf>
    <xf numFmtId="0" fontId="15" fillId="3" borderId="0" xfId="1334" applyFont="1" applyFill="1" applyAlignment="1" applyProtection="1">
      <alignment vertical="center"/>
    </xf>
    <xf numFmtId="0" fontId="132" fillId="0" borderId="0" xfId="2" applyFont="1" applyAlignment="1">
      <alignment horizontal="left" vertical="center"/>
    </xf>
    <xf numFmtId="0" fontId="9" fillId="0" borderId="0" xfId="2" applyFont="1" applyAlignment="1">
      <alignment horizontal="center" vertical="center"/>
    </xf>
    <xf numFmtId="0" fontId="132" fillId="0" borderId="0" xfId="0" applyFont="1" applyAlignment="1">
      <alignment vertical="center"/>
    </xf>
    <xf numFmtId="211" fontId="133" fillId="0" borderId="0" xfId="42" applyNumberFormat="1" applyFont="1" applyAlignment="1">
      <alignment horizontal="center" vertical="center"/>
    </xf>
    <xf numFmtId="0" fontId="9" fillId="0" borderId="0" xfId="10" applyFont="1" applyAlignment="1">
      <alignment horizontal="center" vertical="center"/>
    </xf>
    <xf numFmtId="0" fontId="14" fillId="0" borderId="0" xfId="0" applyFont="1" applyAlignment="1">
      <alignment vertical="center"/>
    </xf>
    <xf numFmtId="0" fontId="9" fillId="0" borderId="0" xfId="0" applyFont="1" applyAlignment="1">
      <alignment vertical="center" wrapText="1"/>
    </xf>
    <xf numFmtId="0" fontId="132" fillId="0" borderId="0" xfId="2" applyFont="1" applyAlignment="1">
      <alignment horizontal="left" vertical="center" shrinkToFit="1"/>
    </xf>
    <xf numFmtId="0" fontId="6" fillId="0" borderId="0" xfId="2" applyFont="1" applyAlignment="1">
      <alignment vertical="center" shrinkToFit="1"/>
    </xf>
    <xf numFmtId="177" fontId="132" fillId="0" borderId="0" xfId="2" applyNumberFormat="1" applyFont="1" applyAlignment="1">
      <alignment horizontal="left" vertical="center" shrinkToFit="1"/>
    </xf>
    <xf numFmtId="177" fontId="5" fillId="0" borderId="0" xfId="2" applyNumberFormat="1" applyFont="1" applyAlignment="1">
      <alignment vertical="center" shrinkToFit="1"/>
    </xf>
    <xf numFmtId="177" fontId="5" fillId="0" borderId="0" xfId="1327" applyNumberFormat="1" applyFont="1" applyAlignment="1" applyProtection="1">
      <alignment horizontal="center" vertical="center" shrinkToFit="1"/>
      <protection locked="0"/>
    </xf>
    <xf numFmtId="177" fontId="5" fillId="0" borderId="0" xfId="6" applyNumberFormat="1" applyFont="1" applyAlignment="1" applyProtection="1">
      <alignment horizontal="right" vertical="center" shrinkToFit="1"/>
      <protection locked="0"/>
    </xf>
    <xf numFmtId="177" fontId="6" fillId="0" borderId="0" xfId="6" applyNumberFormat="1" applyFont="1" applyAlignment="1" applyProtection="1">
      <alignment horizontal="right" vertical="center" shrinkToFit="1"/>
      <protection locked="0"/>
    </xf>
    <xf numFmtId="49" fontId="132" fillId="0" borderId="0" xfId="2" applyNumberFormat="1" applyFont="1">
      <alignment vertical="center"/>
    </xf>
    <xf numFmtId="0" fontId="110" fillId="46" borderId="29" xfId="0" applyFont="1" applyFill="1" applyBorder="1" applyAlignment="1">
      <alignment vertical="center"/>
    </xf>
    <xf numFmtId="0" fontId="110" fillId="46" borderId="26" xfId="0" applyFont="1" applyFill="1" applyBorder="1" applyAlignment="1">
      <alignment vertical="center"/>
    </xf>
    <xf numFmtId="0" fontId="110" fillId="46" borderId="44" xfId="0" applyFont="1" applyFill="1" applyBorder="1" applyAlignment="1">
      <alignment vertical="center"/>
    </xf>
    <xf numFmtId="0" fontId="110" fillId="46" borderId="45" xfId="0" applyFont="1" applyFill="1" applyBorder="1" applyAlignment="1">
      <alignment vertical="center"/>
    </xf>
    <xf numFmtId="0" fontId="110" fillId="48" borderId="17" xfId="0" applyFont="1" applyFill="1" applyBorder="1" applyAlignment="1">
      <alignment vertical="center"/>
    </xf>
    <xf numFmtId="0" fontId="110" fillId="48" borderId="7" xfId="0" applyFont="1" applyFill="1" applyBorder="1"/>
    <xf numFmtId="0" fontId="110" fillId="48" borderId="18" xfId="0" applyFont="1" applyFill="1" applyBorder="1"/>
    <xf numFmtId="0" fontId="6" fillId="0" borderId="0" xfId="1330" applyFont="1" applyAlignment="1">
      <alignment vertical="top"/>
    </xf>
    <xf numFmtId="0" fontId="5" fillId="0" borderId="0" xfId="0" applyFont="1" applyAlignment="1">
      <alignment horizontal="center" vertical="center"/>
    </xf>
    <xf numFmtId="0" fontId="12" fillId="54" borderId="16" xfId="1331" applyFont="1" applyFill="1" applyBorder="1" applyAlignment="1">
      <alignment horizontal="center" vertical="center" wrapText="1"/>
    </xf>
    <xf numFmtId="0" fontId="12" fillId="55" borderId="16" xfId="0" applyFont="1" applyFill="1" applyBorder="1" applyAlignment="1" applyProtection="1">
      <alignment horizontal="center" vertical="center" wrapText="1"/>
      <protection locked="0"/>
    </xf>
    <xf numFmtId="0" fontId="5" fillId="0" borderId="16" xfId="0" applyFont="1" applyBorder="1" applyAlignment="1">
      <alignment horizontal="center" vertical="center"/>
    </xf>
    <xf numFmtId="212" fontId="6" fillId="0" borderId="28" xfId="6" applyNumberFormat="1" applyFont="1" applyBorder="1" applyAlignment="1" applyProtection="1">
      <alignment horizontal="left" vertical="center" shrinkToFit="1"/>
      <protection locked="0"/>
    </xf>
    <xf numFmtId="0" fontId="11" fillId="2" borderId="28" xfId="1334" quotePrefix="1" applyFont="1" applyFill="1" applyBorder="1" applyAlignment="1" applyProtection="1">
      <alignment horizontal="center" vertical="center" wrapText="1"/>
    </xf>
    <xf numFmtId="177" fontId="6" fillId="0" borderId="28" xfId="6" applyNumberFormat="1" applyFont="1" applyBorder="1" applyAlignment="1">
      <alignment horizontal="right" vertical="center" shrinkToFit="1"/>
    </xf>
    <xf numFmtId="0" fontId="120" fillId="0" borderId="0" xfId="5" applyFont="1" applyAlignment="1">
      <alignment vertical="center"/>
    </xf>
    <xf numFmtId="0" fontId="12" fillId="0" borderId="0" xfId="6" applyFont="1" applyAlignment="1" applyProtection="1">
      <alignment horizontal="center" vertical="center"/>
      <protection locked="0"/>
    </xf>
    <xf numFmtId="177" fontId="5" fillId="0" borderId="0" xfId="9" applyFont="1" applyFill="1" applyBorder="1" applyAlignment="1" applyProtection="1">
      <alignment horizontal="left" vertical="center" shrinkToFit="1"/>
      <protection locked="0"/>
    </xf>
    <xf numFmtId="0" fontId="15" fillId="0" borderId="0" xfId="1334" applyFont="1" applyAlignment="1">
      <alignment vertical="center"/>
    </xf>
    <xf numFmtId="0" fontId="6" fillId="0" borderId="0" xfId="0" applyFont="1" applyAlignment="1" applyProtection="1">
      <alignment vertical="center"/>
      <protection locked="0"/>
    </xf>
    <xf numFmtId="0" fontId="12" fillId="51" borderId="17" xfId="0" applyFont="1" applyFill="1" applyBorder="1" applyAlignment="1">
      <alignment horizontal="centerContinuous" vertical="center"/>
    </xf>
    <xf numFmtId="0" fontId="12" fillId="51" borderId="18" xfId="0" applyFont="1" applyFill="1" applyBorder="1" applyAlignment="1">
      <alignment horizontal="centerContinuous" vertical="center"/>
    </xf>
    <xf numFmtId="176" fontId="8" fillId="0" borderId="3" xfId="0" applyNumberFormat="1" applyFont="1" applyBorder="1" applyAlignment="1">
      <alignment horizontal="right" vertical="center"/>
    </xf>
    <xf numFmtId="176" fontId="8" fillId="0" borderId="4" xfId="0" applyNumberFormat="1" applyFont="1" applyBorder="1" applyAlignment="1">
      <alignment horizontal="right" vertical="center"/>
    </xf>
    <xf numFmtId="0" fontId="129" fillId="0" borderId="0" xfId="0" applyFont="1" applyAlignment="1">
      <alignment horizontal="left" vertical="center"/>
    </xf>
    <xf numFmtId="0" fontId="8" fillId="0" borderId="34" xfId="6" applyFont="1" applyBorder="1" applyAlignment="1" applyProtection="1">
      <alignment horizontal="left" vertical="center"/>
      <protection locked="0"/>
    </xf>
    <xf numFmtId="0" fontId="8" fillId="0" borderId="32" xfId="6" applyFont="1" applyBorder="1" applyAlignment="1" applyProtection="1">
      <alignment horizontal="left" vertical="center"/>
      <protection locked="0"/>
    </xf>
    <xf numFmtId="0" fontId="5" fillId="0" borderId="25" xfId="6" applyFont="1" applyBorder="1" applyAlignment="1" applyProtection="1">
      <alignment horizontal="left" vertical="center"/>
      <protection locked="0"/>
    </xf>
    <xf numFmtId="0" fontId="8" fillId="0" borderId="43" xfId="6" applyFont="1" applyBorder="1" applyAlignment="1" applyProtection="1">
      <alignment horizontal="left" vertical="center"/>
      <protection locked="0"/>
    </xf>
    <xf numFmtId="0" fontId="8" fillId="0" borderId="16" xfId="0" applyFont="1" applyBorder="1" applyAlignment="1" applyProtection="1">
      <alignment horizontal="center" vertical="center"/>
      <protection locked="0"/>
    </xf>
    <xf numFmtId="0" fontId="5" fillId="0" borderId="16" xfId="0" applyFont="1" applyBorder="1" applyAlignment="1">
      <alignment horizontal="left" vertical="center"/>
    </xf>
    <xf numFmtId="14" fontId="5" fillId="0" borderId="16" xfId="0" applyNumberFormat="1"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14" fontId="31" fillId="0" borderId="0" xfId="0" applyNumberFormat="1" applyFont="1" applyAlignment="1" applyProtection="1">
      <alignment vertical="center"/>
      <protection locked="0"/>
    </xf>
    <xf numFmtId="14" fontId="5" fillId="0" borderId="16" xfId="0" applyNumberFormat="1" applyFont="1" applyBorder="1" applyAlignment="1" applyProtection="1">
      <alignment horizontal="left" vertical="center" shrinkToFit="1"/>
      <protection locked="0"/>
    </xf>
    <xf numFmtId="0" fontId="12" fillId="0" borderId="0" xfId="0" applyFont="1" applyAlignment="1">
      <alignment horizontal="center"/>
    </xf>
    <xf numFmtId="0" fontId="5" fillId="0" borderId="0" xfId="0" applyFont="1" applyAlignment="1">
      <alignment horizontal="right"/>
    </xf>
    <xf numFmtId="177" fontId="6" fillId="0" borderId="0" xfId="9" applyFont="1" applyFill="1" applyBorder="1" applyAlignment="1">
      <alignment vertical="center"/>
    </xf>
    <xf numFmtId="0" fontId="9" fillId="0" borderId="0" xfId="3" applyFont="1" applyAlignment="1" applyProtection="1">
      <alignment horizontal="left" vertical="center"/>
      <protection locked="0"/>
    </xf>
    <xf numFmtId="0" fontId="12" fillId="0" borderId="0" xfId="6" applyFont="1" applyAlignment="1" applyProtection="1">
      <alignment horizontal="left" vertical="center"/>
      <protection locked="0"/>
    </xf>
    <xf numFmtId="0" fontId="137" fillId="0" borderId="18" xfId="0" applyFont="1" applyBorder="1" applyAlignment="1">
      <alignment vertical="center" wrapText="1"/>
    </xf>
    <xf numFmtId="0" fontId="134" fillId="0" borderId="16" xfId="0" applyFont="1" applyBorder="1" applyAlignment="1" applyProtection="1">
      <alignment horizontal="left" vertical="center" shrinkToFit="1"/>
      <protection locked="0"/>
    </xf>
    <xf numFmtId="0" fontId="12" fillId="51" borderId="52" xfId="0" applyFont="1" applyFill="1" applyBorder="1" applyAlignment="1">
      <alignment horizontal="center" vertical="center" wrapText="1"/>
    </xf>
    <xf numFmtId="0" fontId="12" fillId="51" borderId="37" xfId="0" applyFont="1" applyFill="1" applyBorder="1" applyAlignment="1">
      <alignment horizontal="center" vertical="center" wrapText="1"/>
    </xf>
    <xf numFmtId="0" fontId="9" fillId="0" borderId="0" xfId="0" applyFont="1" applyAlignment="1" applyProtection="1">
      <alignment horizontal="center" vertical="center"/>
      <protection locked="0"/>
    </xf>
    <xf numFmtId="0" fontId="104" fillId="0" borderId="0" xfId="0" applyFont="1" applyAlignment="1" applyProtection="1">
      <alignment horizontal="center" vertical="center"/>
      <protection locked="0"/>
    </xf>
    <xf numFmtId="0" fontId="9" fillId="0" borderId="0" xfId="59" applyNumberFormat="1" applyFont="1" applyAlignment="1" applyProtection="1">
      <alignment horizontal="left" vertical="center"/>
      <protection locked="0"/>
    </xf>
    <xf numFmtId="0" fontId="12" fillId="51" borderId="24" xfId="3" applyFont="1" applyFill="1" applyBorder="1" applyAlignment="1" applyProtection="1">
      <alignment horizontal="center" vertical="center"/>
      <protection locked="0"/>
    </xf>
    <xf numFmtId="0" fontId="29" fillId="51" borderId="4" xfId="3" applyFont="1" applyFill="1" applyBorder="1" applyAlignment="1" applyProtection="1">
      <alignment horizontal="center" vertical="center" wrapText="1"/>
      <protection locked="0"/>
    </xf>
    <xf numFmtId="14" fontId="12" fillId="51" borderId="51" xfId="0" applyNumberFormat="1" applyFont="1" applyFill="1" applyBorder="1" applyAlignment="1" applyProtection="1">
      <alignment horizontal="center" vertical="center"/>
      <protection locked="0"/>
    </xf>
    <xf numFmtId="0" fontId="12" fillId="51" borderId="17" xfId="0" applyFont="1" applyFill="1" applyBorder="1" applyAlignment="1" applyProtection="1">
      <alignment horizontal="centerContinuous" vertical="center"/>
      <protection locked="0"/>
    </xf>
    <xf numFmtId="0" fontId="12" fillId="51" borderId="7" xfId="0" applyFont="1" applyFill="1" applyBorder="1" applyAlignment="1" applyProtection="1">
      <alignment horizontal="centerContinuous" vertical="center"/>
      <protection locked="0"/>
    </xf>
    <xf numFmtId="0" fontId="12" fillId="51" borderId="18" xfId="0" applyFont="1" applyFill="1" applyBorder="1" applyAlignment="1" applyProtection="1">
      <alignment horizontal="centerContinuous" vertical="center"/>
      <protection locked="0"/>
    </xf>
    <xf numFmtId="0" fontId="113" fillId="51" borderId="16" xfId="0" applyFont="1" applyFill="1" applyBorder="1" applyAlignment="1">
      <alignment horizontal="center" vertical="center"/>
    </xf>
    <xf numFmtId="0" fontId="113" fillId="51" borderId="16" xfId="0" applyFont="1" applyFill="1" applyBorder="1" applyAlignment="1">
      <alignment horizontal="center" vertical="center" wrapText="1"/>
    </xf>
    <xf numFmtId="0" fontId="23" fillId="51" borderId="28" xfId="31" applyFont="1" applyFill="1" applyBorder="1" applyAlignment="1" applyProtection="1">
      <alignment horizontal="center" vertical="center"/>
      <protection locked="0"/>
    </xf>
    <xf numFmtId="0" fontId="23" fillId="51" borderId="28" xfId="31" applyFont="1" applyFill="1" applyBorder="1" applyAlignment="1" applyProtection="1">
      <alignment horizontal="center" vertical="center" wrapText="1"/>
      <protection locked="0"/>
    </xf>
    <xf numFmtId="0" fontId="146" fillId="51" borderId="28" xfId="31" applyFont="1" applyFill="1" applyBorder="1" applyAlignment="1" applyProtection="1">
      <alignment horizontal="center" vertical="center" wrapText="1"/>
      <protection locked="0"/>
    </xf>
    <xf numFmtId="0" fontId="117" fillId="51" borderId="28" xfId="31" applyFont="1" applyFill="1" applyBorder="1" applyAlignment="1" applyProtection="1">
      <alignment horizontal="center" vertical="center" wrapText="1"/>
      <protection locked="0"/>
    </xf>
    <xf numFmtId="49" fontId="114" fillId="51" borderId="28" xfId="6" applyNumberFormat="1" applyFont="1" applyFill="1" applyBorder="1" applyAlignment="1" applyProtection="1">
      <alignment horizontal="center" vertical="center" wrapText="1"/>
      <protection locked="0"/>
    </xf>
    <xf numFmtId="0" fontId="113" fillId="51" borderId="58" xfId="0" applyFont="1" applyFill="1" applyBorder="1" applyAlignment="1">
      <alignment horizontal="center" vertical="center" wrapText="1"/>
    </xf>
    <xf numFmtId="0" fontId="113" fillId="51" borderId="52" xfId="0" applyFont="1" applyFill="1" applyBorder="1" applyAlignment="1">
      <alignment horizontal="center" vertical="center" wrapText="1"/>
    </xf>
    <xf numFmtId="0" fontId="114" fillId="51" borderId="52" xfId="0" applyFont="1" applyFill="1" applyBorder="1" applyAlignment="1">
      <alignment horizontal="center" vertical="center" wrapText="1"/>
    </xf>
    <xf numFmtId="0" fontId="22" fillId="0" borderId="0" xfId="0" applyFont="1"/>
    <xf numFmtId="0" fontId="111" fillId="47" borderId="17" xfId="0" applyFont="1" applyFill="1" applyBorder="1" applyAlignment="1" applyProtection="1">
      <alignment horizontal="centerContinuous" vertical="center"/>
      <protection locked="0"/>
    </xf>
    <xf numFmtId="0" fontId="111" fillId="45" borderId="7" xfId="0" applyFont="1" applyFill="1" applyBorder="1" applyAlignment="1">
      <alignment horizontal="centerContinuous" vertical="center"/>
    </xf>
    <xf numFmtId="0" fontId="111" fillId="45" borderId="18" xfId="0" applyFont="1" applyFill="1" applyBorder="1" applyAlignment="1">
      <alignment horizontal="centerContinuous" vertical="center"/>
    </xf>
    <xf numFmtId="0" fontId="7" fillId="49" borderId="0" xfId="6" applyFont="1" applyFill="1" applyAlignment="1" applyProtection="1">
      <alignment horizontal="center" vertical="center"/>
      <protection locked="0"/>
    </xf>
    <xf numFmtId="0" fontId="7" fillId="0" borderId="0" xfId="0" applyFont="1"/>
    <xf numFmtId="0" fontId="115" fillId="48" borderId="17" xfId="0" applyFont="1" applyFill="1" applyBorder="1" applyAlignment="1">
      <alignment vertical="center"/>
    </xf>
    <xf numFmtId="0" fontId="115" fillId="48" borderId="7" xfId="0" applyFont="1" applyFill="1" applyBorder="1"/>
    <xf numFmtId="0" fontId="115" fillId="48" borderId="18" xfId="0" applyFont="1" applyFill="1" applyBorder="1"/>
    <xf numFmtId="0" fontId="7" fillId="0" borderId="0" xfId="0" applyFont="1" applyAlignment="1">
      <alignment vertical="center"/>
    </xf>
    <xf numFmtId="0" fontId="149" fillId="0" borderId="0" xfId="0" applyFont="1" applyAlignment="1">
      <alignment vertical="center"/>
    </xf>
    <xf numFmtId="0" fontId="7" fillId="0" borderId="0" xfId="6" applyFont="1" applyAlignment="1" applyProtection="1">
      <alignment horizontal="center" vertical="center"/>
      <protection locked="0"/>
    </xf>
    <xf numFmtId="0" fontId="126" fillId="0" borderId="0" xfId="2" applyFont="1">
      <alignment vertical="center"/>
    </xf>
    <xf numFmtId="0" fontId="126" fillId="0" borderId="0" xfId="6" applyFont="1" applyAlignment="1" applyProtection="1">
      <alignment vertical="center"/>
      <protection locked="0"/>
    </xf>
    <xf numFmtId="9" fontId="126" fillId="0" borderId="0" xfId="47" applyFont="1" applyAlignment="1">
      <alignment vertical="center"/>
    </xf>
    <xf numFmtId="0" fontId="98" fillId="4" borderId="0" xfId="1334" applyFont="1" applyFill="1" applyAlignment="1">
      <alignment vertical="center"/>
    </xf>
    <xf numFmtId="0" fontId="126" fillId="0" borderId="0" xfId="0" applyFont="1" applyAlignment="1" applyProtection="1">
      <alignment vertical="center"/>
      <protection locked="0"/>
    </xf>
    <xf numFmtId="0" fontId="113" fillId="51" borderId="17" xfId="0" applyFont="1" applyFill="1" applyBorder="1" applyAlignment="1">
      <alignment horizontal="centerContinuous" vertical="center"/>
    </xf>
    <xf numFmtId="0" fontId="113" fillId="51" borderId="18" xfId="0" applyFont="1" applyFill="1" applyBorder="1" applyAlignment="1">
      <alignment horizontal="centerContinuous" vertical="center"/>
    </xf>
    <xf numFmtId="0" fontId="22" fillId="0" borderId="16" xfId="0" applyFont="1" applyBorder="1" applyAlignment="1" applyProtection="1">
      <alignment horizontal="center" vertical="center"/>
      <protection locked="0"/>
    </xf>
    <xf numFmtId="0" fontId="22" fillId="0" borderId="0" xfId="0" applyFont="1" applyAlignment="1">
      <alignment horizontal="left" vertical="center"/>
    </xf>
    <xf numFmtId="0" fontId="113" fillId="0" borderId="0" xfId="0" applyFont="1" applyAlignment="1">
      <alignment vertical="center"/>
    </xf>
    <xf numFmtId="0" fontId="150" fillId="0" borderId="0" xfId="0" applyFont="1" applyAlignment="1">
      <alignment horizontal="left" vertical="center"/>
    </xf>
    <xf numFmtId="0" fontId="126" fillId="49" borderId="0" xfId="0" applyFont="1" applyFill="1" applyAlignment="1">
      <alignment vertical="center"/>
    </xf>
    <xf numFmtId="0" fontId="126" fillId="0" borderId="0" xfId="0" applyFont="1" applyAlignment="1">
      <alignment vertical="center"/>
    </xf>
    <xf numFmtId="0" fontId="22" fillId="5" borderId="0" xfId="0" applyFont="1" applyFill="1" applyAlignment="1">
      <alignment vertical="center"/>
    </xf>
    <xf numFmtId="0" fontId="7" fillId="49" borderId="0" xfId="0" applyFont="1" applyFill="1" applyAlignment="1" applyProtection="1">
      <alignment vertical="center"/>
      <protection locked="0"/>
    </xf>
    <xf numFmtId="0" fontId="7" fillId="0" borderId="0" xfId="0" applyFont="1" applyAlignment="1" applyProtection="1">
      <alignment vertical="center"/>
      <protection locked="0"/>
    </xf>
    <xf numFmtId="0" fontId="7" fillId="0" borderId="0" xfId="0" applyFont="1" applyAlignment="1">
      <alignment horizontal="left" vertical="center"/>
    </xf>
    <xf numFmtId="0" fontId="113" fillId="0" borderId="0" xfId="0" applyFont="1" applyAlignment="1">
      <alignment vertical="center" wrapText="1"/>
    </xf>
    <xf numFmtId="0" fontId="19" fillId="0" borderId="0" xfId="0" applyFont="1" applyAlignment="1">
      <alignment horizontal="center" vertical="center"/>
    </xf>
    <xf numFmtId="0" fontId="113" fillId="51" borderId="48" xfId="0" applyFont="1" applyFill="1" applyBorder="1" applyAlignment="1">
      <alignment vertical="center"/>
    </xf>
    <xf numFmtId="9" fontId="7" fillId="0" borderId="49" xfId="0" applyNumberFormat="1" applyFont="1" applyBorder="1" applyAlignment="1">
      <alignment vertical="center"/>
    </xf>
    <xf numFmtId="0" fontId="151" fillId="0" borderId="0" xfId="6" applyFont="1" applyAlignment="1" applyProtection="1">
      <alignment horizontal="left" vertical="center"/>
      <protection locked="0"/>
    </xf>
    <xf numFmtId="0" fontId="7" fillId="0" borderId="0" xfId="6" applyFont="1" applyAlignment="1" applyProtection="1">
      <alignment horizontal="right" vertical="center"/>
      <protection locked="0"/>
    </xf>
    <xf numFmtId="0" fontId="19" fillId="0" borderId="0" xfId="6" applyFont="1" applyAlignment="1" applyProtection="1">
      <alignment horizontal="center" vertical="center"/>
      <protection locked="0"/>
    </xf>
    <xf numFmtId="0" fontId="126" fillId="2" borderId="0" xfId="51" applyFont="1" applyFill="1" applyAlignment="1">
      <alignment vertical="center" shrinkToFit="1"/>
    </xf>
    <xf numFmtId="0" fontId="126" fillId="0" borderId="0" xfId="49" applyFont="1">
      <alignment vertical="center"/>
    </xf>
    <xf numFmtId="9" fontId="126" fillId="0" borderId="0" xfId="50" applyFont="1" applyBorder="1" applyAlignment="1">
      <alignment vertical="center"/>
    </xf>
    <xf numFmtId="0" fontId="7" fillId="0" borderId="0" xfId="6" applyFont="1" applyAlignment="1" applyProtection="1">
      <alignment vertical="center"/>
      <protection locked="0"/>
    </xf>
    <xf numFmtId="0" fontId="19" fillId="0" borderId="0" xfId="0" applyFont="1" applyAlignment="1" applyProtection="1">
      <alignment horizontal="center" vertical="center"/>
      <protection locked="0"/>
    </xf>
    <xf numFmtId="0" fontId="152" fillId="0" borderId="0" xfId="0" applyFont="1" applyAlignment="1" applyProtection="1">
      <alignment horizontal="center" vertical="center"/>
      <protection locked="0"/>
    </xf>
    <xf numFmtId="49" fontId="19" fillId="0" borderId="0" xfId="3" applyNumberFormat="1" applyFont="1" applyAlignment="1" applyProtection="1">
      <alignment horizontal="left" vertical="center" shrinkToFit="1"/>
      <protection locked="0"/>
    </xf>
    <xf numFmtId="49" fontId="19" fillId="0" borderId="0" xfId="3" applyNumberFormat="1" applyFont="1" applyAlignment="1" applyProtection="1">
      <alignment horizontal="center" vertical="center" wrapText="1"/>
      <protection locked="0"/>
    </xf>
    <xf numFmtId="0" fontId="113" fillId="51" borderId="17" xfId="0" applyFont="1" applyFill="1" applyBorder="1" applyAlignment="1" applyProtection="1">
      <alignment horizontal="centerContinuous" vertical="center"/>
      <protection locked="0"/>
    </xf>
    <xf numFmtId="0" fontId="113" fillId="51" borderId="7" xfId="0" applyFont="1" applyFill="1" applyBorder="1" applyAlignment="1" applyProtection="1">
      <alignment horizontal="centerContinuous" vertical="center"/>
      <protection locked="0"/>
    </xf>
    <xf numFmtId="0" fontId="113" fillId="51" borderId="18" xfId="0" applyFont="1" applyFill="1" applyBorder="1" applyAlignment="1" applyProtection="1">
      <alignment horizontal="centerContinuous" vertical="center"/>
      <protection locked="0"/>
    </xf>
    <xf numFmtId="0" fontId="19" fillId="0" borderId="0" xfId="3" applyFont="1" applyAlignment="1" applyProtection="1">
      <alignment horizontal="center" vertical="center" shrinkToFit="1"/>
      <protection locked="0"/>
    </xf>
    <xf numFmtId="10" fontId="19" fillId="0" borderId="0" xfId="39" applyNumberFormat="1" applyFont="1" applyFill="1" applyBorder="1" applyAlignment="1" applyProtection="1">
      <alignment horizontal="center" vertical="center" shrinkToFit="1"/>
      <protection locked="0"/>
    </xf>
    <xf numFmtId="9" fontId="126" fillId="0" borderId="0" xfId="50" applyFont="1" applyAlignment="1">
      <alignment vertical="center"/>
    </xf>
    <xf numFmtId="0" fontId="113" fillId="51" borderId="24" xfId="3" applyFont="1" applyFill="1" applyBorder="1" applyAlignment="1" applyProtection="1">
      <alignment horizontal="center" vertical="center"/>
      <protection locked="0"/>
    </xf>
    <xf numFmtId="14" fontId="113" fillId="51" borderId="50" xfId="0" applyNumberFormat="1" applyFont="1" applyFill="1" applyBorder="1" applyAlignment="1" applyProtection="1">
      <alignment horizontal="center" vertical="center"/>
      <protection locked="0"/>
    </xf>
    <xf numFmtId="9" fontId="126" fillId="0" borderId="0" xfId="47" applyFont="1" applyFill="1" applyAlignment="1">
      <alignment vertical="center"/>
    </xf>
    <xf numFmtId="0" fontId="146" fillId="51" borderId="4" xfId="3" applyFont="1" applyFill="1" applyBorder="1" applyAlignment="1" applyProtection="1">
      <alignment horizontal="center" vertical="center" wrapText="1"/>
      <protection locked="0"/>
    </xf>
    <xf numFmtId="0" fontId="113" fillId="51" borderId="17" xfId="0" applyFont="1" applyFill="1" applyBorder="1" applyAlignment="1">
      <alignment horizontal="center" vertical="center" wrapText="1"/>
    </xf>
    <xf numFmtId="9" fontId="126" fillId="0" borderId="0" xfId="2" applyNumberFormat="1" applyFont="1">
      <alignment vertical="center"/>
    </xf>
    <xf numFmtId="0" fontId="126" fillId="0" borderId="0" xfId="47" applyNumberFormat="1" applyFont="1" applyAlignment="1">
      <alignment vertical="center"/>
    </xf>
    <xf numFmtId="177" fontId="151" fillId="0" borderId="0" xfId="7" applyFont="1" applyFill="1" applyBorder="1" applyAlignment="1" applyProtection="1">
      <alignment horizontal="left" vertical="center" shrinkToFit="1"/>
      <protection locked="0"/>
    </xf>
    <xf numFmtId="180" fontId="7" fillId="0" borderId="0" xfId="6" applyNumberFormat="1" applyFont="1" applyAlignment="1" applyProtection="1">
      <alignment horizontal="left" vertical="center" shrinkToFit="1"/>
      <protection locked="0"/>
    </xf>
    <xf numFmtId="0" fontId="116" fillId="0" borderId="0" xfId="6" applyFont="1" applyAlignment="1" applyProtection="1">
      <alignment horizontal="center" vertical="center" wrapText="1"/>
      <protection locked="0"/>
    </xf>
    <xf numFmtId="181" fontId="116" fillId="0" borderId="0" xfId="6" applyNumberFormat="1" applyFont="1" applyAlignment="1" applyProtection="1">
      <alignment horizontal="right" vertical="center" wrapText="1"/>
      <protection locked="0"/>
    </xf>
    <xf numFmtId="177" fontId="116" fillId="0" borderId="0" xfId="7" applyFont="1" applyFill="1" applyBorder="1" applyAlignment="1" applyProtection="1">
      <alignment horizontal="right" vertical="center" shrinkToFit="1"/>
      <protection locked="0"/>
    </xf>
    <xf numFmtId="177" fontId="116" fillId="0" borderId="0" xfId="13" applyFont="1" applyFill="1" applyBorder="1" applyAlignment="1" applyProtection="1">
      <alignment horizontal="center" vertical="center" shrinkToFit="1"/>
      <protection locked="0"/>
    </xf>
    <xf numFmtId="10" fontId="116" fillId="0" borderId="0" xfId="47" applyNumberFormat="1" applyFont="1" applyFill="1" applyBorder="1" applyAlignment="1" applyProtection="1">
      <alignment horizontal="center" vertical="center" shrinkToFit="1"/>
      <protection locked="0"/>
    </xf>
    <xf numFmtId="177" fontId="7" fillId="0" borderId="0" xfId="7" applyFont="1" applyFill="1" applyAlignment="1" applyProtection="1">
      <alignment horizontal="right" vertical="center" shrinkToFit="1"/>
      <protection locked="0"/>
    </xf>
    <xf numFmtId="177" fontId="7" fillId="49" borderId="0" xfId="7" applyFont="1" applyFill="1" applyAlignment="1" applyProtection="1">
      <alignment horizontal="right" vertical="center" shrinkToFit="1"/>
      <protection locked="0"/>
    </xf>
    <xf numFmtId="177" fontId="7" fillId="0" borderId="0" xfId="7" applyFont="1" applyFill="1" applyBorder="1" applyAlignment="1" applyProtection="1">
      <alignment horizontal="right" vertical="center" shrinkToFit="1"/>
      <protection locked="0"/>
    </xf>
    <xf numFmtId="177" fontId="7" fillId="0" borderId="0" xfId="7" applyFont="1" applyFill="1" applyBorder="1" applyAlignment="1" applyProtection="1">
      <alignment horizontal="center" vertical="center" shrinkToFit="1"/>
      <protection locked="0"/>
    </xf>
    <xf numFmtId="177" fontId="7" fillId="49" borderId="0" xfId="7" applyFont="1" applyFill="1" applyBorder="1" applyAlignment="1" applyProtection="1">
      <alignment horizontal="right" vertical="center" shrinkToFit="1"/>
      <protection locked="0"/>
    </xf>
    <xf numFmtId="0" fontId="7" fillId="0" borderId="0" xfId="2" applyFont="1">
      <alignment vertical="center"/>
    </xf>
    <xf numFmtId="9" fontId="7" fillId="0" borderId="0" xfId="47" applyFont="1" applyAlignment="1">
      <alignment vertical="center"/>
    </xf>
    <xf numFmtId="177" fontId="116" fillId="0" borderId="0" xfId="7" applyFont="1" applyFill="1" applyBorder="1" applyAlignment="1" applyProtection="1">
      <alignment horizontal="center" vertical="center" shrinkToFit="1"/>
      <protection locked="0"/>
    </xf>
    <xf numFmtId="0" fontId="19" fillId="0" borderId="0" xfId="5" applyFont="1" applyAlignment="1">
      <alignment horizontal="center" vertical="center"/>
    </xf>
    <xf numFmtId="177" fontId="126" fillId="0" borderId="0" xfId="7" applyFont="1" applyBorder="1" applyAlignment="1">
      <alignment horizontal="right" vertical="center" shrinkToFit="1"/>
    </xf>
    <xf numFmtId="10" fontId="153" fillId="0" borderId="0" xfId="47" applyNumberFormat="1" applyFont="1" applyFill="1" applyBorder="1" applyAlignment="1" applyProtection="1">
      <alignment horizontal="right" vertical="center" shrinkToFit="1"/>
    </xf>
    <xf numFmtId="177" fontId="19" fillId="0" borderId="0" xfId="6" applyNumberFormat="1" applyFont="1" applyAlignment="1" applyProtection="1">
      <alignment horizontal="center" vertical="center" shrinkToFit="1"/>
      <protection locked="0"/>
    </xf>
    <xf numFmtId="177" fontId="126" fillId="0" borderId="0" xfId="7" applyFont="1" applyFill="1" applyBorder="1" applyAlignment="1">
      <alignment horizontal="right" vertical="center" shrinkToFit="1"/>
    </xf>
    <xf numFmtId="0" fontId="126" fillId="0" borderId="0" xfId="5" applyFont="1" applyAlignment="1">
      <alignment vertical="center"/>
    </xf>
    <xf numFmtId="177" fontId="151" fillId="0" borderId="0" xfId="6" applyNumberFormat="1" applyFont="1" applyAlignment="1" applyProtection="1">
      <alignment horizontal="center" vertical="center" shrinkToFit="1"/>
      <protection locked="0"/>
    </xf>
    <xf numFmtId="176" fontId="126" fillId="0" borderId="0" xfId="9" applyNumberFormat="1" applyFont="1" applyFill="1" applyBorder="1" applyAlignment="1">
      <alignment horizontal="right" vertical="center" shrinkToFit="1"/>
    </xf>
    <xf numFmtId="177" fontId="7" fillId="0" borderId="0" xfId="52" applyFont="1" applyFill="1" applyAlignment="1" applyProtection="1">
      <alignment horizontal="center" vertical="center" shrinkToFit="1"/>
      <protection locked="0"/>
    </xf>
    <xf numFmtId="177" fontId="7" fillId="0" borderId="0" xfId="52" applyFont="1" applyFill="1" applyBorder="1" applyAlignment="1">
      <alignment horizontal="right" vertical="center" shrinkToFit="1"/>
    </xf>
    <xf numFmtId="10" fontId="113" fillId="0" borderId="0" xfId="6" applyNumberFormat="1" applyFont="1" applyAlignment="1" applyProtection="1">
      <alignment horizontal="right" vertical="center" shrinkToFit="1"/>
      <protection locked="0"/>
    </xf>
    <xf numFmtId="177" fontId="126" fillId="0" borderId="0" xfId="9" applyFont="1" applyFill="1" applyBorder="1" applyAlignment="1">
      <alignment horizontal="right" vertical="center" shrinkToFit="1"/>
    </xf>
    <xf numFmtId="0" fontId="151" fillId="0" borderId="0" xfId="5" applyFont="1" applyAlignment="1">
      <alignment horizontal="left" vertical="center"/>
    </xf>
    <xf numFmtId="0" fontId="19" fillId="0" borderId="0" xfId="59" applyNumberFormat="1" applyFont="1" applyAlignment="1" applyProtection="1">
      <alignment horizontal="left" vertical="center"/>
      <protection locked="0"/>
    </xf>
    <xf numFmtId="0" fontId="19" fillId="0" borderId="0" xfId="5" applyFont="1" applyAlignment="1">
      <alignment vertical="center"/>
    </xf>
    <xf numFmtId="177" fontId="126" fillId="0" borderId="0" xfId="4" applyFont="1" applyFill="1" applyBorder="1" applyAlignment="1">
      <alignment vertical="center"/>
    </xf>
    <xf numFmtId="0" fontId="126" fillId="49" borderId="0" xfId="5" applyFont="1" applyFill="1" applyAlignment="1">
      <alignment vertical="center"/>
    </xf>
    <xf numFmtId="0" fontId="126" fillId="0" borderId="0" xfId="3" applyFont="1" applyAlignment="1" applyProtection="1">
      <alignment vertical="center"/>
      <protection locked="0"/>
    </xf>
    <xf numFmtId="9" fontId="126" fillId="0" borderId="0" xfId="39" applyFont="1" applyAlignment="1">
      <alignment vertical="center"/>
    </xf>
    <xf numFmtId="0" fontId="151" fillId="0" borderId="0" xfId="3" applyFont="1" applyAlignment="1" applyProtection="1">
      <alignment vertical="center"/>
      <protection locked="0"/>
    </xf>
    <xf numFmtId="0" fontId="7" fillId="2" borderId="0" xfId="3" applyFont="1" applyFill="1" applyAlignment="1" applyProtection="1">
      <alignment horizontal="center" vertical="center"/>
      <protection locked="0"/>
    </xf>
    <xf numFmtId="0" fontId="7" fillId="0" borderId="0" xfId="3" applyFont="1" applyAlignment="1" applyProtection="1">
      <alignment horizontal="center" vertical="center"/>
      <protection locked="0"/>
    </xf>
    <xf numFmtId="0" fontId="7" fillId="49" borderId="0" xfId="3" applyFont="1" applyFill="1" applyAlignment="1" applyProtection="1">
      <alignment horizontal="center" vertical="center"/>
      <protection locked="0"/>
    </xf>
    <xf numFmtId="0" fontId="151" fillId="0" borderId="0" xfId="3" applyFont="1" applyAlignment="1" applyProtection="1">
      <alignment horizontal="left" vertical="center"/>
      <protection locked="0"/>
    </xf>
    <xf numFmtId="177" fontId="151" fillId="0" borderId="0" xfId="9" applyFont="1" applyFill="1" applyBorder="1" applyAlignment="1" applyProtection="1">
      <alignment horizontal="left" vertical="center" shrinkToFit="1"/>
      <protection locked="0"/>
    </xf>
    <xf numFmtId="0" fontId="19" fillId="0" borderId="0" xfId="0" applyFont="1" applyAlignment="1">
      <alignment horizontal="left" vertical="center"/>
    </xf>
    <xf numFmtId="177" fontId="126" fillId="0" borderId="0" xfId="9" applyFont="1" applyBorder="1" applyAlignment="1">
      <alignment vertical="center"/>
    </xf>
    <xf numFmtId="177" fontId="126" fillId="49" borderId="0" xfId="9" applyFont="1" applyFill="1" applyBorder="1" applyAlignment="1">
      <alignment vertical="center"/>
    </xf>
    <xf numFmtId="177" fontId="7" fillId="0" borderId="0" xfId="9" applyFont="1" applyFill="1" applyAlignment="1" applyProtection="1">
      <alignment horizontal="right" vertical="center" shrinkToFit="1"/>
      <protection locked="0"/>
    </xf>
    <xf numFmtId="177" fontId="126" fillId="0" borderId="0" xfId="9" applyFont="1" applyBorder="1" applyAlignment="1">
      <alignment horizontal="right" vertical="center" shrinkToFit="1"/>
    </xf>
    <xf numFmtId="9" fontId="153" fillId="0" borderId="0" xfId="32" applyFont="1" applyFill="1" applyBorder="1" applyAlignment="1" applyProtection="1">
      <alignment horizontal="right" vertical="center" shrinkToFit="1"/>
    </xf>
    <xf numFmtId="177" fontId="116" fillId="0" borderId="0" xfId="9" applyFont="1" applyFill="1" applyBorder="1" applyAlignment="1" applyProtection="1">
      <alignment horizontal="right" vertical="center" shrinkToFit="1"/>
      <protection locked="0"/>
    </xf>
    <xf numFmtId="177" fontId="151" fillId="0" borderId="0" xfId="9" applyFont="1" applyFill="1" applyBorder="1" applyAlignment="1" applyProtection="1">
      <alignment horizontal="center" vertical="center" shrinkToFit="1"/>
      <protection locked="0"/>
    </xf>
    <xf numFmtId="0" fontId="113" fillId="0" borderId="0" xfId="6" applyFont="1" applyAlignment="1" applyProtection="1">
      <alignment horizontal="left" vertical="center"/>
      <protection locked="0"/>
    </xf>
    <xf numFmtId="0" fontId="19" fillId="0" borderId="0" xfId="6" applyFont="1" applyAlignment="1" applyProtection="1">
      <alignment horizontal="left" vertical="center"/>
      <protection locked="0"/>
    </xf>
    <xf numFmtId="0" fontId="7" fillId="0" borderId="0" xfId="0" applyFont="1" applyAlignment="1" applyProtection="1">
      <alignment horizontal="left" vertical="center"/>
      <protection locked="0"/>
    </xf>
    <xf numFmtId="177" fontId="7" fillId="0" borderId="0" xfId="9" applyFont="1" applyFill="1" applyBorder="1" applyAlignment="1" applyProtection="1">
      <alignment horizontal="left" vertical="center" shrinkToFit="1"/>
      <protection locked="0"/>
    </xf>
    <xf numFmtId="0" fontId="113" fillId="0" borderId="0" xfId="6" applyFont="1" applyAlignment="1" applyProtection="1">
      <alignment horizontal="center" vertical="center"/>
      <protection locked="0"/>
    </xf>
    <xf numFmtId="0" fontId="22" fillId="0" borderId="32" xfId="6" applyFont="1" applyBorder="1" applyAlignment="1" applyProtection="1">
      <alignment horizontal="left" vertical="center"/>
      <protection locked="0"/>
    </xf>
    <xf numFmtId="0" fontId="7" fillId="0" borderId="25" xfId="6" applyFont="1" applyBorder="1" applyAlignment="1" applyProtection="1">
      <alignment horizontal="left" vertical="center"/>
      <protection locked="0"/>
    </xf>
    <xf numFmtId="0" fontId="22" fillId="0" borderId="34" xfId="6" applyFont="1" applyBorder="1" applyAlignment="1" applyProtection="1">
      <alignment horizontal="left" vertical="center"/>
      <protection locked="0"/>
    </xf>
    <xf numFmtId="0" fontId="151" fillId="0" borderId="0" xfId="6" applyFont="1" applyAlignment="1" applyProtection="1">
      <alignment horizontal="center" vertical="center"/>
      <protection locked="0"/>
    </xf>
    <xf numFmtId="0" fontId="22" fillId="0" borderId="43" xfId="6" applyFont="1" applyBorder="1" applyAlignment="1" applyProtection="1">
      <alignment horizontal="left" vertical="center"/>
      <protection locked="0"/>
    </xf>
    <xf numFmtId="0" fontId="151" fillId="49" borderId="0" xfId="6" applyFont="1" applyFill="1" applyAlignment="1" applyProtection="1">
      <alignment horizontal="center" vertical="center"/>
      <protection locked="0"/>
    </xf>
    <xf numFmtId="0" fontId="7" fillId="49" borderId="0" xfId="6" applyFont="1" applyFill="1" applyAlignment="1" applyProtection="1">
      <alignment horizontal="right" vertical="center"/>
      <protection locked="0"/>
    </xf>
    <xf numFmtId="0" fontId="12" fillId="51" borderId="16" xfId="0" applyFont="1" applyFill="1" applyBorder="1" applyAlignment="1" applyProtection="1">
      <alignment horizontal="center" vertical="center" wrapText="1"/>
      <protection locked="0"/>
    </xf>
    <xf numFmtId="0" fontId="29" fillId="51" borderId="16" xfId="0" applyFont="1" applyFill="1" applyBorder="1" applyAlignment="1" applyProtection="1">
      <alignment horizontal="center" vertical="center" wrapText="1"/>
      <protection locked="0"/>
    </xf>
    <xf numFmtId="0" fontId="13" fillId="51" borderId="16" xfId="0" applyFont="1" applyFill="1" applyBorder="1" applyAlignment="1" applyProtection="1">
      <alignment horizontal="center" vertical="center" wrapText="1"/>
      <protection locked="0"/>
    </xf>
    <xf numFmtId="0" fontId="6" fillId="0" borderId="0" xfId="57" applyFont="1">
      <alignment vertical="center"/>
    </xf>
    <xf numFmtId="0" fontId="109" fillId="47" borderId="5" xfId="0" applyFont="1" applyFill="1" applyBorder="1" applyAlignment="1" applyProtection="1">
      <alignment horizontal="centerContinuous" vertical="center"/>
      <protection locked="0"/>
    </xf>
    <xf numFmtId="0" fontId="109" fillId="45" borderId="22" xfId="0" applyFont="1" applyFill="1" applyBorder="1" applyAlignment="1">
      <alignment horizontal="centerContinuous" vertical="center"/>
    </xf>
    <xf numFmtId="0" fontId="109" fillId="45" borderId="21" xfId="0" applyFont="1" applyFill="1" applyBorder="1" applyAlignment="1">
      <alignment horizontal="centerContinuous" vertical="center"/>
    </xf>
    <xf numFmtId="0" fontId="130" fillId="0" borderId="0" xfId="0" applyFont="1" applyAlignment="1">
      <alignment horizontal="left" vertical="center"/>
    </xf>
    <xf numFmtId="0" fontId="6" fillId="2" borderId="59" xfId="57" applyFont="1" applyFill="1" applyBorder="1">
      <alignment vertical="center"/>
    </xf>
    <xf numFmtId="0" fontId="5" fillId="0" borderId="28" xfId="45" applyFont="1" applyBorder="1" applyAlignment="1" applyProtection="1">
      <alignment horizontal="left" vertical="center"/>
      <protection locked="0"/>
    </xf>
    <xf numFmtId="0" fontId="5" fillId="0" borderId="43" xfId="45" applyFont="1" applyBorder="1" applyAlignment="1" applyProtection="1">
      <alignment horizontal="left" vertical="center"/>
      <protection locked="0"/>
    </xf>
    <xf numFmtId="0" fontId="5" fillId="0" borderId="29" xfId="45" applyFont="1" applyBorder="1" applyAlignment="1" applyProtection="1">
      <alignment horizontal="left" vertical="center"/>
      <protection locked="0"/>
    </xf>
    <xf numFmtId="0" fontId="5" fillId="0" borderId="32" xfId="45" applyFont="1" applyBorder="1" applyAlignment="1" applyProtection="1">
      <alignment horizontal="left" vertical="center"/>
      <protection locked="0"/>
    </xf>
    <xf numFmtId="0" fontId="134" fillId="0" borderId="16" xfId="9" applyNumberFormat="1" applyFont="1" applyFill="1" applyBorder="1" applyAlignment="1" applyProtection="1">
      <alignment horizontal="left" vertical="center" shrinkToFit="1"/>
      <protection locked="0"/>
    </xf>
    <xf numFmtId="0" fontId="7" fillId="0" borderId="0" xfId="3" applyFont="1" applyAlignment="1">
      <alignment horizontal="left" vertical="center" shrinkToFit="1"/>
    </xf>
    <xf numFmtId="0" fontId="7" fillId="0" borderId="0" xfId="3" applyFont="1" applyAlignment="1" applyProtection="1">
      <alignment horizontal="left" vertical="center" shrinkToFit="1"/>
      <protection locked="0"/>
    </xf>
    <xf numFmtId="177" fontId="7" fillId="0" borderId="0" xfId="3" applyNumberFormat="1" applyFont="1" applyAlignment="1">
      <alignment horizontal="right" vertical="center" shrinkToFit="1"/>
    </xf>
    <xf numFmtId="177" fontId="7" fillId="0" borderId="19" xfId="7" applyFont="1" applyFill="1" applyBorder="1" applyAlignment="1">
      <alignment horizontal="right" vertical="center" shrinkToFit="1"/>
    </xf>
    <xf numFmtId="10" fontId="7" fillId="0" borderId="0" xfId="3" applyNumberFormat="1" applyFont="1" applyAlignment="1">
      <alignment horizontal="right" vertical="center" shrinkToFit="1"/>
    </xf>
    <xf numFmtId="10" fontId="7" fillId="0" borderId="19" xfId="32" applyNumberFormat="1" applyFont="1" applyFill="1" applyBorder="1" applyAlignment="1">
      <alignment horizontal="right" vertical="center" shrinkToFit="1"/>
    </xf>
    <xf numFmtId="10" fontId="7" fillId="0" borderId="19" xfId="7" applyNumberFormat="1" applyFont="1" applyFill="1" applyBorder="1" applyAlignment="1">
      <alignment horizontal="right" vertical="center" shrinkToFit="1"/>
    </xf>
    <xf numFmtId="0" fontId="156" fillId="0" borderId="0" xfId="487" applyFont="1" applyAlignment="1" applyProtection="1">
      <alignment horizontal="left" vertical="center"/>
      <protection locked="0"/>
    </xf>
    <xf numFmtId="177" fontId="7" fillId="0" borderId="47" xfId="0" applyNumberFormat="1" applyFont="1" applyBorder="1" applyAlignment="1">
      <alignment horizontal="right" vertical="center" shrinkToFit="1"/>
    </xf>
    <xf numFmtId="177" fontId="8" fillId="2" borderId="16" xfId="9" applyFont="1" applyFill="1" applyBorder="1" applyAlignment="1" applyProtection="1">
      <alignment horizontal="right" vertical="center" shrinkToFit="1"/>
      <protection locked="0"/>
    </xf>
    <xf numFmtId="177" fontId="8" fillId="0" borderId="24" xfId="9" applyFont="1" applyBorder="1" applyAlignment="1" applyProtection="1">
      <alignment horizontal="right" vertical="center" shrinkToFit="1"/>
      <protection locked="0"/>
    </xf>
    <xf numFmtId="177" fontId="5" fillId="0" borderId="47" xfId="0" applyNumberFormat="1" applyFont="1" applyBorder="1" applyAlignment="1">
      <alignment horizontal="right" vertical="center" shrinkToFit="1"/>
    </xf>
    <xf numFmtId="177" fontId="5" fillId="0" borderId="0" xfId="3" applyNumberFormat="1" applyFont="1" applyAlignment="1">
      <alignment horizontal="right" vertical="center" shrinkToFit="1"/>
    </xf>
    <xf numFmtId="177" fontId="24" fillId="0" borderId="0" xfId="3" applyNumberFormat="1" applyFont="1" applyAlignment="1" applyProtection="1">
      <alignment horizontal="right" vertical="center" shrinkToFit="1"/>
      <protection locked="0"/>
    </xf>
    <xf numFmtId="177" fontId="24" fillId="0" borderId="0" xfId="4" applyFont="1" applyFill="1" applyBorder="1" applyAlignment="1" applyProtection="1">
      <alignment horizontal="right" vertical="center" shrinkToFit="1"/>
      <protection locked="0"/>
    </xf>
    <xf numFmtId="177" fontId="5" fillId="0" borderId="19" xfId="7" applyFont="1" applyFill="1" applyBorder="1" applyAlignment="1">
      <alignment horizontal="right" vertical="center" shrinkToFit="1"/>
    </xf>
    <xf numFmtId="10" fontId="5" fillId="0" borderId="19" xfId="32" applyNumberFormat="1" applyFont="1" applyFill="1" applyBorder="1" applyAlignment="1">
      <alignment horizontal="right" vertical="center" shrinkToFit="1"/>
    </xf>
    <xf numFmtId="10" fontId="5" fillId="0" borderId="0" xfId="3" applyNumberFormat="1" applyFont="1" applyAlignment="1">
      <alignment horizontal="right" vertical="center" shrinkToFit="1"/>
    </xf>
    <xf numFmtId="10" fontId="5" fillId="0" borderId="19" xfId="7" applyNumberFormat="1" applyFont="1" applyFill="1" applyBorder="1" applyAlignment="1">
      <alignment horizontal="right" vertical="center" shrinkToFit="1"/>
    </xf>
    <xf numFmtId="177" fontId="6" fillId="0" borderId="28" xfId="9" applyFont="1" applyBorder="1" applyAlignment="1" applyProtection="1">
      <alignment horizontal="right" vertical="center" shrinkToFit="1"/>
    </xf>
    <xf numFmtId="177" fontId="59" fillId="50" borderId="23" xfId="0" applyNumberFormat="1" applyFont="1" applyFill="1" applyBorder="1" applyAlignment="1">
      <alignment horizontal="right" vertical="center" shrinkToFit="1"/>
    </xf>
    <xf numFmtId="0" fontId="5" fillId="0" borderId="4" xfId="0" applyFont="1" applyBorder="1" applyAlignment="1" applyProtection="1">
      <alignment horizontal="left" vertical="center"/>
      <protection locked="0"/>
    </xf>
    <xf numFmtId="0" fontId="12" fillId="0" borderId="20" xfId="0" applyFont="1" applyBorder="1" applyAlignment="1">
      <alignment horizontal="center" vertical="center" wrapText="1"/>
    </xf>
    <xf numFmtId="0" fontId="5" fillId="0" borderId="24" xfId="0" applyFont="1" applyBorder="1" applyAlignment="1" applyProtection="1">
      <alignment horizontal="left" vertical="center"/>
      <protection locked="0"/>
    </xf>
    <xf numFmtId="14" fontId="31" fillId="0" borderId="21" xfId="0" applyNumberFormat="1" applyFont="1" applyBorder="1" applyAlignment="1" applyProtection="1">
      <alignment vertical="center"/>
      <protection locked="0"/>
    </xf>
    <xf numFmtId="0" fontId="5" fillId="0" borderId="54" xfId="0" applyFont="1" applyBorder="1" applyAlignment="1" applyProtection="1">
      <alignment horizontal="left" vertical="center"/>
      <protection locked="0"/>
    </xf>
    <xf numFmtId="0" fontId="31" fillId="0" borderId="0" xfId="0" applyFont="1" applyAlignment="1" applyProtection="1">
      <alignment vertical="center"/>
      <protection locked="0"/>
    </xf>
    <xf numFmtId="0" fontId="30" fillId="0" borderId="23" xfId="0" applyFont="1" applyBorder="1" applyAlignment="1" applyProtection="1">
      <alignment vertical="center"/>
      <protection locked="0"/>
    </xf>
    <xf numFmtId="177" fontId="5" fillId="0" borderId="16" xfId="9" applyFont="1" applyBorder="1" applyAlignment="1" applyProtection="1">
      <alignment horizontal="right" vertical="center"/>
      <protection locked="0"/>
    </xf>
    <xf numFmtId="177" fontId="31" fillId="0" borderId="0" xfId="9" applyFont="1" applyAlignment="1" applyProtection="1">
      <alignment horizontal="right" vertical="center"/>
      <protection locked="0"/>
    </xf>
    <xf numFmtId="0" fontId="6" fillId="0" borderId="26" xfId="57" applyFont="1" applyBorder="1">
      <alignment vertical="center"/>
    </xf>
    <xf numFmtId="0" fontId="0" fillId="0" borderId="16" xfId="0" applyBorder="1" applyAlignment="1" applyProtection="1">
      <alignment horizontal="left" vertical="center" shrinkToFit="1"/>
      <protection locked="0"/>
    </xf>
    <xf numFmtId="0" fontId="5" fillId="0" borderId="16" xfId="0" applyFont="1" applyBorder="1" applyAlignment="1" applyProtection="1">
      <alignment horizontal="left" vertical="center" shrinkToFit="1"/>
      <protection locked="0"/>
    </xf>
    <xf numFmtId="0" fontId="9" fillId="51" borderId="16" xfId="0" applyFont="1" applyFill="1" applyBorder="1" applyAlignment="1" applyProtection="1">
      <alignment horizontal="center" vertical="center" wrapText="1"/>
      <protection locked="0"/>
    </xf>
    <xf numFmtId="177" fontId="5" fillId="0" borderId="0" xfId="9" applyFont="1" applyBorder="1" applyAlignment="1">
      <alignment horizontal="center" vertical="center"/>
    </xf>
    <xf numFmtId="0" fontId="5" fillId="0" borderId="16" xfId="9" applyNumberFormat="1" applyFont="1" applyBorder="1" applyAlignment="1">
      <alignment horizontal="left" vertical="center"/>
    </xf>
    <xf numFmtId="177" fontId="5" fillId="49" borderId="0" xfId="9" applyFont="1" applyFill="1" applyBorder="1" applyAlignment="1">
      <alignment horizontal="center" vertical="center"/>
    </xf>
    <xf numFmtId="0" fontId="5" fillId="0" borderId="0" xfId="49" applyFont="1" applyAlignment="1">
      <alignment horizontal="center" vertical="center"/>
    </xf>
    <xf numFmtId="9" fontId="5" fillId="0" borderId="0" xfId="50" applyFont="1" applyAlignment="1">
      <alignment horizontal="center" vertical="center"/>
    </xf>
    <xf numFmtId="177" fontId="5" fillId="0" borderId="0" xfId="9" applyFont="1" applyBorder="1" applyAlignment="1">
      <alignment horizontal="left" vertical="center"/>
    </xf>
    <xf numFmtId="177" fontId="5" fillId="0" borderId="0" xfId="9" applyFont="1" applyBorder="1" applyAlignment="1">
      <alignment vertical="center"/>
    </xf>
    <xf numFmtId="177" fontId="5" fillId="49" borderId="0" xfId="9" applyFont="1" applyFill="1" applyBorder="1" applyAlignment="1">
      <alignment vertical="center"/>
    </xf>
    <xf numFmtId="0" fontId="5" fillId="0" borderId="0" xfId="49" applyFont="1">
      <alignment vertical="center"/>
    </xf>
    <xf numFmtId="9" fontId="5" fillId="0" borderId="0" xfId="50" applyFont="1" applyAlignment="1">
      <alignment vertical="center"/>
    </xf>
    <xf numFmtId="0" fontId="5" fillId="0" borderId="0" xfId="0" applyFont="1" applyAlignment="1">
      <alignment horizontal="left" vertical="center" shrinkToFit="1"/>
    </xf>
    <xf numFmtId="0" fontId="5" fillId="0" borderId="16" xfId="9" applyNumberFormat="1" applyFont="1" applyBorder="1" applyAlignment="1">
      <alignment horizontal="left" vertical="center" shrinkToFit="1"/>
    </xf>
    <xf numFmtId="0" fontId="5" fillId="0" borderId="0" xfId="0" applyFont="1" applyAlignment="1">
      <alignment vertical="center" shrinkToFit="1"/>
    </xf>
    <xf numFmtId="177" fontId="5" fillId="49" borderId="0" xfId="9" applyFont="1" applyFill="1" applyBorder="1" applyAlignment="1">
      <alignment vertical="center" shrinkToFit="1"/>
    </xf>
    <xf numFmtId="177" fontId="5" fillId="0" borderId="0" xfId="9" applyFont="1" applyBorder="1" applyAlignment="1">
      <alignment vertical="center" shrinkToFit="1"/>
    </xf>
    <xf numFmtId="0" fontId="5" fillId="0" borderId="0" xfId="49" applyFont="1" applyAlignment="1">
      <alignment vertical="center" shrinkToFit="1"/>
    </xf>
    <xf numFmtId="0" fontId="5" fillId="0" borderId="0" xfId="6" applyFont="1" applyAlignment="1" applyProtection="1">
      <alignment vertical="center" shrinkToFit="1"/>
      <protection locked="0"/>
    </xf>
    <xf numFmtId="9" fontId="5" fillId="0" borderId="0" xfId="50" applyFont="1" applyAlignment="1">
      <alignment vertical="center" shrinkToFit="1"/>
    </xf>
    <xf numFmtId="0" fontId="5" fillId="0" borderId="0" xfId="6" applyFont="1" applyAlignment="1" applyProtection="1">
      <alignment horizontal="left" vertical="center"/>
      <protection locked="0"/>
    </xf>
    <xf numFmtId="0" fontId="5" fillId="2" borderId="0" xfId="57" applyFont="1" applyFill="1" applyAlignment="1">
      <alignment horizontal="left" vertical="center" shrinkToFit="1"/>
    </xf>
    <xf numFmtId="0" fontId="5" fillId="2" borderId="0" xfId="57" applyFont="1" applyFill="1">
      <alignment vertical="center"/>
    </xf>
    <xf numFmtId="0" fontId="5" fillId="49" borderId="0" xfId="57" applyFont="1" applyFill="1">
      <alignment vertical="center"/>
    </xf>
    <xf numFmtId="0" fontId="5" fillId="0" borderId="0" xfId="57" applyFont="1">
      <alignment vertical="center"/>
    </xf>
    <xf numFmtId="0" fontId="5" fillId="2" borderId="0" xfId="57" applyFont="1" applyFill="1" applyAlignment="1">
      <alignment vertical="center" shrinkToFit="1"/>
    </xf>
    <xf numFmtId="177" fontId="5" fillId="0" borderId="0" xfId="9" applyFont="1" applyAlignment="1">
      <alignment vertical="center"/>
    </xf>
    <xf numFmtId="177" fontId="5" fillId="0" borderId="19" xfId="9" applyFont="1" applyFill="1" applyBorder="1" applyAlignment="1">
      <alignment vertical="center"/>
    </xf>
    <xf numFmtId="177" fontId="22" fillId="2" borderId="16" xfId="9" applyFont="1" applyFill="1" applyBorder="1" applyAlignment="1" applyProtection="1">
      <alignment vertical="center"/>
      <protection locked="0"/>
    </xf>
    <xf numFmtId="177" fontId="22" fillId="0" borderId="24" xfId="9" applyFont="1" applyBorder="1" applyAlignment="1" applyProtection="1">
      <alignment vertical="center"/>
      <protection locked="0"/>
    </xf>
    <xf numFmtId="177" fontId="22" fillId="0" borderId="3" xfId="9" applyFont="1" applyBorder="1" applyAlignment="1">
      <alignment vertical="center"/>
    </xf>
    <xf numFmtId="177" fontId="22" fillId="0" borderId="4" xfId="9" applyFont="1" applyBorder="1" applyAlignment="1">
      <alignment vertical="center"/>
    </xf>
    <xf numFmtId="0" fontId="116" fillId="0" borderId="0" xfId="47" applyNumberFormat="1" applyFont="1" applyFill="1" applyBorder="1" applyAlignment="1" applyProtection="1">
      <alignment horizontal="left" vertical="center" shrinkToFit="1"/>
      <protection locked="0"/>
    </xf>
    <xf numFmtId="0" fontId="7" fillId="0" borderId="0" xfId="7" applyNumberFormat="1" applyFont="1" applyFill="1" applyBorder="1" applyAlignment="1">
      <alignment horizontal="left" vertical="center" shrinkToFit="1"/>
    </xf>
    <xf numFmtId="0" fontId="5" fillId="0" borderId="0" xfId="3" applyFont="1" applyAlignment="1">
      <alignment horizontal="left" vertical="center" shrinkToFit="1"/>
    </xf>
    <xf numFmtId="0" fontId="5" fillId="0" borderId="0" xfId="3" applyFont="1" applyAlignment="1" applyProtection="1">
      <alignment horizontal="left" vertical="center" shrinkToFit="1"/>
      <protection locked="0"/>
    </xf>
    <xf numFmtId="0" fontId="12" fillId="54" borderId="16" xfId="1330" applyFont="1" applyFill="1" applyBorder="1" applyAlignment="1">
      <alignment horizontal="center" vertical="center"/>
    </xf>
    <xf numFmtId="0" fontId="144" fillId="0" borderId="16" xfId="0" quotePrefix="1" applyFont="1" applyBorder="1" applyAlignment="1">
      <alignment horizontal="center" vertical="center" wrapText="1"/>
    </xf>
    <xf numFmtId="0" fontId="12" fillId="51" borderId="16" xfId="0" applyFont="1" applyFill="1" applyBorder="1" applyAlignment="1">
      <alignment horizontal="center" vertical="center"/>
    </xf>
    <xf numFmtId="0" fontId="12" fillId="51" borderId="24" xfId="0" applyFont="1" applyFill="1" applyBorder="1" applyAlignment="1">
      <alignment horizontal="center" vertical="center"/>
    </xf>
    <xf numFmtId="0" fontId="8" fillId="0" borderId="16" xfId="0" applyFont="1" applyBorder="1" applyAlignment="1">
      <alignment horizontal="center" vertical="center"/>
    </xf>
    <xf numFmtId="0" fontId="8" fillId="0" borderId="16" xfId="0" applyFont="1" applyBorder="1" applyAlignment="1">
      <alignment horizontal="center" vertical="center" wrapText="1"/>
    </xf>
    <xf numFmtId="0" fontId="113" fillId="51" borderId="24" xfId="0" applyFont="1" applyFill="1" applyBorder="1" applyAlignment="1">
      <alignment horizontal="center" vertical="center"/>
    </xf>
    <xf numFmtId="0" fontId="22" fillId="0" borderId="16" xfId="0" applyFont="1" applyBorder="1" applyAlignment="1">
      <alignment horizontal="center" vertical="center"/>
    </xf>
    <xf numFmtId="0" fontId="22" fillId="0" borderId="16" xfId="0" applyFont="1" applyBorder="1" applyAlignment="1">
      <alignment horizontal="center" vertical="center" wrapText="1"/>
    </xf>
    <xf numFmtId="0" fontId="6" fillId="0" borderId="25" xfId="0" applyFont="1" applyBorder="1" applyAlignment="1">
      <alignment horizontal="left" vertical="center"/>
    </xf>
    <xf numFmtId="0" fontId="6" fillId="0" borderId="33" xfId="0" applyFont="1" applyBorder="1" applyAlignment="1">
      <alignment horizontal="left" vertical="center"/>
    </xf>
    <xf numFmtId="0" fontId="6" fillId="0" borderId="0" xfId="0" applyFont="1" applyAlignment="1">
      <alignment horizontal="left" vertical="center"/>
    </xf>
    <xf numFmtId="0" fontId="6" fillId="0" borderId="35" xfId="0" applyFont="1" applyBorder="1" applyAlignment="1">
      <alignment horizontal="left" vertical="center"/>
    </xf>
    <xf numFmtId="0" fontId="5" fillId="0" borderId="44" xfId="6" applyFont="1" applyBorder="1" applyAlignment="1" applyProtection="1">
      <alignment horizontal="left" vertical="center"/>
      <protection locked="0"/>
    </xf>
    <xf numFmtId="0" fontId="5" fillId="0" borderId="45" xfId="6" applyFont="1" applyBorder="1" applyAlignment="1" applyProtection="1">
      <alignment horizontal="left" vertical="center"/>
      <protection locked="0"/>
    </xf>
    <xf numFmtId="0" fontId="126" fillId="0" borderId="25" xfId="0" applyFont="1" applyBorder="1" applyAlignment="1">
      <alignment horizontal="left" vertical="center"/>
    </xf>
    <xf numFmtId="0" fontId="126" fillId="0" borderId="33" xfId="0" applyFont="1" applyBorder="1" applyAlignment="1">
      <alignment horizontal="left" vertical="center"/>
    </xf>
    <xf numFmtId="0" fontId="7" fillId="0" borderId="0" xfId="6" applyFont="1" applyAlignment="1" applyProtection="1">
      <alignment horizontal="left" vertical="center"/>
      <protection locked="0"/>
    </xf>
    <xf numFmtId="0" fontId="126" fillId="0" borderId="0" xfId="0" applyFont="1" applyAlignment="1">
      <alignment horizontal="left" vertical="center"/>
    </xf>
    <xf numFmtId="0" fontId="126" fillId="0" borderId="35" xfId="0" applyFont="1" applyBorder="1" applyAlignment="1">
      <alignment horizontal="left" vertical="center"/>
    </xf>
    <xf numFmtId="0" fontId="7" fillId="0" borderId="44" xfId="6" applyFont="1" applyBorder="1" applyAlignment="1" applyProtection="1">
      <alignment horizontal="left" vertical="center"/>
      <protection locked="0"/>
    </xf>
    <xf numFmtId="0" fontId="7" fillId="0" borderId="45" xfId="6" applyFont="1" applyBorder="1" applyAlignment="1" applyProtection="1">
      <alignment horizontal="left" vertical="center"/>
      <protection locked="0"/>
    </xf>
    <xf numFmtId="0" fontId="5" fillId="0" borderId="0" xfId="3" applyFont="1" applyAlignment="1">
      <alignment vertical="center" shrinkToFit="1"/>
    </xf>
    <xf numFmtId="0" fontId="9" fillId="0" borderId="0" xfId="487" applyFont="1" applyAlignment="1" applyProtection="1">
      <alignment vertical="center"/>
      <protection locked="0"/>
    </xf>
    <xf numFmtId="0" fontId="5" fillId="0" borderId="0" xfId="3" applyFont="1" applyAlignment="1" applyProtection="1">
      <alignment vertical="center" shrinkToFit="1"/>
      <protection locked="0"/>
    </xf>
    <xf numFmtId="0" fontId="24" fillId="0" borderId="0" xfId="47" applyNumberFormat="1" applyFont="1" applyFill="1" applyBorder="1" applyAlignment="1" applyProtection="1">
      <alignment vertical="center" shrinkToFit="1"/>
      <protection locked="0"/>
    </xf>
    <xf numFmtId="0" fontId="24" fillId="0" borderId="0" xfId="6" applyFont="1" applyAlignment="1" applyProtection="1">
      <alignment vertical="center" shrinkToFit="1"/>
      <protection locked="0"/>
    </xf>
    <xf numFmtId="0" fontId="5" fillId="0" borderId="0" xfId="7" applyNumberFormat="1" applyFont="1" applyFill="1" applyBorder="1" applyAlignment="1">
      <alignment vertical="center" shrinkToFit="1"/>
    </xf>
    <xf numFmtId="0" fontId="5" fillId="0" borderId="0" xfId="7" applyNumberFormat="1" applyFont="1" applyFill="1" applyBorder="1" applyAlignment="1" applyProtection="1">
      <alignment vertical="center" shrinkToFit="1"/>
      <protection locked="0"/>
    </xf>
    <xf numFmtId="0" fontId="116" fillId="0" borderId="0" xfId="6" applyFont="1" applyAlignment="1" applyProtection="1">
      <alignment horizontal="left" vertical="center" shrinkToFit="1"/>
      <protection locked="0"/>
    </xf>
    <xf numFmtId="0" fontId="7" fillId="0" borderId="0" xfId="7" applyNumberFormat="1" applyFont="1" applyFill="1" applyBorder="1" applyAlignment="1" applyProtection="1">
      <alignment horizontal="left" vertical="center" shrinkToFit="1"/>
      <protection locked="0"/>
    </xf>
    <xf numFmtId="177" fontId="7" fillId="0" borderId="0" xfId="9" applyFont="1" applyAlignment="1">
      <alignment horizontal="right" vertical="center" shrinkToFit="1"/>
    </xf>
    <xf numFmtId="177" fontId="116" fillId="0" borderId="0" xfId="9" applyFont="1" applyAlignment="1" applyProtection="1">
      <alignment horizontal="right" vertical="center" shrinkToFit="1"/>
      <protection locked="0"/>
    </xf>
    <xf numFmtId="177" fontId="5" fillId="0" borderId="16" xfId="9" applyFont="1" applyBorder="1" applyAlignment="1" applyProtection="1">
      <alignment horizontal="right" vertical="center" shrinkToFit="1"/>
      <protection locked="0"/>
    </xf>
    <xf numFmtId="177" fontId="5" fillId="0" borderId="16" xfId="9" applyFont="1" applyFill="1" applyBorder="1" applyAlignment="1" applyProtection="1">
      <alignment horizontal="right" vertical="center" shrinkToFit="1"/>
    </xf>
    <xf numFmtId="0" fontId="0" fillId="0" borderId="25" xfId="6" applyFont="1" applyBorder="1" applyAlignment="1" applyProtection="1">
      <alignment horizontal="left" vertical="center"/>
      <protection locked="0"/>
    </xf>
    <xf numFmtId="0" fontId="59" fillId="50" borderId="36" xfId="0" applyFont="1" applyFill="1" applyBorder="1" applyAlignment="1">
      <alignment horizontal="right" vertical="center"/>
    </xf>
    <xf numFmtId="14" fontId="59" fillId="50" borderId="23" xfId="0" applyNumberFormat="1" applyFont="1" applyFill="1" applyBorder="1" applyAlignment="1">
      <alignment horizontal="right" vertical="center"/>
    </xf>
    <xf numFmtId="0" fontId="59" fillId="50" borderId="23" xfId="0" applyFont="1" applyFill="1" applyBorder="1" applyAlignment="1">
      <alignment horizontal="right" vertical="center"/>
    </xf>
    <xf numFmtId="0" fontId="158" fillId="0" borderId="0" xfId="0" applyFont="1" applyAlignment="1">
      <alignment vertical="center"/>
    </xf>
    <xf numFmtId="0" fontId="144" fillId="0" borderId="16" xfId="1334" quotePrefix="1" applyFont="1" applyBorder="1" applyAlignment="1">
      <alignment horizontal="center" vertical="center" wrapText="1"/>
    </xf>
    <xf numFmtId="0" fontId="6" fillId="0" borderId="16" xfId="1324" applyFont="1" applyBorder="1" applyAlignment="1" applyProtection="1">
      <alignment horizontal="center" vertical="center"/>
      <protection locked="0"/>
    </xf>
    <xf numFmtId="0" fontId="6" fillId="0" borderId="16" xfId="0" applyFont="1" applyBorder="1" applyAlignment="1" applyProtection="1">
      <alignment horizontal="left" vertical="center"/>
      <protection locked="0"/>
    </xf>
    <xf numFmtId="0" fontId="8" fillId="0" borderId="0" xfId="0" applyFont="1" applyAlignment="1">
      <alignment vertical="center"/>
    </xf>
    <xf numFmtId="0" fontId="129" fillId="0" borderId="0" xfId="0" applyFont="1" applyAlignment="1">
      <alignment horizontal="left" vertical="center" wrapText="1"/>
    </xf>
    <xf numFmtId="0" fontId="7" fillId="0" borderId="0" xfId="0" applyFont="1" applyAlignment="1">
      <alignment horizontal="left" vertical="center" wrapText="1"/>
    </xf>
    <xf numFmtId="0" fontId="22" fillId="0" borderId="0" xfId="0" applyFont="1" applyAlignment="1">
      <alignment vertical="center"/>
    </xf>
    <xf numFmtId="0" fontId="130" fillId="0" borderId="0" xfId="0" applyFont="1" applyAlignment="1">
      <alignment horizontal="left" vertical="center" wrapText="1"/>
    </xf>
    <xf numFmtId="0" fontId="9" fillId="0" borderId="0" xfId="0" applyFont="1" applyAlignment="1">
      <alignment vertical="center"/>
    </xf>
    <xf numFmtId="0" fontId="114" fillId="51" borderId="16" xfId="0" applyFont="1" applyFill="1" applyBorder="1" applyAlignment="1">
      <alignment horizontal="center" vertical="center" wrapText="1"/>
    </xf>
    <xf numFmtId="0" fontId="114" fillId="51" borderId="5" xfId="0" applyFont="1" applyFill="1" applyBorder="1" applyAlignment="1">
      <alignment horizontal="center" vertical="center" wrapText="1"/>
    </xf>
    <xf numFmtId="0" fontId="5" fillId="0" borderId="16" xfId="0" applyFont="1" applyBorder="1" applyAlignment="1">
      <alignment horizontal="left" vertical="center" wrapText="1"/>
    </xf>
    <xf numFmtId="0" fontId="8" fillId="0" borderId="16" xfId="0" applyFont="1" applyBorder="1" applyAlignment="1">
      <alignment horizontal="left" vertical="center" wrapText="1"/>
    </xf>
    <xf numFmtId="0" fontId="12" fillId="54" borderId="16" xfId="1330" applyFont="1" applyFill="1" applyBorder="1" applyAlignment="1">
      <alignment horizontal="left" vertical="center"/>
    </xf>
    <xf numFmtId="0" fontId="13" fillId="54" borderId="16" xfId="1330" applyFont="1" applyFill="1" applyBorder="1" applyAlignment="1">
      <alignment horizontal="left" vertical="center"/>
    </xf>
    <xf numFmtId="0" fontId="144" fillId="0" borderId="16" xfId="1334" quotePrefix="1" applyFont="1" applyBorder="1" applyAlignment="1">
      <alignment horizontal="center" vertical="center" wrapText="1"/>
    </xf>
    <xf numFmtId="0" fontId="6" fillId="0" borderId="16" xfId="1324" applyFont="1" applyBorder="1" applyAlignment="1" applyProtection="1">
      <alignment horizontal="center" vertical="center"/>
      <protection locked="0"/>
    </xf>
    <xf numFmtId="0" fontId="6" fillId="0" borderId="16" xfId="0" applyFont="1" applyBorder="1" applyAlignment="1" applyProtection="1">
      <alignment horizontal="left" vertical="center"/>
      <protection locked="0"/>
    </xf>
    <xf numFmtId="0" fontId="141" fillId="0" borderId="16" xfId="0" applyFont="1" applyBorder="1" applyAlignment="1">
      <alignment horizontal="left" vertical="center" wrapText="1"/>
    </xf>
    <xf numFmtId="0" fontId="0" fillId="0" borderId="0" xfId="0" applyAlignment="1">
      <alignment horizontal="left" vertical="center" wrapText="1"/>
    </xf>
    <xf numFmtId="0" fontId="8" fillId="0" borderId="16" xfId="0" applyFont="1" applyBorder="1" applyAlignment="1" applyProtection="1">
      <alignment horizontal="left" vertical="center" wrapText="1"/>
      <protection locked="0"/>
    </xf>
    <xf numFmtId="0" fontId="8" fillId="0" borderId="0" xfId="0" applyFont="1" applyAlignment="1">
      <alignment vertical="center"/>
    </xf>
    <xf numFmtId="0" fontId="109" fillId="45" borderId="32" xfId="0" applyFont="1" applyFill="1" applyBorder="1" applyAlignment="1">
      <alignment horizontal="center" vertical="center"/>
    </xf>
    <xf numFmtId="0" fontId="109" fillId="45" borderId="25" xfId="0" applyFont="1" applyFill="1" applyBorder="1" applyAlignment="1">
      <alignment horizontal="center" vertical="center"/>
    </xf>
    <xf numFmtId="0" fontId="110" fillId="46" borderId="55" xfId="0" applyFont="1" applyFill="1" applyBorder="1" applyAlignment="1">
      <alignment horizontal="left" vertical="center" wrapText="1" indent="5"/>
    </xf>
    <xf numFmtId="0" fontId="110" fillId="46" borderId="22" xfId="0" applyFont="1" applyFill="1" applyBorder="1" applyAlignment="1">
      <alignment horizontal="left" vertical="center" wrapText="1" indent="5"/>
    </xf>
    <xf numFmtId="0" fontId="110" fillId="46" borderId="39" xfId="0" applyFont="1" applyFill="1" applyBorder="1" applyAlignment="1">
      <alignment horizontal="left" vertical="center" wrapText="1" indent="5"/>
    </xf>
    <xf numFmtId="0" fontId="110" fillId="46" borderId="34" xfId="0" applyFont="1" applyFill="1" applyBorder="1" applyAlignment="1">
      <alignment horizontal="left" vertical="center" wrapText="1" indent="5"/>
    </xf>
    <xf numFmtId="0" fontId="110" fillId="46" borderId="0" xfId="0" applyFont="1" applyFill="1" applyAlignment="1">
      <alignment horizontal="left" vertical="center" wrapText="1" indent="5"/>
    </xf>
    <xf numFmtId="0" fontId="110" fillId="46" borderId="35" xfId="0" applyFont="1" applyFill="1" applyBorder="1" applyAlignment="1">
      <alignment horizontal="left" vertical="center" wrapText="1" indent="5"/>
    </xf>
    <xf numFmtId="0" fontId="110" fillId="46" borderId="43" xfId="0" applyFont="1" applyFill="1" applyBorder="1" applyAlignment="1">
      <alignment horizontal="left" vertical="center" wrapText="1" indent="5"/>
    </xf>
    <xf numFmtId="0" fontId="110" fillId="46" borderId="44" xfId="0" applyFont="1" applyFill="1" applyBorder="1" applyAlignment="1">
      <alignment horizontal="left" vertical="center" wrapText="1" indent="5"/>
    </xf>
    <xf numFmtId="0" fontId="110" fillId="46" borderId="45" xfId="0" applyFont="1" applyFill="1" applyBorder="1" applyAlignment="1">
      <alignment horizontal="left" vertical="center" wrapText="1" indent="5"/>
    </xf>
    <xf numFmtId="0" fontId="12" fillId="52" borderId="17" xfId="0" applyFont="1" applyFill="1" applyBorder="1" applyAlignment="1">
      <alignment horizontal="center" vertical="center"/>
    </xf>
    <xf numFmtId="0" fontId="12" fillId="52" borderId="7" xfId="0" applyFont="1" applyFill="1" applyBorder="1" applyAlignment="1">
      <alignment horizontal="center" vertical="center"/>
    </xf>
    <xf numFmtId="0" fontId="12" fillId="52" borderId="18" xfId="0" applyFont="1" applyFill="1" applyBorder="1" applyAlignment="1">
      <alignment horizontal="center" vertical="center"/>
    </xf>
    <xf numFmtId="0" fontId="113" fillId="53" borderId="60" xfId="0" applyFont="1" applyFill="1" applyBorder="1" applyAlignment="1">
      <alignment horizontal="center"/>
    </xf>
    <xf numFmtId="0" fontId="113" fillId="53" borderId="42" xfId="0" applyFont="1" applyFill="1" applyBorder="1" applyAlignment="1">
      <alignment horizontal="center"/>
    </xf>
    <xf numFmtId="0" fontId="13" fillId="51" borderId="24" xfId="6" applyFont="1" applyFill="1" applyBorder="1" applyAlignment="1" applyProtection="1">
      <alignment horizontal="center" vertical="center" wrapText="1"/>
      <protection locked="0"/>
    </xf>
    <xf numFmtId="0" fontId="13" fillId="51" borderId="4" xfId="6" applyFont="1" applyFill="1" applyBorder="1" applyAlignment="1" applyProtection="1">
      <alignment horizontal="center" vertical="center" wrapText="1"/>
      <protection locked="0"/>
    </xf>
    <xf numFmtId="0" fontId="139" fillId="0" borderId="32" xfId="3" applyFont="1" applyBorder="1" applyAlignment="1" applyProtection="1">
      <alignment horizontal="left" vertical="center"/>
      <protection locked="0"/>
    </xf>
    <xf numFmtId="0" fontId="119" fillId="0" borderId="25" xfId="3" applyFont="1" applyBorder="1" applyAlignment="1" applyProtection="1">
      <alignment horizontal="left" vertical="center"/>
      <protection locked="0"/>
    </xf>
    <xf numFmtId="0" fontId="119" fillId="0" borderId="33" xfId="3" applyFont="1" applyBorder="1" applyAlignment="1" applyProtection="1">
      <alignment horizontal="left" vertical="center"/>
      <protection locked="0"/>
    </xf>
    <xf numFmtId="0" fontId="119" fillId="0" borderId="34" xfId="3" applyFont="1" applyBorder="1" applyAlignment="1" applyProtection="1">
      <alignment horizontal="left" vertical="center"/>
      <protection locked="0"/>
    </xf>
    <xf numFmtId="0" fontId="119" fillId="0" borderId="0" xfId="3" applyFont="1" applyAlignment="1" applyProtection="1">
      <alignment horizontal="left" vertical="center"/>
      <protection locked="0"/>
    </xf>
    <xf numFmtId="0" fontId="119" fillId="0" borderId="35" xfId="3" applyFont="1" applyBorder="1" applyAlignment="1" applyProtection="1">
      <alignment horizontal="left" vertical="center"/>
      <protection locked="0"/>
    </xf>
    <xf numFmtId="0" fontId="119" fillId="0" borderId="43" xfId="3" applyFont="1" applyBorder="1" applyAlignment="1" applyProtection="1">
      <alignment horizontal="left" vertical="center"/>
      <protection locked="0"/>
    </xf>
    <xf numFmtId="0" fontId="119" fillId="0" borderId="44" xfId="3" applyFont="1" applyBorder="1" applyAlignment="1" applyProtection="1">
      <alignment horizontal="left" vertical="center"/>
      <protection locked="0"/>
    </xf>
    <xf numFmtId="0" fontId="119" fillId="0" borderId="45" xfId="3" applyFont="1" applyBorder="1" applyAlignment="1" applyProtection="1">
      <alignment horizontal="left" vertical="center"/>
      <protection locked="0"/>
    </xf>
    <xf numFmtId="14" fontId="12" fillId="51" borderId="42" xfId="0" applyNumberFormat="1" applyFont="1" applyFill="1" applyBorder="1" applyAlignment="1">
      <alignment horizontal="center" vertical="center"/>
    </xf>
    <xf numFmtId="14" fontId="12" fillId="51" borderId="51" xfId="0" applyNumberFormat="1" applyFont="1" applyFill="1" applyBorder="1" applyAlignment="1">
      <alignment horizontal="center" vertical="center"/>
    </xf>
    <xf numFmtId="0" fontId="113" fillId="51" borderId="51" xfId="0" applyFont="1" applyFill="1" applyBorder="1" applyAlignment="1">
      <alignment horizontal="center" vertical="center" wrapText="1"/>
    </xf>
    <xf numFmtId="0" fontId="113" fillId="51" borderId="41" xfId="0" applyFont="1" applyFill="1" applyBorder="1" applyAlignment="1">
      <alignment horizontal="center" vertical="center" wrapText="1"/>
    </xf>
    <xf numFmtId="0" fontId="12" fillId="51" borderId="24" xfId="0" applyFont="1" applyFill="1" applyBorder="1" applyAlignment="1">
      <alignment horizontal="center" vertical="center" wrapText="1"/>
    </xf>
    <xf numFmtId="0" fontId="12" fillId="51" borderId="4" xfId="0" applyFont="1" applyFill="1" applyBorder="1" applyAlignment="1">
      <alignment horizontal="center" vertical="center" wrapText="1"/>
    </xf>
    <xf numFmtId="0" fontId="9" fillId="51" borderId="24" xfId="3" applyFont="1" applyFill="1" applyBorder="1" applyAlignment="1" applyProtection="1">
      <alignment horizontal="center" vertical="center" wrapText="1"/>
      <protection locked="0"/>
    </xf>
    <xf numFmtId="0" fontId="9" fillId="51" borderId="4" xfId="3" applyFont="1" applyFill="1" applyBorder="1" applyAlignment="1" applyProtection="1">
      <alignment horizontal="center" vertical="center" wrapText="1"/>
      <protection locked="0"/>
    </xf>
    <xf numFmtId="0" fontId="129" fillId="0" borderId="0" xfId="0" applyFont="1" applyAlignment="1">
      <alignment horizontal="left" vertical="center" wrapText="1"/>
    </xf>
    <xf numFmtId="0" fontId="5" fillId="0" borderId="32" xfId="0" applyFont="1" applyBorder="1" applyAlignment="1">
      <alignment horizontal="left" vertical="center" wrapText="1"/>
    </xf>
    <xf numFmtId="0" fontId="5" fillId="0" borderId="25" xfId="0" applyFont="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5" fillId="0" borderId="0" xfId="0" applyFont="1" applyAlignment="1">
      <alignment horizontal="left" vertical="center" wrapText="1"/>
    </xf>
    <xf numFmtId="0" fontId="5" fillId="0" borderId="35" xfId="0" applyFont="1" applyBorder="1" applyAlignment="1">
      <alignment horizontal="left" vertical="center" wrapText="1"/>
    </xf>
    <xf numFmtId="0" fontId="5" fillId="0" borderId="43" xfId="0" applyFont="1" applyBorder="1" applyAlignment="1">
      <alignment horizontal="left" vertical="center" wrapText="1"/>
    </xf>
    <xf numFmtId="0" fontId="5" fillId="0" borderId="44" xfId="0" applyFont="1" applyBorder="1" applyAlignment="1">
      <alignment horizontal="left" vertical="center" wrapText="1"/>
    </xf>
    <xf numFmtId="0" fontId="5" fillId="0" borderId="45" xfId="0" applyFont="1" applyBorder="1" applyAlignment="1">
      <alignment horizontal="left" vertical="center" wrapText="1"/>
    </xf>
    <xf numFmtId="0" fontId="114" fillId="51" borderId="24" xfId="6" applyFont="1" applyFill="1" applyBorder="1" applyAlignment="1" applyProtection="1">
      <alignment horizontal="left" vertical="center" wrapText="1"/>
      <protection locked="0"/>
    </xf>
    <xf numFmtId="0" fontId="114" fillId="51" borderId="4" xfId="6" applyFont="1" applyFill="1" applyBorder="1" applyAlignment="1" applyProtection="1">
      <alignment horizontal="left" vertical="center" wrapText="1"/>
      <protection locked="0"/>
    </xf>
    <xf numFmtId="0" fontId="7" fillId="0" borderId="32" xfId="0" applyFont="1" applyBorder="1" applyAlignment="1">
      <alignment horizontal="left" vertical="center" wrapText="1"/>
    </xf>
    <xf numFmtId="0" fontId="7" fillId="0" borderId="25" xfId="0" applyFont="1" applyBorder="1" applyAlignment="1">
      <alignment horizontal="left" vertical="center" wrapText="1"/>
    </xf>
    <xf numFmtId="0" fontId="7" fillId="0" borderId="33" xfId="0" applyFont="1" applyBorder="1" applyAlignment="1">
      <alignment horizontal="left" vertical="center" wrapText="1"/>
    </xf>
    <xf numFmtId="0" fontId="7" fillId="0" borderId="34" xfId="0" applyFont="1" applyBorder="1" applyAlignment="1">
      <alignment horizontal="left" vertical="center" wrapText="1"/>
    </xf>
    <xf numFmtId="0" fontId="7" fillId="0" borderId="0" xfId="0" applyFont="1" applyAlignment="1">
      <alignment horizontal="left" vertical="center" wrapText="1"/>
    </xf>
    <xf numFmtId="0" fontId="7" fillId="0" borderId="35" xfId="0" applyFont="1" applyBorder="1" applyAlignment="1">
      <alignment horizontal="left" vertical="center" wrapText="1"/>
    </xf>
    <xf numFmtId="0" fontId="7" fillId="0" borderId="43" xfId="0" applyFont="1" applyBorder="1" applyAlignment="1">
      <alignment horizontal="left" vertical="center" wrapText="1"/>
    </xf>
    <xf numFmtId="0" fontId="7" fillId="0" borderId="44" xfId="0" applyFont="1" applyBorder="1" applyAlignment="1">
      <alignment horizontal="left" vertical="center" wrapText="1"/>
    </xf>
    <xf numFmtId="0" fontId="7" fillId="0" borderId="45" xfId="0" applyFont="1" applyBorder="1" applyAlignment="1">
      <alignment horizontal="left" vertical="center" wrapText="1"/>
    </xf>
    <xf numFmtId="0" fontId="22" fillId="0" borderId="0" xfId="0" applyFont="1" applyAlignment="1">
      <alignment vertical="center"/>
    </xf>
    <xf numFmtId="0" fontId="130" fillId="0" borderId="0" xfId="0" applyFont="1" applyAlignment="1">
      <alignment horizontal="left" vertical="center" wrapText="1"/>
    </xf>
    <xf numFmtId="0" fontId="137" fillId="0" borderId="32" xfId="3" applyFont="1" applyBorder="1" applyAlignment="1" applyProtection="1">
      <alignment horizontal="left" vertical="center"/>
      <protection locked="0"/>
    </xf>
    <xf numFmtId="0" fontId="154" fillId="0" borderId="25" xfId="3" applyFont="1" applyBorder="1" applyAlignment="1" applyProtection="1">
      <alignment horizontal="left" vertical="center"/>
      <protection locked="0"/>
    </xf>
    <xf numFmtId="0" fontId="154" fillId="0" borderId="33" xfId="3" applyFont="1" applyBorder="1" applyAlignment="1" applyProtection="1">
      <alignment horizontal="left" vertical="center"/>
      <protection locked="0"/>
    </xf>
    <xf numFmtId="0" fontId="154" fillId="0" borderId="34" xfId="3" applyFont="1" applyBorder="1" applyAlignment="1" applyProtection="1">
      <alignment horizontal="left" vertical="center"/>
      <protection locked="0"/>
    </xf>
    <xf numFmtId="0" fontId="154" fillId="0" borderId="0" xfId="3" applyFont="1" applyAlignment="1" applyProtection="1">
      <alignment horizontal="left" vertical="center"/>
      <protection locked="0"/>
    </xf>
    <xf numFmtId="0" fontId="154" fillId="0" borderId="35" xfId="3" applyFont="1" applyBorder="1" applyAlignment="1" applyProtection="1">
      <alignment horizontal="left" vertical="center"/>
      <protection locked="0"/>
    </xf>
    <xf numFmtId="0" fontId="154" fillId="0" borderId="43" xfId="3" applyFont="1" applyBorder="1" applyAlignment="1" applyProtection="1">
      <alignment horizontal="left" vertical="center"/>
      <protection locked="0"/>
    </xf>
    <xf numFmtId="0" fontId="154" fillId="0" borderId="44" xfId="3" applyFont="1" applyBorder="1" applyAlignment="1" applyProtection="1">
      <alignment horizontal="left" vertical="center"/>
      <protection locked="0"/>
    </xf>
    <xf numFmtId="0" fontId="154" fillId="0" borderId="45" xfId="3" applyFont="1" applyBorder="1" applyAlignment="1" applyProtection="1">
      <alignment horizontal="left" vertical="center"/>
      <protection locked="0"/>
    </xf>
    <xf numFmtId="0" fontId="113" fillId="51" borderId="24" xfId="0" applyFont="1" applyFill="1" applyBorder="1" applyAlignment="1">
      <alignment horizontal="center" vertical="center" wrapText="1"/>
    </xf>
    <xf numFmtId="0" fontId="113" fillId="51" borderId="4" xfId="0" applyFont="1" applyFill="1" applyBorder="1" applyAlignment="1">
      <alignment horizontal="center" vertical="center" wrapText="1"/>
    </xf>
    <xf numFmtId="14" fontId="113" fillId="51" borderId="39" xfId="0" applyNumberFormat="1" applyFont="1" applyFill="1" applyBorder="1" applyAlignment="1">
      <alignment horizontal="center" vertical="center"/>
    </xf>
    <xf numFmtId="14" fontId="113" fillId="51" borderId="50" xfId="0" applyNumberFormat="1" applyFont="1" applyFill="1" applyBorder="1" applyAlignment="1">
      <alignment horizontal="center" vertical="center"/>
    </xf>
    <xf numFmtId="0" fontId="19" fillId="51" borderId="24" xfId="3" applyFont="1" applyFill="1" applyBorder="1" applyAlignment="1" applyProtection="1">
      <alignment horizontal="center" vertical="center" wrapText="1"/>
      <protection locked="0"/>
    </xf>
    <xf numFmtId="0" fontId="19" fillId="51" borderId="4" xfId="3" applyFont="1" applyFill="1" applyBorder="1" applyAlignment="1" applyProtection="1">
      <alignment horizontal="center" vertical="center" wrapText="1"/>
      <protection locked="0"/>
    </xf>
    <xf numFmtId="0" fontId="109" fillId="45" borderId="17" xfId="0" applyFont="1" applyFill="1" applyBorder="1" applyAlignment="1">
      <alignment horizontal="center" vertical="center"/>
    </xf>
    <xf numFmtId="0" fontId="109" fillId="45" borderId="7" xfId="0" applyFont="1" applyFill="1" applyBorder="1" applyAlignment="1">
      <alignment horizontal="center" vertical="center"/>
    </xf>
    <xf numFmtId="0" fontId="109" fillId="45" borderId="18" xfId="0" applyFont="1" applyFill="1" applyBorder="1" applyAlignment="1">
      <alignment horizontal="center" vertical="center"/>
    </xf>
    <xf numFmtId="0" fontId="110" fillId="46" borderId="17" xfId="0" applyFont="1" applyFill="1" applyBorder="1" applyAlignment="1">
      <alignment horizontal="left" vertical="center"/>
    </xf>
    <xf numFmtId="0" fontId="110" fillId="46" borderId="7" xfId="0" applyFont="1" applyFill="1" applyBorder="1" applyAlignment="1">
      <alignment horizontal="left" vertical="center"/>
    </xf>
    <xf numFmtId="0" fontId="110" fillId="46" borderId="18" xfId="0" applyFont="1" applyFill="1" applyBorder="1" applyAlignment="1">
      <alignment horizontal="left" vertical="center"/>
    </xf>
    <xf numFmtId="0" fontId="155" fillId="0" borderId="32" xfId="3" applyFont="1" applyBorder="1" applyAlignment="1" applyProtection="1">
      <alignment horizontal="left" vertical="center" wrapText="1"/>
      <protection locked="0"/>
    </xf>
    <xf numFmtId="0" fontId="155" fillId="0" borderId="25" xfId="3" applyFont="1" applyBorder="1" applyAlignment="1" applyProtection="1">
      <alignment horizontal="left" vertical="center" wrapText="1"/>
      <protection locked="0"/>
    </xf>
    <xf numFmtId="0" fontId="155" fillId="0" borderId="33" xfId="3" applyFont="1" applyBorder="1" applyAlignment="1" applyProtection="1">
      <alignment horizontal="left" vertical="center" wrapText="1"/>
      <protection locked="0"/>
    </xf>
    <xf numFmtId="0" fontId="155" fillId="0" borderId="34" xfId="3" applyFont="1" applyBorder="1" applyAlignment="1" applyProtection="1">
      <alignment horizontal="left" vertical="center" wrapText="1"/>
      <protection locked="0"/>
    </xf>
    <xf numFmtId="0" fontId="155" fillId="0" borderId="0" xfId="3" applyFont="1" applyAlignment="1" applyProtection="1">
      <alignment horizontal="left" vertical="center" wrapText="1"/>
      <protection locked="0"/>
    </xf>
    <xf numFmtId="0" fontId="155" fillId="0" borderId="35" xfId="3" applyFont="1" applyBorder="1" applyAlignment="1" applyProtection="1">
      <alignment horizontal="left" vertical="center" wrapText="1"/>
      <protection locked="0"/>
    </xf>
    <xf numFmtId="0" fontId="155" fillId="0" borderId="43" xfId="3" applyFont="1" applyBorder="1" applyAlignment="1" applyProtection="1">
      <alignment horizontal="left" vertical="center" wrapText="1"/>
      <protection locked="0"/>
    </xf>
    <xf numFmtId="0" fontId="155" fillId="0" borderId="44" xfId="3" applyFont="1" applyBorder="1" applyAlignment="1" applyProtection="1">
      <alignment horizontal="left" vertical="center" wrapText="1"/>
      <protection locked="0"/>
    </xf>
    <xf numFmtId="0" fontId="155" fillId="0" borderId="45" xfId="3" applyFont="1" applyBorder="1" applyAlignment="1" applyProtection="1">
      <alignment horizontal="left" vertical="center" wrapText="1"/>
      <protection locked="0"/>
    </xf>
    <xf numFmtId="0" fontId="9" fillId="0" borderId="0" xfId="0" applyFont="1" applyAlignment="1">
      <alignment vertical="center"/>
    </xf>
    <xf numFmtId="0" fontId="8" fillId="0" borderId="23" xfId="0" applyFont="1" applyBorder="1" applyAlignment="1">
      <alignment vertical="center"/>
    </xf>
    <xf numFmtId="0" fontId="8" fillId="0" borderId="29" xfId="0" applyFont="1" applyBorder="1" applyAlignment="1">
      <alignment vertical="top" wrapText="1"/>
    </xf>
    <xf numFmtId="0" fontId="5" fillId="0" borderId="26" xfId="0" applyFont="1" applyBorder="1" applyAlignment="1">
      <alignment vertical="top" wrapText="1"/>
    </xf>
    <xf numFmtId="0" fontId="5" fillId="0" borderId="31" xfId="0" applyFont="1" applyBorder="1" applyAlignment="1">
      <alignment vertical="top" wrapText="1"/>
    </xf>
    <xf numFmtId="0" fontId="109" fillId="45" borderId="43" xfId="0" applyFont="1" applyFill="1" applyBorder="1" applyAlignment="1">
      <alignment horizontal="center" vertical="center"/>
    </xf>
    <xf numFmtId="0" fontId="109" fillId="45" borderId="44" xfId="0" applyFont="1" applyFill="1" applyBorder="1" applyAlignment="1">
      <alignment horizontal="center" vertical="center"/>
    </xf>
    <xf numFmtId="0" fontId="109" fillId="45" borderId="61" xfId="0" applyFont="1" applyFill="1" applyBorder="1" applyAlignment="1">
      <alignment horizontal="center" vertical="center"/>
    </xf>
    <xf numFmtId="0" fontId="110" fillId="46" borderId="56" xfId="0" applyFont="1" applyFill="1" applyBorder="1" applyAlignment="1">
      <alignment horizontal="left" vertical="center"/>
    </xf>
    <xf numFmtId="0" fontId="110" fillId="46" borderId="38" xfId="0" applyFont="1" applyFill="1" applyBorder="1" applyAlignment="1">
      <alignment horizontal="left" vertical="center"/>
    </xf>
    <xf numFmtId="0" fontId="110" fillId="46" borderId="57" xfId="0" applyFont="1" applyFill="1" applyBorder="1" applyAlignment="1">
      <alignment horizontal="left" vertical="center"/>
    </xf>
    <xf numFmtId="0" fontId="120" fillId="0" borderId="32" xfId="6" applyFont="1" applyBorder="1" applyAlignment="1" applyProtection="1">
      <alignment horizontal="left" vertical="center" wrapText="1"/>
      <protection locked="0"/>
    </xf>
    <xf numFmtId="0" fontId="120" fillId="0" borderId="25" xfId="6" applyFont="1" applyBorder="1" applyAlignment="1" applyProtection="1">
      <alignment horizontal="left" vertical="center"/>
      <protection locked="0"/>
    </xf>
    <xf numFmtId="0" fontId="120" fillId="0" borderId="33" xfId="6" applyFont="1" applyBorder="1" applyAlignment="1" applyProtection="1">
      <alignment horizontal="left" vertical="center"/>
      <protection locked="0"/>
    </xf>
    <xf numFmtId="0" fontId="120" fillId="0" borderId="34" xfId="6" applyFont="1" applyBorder="1" applyAlignment="1" applyProtection="1">
      <alignment horizontal="left" vertical="center"/>
      <protection locked="0"/>
    </xf>
    <xf numFmtId="0" fontId="120" fillId="0" borderId="0" xfId="6" applyFont="1" applyAlignment="1" applyProtection="1">
      <alignment horizontal="left" vertical="center"/>
      <protection locked="0"/>
    </xf>
    <xf numFmtId="0" fontId="120" fillId="0" borderId="35" xfId="6" applyFont="1" applyBorder="1" applyAlignment="1" applyProtection="1">
      <alignment horizontal="left" vertical="center"/>
      <protection locked="0"/>
    </xf>
    <xf numFmtId="0" fontId="120" fillId="0" borderId="43" xfId="6" applyFont="1" applyBorder="1" applyAlignment="1" applyProtection="1">
      <alignment horizontal="left" vertical="center"/>
      <protection locked="0"/>
    </xf>
    <xf numFmtId="0" fontId="120" fillId="0" borderId="44" xfId="6" applyFont="1" applyBorder="1" applyAlignment="1" applyProtection="1">
      <alignment horizontal="left" vertical="center"/>
      <protection locked="0"/>
    </xf>
    <xf numFmtId="0" fontId="120" fillId="0" borderId="45" xfId="6" applyFont="1" applyBorder="1" applyAlignment="1" applyProtection="1">
      <alignment horizontal="left" vertical="center"/>
      <protection locked="0"/>
    </xf>
    <xf numFmtId="0" fontId="5" fillId="0" borderId="5" xfId="0" applyFont="1" applyBorder="1" applyAlignment="1">
      <alignment horizontal="left" vertical="center" wrapText="1"/>
    </xf>
    <xf numFmtId="0" fontId="5" fillId="0" borderId="22" xfId="0" applyFont="1" applyBorder="1" applyAlignment="1">
      <alignment horizontal="left" vertical="center" wrapText="1"/>
    </xf>
    <xf numFmtId="0" fontId="5" fillId="0" borderId="21" xfId="0" applyFont="1" applyBorder="1" applyAlignment="1">
      <alignment horizontal="left" vertical="center" wrapText="1"/>
    </xf>
    <xf numFmtId="0" fontId="5" fillId="0" borderId="23" xfId="0" applyFont="1" applyBorder="1" applyAlignment="1">
      <alignment horizontal="left" vertical="center" wrapText="1"/>
    </xf>
    <xf numFmtId="0" fontId="5" fillId="0" borderId="30" xfId="0" applyFont="1" applyBorder="1" applyAlignment="1">
      <alignment horizontal="left" vertical="center" wrapText="1"/>
    </xf>
    <xf numFmtId="0" fontId="5" fillId="0" borderId="27" xfId="0" applyFont="1" applyBorder="1" applyAlignment="1">
      <alignment horizontal="left" vertical="center" wrapText="1"/>
    </xf>
    <xf numFmtId="0" fontId="5" fillId="0" borderId="8" xfId="0" applyFont="1" applyBorder="1" applyAlignment="1">
      <alignment horizontal="left" vertical="center" wrapText="1"/>
    </xf>
    <xf numFmtId="0" fontId="5" fillId="0" borderId="20" xfId="0" applyFont="1" applyBorder="1" applyAlignment="1">
      <alignment horizontal="left" vertical="center" wrapText="1"/>
    </xf>
    <xf numFmtId="0" fontId="19" fillId="51" borderId="17" xfId="0" applyFont="1" applyFill="1" applyBorder="1" applyAlignment="1">
      <alignment horizontal="center" vertical="center" wrapText="1"/>
    </xf>
    <xf numFmtId="0" fontId="22" fillId="0" borderId="17" xfId="0" applyFont="1" applyBorder="1" applyAlignment="1">
      <alignment horizontal="left" vertical="center" wrapText="1"/>
    </xf>
    <xf numFmtId="0" fontId="22" fillId="0" borderId="7" xfId="0" applyFont="1" applyBorder="1" applyAlignment="1">
      <alignment horizontal="left" vertical="center" wrapText="1"/>
    </xf>
    <xf numFmtId="0" fontId="22" fillId="0" borderId="18" xfId="0" applyFont="1" applyBorder="1" applyAlignment="1">
      <alignment horizontal="left" vertical="center" wrapText="1"/>
    </xf>
    <xf numFmtId="0" fontId="114" fillId="51" borderId="16" xfId="0" applyFont="1" applyFill="1" applyBorder="1" applyAlignment="1">
      <alignment horizontal="center" vertical="center" wrapText="1"/>
    </xf>
    <xf numFmtId="0" fontId="114" fillId="51" borderId="5" xfId="0" applyFont="1" applyFill="1" applyBorder="1" applyAlignment="1">
      <alignment horizontal="center" vertical="center" wrapText="1"/>
    </xf>
    <xf numFmtId="0" fontId="114" fillId="51" borderId="22" xfId="0" applyFont="1" applyFill="1" applyBorder="1" applyAlignment="1">
      <alignment horizontal="center" vertical="center" wrapText="1"/>
    </xf>
    <xf numFmtId="0" fontId="114" fillId="51" borderId="21" xfId="0" applyFont="1" applyFill="1" applyBorder="1" applyAlignment="1">
      <alignment horizontal="center" vertical="center" wrapText="1"/>
    </xf>
    <xf numFmtId="0" fontId="114" fillId="51" borderId="27" xfId="0" applyFont="1" applyFill="1" applyBorder="1" applyAlignment="1">
      <alignment horizontal="center" vertical="center" wrapText="1"/>
    </xf>
    <xf numFmtId="0" fontId="114" fillId="51" borderId="8" xfId="0" applyFont="1" applyFill="1" applyBorder="1" applyAlignment="1">
      <alignment horizontal="center" vertical="center" wrapText="1"/>
    </xf>
    <xf numFmtId="0" fontId="114" fillId="51" borderId="20" xfId="0" applyFont="1" applyFill="1" applyBorder="1" applyAlignment="1">
      <alignment horizontal="center" vertical="center" wrapText="1"/>
    </xf>
    <xf numFmtId="0" fontId="114" fillId="51" borderId="24" xfId="0" applyFont="1" applyFill="1" applyBorder="1" applyAlignment="1">
      <alignment horizontal="center" vertical="center" wrapText="1"/>
    </xf>
    <xf numFmtId="0" fontId="114" fillId="51" borderId="3" xfId="0" applyFont="1" applyFill="1" applyBorder="1" applyAlignment="1">
      <alignment horizontal="center" vertical="center" wrapText="1"/>
    </xf>
    <xf numFmtId="0" fontId="114" fillId="51" borderId="4" xfId="0" applyFont="1" applyFill="1" applyBorder="1" applyAlignment="1">
      <alignment horizontal="center" vertical="center" wrapText="1"/>
    </xf>
    <xf numFmtId="0" fontId="158" fillId="0" borderId="0" xfId="1335" applyFont="1" applyAlignment="1">
      <alignment vertical="center"/>
    </xf>
    <xf numFmtId="0" fontId="5" fillId="0" borderId="0" xfId="2" applyFont="1" applyAlignment="1">
      <alignment horizontal="right" vertical="center"/>
    </xf>
    <xf numFmtId="0" fontId="159" fillId="0" borderId="0" xfId="6" applyFont="1" applyAlignment="1">
      <alignment vertical="center"/>
    </xf>
    <xf numFmtId="0" fontId="5" fillId="0" borderId="0" xfId="16" applyFont="1" applyAlignment="1">
      <alignment vertical="center"/>
    </xf>
    <xf numFmtId="0" fontId="14" fillId="0" borderId="0" xfId="8" applyFont="1" applyAlignment="1">
      <alignment vertical="center"/>
    </xf>
    <xf numFmtId="0" fontId="5" fillId="0" borderId="0" xfId="16" applyFont="1" applyAlignment="1">
      <alignment horizontal="right" vertical="center" wrapText="1"/>
    </xf>
    <xf numFmtId="0" fontId="17" fillId="56" borderId="0" xfId="16" applyFont="1" applyFill="1" applyAlignment="1">
      <alignment vertical="center"/>
    </xf>
    <xf numFmtId="0" fontId="5" fillId="56" borderId="0" xfId="8" applyFont="1" applyFill="1" applyAlignment="1">
      <alignment horizontal="center" vertical="center"/>
    </xf>
    <xf numFmtId="0" fontId="5" fillId="0" borderId="0" xfId="8" applyFont="1" applyAlignment="1">
      <alignment horizontal="center" vertical="center"/>
    </xf>
    <xf numFmtId="0" fontId="5" fillId="0" borderId="0" xfId="8" applyFont="1" applyAlignment="1">
      <alignment vertical="center"/>
    </xf>
    <xf numFmtId="0" fontId="160" fillId="0" borderId="62" xfId="66" applyFont="1" applyBorder="1" applyAlignment="1">
      <alignment vertical="center"/>
    </xf>
    <xf numFmtId="0" fontId="16" fillId="0" borderId="63" xfId="67" applyFont="1" applyBorder="1" applyAlignment="1">
      <alignment vertical="center"/>
    </xf>
    <xf numFmtId="0" fontId="16" fillId="0" borderId="64" xfId="67" applyFont="1" applyBorder="1" applyAlignment="1">
      <alignment vertical="center"/>
    </xf>
    <xf numFmtId="0" fontId="16" fillId="0" borderId="0" xfId="16" applyFont="1" applyAlignment="1">
      <alignment vertical="center"/>
    </xf>
    <xf numFmtId="0" fontId="162" fillId="0" borderId="65" xfId="66" applyFont="1" applyBorder="1" applyAlignment="1">
      <alignment vertical="center"/>
    </xf>
    <xf numFmtId="0" fontId="16" fillId="0" borderId="0" xfId="67" applyFont="1" applyAlignment="1">
      <alignment vertical="center"/>
    </xf>
    <xf numFmtId="0" fontId="16" fillId="0" borderId="66" xfId="67" applyFont="1" applyBorder="1" applyAlignment="1">
      <alignment vertical="center"/>
    </xf>
    <xf numFmtId="0" fontId="16" fillId="0" borderId="65" xfId="66" applyFont="1" applyBorder="1" applyAlignment="1">
      <alignment vertical="center"/>
    </xf>
    <xf numFmtId="0" fontId="162" fillId="0" borderId="0" xfId="66" applyFont="1" applyAlignment="1">
      <alignment vertical="center"/>
    </xf>
    <xf numFmtId="0" fontId="162" fillId="0" borderId="66" xfId="66" applyFont="1" applyBorder="1" applyAlignment="1">
      <alignment vertical="center"/>
    </xf>
    <xf numFmtId="0" fontId="164" fillId="0" borderId="0" xfId="66" applyFont="1" applyAlignment="1">
      <alignment vertical="center"/>
    </xf>
    <xf numFmtId="0" fontId="17" fillId="0" borderId="67" xfId="67" applyFont="1" applyBorder="1" applyAlignment="1">
      <alignment horizontal="left" vertical="center" wrapText="1"/>
    </xf>
    <xf numFmtId="0" fontId="17" fillId="0" borderId="2" xfId="67" applyFont="1" applyBorder="1" applyAlignment="1">
      <alignment horizontal="left" vertical="center" wrapText="1"/>
    </xf>
    <xf numFmtId="0" fontId="17" fillId="0" borderId="68" xfId="67" applyFont="1" applyBorder="1" applyAlignment="1">
      <alignment horizontal="left" vertical="center" wrapText="1"/>
    </xf>
    <xf numFmtId="0" fontId="17" fillId="0" borderId="0" xfId="67" applyFont="1" applyAlignment="1">
      <alignment horizontal="left" vertical="center" wrapText="1"/>
    </xf>
    <xf numFmtId="0" fontId="14" fillId="0" borderId="0" xfId="1" applyFont="1" applyAlignment="1">
      <alignment vertical="center"/>
    </xf>
    <xf numFmtId="0" fontId="17" fillId="0" borderId="0" xfId="16" applyFont="1" applyAlignment="1">
      <alignment horizontal="left" vertical="center"/>
    </xf>
    <xf numFmtId="0" fontId="13" fillId="0" borderId="0" xfId="1336" applyFont="1" applyAlignment="1">
      <alignment vertical="center"/>
    </xf>
    <xf numFmtId="0" fontId="16" fillId="0" borderId="0" xfId="16" applyFont="1" applyAlignment="1">
      <alignment horizontal="left" vertical="center" wrapText="1"/>
    </xf>
    <xf numFmtId="0" fontId="17" fillId="0" borderId="0" xfId="8" applyFont="1" applyAlignment="1">
      <alignment horizontal="center" vertical="center" wrapText="1"/>
    </xf>
    <xf numFmtId="0" fontId="166" fillId="0" borderId="0" xfId="16" applyFont="1" applyAlignment="1">
      <alignment vertical="center"/>
    </xf>
    <xf numFmtId="0" fontId="6" fillId="0" borderId="0" xfId="16" applyFont="1" applyAlignment="1">
      <alignment vertical="center"/>
    </xf>
    <xf numFmtId="0" fontId="5" fillId="0" borderId="0" xfId="1" applyFont="1" applyAlignment="1">
      <alignment vertical="center"/>
    </xf>
    <xf numFmtId="0" fontId="5" fillId="0" borderId="0" xfId="16" applyFont="1" applyAlignment="1">
      <alignment horizontal="right" vertical="center"/>
    </xf>
    <xf numFmtId="0" fontId="5" fillId="0" borderId="0" xfId="16" applyFont="1" applyAlignment="1">
      <alignment horizontal="left" vertical="center" wrapText="1"/>
    </xf>
    <xf numFmtId="0" fontId="27" fillId="0" borderId="0" xfId="16" applyFont="1" applyAlignment="1">
      <alignment horizontal="center" vertical="center"/>
    </xf>
    <xf numFmtId="0" fontId="14" fillId="2" borderId="0" xfId="1337" applyFont="1" applyFill="1">
      <alignment vertical="center"/>
    </xf>
    <xf numFmtId="0" fontId="6" fillId="0" borderId="0" xfId="1337" applyFont="1" applyAlignment="1">
      <alignment horizontal="right" vertical="center"/>
    </xf>
    <xf numFmtId="0" fontId="12" fillId="3" borderId="69" xfId="1337" applyFont="1" applyFill="1" applyBorder="1" applyAlignment="1">
      <alignment horizontal="center" vertical="center" wrapText="1"/>
    </xf>
    <xf numFmtId="0" fontId="6" fillId="2" borderId="0" xfId="1337" applyFont="1" applyFill="1">
      <alignment vertical="center"/>
    </xf>
    <xf numFmtId="49" fontId="5" fillId="0" borderId="0" xfId="68" applyNumberFormat="1" applyAlignment="1">
      <alignment horizontal="left" vertical="center"/>
    </xf>
    <xf numFmtId="0" fontId="9" fillId="0" borderId="0" xfId="1337" applyFont="1" applyAlignment="1">
      <alignment horizontal="right" vertical="center"/>
    </xf>
    <xf numFmtId="0" fontId="9" fillId="0" borderId="62" xfId="69" applyFont="1" applyBorder="1" applyAlignment="1">
      <alignment horizontal="right" vertical="center"/>
    </xf>
    <xf numFmtId="0" fontId="23" fillId="0" borderId="63" xfId="69" applyFont="1" applyBorder="1" applyAlignment="1">
      <alignment vertical="center"/>
    </xf>
    <xf numFmtId="0" fontId="6" fillId="0" borderId="63" xfId="69" applyFont="1" applyBorder="1" applyAlignment="1">
      <alignment vertical="center"/>
    </xf>
    <xf numFmtId="0" fontId="6" fillId="2" borderId="64" xfId="1337" applyFont="1" applyFill="1" applyBorder="1">
      <alignment vertical="center"/>
    </xf>
    <xf numFmtId="0" fontId="9" fillId="0" borderId="65" xfId="69" applyFont="1" applyBorder="1" applyAlignment="1">
      <alignment horizontal="right" vertical="center"/>
    </xf>
    <xf numFmtId="0" fontId="23" fillId="57" borderId="0" xfId="69" applyFont="1" applyFill="1" applyAlignment="1">
      <alignment vertical="center"/>
    </xf>
    <xf numFmtId="0" fontId="23" fillId="57" borderId="0" xfId="69" applyFont="1" applyFill="1" applyAlignment="1">
      <alignment horizontal="center" vertical="center"/>
    </xf>
    <xf numFmtId="0" fontId="6" fillId="2" borderId="66" xfId="1337" applyFont="1" applyFill="1" applyBorder="1">
      <alignment vertical="center"/>
    </xf>
    <xf numFmtId="0" fontId="5" fillId="0" borderId="0" xfId="69" applyFont="1" applyAlignment="1">
      <alignment horizontal="left" vertical="center" shrinkToFit="1"/>
    </xf>
    <xf numFmtId="177" fontId="5" fillId="0" borderId="0" xfId="69" applyNumberFormat="1" applyFont="1" applyAlignment="1">
      <alignment horizontal="left" vertical="center" shrinkToFit="1"/>
    </xf>
    <xf numFmtId="177" fontId="5" fillId="0" borderId="0" xfId="69" applyNumberFormat="1" applyFont="1" applyAlignment="1">
      <alignment horizontal="right" vertical="center" shrinkToFit="1"/>
    </xf>
    <xf numFmtId="0" fontId="6" fillId="2" borderId="0" xfId="1337" applyFont="1" applyFill="1" applyAlignment="1">
      <alignment horizontal="right" vertical="center"/>
    </xf>
    <xf numFmtId="0" fontId="23" fillId="0" borderId="65" xfId="69" applyFont="1" applyBorder="1" applyAlignment="1">
      <alignment horizontal="right" vertical="center"/>
    </xf>
    <xf numFmtId="0" fontId="23" fillId="0" borderId="0" xfId="69" applyFont="1" applyAlignment="1">
      <alignment vertical="center"/>
    </xf>
    <xf numFmtId="177" fontId="6" fillId="0" borderId="19" xfId="69" applyNumberFormat="1" applyFont="1" applyBorder="1" applyAlignment="1">
      <alignment horizontal="right" vertical="center" shrinkToFit="1"/>
    </xf>
    <xf numFmtId="0" fontId="139" fillId="2" borderId="66" xfId="1337" applyFont="1" applyFill="1" applyBorder="1">
      <alignment vertical="center"/>
    </xf>
    <xf numFmtId="0" fontId="6" fillId="0" borderId="0" xfId="69" applyFont="1" applyAlignment="1">
      <alignment vertical="center"/>
    </xf>
    <xf numFmtId="0" fontId="9" fillId="0" borderId="0" xfId="69" applyFont="1" applyAlignment="1">
      <alignment horizontal="right" vertical="center"/>
    </xf>
    <xf numFmtId="0" fontId="119" fillId="2" borderId="66" xfId="1337" applyFont="1" applyFill="1" applyBorder="1">
      <alignment vertical="center"/>
    </xf>
    <xf numFmtId="0" fontId="23" fillId="57" borderId="0" xfId="69" applyFont="1" applyFill="1" applyAlignment="1">
      <alignment vertical="center" wrapText="1"/>
    </xf>
    <xf numFmtId="177" fontId="23" fillId="57" borderId="0" xfId="69" applyNumberFormat="1" applyFont="1" applyFill="1" applyAlignment="1">
      <alignment horizontal="right" vertical="center" shrinkToFit="1"/>
    </xf>
    <xf numFmtId="0" fontId="13" fillId="57" borderId="66" xfId="1337" applyFont="1" applyFill="1" applyBorder="1" applyAlignment="1">
      <alignment horizontal="center" vertical="center"/>
    </xf>
    <xf numFmtId="177" fontId="6" fillId="2" borderId="0" xfId="69" applyNumberFormat="1" applyFont="1" applyFill="1" applyAlignment="1">
      <alignment horizontal="right" vertical="center" shrinkToFit="1"/>
    </xf>
    <xf numFmtId="0" fontId="8" fillId="2" borderId="66" xfId="1337" applyFont="1" applyFill="1" applyBorder="1">
      <alignment vertical="center"/>
    </xf>
    <xf numFmtId="0" fontId="121" fillId="0" borderId="0" xfId="69" applyFont="1" applyAlignment="1">
      <alignment horizontal="left" vertical="center" indent="2"/>
    </xf>
    <xf numFmtId="0" fontId="23" fillId="0" borderId="0" xfId="69" applyFont="1" applyAlignment="1">
      <alignment horizontal="left" vertical="center" shrinkToFit="1"/>
    </xf>
    <xf numFmtId="0" fontId="23" fillId="2" borderId="0" xfId="69" applyFont="1" applyFill="1" applyAlignment="1">
      <alignment horizontal="left" vertical="center" shrinkToFit="1"/>
    </xf>
    <xf numFmtId="177" fontId="5" fillId="0" borderId="66" xfId="69" applyNumberFormat="1" applyFont="1" applyBorder="1" applyAlignment="1">
      <alignment horizontal="right" vertical="center" shrinkToFit="1"/>
    </xf>
    <xf numFmtId="0" fontId="6" fillId="0" borderId="0" xfId="69" applyFont="1" applyAlignment="1">
      <alignment horizontal="left" vertical="center" shrinkToFit="1"/>
    </xf>
    <xf numFmtId="0" fontId="6" fillId="2" borderId="0" xfId="69" applyFont="1" applyFill="1" applyAlignment="1">
      <alignment horizontal="left" vertical="center" shrinkToFit="1"/>
    </xf>
    <xf numFmtId="0" fontId="6" fillId="0" borderId="65" xfId="69" applyFont="1" applyBorder="1" applyAlignment="1">
      <alignment horizontal="right" vertical="center"/>
    </xf>
    <xf numFmtId="0" fontId="120" fillId="0" borderId="0" xfId="69" applyFont="1" applyAlignment="1">
      <alignment horizontal="left" vertical="center" indent="2"/>
    </xf>
    <xf numFmtId="0" fontId="9" fillId="0" borderId="0" xfId="69" applyFont="1" applyAlignment="1">
      <alignment horizontal="left" vertical="center" shrinkToFit="1"/>
    </xf>
    <xf numFmtId="0" fontId="168" fillId="2" borderId="0" xfId="69" applyFont="1" applyFill="1" applyAlignment="1">
      <alignment horizontal="left" vertical="center" wrapText="1"/>
    </xf>
    <xf numFmtId="43" fontId="6" fillId="0" borderId="66" xfId="69" applyNumberFormat="1" applyFont="1" applyBorder="1" applyAlignment="1">
      <alignment horizontal="right" vertical="center" shrinkToFit="1"/>
    </xf>
    <xf numFmtId="43" fontId="6" fillId="0" borderId="70" xfId="69" applyNumberFormat="1" applyFont="1" applyBorder="1" applyAlignment="1">
      <alignment horizontal="right" vertical="center" shrinkToFit="1"/>
    </xf>
    <xf numFmtId="0" fontId="9" fillId="0" borderId="0" xfId="69" applyFont="1" applyAlignment="1">
      <alignment vertical="center"/>
    </xf>
    <xf numFmtId="0" fontId="6" fillId="2" borderId="0" xfId="69" applyFont="1" applyFill="1" applyAlignment="1">
      <alignment vertical="center"/>
    </xf>
    <xf numFmtId="43" fontId="9" fillId="0" borderId="66" xfId="1338" applyNumberFormat="1" applyFont="1" applyBorder="1" applyAlignment="1" applyProtection="1">
      <alignment horizontal="right" vertical="center"/>
    </xf>
    <xf numFmtId="0" fontId="27" fillId="0" borderId="65" xfId="69" applyFont="1" applyBorder="1" applyAlignment="1">
      <alignment horizontal="right" vertical="center"/>
    </xf>
    <xf numFmtId="0" fontId="12" fillId="0" borderId="0" xfId="69" applyFont="1" applyAlignment="1">
      <alignment horizontal="left" vertical="center"/>
    </xf>
    <xf numFmtId="0" fontId="27" fillId="2" borderId="0" xfId="1337" applyFont="1" applyFill="1">
      <alignment vertical="center"/>
    </xf>
    <xf numFmtId="43" fontId="6" fillId="0" borderId="71" xfId="69" applyNumberFormat="1" applyFont="1" applyBorder="1" applyAlignment="1">
      <alignment horizontal="right" vertical="center" shrinkToFit="1"/>
    </xf>
    <xf numFmtId="0" fontId="6" fillId="0" borderId="0" xfId="69" applyFont="1" applyAlignment="1">
      <alignment horizontal="left" vertical="center"/>
    </xf>
    <xf numFmtId="0" fontId="13" fillId="0" borderId="0" xfId="69" applyFont="1" applyAlignment="1">
      <alignment horizontal="left" vertical="center"/>
    </xf>
    <xf numFmtId="0" fontId="23" fillId="0" borderId="0" xfId="69" applyFont="1" applyAlignment="1">
      <alignment horizontal="center" vertical="center"/>
    </xf>
    <xf numFmtId="0" fontId="120" fillId="0" borderId="0" xfId="69" applyFont="1" applyAlignment="1">
      <alignment vertical="center"/>
    </xf>
    <xf numFmtId="177" fontId="6" fillId="0" borderId="0" xfId="69" applyNumberFormat="1" applyFont="1" applyAlignment="1">
      <alignment horizontal="right" vertical="center" shrinkToFit="1"/>
    </xf>
    <xf numFmtId="0" fontId="27" fillId="0" borderId="0" xfId="69" applyFont="1" applyAlignment="1">
      <alignment vertical="center"/>
    </xf>
    <xf numFmtId="177" fontId="6" fillId="0" borderId="8" xfId="69" applyNumberFormat="1" applyFont="1" applyBorder="1" applyAlignment="1">
      <alignment horizontal="right" vertical="center" shrinkToFit="1"/>
    </xf>
    <xf numFmtId="0" fontId="6" fillId="0" borderId="65" xfId="1337" applyFont="1" applyBorder="1" applyAlignment="1">
      <alignment horizontal="right" vertical="center"/>
    </xf>
    <xf numFmtId="0" fontId="23" fillId="0" borderId="0" xfId="1337" applyFont="1">
      <alignment vertical="center"/>
    </xf>
    <xf numFmtId="43" fontId="6" fillId="0" borderId="19" xfId="1337" applyNumberFormat="1" applyFont="1" applyBorder="1" applyAlignment="1">
      <alignment horizontal="right" vertical="center" shrinkToFit="1"/>
    </xf>
    <xf numFmtId="177" fontId="6" fillId="0" borderId="19" xfId="1337" applyNumberFormat="1" applyFont="1" applyBorder="1" applyAlignment="1">
      <alignment horizontal="right" vertical="center" shrinkToFit="1"/>
    </xf>
    <xf numFmtId="0" fontId="6" fillId="0" borderId="0" xfId="1337" applyFont="1">
      <alignment vertical="center"/>
    </xf>
    <xf numFmtId="0" fontId="9" fillId="0" borderId="0" xfId="1337" applyFont="1" applyAlignment="1">
      <alignment horizontal="center" vertical="center"/>
    </xf>
    <xf numFmtId="0" fontId="23" fillId="0" borderId="65" xfId="1337" applyFont="1" applyBorder="1">
      <alignment vertical="center"/>
    </xf>
    <xf numFmtId="0" fontId="13" fillId="0" borderId="0" xfId="1337" applyFont="1">
      <alignment vertical="center"/>
    </xf>
    <xf numFmtId="0" fontId="9" fillId="0" borderId="66" xfId="1337" applyFont="1" applyBorder="1" applyAlignment="1">
      <alignment horizontal="center" vertical="center"/>
    </xf>
    <xf numFmtId="43" fontId="6" fillId="0" borderId="72" xfId="1337" applyNumberFormat="1" applyFont="1" applyBorder="1">
      <alignment vertical="center"/>
    </xf>
    <xf numFmtId="0" fontId="169" fillId="2" borderId="0" xfId="1337" applyFont="1" applyFill="1">
      <alignment vertical="center"/>
    </xf>
    <xf numFmtId="0" fontId="6" fillId="2" borderId="65" xfId="1337" applyFont="1" applyFill="1" applyBorder="1" applyAlignment="1">
      <alignment horizontal="right" vertical="center"/>
    </xf>
    <xf numFmtId="0" fontId="6" fillId="2" borderId="67" xfId="1337" applyFont="1" applyFill="1" applyBorder="1">
      <alignment vertical="center"/>
    </xf>
    <xf numFmtId="0" fontId="6" fillId="2" borderId="2" xfId="1337" applyFont="1" applyFill="1" applyBorder="1">
      <alignment vertical="center"/>
    </xf>
    <xf numFmtId="0" fontId="6" fillId="2" borderId="68" xfId="1337" applyFont="1" applyFill="1" applyBorder="1">
      <alignment vertical="center"/>
    </xf>
    <xf numFmtId="0" fontId="28" fillId="0" borderId="0" xfId="1" applyFont="1" applyAlignment="1">
      <alignment vertical="center"/>
    </xf>
    <xf numFmtId="0" fontId="9" fillId="0" borderId="0" xfId="16" applyFont="1" applyAlignment="1">
      <alignment horizontal="right" vertical="center"/>
    </xf>
    <xf numFmtId="0" fontId="12" fillId="0" borderId="0" xfId="16" applyFont="1" applyAlignment="1">
      <alignment horizontal="left" vertical="center"/>
    </xf>
    <xf numFmtId="0" fontId="5" fillId="0" borderId="0" xfId="1" applyFont="1" applyAlignment="1">
      <alignment horizontal="right" vertical="center"/>
    </xf>
    <xf numFmtId="0" fontId="12" fillId="51" borderId="73" xfId="1336" applyFont="1" applyFill="1" applyBorder="1" applyAlignment="1">
      <alignment horizontal="left" vertical="center"/>
    </xf>
    <xf numFmtId="0" fontId="12" fillId="51" borderId="74" xfId="1336" applyFont="1" applyFill="1" applyBorder="1" applyAlignment="1">
      <alignment horizontal="left" vertical="center"/>
    </xf>
    <xf numFmtId="0" fontId="12" fillId="51" borderId="75" xfId="1336" applyFont="1" applyFill="1" applyBorder="1" applyAlignment="1">
      <alignment horizontal="left" vertical="center"/>
    </xf>
    <xf numFmtId="0" fontId="27" fillId="0" borderId="0" xfId="16" applyFont="1" applyAlignment="1">
      <alignment vertical="center"/>
    </xf>
    <xf numFmtId="0" fontId="12" fillId="0" borderId="0" xfId="16" applyFont="1" applyAlignment="1">
      <alignment horizontal="right" vertical="center"/>
    </xf>
    <xf numFmtId="0" fontId="5" fillId="0" borderId="76" xfId="1337" applyFont="1" applyBorder="1">
      <alignment vertical="center"/>
    </xf>
    <xf numFmtId="0" fontId="5" fillId="0" borderId="0" xfId="1337" applyFont="1">
      <alignment vertical="center"/>
    </xf>
    <xf numFmtId="0" fontId="12" fillId="0" borderId="0" xfId="1337" applyFont="1">
      <alignment vertical="center"/>
    </xf>
    <xf numFmtId="0" fontId="5" fillId="0" borderId="77" xfId="16" applyFont="1" applyBorder="1" applyAlignment="1">
      <alignment vertical="center"/>
    </xf>
    <xf numFmtId="0" fontId="5" fillId="0" borderId="78" xfId="1337" applyFont="1" applyBorder="1">
      <alignment vertical="center"/>
    </xf>
    <xf numFmtId="0" fontId="5" fillId="0" borderId="79" xfId="1337" applyFont="1" applyBorder="1">
      <alignment vertical="center"/>
    </xf>
    <xf numFmtId="0" fontId="12" fillId="0" borderId="79" xfId="1337" applyFont="1" applyBorder="1">
      <alignment vertical="center"/>
    </xf>
    <xf numFmtId="0" fontId="5" fillId="0" borderId="80" xfId="16" applyFont="1" applyBorder="1" applyAlignment="1">
      <alignment vertical="center"/>
    </xf>
    <xf numFmtId="0" fontId="9" fillId="0" borderId="0" xfId="1337" applyFont="1">
      <alignment vertical="center"/>
    </xf>
    <xf numFmtId="0" fontId="9" fillId="0" borderId="0" xfId="16" applyFont="1" applyAlignment="1">
      <alignment horizontal="center" vertical="center"/>
    </xf>
    <xf numFmtId="0" fontId="9" fillId="51" borderId="81" xfId="1" applyFont="1" applyFill="1" applyBorder="1" applyAlignment="1">
      <alignment horizontal="center" vertical="center"/>
    </xf>
    <xf numFmtId="0" fontId="9" fillId="51" borderId="82" xfId="1" applyFont="1" applyFill="1" applyBorder="1" applyAlignment="1">
      <alignment horizontal="center" vertical="center"/>
    </xf>
    <xf numFmtId="0" fontId="9" fillId="51" borderId="83" xfId="1" applyFont="1" applyFill="1" applyBorder="1" applyAlignment="1">
      <alignment horizontal="center" vertical="center"/>
    </xf>
    <xf numFmtId="0" fontId="12" fillId="0" borderId="0" xfId="1" applyFont="1" applyAlignment="1">
      <alignment horizontal="right" vertical="center"/>
    </xf>
    <xf numFmtId="0" fontId="12" fillId="53" borderId="84" xfId="8" applyFont="1" applyFill="1" applyBorder="1" applyAlignment="1">
      <alignment horizontal="center" vertical="center" wrapText="1"/>
    </xf>
    <xf numFmtId="0" fontId="12" fillId="51" borderId="85" xfId="8" applyFont="1" applyFill="1" applyBorder="1" applyAlignment="1">
      <alignment horizontal="center" vertical="center" wrapText="1"/>
    </xf>
    <xf numFmtId="0" fontId="12" fillId="53" borderId="86" xfId="1335" applyFont="1" applyFill="1" applyBorder="1" applyAlignment="1">
      <alignment horizontal="center" vertical="center" wrapText="1"/>
    </xf>
    <xf numFmtId="0" fontId="12" fillId="51" borderId="87" xfId="1335" applyFont="1" applyFill="1" applyBorder="1" applyAlignment="1">
      <alignment horizontal="center" vertical="center" wrapText="1"/>
    </xf>
    <xf numFmtId="0" fontId="12" fillId="52" borderId="63" xfId="1335" applyFont="1" applyFill="1" applyBorder="1" applyAlignment="1">
      <alignment horizontal="center" vertical="center" wrapText="1"/>
    </xf>
    <xf numFmtId="0" fontId="13" fillId="52" borderId="88" xfId="1335" applyFont="1" applyFill="1" applyBorder="1" applyAlignment="1">
      <alignment horizontal="center" vertical="center" wrapText="1"/>
    </xf>
    <xf numFmtId="0" fontId="12" fillId="51" borderId="89" xfId="1335" applyFont="1" applyFill="1" applyBorder="1" applyAlignment="1">
      <alignment horizontal="center" vertical="center" wrapText="1"/>
    </xf>
    <xf numFmtId="0" fontId="12" fillId="52" borderId="90" xfId="1335" applyFont="1" applyFill="1" applyBorder="1" applyAlignment="1">
      <alignment horizontal="center" vertical="center" wrapText="1"/>
    </xf>
    <xf numFmtId="0" fontId="12" fillId="53" borderId="91" xfId="8" applyFont="1" applyFill="1" applyBorder="1" applyAlignment="1">
      <alignment horizontal="center" vertical="center" wrapText="1"/>
    </xf>
    <xf numFmtId="0" fontId="12" fillId="53" borderId="85" xfId="8" applyFont="1" applyFill="1" applyBorder="1" applyAlignment="1">
      <alignment horizontal="center" vertical="center" wrapText="1"/>
    </xf>
    <xf numFmtId="0" fontId="12" fillId="53" borderId="92" xfId="8" applyFont="1" applyFill="1" applyBorder="1" applyAlignment="1">
      <alignment horizontal="center" vertical="center" wrapText="1"/>
    </xf>
    <xf numFmtId="0" fontId="12" fillId="53" borderId="93" xfId="8" applyFont="1" applyFill="1" applyBorder="1" applyAlignment="1">
      <alignment horizontal="center" vertical="center" wrapText="1"/>
    </xf>
    <xf numFmtId="0" fontId="12" fillId="0" borderId="0" xfId="1" applyFont="1" applyAlignment="1">
      <alignment vertical="center"/>
    </xf>
    <xf numFmtId="0" fontId="12" fillId="0" borderId="0" xfId="16" applyFont="1" applyAlignment="1">
      <alignment vertical="center"/>
    </xf>
    <xf numFmtId="0" fontId="5" fillId="0" borderId="94" xfId="1" applyFont="1" applyBorder="1" applyAlignment="1">
      <alignment horizontal="left" vertical="center"/>
    </xf>
    <xf numFmtId="0" fontId="5" fillId="0" borderId="28" xfId="1" applyFont="1" applyBorder="1" applyAlignment="1">
      <alignment horizontal="left" vertical="center"/>
    </xf>
    <xf numFmtId="14" fontId="5" fillId="0" borderId="28" xfId="16" applyNumberFormat="1" applyFont="1" applyBorder="1" applyAlignment="1">
      <alignment horizontal="left" vertical="center" shrinkToFit="1"/>
    </xf>
    <xf numFmtId="0" fontId="5" fillId="0" borderId="28" xfId="16" applyFont="1" applyBorder="1" applyAlignment="1">
      <alignment horizontal="left" vertical="center" shrinkToFit="1"/>
    </xf>
    <xf numFmtId="177" fontId="5" fillId="0" borderId="28" xfId="16" applyNumberFormat="1" applyFont="1" applyBorder="1" applyAlignment="1">
      <alignment horizontal="right" vertical="center" shrinkToFit="1"/>
    </xf>
    <xf numFmtId="43" fontId="5" fillId="0" borderId="95" xfId="16" applyNumberFormat="1" applyFont="1" applyBorder="1" applyAlignment="1">
      <alignment horizontal="right" vertical="center" shrinkToFit="1"/>
    </xf>
    <xf numFmtId="49" fontId="5" fillId="0" borderId="31" xfId="16" applyNumberFormat="1" applyFont="1" applyBorder="1" applyAlignment="1">
      <alignment horizontal="left" vertical="center" shrinkToFit="1"/>
    </xf>
    <xf numFmtId="49" fontId="5" fillId="0" borderId="28" xfId="16" applyNumberFormat="1" applyFont="1" applyBorder="1" applyAlignment="1">
      <alignment horizontal="left" vertical="center" shrinkToFit="1"/>
    </xf>
    <xf numFmtId="49" fontId="5" fillId="0" borderId="96" xfId="16" applyNumberFormat="1" applyFont="1" applyBorder="1" applyAlignment="1">
      <alignment horizontal="left" vertical="center" shrinkToFit="1"/>
    </xf>
    <xf numFmtId="49" fontId="5" fillId="0" borderId="97" xfId="16" applyNumberFormat="1" applyFont="1" applyBorder="1" applyAlignment="1">
      <alignment horizontal="left" vertical="center" shrinkToFit="1"/>
    </xf>
    <xf numFmtId="0" fontId="5" fillId="0" borderId="94" xfId="16" applyFont="1" applyBorder="1" applyAlignment="1">
      <alignment horizontal="left" vertical="center" shrinkToFit="1"/>
    </xf>
    <xf numFmtId="0" fontId="5" fillId="0" borderId="0" xfId="16" applyFont="1" applyAlignment="1">
      <alignment horizontal="left" vertical="center"/>
    </xf>
    <xf numFmtId="0" fontId="5" fillId="0" borderId="98" xfId="1" applyFont="1" applyBorder="1" applyAlignment="1">
      <alignment horizontal="left" vertical="center"/>
    </xf>
    <xf numFmtId="0" fontId="5" fillId="0" borderId="99" xfId="1" applyFont="1" applyBorder="1" applyAlignment="1">
      <alignment horizontal="left" vertical="center"/>
    </xf>
    <xf numFmtId="14" fontId="5" fillId="0" borderId="99" xfId="16" applyNumberFormat="1" applyFont="1" applyBorder="1" applyAlignment="1">
      <alignment horizontal="left" vertical="center" shrinkToFit="1"/>
    </xf>
    <xf numFmtId="0" fontId="5" fillId="0" borderId="99" xfId="16" applyFont="1" applyBorder="1" applyAlignment="1">
      <alignment horizontal="left" vertical="center" shrinkToFit="1"/>
    </xf>
    <xf numFmtId="177" fontId="5" fillId="0" borderId="99" xfId="16" applyNumberFormat="1" applyFont="1" applyBorder="1" applyAlignment="1">
      <alignment horizontal="right" vertical="center" shrinkToFit="1"/>
    </xf>
    <xf numFmtId="43" fontId="5" fillId="0" borderId="100" xfId="16" applyNumberFormat="1" applyFont="1" applyBorder="1" applyAlignment="1">
      <alignment horizontal="right" vertical="center" shrinkToFit="1"/>
    </xf>
    <xf numFmtId="49" fontId="5" fillId="0" borderId="101" xfId="16" applyNumberFormat="1" applyFont="1" applyBorder="1" applyAlignment="1">
      <alignment horizontal="left" vertical="center" shrinkToFit="1"/>
    </xf>
    <xf numFmtId="49" fontId="5" fillId="0" borderId="99" xfId="16" applyNumberFormat="1" applyFont="1" applyBorder="1" applyAlignment="1">
      <alignment horizontal="left" vertical="center" shrinkToFit="1"/>
    </xf>
    <xf numFmtId="49" fontId="5" fillId="0" borderId="102" xfId="16" applyNumberFormat="1" applyFont="1" applyBorder="1" applyAlignment="1">
      <alignment horizontal="left" vertical="center" shrinkToFit="1"/>
    </xf>
    <xf numFmtId="49" fontId="5" fillId="0" borderId="103" xfId="16" applyNumberFormat="1" applyFont="1" applyBorder="1" applyAlignment="1">
      <alignment horizontal="left" vertical="center" shrinkToFit="1"/>
    </xf>
    <xf numFmtId="49" fontId="5" fillId="0" borderId="0" xfId="16" applyNumberFormat="1" applyFont="1" applyAlignment="1">
      <alignment horizontal="left" vertical="center" shrinkToFit="1"/>
    </xf>
    <xf numFmtId="0" fontId="9" fillId="0" borderId="0" xfId="8" applyFont="1" applyAlignment="1">
      <alignment horizontal="left" vertical="center"/>
    </xf>
    <xf numFmtId="0" fontId="14" fillId="0" borderId="0" xfId="16" applyFont="1" applyAlignment="1">
      <alignment vertical="center"/>
    </xf>
    <xf numFmtId="0" fontId="155" fillId="0" borderId="104" xfId="8" applyFont="1" applyBorder="1" applyAlignment="1">
      <alignment horizontal="left" vertical="center" wrapText="1"/>
    </xf>
    <xf numFmtId="0" fontId="155" fillId="0" borderId="63" xfId="8" applyFont="1" applyBorder="1" applyAlignment="1">
      <alignment horizontal="left" vertical="center"/>
    </xf>
    <xf numFmtId="0" fontId="155" fillId="0" borderId="90" xfId="8" applyFont="1" applyBorder="1" applyAlignment="1">
      <alignment horizontal="left" vertical="center"/>
    </xf>
    <xf numFmtId="0" fontId="155" fillId="0" borderId="65" xfId="8" applyFont="1" applyBorder="1" applyAlignment="1">
      <alignment horizontal="left" vertical="center"/>
    </xf>
    <xf numFmtId="0" fontId="155" fillId="0" borderId="0" xfId="8" applyFont="1" applyAlignment="1">
      <alignment horizontal="left" vertical="center"/>
    </xf>
    <xf numFmtId="0" fontId="155" fillId="0" borderId="66" xfId="8" applyFont="1" applyBorder="1" applyAlignment="1">
      <alignment horizontal="left" vertical="center"/>
    </xf>
    <xf numFmtId="0" fontId="155" fillId="0" borderId="67" xfId="8" applyFont="1" applyBorder="1" applyAlignment="1">
      <alignment horizontal="left" vertical="center"/>
    </xf>
    <xf numFmtId="0" fontId="155" fillId="0" borderId="2" xfId="8" applyFont="1" applyBorder="1" applyAlignment="1">
      <alignment horizontal="left" vertical="center"/>
    </xf>
    <xf numFmtId="0" fontId="155" fillId="0" borderId="68" xfId="8" applyFont="1" applyBorder="1" applyAlignment="1">
      <alignment horizontal="left" vertical="center"/>
    </xf>
    <xf numFmtId="0" fontId="13" fillId="0" borderId="0" xfId="1335" applyFont="1" applyAlignment="1">
      <alignment vertical="center"/>
    </xf>
    <xf numFmtId="0" fontId="13" fillId="0" borderId="0" xfId="16" applyFont="1" applyAlignment="1">
      <alignment horizontal="left" vertical="center"/>
    </xf>
    <xf numFmtId="0" fontId="12" fillId="0" borderId="0" xfId="8" applyFont="1" applyAlignment="1">
      <alignment horizontal="center" vertical="center"/>
    </xf>
    <xf numFmtId="0" fontId="12" fillId="0" borderId="0" xfId="8" applyFont="1" applyAlignment="1">
      <alignment vertical="center"/>
    </xf>
    <xf numFmtId="0" fontId="5" fillId="0" borderId="0" xfId="16" applyFont="1" applyAlignment="1">
      <alignment horizontal="left" vertical="center" shrinkToFit="1"/>
    </xf>
    <xf numFmtId="43" fontId="5" fillId="0" borderId="0" xfId="8" applyNumberFormat="1" applyFont="1" applyAlignment="1">
      <alignment vertical="center"/>
    </xf>
    <xf numFmtId="0" fontId="155" fillId="0" borderId="63" xfId="8" applyFont="1" applyBorder="1" applyAlignment="1">
      <alignment horizontal="left" vertical="center" wrapText="1"/>
    </xf>
    <xf numFmtId="0" fontId="155" fillId="0" borderId="90" xfId="8" applyFont="1" applyBorder="1" applyAlignment="1">
      <alignment horizontal="left" vertical="center" wrapText="1"/>
    </xf>
    <xf numFmtId="0" fontId="155" fillId="0" borderId="65" xfId="8" applyFont="1" applyBorder="1" applyAlignment="1">
      <alignment horizontal="left" vertical="center" wrapText="1"/>
    </xf>
    <xf numFmtId="0" fontId="155" fillId="0" borderId="0" xfId="8" applyFont="1" applyAlignment="1">
      <alignment horizontal="left" vertical="center" wrapText="1"/>
    </xf>
    <xf numFmtId="0" fontId="155" fillId="0" borderId="66" xfId="8" applyFont="1" applyBorder="1" applyAlignment="1">
      <alignment horizontal="left" vertical="center" wrapText="1"/>
    </xf>
    <xf numFmtId="0" fontId="155" fillId="0" borderId="67" xfId="8" applyFont="1" applyBorder="1" applyAlignment="1">
      <alignment horizontal="left" vertical="center" wrapText="1"/>
    </xf>
    <xf numFmtId="0" fontId="155" fillId="0" borderId="2" xfId="8" applyFont="1" applyBorder="1" applyAlignment="1">
      <alignment horizontal="left" vertical="center" wrapText="1"/>
    </xf>
    <xf numFmtId="0" fontId="155" fillId="0" borderId="68" xfId="8" applyFont="1" applyBorder="1" applyAlignment="1">
      <alignment horizontal="left" vertical="center" wrapText="1"/>
    </xf>
    <xf numFmtId="0" fontId="5" fillId="0" borderId="0" xfId="8" applyFont="1" applyAlignment="1">
      <alignment horizontal="right" vertical="center"/>
    </xf>
    <xf numFmtId="0" fontId="6" fillId="0" borderId="76" xfId="1337" applyFont="1" applyBorder="1">
      <alignment vertical="center"/>
    </xf>
    <xf numFmtId="0" fontId="27" fillId="0" borderId="77" xfId="16" applyFont="1" applyBorder="1" applyAlignment="1">
      <alignment vertical="center"/>
    </xf>
    <xf numFmtId="0" fontId="6" fillId="0" borderId="78" xfId="1337" applyFont="1" applyBorder="1">
      <alignment vertical="center"/>
    </xf>
    <xf numFmtId="0" fontId="6" fillId="0" borderId="79" xfId="1337" applyFont="1" applyBorder="1">
      <alignment vertical="center"/>
    </xf>
    <xf numFmtId="0" fontId="23" fillId="0" borderId="79" xfId="1337" applyFont="1" applyBorder="1">
      <alignment vertical="center"/>
    </xf>
    <xf numFmtId="0" fontId="27" fillId="0" borderId="80" xfId="16" applyFont="1" applyBorder="1" applyAlignment="1">
      <alignment vertical="center"/>
    </xf>
    <xf numFmtId="0" fontId="12" fillId="0" borderId="0" xfId="8" applyFont="1" applyAlignment="1">
      <alignment horizontal="right" vertical="center"/>
    </xf>
    <xf numFmtId="0" fontId="12" fillId="53" borderId="105" xfId="8" applyFont="1" applyFill="1" applyBorder="1" applyAlignment="1">
      <alignment horizontal="center" vertical="center" wrapText="1"/>
    </xf>
    <xf numFmtId="0" fontId="12" fillId="53" borderId="106" xfId="8" applyFont="1" applyFill="1" applyBorder="1" applyAlignment="1">
      <alignment horizontal="center" vertical="center" wrapText="1"/>
    </xf>
    <xf numFmtId="0" fontId="9" fillId="53" borderId="107" xfId="8" applyFont="1" applyFill="1" applyBorder="1" applyAlignment="1">
      <alignment horizontal="right" vertical="center" wrapText="1"/>
    </xf>
    <xf numFmtId="0" fontId="9" fillId="53" borderId="107" xfId="8" applyFont="1" applyFill="1" applyBorder="1" applyAlignment="1">
      <alignment horizontal="center" vertical="center" wrapText="1"/>
    </xf>
    <xf numFmtId="0" fontId="12" fillId="53" borderId="108" xfId="8" applyFont="1" applyFill="1" applyBorder="1" applyAlignment="1">
      <alignment vertical="center" wrapText="1"/>
    </xf>
    <xf numFmtId="0" fontId="12" fillId="0" borderId="0" xfId="8" applyFont="1" applyAlignment="1">
      <alignment vertical="center" wrapText="1"/>
    </xf>
    <xf numFmtId="0" fontId="12" fillId="53" borderId="109" xfId="8" applyFont="1" applyFill="1" applyBorder="1" applyAlignment="1">
      <alignment horizontal="center" vertical="center" wrapText="1"/>
    </xf>
    <xf numFmtId="0" fontId="12" fillId="53" borderId="4" xfId="8" applyFont="1" applyFill="1" applyBorder="1" applyAlignment="1">
      <alignment horizontal="center" vertical="center" wrapText="1"/>
    </xf>
    <xf numFmtId="0" fontId="12" fillId="53" borderId="27" xfId="8" applyFont="1" applyFill="1" applyBorder="1" applyAlignment="1">
      <alignment horizontal="center" vertical="center" wrapText="1"/>
    </xf>
    <xf numFmtId="0" fontId="12" fillId="53" borderId="16" xfId="8" applyFont="1" applyFill="1" applyBorder="1" applyAlignment="1">
      <alignment horizontal="center" vertical="center" wrapText="1"/>
    </xf>
    <xf numFmtId="0" fontId="12" fillId="53" borderId="110" xfId="8" applyFont="1" applyFill="1" applyBorder="1" applyAlignment="1">
      <alignment horizontal="center" vertical="center" wrapText="1"/>
    </xf>
    <xf numFmtId="0" fontId="12" fillId="0" borderId="0" xfId="8" applyFont="1" applyAlignment="1">
      <alignment horizontal="center" vertical="center" wrapText="1"/>
    </xf>
    <xf numFmtId="0" fontId="5" fillId="0" borderId="111" xfId="1" applyFont="1" applyBorder="1" applyAlignment="1">
      <alignment horizontal="left" vertical="center"/>
    </xf>
    <xf numFmtId="14" fontId="5" fillId="0" borderId="16" xfId="16" applyNumberFormat="1" applyFont="1" applyBorder="1" applyAlignment="1">
      <alignment horizontal="left" vertical="center" shrinkToFit="1"/>
    </xf>
    <xf numFmtId="0" fontId="5" fillId="0" borderId="16" xfId="16" applyFont="1" applyBorder="1" applyAlignment="1">
      <alignment horizontal="left" vertical="center" shrinkToFit="1"/>
    </xf>
    <xf numFmtId="177" fontId="5" fillId="0" borderId="17" xfId="16" applyNumberFormat="1" applyFont="1" applyBorder="1" applyAlignment="1">
      <alignment horizontal="right" vertical="center" shrinkToFit="1"/>
    </xf>
    <xf numFmtId="49" fontId="6" fillId="0" borderId="16" xfId="16" applyNumberFormat="1" applyFont="1" applyBorder="1" applyAlignment="1">
      <alignment horizontal="left" vertical="center" shrinkToFit="1"/>
    </xf>
    <xf numFmtId="49" fontId="6" fillId="0" borderId="112" xfId="16" applyNumberFormat="1" applyFont="1" applyBorder="1" applyAlignment="1">
      <alignment horizontal="left" vertical="center" shrinkToFit="1"/>
    </xf>
    <xf numFmtId="0" fontId="5" fillId="0" borderId="0" xfId="8" applyFont="1" applyAlignment="1">
      <alignment vertical="center" wrapText="1"/>
    </xf>
    <xf numFmtId="0" fontId="5" fillId="0" borderId="113" xfId="1" applyFont="1" applyBorder="1" applyAlignment="1">
      <alignment horizontal="left" vertical="center"/>
    </xf>
    <xf numFmtId="14" fontId="5" fillId="0" borderId="24" xfId="16" applyNumberFormat="1" applyFont="1" applyBorder="1" applyAlignment="1">
      <alignment horizontal="left" vertical="center" shrinkToFit="1"/>
    </xf>
    <xf numFmtId="0" fontId="5" fillId="0" borderId="24" xfId="16" applyFont="1" applyBorder="1" applyAlignment="1">
      <alignment horizontal="left" vertical="center" shrinkToFit="1"/>
    </xf>
    <xf numFmtId="177" fontId="5" fillId="0" borderId="5" xfId="16" applyNumberFormat="1" applyFont="1" applyBorder="1" applyAlignment="1">
      <alignment horizontal="right" vertical="center" shrinkToFit="1"/>
    </xf>
    <xf numFmtId="0" fontId="5" fillId="0" borderId="114" xfId="1" applyFont="1" applyBorder="1" applyAlignment="1">
      <alignment horizontal="left" vertical="center"/>
    </xf>
    <xf numFmtId="14" fontId="5" fillId="0" borderId="115" xfId="16" applyNumberFormat="1" applyFont="1" applyBorder="1" applyAlignment="1">
      <alignment horizontal="left" vertical="center" shrinkToFit="1"/>
    </xf>
    <xf numFmtId="0" fontId="5" fillId="0" borderId="115" xfId="16" applyFont="1" applyBorder="1" applyAlignment="1">
      <alignment horizontal="left" vertical="center" shrinkToFit="1"/>
    </xf>
    <xf numFmtId="177" fontId="5" fillId="0" borderId="116" xfId="16" applyNumberFormat="1" applyFont="1" applyBorder="1" applyAlignment="1">
      <alignment horizontal="right" vertical="center" shrinkToFit="1"/>
    </xf>
    <xf numFmtId="49" fontId="6" fillId="0" borderId="115" xfId="16" applyNumberFormat="1" applyFont="1" applyBorder="1" applyAlignment="1">
      <alignment horizontal="left" vertical="center" shrinkToFit="1"/>
    </xf>
    <xf numFmtId="49" fontId="6" fillId="0" borderId="117" xfId="16" applyNumberFormat="1" applyFont="1" applyBorder="1" applyAlignment="1">
      <alignment horizontal="left" vertical="center" shrinkToFit="1"/>
    </xf>
    <xf numFmtId="0" fontId="5" fillId="0" borderId="0" xfId="16" applyFont="1" applyAlignment="1" applyProtection="1">
      <alignment vertical="center" wrapText="1"/>
      <protection locked="0"/>
    </xf>
    <xf numFmtId="0" fontId="5" fillId="0" borderId="0" xfId="16" applyFont="1" applyAlignment="1" applyProtection="1">
      <alignment vertical="center"/>
      <protection locked="0"/>
    </xf>
    <xf numFmtId="0" fontId="17" fillId="56" borderId="0" xfId="16" applyFont="1" applyFill="1" applyAlignment="1" applyProtection="1">
      <alignment vertical="center"/>
      <protection locked="0"/>
    </xf>
    <xf numFmtId="0" fontId="5" fillId="56" borderId="0" xfId="8" applyFont="1" applyFill="1" applyAlignment="1" applyProtection="1">
      <alignment horizontal="center" vertical="center"/>
      <protection locked="0"/>
    </xf>
    <xf numFmtId="0" fontId="5" fillId="56" borderId="0" xfId="8" applyFont="1" applyFill="1" applyAlignment="1">
      <alignment vertical="center"/>
    </xf>
    <xf numFmtId="0" fontId="160" fillId="0" borderId="104" xfId="66" applyFont="1" applyBorder="1" applyAlignment="1">
      <alignment vertical="center"/>
    </xf>
    <xf numFmtId="0" fontId="170" fillId="0" borderId="63" xfId="66" applyFont="1" applyBorder="1" applyAlignment="1">
      <alignment vertical="center"/>
    </xf>
    <xf numFmtId="0" fontId="170" fillId="0" borderId="90" xfId="66" applyFont="1" applyBorder="1" applyAlignment="1">
      <alignment vertical="center"/>
    </xf>
    <xf numFmtId="0" fontId="17" fillId="0" borderId="67" xfId="16" applyFont="1" applyBorder="1" applyAlignment="1">
      <alignment horizontal="center" vertical="center"/>
    </xf>
    <xf numFmtId="0" fontId="16" fillId="0" borderId="2" xfId="16" applyFont="1" applyBorder="1" applyAlignment="1" applyProtection="1">
      <alignment horizontal="left" vertical="center" wrapText="1"/>
      <protection locked="0"/>
    </xf>
    <xf numFmtId="0" fontId="17" fillId="0" borderId="2" xfId="8" applyFont="1" applyBorder="1" applyAlignment="1">
      <alignment horizontal="center" vertical="center" wrapText="1"/>
    </xf>
    <xf numFmtId="0" fontId="16" fillId="0" borderId="2" xfId="1" applyFont="1" applyBorder="1" applyAlignment="1">
      <alignment vertical="center"/>
    </xf>
    <xf numFmtId="0" fontId="166" fillId="0" borderId="68" xfId="16" applyFont="1" applyBorder="1" applyAlignment="1">
      <alignment vertical="center"/>
    </xf>
    <xf numFmtId="0" fontId="5" fillId="0" borderId="0" xfId="16" applyFont="1" applyAlignment="1" applyProtection="1">
      <alignment horizontal="left" vertical="center" wrapText="1"/>
      <protection locked="0"/>
    </xf>
    <xf numFmtId="0" fontId="27" fillId="0" borderId="0" xfId="16" applyFont="1" applyAlignment="1" applyProtection="1">
      <alignment horizontal="center" vertical="center"/>
      <protection locked="0"/>
    </xf>
    <xf numFmtId="0" fontId="12" fillId="3" borderId="118" xfId="1337" applyFont="1" applyFill="1" applyBorder="1" applyAlignment="1">
      <alignment horizontal="center" vertical="center" wrapText="1"/>
    </xf>
    <xf numFmtId="0" fontId="9" fillId="0" borderId="104" xfId="69" applyFont="1" applyBorder="1" applyAlignment="1">
      <alignment horizontal="right" vertical="center"/>
    </xf>
    <xf numFmtId="0" fontId="6" fillId="2" borderId="63" xfId="1337" applyFont="1" applyFill="1" applyBorder="1">
      <alignment vertical="center"/>
    </xf>
    <xf numFmtId="0" fontId="6" fillId="2" borderId="90" xfId="1337" applyFont="1" applyFill="1" applyBorder="1">
      <alignment vertical="center"/>
    </xf>
    <xf numFmtId="0" fontId="23" fillId="57" borderId="0" xfId="69" applyFont="1" applyFill="1" applyAlignment="1">
      <alignment horizontal="right" vertical="center" wrapText="1"/>
    </xf>
    <xf numFmtId="0" fontId="23" fillId="57" borderId="0" xfId="1337" applyFont="1" applyFill="1" applyAlignment="1">
      <alignment horizontal="center" vertical="center" wrapText="1"/>
    </xf>
    <xf numFmtId="0" fontId="12" fillId="57" borderId="0" xfId="8" applyFont="1" applyFill="1" applyAlignment="1">
      <alignment horizontal="center" vertical="center"/>
    </xf>
    <xf numFmtId="0" fontId="5" fillId="2" borderId="0" xfId="1337" applyFont="1" applyFill="1">
      <alignment vertical="center"/>
    </xf>
    <xf numFmtId="0" fontId="12" fillId="0" borderId="65" xfId="69" applyFont="1" applyBorder="1" applyAlignment="1">
      <alignment horizontal="right" vertical="center"/>
    </xf>
    <xf numFmtId="0" fontId="5" fillId="0" borderId="0" xfId="69" applyFont="1" applyAlignment="1">
      <alignment vertical="center"/>
    </xf>
    <xf numFmtId="0" fontId="5" fillId="2" borderId="0" xfId="69" applyFont="1" applyFill="1" applyAlignment="1">
      <alignment horizontal="left" vertical="center"/>
    </xf>
    <xf numFmtId="177" fontId="5" fillId="0" borderId="0" xfId="1337" applyNumberFormat="1" applyFont="1" applyAlignment="1">
      <alignment horizontal="right" vertical="center" shrinkToFit="1"/>
    </xf>
    <xf numFmtId="177" fontId="5" fillId="0" borderId="0" xfId="1338" applyFont="1" applyBorder="1" applyAlignment="1">
      <alignment vertical="center"/>
    </xf>
    <xf numFmtId="0" fontId="5" fillId="2" borderId="0" xfId="1337" applyFont="1" applyFill="1" applyAlignment="1">
      <alignment horizontal="center" vertical="center"/>
    </xf>
    <xf numFmtId="0" fontId="5" fillId="2" borderId="66" xfId="1337" applyFont="1" applyFill="1" applyBorder="1">
      <alignment vertical="center"/>
    </xf>
    <xf numFmtId="0" fontId="9" fillId="2" borderId="0" xfId="1337" applyFont="1" applyFill="1" applyAlignment="1">
      <alignment horizontal="center" vertical="center"/>
    </xf>
    <xf numFmtId="0" fontId="23" fillId="57" borderId="0" xfId="69" applyFont="1" applyFill="1" applyAlignment="1">
      <alignment horizontal="center" vertical="center" wrapText="1"/>
    </xf>
    <xf numFmtId="0" fontId="12" fillId="57" borderId="0" xfId="8" applyFont="1" applyFill="1" applyAlignment="1">
      <alignment horizontal="right" vertical="center"/>
    </xf>
    <xf numFmtId="0" fontId="6" fillId="2" borderId="65" xfId="1337" applyFont="1" applyFill="1" applyBorder="1">
      <alignment vertical="center"/>
    </xf>
    <xf numFmtId="177" fontId="6" fillId="0" borderId="0" xfId="1338" applyFont="1" applyBorder="1" applyAlignment="1">
      <alignment vertical="center"/>
    </xf>
    <xf numFmtId="0" fontId="120" fillId="0" borderId="0" xfId="69" applyFont="1" applyAlignment="1">
      <alignment horizontal="left" vertical="center"/>
    </xf>
    <xf numFmtId="177" fontId="23" fillId="2" borderId="0" xfId="69" applyNumberFormat="1" applyFont="1" applyFill="1" applyAlignment="1">
      <alignment horizontal="left" vertical="center"/>
    </xf>
    <xf numFmtId="177" fontId="23" fillId="0" borderId="0" xfId="69" applyNumberFormat="1" applyFont="1" applyAlignment="1">
      <alignment horizontal="left" vertical="center"/>
    </xf>
    <xf numFmtId="177" fontId="6" fillId="0" borderId="0" xfId="1338" applyFont="1" applyFill="1" applyBorder="1" applyAlignment="1">
      <alignment horizontal="right" vertical="center" shrinkToFit="1"/>
    </xf>
    <xf numFmtId="177" fontId="6" fillId="2" borderId="0" xfId="1338" applyFont="1" applyFill="1" applyBorder="1" applyAlignment="1">
      <alignment vertical="center"/>
    </xf>
    <xf numFmtId="0" fontId="9" fillId="2" borderId="66" xfId="1337" applyFont="1" applyFill="1" applyBorder="1">
      <alignment vertical="center"/>
    </xf>
    <xf numFmtId="0" fontId="27" fillId="2" borderId="0" xfId="69" applyFont="1" applyFill="1" applyAlignment="1">
      <alignment horizontal="left" vertical="center"/>
    </xf>
    <xf numFmtId="0" fontId="6" fillId="0" borderId="0" xfId="1337" applyFont="1" applyAlignment="1">
      <alignment horizontal="left" vertical="center"/>
    </xf>
    <xf numFmtId="177" fontId="6" fillId="0" borderId="0" xfId="1337" applyNumberFormat="1" applyFont="1" applyAlignment="1">
      <alignment horizontal="right" vertical="center" shrinkToFit="1"/>
    </xf>
    <xf numFmtId="0" fontId="168" fillId="2" borderId="0" xfId="69" applyFont="1" applyFill="1" applyAlignment="1">
      <alignment horizontal="left" vertical="center"/>
    </xf>
    <xf numFmtId="177" fontId="120" fillId="0" borderId="0" xfId="69" applyNumberFormat="1" applyFont="1" applyAlignment="1">
      <alignment horizontal="left" vertical="center" shrinkToFit="1"/>
    </xf>
    <xf numFmtId="0" fontId="23" fillId="0" borderId="0" xfId="69" applyFont="1" applyAlignment="1">
      <alignment horizontal="right" vertical="center" wrapText="1"/>
    </xf>
    <xf numFmtId="43" fontId="6" fillId="0" borderId="0" xfId="1337" applyNumberFormat="1" applyFont="1" applyAlignment="1">
      <alignment horizontal="right" vertical="center" shrinkToFit="1"/>
    </xf>
    <xf numFmtId="0" fontId="12" fillId="0" borderId="0" xfId="8" applyFont="1" applyAlignment="1">
      <alignment horizontal="center" vertical="center"/>
    </xf>
    <xf numFmtId="0" fontId="12" fillId="0" borderId="66" xfId="8" applyFont="1" applyBorder="1" applyAlignment="1">
      <alignment horizontal="center" vertical="center"/>
    </xf>
    <xf numFmtId="0" fontId="13" fillId="0" borderId="0" xfId="8" applyFont="1" applyAlignment="1">
      <alignment horizontal="center" vertical="center"/>
    </xf>
    <xf numFmtId="0" fontId="13" fillId="0" borderId="66" xfId="8" applyFont="1" applyBorder="1" applyAlignment="1">
      <alignment horizontal="center" vertical="center"/>
    </xf>
    <xf numFmtId="177" fontId="5" fillId="0" borderId="0" xfId="8" applyNumberFormat="1" applyFont="1" applyAlignment="1">
      <alignment horizontal="right" vertical="center" shrinkToFit="1"/>
    </xf>
    <xf numFmtId="213" fontId="5" fillId="58" borderId="0" xfId="8" applyNumberFormat="1" applyFont="1" applyFill="1" applyAlignment="1">
      <alignment horizontal="right" vertical="center"/>
    </xf>
    <xf numFmtId="213" fontId="5" fillId="58" borderId="66" xfId="8" applyNumberFormat="1" applyFont="1" applyFill="1" applyBorder="1" applyAlignment="1">
      <alignment horizontal="right" vertical="center"/>
    </xf>
    <xf numFmtId="43" fontId="6" fillId="0" borderId="70" xfId="1337" applyNumberFormat="1" applyFont="1" applyBorder="1" applyAlignment="1">
      <alignment horizontal="right" vertical="center" shrinkToFit="1"/>
    </xf>
    <xf numFmtId="0" fontId="9" fillId="2" borderId="66" xfId="1337" applyFont="1" applyFill="1" applyBorder="1" applyAlignment="1">
      <alignment horizontal="center" vertical="center"/>
    </xf>
    <xf numFmtId="0" fontId="9" fillId="0" borderId="65" xfId="1337" applyFont="1" applyBorder="1" applyAlignment="1">
      <alignment horizontal="right" vertical="center"/>
    </xf>
    <xf numFmtId="0" fontId="23" fillId="0" borderId="0" xfId="69" applyFont="1" applyAlignment="1">
      <alignment horizontal="right" vertical="center"/>
    </xf>
    <xf numFmtId="0" fontId="23" fillId="2" borderId="0" xfId="1337" applyFont="1" applyFill="1" applyAlignment="1">
      <alignment horizontal="right" vertical="center"/>
    </xf>
    <xf numFmtId="43" fontId="6" fillId="0" borderId="19" xfId="1337" applyNumberFormat="1" applyFont="1" applyBorder="1">
      <alignment vertical="center"/>
    </xf>
    <xf numFmtId="0" fontId="139" fillId="2" borderId="0" xfId="1337" applyFont="1" applyFill="1">
      <alignment vertical="center"/>
    </xf>
    <xf numFmtId="43" fontId="6" fillId="0" borderId="0" xfId="1337" applyNumberFormat="1" applyFont="1">
      <alignment vertical="center"/>
    </xf>
    <xf numFmtId="0" fontId="5" fillId="0" borderId="0" xfId="8" applyFont="1" applyAlignment="1">
      <alignment horizontal="left" vertical="center" wrapText="1"/>
    </xf>
    <xf numFmtId="0" fontId="9" fillId="0" borderId="0" xfId="16" applyFont="1" applyAlignment="1" applyProtection="1">
      <alignment horizontal="center" vertical="center"/>
      <protection locked="0"/>
    </xf>
    <xf numFmtId="0" fontId="12" fillId="0" borderId="0" xfId="16" applyFont="1" applyAlignment="1" applyProtection="1">
      <alignment horizontal="left" vertical="center"/>
      <protection locked="0"/>
    </xf>
    <xf numFmtId="0" fontId="12" fillId="0" borderId="0" xfId="16" applyFont="1" applyAlignment="1" applyProtection="1">
      <alignment horizontal="center" vertical="center"/>
      <protection locked="0"/>
    </xf>
    <xf numFmtId="0" fontId="12" fillId="51" borderId="119" xfId="1336" applyFont="1" applyFill="1" applyBorder="1" applyAlignment="1">
      <alignment horizontal="left" vertical="center"/>
    </xf>
    <xf numFmtId="0" fontId="12" fillId="51" borderId="120" xfId="1336" applyFont="1" applyFill="1" applyBorder="1" applyAlignment="1">
      <alignment horizontal="left" vertical="center"/>
    </xf>
    <xf numFmtId="0" fontId="12" fillId="51" borderId="121" xfId="1336" applyFont="1" applyFill="1" applyBorder="1" applyAlignment="1">
      <alignment horizontal="left" vertical="center"/>
    </xf>
    <xf numFmtId="0" fontId="5" fillId="0" borderId="65" xfId="1337" applyFont="1" applyBorder="1">
      <alignment vertical="center"/>
    </xf>
    <xf numFmtId="0" fontId="5" fillId="0" borderId="66" xfId="16" applyFont="1" applyBorder="1" applyAlignment="1">
      <alignment vertical="center"/>
    </xf>
    <xf numFmtId="0" fontId="5" fillId="0" borderId="67" xfId="1337" applyFont="1" applyBorder="1">
      <alignment vertical="center"/>
    </xf>
    <xf numFmtId="0" fontId="5" fillId="0" borderId="2" xfId="1337" applyFont="1" applyBorder="1">
      <alignment vertical="center"/>
    </xf>
    <xf numFmtId="0" fontId="12" fillId="0" borderId="2" xfId="1337" applyFont="1" applyBorder="1">
      <alignment vertical="center"/>
    </xf>
    <xf numFmtId="0" fontId="5" fillId="0" borderId="68" xfId="16" applyFont="1" applyBorder="1" applyAlignment="1">
      <alignment vertical="center"/>
    </xf>
    <xf numFmtId="0" fontId="14" fillId="0" borderId="0" xfId="1" applyFont="1" applyAlignment="1">
      <alignment vertical="center" shrinkToFit="1"/>
    </xf>
    <xf numFmtId="0" fontId="5" fillId="0" borderId="0" xfId="16" applyFont="1" applyAlignment="1" applyProtection="1">
      <alignment horizontal="left" vertical="center" shrinkToFit="1"/>
      <protection locked="0"/>
    </xf>
    <xf numFmtId="0" fontId="5" fillId="0" borderId="0" xfId="1" applyFont="1" applyAlignment="1">
      <alignment vertical="center" shrinkToFit="1"/>
    </xf>
    <xf numFmtId="0" fontId="5" fillId="0" borderId="0" xfId="16" applyFont="1" applyAlignment="1" applyProtection="1">
      <alignment vertical="center" shrinkToFit="1"/>
      <protection locked="0"/>
    </xf>
    <xf numFmtId="0" fontId="12" fillId="53" borderId="63" xfId="1335" applyFont="1" applyFill="1" applyBorder="1" applyAlignment="1">
      <alignment horizontal="center" vertical="center" wrapText="1"/>
    </xf>
    <xf numFmtId="0" fontId="13" fillId="53" borderId="88" xfId="1335" applyFont="1" applyFill="1" applyBorder="1" applyAlignment="1">
      <alignment horizontal="center" vertical="center" wrapText="1"/>
    </xf>
    <xf numFmtId="0" fontId="12" fillId="51" borderId="122" xfId="1335" applyFont="1" applyFill="1" applyBorder="1" applyAlignment="1">
      <alignment horizontal="center" vertical="center" wrapText="1"/>
    </xf>
    <xf numFmtId="0" fontId="12" fillId="52" borderId="123" xfId="1335" applyFont="1" applyFill="1" applyBorder="1" applyAlignment="1">
      <alignment horizontal="center" vertical="center" wrapText="1"/>
    </xf>
    <xf numFmtId="0" fontId="12" fillId="53" borderId="124" xfId="8" applyFont="1" applyFill="1" applyBorder="1" applyAlignment="1">
      <alignment horizontal="center" vertical="center" wrapText="1"/>
    </xf>
    <xf numFmtId="0" fontId="5" fillId="0" borderId="0" xfId="16" applyFont="1" applyAlignment="1" applyProtection="1">
      <alignment horizontal="left" vertical="center"/>
      <protection locked="0"/>
    </xf>
    <xf numFmtId="14" fontId="5" fillId="0" borderId="16" xfId="16" applyNumberFormat="1" applyFont="1" applyBorder="1" applyAlignment="1" applyProtection="1">
      <alignment horizontal="left" vertical="center" shrinkToFit="1"/>
      <protection locked="0"/>
    </xf>
    <xf numFmtId="0" fontId="5" fillId="0" borderId="16" xfId="16" applyFont="1" applyBorder="1" applyAlignment="1" applyProtection="1">
      <alignment horizontal="left" vertical="center" shrinkToFit="1"/>
      <protection locked="0"/>
    </xf>
    <xf numFmtId="177" fontId="5" fillId="0" borderId="16" xfId="16" applyNumberFormat="1" applyFont="1" applyBorder="1" applyAlignment="1" applyProtection="1">
      <alignment horizontal="right" vertical="center" shrinkToFit="1"/>
      <protection locked="0"/>
    </xf>
    <xf numFmtId="43" fontId="5" fillId="0" borderId="16" xfId="16" applyNumberFormat="1" applyFont="1" applyBorder="1" applyAlignment="1" applyProtection="1">
      <alignment horizontal="right" vertical="center" shrinkToFit="1"/>
      <protection locked="0"/>
    </xf>
    <xf numFmtId="0" fontId="5" fillId="0" borderId="111" xfId="16" applyFont="1" applyBorder="1" applyAlignment="1">
      <alignment horizontal="left" vertical="center" shrinkToFit="1"/>
    </xf>
    <xf numFmtId="0" fontId="5" fillId="0" borderId="112" xfId="16" applyFont="1" applyBorder="1" applyAlignment="1">
      <alignment horizontal="left" vertical="center" shrinkToFit="1"/>
    </xf>
    <xf numFmtId="0" fontId="5" fillId="2" borderId="125" xfId="16" applyFont="1" applyFill="1" applyBorder="1" applyAlignment="1" applyProtection="1">
      <alignment horizontal="left" vertical="center" shrinkToFit="1"/>
      <protection locked="0"/>
    </xf>
    <xf numFmtId="0" fontId="5" fillId="0" borderId="111" xfId="16" applyFont="1" applyBorder="1" applyAlignment="1" applyProtection="1">
      <alignment horizontal="left" vertical="center" shrinkToFit="1"/>
      <protection locked="0"/>
    </xf>
    <xf numFmtId="0" fontId="5" fillId="0" borderId="126" xfId="1" applyFont="1" applyBorder="1" applyAlignment="1">
      <alignment horizontal="left" vertical="center"/>
    </xf>
    <xf numFmtId="14" fontId="5" fillId="0" borderId="115" xfId="16" applyNumberFormat="1" applyFont="1" applyBorder="1" applyAlignment="1" applyProtection="1">
      <alignment horizontal="left" vertical="center" shrinkToFit="1"/>
      <protection locked="0"/>
    </xf>
    <xf numFmtId="0" fontId="5" fillId="0" borderId="115" xfId="16" applyFont="1" applyBorder="1" applyAlignment="1" applyProtection="1">
      <alignment horizontal="left" vertical="center" shrinkToFit="1"/>
      <protection locked="0"/>
    </xf>
    <xf numFmtId="177" fontId="5" fillId="0" borderId="115" xfId="16" applyNumberFormat="1" applyFont="1" applyBorder="1" applyAlignment="1" applyProtection="1">
      <alignment horizontal="right" vertical="center" shrinkToFit="1"/>
      <protection locked="0"/>
    </xf>
    <xf numFmtId="43" fontId="5" fillId="0" borderId="115" xfId="16" applyNumberFormat="1" applyFont="1" applyBorder="1" applyAlignment="1" applyProtection="1">
      <alignment horizontal="right" vertical="center" shrinkToFit="1"/>
      <protection locked="0"/>
    </xf>
    <xf numFmtId="0" fontId="5" fillId="0" borderId="114" xfId="16" applyFont="1" applyBorder="1" applyAlignment="1">
      <alignment horizontal="left" vertical="center" shrinkToFit="1"/>
    </xf>
    <xf numFmtId="0" fontId="5" fillId="0" borderId="117" xfId="16" applyFont="1" applyBorder="1" applyAlignment="1">
      <alignment horizontal="left" vertical="center" shrinkToFit="1"/>
    </xf>
    <xf numFmtId="0" fontId="5" fillId="2" borderId="127" xfId="16" applyFont="1" applyFill="1" applyBorder="1" applyAlignment="1" applyProtection="1">
      <alignment horizontal="left" vertical="center" shrinkToFit="1"/>
      <protection locked="0"/>
    </xf>
    <xf numFmtId="0" fontId="14" fillId="0" borderId="0" xfId="16" applyFont="1" applyAlignment="1" applyProtection="1">
      <alignment vertical="center"/>
      <protection locked="0"/>
    </xf>
    <xf numFmtId="43" fontId="5" fillId="0" borderId="0" xfId="16" applyNumberFormat="1" applyFont="1" applyAlignment="1" applyProtection="1">
      <alignment vertical="center"/>
      <protection locked="0"/>
    </xf>
    <xf numFmtId="0" fontId="9" fillId="0" borderId="0" xfId="8" applyFont="1" applyAlignment="1" applyProtection="1">
      <alignment horizontal="left" vertical="center"/>
      <protection locked="0"/>
    </xf>
    <xf numFmtId="0" fontId="155" fillId="0" borderId="104" xfId="8" applyFont="1" applyBorder="1" applyAlignment="1" applyProtection="1">
      <alignment horizontal="left" vertical="center" wrapText="1"/>
      <protection locked="0"/>
    </xf>
    <xf numFmtId="0" fontId="155" fillId="0" borderId="118" xfId="8" applyFont="1" applyBorder="1" applyAlignment="1" applyProtection="1">
      <alignment horizontal="left" vertical="center" wrapText="1"/>
      <protection locked="0"/>
    </xf>
    <xf numFmtId="0" fontId="155" fillId="0" borderId="128" xfId="8" applyFont="1" applyBorder="1" applyAlignment="1" applyProtection="1">
      <alignment horizontal="left" vertical="center" wrapText="1"/>
      <protection locked="0"/>
    </xf>
    <xf numFmtId="0" fontId="155" fillId="0" borderId="129" xfId="8" applyFont="1" applyBorder="1" applyAlignment="1" applyProtection="1">
      <alignment horizontal="left" vertical="center" wrapText="1"/>
      <protection locked="0"/>
    </xf>
    <xf numFmtId="0" fontId="27" fillId="0" borderId="0" xfId="16" applyFont="1" applyAlignment="1" applyProtection="1">
      <alignment vertical="center"/>
      <protection locked="0"/>
    </xf>
    <xf numFmtId="0" fontId="12" fillId="51" borderId="63" xfId="1335" applyFont="1" applyFill="1" applyBorder="1" applyAlignment="1">
      <alignment horizontal="center" vertical="center" wrapText="1"/>
    </xf>
    <xf numFmtId="0" fontId="12" fillId="53" borderId="130" xfId="8" applyFont="1" applyFill="1" applyBorder="1" applyAlignment="1">
      <alignment horizontal="center" vertical="center" wrapText="1"/>
    </xf>
    <xf numFmtId="0" fontId="12" fillId="0" borderId="0" xfId="16" applyFont="1" applyAlignment="1" applyProtection="1">
      <alignment vertical="center"/>
      <protection locked="0"/>
    </xf>
    <xf numFmtId="177" fontId="5" fillId="0" borderId="16" xfId="1339" applyNumberFormat="1" applyFont="1" applyBorder="1" applyAlignment="1" applyProtection="1">
      <alignment horizontal="right" vertical="center" shrinkToFit="1"/>
      <protection locked="0"/>
    </xf>
    <xf numFmtId="43" fontId="5" fillId="0" borderId="16" xfId="16" applyNumberFormat="1" applyFont="1" applyBorder="1" applyAlignment="1" applyProtection="1">
      <alignment horizontal="left" vertical="center" shrinkToFit="1"/>
      <protection locked="0"/>
    </xf>
    <xf numFmtId="43" fontId="5" fillId="0" borderId="17" xfId="16" applyNumberFormat="1" applyFont="1" applyBorder="1" applyAlignment="1" applyProtection="1">
      <alignment horizontal="right" vertical="center" shrinkToFit="1"/>
      <protection locked="0"/>
    </xf>
    <xf numFmtId="0" fontId="6" fillId="0" borderId="111" xfId="16" applyFont="1" applyBorder="1" applyAlignment="1">
      <alignment horizontal="left" vertical="center" shrinkToFit="1"/>
    </xf>
    <xf numFmtId="0" fontId="6" fillId="0" borderId="16" xfId="16" applyFont="1" applyBorder="1" applyAlignment="1">
      <alignment horizontal="left" vertical="center" shrinkToFit="1"/>
    </xf>
    <xf numFmtId="0" fontId="6" fillId="0" borderId="112" xfId="16" applyFont="1" applyBorder="1" applyAlignment="1">
      <alignment horizontal="left" vertical="center" shrinkToFit="1"/>
    </xf>
    <xf numFmtId="49" fontId="5" fillId="0" borderId="111" xfId="16" applyNumberFormat="1" applyFont="1" applyBorder="1" applyAlignment="1" applyProtection="1">
      <alignment horizontal="left" vertical="center" shrinkToFit="1"/>
      <protection locked="0"/>
    </xf>
    <xf numFmtId="177" fontId="5" fillId="0" borderId="115" xfId="1339" applyNumberFormat="1" applyFont="1" applyBorder="1" applyAlignment="1" applyProtection="1">
      <alignment horizontal="right" vertical="center" shrinkToFit="1"/>
      <protection locked="0"/>
    </xf>
    <xf numFmtId="43" fontId="5" fillId="0" borderId="115" xfId="16" applyNumberFormat="1" applyFont="1" applyBorder="1" applyAlignment="1" applyProtection="1">
      <alignment horizontal="left" vertical="center" shrinkToFit="1"/>
      <protection locked="0"/>
    </xf>
    <xf numFmtId="43" fontId="5" fillId="0" borderId="116" xfId="16" applyNumberFormat="1" applyFont="1" applyBorder="1" applyAlignment="1" applyProtection="1">
      <alignment horizontal="right" vertical="center" shrinkToFit="1"/>
      <protection locked="0"/>
    </xf>
    <xf numFmtId="0" fontId="6" fillId="0" borderId="114" xfId="16" applyFont="1" applyBorder="1" applyAlignment="1">
      <alignment horizontal="left" vertical="center" shrinkToFit="1"/>
    </xf>
    <xf numFmtId="0" fontId="6" fillId="0" borderId="115" xfId="16" applyFont="1" applyBorder="1" applyAlignment="1">
      <alignment horizontal="left" vertical="center" shrinkToFit="1"/>
    </xf>
    <xf numFmtId="0" fontId="6" fillId="0" borderId="117" xfId="16" applyFont="1" applyBorder="1" applyAlignment="1">
      <alignment horizontal="left" vertical="center" shrinkToFit="1"/>
    </xf>
    <xf numFmtId="0" fontId="13" fillId="0" borderId="0" xfId="16" applyFont="1" applyAlignment="1" applyProtection="1">
      <alignment horizontal="left" vertical="center"/>
      <protection locked="0"/>
    </xf>
    <xf numFmtId="0" fontId="171" fillId="0" borderId="0" xfId="1335" applyFont="1" applyAlignment="1">
      <alignment vertical="center"/>
    </xf>
    <xf numFmtId="0" fontId="119" fillId="0" borderId="104" xfId="8" applyFont="1" applyBorder="1" applyAlignment="1" applyProtection="1">
      <alignment horizontal="left" vertical="center" wrapText="1"/>
      <protection locked="0"/>
    </xf>
    <xf numFmtId="0" fontId="119" fillId="0" borderId="118" xfId="8" applyFont="1" applyBorder="1" applyAlignment="1" applyProtection="1">
      <alignment horizontal="left" vertical="center" wrapText="1"/>
      <protection locked="0"/>
    </xf>
    <xf numFmtId="0" fontId="119" fillId="0" borderId="128" xfId="8" applyFont="1" applyBorder="1" applyAlignment="1" applyProtection="1">
      <alignment horizontal="left" vertical="center" wrapText="1"/>
      <protection locked="0"/>
    </xf>
    <xf numFmtId="0" fontId="119" fillId="0" borderId="129" xfId="8" applyFont="1" applyBorder="1" applyAlignment="1" applyProtection="1">
      <alignment horizontal="left" vertical="center" wrapText="1"/>
      <protection locked="0"/>
    </xf>
    <xf numFmtId="0" fontId="12" fillId="51" borderId="119" xfId="1336" applyFont="1" applyFill="1" applyBorder="1" applyAlignment="1" applyProtection="1">
      <alignment horizontal="left" vertical="center"/>
      <protection locked="0"/>
    </xf>
    <xf numFmtId="0" fontId="12" fillId="51" borderId="120" xfId="1336" applyFont="1" applyFill="1" applyBorder="1" applyAlignment="1" applyProtection="1">
      <alignment horizontal="left" vertical="center"/>
      <protection locked="0"/>
    </xf>
    <xf numFmtId="0" fontId="12" fillId="51" borderId="121" xfId="1336" applyFont="1" applyFill="1" applyBorder="1" applyAlignment="1" applyProtection="1">
      <alignment horizontal="left" vertical="center"/>
      <protection locked="0"/>
    </xf>
    <xf numFmtId="0" fontId="6" fillId="0" borderId="65" xfId="1337" applyFont="1" applyBorder="1">
      <alignment vertical="center"/>
    </xf>
    <xf numFmtId="0" fontId="27" fillId="0" borderId="66" xfId="16" applyFont="1" applyBorder="1" applyAlignment="1" applyProtection="1">
      <alignment vertical="center"/>
      <protection locked="0"/>
    </xf>
    <xf numFmtId="0" fontId="6" fillId="0" borderId="67" xfId="1337" applyFont="1" applyBorder="1">
      <alignment vertical="center"/>
    </xf>
    <xf numFmtId="0" fontId="6" fillId="0" borderId="2" xfId="1337" applyFont="1" applyBorder="1">
      <alignment vertical="center"/>
    </xf>
    <xf numFmtId="0" fontId="23" fillId="0" borderId="2" xfId="1337" applyFont="1" applyBorder="1">
      <alignment vertical="center"/>
    </xf>
    <xf numFmtId="0" fontId="27" fillId="0" borderId="68" xfId="16" applyFont="1" applyBorder="1" applyAlignment="1" applyProtection="1">
      <alignment vertical="center"/>
      <protection locked="0"/>
    </xf>
    <xf numFmtId="0" fontId="13" fillId="53" borderId="106" xfId="8" applyFont="1" applyFill="1" applyBorder="1" applyAlignment="1">
      <alignment horizontal="center" vertical="center" wrapText="1"/>
    </xf>
    <xf numFmtId="0" fontId="12" fillId="53" borderId="131" xfId="8" applyFont="1" applyFill="1" applyBorder="1" applyAlignment="1">
      <alignment horizontal="center" vertical="center" wrapText="1"/>
    </xf>
    <xf numFmtId="0" fontId="9" fillId="53" borderId="119" xfId="8" applyFont="1" applyFill="1" applyBorder="1" applyAlignment="1">
      <alignment horizontal="right" vertical="center" wrapText="1"/>
    </xf>
    <xf numFmtId="0" fontId="9" fillId="0" borderId="0" xfId="16" applyFont="1" applyAlignment="1" applyProtection="1">
      <alignment vertical="center"/>
      <protection locked="0"/>
    </xf>
    <xf numFmtId="0" fontId="12" fillId="53" borderId="132" xfId="8" applyFont="1" applyFill="1" applyBorder="1" applyAlignment="1">
      <alignment horizontal="center" vertical="center" wrapText="1"/>
    </xf>
    <xf numFmtId="0" fontId="12" fillId="53" borderId="133" xfId="8" applyFont="1" applyFill="1" applyBorder="1" applyAlignment="1">
      <alignment horizontal="center" vertical="center" wrapText="1"/>
    </xf>
    <xf numFmtId="0" fontId="12" fillId="53" borderId="134" xfId="8" applyFont="1" applyFill="1" applyBorder="1" applyAlignment="1">
      <alignment horizontal="center" vertical="center" wrapText="1"/>
    </xf>
    <xf numFmtId="0" fontId="12" fillId="53" borderId="135" xfId="8" applyFont="1" applyFill="1" applyBorder="1" applyAlignment="1">
      <alignment horizontal="center" vertical="center" wrapText="1"/>
    </xf>
    <xf numFmtId="0" fontId="12" fillId="53" borderId="136" xfId="8" applyFont="1" applyFill="1" applyBorder="1" applyAlignment="1">
      <alignment horizontal="center" vertical="center" wrapText="1"/>
    </xf>
    <xf numFmtId="0" fontId="12" fillId="53" borderId="137" xfId="8" applyFont="1" applyFill="1" applyBorder="1" applyAlignment="1">
      <alignment horizontal="center" vertical="center" wrapText="1"/>
    </xf>
    <xf numFmtId="0" fontId="12" fillId="53" borderId="138" xfId="8" applyFont="1" applyFill="1" applyBorder="1" applyAlignment="1">
      <alignment horizontal="center" vertical="center" wrapText="1"/>
    </xf>
    <xf numFmtId="0" fontId="5" fillId="0" borderId="109" xfId="1" applyFont="1" applyBorder="1" applyAlignment="1">
      <alignment horizontal="left" vertical="center"/>
    </xf>
    <xf numFmtId="14" fontId="5" fillId="0" borderId="4" xfId="16" applyNumberFormat="1" applyFont="1" applyBorder="1" applyAlignment="1" applyProtection="1">
      <alignment horizontal="left" vertical="center" shrinkToFit="1"/>
      <protection locked="0"/>
    </xf>
    <xf numFmtId="0" fontId="5" fillId="0" borderId="4" xfId="16" applyFont="1" applyBorder="1" applyAlignment="1" applyProtection="1">
      <alignment horizontal="left" vertical="center" shrinkToFit="1"/>
      <protection locked="0"/>
    </xf>
    <xf numFmtId="177" fontId="5" fillId="0" borderId="4" xfId="16" applyNumberFormat="1" applyFont="1" applyBorder="1" applyAlignment="1" applyProtection="1">
      <alignment horizontal="right" vertical="center" shrinkToFit="1"/>
      <protection locked="0"/>
    </xf>
    <xf numFmtId="0" fontId="5" fillId="0" borderId="27" xfId="16" applyFont="1" applyBorder="1" applyAlignment="1" applyProtection="1">
      <alignment horizontal="left" vertical="center" shrinkToFit="1"/>
      <protection locked="0"/>
    </xf>
    <xf numFmtId="0" fontId="5" fillId="0" borderId="109" xfId="16" applyFont="1" applyBorder="1" applyAlignment="1">
      <alignment horizontal="left" vertical="center" shrinkToFit="1"/>
    </xf>
    <xf numFmtId="0" fontId="5" fillId="0" borderId="4" xfId="16" applyFont="1" applyBorder="1" applyAlignment="1">
      <alignment horizontal="left" vertical="center" shrinkToFit="1"/>
    </xf>
    <xf numFmtId="0" fontId="5" fillId="0" borderId="139" xfId="16" applyFont="1" applyBorder="1" applyAlignment="1">
      <alignment horizontal="left" vertical="center" shrinkToFit="1"/>
    </xf>
    <xf numFmtId="14" fontId="5" fillId="0" borderId="24" xfId="16" applyNumberFormat="1" applyFont="1" applyBorder="1" applyAlignment="1" applyProtection="1">
      <alignment horizontal="left" vertical="center" shrinkToFit="1"/>
      <protection locked="0"/>
    </xf>
    <xf numFmtId="0" fontId="5" fillId="0" borderId="24" xfId="16" applyFont="1" applyBorder="1" applyAlignment="1" applyProtection="1">
      <alignment horizontal="left" vertical="center" shrinkToFit="1"/>
      <protection locked="0"/>
    </xf>
    <xf numFmtId="177" fontId="5" fillId="0" borderId="24" xfId="16" applyNumberFormat="1" applyFont="1" applyBorder="1" applyAlignment="1" applyProtection="1">
      <alignment horizontal="right" vertical="center" shrinkToFit="1"/>
      <protection locked="0"/>
    </xf>
    <xf numFmtId="0" fontId="5" fillId="0" borderId="17" xfId="16" applyFont="1" applyBorder="1" applyAlignment="1" applyProtection="1">
      <alignment horizontal="left" vertical="center" shrinkToFit="1"/>
      <protection locked="0"/>
    </xf>
    <xf numFmtId="0" fontId="5" fillId="0" borderId="116" xfId="16" applyFont="1" applyBorder="1" applyAlignment="1" applyProtection="1">
      <alignment horizontal="left" vertical="center" shrinkToFit="1"/>
      <protection locked="0"/>
    </xf>
    <xf numFmtId="0" fontId="10" fillId="0" borderId="0" xfId="8" applyFont="1"/>
    <xf numFmtId="0" fontId="5" fillId="0" borderId="0" xfId="8" applyFont="1"/>
    <xf numFmtId="0" fontId="5" fillId="49" borderId="0" xfId="8" applyFont="1" applyFill="1"/>
    <xf numFmtId="0" fontId="14" fillId="0" borderId="0" xfId="8" applyFont="1"/>
    <xf numFmtId="0" fontId="17" fillId="56" borderId="0" xfId="70" applyFont="1" applyFill="1" applyAlignment="1">
      <alignment horizontal="right"/>
    </xf>
    <xf numFmtId="0" fontId="166" fillId="56" borderId="0" xfId="70" applyFont="1" applyFill="1" applyAlignment="1">
      <alignment horizontal="left" vertical="top"/>
    </xf>
    <xf numFmtId="0" fontId="171" fillId="56" borderId="0" xfId="70" applyFont="1" applyFill="1"/>
    <xf numFmtId="0" fontId="5" fillId="56" borderId="0" xfId="8" applyFont="1" applyFill="1"/>
    <xf numFmtId="0" fontId="14" fillId="49" borderId="0" xfId="8" applyFont="1" applyFill="1"/>
  </cellXfs>
  <cellStyles count="1340">
    <cellStyle name="_x000a_mouse.drv=lm" xfId="71" xr:uid="{00000000-0005-0000-0000-00004A000000}"/>
    <cellStyle name="?鹎%U龡&amp;H?_x0008__x001c__x001c_?_x0007__x0001__x0001_" xfId="72" xr:uid="{00000000-0005-0000-0000-00004B000000}"/>
    <cellStyle name="0%" xfId="73" xr:uid="{00000000-0005-0000-0000-00004C000000}"/>
    <cellStyle name="0.0%" xfId="74" xr:uid="{00000000-0005-0000-0000-00004D000000}"/>
    <cellStyle name="0.00%" xfId="75" xr:uid="{00000000-0005-0000-0000-00004E000000}"/>
    <cellStyle name="00" xfId="76" xr:uid="{00000000-0005-0000-0000-00004F000000}"/>
    <cellStyle name="Accent1" xfId="77" xr:uid="{00000000-0005-0000-0000-000050000000}"/>
    <cellStyle name="Accent1 - 20%" xfId="78" xr:uid="{00000000-0005-0000-0000-000051000000}"/>
    <cellStyle name="Accent1 - 40%" xfId="79" xr:uid="{00000000-0005-0000-0000-000052000000}"/>
    <cellStyle name="Accent1 - 60%" xfId="80" xr:uid="{00000000-0005-0000-0000-000053000000}"/>
    <cellStyle name="Accent1_RESULTS" xfId="81" xr:uid="{00000000-0005-0000-0000-000054000000}"/>
    <cellStyle name="Accent2" xfId="82" xr:uid="{00000000-0005-0000-0000-000055000000}"/>
    <cellStyle name="Accent2 - 20%" xfId="83" xr:uid="{00000000-0005-0000-0000-000056000000}"/>
    <cellStyle name="Accent2 - 40%" xfId="84" xr:uid="{00000000-0005-0000-0000-000057000000}"/>
    <cellStyle name="Accent2 - 60%" xfId="85" xr:uid="{00000000-0005-0000-0000-000058000000}"/>
    <cellStyle name="Accent2_RESULTS" xfId="86" xr:uid="{00000000-0005-0000-0000-000059000000}"/>
    <cellStyle name="Accent3" xfId="87" xr:uid="{00000000-0005-0000-0000-00005A000000}"/>
    <cellStyle name="Accent3 - 20%" xfId="88" xr:uid="{00000000-0005-0000-0000-00005B000000}"/>
    <cellStyle name="Accent3 - 40%" xfId="89" xr:uid="{00000000-0005-0000-0000-00005C000000}"/>
    <cellStyle name="Accent3 - 60%" xfId="90" xr:uid="{00000000-0005-0000-0000-00005D000000}"/>
    <cellStyle name="Accent3_RESULTS" xfId="91" xr:uid="{00000000-0005-0000-0000-00005E000000}"/>
    <cellStyle name="Accent4" xfId="92" xr:uid="{00000000-0005-0000-0000-00005F000000}"/>
    <cellStyle name="Accent4 - 20%" xfId="93" xr:uid="{00000000-0005-0000-0000-000060000000}"/>
    <cellStyle name="Accent4 - 40%" xfId="94" xr:uid="{00000000-0005-0000-0000-000061000000}"/>
    <cellStyle name="Accent4 - 60%" xfId="95" xr:uid="{00000000-0005-0000-0000-000062000000}"/>
    <cellStyle name="Accent4_RESULTS" xfId="96" xr:uid="{00000000-0005-0000-0000-000063000000}"/>
    <cellStyle name="Accent5" xfId="97" xr:uid="{00000000-0005-0000-0000-000064000000}"/>
    <cellStyle name="Accent5 - 20%" xfId="98" xr:uid="{00000000-0005-0000-0000-000065000000}"/>
    <cellStyle name="Accent5 - 40%" xfId="99" xr:uid="{00000000-0005-0000-0000-000066000000}"/>
    <cellStyle name="Accent5 - 60%" xfId="100" xr:uid="{00000000-0005-0000-0000-000067000000}"/>
    <cellStyle name="Accent5_RESULTS" xfId="101" xr:uid="{00000000-0005-0000-0000-000068000000}"/>
    <cellStyle name="Accent6" xfId="102" xr:uid="{00000000-0005-0000-0000-000069000000}"/>
    <cellStyle name="Accent6 - 20%" xfId="103" xr:uid="{00000000-0005-0000-0000-00006A000000}"/>
    <cellStyle name="Accent6 - 40%" xfId="104" xr:uid="{00000000-0005-0000-0000-00006B000000}"/>
    <cellStyle name="Accent6 - 60%" xfId="105" xr:uid="{00000000-0005-0000-0000-00006C000000}"/>
    <cellStyle name="Accent6_RESULTS" xfId="106" xr:uid="{00000000-0005-0000-0000-00006D000000}"/>
    <cellStyle name="Calc Currency (0)" xfId="107" xr:uid="{00000000-0005-0000-0000-00006E000000}"/>
    <cellStyle name="category" xfId="108" xr:uid="{00000000-0005-0000-0000-00006F000000}"/>
    <cellStyle name="cellStyleNum 2" xfId="109" xr:uid="{00000000-0005-0000-0000-000070000000}"/>
    <cellStyle name="cellStyleNum 2 2" xfId="110" xr:uid="{00000000-0005-0000-0000-000071000000}"/>
    <cellStyle name="cellStyleNum 2 2 2" xfId="111" xr:uid="{00000000-0005-0000-0000-000072000000}"/>
    <cellStyle name="cellStyleNum 2 2 3" xfId="112" xr:uid="{00000000-0005-0000-0000-000073000000}"/>
    <cellStyle name="cellStyleNum 2 2 4" xfId="113" xr:uid="{00000000-0005-0000-0000-000074000000}"/>
    <cellStyle name="cellStyleNum 2 3" xfId="114" xr:uid="{00000000-0005-0000-0000-000075000000}"/>
    <cellStyle name="cellStyleNum 2 4" xfId="115" xr:uid="{00000000-0005-0000-0000-000076000000}"/>
    <cellStyle name="cellStyleNum 2 5" xfId="116" xr:uid="{00000000-0005-0000-0000-000077000000}"/>
    <cellStyle name="Check Cell 2" xfId="117" xr:uid="{00000000-0005-0000-0000-000078000000}"/>
    <cellStyle name="Check Cell 2 2" xfId="118" xr:uid="{00000000-0005-0000-0000-000079000000}"/>
    <cellStyle name="Check Cell 2 3" xfId="119" xr:uid="{00000000-0005-0000-0000-00007A000000}"/>
    <cellStyle name="Col Heads" xfId="120" xr:uid="{00000000-0005-0000-0000-00007B000000}"/>
    <cellStyle name="Comma  - Style1" xfId="121" xr:uid="{00000000-0005-0000-0000-00007C000000}"/>
    <cellStyle name="Comma  - Style2" xfId="122" xr:uid="{00000000-0005-0000-0000-00007D000000}"/>
    <cellStyle name="Comma  - Style3" xfId="123" xr:uid="{00000000-0005-0000-0000-00007E000000}"/>
    <cellStyle name="Comma  - Style4" xfId="124" xr:uid="{00000000-0005-0000-0000-00007F000000}"/>
    <cellStyle name="Comma  - Style5" xfId="125" xr:uid="{00000000-0005-0000-0000-000080000000}"/>
    <cellStyle name="Comma  - Style6" xfId="126" xr:uid="{00000000-0005-0000-0000-000081000000}"/>
    <cellStyle name="Comma  - Style7" xfId="127" xr:uid="{00000000-0005-0000-0000-000082000000}"/>
    <cellStyle name="Comma  - Style8" xfId="128" xr:uid="{00000000-0005-0000-0000-000083000000}"/>
    <cellStyle name="Comma [0] 2" xfId="59" xr:uid="{00000000-0005-0000-0000-00003D000000}"/>
    <cellStyle name="Comma [0] 2 2" xfId="129" xr:uid="{00000000-0005-0000-0000-000084000000}"/>
    <cellStyle name="Comma [0] 2 2 2" xfId="130" xr:uid="{00000000-0005-0000-0000-000085000000}"/>
    <cellStyle name="Comma [0] 2 2 2 2" xfId="131" xr:uid="{00000000-0005-0000-0000-000086000000}"/>
    <cellStyle name="Comma [0] 2 2 2 2 2" xfId="132" xr:uid="{00000000-0005-0000-0000-000087000000}"/>
    <cellStyle name="Comma [0] 2 2 2 2 2 2" xfId="133" xr:uid="{00000000-0005-0000-0000-000088000000}"/>
    <cellStyle name="Comma [0] 2 2 2 2 2 2 2" xfId="134" xr:uid="{00000000-0005-0000-0000-000089000000}"/>
    <cellStyle name="Comma [0] 2 2 2 2 2 3" xfId="135" xr:uid="{00000000-0005-0000-0000-00008A000000}"/>
    <cellStyle name="Comma [0] 2 2 2 2 2 3 2" xfId="136" xr:uid="{00000000-0005-0000-0000-00008B000000}"/>
    <cellStyle name="Comma [0] 2 2 2 2 2 4" xfId="137" xr:uid="{00000000-0005-0000-0000-00008C000000}"/>
    <cellStyle name="Comma [0] 2 2 2 2 3" xfId="138" xr:uid="{00000000-0005-0000-0000-00008D000000}"/>
    <cellStyle name="Comma [0] 2 2 2 2 3 2" xfId="139" xr:uid="{00000000-0005-0000-0000-00008E000000}"/>
    <cellStyle name="Comma [0] 2 2 2 2 3 2 2" xfId="140" xr:uid="{00000000-0005-0000-0000-00008F000000}"/>
    <cellStyle name="Comma [0] 2 2 2 2 3 3" xfId="141" xr:uid="{00000000-0005-0000-0000-000090000000}"/>
    <cellStyle name="Comma [0] 2 2 2 2 4" xfId="142" xr:uid="{00000000-0005-0000-0000-000091000000}"/>
    <cellStyle name="Comma [0] 2 2 2 2 4 2" xfId="143" xr:uid="{00000000-0005-0000-0000-000092000000}"/>
    <cellStyle name="Comma [0] 2 2 2 2 5" xfId="144" xr:uid="{00000000-0005-0000-0000-000093000000}"/>
    <cellStyle name="Comma [0] 2 2 2 3" xfId="145" xr:uid="{00000000-0005-0000-0000-000094000000}"/>
    <cellStyle name="Comma [0] 2 2 2 3 2" xfId="146" xr:uid="{00000000-0005-0000-0000-000095000000}"/>
    <cellStyle name="Comma [0] 2 2 2 3 2 2" xfId="147" xr:uid="{00000000-0005-0000-0000-000096000000}"/>
    <cellStyle name="Comma [0] 2 2 2 3 3" xfId="148" xr:uid="{00000000-0005-0000-0000-000097000000}"/>
    <cellStyle name="Comma [0] 2 2 2 3 3 2" xfId="149" xr:uid="{00000000-0005-0000-0000-000098000000}"/>
    <cellStyle name="Comma [0] 2 2 2 3 4" xfId="150" xr:uid="{00000000-0005-0000-0000-000099000000}"/>
    <cellStyle name="Comma [0] 2 2 2 4" xfId="151" xr:uid="{00000000-0005-0000-0000-00009A000000}"/>
    <cellStyle name="Comma [0] 2 2 2 4 2" xfId="152" xr:uid="{00000000-0005-0000-0000-00009B000000}"/>
    <cellStyle name="Comma [0] 2 2 2 4 2 2" xfId="153" xr:uid="{00000000-0005-0000-0000-00009C000000}"/>
    <cellStyle name="Comma [0] 2 2 2 4 3" xfId="154" xr:uid="{00000000-0005-0000-0000-00009D000000}"/>
    <cellStyle name="Comma [0] 2 2 2 5" xfId="155" xr:uid="{00000000-0005-0000-0000-00009E000000}"/>
    <cellStyle name="Comma [0] 2 2 2 5 2" xfId="156" xr:uid="{00000000-0005-0000-0000-00009F000000}"/>
    <cellStyle name="Comma [0] 2 2 2 6" xfId="157" xr:uid="{00000000-0005-0000-0000-0000A0000000}"/>
    <cellStyle name="Comma [0] 2 2 3" xfId="158" xr:uid="{00000000-0005-0000-0000-0000A1000000}"/>
    <cellStyle name="Comma [0] 2 2 3 2" xfId="159" xr:uid="{00000000-0005-0000-0000-0000A2000000}"/>
    <cellStyle name="Comma [0] 2 2 3 2 2" xfId="160" xr:uid="{00000000-0005-0000-0000-0000A3000000}"/>
    <cellStyle name="Comma [0] 2 2 3 3" xfId="161" xr:uid="{00000000-0005-0000-0000-0000A4000000}"/>
    <cellStyle name="Comma [0] 2 2 3 3 2" xfId="162" xr:uid="{00000000-0005-0000-0000-0000A5000000}"/>
    <cellStyle name="Comma [0] 2 2 3 4" xfId="163" xr:uid="{00000000-0005-0000-0000-0000A6000000}"/>
    <cellStyle name="Comma [0] 2 2 4" xfId="164" xr:uid="{00000000-0005-0000-0000-0000A7000000}"/>
    <cellStyle name="Comma [0] 2 2 4 2" xfId="165" xr:uid="{00000000-0005-0000-0000-0000A8000000}"/>
    <cellStyle name="Comma [0] 2 2 4 2 2" xfId="166" xr:uid="{00000000-0005-0000-0000-0000A9000000}"/>
    <cellStyle name="Comma [0] 2 2 4 3" xfId="167" xr:uid="{00000000-0005-0000-0000-0000AA000000}"/>
    <cellStyle name="Comma [0] 2 2 5" xfId="168" xr:uid="{00000000-0005-0000-0000-0000AB000000}"/>
    <cellStyle name="Comma [0] 2 2 5 2" xfId="169" xr:uid="{00000000-0005-0000-0000-0000AC000000}"/>
    <cellStyle name="Comma [0] 2 2 6" xfId="170" xr:uid="{00000000-0005-0000-0000-0000AD000000}"/>
    <cellStyle name="Comma [0] 2 3" xfId="171" xr:uid="{00000000-0005-0000-0000-0000AE000000}"/>
    <cellStyle name="Comma [0] 2 3 2" xfId="172" xr:uid="{00000000-0005-0000-0000-0000AF000000}"/>
    <cellStyle name="Comma [0] 2 3 2 2" xfId="173" xr:uid="{00000000-0005-0000-0000-0000B0000000}"/>
    <cellStyle name="Comma [0] 2 3 2 2 2" xfId="174" xr:uid="{00000000-0005-0000-0000-0000B1000000}"/>
    <cellStyle name="Comma [0] 2 3 2 3" xfId="175" xr:uid="{00000000-0005-0000-0000-0000B2000000}"/>
    <cellStyle name="Comma [0] 2 3 3" xfId="176" xr:uid="{00000000-0005-0000-0000-0000B3000000}"/>
    <cellStyle name="Comma [0] 2 3 3 2" xfId="177" xr:uid="{00000000-0005-0000-0000-0000B4000000}"/>
    <cellStyle name="Comma [0] 2 3 4" xfId="178" xr:uid="{00000000-0005-0000-0000-0000B5000000}"/>
    <cellStyle name="Comma [0] 2 4" xfId="179" xr:uid="{00000000-0005-0000-0000-0000B6000000}"/>
    <cellStyle name="Comma [0] 2 4 2" xfId="180" xr:uid="{00000000-0005-0000-0000-0000B7000000}"/>
    <cellStyle name="Comma [0] 2 4 2 2" xfId="181" xr:uid="{00000000-0005-0000-0000-0000B8000000}"/>
    <cellStyle name="Comma [0] 2 4 3" xfId="182" xr:uid="{00000000-0005-0000-0000-0000B9000000}"/>
    <cellStyle name="Comma [0] 2 4 3 2" xfId="183" xr:uid="{00000000-0005-0000-0000-0000BA000000}"/>
    <cellStyle name="Comma [0] 2 4 4" xfId="184" xr:uid="{00000000-0005-0000-0000-0000BB000000}"/>
    <cellStyle name="Comma [0] 2 5" xfId="185" xr:uid="{00000000-0005-0000-0000-0000BC000000}"/>
    <cellStyle name="Comma [0] 2 5 2" xfId="186" xr:uid="{00000000-0005-0000-0000-0000BD000000}"/>
    <cellStyle name="Comma [0] 2 6" xfId="187" xr:uid="{00000000-0005-0000-0000-0000BE000000}"/>
    <cellStyle name="Comma [0] 2 6 2" xfId="188" xr:uid="{00000000-0005-0000-0000-0000BF000000}"/>
    <cellStyle name="Comma [0] 2 7" xfId="189" xr:uid="{00000000-0005-0000-0000-0000C0000000}"/>
    <cellStyle name="Comma [0] 3" xfId="190" xr:uid="{00000000-0005-0000-0000-0000C1000000}"/>
    <cellStyle name="Comma [0] 3 2" xfId="191" xr:uid="{00000000-0005-0000-0000-0000C2000000}"/>
    <cellStyle name="Comma [0] 3 2 2" xfId="192" xr:uid="{00000000-0005-0000-0000-0000C3000000}"/>
    <cellStyle name="Comma [0] 3 2 2 2" xfId="193" xr:uid="{00000000-0005-0000-0000-0000C4000000}"/>
    <cellStyle name="Comma [0] 3 2 2 2 2" xfId="194" xr:uid="{00000000-0005-0000-0000-0000C5000000}"/>
    <cellStyle name="Comma [0] 3 2 2 3" xfId="195" xr:uid="{00000000-0005-0000-0000-0000C6000000}"/>
    <cellStyle name="Comma [0] 3 2 2 3 2" xfId="196" xr:uid="{00000000-0005-0000-0000-0000C7000000}"/>
    <cellStyle name="Comma [0] 3 2 2 4" xfId="197" xr:uid="{00000000-0005-0000-0000-0000C8000000}"/>
    <cellStyle name="Comma [0] 3 2 3" xfId="198" xr:uid="{00000000-0005-0000-0000-0000C9000000}"/>
    <cellStyle name="Comma [0] 3 2 3 2" xfId="199" xr:uid="{00000000-0005-0000-0000-0000CA000000}"/>
    <cellStyle name="Comma [0] 3 2 4" xfId="200" xr:uid="{00000000-0005-0000-0000-0000CB000000}"/>
    <cellStyle name="Comma [0] 3 2 4 2" xfId="201" xr:uid="{00000000-0005-0000-0000-0000CC000000}"/>
    <cellStyle name="Comma [0] 3 2 5" xfId="202" xr:uid="{00000000-0005-0000-0000-0000CD000000}"/>
    <cellStyle name="Comma [0] 3 3" xfId="203" xr:uid="{00000000-0005-0000-0000-0000CE000000}"/>
    <cellStyle name="Comma [0] 3 3 2" xfId="204" xr:uid="{00000000-0005-0000-0000-0000CF000000}"/>
    <cellStyle name="Comma [0] 3 4" xfId="205" xr:uid="{00000000-0005-0000-0000-0000D0000000}"/>
    <cellStyle name="Comma [0] 3 4 2" xfId="206" xr:uid="{00000000-0005-0000-0000-0000D1000000}"/>
    <cellStyle name="Comma [0] 3 5" xfId="207" xr:uid="{00000000-0005-0000-0000-0000D2000000}"/>
    <cellStyle name="Comma 10" xfId="58" xr:uid="{00000000-0005-0000-0000-00003C000000}"/>
    <cellStyle name="Comma 10 2" xfId="208" xr:uid="{00000000-0005-0000-0000-0000D3000000}"/>
    <cellStyle name="Comma 10 2 2" xfId="209" xr:uid="{00000000-0005-0000-0000-0000D4000000}"/>
    <cellStyle name="Comma 10 2 2 2" xfId="210" xr:uid="{00000000-0005-0000-0000-0000D5000000}"/>
    <cellStyle name="Comma 10 2 2 2 2" xfId="211" xr:uid="{00000000-0005-0000-0000-0000D6000000}"/>
    <cellStyle name="Comma 10 2 2 3" xfId="212" xr:uid="{00000000-0005-0000-0000-0000D7000000}"/>
    <cellStyle name="Comma 10 2 3" xfId="213" xr:uid="{00000000-0005-0000-0000-0000D8000000}"/>
    <cellStyle name="Comma 10 2 3 2" xfId="214" xr:uid="{00000000-0005-0000-0000-0000D9000000}"/>
    <cellStyle name="Comma 10 2 4" xfId="215" xr:uid="{00000000-0005-0000-0000-0000DA000000}"/>
    <cellStyle name="Comma 10 2 4 2" xfId="216" xr:uid="{00000000-0005-0000-0000-0000DB000000}"/>
    <cellStyle name="Comma 10 2 5" xfId="217" xr:uid="{00000000-0005-0000-0000-0000DC000000}"/>
    <cellStyle name="Comma 10 2 5 2" xfId="218" xr:uid="{00000000-0005-0000-0000-0000DD000000}"/>
    <cellStyle name="Comma 10 2 6" xfId="219" xr:uid="{00000000-0005-0000-0000-0000DE000000}"/>
    <cellStyle name="Comma 10 2 6 2" xfId="220" xr:uid="{00000000-0005-0000-0000-0000DF000000}"/>
    <cellStyle name="Comma 10 2 7" xfId="221" xr:uid="{00000000-0005-0000-0000-0000E0000000}"/>
    <cellStyle name="Comma 10 3" xfId="222" xr:uid="{00000000-0005-0000-0000-0000E1000000}"/>
    <cellStyle name="Comma 10 3 2" xfId="223" xr:uid="{00000000-0005-0000-0000-0000E2000000}"/>
    <cellStyle name="Comma 10 4" xfId="224" xr:uid="{00000000-0005-0000-0000-0000E3000000}"/>
    <cellStyle name="Comma 11" xfId="225" xr:uid="{00000000-0005-0000-0000-0000E4000000}"/>
    <cellStyle name="Comma 11 2" xfId="226" xr:uid="{00000000-0005-0000-0000-0000E5000000}"/>
    <cellStyle name="Comma 11 2 2" xfId="227" xr:uid="{00000000-0005-0000-0000-0000E6000000}"/>
    <cellStyle name="Comma 11 3" xfId="228" xr:uid="{00000000-0005-0000-0000-0000E7000000}"/>
    <cellStyle name="Comma 12" xfId="7" xr:uid="{00000000-0005-0000-0000-000007000000}"/>
    <cellStyle name="Comma 12 2" xfId="4" xr:uid="{00000000-0005-0000-0000-000004000000}"/>
    <cellStyle name="Comma 12 2 2" xfId="229" xr:uid="{00000000-0005-0000-0000-0000E8000000}"/>
    <cellStyle name="Comma 12 2 2 2" xfId="230" xr:uid="{00000000-0005-0000-0000-0000E9000000}"/>
    <cellStyle name="Comma 12 2 3" xfId="231" xr:uid="{00000000-0005-0000-0000-0000EA000000}"/>
    <cellStyle name="Comma 12 3" xfId="232" xr:uid="{00000000-0005-0000-0000-0000EB000000}"/>
    <cellStyle name="Comma 13" xfId="11" xr:uid="{00000000-0005-0000-0000-00000B000000}"/>
    <cellStyle name="Comma 13 2" xfId="233" xr:uid="{00000000-0005-0000-0000-0000EC000000}"/>
    <cellStyle name="Comma 14" xfId="52" xr:uid="{00000000-0005-0000-0000-000036000000}"/>
    <cellStyle name="Comma 14 2" xfId="234" xr:uid="{00000000-0005-0000-0000-0000ED000000}"/>
    <cellStyle name="Comma 16" xfId="235" xr:uid="{00000000-0005-0000-0000-0000EE000000}"/>
    <cellStyle name="Comma 16 2" xfId="236" xr:uid="{00000000-0005-0000-0000-0000EF000000}"/>
    <cellStyle name="Comma 2" xfId="237" xr:uid="{00000000-0005-0000-0000-0000F0000000}"/>
    <cellStyle name="Comma 2 2" xfId="238" xr:uid="{00000000-0005-0000-0000-0000F1000000}"/>
    <cellStyle name="Comma 2 2 2" xfId="239" xr:uid="{00000000-0005-0000-0000-0000F2000000}"/>
    <cellStyle name="Comma 2 2 2 2" xfId="240" xr:uid="{00000000-0005-0000-0000-0000F3000000}"/>
    <cellStyle name="Comma 2 2 2 2 2" xfId="241" xr:uid="{00000000-0005-0000-0000-0000F4000000}"/>
    <cellStyle name="Comma 2 2 2 3" xfId="242" xr:uid="{00000000-0005-0000-0000-0000F5000000}"/>
    <cellStyle name="Comma 2 2 2 3 2" xfId="243" xr:uid="{00000000-0005-0000-0000-0000F6000000}"/>
    <cellStyle name="Comma 2 2 2 4" xfId="244" xr:uid="{00000000-0005-0000-0000-0000F7000000}"/>
    <cellStyle name="Comma 2 2 3" xfId="245" xr:uid="{00000000-0005-0000-0000-0000F8000000}"/>
    <cellStyle name="Comma 2 2 3 2" xfId="246" xr:uid="{00000000-0005-0000-0000-0000F9000000}"/>
    <cellStyle name="Comma 2 2 3 2 2" xfId="247" xr:uid="{00000000-0005-0000-0000-0000FA000000}"/>
    <cellStyle name="Comma 2 2 3 3" xfId="248" xr:uid="{00000000-0005-0000-0000-0000FB000000}"/>
    <cellStyle name="Comma 2 2 4" xfId="249" xr:uid="{00000000-0005-0000-0000-0000FC000000}"/>
    <cellStyle name="Comma 2 2 4 2" xfId="250" xr:uid="{00000000-0005-0000-0000-0000FD000000}"/>
    <cellStyle name="Comma 2 2 4 2 2" xfId="251" xr:uid="{00000000-0005-0000-0000-0000FE000000}"/>
    <cellStyle name="Comma 2 2 4 3" xfId="252" xr:uid="{00000000-0005-0000-0000-0000FF000000}"/>
    <cellStyle name="Comma 2 2 5" xfId="253" xr:uid="{00000000-0005-0000-0000-000000010000}"/>
    <cellStyle name="Comma 2 2 5 2" xfId="254" xr:uid="{00000000-0005-0000-0000-000001010000}"/>
    <cellStyle name="Comma 2 2 6" xfId="255" xr:uid="{00000000-0005-0000-0000-000002010000}"/>
    <cellStyle name="Comma 2 3" xfId="256" xr:uid="{00000000-0005-0000-0000-000003010000}"/>
    <cellStyle name="Comma 2 3 2" xfId="257" xr:uid="{00000000-0005-0000-0000-000004010000}"/>
    <cellStyle name="Comma 2 3 2 2" xfId="258" xr:uid="{00000000-0005-0000-0000-000005010000}"/>
    <cellStyle name="Comma 2 3 2 2 2" xfId="259" xr:uid="{00000000-0005-0000-0000-000006010000}"/>
    <cellStyle name="Comma 2 3 2 3" xfId="260" xr:uid="{00000000-0005-0000-0000-000007010000}"/>
    <cellStyle name="Comma 2 3 3" xfId="261" xr:uid="{00000000-0005-0000-0000-000008010000}"/>
    <cellStyle name="Comma 2 3 3 2" xfId="262" xr:uid="{00000000-0005-0000-0000-000009010000}"/>
    <cellStyle name="Comma 2 3 4" xfId="263" xr:uid="{00000000-0005-0000-0000-00000A010000}"/>
    <cellStyle name="Comma 2 4" xfId="264" xr:uid="{00000000-0005-0000-0000-00000B010000}"/>
    <cellStyle name="Comma 2 4 2" xfId="265" xr:uid="{00000000-0005-0000-0000-00000C010000}"/>
    <cellStyle name="Comma 2 4 2 2" xfId="266" xr:uid="{00000000-0005-0000-0000-00000D010000}"/>
    <cellStyle name="Comma 2 4 3" xfId="267" xr:uid="{00000000-0005-0000-0000-00000E010000}"/>
    <cellStyle name="Comma 2 4 3 2" xfId="268" xr:uid="{00000000-0005-0000-0000-00000F010000}"/>
    <cellStyle name="Comma 2 4 4" xfId="269" xr:uid="{00000000-0005-0000-0000-000010010000}"/>
    <cellStyle name="Comma 2 5" xfId="270" xr:uid="{00000000-0005-0000-0000-000011010000}"/>
    <cellStyle name="Comma 2 5 2" xfId="271" xr:uid="{00000000-0005-0000-0000-000012010000}"/>
    <cellStyle name="Comma 2 5 5" xfId="272" xr:uid="{00000000-0005-0000-0000-000013010000}"/>
    <cellStyle name="Comma 2 5 5 2" xfId="273" xr:uid="{00000000-0005-0000-0000-000014010000}"/>
    <cellStyle name="Comma 2 6" xfId="274" xr:uid="{00000000-0005-0000-0000-000015010000}"/>
    <cellStyle name="Comma 2 7" xfId="12" xr:uid="{00000000-0005-0000-0000-00000C000000}"/>
    <cellStyle name="Comma 2 7 2" xfId="275" xr:uid="{00000000-0005-0000-0000-000016010000}"/>
    <cellStyle name="Comma 2 8" xfId="276" xr:uid="{00000000-0005-0000-0000-000017010000}"/>
    <cellStyle name="Comma 2 8 2" xfId="277" xr:uid="{00000000-0005-0000-0000-000018010000}"/>
    <cellStyle name="Comma 2 9" xfId="278" xr:uid="{00000000-0005-0000-0000-000019010000}"/>
    <cellStyle name="Comma 3" xfId="279" xr:uid="{00000000-0005-0000-0000-00001A010000}"/>
    <cellStyle name="Comma 3 2" xfId="280" xr:uid="{00000000-0005-0000-0000-00001B010000}"/>
    <cellStyle name="Comma 3 2 2" xfId="281" xr:uid="{00000000-0005-0000-0000-00001C010000}"/>
    <cellStyle name="Comma 3 2 2 2" xfId="282" xr:uid="{00000000-0005-0000-0000-00001D010000}"/>
    <cellStyle name="Comma 3 2 3" xfId="283" xr:uid="{00000000-0005-0000-0000-00001E010000}"/>
    <cellStyle name="Comma 3 2 3 2" xfId="284" xr:uid="{00000000-0005-0000-0000-00001F010000}"/>
    <cellStyle name="Comma 3 2 3 3" xfId="285" xr:uid="{00000000-0005-0000-0000-000020010000}"/>
    <cellStyle name="Comma 3 2 3 3 2" xfId="286" xr:uid="{00000000-0005-0000-0000-000021010000}"/>
    <cellStyle name="Comma 3 2 4" xfId="287" xr:uid="{00000000-0005-0000-0000-000022010000}"/>
    <cellStyle name="Comma 3 2 4 2" xfId="288" xr:uid="{00000000-0005-0000-0000-000023010000}"/>
    <cellStyle name="Comma 3 2 5" xfId="289" xr:uid="{00000000-0005-0000-0000-000024010000}"/>
    <cellStyle name="Comma 3 3" xfId="290" xr:uid="{00000000-0005-0000-0000-000025010000}"/>
    <cellStyle name="Comma 3 3 2" xfId="291" xr:uid="{00000000-0005-0000-0000-000026010000}"/>
    <cellStyle name="Comma 3 3 2 2" xfId="292" xr:uid="{00000000-0005-0000-0000-000027010000}"/>
    <cellStyle name="Comma 3 3 3" xfId="293" xr:uid="{00000000-0005-0000-0000-000028010000}"/>
    <cellStyle name="Comma 3 4" xfId="294" xr:uid="{00000000-0005-0000-0000-000029010000}"/>
    <cellStyle name="Comma 3 4 2" xfId="295" xr:uid="{00000000-0005-0000-0000-00002A010000}"/>
    <cellStyle name="Comma 3 5" xfId="296" xr:uid="{00000000-0005-0000-0000-00002B010000}"/>
    <cellStyle name="Comma 3 6" xfId="297" xr:uid="{00000000-0005-0000-0000-00002C010000}"/>
    <cellStyle name="Comma 3 6 2" xfId="298" xr:uid="{00000000-0005-0000-0000-00002D010000}"/>
    <cellStyle name="Comma 3 7" xfId="299" xr:uid="{00000000-0005-0000-0000-00002E010000}"/>
    <cellStyle name="Comma 4" xfId="300" xr:uid="{00000000-0005-0000-0000-00002F010000}"/>
    <cellStyle name="Comma 4 2" xfId="301" xr:uid="{00000000-0005-0000-0000-000030010000}"/>
    <cellStyle name="Comma 4 2 2" xfId="302" xr:uid="{00000000-0005-0000-0000-000031010000}"/>
    <cellStyle name="Comma 4 2 2 2" xfId="303" xr:uid="{00000000-0005-0000-0000-000032010000}"/>
    <cellStyle name="Comma 4 2 3" xfId="304" xr:uid="{00000000-0005-0000-0000-000033010000}"/>
    <cellStyle name="Comma 4 2 3 2" xfId="305" xr:uid="{00000000-0005-0000-0000-000034010000}"/>
    <cellStyle name="Comma 4 2 4" xfId="306" xr:uid="{00000000-0005-0000-0000-000035010000}"/>
    <cellStyle name="Comma 4 3" xfId="307" xr:uid="{00000000-0005-0000-0000-000036010000}"/>
    <cellStyle name="Comma 4 3 2" xfId="308" xr:uid="{00000000-0005-0000-0000-000037010000}"/>
    <cellStyle name="Comma 4 4" xfId="309" xr:uid="{00000000-0005-0000-0000-000038010000}"/>
    <cellStyle name="Comma 4 4 2" xfId="310" xr:uid="{00000000-0005-0000-0000-000039010000}"/>
    <cellStyle name="Comma 4 4 2 2" xfId="311" xr:uid="{00000000-0005-0000-0000-00003A010000}"/>
    <cellStyle name="Comma 4 4 3" xfId="312" xr:uid="{00000000-0005-0000-0000-00003B010000}"/>
    <cellStyle name="Comma 4 5" xfId="313" xr:uid="{00000000-0005-0000-0000-00003C010000}"/>
    <cellStyle name="Comma 4 5 2" xfId="314" xr:uid="{00000000-0005-0000-0000-00003D010000}"/>
    <cellStyle name="Comma 4 6" xfId="315" xr:uid="{00000000-0005-0000-0000-00003E010000}"/>
    <cellStyle name="Comma 5" xfId="13" xr:uid="{00000000-0005-0000-0000-00000D000000}"/>
    <cellStyle name="Comma 5 2" xfId="316" xr:uid="{00000000-0005-0000-0000-00003F010000}"/>
    <cellStyle name="Comma 5 2 2" xfId="317" xr:uid="{00000000-0005-0000-0000-000040010000}"/>
    <cellStyle name="Comma 5 2 2 2" xfId="318" xr:uid="{00000000-0005-0000-0000-000041010000}"/>
    <cellStyle name="Comma 5 2 2 2 2" xfId="319" xr:uid="{00000000-0005-0000-0000-000042010000}"/>
    <cellStyle name="Comma 5 2 2 3" xfId="320" xr:uid="{00000000-0005-0000-0000-000043010000}"/>
    <cellStyle name="Comma 5 2 2 3 2" xfId="321" xr:uid="{00000000-0005-0000-0000-000044010000}"/>
    <cellStyle name="Comma 5 2 2 4" xfId="322" xr:uid="{00000000-0005-0000-0000-000045010000}"/>
    <cellStyle name="Comma 5 2 3" xfId="323" xr:uid="{00000000-0005-0000-0000-000046010000}"/>
    <cellStyle name="Comma 5 2 3 2" xfId="324" xr:uid="{00000000-0005-0000-0000-000047010000}"/>
    <cellStyle name="Comma 5 2 4" xfId="325" xr:uid="{00000000-0005-0000-0000-000048010000}"/>
    <cellStyle name="Comma 5 2 4 2" xfId="326" xr:uid="{00000000-0005-0000-0000-000049010000}"/>
    <cellStyle name="Comma 5 2 5" xfId="327" xr:uid="{00000000-0005-0000-0000-00004A010000}"/>
    <cellStyle name="Comma 5 3" xfId="328" xr:uid="{00000000-0005-0000-0000-00004B010000}"/>
    <cellStyle name="Comma 5 3 2" xfId="329" xr:uid="{00000000-0005-0000-0000-00004C010000}"/>
    <cellStyle name="Comma 5 3 2 2" xfId="330" xr:uid="{00000000-0005-0000-0000-00004D010000}"/>
    <cellStyle name="Comma 5 3 3" xfId="331" xr:uid="{00000000-0005-0000-0000-00004E010000}"/>
    <cellStyle name="Comma 5 4" xfId="332" xr:uid="{00000000-0005-0000-0000-00004F010000}"/>
    <cellStyle name="Comma 5 4 2" xfId="333" xr:uid="{00000000-0005-0000-0000-000050010000}"/>
    <cellStyle name="Comma 5 5" xfId="334" xr:uid="{00000000-0005-0000-0000-000051010000}"/>
    <cellStyle name="Comma 58" xfId="335" xr:uid="{00000000-0005-0000-0000-000052010000}"/>
    <cellStyle name="Comma 58 2" xfId="336" xr:uid="{00000000-0005-0000-0000-000053010000}"/>
    <cellStyle name="Comma 6" xfId="337" xr:uid="{00000000-0005-0000-0000-000054010000}"/>
    <cellStyle name="Comma 6 2" xfId="338" xr:uid="{00000000-0005-0000-0000-000055010000}"/>
    <cellStyle name="Comma 6 2 2" xfId="339" xr:uid="{00000000-0005-0000-0000-000056010000}"/>
    <cellStyle name="Comma 6 3" xfId="340" xr:uid="{00000000-0005-0000-0000-000057010000}"/>
    <cellStyle name="Comma 6 3 2" xfId="341" xr:uid="{00000000-0005-0000-0000-000058010000}"/>
    <cellStyle name="Comma 6 4" xfId="342" xr:uid="{00000000-0005-0000-0000-000059010000}"/>
    <cellStyle name="Comma 7" xfId="343" xr:uid="{00000000-0005-0000-0000-00005A010000}"/>
    <cellStyle name="Comma 7 2" xfId="344" xr:uid="{00000000-0005-0000-0000-00005B010000}"/>
    <cellStyle name="Comma 7 2 2" xfId="345" xr:uid="{00000000-0005-0000-0000-00005C010000}"/>
    <cellStyle name="Comma 7 2 2 2" xfId="346" xr:uid="{00000000-0005-0000-0000-00005D010000}"/>
    <cellStyle name="Comma 7 2 3" xfId="347" xr:uid="{00000000-0005-0000-0000-00005E010000}"/>
    <cellStyle name="Comma 7 3" xfId="348" xr:uid="{00000000-0005-0000-0000-00005F010000}"/>
    <cellStyle name="Comma 7 3 2" xfId="349" xr:uid="{00000000-0005-0000-0000-000060010000}"/>
    <cellStyle name="Comma 7 4" xfId="350" xr:uid="{00000000-0005-0000-0000-000061010000}"/>
    <cellStyle name="Comma 8" xfId="351" xr:uid="{00000000-0005-0000-0000-000062010000}"/>
    <cellStyle name="Comma 8 2" xfId="352" xr:uid="{00000000-0005-0000-0000-000063010000}"/>
    <cellStyle name="Comma 8 2 2" xfId="353" xr:uid="{00000000-0005-0000-0000-000064010000}"/>
    <cellStyle name="Comma 8 3" xfId="354" xr:uid="{00000000-0005-0000-0000-000065010000}"/>
    <cellStyle name="Comma 8 3 2" xfId="355" xr:uid="{00000000-0005-0000-0000-000066010000}"/>
    <cellStyle name="Comma 8 4" xfId="356" xr:uid="{00000000-0005-0000-0000-000067010000}"/>
    <cellStyle name="Comma 9" xfId="357" xr:uid="{00000000-0005-0000-0000-000068010000}"/>
    <cellStyle name="Comma 9 2" xfId="358" xr:uid="{00000000-0005-0000-0000-000069010000}"/>
    <cellStyle name="Comma 9 2 2" xfId="359" xr:uid="{00000000-0005-0000-0000-00006A010000}"/>
    <cellStyle name="Comma 9 3" xfId="360" xr:uid="{00000000-0005-0000-0000-00006B010000}"/>
    <cellStyle name="comma zerodec" xfId="361" xr:uid="{00000000-0005-0000-0000-00006C010000}"/>
    <cellStyle name="Comma,0" xfId="362" xr:uid="{00000000-0005-0000-0000-00006D010000}"/>
    <cellStyle name="Comma,1" xfId="363" xr:uid="{00000000-0005-0000-0000-00006E010000}"/>
    <cellStyle name="Comma,2" xfId="364" xr:uid="{00000000-0005-0000-0000-00006F010000}"/>
    <cellStyle name="Currency,0" xfId="365" xr:uid="{00000000-0005-0000-0000-000070010000}"/>
    <cellStyle name="Currency,2" xfId="366" xr:uid="{00000000-0005-0000-0000-000071010000}"/>
    <cellStyle name="Currency1" xfId="367" xr:uid="{00000000-0005-0000-0000-000072010000}"/>
    <cellStyle name="dataStyle 2" xfId="368" xr:uid="{00000000-0005-0000-0000-000073010000}"/>
    <cellStyle name="dataStyle 2 2" xfId="369" xr:uid="{00000000-0005-0000-0000-000074010000}"/>
    <cellStyle name="dataStyle 2 2 2" xfId="370" xr:uid="{00000000-0005-0000-0000-000075010000}"/>
    <cellStyle name="dataStyle 2 2 3" xfId="371" xr:uid="{00000000-0005-0000-0000-000076010000}"/>
    <cellStyle name="dataStyle 2 2 4" xfId="372" xr:uid="{00000000-0005-0000-0000-000077010000}"/>
    <cellStyle name="dataStyle 2 3" xfId="373" xr:uid="{00000000-0005-0000-0000-000078010000}"/>
    <cellStyle name="dataStyle 2 4" xfId="374" xr:uid="{00000000-0005-0000-0000-000079010000}"/>
    <cellStyle name="dataStyle 2 5" xfId="375" xr:uid="{00000000-0005-0000-0000-00007A010000}"/>
    <cellStyle name="dataStyle 3" xfId="376" xr:uid="{00000000-0005-0000-0000-00007B010000}"/>
    <cellStyle name="dataStyle 3 2" xfId="377" xr:uid="{00000000-0005-0000-0000-00007C010000}"/>
    <cellStyle name="dataStyle 3 2 2" xfId="378" xr:uid="{00000000-0005-0000-0000-00007D010000}"/>
    <cellStyle name="dataStyle 3 2 3" xfId="379" xr:uid="{00000000-0005-0000-0000-00007E010000}"/>
    <cellStyle name="dataStyle 3 2 4" xfId="380" xr:uid="{00000000-0005-0000-0000-00007F010000}"/>
    <cellStyle name="dataStyle 3 3" xfId="381" xr:uid="{00000000-0005-0000-0000-000080010000}"/>
    <cellStyle name="dataStyle 3 4" xfId="382" xr:uid="{00000000-0005-0000-0000-000081010000}"/>
    <cellStyle name="dataStyle 3 5" xfId="383" xr:uid="{00000000-0005-0000-0000-000082010000}"/>
    <cellStyle name="Dollar (zero dec)" xfId="384" xr:uid="{00000000-0005-0000-0000-000083010000}"/>
    <cellStyle name="entry" xfId="385" xr:uid="{00000000-0005-0000-0000-000084010000}"/>
    <cellStyle name="entry box" xfId="386" xr:uid="{00000000-0005-0000-0000-000085010000}"/>
    <cellStyle name="entry box 2" xfId="387" xr:uid="{00000000-0005-0000-0000-000086010000}"/>
    <cellStyle name="entry box 2 2" xfId="388" xr:uid="{00000000-0005-0000-0000-000087010000}"/>
    <cellStyle name="entry box 2 3" xfId="389" xr:uid="{00000000-0005-0000-0000-000088010000}"/>
    <cellStyle name="entry box 3" xfId="390" xr:uid="{00000000-0005-0000-0000-000089010000}"/>
    <cellStyle name="entry box 4" xfId="391" xr:uid="{00000000-0005-0000-0000-00008A010000}"/>
    <cellStyle name="entry box 5" xfId="392" xr:uid="{00000000-0005-0000-0000-00008B010000}"/>
    <cellStyle name="Euro" xfId="393" xr:uid="{00000000-0005-0000-0000-00008C010000}"/>
    <cellStyle name="Euro 2" xfId="394" xr:uid="{00000000-0005-0000-0000-00008D010000}"/>
    <cellStyle name="Euro 2 2" xfId="395" xr:uid="{00000000-0005-0000-0000-00008E010000}"/>
    <cellStyle name="Euro 3" xfId="396" xr:uid="{00000000-0005-0000-0000-00008F010000}"/>
    <cellStyle name="Good 2" xfId="397" xr:uid="{00000000-0005-0000-0000-000090010000}"/>
    <cellStyle name="Good 2 2" xfId="398" xr:uid="{00000000-0005-0000-0000-000091010000}"/>
    <cellStyle name="Good 2 3" xfId="399" xr:uid="{00000000-0005-0000-0000-000092010000}"/>
    <cellStyle name="Grey" xfId="400" xr:uid="{00000000-0005-0000-0000-000093010000}"/>
    <cellStyle name="HEADER" xfId="401" xr:uid="{00000000-0005-0000-0000-000094010000}"/>
    <cellStyle name="Header1" xfId="402" xr:uid="{00000000-0005-0000-0000-000095010000}"/>
    <cellStyle name="Header1 2" xfId="403" xr:uid="{00000000-0005-0000-0000-000096010000}"/>
    <cellStyle name="Header1 3" xfId="404" xr:uid="{00000000-0005-0000-0000-000097010000}"/>
    <cellStyle name="Header1 4" xfId="405" xr:uid="{00000000-0005-0000-0000-000098010000}"/>
    <cellStyle name="Header2" xfId="406" xr:uid="{00000000-0005-0000-0000-000099010000}"/>
    <cellStyle name="Hyperlink" xfId="1334" xr:uid="{00000000-0005-0000-0000-000015000000}"/>
    <cellStyle name="Hyperlink 2" xfId="55" xr:uid="{00000000-0005-0000-0000-000039000000}"/>
    <cellStyle name="Hyperlink 2 2" xfId="407" xr:uid="{00000000-0005-0000-0000-00009A010000}"/>
    <cellStyle name="Hyperlink 2 2 3" xfId="56" xr:uid="{00000000-0005-0000-0000-00003A000000}"/>
    <cellStyle name="Hyperlink 2 3" xfId="408" xr:uid="{00000000-0005-0000-0000-00009B010000}"/>
    <cellStyle name="Hyperlink 2 4" xfId="409" xr:uid="{00000000-0005-0000-0000-00009C010000}"/>
    <cellStyle name="Hyperlink 3" xfId="410" xr:uid="{00000000-0005-0000-0000-00009D010000}"/>
    <cellStyle name="Hyperlink 3 2" xfId="411" xr:uid="{00000000-0005-0000-0000-00009E010000}"/>
    <cellStyle name="Hyperlink 3 3" xfId="412" xr:uid="{00000000-0005-0000-0000-00009F010000}"/>
    <cellStyle name="Hyperlink 4" xfId="413" xr:uid="{00000000-0005-0000-0000-0000A0010000}"/>
    <cellStyle name="Hyperlink 4 2" xfId="414" xr:uid="{00000000-0005-0000-0000-0000A1010000}"/>
    <cellStyle name="Hyperlink 4 3" xfId="415" xr:uid="{00000000-0005-0000-0000-0000A2010000}"/>
    <cellStyle name="Hyperlink 4 4" xfId="416" xr:uid="{00000000-0005-0000-0000-0000A3010000}"/>
    <cellStyle name="Hyperlink 5" xfId="20" xr:uid="{00000000-0005-0000-0000-000014000000}"/>
    <cellStyle name="Hyperlink 6" xfId="1333" xr:uid="{8C7E70E4-D984-492F-87B6-920980856A88}"/>
    <cellStyle name="Input [yellow]" xfId="417" xr:uid="{00000000-0005-0000-0000-0000A4010000}"/>
    <cellStyle name="Input [yellow] 2" xfId="418" xr:uid="{00000000-0005-0000-0000-0000A5010000}"/>
    <cellStyle name="Input [yellow] 2 2" xfId="419" xr:uid="{00000000-0005-0000-0000-0000A6010000}"/>
    <cellStyle name="Input [yellow] 2 3" xfId="420" xr:uid="{00000000-0005-0000-0000-0000A7010000}"/>
    <cellStyle name="Input [yellow] 3" xfId="421" xr:uid="{00000000-0005-0000-0000-0000A8010000}"/>
    <cellStyle name="Input [yellow] 4" xfId="422" xr:uid="{00000000-0005-0000-0000-0000A9010000}"/>
    <cellStyle name="Input [yellow] 5" xfId="423" xr:uid="{00000000-0005-0000-0000-0000AA010000}"/>
    <cellStyle name="Model" xfId="424" xr:uid="{00000000-0005-0000-0000-0000AB010000}"/>
    <cellStyle name="Model 2" xfId="425" xr:uid="{00000000-0005-0000-0000-0000AC010000}"/>
    <cellStyle name="Normal - Style1" xfId="426" xr:uid="{00000000-0005-0000-0000-0000AD010000}"/>
    <cellStyle name="Normal 10" xfId="427" xr:uid="{00000000-0005-0000-0000-0000AE010000}"/>
    <cellStyle name="Normal 10 10" xfId="21" xr:uid="{00000000-0005-0000-0000-000016000000}"/>
    <cellStyle name="Normal 10 2" xfId="428" xr:uid="{00000000-0005-0000-0000-0000AF010000}"/>
    <cellStyle name="Normal 10 2 2" xfId="429" xr:uid="{00000000-0005-0000-0000-0000B0010000}"/>
    <cellStyle name="Normal 10 2 2 2" xfId="430" xr:uid="{00000000-0005-0000-0000-0000B1010000}"/>
    <cellStyle name="Normal 10 2 3" xfId="431" xr:uid="{00000000-0005-0000-0000-0000B2010000}"/>
    <cellStyle name="Normal 10 3" xfId="432" xr:uid="{00000000-0005-0000-0000-0000B3010000}"/>
    <cellStyle name="Normal 10 4" xfId="433" xr:uid="{00000000-0005-0000-0000-0000B4010000}"/>
    <cellStyle name="Normal 103" xfId="61" xr:uid="{00000000-0005-0000-0000-000040000000}"/>
    <cellStyle name="Normal 103 2" xfId="434" xr:uid="{00000000-0005-0000-0000-0000B5010000}"/>
    <cellStyle name="Normal 103 2 2" xfId="435" xr:uid="{00000000-0005-0000-0000-0000B6010000}"/>
    <cellStyle name="Normal 103 2 3" xfId="34" xr:uid="{00000000-0005-0000-0000-000024000000}"/>
    <cellStyle name="Normal 103 2 3 2" xfId="1329" xr:uid="{1EECB9C8-6A40-486B-A301-80652701E9FD}"/>
    <cellStyle name="Normal 103 2 4" xfId="436" xr:uid="{00000000-0005-0000-0000-0000B7010000}"/>
    <cellStyle name="Normal 103 3" xfId="437" xr:uid="{00000000-0005-0000-0000-0000B8010000}"/>
    <cellStyle name="Normal 103 4 2" xfId="438" xr:uid="{00000000-0005-0000-0000-0000B9010000}"/>
    <cellStyle name="Normal 11" xfId="439" xr:uid="{00000000-0005-0000-0000-0000BA010000}"/>
    <cellStyle name="Normal 11 2" xfId="440" xr:uid="{00000000-0005-0000-0000-0000BB010000}"/>
    <cellStyle name="Normal 111 2" xfId="441" xr:uid="{00000000-0005-0000-0000-0000BC010000}"/>
    <cellStyle name="Normal 111 2 2" xfId="442" xr:uid="{00000000-0005-0000-0000-0000BD010000}"/>
    <cellStyle name="Normal 111 2 3" xfId="443" xr:uid="{00000000-0005-0000-0000-0000BE010000}"/>
    <cellStyle name="Normal 118" xfId="444" xr:uid="{00000000-0005-0000-0000-0000BF010000}"/>
    <cellStyle name="Normal 12" xfId="445" xr:uid="{00000000-0005-0000-0000-0000C0010000}"/>
    <cellStyle name="Normal 12 2" xfId="446" xr:uid="{00000000-0005-0000-0000-0000C1010000}"/>
    <cellStyle name="Normal 12 2 2 2 2" xfId="447" xr:uid="{00000000-0005-0000-0000-0000C2010000}"/>
    <cellStyle name="Normal 121" xfId="29" xr:uid="{00000000-0005-0000-0000-00001E000000}"/>
    <cellStyle name="Normal 121 2" xfId="42" xr:uid="{00000000-0005-0000-0000-00002C000000}"/>
    <cellStyle name="Normal 121 2 2" xfId="37" xr:uid="{00000000-0005-0000-0000-000027000000}"/>
    <cellStyle name="Normal 121 2 2 2" xfId="448" xr:uid="{00000000-0005-0000-0000-0000C3010000}"/>
    <cellStyle name="Normal 121 2 2 2 2" xfId="449" xr:uid="{00000000-0005-0000-0000-0000C4010000}"/>
    <cellStyle name="Normal 121 2 2 2 4" xfId="450" xr:uid="{00000000-0005-0000-0000-0000C5010000}"/>
    <cellStyle name="Normal 121 2 3" xfId="451" xr:uid="{00000000-0005-0000-0000-0000C6010000}"/>
    <cellStyle name="Normal 121 2 4" xfId="452" xr:uid="{00000000-0005-0000-0000-0000C7010000}"/>
    <cellStyle name="Normal 121 4" xfId="24" xr:uid="{00000000-0005-0000-0000-000019000000}"/>
    <cellStyle name="Normal 125" xfId="66" xr:uid="{00000000-0005-0000-0000-000045000000}"/>
    <cellStyle name="Normal 125 2" xfId="453" xr:uid="{00000000-0005-0000-0000-0000C8010000}"/>
    <cellStyle name="Normal 126" xfId="454" xr:uid="{00000000-0005-0000-0000-0000C9010000}"/>
    <cellStyle name="Normal 126 2" xfId="455" xr:uid="{00000000-0005-0000-0000-0000CA010000}"/>
    <cellStyle name="Normal 13" xfId="1" xr:uid="{00000000-0005-0000-0000-000001000000}"/>
    <cellStyle name="Normal 13 2" xfId="456" xr:uid="{00000000-0005-0000-0000-0000CB010000}"/>
    <cellStyle name="Normal 13 3" xfId="457" xr:uid="{00000000-0005-0000-0000-0000CC010000}"/>
    <cellStyle name="Normal 14" xfId="63" xr:uid="{00000000-0005-0000-0000-000042000000}"/>
    <cellStyle name="Normal 14 2" xfId="57" xr:uid="{00000000-0005-0000-0000-00003B000000}"/>
    <cellStyle name="Normal 14 3" xfId="67" xr:uid="{00000000-0005-0000-0000-000046000000}"/>
    <cellStyle name="Normal 15" xfId="458" xr:uid="{00000000-0005-0000-0000-0000CD010000}"/>
    <cellStyle name="Normal 15 2" xfId="459" xr:uid="{00000000-0005-0000-0000-0000CE010000}"/>
    <cellStyle name="Normal 15 2 2" xfId="70" xr:uid="{00000000-0005-0000-0000-000049000000}"/>
    <cellStyle name="Normal 15 2 3" xfId="460" xr:uid="{00000000-0005-0000-0000-0000CF010000}"/>
    <cellStyle name="Normal 15 3" xfId="461" xr:uid="{00000000-0005-0000-0000-0000D0010000}"/>
    <cellStyle name="Normal 16" xfId="462" xr:uid="{00000000-0005-0000-0000-0000D1010000}"/>
    <cellStyle name="Normal 16 2" xfId="15" xr:uid="{00000000-0005-0000-0000-00000F000000}"/>
    <cellStyle name="Normal 16 2 2" xfId="1323" xr:uid="{0154A1F7-55BF-4933-8B64-AD507B374D7D}"/>
    <cellStyle name="Normal 16 2 3" xfId="1337" xr:uid="{E826C14C-44DA-4336-A355-9A213886AF63}"/>
    <cellStyle name="Normal 17" xfId="19" xr:uid="{00000000-0005-0000-0000-000013000000}"/>
    <cellStyle name="Normal 182" xfId="463" xr:uid="{00000000-0005-0000-0000-0000D2010000}"/>
    <cellStyle name="Normal 182 2" xfId="464" xr:uid="{00000000-0005-0000-0000-0000D3010000}"/>
    <cellStyle name="Normal 2" xfId="31" xr:uid="{00000000-0005-0000-0000-000020000000}"/>
    <cellStyle name="Normal 2 10" xfId="10" xr:uid="{00000000-0005-0000-0000-00000A000000}"/>
    <cellStyle name="Normal 2 10 2" xfId="68" xr:uid="{00000000-0005-0000-0000-000047000000}"/>
    <cellStyle name="Normal 2 2" xfId="25" xr:uid="{00000000-0005-0000-0000-00001A000000}"/>
    <cellStyle name="Normal 2 2 2" xfId="30" xr:uid="{00000000-0005-0000-0000-00001F000000}"/>
    <cellStyle name="Normal 2 2 2 2" xfId="465" xr:uid="{00000000-0005-0000-0000-0000D4010000}"/>
    <cellStyle name="Normal 2 2 2 2 2" xfId="466" xr:uid="{00000000-0005-0000-0000-0000D5010000}"/>
    <cellStyle name="Normal 2 2 2 3" xfId="467" xr:uid="{00000000-0005-0000-0000-0000D6010000}"/>
    <cellStyle name="Normal 2 2 3" xfId="44" xr:uid="{00000000-0005-0000-0000-00002E000000}"/>
    <cellStyle name="Normal 2 2 3 2" xfId="468" xr:uid="{00000000-0005-0000-0000-0000D7010000}"/>
    <cellStyle name="Normal 2 2 4" xfId="45" xr:uid="{00000000-0005-0000-0000-00002F000000}"/>
    <cellStyle name="Normal 2 24" xfId="469" xr:uid="{00000000-0005-0000-0000-0000D8010000}"/>
    <cellStyle name="Normal 2 3" xfId="46" xr:uid="{00000000-0005-0000-0000-000030000000}"/>
    <cellStyle name="Normal 2 3 2" xfId="470" xr:uid="{00000000-0005-0000-0000-0000D9010000}"/>
    <cellStyle name="Normal 2 3 2 2" xfId="471" xr:uid="{00000000-0005-0000-0000-0000DA010000}"/>
    <cellStyle name="Normal 2 3 2 2 2" xfId="472" xr:uid="{00000000-0005-0000-0000-0000DB010000}"/>
    <cellStyle name="Normal 2 3 2 2 2 2" xfId="26" xr:uid="{00000000-0005-0000-0000-00001B000000}"/>
    <cellStyle name="Normal 2 3 2 2 3" xfId="53" xr:uid="{00000000-0005-0000-0000-000037000000}"/>
    <cellStyle name="Normal 2 3 2 2 4" xfId="473" xr:uid="{00000000-0005-0000-0000-0000DC010000}"/>
    <cellStyle name="Normal 2 3 2 3" xfId="474" xr:uid="{00000000-0005-0000-0000-0000DD010000}"/>
    <cellStyle name="Normal 2 3 3" xfId="475" xr:uid="{00000000-0005-0000-0000-0000DE010000}"/>
    <cellStyle name="Normal 2 3 3 2" xfId="476" xr:uid="{00000000-0005-0000-0000-0000DF010000}"/>
    <cellStyle name="Normal 2 3 4" xfId="477" xr:uid="{00000000-0005-0000-0000-0000E0010000}"/>
    <cellStyle name="Normal 2 3 4 2" xfId="478" xr:uid="{00000000-0005-0000-0000-0000E1010000}"/>
    <cellStyle name="Normal 2 3 4 2 2" xfId="479" xr:uid="{00000000-0005-0000-0000-0000E2010000}"/>
    <cellStyle name="Normal 2 3 5" xfId="38" xr:uid="{00000000-0005-0000-0000-000028000000}"/>
    <cellStyle name="Normal 2 3 5 2" xfId="480" xr:uid="{00000000-0005-0000-0000-0000E3010000}"/>
    <cellStyle name="Normal 2 3 6" xfId="481" xr:uid="{00000000-0005-0000-0000-0000E4010000}"/>
    <cellStyle name="Normal 2 3 6 2" xfId="1331" xr:uid="{DEF9DCF5-B1D6-4AE9-8C57-4ADF20C7FB67}"/>
    <cellStyle name="Normal 2 4" xfId="482" xr:uid="{00000000-0005-0000-0000-0000E5010000}"/>
    <cellStyle name="Normal 2 4 2" xfId="483" xr:uid="{00000000-0005-0000-0000-0000E6010000}"/>
    <cellStyle name="Normal 2 4 3" xfId="484" xr:uid="{00000000-0005-0000-0000-0000E7010000}"/>
    <cellStyle name="Normal 2 5" xfId="40" xr:uid="{00000000-0005-0000-0000-00002A000000}"/>
    <cellStyle name="Normal 2 5 2" xfId="485" xr:uid="{00000000-0005-0000-0000-0000E8010000}"/>
    <cellStyle name="Normal 2 5 3" xfId="486" xr:uid="{00000000-0005-0000-0000-0000E9010000}"/>
    <cellStyle name="Normal 2 6" xfId="487" xr:uid="{00000000-0005-0000-0000-0000EA010000}"/>
    <cellStyle name="Normal 2 7" xfId="488" xr:uid="{00000000-0005-0000-0000-0000EB010000}"/>
    <cellStyle name="Normal 3" xfId="489" xr:uid="{00000000-0005-0000-0000-0000EC010000}"/>
    <cellStyle name="Normal 3 2" xfId="490" xr:uid="{00000000-0005-0000-0000-0000ED010000}"/>
    <cellStyle name="Normal 3 2 2" xfId="491" xr:uid="{00000000-0005-0000-0000-0000EE010000}"/>
    <cellStyle name="Normal 3 2 2 2 2" xfId="35" xr:uid="{00000000-0005-0000-0000-000025000000}"/>
    <cellStyle name="Normal 3 2 3" xfId="492" xr:uid="{00000000-0005-0000-0000-0000EF010000}"/>
    <cellStyle name="Normal 3 2 4" xfId="16" xr:uid="{00000000-0005-0000-0000-000010000000}"/>
    <cellStyle name="Normal 3 2 5" xfId="493" xr:uid="{00000000-0005-0000-0000-0000F0010000}"/>
    <cellStyle name="Normal 3 2 6" xfId="494" xr:uid="{00000000-0005-0000-0000-0000F1010000}"/>
    <cellStyle name="Normal 3 3" xfId="48" xr:uid="{00000000-0005-0000-0000-000032000000}"/>
    <cellStyle name="Normal 3 3 2" xfId="41" xr:uid="{00000000-0005-0000-0000-00002B000000}"/>
    <cellStyle name="Normal 3 3 2 2" xfId="495" xr:uid="{00000000-0005-0000-0000-0000F2010000}"/>
    <cellStyle name="Normal 3 4" xfId="14" xr:uid="{00000000-0005-0000-0000-00000E000000}"/>
    <cellStyle name="Normal 3 5" xfId="496" xr:uid="{00000000-0005-0000-0000-0000F3010000}"/>
    <cellStyle name="Normal 3 6" xfId="497" xr:uid="{00000000-0005-0000-0000-0000F4010000}"/>
    <cellStyle name="Normal 3 6 2" xfId="498" xr:uid="{00000000-0005-0000-0000-0000F5010000}"/>
    <cellStyle name="Normal 31" xfId="499" xr:uid="{00000000-0005-0000-0000-0000F6010000}"/>
    <cellStyle name="Normal 4" xfId="51" xr:uid="{00000000-0005-0000-0000-000035000000}"/>
    <cellStyle name="Normal 4 2" xfId="500" xr:uid="{00000000-0005-0000-0000-0000F7010000}"/>
    <cellStyle name="Normal 4 2 2" xfId="501" xr:uid="{00000000-0005-0000-0000-0000F8010000}"/>
    <cellStyle name="Normal 4 2 3" xfId="502" xr:uid="{00000000-0005-0000-0000-0000F9010000}"/>
    <cellStyle name="Normal 4 2 4" xfId="503" xr:uid="{00000000-0005-0000-0000-0000FA010000}"/>
    <cellStyle name="Normal 4 3" xfId="504" xr:uid="{00000000-0005-0000-0000-0000FB010000}"/>
    <cellStyle name="Normal 4 3 2" xfId="505" xr:uid="{00000000-0005-0000-0000-0000FC010000}"/>
    <cellStyle name="Normal 4 3 2 2" xfId="506" xr:uid="{00000000-0005-0000-0000-0000FD010000}"/>
    <cellStyle name="Normal 4 3 3" xfId="507" xr:uid="{00000000-0005-0000-0000-0000FE010000}"/>
    <cellStyle name="Normal 4 3 4" xfId="508" xr:uid="{00000000-0005-0000-0000-0000FF010000}"/>
    <cellStyle name="Normal 4 3 5" xfId="509" xr:uid="{00000000-0005-0000-0000-000000020000}"/>
    <cellStyle name="Normal 4 4" xfId="510" xr:uid="{00000000-0005-0000-0000-000001020000}"/>
    <cellStyle name="Normal 4 5" xfId="511" xr:uid="{00000000-0005-0000-0000-000002020000}"/>
    <cellStyle name="Normal 5" xfId="512" xr:uid="{00000000-0005-0000-0000-000003020000}"/>
    <cellStyle name="Normal 5 2" xfId="62" xr:uid="{00000000-0005-0000-0000-000041000000}"/>
    <cellStyle name="Normal 5 3" xfId="513" xr:uid="{00000000-0005-0000-0000-000004020000}"/>
    <cellStyle name="Normal 5 3 2" xfId="514" xr:uid="{00000000-0005-0000-0000-000005020000}"/>
    <cellStyle name="Normal 5 4" xfId="515" xr:uid="{00000000-0005-0000-0000-000006020000}"/>
    <cellStyle name="Normal 5 5" xfId="516" xr:uid="{00000000-0005-0000-0000-000007020000}"/>
    <cellStyle name="Normal 6" xfId="517" xr:uid="{00000000-0005-0000-0000-000008020000}"/>
    <cellStyle name="Normal 6 2" xfId="518" xr:uid="{00000000-0005-0000-0000-000009020000}"/>
    <cellStyle name="Normal 6 2 2" xfId="519" xr:uid="{00000000-0005-0000-0000-00000A020000}"/>
    <cellStyle name="Normal 6 2 3" xfId="520" xr:uid="{00000000-0005-0000-0000-00000B020000}"/>
    <cellStyle name="Normal 6 3" xfId="521" xr:uid="{00000000-0005-0000-0000-00000C020000}"/>
    <cellStyle name="Normal 6 4" xfId="522" xr:uid="{00000000-0005-0000-0000-00000D020000}"/>
    <cellStyle name="Normal 7" xfId="523" xr:uid="{00000000-0005-0000-0000-00000E020000}"/>
    <cellStyle name="Normal 7 2" xfId="524" xr:uid="{00000000-0005-0000-0000-00000F020000}"/>
    <cellStyle name="Normal 7 3" xfId="525" xr:uid="{00000000-0005-0000-0000-000010020000}"/>
    <cellStyle name="Normal 7 4" xfId="526" xr:uid="{00000000-0005-0000-0000-000011020000}"/>
    <cellStyle name="Normal 8" xfId="49" xr:uid="{00000000-0005-0000-0000-000033000000}"/>
    <cellStyle name="Normal 8 2" xfId="527" xr:uid="{00000000-0005-0000-0000-000012020000}"/>
    <cellStyle name="Normal 8 2 2" xfId="528" xr:uid="{00000000-0005-0000-0000-000013020000}"/>
    <cellStyle name="Normal 8 3" xfId="529" xr:uid="{00000000-0005-0000-0000-000014020000}"/>
    <cellStyle name="Normal 8 4" xfId="530" xr:uid="{00000000-0005-0000-0000-000015020000}"/>
    <cellStyle name="Normal 9" xfId="2" xr:uid="{00000000-0005-0000-0000-000002000000}"/>
    <cellStyle name="Normal 9 2" xfId="5" xr:uid="{00000000-0005-0000-0000-000005000000}"/>
    <cellStyle name="Normal 9 2 2" xfId="531" xr:uid="{00000000-0005-0000-0000-000016020000}"/>
    <cellStyle name="Normal_Sheet2" xfId="43" xr:uid="{00000000-0005-0000-0000-00002D000000}"/>
    <cellStyle name="Normalny_Arkusz1" xfId="532" xr:uid="{00000000-0005-0000-0000-000017020000}"/>
    <cellStyle name="Percent [2]" xfId="533" xr:uid="{00000000-0005-0000-0000-000018020000}"/>
    <cellStyle name="Percent 2" xfId="54" xr:uid="{00000000-0005-0000-0000-000038000000}"/>
    <cellStyle name="Percent 2 2" xfId="534" xr:uid="{00000000-0005-0000-0000-000019020000}"/>
    <cellStyle name="Percent 2 3" xfId="535" xr:uid="{00000000-0005-0000-0000-00001A020000}"/>
    <cellStyle name="Percent 2 4" xfId="536" xr:uid="{00000000-0005-0000-0000-00001B020000}"/>
    <cellStyle name="Percent 3" xfId="537" xr:uid="{00000000-0005-0000-0000-00001C020000}"/>
    <cellStyle name="Percent 3 2" xfId="538" xr:uid="{00000000-0005-0000-0000-00001D020000}"/>
    <cellStyle name="Percent 3 3" xfId="539" xr:uid="{00000000-0005-0000-0000-00001E020000}"/>
    <cellStyle name="Percent 4" xfId="50" xr:uid="{00000000-0005-0000-0000-000034000000}"/>
    <cellStyle name="Percent 5" xfId="47" xr:uid="{00000000-0005-0000-0000-000031000000}"/>
    <cellStyle name="Percent 5 2" xfId="39" xr:uid="{00000000-0005-0000-0000-000029000000}"/>
    <cellStyle name="Percent 5 2 2" xfId="540" xr:uid="{00000000-0005-0000-0000-00001F020000}"/>
    <cellStyle name="Percent 6 2" xfId="541" xr:uid="{00000000-0005-0000-0000-000020020000}"/>
    <cellStyle name="Prefilled" xfId="542" xr:uid="{00000000-0005-0000-0000-000021020000}"/>
    <cellStyle name="Prefilled 2" xfId="543" xr:uid="{00000000-0005-0000-0000-000022020000}"/>
    <cellStyle name="Prefilled 2 2" xfId="544" xr:uid="{00000000-0005-0000-0000-000023020000}"/>
    <cellStyle name="Prefilled 2 3" xfId="545" xr:uid="{00000000-0005-0000-0000-000024020000}"/>
    <cellStyle name="Prefilled 3" xfId="546" xr:uid="{00000000-0005-0000-0000-000025020000}"/>
    <cellStyle name="Prefilled 4" xfId="547" xr:uid="{00000000-0005-0000-0000-000026020000}"/>
    <cellStyle name="Prefilled 5" xfId="548" xr:uid="{00000000-0005-0000-0000-000027020000}"/>
    <cellStyle name="price" xfId="549" xr:uid="{00000000-0005-0000-0000-000028020000}"/>
    <cellStyle name="revised" xfId="550" xr:uid="{00000000-0005-0000-0000-000029020000}"/>
    <cellStyle name="row_def_array" xfId="551" xr:uid="{00000000-0005-0000-0000-00002A020000}"/>
    <cellStyle name="SAPBEXaggData" xfId="552" xr:uid="{00000000-0005-0000-0000-00002B020000}"/>
    <cellStyle name="SAPBEXaggData 2" xfId="553" xr:uid="{00000000-0005-0000-0000-00002C020000}"/>
    <cellStyle name="SAPBEXaggData 2 2" xfId="554" xr:uid="{00000000-0005-0000-0000-00002D020000}"/>
    <cellStyle name="SAPBEXaggData 2 2 2" xfId="555" xr:uid="{00000000-0005-0000-0000-00002E020000}"/>
    <cellStyle name="SAPBEXaggData 2 2 3" xfId="556" xr:uid="{00000000-0005-0000-0000-00002F020000}"/>
    <cellStyle name="SAPBEXaggData 2 2 4" xfId="557" xr:uid="{00000000-0005-0000-0000-000030020000}"/>
    <cellStyle name="SAPBEXaggData 2 2 5" xfId="558" xr:uid="{00000000-0005-0000-0000-000031020000}"/>
    <cellStyle name="SAPBEXaggData 2 3" xfId="559" xr:uid="{00000000-0005-0000-0000-000032020000}"/>
    <cellStyle name="SAPBEXaggData 3" xfId="560" xr:uid="{00000000-0005-0000-0000-000033020000}"/>
    <cellStyle name="SAPBEXaggData 3 2" xfId="561" xr:uid="{00000000-0005-0000-0000-000034020000}"/>
    <cellStyle name="SAPBEXaggData 3 3" xfId="562" xr:uid="{00000000-0005-0000-0000-000035020000}"/>
    <cellStyle name="SAPBEXaggData 3 4" xfId="563" xr:uid="{00000000-0005-0000-0000-000036020000}"/>
    <cellStyle name="SAPBEXaggData 3 5" xfId="564" xr:uid="{00000000-0005-0000-0000-000037020000}"/>
    <cellStyle name="SAPBEXaggData 4" xfId="565" xr:uid="{00000000-0005-0000-0000-000038020000}"/>
    <cellStyle name="SAPBEXaggDataEmph" xfId="566" xr:uid="{00000000-0005-0000-0000-000039020000}"/>
    <cellStyle name="SAPBEXaggDataEmph 2" xfId="567" xr:uid="{00000000-0005-0000-0000-00003A020000}"/>
    <cellStyle name="SAPBEXaggDataEmph 2 2" xfId="568" xr:uid="{00000000-0005-0000-0000-00003B020000}"/>
    <cellStyle name="SAPBEXaggDataEmph 2 2 2" xfId="569" xr:uid="{00000000-0005-0000-0000-00003C020000}"/>
    <cellStyle name="SAPBEXaggDataEmph 2 2 3" xfId="570" xr:uid="{00000000-0005-0000-0000-00003D020000}"/>
    <cellStyle name="SAPBEXaggDataEmph 2 2 4" xfId="571" xr:uid="{00000000-0005-0000-0000-00003E020000}"/>
    <cellStyle name="SAPBEXaggDataEmph 2 2 5" xfId="572" xr:uid="{00000000-0005-0000-0000-00003F020000}"/>
    <cellStyle name="SAPBEXaggDataEmph 2 3" xfId="573" xr:uid="{00000000-0005-0000-0000-000040020000}"/>
    <cellStyle name="SAPBEXaggDataEmph 3" xfId="574" xr:uid="{00000000-0005-0000-0000-000041020000}"/>
    <cellStyle name="SAPBEXaggDataEmph 3 2" xfId="575" xr:uid="{00000000-0005-0000-0000-000042020000}"/>
    <cellStyle name="SAPBEXaggDataEmph 3 3" xfId="576" xr:uid="{00000000-0005-0000-0000-000043020000}"/>
    <cellStyle name="SAPBEXaggDataEmph 3 4" xfId="577" xr:uid="{00000000-0005-0000-0000-000044020000}"/>
    <cellStyle name="SAPBEXaggDataEmph 3 5" xfId="578" xr:uid="{00000000-0005-0000-0000-000045020000}"/>
    <cellStyle name="SAPBEXaggDataEmph 4" xfId="579" xr:uid="{00000000-0005-0000-0000-000046020000}"/>
    <cellStyle name="SAPBEXaggItem" xfId="580" xr:uid="{00000000-0005-0000-0000-000047020000}"/>
    <cellStyle name="SAPBEXaggItem 2" xfId="581" xr:uid="{00000000-0005-0000-0000-000048020000}"/>
    <cellStyle name="SAPBEXaggItem 2 2" xfId="582" xr:uid="{00000000-0005-0000-0000-000049020000}"/>
    <cellStyle name="SAPBEXaggItem 2 2 2" xfId="583" xr:uid="{00000000-0005-0000-0000-00004A020000}"/>
    <cellStyle name="SAPBEXaggItem 2 2 3" xfId="584" xr:uid="{00000000-0005-0000-0000-00004B020000}"/>
    <cellStyle name="SAPBEXaggItem 2 2 4" xfId="585" xr:uid="{00000000-0005-0000-0000-00004C020000}"/>
    <cellStyle name="SAPBEXaggItem 2 2 5" xfId="586" xr:uid="{00000000-0005-0000-0000-00004D020000}"/>
    <cellStyle name="SAPBEXaggItem 2 3" xfId="587" xr:uid="{00000000-0005-0000-0000-00004E020000}"/>
    <cellStyle name="SAPBEXaggItem 3" xfId="588" xr:uid="{00000000-0005-0000-0000-00004F020000}"/>
    <cellStyle name="SAPBEXaggItem 3 2" xfId="589" xr:uid="{00000000-0005-0000-0000-000050020000}"/>
    <cellStyle name="SAPBEXaggItem 3 3" xfId="590" xr:uid="{00000000-0005-0000-0000-000051020000}"/>
    <cellStyle name="SAPBEXaggItem 3 4" xfId="591" xr:uid="{00000000-0005-0000-0000-000052020000}"/>
    <cellStyle name="SAPBEXaggItem 3 5" xfId="592" xr:uid="{00000000-0005-0000-0000-000053020000}"/>
    <cellStyle name="SAPBEXaggItem 4" xfId="593" xr:uid="{00000000-0005-0000-0000-000054020000}"/>
    <cellStyle name="SAPBEXaggItemX" xfId="594" xr:uid="{00000000-0005-0000-0000-000055020000}"/>
    <cellStyle name="SAPBEXaggItemX 2" xfId="595" xr:uid="{00000000-0005-0000-0000-000056020000}"/>
    <cellStyle name="SAPBEXaggItemX 2 2" xfId="596" xr:uid="{00000000-0005-0000-0000-000057020000}"/>
    <cellStyle name="SAPBEXaggItemX 2 2 2" xfId="597" xr:uid="{00000000-0005-0000-0000-000058020000}"/>
    <cellStyle name="SAPBEXaggItemX 2 2 3" xfId="598" xr:uid="{00000000-0005-0000-0000-000059020000}"/>
    <cellStyle name="SAPBEXaggItemX 2 2 4" xfId="599" xr:uid="{00000000-0005-0000-0000-00005A020000}"/>
    <cellStyle name="SAPBEXaggItemX 2 2 5" xfId="600" xr:uid="{00000000-0005-0000-0000-00005B020000}"/>
    <cellStyle name="SAPBEXaggItemX 2 3" xfId="601" xr:uid="{00000000-0005-0000-0000-00005C020000}"/>
    <cellStyle name="SAPBEXaggItemX 3" xfId="602" xr:uid="{00000000-0005-0000-0000-00005D020000}"/>
    <cellStyle name="SAPBEXaggItemX 3 2" xfId="603" xr:uid="{00000000-0005-0000-0000-00005E020000}"/>
    <cellStyle name="SAPBEXaggItemX 3 3" xfId="604" xr:uid="{00000000-0005-0000-0000-00005F020000}"/>
    <cellStyle name="SAPBEXaggItemX 3 4" xfId="605" xr:uid="{00000000-0005-0000-0000-000060020000}"/>
    <cellStyle name="SAPBEXaggItemX 3 5" xfId="606" xr:uid="{00000000-0005-0000-0000-000061020000}"/>
    <cellStyle name="SAPBEXaggItemX 4" xfId="607" xr:uid="{00000000-0005-0000-0000-000062020000}"/>
    <cellStyle name="SAPBEXchaText" xfId="608" xr:uid="{00000000-0005-0000-0000-000063020000}"/>
    <cellStyle name="SAPBEXexcBad7" xfId="609" xr:uid="{00000000-0005-0000-0000-000064020000}"/>
    <cellStyle name="SAPBEXexcBad7 2" xfId="610" xr:uid="{00000000-0005-0000-0000-000065020000}"/>
    <cellStyle name="SAPBEXexcBad7 2 2" xfId="611" xr:uid="{00000000-0005-0000-0000-000066020000}"/>
    <cellStyle name="SAPBEXexcBad7 2 2 2" xfId="612" xr:uid="{00000000-0005-0000-0000-000067020000}"/>
    <cellStyle name="SAPBEXexcBad7 2 2 3" xfId="613" xr:uid="{00000000-0005-0000-0000-000068020000}"/>
    <cellStyle name="SAPBEXexcBad7 2 2 4" xfId="614" xr:uid="{00000000-0005-0000-0000-000069020000}"/>
    <cellStyle name="SAPBEXexcBad7 2 2 5" xfId="615" xr:uid="{00000000-0005-0000-0000-00006A020000}"/>
    <cellStyle name="SAPBEXexcBad7 2 3" xfId="616" xr:uid="{00000000-0005-0000-0000-00006B020000}"/>
    <cellStyle name="SAPBEXexcBad7 3" xfId="617" xr:uid="{00000000-0005-0000-0000-00006C020000}"/>
    <cellStyle name="SAPBEXexcBad7 3 2" xfId="618" xr:uid="{00000000-0005-0000-0000-00006D020000}"/>
    <cellStyle name="SAPBEXexcBad7 3 3" xfId="619" xr:uid="{00000000-0005-0000-0000-00006E020000}"/>
    <cellStyle name="SAPBEXexcBad7 3 4" xfId="620" xr:uid="{00000000-0005-0000-0000-00006F020000}"/>
    <cellStyle name="SAPBEXexcBad7 3 5" xfId="621" xr:uid="{00000000-0005-0000-0000-000070020000}"/>
    <cellStyle name="SAPBEXexcBad7 4" xfId="622" xr:uid="{00000000-0005-0000-0000-000071020000}"/>
    <cellStyle name="SAPBEXexcBad8" xfId="623" xr:uid="{00000000-0005-0000-0000-000072020000}"/>
    <cellStyle name="SAPBEXexcBad8 2" xfId="624" xr:uid="{00000000-0005-0000-0000-000073020000}"/>
    <cellStyle name="SAPBEXexcBad8 2 2" xfId="625" xr:uid="{00000000-0005-0000-0000-000074020000}"/>
    <cellStyle name="SAPBEXexcBad8 2 2 2" xfId="626" xr:uid="{00000000-0005-0000-0000-000075020000}"/>
    <cellStyle name="SAPBEXexcBad8 2 2 3" xfId="627" xr:uid="{00000000-0005-0000-0000-000076020000}"/>
    <cellStyle name="SAPBEXexcBad8 2 2 4" xfId="628" xr:uid="{00000000-0005-0000-0000-000077020000}"/>
    <cellStyle name="SAPBEXexcBad8 2 2 5" xfId="629" xr:uid="{00000000-0005-0000-0000-000078020000}"/>
    <cellStyle name="SAPBEXexcBad8 2 3" xfId="630" xr:uid="{00000000-0005-0000-0000-000079020000}"/>
    <cellStyle name="SAPBEXexcBad8 3" xfId="631" xr:uid="{00000000-0005-0000-0000-00007A020000}"/>
    <cellStyle name="SAPBEXexcBad8 3 2" xfId="632" xr:uid="{00000000-0005-0000-0000-00007B020000}"/>
    <cellStyle name="SAPBEXexcBad8 3 3" xfId="633" xr:uid="{00000000-0005-0000-0000-00007C020000}"/>
    <cellStyle name="SAPBEXexcBad8 3 4" xfId="634" xr:uid="{00000000-0005-0000-0000-00007D020000}"/>
    <cellStyle name="SAPBEXexcBad8 3 5" xfId="635" xr:uid="{00000000-0005-0000-0000-00007E020000}"/>
    <cellStyle name="SAPBEXexcBad8 4" xfId="636" xr:uid="{00000000-0005-0000-0000-00007F020000}"/>
    <cellStyle name="SAPBEXexcBad9" xfId="637" xr:uid="{00000000-0005-0000-0000-000080020000}"/>
    <cellStyle name="SAPBEXexcBad9 2" xfId="638" xr:uid="{00000000-0005-0000-0000-000081020000}"/>
    <cellStyle name="SAPBEXexcBad9 2 2" xfId="639" xr:uid="{00000000-0005-0000-0000-000082020000}"/>
    <cellStyle name="SAPBEXexcBad9 2 2 2" xfId="640" xr:uid="{00000000-0005-0000-0000-000083020000}"/>
    <cellStyle name="SAPBEXexcBad9 2 2 3" xfId="641" xr:uid="{00000000-0005-0000-0000-000084020000}"/>
    <cellStyle name="SAPBEXexcBad9 2 2 4" xfId="642" xr:uid="{00000000-0005-0000-0000-000085020000}"/>
    <cellStyle name="SAPBEXexcBad9 2 2 5" xfId="643" xr:uid="{00000000-0005-0000-0000-000086020000}"/>
    <cellStyle name="SAPBEXexcBad9 2 3" xfId="644" xr:uid="{00000000-0005-0000-0000-000087020000}"/>
    <cellStyle name="SAPBEXexcBad9 3" xfId="645" xr:uid="{00000000-0005-0000-0000-000088020000}"/>
    <cellStyle name="SAPBEXexcBad9 3 2" xfId="646" xr:uid="{00000000-0005-0000-0000-000089020000}"/>
    <cellStyle name="SAPBEXexcBad9 3 3" xfId="647" xr:uid="{00000000-0005-0000-0000-00008A020000}"/>
    <cellStyle name="SAPBEXexcBad9 3 4" xfId="648" xr:uid="{00000000-0005-0000-0000-00008B020000}"/>
    <cellStyle name="SAPBEXexcBad9 3 5" xfId="649" xr:uid="{00000000-0005-0000-0000-00008C020000}"/>
    <cellStyle name="SAPBEXexcBad9 4" xfId="650" xr:uid="{00000000-0005-0000-0000-00008D020000}"/>
    <cellStyle name="SAPBEXexcCritical4" xfId="651" xr:uid="{00000000-0005-0000-0000-00008E020000}"/>
    <cellStyle name="SAPBEXexcCritical4 2" xfId="652" xr:uid="{00000000-0005-0000-0000-00008F020000}"/>
    <cellStyle name="SAPBEXexcCritical4 2 2" xfId="653" xr:uid="{00000000-0005-0000-0000-000090020000}"/>
    <cellStyle name="SAPBEXexcCritical4 2 2 2" xfId="654" xr:uid="{00000000-0005-0000-0000-000091020000}"/>
    <cellStyle name="SAPBEXexcCritical4 2 2 3" xfId="655" xr:uid="{00000000-0005-0000-0000-000092020000}"/>
    <cellStyle name="SAPBEXexcCritical4 2 2 4" xfId="656" xr:uid="{00000000-0005-0000-0000-000093020000}"/>
    <cellStyle name="SAPBEXexcCritical4 2 2 5" xfId="657" xr:uid="{00000000-0005-0000-0000-000094020000}"/>
    <cellStyle name="SAPBEXexcCritical4 2 3" xfId="658" xr:uid="{00000000-0005-0000-0000-000095020000}"/>
    <cellStyle name="SAPBEXexcCritical4 3" xfId="659" xr:uid="{00000000-0005-0000-0000-000096020000}"/>
    <cellStyle name="SAPBEXexcCritical4 3 2" xfId="660" xr:uid="{00000000-0005-0000-0000-000097020000}"/>
    <cellStyle name="SAPBEXexcCritical4 3 3" xfId="661" xr:uid="{00000000-0005-0000-0000-000098020000}"/>
    <cellStyle name="SAPBEXexcCritical4 3 4" xfId="662" xr:uid="{00000000-0005-0000-0000-000099020000}"/>
    <cellStyle name="SAPBEXexcCritical4 3 5" xfId="663" xr:uid="{00000000-0005-0000-0000-00009A020000}"/>
    <cellStyle name="SAPBEXexcCritical4 4" xfId="664" xr:uid="{00000000-0005-0000-0000-00009B020000}"/>
    <cellStyle name="SAPBEXexcCritical5" xfId="665" xr:uid="{00000000-0005-0000-0000-00009C020000}"/>
    <cellStyle name="SAPBEXexcCritical5 2" xfId="666" xr:uid="{00000000-0005-0000-0000-00009D020000}"/>
    <cellStyle name="SAPBEXexcCritical5 2 2" xfId="667" xr:uid="{00000000-0005-0000-0000-00009E020000}"/>
    <cellStyle name="SAPBEXexcCritical5 2 2 2" xfId="668" xr:uid="{00000000-0005-0000-0000-00009F020000}"/>
    <cellStyle name="SAPBEXexcCritical5 2 2 3" xfId="669" xr:uid="{00000000-0005-0000-0000-0000A0020000}"/>
    <cellStyle name="SAPBEXexcCritical5 2 2 4" xfId="670" xr:uid="{00000000-0005-0000-0000-0000A1020000}"/>
    <cellStyle name="SAPBEXexcCritical5 2 2 5" xfId="671" xr:uid="{00000000-0005-0000-0000-0000A2020000}"/>
    <cellStyle name="SAPBEXexcCritical5 2 3" xfId="672" xr:uid="{00000000-0005-0000-0000-0000A3020000}"/>
    <cellStyle name="SAPBEXexcCritical5 3" xfId="673" xr:uid="{00000000-0005-0000-0000-0000A4020000}"/>
    <cellStyle name="SAPBEXexcCritical5 3 2" xfId="674" xr:uid="{00000000-0005-0000-0000-0000A5020000}"/>
    <cellStyle name="SAPBEXexcCritical5 3 3" xfId="675" xr:uid="{00000000-0005-0000-0000-0000A6020000}"/>
    <cellStyle name="SAPBEXexcCritical5 3 4" xfId="676" xr:uid="{00000000-0005-0000-0000-0000A7020000}"/>
    <cellStyle name="SAPBEXexcCritical5 3 5" xfId="677" xr:uid="{00000000-0005-0000-0000-0000A8020000}"/>
    <cellStyle name="SAPBEXexcCritical5 4" xfId="678" xr:uid="{00000000-0005-0000-0000-0000A9020000}"/>
    <cellStyle name="SAPBEXexcCritical6" xfId="679" xr:uid="{00000000-0005-0000-0000-0000AA020000}"/>
    <cellStyle name="SAPBEXexcCritical6 2" xfId="680" xr:uid="{00000000-0005-0000-0000-0000AB020000}"/>
    <cellStyle name="SAPBEXexcCritical6 2 2" xfId="681" xr:uid="{00000000-0005-0000-0000-0000AC020000}"/>
    <cellStyle name="SAPBEXexcCritical6 2 2 2" xfId="682" xr:uid="{00000000-0005-0000-0000-0000AD020000}"/>
    <cellStyle name="SAPBEXexcCritical6 2 2 3" xfId="683" xr:uid="{00000000-0005-0000-0000-0000AE020000}"/>
    <cellStyle name="SAPBEXexcCritical6 2 2 4" xfId="684" xr:uid="{00000000-0005-0000-0000-0000AF020000}"/>
    <cellStyle name="SAPBEXexcCritical6 2 2 5" xfId="685" xr:uid="{00000000-0005-0000-0000-0000B0020000}"/>
    <cellStyle name="SAPBEXexcCritical6 2 3" xfId="686" xr:uid="{00000000-0005-0000-0000-0000B1020000}"/>
    <cellStyle name="SAPBEXexcCritical6 3" xfId="687" xr:uid="{00000000-0005-0000-0000-0000B2020000}"/>
    <cellStyle name="SAPBEXexcCritical6 3 2" xfId="688" xr:uid="{00000000-0005-0000-0000-0000B3020000}"/>
    <cellStyle name="SAPBEXexcCritical6 3 3" xfId="689" xr:uid="{00000000-0005-0000-0000-0000B4020000}"/>
    <cellStyle name="SAPBEXexcCritical6 3 4" xfId="690" xr:uid="{00000000-0005-0000-0000-0000B5020000}"/>
    <cellStyle name="SAPBEXexcCritical6 3 5" xfId="691" xr:uid="{00000000-0005-0000-0000-0000B6020000}"/>
    <cellStyle name="SAPBEXexcCritical6 4" xfId="692" xr:uid="{00000000-0005-0000-0000-0000B7020000}"/>
    <cellStyle name="SAPBEXexcGood1" xfId="693" xr:uid="{00000000-0005-0000-0000-0000B8020000}"/>
    <cellStyle name="SAPBEXexcGood1 2" xfId="694" xr:uid="{00000000-0005-0000-0000-0000B9020000}"/>
    <cellStyle name="SAPBEXexcGood1 2 2" xfId="695" xr:uid="{00000000-0005-0000-0000-0000BA020000}"/>
    <cellStyle name="SAPBEXexcGood1 2 2 2" xfId="696" xr:uid="{00000000-0005-0000-0000-0000BB020000}"/>
    <cellStyle name="SAPBEXexcGood1 2 2 3" xfId="697" xr:uid="{00000000-0005-0000-0000-0000BC020000}"/>
    <cellStyle name="SAPBEXexcGood1 2 2 4" xfId="698" xr:uid="{00000000-0005-0000-0000-0000BD020000}"/>
    <cellStyle name="SAPBEXexcGood1 2 2 5" xfId="699" xr:uid="{00000000-0005-0000-0000-0000BE020000}"/>
    <cellStyle name="SAPBEXexcGood1 2 3" xfId="700" xr:uid="{00000000-0005-0000-0000-0000BF020000}"/>
    <cellStyle name="SAPBEXexcGood1 3" xfId="701" xr:uid="{00000000-0005-0000-0000-0000C0020000}"/>
    <cellStyle name="SAPBEXexcGood1 3 2" xfId="702" xr:uid="{00000000-0005-0000-0000-0000C1020000}"/>
    <cellStyle name="SAPBEXexcGood1 3 3" xfId="703" xr:uid="{00000000-0005-0000-0000-0000C2020000}"/>
    <cellStyle name="SAPBEXexcGood1 3 4" xfId="704" xr:uid="{00000000-0005-0000-0000-0000C3020000}"/>
    <cellStyle name="SAPBEXexcGood1 3 5" xfId="705" xr:uid="{00000000-0005-0000-0000-0000C4020000}"/>
    <cellStyle name="SAPBEXexcGood1 4" xfId="706" xr:uid="{00000000-0005-0000-0000-0000C5020000}"/>
    <cellStyle name="SAPBEXexcGood2" xfId="707" xr:uid="{00000000-0005-0000-0000-0000C6020000}"/>
    <cellStyle name="SAPBEXexcGood2 2" xfId="708" xr:uid="{00000000-0005-0000-0000-0000C7020000}"/>
    <cellStyle name="SAPBEXexcGood2 2 2" xfId="709" xr:uid="{00000000-0005-0000-0000-0000C8020000}"/>
    <cellStyle name="SAPBEXexcGood2 2 2 2" xfId="710" xr:uid="{00000000-0005-0000-0000-0000C9020000}"/>
    <cellStyle name="SAPBEXexcGood2 2 2 3" xfId="711" xr:uid="{00000000-0005-0000-0000-0000CA020000}"/>
    <cellStyle name="SAPBEXexcGood2 2 2 4" xfId="712" xr:uid="{00000000-0005-0000-0000-0000CB020000}"/>
    <cellStyle name="SAPBEXexcGood2 2 2 5" xfId="713" xr:uid="{00000000-0005-0000-0000-0000CC020000}"/>
    <cellStyle name="SAPBEXexcGood2 2 3" xfId="714" xr:uid="{00000000-0005-0000-0000-0000CD020000}"/>
    <cellStyle name="SAPBEXexcGood2 3" xfId="715" xr:uid="{00000000-0005-0000-0000-0000CE020000}"/>
    <cellStyle name="SAPBEXexcGood2 3 2" xfId="716" xr:uid="{00000000-0005-0000-0000-0000CF020000}"/>
    <cellStyle name="SAPBEXexcGood2 3 3" xfId="717" xr:uid="{00000000-0005-0000-0000-0000D0020000}"/>
    <cellStyle name="SAPBEXexcGood2 3 4" xfId="718" xr:uid="{00000000-0005-0000-0000-0000D1020000}"/>
    <cellStyle name="SAPBEXexcGood2 3 5" xfId="719" xr:uid="{00000000-0005-0000-0000-0000D2020000}"/>
    <cellStyle name="SAPBEXexcGood2 4" xfId="720" xr:uid="{00000000-0005-0000-0000-0000D3020000}"/>
    <cellStyle name="SAPBEXexcGood3" xfId="721" xr:uid="{00000000-0005-0000-0000-0000D4020000}"/>
    <cellStyle name="SAPBEXexcGood3 2" xfId="722" xr:uid="{00000000-0005-0000-0000-0000D5020000}"/>
    <cellStyle name="SAPBEXexcGood3 2 2" xfId="723" xr:uid="{00000000-0005-0000-0000-0000D6020000}"/>
    <cellStyle name="SAPBEXexcGood3 2 2 2" xfId="724" xr:uid="{00000000-0005-0000-0000-0000D7020000}"/>
    <cellStyle name="SAPBEXexcGood3 2 2 3" xfId="725" xr:uid="{00000000-0005-0000-0000-0000D8020000}"/>
    <cellStyle name="SAPBEXexcGood3 2 2 4" xfId="726" xr:uid="{00000000-0005-0000-0000-0000D9020000}"/>
    <cellStyle name="SAPBEXexcGood3 2 2 5" xfId="727" xr:uid="{00000000-0005-0000-0000-0000DA020000}"/>
    <cellStyle name="SAPBEXexcGood3 2 3" xfId="728" xr:uid="{00000000-0005-0000-0000-0000DB020000}"/>
    <cellStyle name="SAPBEXexcGood3 3" xfId="729" xr:uid="{00000000-0005-0000-0000-0000DC020000}"/>
    <cellStyle name="SAPBEXexcGood3 3 2" xfId="730" xr:uid="{00000000-0005-0000-0000-0000DD020000}"/>
    <cellStyle name="SAPBEXexcGood3 3 3" xfId="731" xr:uid="{00000000-0005-0000-0000-0000DE020000}"/>
    <cellStyle name="SAPBEXexcGood3 3 4" xfId="732" xr:uid="{00000000-0005-0000-0000-0000DF020000}"/>
    <cellStyle name="SAPBEXexcGood3 3 5" xfId="733" xr:uid="{00000000-0005-0000-0000-0000E0020000}"/>
    <cellStyle name="SAPBEXexcGood3 4" xfId="734" xr:uid="{00000000-0005-0000-0000-0000E1020000}"/>
    <cellStyle name="SAPBEXfilterDrill" xfId="735" xr:uid="{00000000-0005-0000-0000-0000E2020000}"/>
    <cellStyle name="SAPBEXfilterDrill 2" xfId="736" xr:uid="{00000000-0005-0000-0000-0000E3020000}"/>
    <cellStyle name="SAPBEXfilterDrill 2 2" xfId="737" xr:uid="{00000000-0005-0000-0000-0000E4020000}"/>
    <cellStyle name="SAPBEXfilterDrill 2 3" xfId="738" xr:uid="{00000000-0005-0000-0000-0000E5020000}"/>
    <cellStyle name="SAPBEXfilterDrill 3" xfId="739" xr:uid="{00000000-0005-0000-0000-0000E6020000}"/>
    <cellStyle name="SAPBEXfilterDrill 4" xfId="740" xr:uid="{00000000-0005-0000-0000-0000E7020000}"/>
    <cellStyle name="SAPBEXfilterItem" xfId="741" xr:uid="{00000000-0005-0000-0000-0000E8020000}"/>
    <cellStyle name="SAPBEXfilterText" xfId="742" xr:uid="{00000000-0005-0000-0000-0000E9020000}"/>
    <cellStyle name="SAPBEXformats" xfId="743" xr:uid="{00000000-0005-0000-0000-0000EA020000}"/>
    <cellStyle name="SAPBEXformats 2" xfId="744" xr:uid="{00000000-0005-0000-0000-0000EB020000}"/>
    <cellStyle name="SAPBEXformats 2 2" xfId="745" xr:uid="{00000000-0005-0000-0000-0000EC020000}"/>
    <cellStyle name="SAPBEXformats 2 2 2" xfId="746" xr:uid="{00000000-0005-0000-0000-0000ED020000}"/>
    <cellStyle name="SAPBEXformats 2 2 3" xfId="747" xr:uid="{00000000-0005-0000-0000-0000EE020000}"/>
    <cellStyle name="SAPBEXformats 2 2 4" xfId="748" xr:uid="{00000000-0005-0000-0000-0000EF020000}"/>
    <cellStyle name="SAPBEXformats 2 2 5" xfId="749" xr:uid="{00000000-0005-0000-0000-0000F0020000}"/>
    <cellStyle name="SAPBEXformats 2 3" xfId="750" xr:uid="{00000000-0005-0000-0000-0000F1020000}"/>
    <cellStyle name="SAPBEXformats 3" xfId="751" xr:uid="{00000000-0005-0000-0000-0000F2020000}"/>
    <cellStyle name="SAPBEXformats 3 2" xfId="752" xr:uid="{00000000-0005-0000-0000-0000F3020000}"/>
    <cellStyle name="SAPBEXformats 3 3" xfId="753" xr:uid="{00000000-0005-0000-0000-0000F4020000}"/>
    <cellStyle name="SAPBEXformats 3 4" xfId="754" xr:uid="{00000000-0005-0000-0000-0000F5020000}"/>
    <cellStyle name="SAPBEXformats 3 5" xfId="755" xr:uid="{00000000-0005-0000-0000-0000F6020000}"/>
    <cellStyle name="SAPBEXformats 4" xfId="756" xr:uid="{00000000-0005-0000-0000-0000F7020000}"/>
    <cellStyle name="SAPBEXheaderItem" xfId="757" xr:uid="{00000000-0005-0000-0000-0000F8020000}"/>
    <cellStyle name="SAPBEXheaderText" xfId="758" xr:uid="{00000000-0005-0000-0000-0000F9020000}"/>
    <cellStyle name="SAPBEXHLevel0" xfId="759" xr:uid="{00000000-0005-0000-0000-0000FA020000}"/>
    <cellStyle name="SAPBEXHLevel0 2" xfId="760" xr:uid="{00000000-0005-0000-0000-0000FB020000}"/>
    <cellStyle name="SAPBEXHLevel0 2 2" xfId="761" xr:uid="{00000000-0005-0000-0000-0000FC020000}"/>
    <cellStyle name="SAPBEXHLevel0 2 2 2" xfId="762" xr:uid="{00000000-0005-0000-0000-0000FD020000}"/>
    <cellStyle name="SAPBEXHLevel0 2 2 3" xfId="763" xr:uid="{00000000-0005-0000-0000-0000FE020000}"/>
    <cellStyle name="SAPBEXHLevel0 2 2 4" xfId="764" xr:uid="{00000000-0005-0000-0000-0000FF020000}"/>
    <cellStyle name="SAPBEXHLevel0 2 2 5" xfId="765" xr:uid="{00000000-0005-0000-0000-000000030000}"/>
    <cellStyle name="SAPBEXHLevel0 2 3" xfId="766" xr:uid="{00000000-0005-0000-0000-000001030000}"/>
    <cellStyle name="SAPBEXHLevel0 3" xfId="767" xr:uid="{00000000-0005-0000-0000-000002030000}"/>
    <cellStyle name="SAPBEXHLevel0 3 2" xfId="768" xr:uid="{00000000-0005-0000-0000-000003030000}"/>
    <cellStyle name="SAPBEXHLevel0 3 3" xfId="769" xr:uid="{00000000-0005-0000-0000-000004030000}"/>
    <cellStyle name="SAPBEXHLevel0 3 4" xfId="770" xr:uid="{00000000-0005-0000-0000-000005030000}"/>
    <cellStyle name="SAPBEXHLevel0 3 5" xfId="771" xr:uid="{00000000-0005-0000-0000-000006030000}"/>
    <cellStyle name="SAPBEXHLevel0 4" xfId="772" xr:uid="{00000000-0005-0000-0000-000007030000}"/>
    <cellStyle name="SAPBEXHLevel0X" xfId="773" xr:uid="{00000000-0005-0000-0000-000008030000}"/>
    <cellStyle name="SAPBEXHLevel0X 2" xfId="774" xr:uid="{00000000-0005-0000-0000-000009030000}"/>
    <cellStyle name="SAPBEXHLevel0X 2 2" xfId="775" xr:uid="{00000000-0005-0000-0000-00000A030000}"/>
    <cellStyle name="SAPBEXHLevel0X 2 2 2" xfId="776" xr:uid="{00000000-0005-0000-0000-00000B030000}"/>
    <cellStyle name="SAPBEXHLevel0X 2 2 3" xfId="777" xr:uid="{00000000-0005-0000-0000-00000C030000}"/>
    <cellStyle name="SAPBEXHLevel0X 2 2 4" xfId="778" xr:uid="{00000000-0005-0000-0000-00000D030000}"/>
    <cellStyle name="SAPBEXHLevel0X 2 2 5" xfId="779" xr:uid="{00000000-0005-0000-0000-00000E030000}"/>
    <cellStyle name="SAPBEXHLevel0X 2 3" xfId="780" xr:uid="{00000000-0005-0000-0000-00000F030000}"/>
    <cellStyle name="SAPBEXHLevel0X 3" xfId="781" xr:uid="{00000000-0005-0000-0000-000010030000}"/>
    <cellStyle name="SAPBEXHLevel0X 3 2" xfId="782" xr:uid="{00000000-0005-0000-0000-000011030000}"/>
    <cellStyle name="SAPBEXHLevel0X 3 3" xfId="783" xr:uid="{00000000-0005-0000-0000-000012030000}"/>
    <cellStyle name="SAPBEXHLevel0X 3 4" xfId="784" xr:uid="{00000000-0005-0000-0000-000013030000}"/>
    <cellStyle name="SAPBEXHLevel0X 3 5" xfId="785" xr:uid="{00000000-0005-0000-0000-000014030000}"/>
    <cellStyle name="SAPBEXHLevel0X 4" xfId="786" xr:uid="{00000000-0005-0000-0000-000015030000}"/>
    <cellStyle name="SAPBEXHLevel1" xfId="787" xr:uid="{00000000-0005-0000-0000-000016030000}"/>
    <cellStyle name="SAPBEXHLevel1 2" xfId="788" xr:uid="{00000000-0005-0000-0000-000017030000}"/>
    <cellStyle name="SAPBEXHLevel1 2 2" xfId="789" xr:uid="{00000000-0005-0000-0000-000018030000}"/>
    <cellStyle name="SAPBEXHLevel1 2 2 2" xfId="790" xr:uid="{00000000-0005-0000-0000-000019030000}"/>
    <cellStyle name="SAPBEXHLevel1 2 2 3" xfId="791" xr:uid="{00000000-0005-0000-0000-00001A030000}"/>
    <cellStyle name="SAPBEXHLevel1 2 2 4" xfId="792" xr:uid="{00000000-0005-0000-0000-00001B030000}"/>
    <cellStyle name="SAPBEXHLevel1 2 2 5" xfId="793" xr:uid="{00000000-0005-0000-0000-00001C030000}"/>
    <cellStyle name="SAPBEXHLevel1 2 3" xfId="794" xr:uid="{00000000-0005-0000-0000-00001D030000}"/>
    <cellStyle name="SAPBEXHLevel1 3" xfId="795" xr:uid="{00000000-0005-0000-0000-00001E030000}"/>
    <cellStyle name="SAPBEXHLevel1 3 2" xfId="796" xr:uid="{00000000-0005-0000-0000-00001F030000}"/>
    <cellStyle name="SAPBEXHLevel1 3 3" xfId="797" xr:uid="{00000000-0005-0000-0000-000020030000}"/>
    <cellStyle name="SAPBEXHLevel1 3 4" xfId="798" xr:uid="{00000000-0005-0000-0000-000021030000}"/>
    <cellStyle name="SAPBEXHLevel1 3 5" xfId="799" xr:uid="{00000000-0005-0000-0000-000022030000}"/>
    <cellStyle name="SAPBEXHLevel1 4" xfId="800" xr:uid="{00000000-0005-0000-0000-000023030000}"/>
    <cellStyle name="SAPBEXHLevel1X" xfId="801" xr:uid="{00000000-0005-0000-0000-000024030000}"/>
    <cellStyle name="SAPBEXHLevel1X 2" xfId="802" xr:uid="{00000000-0005-0000-0000-000025030000}"/>
    <cellStyle name="SAPBEXHLevel1X 2 2" xfId="803" xr:uid="{00000000-0005-0000-0000-000026030000}"/>
    <cellStyle name="SAPBEXHLevel1X 2 2 2" xfId="804" xr:uid="{00000000-0005-0000-0000-000027030000}"/>
    <cellStyle name="SAPBEXHLevel1X 2 2 3" xfId="805" xr:uid="{00000000-0005-0000-0000-000028030000}"/>
    <cellStyle name="SAPBEXHLevel1X 2 2 4" xfId="806" xr:uid="{00000000-0005-0000-0000-000029030000}"/>
    <cellStyle name="SAPBEXHLevel1X 2 2 5" xfId="807" xr:uid="{00000000-0005-0000-0000-00002A030000}"/>
    <cellStyle name="SAPBEXHLevel1X 2 3" xfId="808" xr:uid="{00000000-0005-0000-0000-00002B030000}"/>
    <cellStyle name="SAPBEXHLevel1X 3" xfId="809" xr:uid="{00000000-0005-0000-0000-00002C030000}"/>
    <cellStyle name="SAPBEXHLevel1X 3 2" xfId="810" xr:uid="{00000000-0005-0000-0000-00002D030000}"/>
    <cellStyle name="SAPBEXHLevel1X 3 3" xfId="811" xr:uid="{00000000-0005-0000-0000-00002E030000}"/>
    <cellStyle name="SAPBEXHLevel1X 3 4" xfId="812" xr:uid="{00000000-0005-0000-0000-00002F030000}"/>
    <cellStyle name="SAPBEXHLevel1X 3 5" xfId="813" xr:uid="{00000000-0005-0000-0000-000030030000}"/>
    <cellStyle name="SAPBEXHLevel1X 4" xfId="814" xr:uid="{00000000-0005-0000-0000-000031030000}"/>
    <cellStyle name="SAPBEXHLevel2" xfId="815" xr:uid="{00000000-0005-0000-0000-000032030000}"/>
    <cellStyle name="SAPBEXHLevel2 2" xfId="816" xr:uid="{00000000-0005-0000-0000-000033030000}"/>
    <cellStyle name="SAPBEXHLevel2 2 2" xfId="817" xr:uid="{00000000-0005-0000-0000-000034030000}"/>
    <cellStyle name="SAPBEXHLevel2 2 2 2" xfId="818" xr:uid="{00000000-0005-0000-0000-000035030000}"/>
    <cellStyle name="SAPBEXHLevel2 2 2 3" xfId="819" xr:uid="{00000000-0005-0000-0000-000036030000}"/>
    <cellStyle name="SAPBEXHLevel2 2 2 4" xfId="820" xr:uid="{00000000-0005-0000-0000-000037030000}"/>
    <cellStyle name="SAPBEXHLevel2 2 2 5" xfId="821" xr:uid="{00000000-0005-0000-0000-000038030000}"/>
    <cellStyle name="SAPBEXHLevel2 2 3" xfId="822" xr:uid="{00000000-0005-0000-0000-000039030000}"/>
    <cellStyle name="SAPBEXHLevel2 3" xfId="823" xr:uid="{00000000-0005-0000-0000-00003A030000}"/>
    <cellStyle name="SAPBEXHLevel2 3 2" xfId="824" xr:uid="{00000000-0005-0000-0000-00003B030000}"/>
    <cellStyle name="SAPBEXHLevel2 3 3" xfId="825" xr:uid="{00000000-0005-0000-0000-00003C030000}"/>
    <cellStyle name="SAPBEXHLevel2 3 4" xfId="826" xr:uid="{00000000-0005-0000-0000-00003D030000}"/>
    <cellStyle name="SAPBEXHLevel2 3 5" xfId="827" xr:uid="{00000000-0005-0000-0000-00003E030000}"/>
    <cellStyle name="SAPBEXHLevel2 4" xfId="828" xr:uid="{00000000-0005-0000-0000-00003F030000}"/>
    <cellStyle name="SAPBEXHLevel2X" xfId="829" xr:uid="{00000000-0005-0000-0000-000040030000}"/>
    <cellStyle name="SAPBEXHLevel2X 2" xfId="830" xr:uid="{00000000-0005-0000-0000-000041030000}"/>
    <cellStyle name="SAPBEXHLevel2X 2 2" xfId="831" xr:uid="{00000000-0005-0000-0000-000042030000}"/>
    <cellStyle name="SAPBEXHLevel2X 2 2 2" xfId="832" xr:uid="{00000000-0005-0000-0000-000043030000}"/>
    <cellStyle name="SAPBEXHLevel2X 2 2 3" xfId="833" xr:uid="{00000000-0005-0000-0000-000044030000}"/>
    <cellStyle name="SAPBEXHLevel2X 2 2 4" xfId="834" xr:uid="{00000000-0005-0000-0000-000045030000}"/>
    <cellStyle name="SAPBEXHLevel2X 2 2 5" xfId="835" xr:uid="{00000000-0005-0000-0000-000046030000}"/>
    <cellStyle name="SAPBEXHLevel2X 2 3" xfId="836" xr:uid="{00000000-0005-0000-0000-000047030000}"/>
    <cellStyle name="SAPBEXHLevel2X 3" xfId="837" xr:uid="{00000000-0005-0000-0000-000048030000}"/>
    <cellStyle name="SAPBEXHLevel2X 3 2" xfId="838" xr:uid="{00000000-0005-0000-0000-000049030000}"/>
    <cellStyle name="SAPBEXHLevel2X 3 3" xfId="839" xr:uid="{00000000-0005-0000-0000-00004A030000}"/>
    <cellStyle name="SAPBEXHLevel2X 3 4" xfId="840" xr:uid="{00000000-0005-0000-0000-00004B030000}"/>
    <cellStyle name="SAPBEXHLevel2X 3 5" xfId="841" xr:uid="{00000000-0005-0000-0000-00004C030000}"/>
    <cellStyle name="SAPBEXHLevel2X 4" xfId="842" xr:uid="{00000000-0005-0000-0000-00004D030000}"/>
    <cellStyle name="SAPBEXHLevel3" xfId="843" xr:uid="{00000000-0005-0000-0000-00004E030000}"/>
    <cellStyle name="SAPBEXHLevel3 2" xfId="844" xr:uid="{00000000-0005-0000-0000-00004F030000}"/>
    <cellStyle name="SAPBEXHLevel3 2 2" xfId="845" xr:uid="{00000000-0005-0000-0000-000050030000}"/>
    <cellStyle name="SAPBEXHLevel3 2 2 2" xfId="846" xr:uid="{00000000-0005-0000-0000-000051030000}"/>
    <cellStyle name="SAPBEXHLevel3 2 2 3" xfId="847" xr:uid="{00000000-0005-0000-0000-000052030000}"/>
    <cellStyle name="SAPBEXHLevel3 2 2 4" xfId="848" xr:uid="{00000000-0005-0000-0000-000053030000}"/>
    <cellStyle name="SAPBEXHLevel3 2 2 5" xfId="849" xr:uid="{00000000-0005-0000-0000-000054030000}"/>
    <cellStyle name="SAPBEXHLevel3 2 3" xfId="850" xr:uid="{00000000-0005-0000-0000-000055030000}"/>
    <cellStyle name="SAPBEXHLevel3 3" xfId="851" xr:uid="{00000000-0005-0000-0000-000056030000}"/>
    <cellStyle name="SAPBEXHLevel3 3 2" xfId="852" xr:uid="{00000000-0005-0000-0000-000057030000}"/>
    <cellStyle name="SAPBEXHLevel3 3 3" xfId="853" xr:uid="{00000000-0005-0000-0000-000058030000}"/>
    <cellStyle name="SAPBEXHLevel3 3 4" xfId="854" xr:uid="{00000000-0005-0000-0000-000059030000}"/>
    <cellStyle name="SAPBEXHLevel3 3 5" xfId="855" xr:uid="{00000000-0005-0000-0000-00005A030000}"/>
    <cellStyle name="SAPBEXHLevel3 4" xfId="856" xr:uid="{00000000-0005-0000-0000-00005B030000}"/>
    <cellStyle name="SAPBEXHLevel3X" xfId="857" xr:uid="{00000000-0005-0000-0000-00005C030000}"/>
    <cellStyle name="SAPBEXHLevel3X 2" xfId="858" xr:uid="{00000000-0005-0000-0000-00005D030000}"/>
    <cellStyle name="SAPBEXHLevel3X 2 2" xfId="859" xr:uid="{00000000-0005-0000-0000-00005E030000}"/>
    <cellStyle name="SAPBEXHLevel3X 2 2 2" xfId="860" xr:uid="{00000000-0005-0000-0000-00005F030000}"/>
    <cellStyle name="SAPBEXHLevel3X 2 2 3" xfId="861" xr:uid="{00000000-0005-0000-0000-000060030000}"/>
    <cellStyle name="SAPBEXHLevel3X 2 2 4" xfId="862" xr:uid="{00000000-0005-0000-0000-000061030000}"/>
    <cellStyle name="SAPBEXHLevel3X 2 2 5" xfId="863" xr:uid="{00000000-0005-0000-0000-000062030000}"/>
    <cellStyle name="SAPBEXHLevel3X 2 3" xfId="864" xr:uid="{00000000-0005-0000-0000-000063030000}"/>
    <cellStyle name="SAPBEXHLevel3X 3" xfId="865" xr:uid="{00000000-0005-0000-0000-000064030000}"/>
    <cellStyle name="SAPBEXHLevel3X 3 2" xfId="866" xr:uid="{00000000-0005-0000-0000-000065030000}"/>
    <cellStyle name="SAPBEXHLevel3X 3 3" xfId="867" xr:uid="{00000000-0005-0000-0000-000066030000}"/>
    <cellStyle name="SAPBEXHLevel3X 3 4" xfId="868" xr:uid="{00000000-0005-0000-0000-000067030000}"/>
    <cellStyle name="SAPBEXHLevel3X 3 5" xfId="869" xr:uid="{00000000-0005-0000-0000-000068030000}"/>
    <cellStyle name="SAPBEXHLevel3X 4" xfId="870" xr:uid="{00000000-0005-0000-0000-000069030000}"/>
    <cellStyle name="SAPBEXresData" xfId="871" xr:uid="{00000000-0005-0000-0000-00006A030000}"/>
    <cellStyle name="SAPBEXresData 2" xfId="872" xr:uid="{00000000-0005-0000-0000-00006B030000}"/>
    <cellStyle name="SAPBEXresData 2 2" xfId="873" xr:uid="{00000000-0005-0000-0000-00006C030000}"/>
    <cellStyle name="SAPBEXresData 2 2 2" xfId="874" xr:uid="{00000000-0005-0000-0000-00006D030000}"/>
    <cellStyle name="SAPBEXresData 2 2 3" xfId="875" xr:uid="{00000000-0005-0000-0000-00006E030000}"/>
    <cellStyle name="SAPBEXresData 2 2 4" xfId="876" xr:uid="{00000000-0005-0000-0000-00006F030000}"/>
    <cellStyle name="SAPBEXresData 2 2 5" xfId="877" xr:uid="{00000000-0005-0000-0000-000070030000}"/>
    <cellStyle name="SAPBEXresData 2 3" xfId="878" xr:uid="{00000000-0005-0000-0000-000071030000}"/>
    <cellStyle name="SAPBEXresData 3" xfId="879" xr:uid="{00000000-0005-0000-0000-000072030000}"/>
    <cellStyle name="SAPBEXresData 3 2" xfId="880" xr:uid="{00000000-0005-0000-0000-000073030000}"/>
    <cellStyle name="SAPBEXresData 3 3" xfId="881" xr:uid="{00000000-0005-0000-0000-000074030000}"/>
    <cellStyle name="SAPBEXresData 3 4" xfId="882" xr:uid="{00000000-0005-0000-0000-000075030000}"/>
    <cellStyle name="SAPBEXresData 3 5" xfId="883" xr:uid="{00000000-0005-0000-0000-000076030000}"/>
    <cellStyle name="SAPBEXresData 4" xfId="884" xr:uid="{00000000-0005-0000-0000-000077030000}"/>
    <cellStyle name="SAPBEXresDataEmph" xfId="885" xr:uid="{00000000-0005-0000-0000-000078030000}"/>
    <cellStyle name="SAPBEXresDataEmph 2" xfId="886" xr:uid="{00000000-0005-0000-0000-000079030000}"/>
    <cellStyle name="SAPBEXresDataEmph 2 2" xfId="887" xr:uid="{00000000-0005-0000-0000-00007A030000}"/>
    <cellStyle name="SAPBEXresDataEmph 2 2 2" xfId="888" xr:uid="{00000000-0005-0000-0000-00007B030000}"/>
    <cellStyle name="SAPBEXresDataEmph 2 2 3" xfId="889" xr:uid="{00000000-0005-0000-0000-00007C030000}"/>
    <cellStyle name="SAPBEXresDataEmph 2 2 4" xfId="890" xr:uid="{00000000-0005-0000-0000-00007D030000}"/>
    <cellStyle name="SAPBEXresDataEmph 2 2 5" xfId="891" xr:uid="{00000000-0005-0000-0000-00007E030000}"/>
    <cellStyle name="SAPBEXresDataEmph 2 3" xfId="892" xr:uid="{00000000-0005-0000-0000-00007F030000}"/>
    <cellStyle name="SAPBEXresDataEmph 3" xfId="893" xr:uid="{00000000-0005-0000-0000-000080030000}"/>
    <cellStyle name="SAPBEXresDataEmph 3 2" xfId="894" xr:uid="{00000000-0005-0000-0000-000081030000}"/>
    <cellStyle name="SAPBEXresDataEmph 3 3" xfId="895" xr:uid="{00000000-0005-0000-0000-000082030000}"/>
    <cellStyle name="SAPBEXresDataEmph 3 4" xfId="896" xr:uid="{00000000-0005-0000-0000-000083030000}"/>
    <cellStyle name="SAPBEXresDataEmph 3 5" xfId="897" xr:uid="{00000000-0005-0000-0000-000084030000}"/>
    <cellStyle name="SAPBEXresDataEmph 4" xfId="898" xr:uid="{00000000-0005-0000-0000-000085030000}"/>
    <cellStyle name="SAPBEXresItem" xfId="899" xr:uid="{00000000-0005-0000-0000-000086030000}"/>
    <cellStyle name="SAPBEXresItem 2" xfId="900" xr:uid="{00000000-0005-0000-0000-000087030000}"/>
    <cellStyle name="SAPBEXresItem 2 2" xfId="901" xr:uid="{00000000-0005-0000-0000-000088030000}"/>
    <cellStyle name="SAPBEXresItem 2 2 2" xfId="902" xr:uid="{00000000-0005-0000-0000-000089030000}"/>
    <cellStyle name="SAPBEXresItem 2 2 3" xfId="903" xr:uid="{00000000-0005-0000-0000-00008A030000}"/>
    <cellStyle name="SAPBEXresItem 2 2 4" xfId="904" xr:uid="{00000000-0005-0000-0000-00008B030000}"/>
    <cellStyle name="SAPBEXresItem 2 2 5" xfId="905" xr:uid="{00000000-0005-0000-0000-00008C030000}"/>
    <cellStyle name="SAPBEXresItem 2 3" xfId="906" xr:uid="{00000000-0005-0000-0000-00008D030000}"/>
    <cellStyle name="SAPBEXresItem 3" xfId="907" xr:uid="{00000000-0005-0000-0000-00008E030000}"/>
    <cellStyle name="SAPBEXresItem 3 2" xfId="908" xr:uid="{00000000-0005-0000-0000-00008F030000}"/>
    <cellStyle name="SAPBEXresItem 3 3" xfId="909" xr:uid="{00000000-0005-0000-0000-000090030000}"/>
    <cellStyle name="SAPBEXresItem 3 4" xfId="910" xr:uid="{00000000-0005-0000-0000-000091030000}"/>
    <cellStyle name="SAPBEXresItem 3 5" xfId="911" xr:uid="{00000000-0005-0000-0000-000092030000}"/>
    <cellStyle name="SAPBEXresItem 4" xfId="912" xr:uid="{00000000-0005-0000-0000-000093030000}"/>
    <cellStyle name="SAPBEXresItemX" xfId="913" xr:uid="{00000000-0005-0000-0000-000094030000}"/>
    <cellStyle name="SAPBEXresItemX 2" xfId="914" xr:uid="{00000000-0005-0000-0000-000095030000}"/>
    <cellStyle name="SAPBEXresItemX 2 2" xfId="915" xr:uid="{00000000-0005-0000-0000-000096030000}"/>
    <cellStyle name="SAPBEXresItemX 2 2 2" xfId="916" xr:uid="{00000000-0005-0000-0000-000097030000}"/>
    <cellStyle name="SAPBEXresItemX 2 2 3" xfId="917" xr:uid="{00000000-0005-0000-0000-000098030000}"/>
    <cellStyle name="SAPBEXresItemX 2 2 4" xfId="918" xr:uid="{00000000-0005-0000-0000-000099030000}"/>
    <cellStyle name="SAPBEXresItemX 2 2 5" xfId="919" xr:uid="{00000000-0005-0000-0000-00009A030000}"/>
    <cellStyle name="SAPBEXresItemX 2 3" xfId="920" xr:uid="{00000000-0005-0000-0000-00009B030000}"/>
    <cellStyle name="SAPBEXresItemX 3" xfId="921" xr:uid="{00000000-0005-0000-0000-00009C030000}"/>
    <cellStyle name="SAPBEXresItemX 3 2" xfId="922" xr:uid="{00000000-0005-0000-0000-00009D030000}"/>
    <cellStyle name="SAPBEXresItemX 3 3" xfId="923" xr:uid="{00000000-0005-0000-0000-00009E030000}"/>
    <cellStyle name="SAPBEXresItemX 3 4" xfId="924" xr:uid="{00000000-0005-0000-0000-00009F030000}"/>
    <cellStyle name="SAPBEXresItemX 3 5" xfId="925" xr:uid="{00000000-0005-0000-0000-0000A0030000}"/>
    <cellStyle name="SAPBEXresItemX 4" xfId="926" xr:uid="{00000000-0005-0000-0000-0000A1030000}"/>
    <cellStyle name="SAPBEXstdData" xfId="927" xr:uid="{00000000-0005-0000-0000-0000A2030000}"/>
    <cellStyle name="SAPBEXstdData 2" xfId="928" xr:uid="{00000000-0005-0000-0000-0000A3030000}"/>
    <cellStyle name="SAPBEXstdData 2 2" xfId="929" xr:uid="{00000000-0005-0000-0000-0000A4030000}"/>
    <cellStyle name="SAPBEXstdData 2 2 2" xfId="930" xr:uid="{00000000-0005-0000-0000-0000A5030000}"/>
    <cellStyle name="SAPBEXstdData 2 2 3" xfId="931" xr:uid="{00000000-0005-0000-0000-0000A6030000}"/>
    <cellStyle name="SAPBEXstdData 2 2 4" xfId="932" xr:uid="{00000000-0005-0000-0000-0000A7030000}"/>
    <cellStyle name="SAPBEXstdData 2 2 5" xfId="933" xr:uid="{00000000-0005-0000-0000-0000A8030000}"/>
    <cellStyle name="SAPBEXstdData 2 3" xfId="934" xr:uid="{00000000-0005-0000-0000-0000A9030000}"/>
    <cellStyle name="SAPBEXstdData 3" xfId="935" xr:uid="{00000000-0005-0000-0000-0000AA030000}"/>
    <cellStyle name="SAPBEXstdData 3 2" xfId="936" xr:uid="{00000000-0005-0000-0000-0000AB030000}"/>
    <cellStyle name="SAPBEXstdData 3 3" xfId="937" xr:uid="{00000000-0005-0000-0000-0000AC030000}"/>
    <cellStyle name="SAPBEXstdData 3 4" xfId="938" xr:uid="{00000000-0005-0000-0000-0000AD030000}"/>
    <cellStyle name="SAPBEXstdData 3 5" xfId="939" xr:uid="{00000000-0005-0000-0000-0000AE030000}"/>
    <cellStyle name="SAPBEXstdData 4" xfId="940" xr:uid="{00000000-0005-0000-0000-0000AF030000}"/>
    <cellStyle name="SAPBEXstdDataEmph" xfId="941" xr:uid="{00000000-0005-0000-0000-0000B0030000}"/>
    <cellStyle name="SAPBEXstdDataEmph 2" xfId="942" xr:uid="{00000000-0005-0000-0000-0000B1030000}"/>
    <cellStyle name="SAPBEXstdDataEmph 2 2" xfId="943" xr:uid="{00000000-0005-0000-0000-0000B2030000}"/>
    <cellStyle name="SAPBEXstdDataEmph 2 2 2" xfId="944" xr:uid="{00000000-0005-0000-0000-0000B3030000}"/>
    <cellStyle name="SAPBEXstdDataEmph 2 2 3" xfId="945" xr:uid="{00000000-0005-0000-0000-0000B4030000}"/>
    <cellStyle name="SAPBEXstdDataEmph 2 2 4" xfId="946" xr:uid="{00000000-0005-0000-0000-0000B5030000}"/>
    <cellStyle name="SAPBEXstdDataEmph 2 2 5" xfId="947" xr:uid="{00000000-0005-0000-0000-0000B6030000}"/>
    <cellStyle name="SAPBEXstdDataEmph 2 3" xfId="948" xr:uid="{00000000-0005-0000-0000-0000B7030000}"/>
    <cellStyle name="SAPBEXstdDataEmph 3" xfId="949" xr:uid="{00000000-0005-0000-0000-0000B8030000}"/>
    <cellStyle name="SAPBEXstdDataEmph 3 2" xfId="950" xr:uid="{00000000-0005-0000-0000-0000B9030000}"/>
    <cellStyle name="SAPBEXstdDataEmph 3 3" xfId="951" xr:uid="{00000000-0005-0000-0000-0000BA030000}"/>
    <cellStyle name="SAPBEXstdDataEmph 3 4" xfId="952" xr:uid="{00000000-0005-0000-0000-0000BB030000}"/>
    <cellStyle name="SAPBEXstdDataEmph 3 5" xfId="953" xr:uid="{00000000-0005-0000-0000-0000BC030000}"/>
    <cellStyle name="SAPBEXstdDataEmph 4" xfId="954" xr:uid="{00000000-0005-0000-0000-0000BD030000}"/>
    <cellStyle name="SAPBEXstdItem" xfId="955" xr:uid="{00000000-0005-0000-0000-0000BE030000}"/>
    <cellStyle name="SAPBEXstdItem 2" xfId="956" xr:uid="{00000000-0005-0000-0000-0000BF030000}"/>
    <cellStyle name="SAPBEXstdItem 2 2" xfId="957" xr:uid="{00000000-0005-0000-0000-0000C0030000}"/>
    <cellStyle name="SAPBEXstdItem 2 2 2" xfId="958" xr:uid="{00000000-0005-0000-0000-0000C1030000}"/>
    <cellStyle name="SAPBEXstdItem 2 2 3" xfId="959" xr:uid="{00000000-0005-0000-0000-0000C2030000}"/>
    <cellStyle name="SAPBEXstdItem 2 2 4" xfId="960" xr:uid="{00000000-0005-0000-0000-0000C3030000}"/>
    <cellStyle name="SAPBEXstdItem 2 2 5" xfId="961" xr:uid="{00000000-0005-0000-0000-0000C4030000}"/>
    <cellStyle name="SAPBEXstdItem 2 3" xfId="962" xr:uid="{00000000-0005-0000-0000-0000C5030000}"/>
    <cellStyle name="SAPBEXstdItem 3" xfId="963" xr:uid="{00000000-0005-0000-0000-0000C6030000}"/>
    <cellStyle name="SAPBEXstdItem 3 2" xfId="964" xr:uid="{00000000-0005-0000-0000-0000C7030000}"/>
    <cellStyle name="SAPBEXstdItem 3 3" xfId="965" xr:uid="{00000000-0005-0000-0000-0000C8030000}"/>
    <cellStyle name="SAPBEXstdItem 3 4" xfId="966" xr:uid="{00000000-0005-0000-0000-0000C9030000}"/>
    <cellStyle name="SAPBEXstdItem 3 5" xfId="967" xr:uid="{00000000-0005-0000-0000-0000CA030000}"/>
    <cellStyle name="SAPBEXstdItem 4" xfId="968" xr:uid="{00000000-0005-0000-0000-0000CB030000}"/>
    <cellStyle name="SAPBEXstdItemX" xfId="969" xr:uid="{00000000-0005-0000-0000-0000CC030000}"/>
    <cellStyle name="SAPBEXstdItemX 2" xfId="970" xr:uid="{00000000-0005-0000-0000-0000CD030000}"/>
    <cellStyle name="SAPBEXstdItemX 2 2" xfId="971" xr:uid="{00000000-0005-0000-0000-0000CE030000}"/>
    <cellStyle name="SAPBEXstdItemX 2 2 2" xfId="972" xr:uid="{00000000-0005-0000-0000-0000CF030000}"/>
    <cellStyle name="SAPBEXstdItemX 2 2 3" xfId="973" xr:uid="{00000000-0005-0000-0000-0000D0030000}"/>
    <cellStyle name="SAPBEXstdItemX 2 2 4" xfId="974" xr:uid="{00000000-0005-0000-0000-0000D1030000}"/>
    <cellStyle name="SAPBEXstdItemX 2 2 5" xfId="975" xr:uid="{00000000-0005-0000-0000-0000D2030000}"/>
    <cellStyle name="SAPBEXstdItemX 2 3" xfId="976" xr:uid="{00000000-0005-0000-0000-0000D3030000}"/>
    <cellStyle name="SAPBEXstdItemX 3" xfId="977" xr:uid="{00000000-0005-0000-0000-0000D4030000}"/>
    <cellStyle name="SAPBEXstdItemX 3 2" xfId="978" xr:uid="{00000000-0005-0000-0000-0000D5030000}"/>
    <cellStyle name="SAPBEXstdItemX 3 3" xfId="979" xr:uid="{00000000-0005-0000-0000-0000D6030000}"/>
    <cellStyle name="SAPBEXstdItemX 3 4" xfId="980" xr:uid="{00000000-0005-0000-0000-0000D7030000}"/>
    <cellStyle name="SAPBEXstdItemX 3 5" xfId="981" xr:uid="{00000000-0005-0000-0000-0000D8030000}"/>
    <cellStyle name="SAPBEXstdItemX 4" xfId="982" xr:uid="{00000000-0005-0000-0000-0000D9030000}"/>
    <cellStyle name="SAPBEXtitle" xfId="983" xr:uid="{00000000-0005-0000-0000-0000DA030000}"/>
    <cellStyle name="SAPBEXundefined" xfId="984" xr:uid="{00000000-0005-0000-0000-0000DB030000}"/>
    <cellStyle name="SAPBEXundefined 2" xfId="985" xr:uid="{00000000-0005-0000-0000-0000DC030000}"/>
    <cellStyle name="SAPBEXundefined 2 2" xfId="986" xr:uid="{00000000-0005-0000-0000-0000DD030000}"/>
    <cellStyle name="SAPBEXundefined 2 2 2" xfId="987" xr:uid="{00000000-0005-0000-0000-0000DE030000}"/>
    <cellStyle name="SAPBEXundefined 2 2 3" xfId="988" xr:uid="{00000000-0005-0000-0000-0000DF030000}"/>
    <cellStyle name="SAPBEXundefined 2 2 4" xfId="989" xr:uid="{00000000-0005-0000-0000-0000E0030000}"/>
    <cellStyle name="SAPBEXundefined 2 2 5" xfId="990" xr:uid="{00000000-0005-0000-0000-0000E1030000}"/>
    <cellStyle name="SAPBEXundefined 2 3" xfId="991" xr:uid="{00000000-0005-0000-0000-0000E2030000}"/>
    <cellStyle name="SAPBEXundefined 3" xfId="992" xr:uid="{00000000-0005-0000-0000-0000E3030000}"/>
    <cellStyle name="SAPBEXundefined 3 2" xfId="993" xr:uid="{00000000-0005-0000-0000-0000E4030000}"/>
    <cellStyle name="SAPBEXundefined 3 3" xfId="994" xr:uid="{00000000-0005-0000-0000-0000E5030000}"/>
    <cellStyle name="SAPBEXundefined 3 4" xfId="995" xr:uid="{00000000-0005-0000-0000-0000E6030000}"/>
    <cellStyle name="SAPBEXundefined 3 5" xfId="996" xr:uid="{00000000-0005-0000-0000-0000E7030000}"/>
    <cellStyle name="SAPBEXundefined 4" xfId="997" xr:uid="{00000000-0005-0000-0000-0000E8030000}"/>
    <cellStyle name="section" xfId="998" xr:uid="{00000000-0005-0000-0000-0000E9030000}"/>
    <cellStyle name="SOR" xfId="999" xr:uid="{00000000-0005-0000-0000-0000EA030000}"/>
    <cellStyle name="SOR 2" xfId="1000" xr:uid="{00000000-0005-0000-0000-0000EB030000}"/>
    <cellStyle name="SOR 2 2" xfId="1001" xr:uid="{00000000-0005-0000-0000-0000EC030000}"/>
    <cellStyle name="SOR 2 2 2" xfId="1002" xr:uid="{00000000-0005-0000-0000-0000ED030000}"/>
    <cellStyle name="SOR 2 3" xfId="1003" xr:uid="{00000000-0005-0000-0000-0000EE030000}"/>
    <cellStyle name="SOR 3" xfId="1004" xr:uid="{00000000-0005-0000-0000-0000EF030000}"/>
    <cellStyle name="SOR 3 2" xfId="1005" xr:uid="{00000000-0005-0000-0000-0000F0030000}"/>
    <cellStyle name="SOR 4" xfId="1006" xr:uid="{00000000-0005-0000-0000-0000F1030000}"/>
    <cellStyle name="subhead" xfId="1007" xr:uid="{00000000-0005-0000-0000-0000F2030000}"/>
    <cellStyle name="title" xfId="1008" xr:uid="{00000000-0005-0000-0000-0000F3030000}"/>
    <cellStyle name="Tusental (0)_pldt" xfId="1009" xr:uid="{00000000-0005-0000-0000-0000F4030000}"/>
    <cellStyle name="Tusental_pldt" xfId="1010" xr:uid="{00000000-0005-0000-0000-0000F5030000}"/>
    <cellStyle name="Valuta (0)_pldt" xfId="1011" xr:uid="{00000000-0005-0000-0000-0000F6030000}"/>
    <cellStyle name="Valuta_pldt" xfId="1012" xr:uid="{00000000-0005-0000-0000-0000F7030000}"/>
    <cellStyle name="パーセント_laroux" xfId="1013" xr:uid="{00000000-0005-0000-0000-0000F8030000}"/>
    <cellStyle name="_PLDT" xfId="1014" xr:uid="{00000000-0005-0000-0000-0000F9030000}"/>
    <cellStyle name="_laroux" xfId="1015" xr:uid="{00000000-0005-0000-0000-0000FA030000}"/>
    <cellStyle name="だ[0]_PLDT" xfId="1016" xr:uid="{00000000-0005-0000-0000-0000FB030000}"/>
    <cellStyle name="だ_PLDT" xfId="1017" xr:uid="{00000000-0005-0000-0000-0000FC030000}"/>
    <cellStyle name="だ[0]_Total (2)" xfId="1018" xr:uid="{00000000-0005-0000-0000-0000FD030000}"/>
    <cellStyle name="だ_laroux" xfId="1019" xr:uid="{00000000-0005-0000-0000-0000FE030000}"/>
    <cellStyle name="百分比" xfId="32" builtinId="5"/>
    <cellStyle name="百分比 2" xfId="1020" xr:uid="{00000000-0005-0000-0000-0000FF030000}"/>
    <cellStyle name="百分比 2 2" xfId="1021" xr:uid="{00000000-0005-0000-0000-000000040000}"/>
    <cellStyle name="百分比 2 3" xfId="1022" xr:uid="{00000000-0005-0000-0000-000001040000}"/>
    <cellStyle name="百分比 3" xfId="1023" xr:uid="{00000000-0005-0000-0000-000002040000}"/>
    <cellStyle name="百分比 3 2" xfId="1024" xr:uid="{00000000-0005-0000-0000-000003040000}"/>
    <cellStyle name="百分比 3 2 2" xfId="1025" xr:uid="{00000000-0005-0000-0000-000004040000}"/>
    <cellStyle name="百分比 3 3" xfId="1026" xr:uid="{00000000-0005-0000-0000-000005040000}"/>
    <cellStyle name="百分比 3 4" xfId="1027" xr:uid="{00000000-0005-0000-0000-000006040000}"/>
    <cellStyle name="百分比 4" xfId="1028" xr:uid="{00000000-0005-0000-0000-000007040000}"/>
    <cellStyle name="百分比 4 2" xfId="1029" xr:uid="{00000000-0005-0000-0000-000008040000}"/>
    <cellStyle name="百分比 4 3" xfId="1030" xr:uid="{00000000-0005-0000-0000-000009040000}"/>
    <cellStyle name="百分比 4 4" xfId="1031" xr:uid="{00000000-0005-0000-0000-00000A040000}"/>
    <cellStyle name="百分比 5" xfId="28" xr:uid="{00000000-0005-0000-0000-00001D000000}"/>
    <cellStyle name="百分比 6" xfId="1032" xr:uid="{00000000-0005-0000-0000-00000B040000}"/>
    <cellStyle name="捠壿 [0.00]_PRODUCT DETAIL Q1" xfId="1033" xr:uid="{00000000-0005-0000-0000-00000C040000}"/>
    <cellStyle name="捠壿_PRODUCT DETAIL Q1" xfId="1034" xr:uid="{00000000-0005-0000-0000-00000D040000}"/>
    <cellStyle name="标题 5" xfId="1035" xr:uid="{00000000-0005-0000-0000-00000E040000}"/>
    <cellStyle name="標準_１１月価格表" xfId="1036" xr:uid="{00000000-0005-0000-0000-00000F040000}"/>
    <cellStyle name="表标题" xfId="1037" xr:uid="{00000000-0005-0000-0000-000010040000}"/>
    <cellStyle name="差_10存货" xfId="1038" xr:uid="{00000000-0005-0000-0000-000011040000}"/>
    <cellStyle name="差_19-无形资产（空白模板）" xfId="1039" xr:uid="{00000000-0005-0000-0000-000012040000}"/>
    <cellStyle name="差_2-交易性金融资产（空白模板）" xfId="1040" xr:uid="{00000000-0005-0000-0000-000013040000}"/>
    <cellStyle name="差_3-2 进一步审计程序-采购与付款循环" xfId="1041" xr:uid="{00000000-0005-0000-0000-000014040000}"/>
    <cellStyle name="差_3-3 进一步审计程序-存货与生产循环" xfId="1042" xr:uid="{00000000-0005-0000-0000-000015040000}"/>
    <cellStyle name="差_49-营业收入（空白模板）" xfId="1043" xr:uid="{00000000-0005-0000-0000-000016040000}"/>
    <cellStyle name="差_4-应收账款（空白模板）" xfId="1044" xr:uid="{00000000-0005-0000-0000-000017040000}"/>
    <cellStyle name="差_50-营业成本（空白模板）" xfId="1045" xr:uid="{00000000-0005-0000-0000-000018040000}"/>
    <cellStyle name="差_51-营业税金及附加（空白模板）" xfId="1046" xr:uid="{00000000-0005-0000-0000-000019040000}"/>
    <cellStyle name="差_54-财务费用（空白模板）" xfId="1047" xr:uid="{00000000-0005-0000-0000-00001A040000}"/>
    <cellStyle name="差_55-资产减值损失（空白模板）" xfId="1048" xr:uid="{00000000-0005-0000-0000-00001B040000}"/>
    <cellStyle name="差_9管理费用" xfId="1049" xr:uid="{00000000-0005-0000-0000-00001C040000}"/>
    <cellStyle name="差_Book2" xfId="1050" xr:uid="{00000000-0005-0000-0000-00001D040000}"/>
    <cellStyle name="差_dxn底稿目录" xfId="1051" xr:uid="{00000000-0005-0000-0000-00001E040000}"/>
    <cellStyle name="差_Sheet1" xfId="1052" xr:uid="{00000000-0005-0000-0000-00001F040000}"/>
    <cellStyle name="差_ZA0货币资金审定表 " xfId="1053" xr:uid="{00000000-0005-0000-0000-000020040000}"/>
    <cellStyle name="差_存货" xfId="1054" xr:uid="{00000000-0005-0000-0000-000021040000}"/>
    <cellStyle name="差_大信底稿目录" xfId="1055" xr:uid="{00000000-0005-0000-0000-000022040000}"/>
    <cellStyle name="差_底稿设置宏" xfId="1056" xr:uid="{00000000-0005-0000-0000-000023040000}"/>
    <cellStyle name="差_货币资金" xfId="1057" xr:uid="{00000000-0005-0000-0000-000024040000}"/>
    <cellStyle name="差_货币资金 天职" xfId="1058" xr:uid="{00000000-0005-0000-0000-000025040000}"/>
    <cellStyle name="差_货币资金 岳华" xfId="1059" xr:uid="{00000000-0005-0000-0000-000026040000}"/>
    <cellStyle name="差_无形资产" xfId="1060" xr:uid="{00000000-0005-0000-0000-000027040000}"/>
    <cellStyle name="差_应付职工薪酬" xfId="1061" xr:uid="{00000000-0005-0000-0000-000028040000}"/>
    <cellStyle name="差_应收账款" xfId="1062" xr:uid="{00000000-0005-0000-0000-000029040000}"/>
    <cellStyle name="差_账项明细表" xfId="1063" xr:uid="{00000000-0005-0000-0000-00002A040000}"/>
    <cellStyle name="常规" xfId="0" builtinId="0"/>
    <cellStyle name="常规 10" xfId="1064" xr:uid="{00000000-0005-0000-0000-00002B040000}"/>
    <cellStyle name="常规 10 2" xfId="33" xr:uid="{00000000-0005-0000-0000-000023000000}"/>
    <cellStyle name="常规 10 2 2" xfId="1328" xr:uid="{57CA2A2A-996E-4AC2-8731-4B92410138A2}"/>
    <cellStyle name="常规 10 5" xfId="1330" xr:uid="{410A9DD2-7773-490C-8288-6C5F86832157}"/>
    <cellStyle name="常规 11" xfId="1065" xr:uid="{00000000-0005-0000-0000-00002C040000}"/>
    <cellStyle name="常规 12" xfId="1066" xr:uid="{00000000-0005-0000-0000-00002D040000}"/>
    <cellStyle name="常规 13" xfId="36" xr:uid="{00000000-0005-0000-0000-000026000000}"/>
    <cellStyle name="常规 14" xfId="1322" xr:uid="{C1C39B71-50AD-493A-9979-8D77F2667194}"/>
    <cellStyle name="常规 15" xfId="1324" xr:uid="{D1CD57A1-2859-42AB-A853-7BD24DACAA51}"/>
    <cellStyle name="常规 16" xfId="1325" xr:uid="{E467E10B-AC83-4FEC-B5E6-27611FCD4DA7}"/>
    <cellStyle name="常规 17" xfId="1326" xr:uid="{D2F4C01D-973A-4F75-AE45-52E6F68584B9}"/>
    <cellStyle name="常规 18" xfId="1332" xr:uid="{F217CDD7-7B36-4BF9-80BA-662D3D66E044}"/>
    <cellStyle name="常规 19" xfId="1335" xr:uid="{F482DD4E-CA84-4ED8-AE35-421C5BA6FA03}"/>
    <cellStyle name="常规 2" xfId="1067" xr:uid="{00000000-0005-0000-0000-00002E040000}"/>
    <cellStyle name="常规 2- " xfId="1068" xr:uid="{00000000-0005-0000-0000-00002F040000}"/>
    <cellStyle name="常规 2 10" xfId="1069" xr:uid="{00000000-0005-0000-0000-000030040000}"/>
    <cellStyle name="常规 2 11" xfId="1070" xr:uid="{00000000-0005-0000-0000-000031040000}"/>
    <cellStyle name="常规 2 12" xfId="1071" xr:uid="{00000000-0005-0000-0000-000032040000}"/>
    <cellStyle name="常规 2 13" xfId="1072" xr:uid="{00000000-0005-0000-0000-000033040000}"/>
    <cellStyle name="常规 2 14" xfId="1336" xr:uid="{422213E0-A91A-4AFD-9EE5-C8B76F72BAEA}"/>
    <cellStyle name="常规 2 2" xfId="1073" xr:uid="{00000000-0005-0000-0000-000034040000}"/>
    <cellStyle name="常规 2 2 2" xfId="1074" xr:uid="{00000000-0005-0000-0000-000035040000}"/>
    <cellStyle name="常规 2 2 2 2" xfId="1075" xr:uid="{00000000-0005-0000-0000-000036040000}"/>
    <cellStyle name="常规 2 2 2 3" xfId="1076" xr:uid="{00000000-0005-0000-0000-000037040000}"/>
    <cellStyle name="常规 2 2 2 4" xfId="1077" xr:uid="{00000000-0005-0000-0000-000038040000}"/>
    <cellStyle name="常规 2 2 3" xfId="1078" xr:uid="{00000000-0005-0000-0000-000039040000}"/>
    <cellStyle name="常规 2 2 3 2" xfId="1079" xr:uid="{00000000-0005-0000-0000-00003A040000}"/>
    <cellStyle name="常规 2 2 3 3" xfId="1080" xr:uid="{00000000-0005-0000-0000-00003B040000}"/>
    <cellStyle name="常规 2 2 3 3 2" xfId="1081" xr:uid="{00000000-0005-0000-0000-00003C040000}"/>
    <cellStyle name="常规 2 2 3 4" xfId="1082" xr:uid="{00000000-0005-0000-0000-00003D040000}"/>
    <cellStyle name="常规 2 2 4" xfId="17" xr:uid="{00000000-0005-0000-0000-000011000000}"/>
    <cellStyle name="常规 2 2 4 2" xfId="1083" xr:uid="{00000000-0005-0000-0000-00003E040000}"/>
    <cellStyle name="常规 2 2 4 3" xfId="1084" xr:uid="{00000000-0005-0000-0000-00003F040000}"/>
    <cellStyle name="常规 2 2 5" xfId="1085" xr:uid="{00000000-0005-0000-0000-000040040000}"/>
    <cellStyle name="常规 2 2 5 2" xfId="1086" xr:uid="{00000000-0005-0000-0000-000041040000}"/>
    <cellStyle name="常规 2 2 5 2 2" xfId="18" xr:uid="{00000000-0005-0000-0000-000012000000}"/>
    <cellStyle name="常规 2 2 6" xfId="1087" xr:uid="{00000000-0005-0000-0000-000042040000}"/>
    <cellStyle name="常规 2 3" xfId="1088" xr:uid="{00000000-0005-0000-0000-000043040000}"/>
    <cellStyle name="常规 2 3 2" xfId="1089" xr:uid="{00000000-0005-0000-0000-000044040000}"/>
    <cellStyle name="常规 2 3 3" xfId="1090" xr:uid="{00000000-0005-0000-0000-000045040000}"/>
    <cellStyle name="常规 2 4" xfId="1091" xr:uid="{00000000-0005-0000-0000-000046040000}"/>
    <cellStyle name="常规 2 5" xfId="1092" xr:uid="{00000000-0005-0000-0000-000047040000}"/>
    <cellStyle name="常规 2 6" xfId="1093" xr:uid="{00000000-0005-0000-0000-000048040000}"/>
    <cellStyle name="常规 2 7" xfId="1094" xr:uid="{00000000-0005-0000-0000-000049040000}"/>
    <cellStyle name="常规 2 8" xfId="1095" xr:uid="{00000000-0005-0000-0000-00004A040000}"/>
    <cellStyle name="常规 2 9" xfId="1096" xr:uid="{00000000-0005-0000-0000-00004B040000}"/>
    <cellStyle name="常规 2_10存货" xfId="1097" xr:uid="{00000000-0005-0000-0000-00004C040000}"/>
    <cellStyle name="常规 3" xfId="1098" xr:uid="{00000000-0005-0000-0000-00004D040000}"/>
    <cellStyle name="常规 3 2" xfId="6" xr:uid="{00000000-0005-0000-0000-000006000000}"/>
    <cellStyle name="常规 3 2 2" xfId="1099" xr:uid="{00000000-0005-0000-0000-00004E040000}"/>
    <cellStyle name="常规 3 2 2 2" xfId="1100" xr:uid="{00000000-0005-0000-0000-00004F040000}"/>
    <cellStyle name="常规 3 2 2 3" xfId="1101" xr:uid="{00000000-0005-0000-0000-000050040000}"/>
    <cellStyle name="常规 3 2 3" xfId="8" xr:uid="{00000000-0005-0000-0000-000008000000}"/>
    <cellStyle name="常规 3 2 4" xfId="3" xr:uid="{00000000-0005-0000-0000-000003000000}"/>
    <cellStyle name="常规 3 2 4 2" xfId="64" xr:uid="{00000000-0005-0000-0000-000043000000}"/>
    <cellStyle name="常规 3 3" xfId="1102" xr:uid="{00000000-0005-0000-0000-000051040000}"/>
    <cellStyle name="常规 3 3 2" xfId="1103" xr:uid="{00000000-0005-0000-0000-000052040000}"/>
    <cellStyle name="常规 3 3 3" xfId="1104" xr:uid="{00000000-0005-0000-0000-000053040000}"/>
    <cellStyle name="常规 3 4" xfId="1105" xr:uid="{00000000-0005-0000-0000-000054040000}"/>
    <cellStyle name="常规 3_10存货" xfId="1106" xr:uid="{00000000-0005-0000-0000-000055040000}"/>
    <cellStyle name="常规 4" xfId="69" xr:uid="{00000000-0005-0000-0000-000048000000}"/>
    <cellStyle name="常规 4 2" xfId="60" xr:uid="{00000000-0005-0000-0000-00003E000000}"/>
    <cellStyle name="常规 4 2 2" xfId="1107" xr:uid="{00000000-0005-0000-0000-000056040000}"/>
    <cellStyle name="常规 4 2 3" xfId="1108" xr:uid="{00000000-0005-0000-0000-000057040000}"/>
    <cellStyle name="常规 4 3" xfId="1109" xr:uid="{00000000-0005-0000-0000-000058040000}"/>
    <cellStyle name="常规 4 3 2 2" xfId="1110" xr:uid="{00000000-0005-0000-0000-000059040000}"/>
    <cellStyle name="常规 4 3 2 2 2" xfId="1111" xr:uid="{00000000-0005-0000-0000-00005A040000}"/>
    <cellStyle name="常规 4 4" xfId="1112" xr:uid="{00000000-0005-0000-0000-00005B040000}"/>
    <cellStyle name="常规 4 5" xfId="1113" xr:uid="{00000000-0005-0000-0000-00005C040000}"/>
    <cellStyle name="常规 5" xfId="1114" xr:uid="{00000000-0005-0000-0000-00005D040000}"/>
    <cellStyle name="常规 5 2" xfId="1115" xr:uid="{00000000-0005-0000-0000-00005E040000}"/>
    <cellStyle name="常规 5 3" xfId="1116" xr:uid="{00000000-0005-0000-0000-00005F040000}"/>
    <cellStyle name="常规 6" xfId="1117" xr:uid="{00000000-0005-0000-0000-000060040000}"/>
    <cellStyle name="常规 7" xfId="1118" xr:uid="{00000000-0005-0000-0000-000061040000}"/>
    <cellStyle name="常规 7 2" xfId="1119" xr:uid="{00000000-0005-0000-0000-000062040000}"/>
    <cellStyle name="常规 7 3" xfId="1120" xr:uid="{00000000-0005-0000-0000-000063040000}"/>
    <cellStyle name="常规 8" xfId="1121" xr:uid="{00000000-0005-0000-0000-000064040000}"/>
    <cellStyle name="常规 8 2" xfId="1122" xr:uid="{00000000-0005-0000-0000-000065040000}"/>
    <cellStyle name="常规 9" xfId="1123" xr:uid="{00000000-0005-0000-0000-000066040000}"/>
    <cellStyle name="常规 9 2" xfId="1124" xr:uid="{00000000-0005-0000-0000-000067040000}"/>
    <cellStyle name="常规 9 3" xfId="1125" xr:uid="{00000000-0005-0000-0000-000068040000}"/>
    <cellStyle name="常规_ZA 货币资金" xfId="1327" xr:uid="{05FE5757-7B0C-4244-972A-3CB9D019EECA}"/>
    <cellStyle name="超级链接_综合类底稿表格" xfId="1126" xr:uid="{00000000-0005-0000-0000-000069040000}"/>
    <cellStyle name="超連結 2" xfId="1127" xr:uid="{00000000-0005-0000-0000-00006A040000}"/>
    <cellStyle name="超链接 2" xfId="22" xr:uid="{00000000-0005-0000-0000-000017000000}"/>
    <cellStyle name="超链接 2 2" xfId="1128" xr:uid="{00000000-0005-0000-0000-00006B040000}"/>
    <cellStyle name="超链接 2 2 2" xfId="1129" xr:uid="{00000000-0005-0000-0000-00006C040000}"/>
    <cellStyle name="超链接 2 3" xfId="1130" xr:uid="{00000000-0005-0000-0000-00006D040000}"/>
    <cellStyle name="超链接 2 4" xfId="1131" xr:uid="{00000000-0005-0000-0000-00006E040000}"/>
    <cellStyle name="超链接 2 5" xfId="1132" xr:uid="{00000000-0005-0000-0000-00006F040000}"/>
    <cellStyle name="超链接 3" xfId="1133" xr:uid="{00000000-0005-0000-0000-000070040000}"/>
    <cellStyle name="超链接 3 2" xfId="1134" xr:uid="{00000000-0005-0000-0000-000071040000}"/>
    <cellStyle name="超链接 3 3" xfId="1135" xr:uid="{00000000-0005-0000-0000-000072040000}"/>
    <cellStyle name="超链接 4" xfId="65" xr:uid="{00000000-0005-0000-0000-000044000000}"/>
    <cellStyle name="超链接 5" xfId="23" xr:uid="{00000000-0005-0000-0000-000018000000}"/>
    <cellStyle name="好_10存货" xfId="1136" xr:uid="{00000000-0005-0000-0000-000073040000}"/>
    <cellStyle name="好_19-无形资产（空白模板）" xfId="1137" xr:uid="{00000000-0005-0000-0000-000074040000}"/>
    <cellStyle name="好_1财务费用" xfId="1138" xr:uid="{00000000-0005-0000-0000-000075040000}"/>
    <cellStyle name="好_1营业收入" xfId="1139" xr:uid="{00000000-0005-0000-0000-000076040000}"/>
    <cellStyle name="好_1资产减值损失" xfId="1140" xr:uid="{00000000-0005-0000-0000-000077040000}"/>
    <cellStyle name="好_2-交易性金融资产（空白模板）" xfId="1141" xr:uid="{00000000-0005-0000-0000-000078040000}"/>
    <cellStyle name="好_3-2 进一步审计程序-采购与付款循环" xfId="1142" xr:uid="{00000000-0005-0000-0000-000079040000}"/>
    <cellStyle name="好_3-3 进一步审计程序-存货与生产循环" xfId="1143" xr:uid="{00000000-0005-0000-0000-00007A040000}"/>
    <cellStyle name="好_49-营业收入（空白模板）" xfId="1144" xr:uid="{00000000-0005-0000-0000-00007B040000}"/>
    <cellStyle name="好_4-应收账款（空白模板）" xfId="1145" xr:uid="{00000000-0005-0000-0000-00007C040000}"/>
    <cellStyle name="好_50-营业成本（空白模板）" xfId="1146" xr:uid="{00000000-0005-0000-0000-00007D040000}"/>
    <cellStyle name="好_51-营业税金及附加（空白模板）" xfId="1147" xr:uid="{00000000-0005-0000-0000-00007E040000}"/>
    <cellStyle name="好_54-财务费用（空白模板）" xfId="1148" xr:uid="{00000000-0005-0000-0000-00007F040000}"/>
    <cellStyle name="好_55-资产减值损失（空白模板）" xfId="1149" xr:uid="{00000000-0005-0000-0000-000080040000}"/>
    <cellStyle name="好_9管理费用" xfId="1150" xr:uid="{00000000-0005-0000-0000-000081040000}"/>
    <cellStyle name="好_Book2" xfId="1151" xr:uid="{00000000-0005-0000-0000-000082040000}"/>
    <cellStyle name="好_Sheet1" xfId="1152" xr:uid="{00000000-0005-0000-0000-000083040000}"/>
    <cellStyle name="好_ZA0货币资金审定表 " xfId="1153" xr:uid="{00000000-0005-0000-0000-000084040000}"/>
    <cellStyle name="好_财务费用" xfId="1154" xr:uid="{00000000-0005-0000-0000-000085040000}"/>
    <cellStyle name="好_存货" xfId="1155" xr:uid="{00000000-0005-0000-0000-000086040000}"/>
    <cellStyle name="好_存货 - 复制" xfId="1156" xr:uid="{00000000-0005-0000-0000-000087040000}"/>
    <cellStyle name="好_大信底稿目录" xfId="1157" xr:uid="{00000000-0005-0000-0000-000088040000}"/>
    <cellStyle name="好_底稿设置宏" xfId="1158" xr:uid="{00000000-0005-0000-0000-000089040000}"/>
    <cellStyle name="好_底稿设置宏_大信底稿目录" xfId="1159" xr:uid="{00000000-0005-0000-0000-00008A040000}"/>
    <cellStyle name="好_货币资金" xfId="1160" xr:uid="{00000000-0005-0000-0000-00008B040000}"/>
    <cellStyle name="好_货币资金 天职" xfId="1161" xr:uid="{00000000-0005-0000-0000-00008C040000}"/>
    <cellStyle name="好_货币资金 岳华" xfId="1162" xr:uid="{00000000-0005-0000-0000-00008D040000}"/>
    <cellStyle name="好_实收资本(股本)" xfId="1163" xr:uid="{00000000-0005-0000-0000-00008E040000}"/>
    <cellStyle name="好_无形资产" xfId="1164" xr:uid="{00000000-0005-0000-0000-00008F040000}"/>
    <cellStyle name="好_银行函证结果汇总表" xfId="1165" xr:uid="{00000000-0005-0000-0000-000090040000}"/>
    <cellStyle name="好_应付职工薪酬" xfId="1166" xr:uid="{00000000-0005-0000-0000-000091040000}"/>
    <cellStyle name="好_应收利息" xfId="1167" xr:uid="{00000000-0005-0000-0000-000092040000}"/>
    <cellStyle name="好_应收账款" xfId="1168" xr:uid="{00000000-0005-0000-0000-000093040000}"/>
    <cellStyle name="好_营业收入" xfId="1169" xr:uid="{00000000-0005-0000-0000-000094040000}"/>
    <cellStyle name="好_账项明细表" xfId="1170" xr:uid="{00000000-0005-0000-0000-000095040000}"/>
    <cellStyle name="好_资产负债标准底稿" xfId="1171" xr:uid="{00000000-0005-0000-0000-000096040000}"/>
    <cellStyle name="好_资产负债标准底稿_大信底稿目录" xfId="1172" xr:uid="{00000000-0005-0000-0000-000097040000}"/>
    <cellStyle name="好_资产负债类底稿模版" xfId="1173" xr:uid="{00000000-0005-0000-0000-000098040000}"/>
    <cellStyle name="好_资产负债类底稿模版_大信底稿目录" xfId="1174" xr:uid="{00000000-0005-0000-0000-000099040000}"/>
    <cellStyle name="好_资产减值损失" xfId="1175" xr:uid="{00000000-0005-0000-0000-00009A040000}"/>
    <cellStyle name="桁区切り [0.00]_１１月価格表" xfId="1176" xr:uid="{00000000-0005-0000-0000-00009B040000}"/>
    <cellStyle name="桁区切り_１１月価格表" xfId="1177" xr:uid="{00000000-0005-0000-0000-00009C040000}"/>
    <cellStyle name="货币 2" xfId="1178" xr:uid="{00000000-0005-0000-0000-00009D040000}"/>
    <cellStyle name="货币 3" xfId="1179" xr:uid="{00000000-0005-0000-0000-00009E040000}"/>
    <cellStyle name="貨幣 [0]_SGV" xfId="1180" xr:uid="{00000000-0005-0000-0000-00009F040000}"/>
    <cellStyle name="貨幣_SGV" xfId="1181" xr:uid="{00000000-0005-0000-0000-0000A0040000}"/>
    <cellStyle name="霓付 [0]_1202" xfId="1182" xr:uid="{00000000-0005-0000-0000-0000A1040000}"/>
    <cellStyle name="霓付_1202" xfId="1183" xr:uid="{00000000-0005-0000-0000-0000A2040000}"/>
    <cellStyle name="烹拳 [0]_1202" xfId="1184" xr:uid="{00000000-0005-0000-0000-0000A3040000}"/>
    <cellStyle name="烹拳_1202" xfId="1185" xr:uid="{00000000-0005-0000-0000-0000A4040000}"/>
    <cellStyle name="砯刽 [0]_PLDT" xfId="1186" xr:uid="{00000000-0005-0000-0000-0000A5040000}"/>
    <cellStyle name="砯刽_PLDT" xfId="1187" xr:uid="{00000000-0005-0000-0000-0000A6040000}"/>
    <cellStyle name="普通_ 白土" xfId="1188" xr:uid="{00000000-0005-0000-0000-0000A7040000}"/>
    <cellStyle name="千分位[0]_ 白土" xfId="1189" xr:uid="{00000000-0005-0000-0000-0000A8040000}"/>
    <cellStyle name="千分位_ 白土" xfId="1190" xr:uid="{00000000-0005-0000-0000-0000A9040000}"/>
    <cellStyle name="千位[0]_1995" xfId="1191" xr:uid="{00000000-0005-0000-0000-0000AA040000}"/>
    <cellStyle name="千位_1995" xfId="1192" xr:uid="{00000000-0005-0000-0000-0000AB040000}"/>
    <cellStyle name="千位分隔" xfId="9" builtinId="3"/>
    <cellStyle name="千位分隔 10" xfId="27" xr:uid="{00000000-0005-0000-0000-00001C000000}"/>
    <cellStyle name="千位分隔 10 2" xfId="1193" xr:uid="{00000000-0005-0000-0000-0000AC040000}"/>
    <cellStyle name="千位分隔 11" xfId="1194" xr:uid="{00000000-0005-0000-0000-0000AD040000}"/>
    <cellStyle name="千位分隔 11 2" xfId="1195" xr:uid="{00000000-0005-0000-0000-0000AE040000}"/>
    <cellStyle name="千位分隔 12" xfId="1196" xr:uid="{00000000-0005-0000-0000-0000AF040000}"/>
    <cellStyle name="千位分隔 13" xfId="1339" xr:uid="{68F3F6E3-AFF8-4D70-9FF1-1BC92F55A240}"/>
    <cellStyle name="千位分隔 2" xfId="1197" xr:uid="{00000000-0005-0000-0000-0000B0040000}"/>
    <cellStyle name="千位分隔 2 2" xfId="1198" xr:uid="{00000000-0005-0000-0000-0000B1040000}"/>
    <cellStyle name="千位分隔 2 2 2" xfId="1199" xr:uid="{00000000-0005-0000-0000-0000B2040000}"/>
    <cellStyle name="千位分隔 2 2 2 2" xfId="1200" xr:uid="{00000000-0005-0000-0000-0000B3040000}"/>
    <cellStyle name="千位分隔 2 2 2 2 2" xfId="1201" xr:uid="{00000000-0005-0000-0000-0000B4040000}"/>
    <cellStyle name="千位分隔 2 2 2 3" xfId="1202" xr:uid="{00000000-0005-0000-0000-0000B5040000}"/>
    <cellStyle name="千位分隔 2 2 2 3 2" xfId="1203" xr:uid="{00000000-0005-0000-0000-0000B6040000}"/>
    <cellStyle name="千位分隔 2 2 2 4" xfId="1204" xr:uid="{00000000-0005-0000-0000-0000B7040000}"/>
    <cellStyle name="千位分隔 2 2 3" xfId="1205" xr:uid="{00000000-0005-0000-0000-0000B8040000}"/>
    <cellStyle name="千位分隔 2 2 3 2" xfId="1206" xr:uid="{00000000-0005-0000-0000-0000B9040000}"/>
    <cellStyle name="千位分隔 2 2 4" xfId="1207" xr:uid="{00000000-0005-0000-0000-0000BA040000}"/>
    <cellStyle name="千位分隔 2 2 4 2" xfId="1208" xr:uid="{00000000-0005-0000-0000-0000BB040000}"/>
    <cellStyle name="千位分隔 2 2 5" xfId="1209" xr:uid="{00000000-0005-0000-0000-0000BC040000}"/>
    <cellStyle name="千位分隔 2 3" xfId="1210" xr:uid="{00000000-0005-0000-0000-0000BD040000}"/>
    <cellStyle name="千位分隔 2 3 2" xfId="1211" xr:uid="{00000000-0005-0000-0000-0000BE040000}"/>
    <cellStyle name="千位分隔 2 3 2 2" xfId="1212" xr:uid="{00000000-0005-0000-0000-0000BF040000}"/>
    <cellStyle name="千位分隔 2 3 3" xfId="1213" xr:uid="{00000000-0005-0000-0000-0000C0040000}"/>
    <cellStyle name="千位分隔 2 4" xfId="1214" xr:uid="{00000000-0005-0000-0000-0000C1040000}"/>
    <cellStyle name="千位分隔 2 4 2" xfId="1215" xr:uid="{00000000-0005-0000-0000-0000C2040000}"/>
    <cellStyle name="千位分隔 2 5" xfId="1216" xr:uid="{00000000-0005-0000-0000-0000C3040000}"/>
    <cellStyle name="千位分隔 2 6" xfId="1338" xr:uid="{01859B2F-7ADC-4DA8-A9B1-F2D23B2CF899}"/>
    <cellStyle name="千位分隔 3" xfId="1217" xr:uid="{00000000-0005-0000-0000-0000C4040000}"/>
    <cellStyle name="千位分隔 3 2" xfId="1218" xr:uid="{00000000-0005-0000-0000-0000C5040000}"/>
    <cellStyle name="千位分隔 3 2 2" xfId="1219" xr:uid="{00000000-0005-0000-0000-0000C6040000}"/>
    <cellStyle name="千位分隔 3 2 2 2" xfId="1220" xr:uid="{00000000-0005-0000-0000-0000C7040000}"/>
    <cellStyle name="千位分隔 3 2 2 2 2" xfId="1221" xr:uid="{00000000-0005-0000-0000-0000C8040000}"/>
    <cellStyle name="千位分隔 3 2 2 3" xfId="1222" xr:uid="{00000000-0005-0000-0000-0000C9040000}"/>
    <cellStyle name="千位分隔 3 2 3" xfId="1223" xr:uid="{00000000-0005-0000-0000-0000CA040000}"/>
    <cellStyle name="千位分隔 3 2 3 2" xfId="1224" xr:uid="{00000000-0005-0000-0000-0000CB040000}"/>
    <cellStyle name="千位分隔 3 2 4" xfId="1225" xr:uid="{00000000-0005-0000-0000-0000CC040000}"/>
    <cellStyle name="千位分隔 3 2 4 2" xfId="1226" xr:uid="{00000000-0005-0000-0000-0000CD040000}"/>
    <cellStyle name="千位分隔 3 2 5" xfId="1227" xr:uid="{00000000-0005-0000-0000-0000CE040000}"/>
    <cellStyle name="千位分隔 3 3" xfId="1228" xr:uid="{00000000-0005-0000-0000-0000CF040000}"/>
    <cellStyle name="千位分隔 3 3 2" xfId="1229" xr:uid="{00000000-0005-0000-0000-0000D0040000}"/>
    <cellStyle name="千位分隔 3 3 2 2" xfId="1230" xr:uid="{00000000-0005-0000-0000-0000D1040000}"/>
    <cellStyle name="千位分隔 3 3 3" xfId="1231" xr:uid="{00000000-0005-0000-0000-0000D2040000}"/>
    <cellStyle name="千位分隔 3 3 3 2" xfId="1232" xr:uid="{00000000-0005-0000-0000-0000D3040000}"/>
    <cellStyle name="千位分隔 3 3 4" xfId="1233" xr:uid="{00000000-0005-0000-0000-0000D4040000}"/>
    <cellStyle name="千位分隔 3 4" xfId="1234" xr:uid="{00000000-0005-0000-0000-0000D5040000}"/>
    <cellStyle name="千位分隔 3 4 2" xfId="1235" xr:uid="{00000000-0005-0000-0000-0000D6040000}"/>
    <cellStyle name="千位分隔 3 4 2 2" xfId="1236" xr:uid="{00000000-0005-0000-0000-0000D7040000}"/>
    <cellStyle name="千位分隔 3 4 3" xfId="1237" xr:uid="{00000000-0005-0000-0000-0000D8040000}"/>
    <cellStyle name="千位分隔 3 4 3 2" xfId="1238" xr:uid="{00000000-0005-0000-0000-0000D9040000}"/>
    <cellStyle name="千位分隔 3 4 4" xfId="1239" xr:uid="{00000000-0005-0000-0000-0000DA040000}"/>
    <cellStyle name="千位分隔 3 5" xfId="1240" xr:uid="{00000000-0005-0000-0000-0000DB040000}"/>
    <cellStyle name="千位分隔 3 5 2" xfId="1241" xr:uid="{00000000-0005-0000-0000-0000DC040000}"/>
    <cellStyle name="千位分隔 3 6" xfId="1242" xr:uid="{00000000-0005-0000-0000-0000DD040000}"/>
    <cellStyle name="千位分隔 4" xfId="1243" xr:uid="{00000000-0005-0000-0000-0000DE040000}"/>
    <cellStyle name="千位分隔 4 2" xfId="1244" xr:uid="{00000000-0005-0000-0000-0000DF040000}"/>
    <cellStyle name="千位分隔 4 2 2" xfId="1245" xr:uid="{00000000-0005-0000-0000-0000E0040000}"/>
    <cellStyle name="千位分隔 4 2 2 2" xfId="1246" xr:uid="{00000000-0005-0000-0000-0000E1040000}"/>
    <cellStyle name="千位分隔 4 2 3" xfId="1247" xr:uid="{00000000-0005-0000-0000-0000E2040000}"/>
    <cellStyle name="千位分隔 4 2 3 2" xfId="1248" xr:uid="{00000000-0005-0000-0000-0000E3040000}"/>
    <cellStyle name="千位分隔 4 2 4" xfId="1249" xr:uid="{00000000-0005-0000-0000-0000E4040000}"/>
    <cellStyle name="千位分隔 4 3" xfId="1250" xr:uid="{00000000-0005-0000-0000-0000E5040000}"/>
    <cellStyle name="千位分隔 4 3 2" xfId="1251" xr:uid="{00000000-0005-0000-0000-0000E6040000}"/>
    <cellStyle name="千位分隔 4 4" xfId="1252" xr:uid="{00000000-0005-0000-0000-0000E7040000}"/>
    <cellStyle name="千位分隔 4 4 2" xfId="1253" xr:uid="{00000000-0005-0000-0000-0000E8040000}"/>
    <cellStyle name="千位分隔 4 5" xfId="1254" xr:uid="{00000000-0005-0000-0000-0000E9040000}"/>
    <cellStyle name="千位分隔 5" xfId="1255" xr:uid="{00000000-0005-0000-0000-0000EA040000}"/>
    <cellStyle name="千位分隔 5 2" xfId="1256" xr:uid="{00000000-0005-0000-0000-0000EB040000}"/>
    <cellStyle name="千位分隔 5 2 2" xfId="1257" xr:uid="{00000000-0005-0000-0000-0000EC040000}"/>
    <cellStyle name="千位分隔 5 2 2 2" xfId="1258" xr:uid="{00000000-0005-0000-0000-0000ED040000}"/>
    <cellStyle name="千位分隔 5 2 3" xfId="1259" xr:uid="{00000000-0005-0000-0000-0000EE040000}"/>
    <cellStyle name="千位分隔 5 3" xfId="1260" xr:uid="{00000000-0005-0000-0000-0000EF040000}"/>
    <cellStyle name="千位分隔 5 3 2" xfId="1261" xr:uid="{00000000-0005-0000-0000-0000F0040000}"/>
    <cellStyle name="千位分隔 5 4" xfId="1262" xr:uid="{00000000-0005-0000-0000-0000F1040000}"/>
    <cellStyle name="千位分隔 5 4 2" xfId="1263" xr:uid="{00000000-0005-0000-0000-0000F2040000}"/>
    <cellStyle name="千位分隔 5 5" xfId="1264" xr:uid="{00000000-0005-0000-0000-0000F3040000}"/>
    <cellStyle name="千位分隔 6" xfId="1265" xr:uid="{00000000-0005-0000-0000-0000F4040000}"/>
    <cellStyle name="千位分隔 6 2" xfId="1266" xr:uid="{00000000-0005-0000-0000-0000F5040000}"/>
    <cellStyle name="千位分隔 7" xfId="1267" xr:uid="{00000000-0005-0000-0000-0000F6040000}"/>
    <cellStyle name="千位分隔 7 2" xfId="1268" xr:uid="{00000000-0005-0000-0000-0000F7040000}"/>
    <cellStyle name="千位分隔 7 3" xfId="1269" xr:uid="{00000000-0005-0000-0000-0000F8040000}"/>
    <cellStyle name="千位分隔 7 3 2" xfId="1270" xr:uid="{00000000-0005-0000-0000-0000F9040000}"/>
    <cellStyle name="千位分隔 7 3 2 2" xfId="1271" xr:uid="{00000000-0005-0000-0000-0000FA040000}"/>
    <cellStyle name="千位分隔 7 3 3" xfId="1272" xr:uid="{00000000-0005-0000-0000-0000FB040000}"/>
    <cellStyle name="千位分隔 8" xfId="1273" xr:uid="{00000000-0005-0000-0000-0000FC040000}"/>
    <cellStyle name="千位分隔 8 2" xfId="1274" xr:uid="{00000000-0005-0000-0000-0000FD040000}"/>
    <cellStyle name="千位分隔 8 2 2" xfId="1275" xr:uid="{00000000-0005-0000-0000-0000FE040000}"/>
    <cellStyle name="千位分隔 8 3" xfId="1276" xr:uid="{00000000-0005-0000-0000-0000FF040000}"/>
    <cellStyle name="千位分隔 9" xfId="1277" xr:uid="{00000000-0005-0000-0000-000000050000}"/>
    <cellStyle name="千位分隔 9 2" xfId="1278" xr:uid="{00000000-0005-0000-0000-000001050000}"/>
    <cellStyle name="千位分隔[0] 2" xfId="1279" xr:uid="{00000000-0005-0000-0000-000002050000}"/>
    <cellStyle name="千位分隔[0] 2 2" xfId="1280" xr:uid="{00000000-0005-0000-0000-000003050000}"/>
    <cellStyle name="千位分隔[0] 2 2 2" xfId="1281" xr:uid="{00000000-0005-0000-0000-000004050000}"/>
    <cellStyle name="千位分隔[0] 2 2 2 2" xfId="1282" xr:uid="{00000000-0005-0000-0000-000005050000}"/>
    <cellStyle name="千位分隔[0] 2 2 2 2 2" xfId="1283" xr:uid="{00000000-0005-0000-0000-000006050000}"/>
    <cellStyle name="千位分隔[0] 2 2 2 3" xfId="1284" xr:uid="{00000000-0005-0000-0000-000007050000}"/>
    <cellStyle name="千位分隔[0] 2 2 2 3 2" xfId="1285" xr:uid="{00000000-0005-0000-0000-000008050000}"/>
    <cellStyle name="千位分隔[0] 2 2 2 4" xfId="1286" xr:uid="{00000000-0005-0000-0000-000009050000}"/>
    <cellStyle name="千位分隔[0] 2 2 3" xfId="1287" xr:uid="{00000000-0005-0000-0000-00000A050000}"/>
    <cellStyle name="千位分隔[0] 2 2 3 2" xfId="1288" xr:uid="{00000000-0005-0000-0000-00000B050000}"/>
    <cellStyle name="千位分隔[0] 2 2 4" xfId="1289" xr:uid="{00000000-0005-0000-0000-00000C050000}"/>
    <cellStyle name="千位分隔[0] 2 2 4 2" xfId="1290" xr:uid="{00000000-0005-0000-0000-00000D050000}"/>
    <cellStyle name="千位分隔[0] 2 2 5" xfId="1291" xr:uid="{00000000-0005-0000-0000-00000E050000}"/>
    <cellStyle name="千位分隔[0] 2 3" xfId="1292" xr:uid="{00000000-0005-0000-0000-00000F050000}"/>
    <cellStyle name="千位分隔[0] 2 3 2" xfId="1293" xr:uid="{00000000-0005-0000-0000-000010050000}"/>
    <cellStyle name="千位分隔[0] 2 4" xfId="1294" xr:uid="{00000000-0005-0000-0000-000011050000}"/>
    <cellStyle name="千位分隔[0] 2 4 2" xfId="1295" xr:uid="{00000000-0005-0000-0000-000012050000}"/>
    <cellStyle name="千位分隔[0] 2 5" xfId="1296" xr:uid="{00000000-0005-0000-0000-000013050000}"/>
    <cellStyle name="钎霖_(沥焊何巩)岿喊牢盔拌裙" xfId="1297" xr:uid="{00000000-0005-0000-0000-000014050000}"/>
    <cellStyle name="强调 1" xfId="1298" xr:uid="{00000000-0005-0000-0000-000015050000}"/>
    <cellStyle name="强调 2" xfId="1299" xr:uid="{00000000-0005-0000-0000-000016050000}"/>
    <cellStyle name="强调 3" xfId="1300" xr:uid="{00000000-0005-0000-0000-000017050000}"/>
    <cellStyle name="通貨 [0.00]_１１月価格表" xfId="1301" xr:uid="{00000000-0005-0000-0000-000018050000}"/>
    <cellStyle name="通貨_１１月価格表" xfId="1302" xr:uid="{00000000-0005-0000-0000-000019050000}"/>
    <cellStyle name="样式 1" xfId="1303" xr:uid="{00000000-0005-0000-0000-00001A050000}"/>
    <cellStyle name="一般 2" xfId="1304" xr:uid="{00000000-0005-0000-0000-00001B050000}"/>
    <cellStyle name="一般 2 2" xfId="1305" xr:uid="{00000000-0005-0000-0000-00001C050000}"/>
    <cellStyle name="一般_2008 06CUIT" xfId="1306" xr:uid="{00000000-0005-0000-0000-00001D050000}"/>
    <cellStyle name="昗弨_BOOKSHIP" xfId="1307" xr:uid="{00000000-0005-0000-0000-00001E050000}"/>
    <cellStyle name="寘嬫愗傝 [0.00]_PRODUCT DETAIL Q1" xfId="1308" xr:uid="{00000000-0005-0000-0000-00001F050000}"/>
    <cellStyle name="寘嬫愗傝_PRODUCT DETAIL Q1" xfId="1309" xr:uid="{00000000-0005-0000-0000-000020050000}"/>
    <cellStyle name="资产" xfId="1310" xr:uid="{00000000-0005-0000-0000-000021050000}"/>
    <cellStyle name="资产 2" xfId="1311" xr:uid="{00000000-0005-0000-0000-000022050000}"/>
    <cellStyle name="资产 2 2" xfId="1312" xr:uid="{00000000-0005-0000-0000-000023050000}"/>
    <cellStyle name="资产 2 3" xfId="1313" xr:uid="{00000000-0005-0000-0000-000024050000}"/>
    <cellStyle name="资产 3" xfId="1314" xr:uid="{00000000-0005-0000-0000-000025050000}"/>
    <cellStyle name="资产 4" xfId="1315" xr:uid="{00000000-0005-0000-0000-000026050000}"/>
    <cellStyle name="资产 5" xfId="1316" xr:uid="{00000000-0005-0000-0000-000027050000}"/>
    <cellStyle name="콤마 [0]_BOILER-CO1" xfId="1317" xr:uid="{00000000-0005-0000-0000-000028050000}"/>
    <cellStyle name="콤마_BOILER-CO1" xfId="1318" xr:uid="{00000000-0005-0000-0000-000029050000}"/>
    <cellStyle name="통화 [0]_BOILER-CO1" xfId="1319" xr:uid="{00000000-0005-0000-0000-00002A050000}"/>
    <cellStyle name="통화_BOILER-CO1" xfId="1320" xr:uid="{00000000-0005-0000-0000-00002B050000}"/>
    <cellStyle name="표준_0N-HANDLING " xfId="1321" xr:uid="{00000000-0005-0000-0000-00002C050000}"/>
  </cellStyles>
  <dxfs count="38">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FF00"/>
      <color rgb="FF333399"/>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Uexp_Cutoff%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2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3%3A%E9%94%80%E5%94%AE%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 Id="rId1" Type="http://schemas.openxmlformats.org/officeDocument/2006/relationships/image" Target="../media/image3.jpg"/><Relationship Id="rId4"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5%3A%E7%AE%A1%E7%90%86%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4%BD%A3%E9%87%91%E6%B5%8B%E7%AE%97" TargetMode="External"/><Relationship Id="rId1" Type="http://schemas.openxmlformats.org/officeDocument/2006/relationships/image" Target="../media/image3.jp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2,%E5%87%BB%E4%B8%8B%E8%BD%BD%EF%BC%9A%E6%8E%A8%E5%B9%BF%E8%B4%B9%E7%9A%84%E5%88%A4%E6%96%AD"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E5%BA%95%E7%A8%BF%E4%B8%AD%E5%BB%BA%E7%AB%8B%E4%BA%A4%E5%8F%89%E7%B4%A2%E5%BC%95%E3%80%82" TargetMode="External"/><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2,%E6%8A%BD%E6%A0%B7%E8%BF%87%E7%A8%8B%E4%BF%9D%E7%95%99%E5%9C%A8%E5%BA%95%E7%A8%BF%E4%B8%AD%E3%80%82" TargetMode="External"/><Relationship Id="rId2" Type="http://schemas.openxmlformats.org/officeDocument/2006/relationships/image" Target="../media/image5.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E3%80%82" TargetMode="External"/><Relationship Id="rId6"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5,%E5%8F%91%E7%A5%A8%E3%80%81%E7%BB%93%E7%AE%97%E8%B5%84%E6%96%99%E3%80%81%E5%90%88%E5%90%8C%E5%8D%8F%E8%AE%AE%E7%AD%89%E3%80%82" TargetMode="External"/><Relationship Id="rId5"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4,%E6%97%A5%E6%9C%9F%E5%87%86%E7%A1%AE%E5%90%8E%E5%86%8D%E5%A1%AB%E5%88%97%E3%80%82"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4,%E6%97%A5%E6%9C%9F%E5%87%86%E7%A1%AE%E5%90%8E%E5%86%8D%E5%A1%AB%E5%88%97" TargetMode="External"/><Relationship Id="rId7"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E6%AD%A3%E6%95%B0%EF%BC%8C%E8%AF%B7%E6%9B%BF%E6%8D%A2%E6%A0%B7%E6%9C%AC" TargetMode="External"/><Relationship Id="rId2" Type="http://schemas.openxmlformats.org/officeDocument/2006/relationships/image" Target="../media/image2.png"/><Relationship Id="rId1"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3,%E6%9D%A5%E6%BA%90%EF%BC%9AEY%20Altas%2D%20Sampling%20FAQ" TargetMode="External"/><Relationship Id="rId6" Type="http://schemas.openxmlformats.org/officeDocument/2006/relationships/image" Target="../media/image5.png"/><Relationship Id="rId5"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2,%E6%8A%BD%E6%A0%B7%E8%BF%87%E7%A8%8B%E4%BF%9D%E7%95%99%E5%9C%A8%E5%BA%95%E7%A8%BF%E4%B8%AD%E3%80%82" TargetMode="External"/><Relationship Id="rId4" Type="http://schemas.openxmlformats.org/officeDocument/2006/relationships/hyperlink" Target="https://eychinamanaged.sharepoint.cn/sites/GCknowledgecenter/SitePages/%E6%A0%87%E5%87%86%E5%AE%A1%E8%AE%A1%E5%BA%95%E7%A8%BF%E6%A8%A1%E6%9D%BF_%E4%BC%81%E4%B8%9A%E5%90%88%E5%B9%B6_202YMMDD_XYZ%E5%85%AC%E5%8F%B8_Read-me-and-Delete-me.aspx#:~:text=VC%26VD.01.2%20TOD%2D%E6%B3%A8%E9%87%8A5,%E5%8F%91%E7%A5%A8%E3%80%81%E7%BB%93%E7%AE%97%E8%B5%84%E6%96%99%E3%80%81%E5%90%88%E5%90%8C%E5%8D%8F%E8%AE%AE%E7%AD%89" TargetMode="External"/></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4</xdr:col>
      <xdr:colOff>1335881</xdr:colOff>
      <xdr:row>14</xdr:row>
      <xdr:rowOff>90713</xdr:rowOff>
    </xdr:from>
    <xdr:to>
      <xdr:col>4</xdr:col>
      <xdr:colOff>1529975</xdr:colOff>
      <xdr:row>14</xdr:row>
      <xdr:rowOff>290285</xdr:rowOff>
    </xdr:to>
    <xdr:pic>
      <xdr:nvPicPr>
        <xdr:cNvPr id="2" name="图片 8">
          <a:hlinkClick xmlns:r="http://schemas.openxmlformats.org/officeDocument/2006/relationships" r:id="rId1" tooltip="截止性测试注意事项"/>
          <a:extLst>
            <a:ext uri="{FF2B5EF4-FFF2-40B4-BE49-F238E27FC236}">
              <a16:creationId xmlns:a16="http://schemas.microsoft.com/office/drawing/2014/main" id="{A11E5AF5-4256-4E8C-A87E-CFBE0A8FFF52}"/>
            </a:ext>
          </a:extLst>
        </xdr:cNvPr>
        <xdr:cNvPicPr>
          <a:picLocks noChangeAspect="1"/>
        </xdr:cNvPicPr>
      </xdr:nvPicPr>
      <xdr:blipFill>
        <a:blip xmlns:r="http://schemas.openxmlformats.org/officeDocument/2006/relationships" r:embed="rId2"/>
        <a:stretch>
          <a:fillRect/>
        </a:stretch>
      </xdr:blipFill>
      <xdr:spPr>
        <a:xfrm>
          <a:off x="5399881" y="5524499"/>
          <a:ext cx="194094" cy="199572"/>
        </a:xfrm>
        <a:prstGeom prst="rect">
          <a:avLst/>
        </a:prstGeom>
      </xdr:spPr>
    </xdr:pic>
    <xdr:clientData/>
  </xdr:twoCellAnchor>
  <xdr:twoCellAnchor>
    <xdr:from>
      <xdr:col>6</xdr:col>
      <xdr:colOff>1043214</xdr:colOff>
      <xdr:row>1</xdr:row>
      <xdr:rowOff>269</xdr:rowOff>
    </xdr:from>
    <xdr:to>
      <xdr:col>6</xdr:col>
      <xdr:colOff>1270000</xdr:colOff>
      <xdr:row>2</xdr:row>
      <xdr:rowOff>0</xdr:rowOff>
    </xdr:to>
    <xdr:pic>
      <xdr:nvPicPr>
        <xdr:cNvPr id="22" name="图片 2">
          <a:hlinkClick xmlns:r="http://schemas.openxmlformats.org/officeDocument/2006/relationships" r:id="rId3" tooltip="预审&amp;年审工作注意事项"/>
          <a:extLst>
            <a:ext uri="{FF2B5EF4-FFF2-40B4-BE49-F238E27FC236}">
              <a16:creationId xmlns:a16="http://schemas.microsoft.com/office/drawing/2014/main" id="{53D171DF-40F2-4242-81D8-18F338B6CD58}"/>
            </a:ext>
            <a:ext uri="{147F2762-F138-4A5C-976F-8EAC2B608ADB}">
              <a16:predDERef xmlns:a16="http://schemas.microsoft.com/office/drawing/2014/main" pred="{AB2EB372-E7B0-6012-C3C9-6C371F710459}"/>
            </a:ext>
          </a:extLst>
        </xdr:cNvPr>
        <xdr:cNvPicPr>
          <a:picLocks noChangeAspect="1"/>
        </xdr:cNvPicPr>
      </xdr:nvPicPr>
      <xdr:blipFill>
        <a:blip xmlns:r="http://schemas.openxmlformats.org/officeDocument/2006/relationships" r:embed="rId4"/>
        <a:stretch>
          <a:fillRect/>
        </a:stretch>
      </xdr:blipFill>
      <xdr:spPr>
        <a:xfrm>
          <a:off x="8581571" y="127269"/>
          <a:ext cx="226786" cy="196438"/>
        </a:xfrm>
        <a:prstGeom prst="rect">
          <a:avLst/>
        </a:prstGeom>
      </xdr:spPr>
    </xdr:pic>
    <xdr:clientData/>
  </xdr:twoCellAnchor>
  <xdr:twoCellAnchor>
    <xdr:from>
      <xdr:col>1</xdr:col>
      <xdr:colOff>861609</xdr:colOff>
      <xdr:row>1</xdr:row>
      <xdr:rowOff>9525</xdr:rowOff>
    </xdr:from>
    <xdr:to>
      <xdr:col>1</xdr:col>
      <xdr:colOff>1058968</xdr:colOff>
      <xdr:row>2</xdr:row>
      <xdr:rowOff>0</xdr:rowOff>
    </xdr:to>
    <xdr:pic>
      <xdr:nvPicPr>
        <xdr:cNvPr id="6" name="图片 2">
          <a:hlinkClick xmlns:r="http://schemas.openxmlformats.org/officeDocument/2006/relationships" r:id="rId5" tooltip="Altas PSP 链接"/>
          <a:extLst>
            <a:ext uri="{FF2B5EF4-FFF2-40B4-BE49-F238E27FC236}">
              <a16:creationId xmlns:a16="http://schemas.microsoft.com/office/drawing/2014/main" id="{50DDC16A-5EE2-44FD-8952-F9A18DBCC6E1}"/>
            </a:ext>
            <a:ext uri="{147F2762-F138-4A5C-976F-8EAC2B608ADB}">
              <a16:predDERef xmlns:a16="http://schemas.microsoft.com/office/drawing/2014/main" pred="{53D171DF-40F2-4242-81D8-18F338B6CD58}"/>
            </a:ext>
          </a:extLst>
        </xdr:cNvPr>
        <xdr:cNvPicPr>
          <a:picLocks noChangeAspect="1"/>
        </xdr:cNvPicPr>
      </xdr:nvPicPr>
      <xdr:blipFill>
        <a:blip xmlns:r="http://schemas.openxmlformats.org/officeDocument/2006/relationships" r:embed="rId4"/>
        <a:stretch>
          <a:fillRect/>
        </a:stretch>
      </xdr:blipFill>
      <xdr:spPr>
        <a:xfrm>
          <a:off x="1033966" y="136525"/>
          <a:ext cx="197359" cy="180975"/>
        </a:xfrm>
        <a:prstGeom prst="rect">
          <a:avLst/>
        </a:prstGeom>
      </xdr:spPr>
    </xdr:pic>
    <xdr:clientData/>
  </xdr:twoCellAnchor>
  <xdr:oneCellAnchor>
    <xdr:from>
      <xdr:col>4</xdr:col>
      <xdr:colOff>9071</xdr:colOff>
      <xdr:row>1</xdr:row>
      <xdr:rowOff>0</xdr:rowOff>
    </xdr:from>
    <xdr:ext cx="205343" cy="199303"/>
    <xdr:pic>
      <xdr:nvPicPr>
        <xdr:cNvPr id="5" name="图片 2">
          <a:hlinkClick xmlns:r="http://schemas.openxmlformats.org/officeDocument/2006/relationships" r:id="rId6" tooltip="如需帮助请点击"/>
          <a:extLst>
            <a:ext uri="{FF2B5EF4-FFF2-40B4-BE49-F238E27FC236}">
              <a16:creationId xmlns:a16="http://schemas.microsoft.com/office/drawing/2014/main" id="{5EF4A429-6336-4C27-90C6-592600B50168}"/>
            </a:ext>
          </a:extLst>
        </xdr:cNvPr>
        <xdr:cNvPicPr>
          <a:picLocks noChangeAspect="1"/>
        </xdr:cNvPicPr>
      </xdr:nvPicPr>
      <xdr:blipFill>
        <a:blip xmlns:r="http://schemas.openxmlformats.org/officeDocument/2006/relationships" r:embed="rId4"/>
        <a:stretch>
          <a:fillRect/>
        </a:stretch>
      </xdr:blipFill>
      <xdr:spPr>
        <a:xfrm>
          <a:off x="3982357" y="127000"/>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170544</xdr:colOff>
      <xdr:row>0</xdr:row>
      <xdr:rowOff>27214</xdr:rowOff>
    </xdr:from>
    <xdr:to>
      <xdr:col>1</xdr:col>
      <xdr:colOff>568363</xdr:colOff>
      <xdr:row>0</xdr:row>
      <xdr:rowOff>574530</xdr:rowOff>
    </xdr:to>
    <xdr:pic>
      <xdr:nvPicPr>
        <xdr:cNvPr id="3" name="图片 3">
          <a:extLst>
            <a:ext uri="{FF2B5EF4-FFF2-40B4-BE49-F238E27FC236}">
              <a16:creationId xmlns:a16="http://schemas.microsoft.com/office/drawing/2014/main" id="{B2E69242-4251-4808-A94A-C8E3BCF7F5DD}"/>
            </a:ext>
            <a:ext uri="{147F2762-F138-4A5C-976F-8EAC2B608ADB}">
              <a16:predDERef xmlns:a16="http://schemas.microsoft.com/office/drawing/2014/main" pred="{CCA3DA34-46D9-41BB-B08C-697C32EC4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58746" cy="558746"/>
        </a:xfrm>
        <a:prstGeom prst="rect">
          <a:avLst/>
        </a:prstGeom>
      </xdr:spPr>
    </xdr:pic>
    <xdr:clientData/>
  </xdr:twoCellAnchor>
  <xdr:twoCellAnchor>
    <xdr:from>
      <xdr:col>7</xdr:col>
      <xdr:colOff>752929</xdr:colOff>
      <xdr:row>1</xdr:row>
      <xdr:rowOff>181882</xdr:rowOff>
    </xdr:from>
    <xdr:to>
      <xdr:col>10</xdr:col>
      <xdr:colOff>1088572</xdr:colOff>
      <xdr:row>6</xdr:row>
      <xdr:rowOff>181428</xdr:rowOff>
    </xdr:to>
    <xdr:sp macro="" textlink="">
      <xdr:nvSpPr>
        <xdr:cNvPr id="10" name="TextBox 5">
          <a:extLst>
            <a:ext uri="{FF2B5EF4-FFF2-40B4-BE49-F238E27FC236}">
              <a16:creationId xmlns:a16="http://schemas.microsoft.com/office/drawing/2014/main" id="{60A0DB6F-9C8B-4F27-9C24-4B1C90517F9B}"/>
            </a:ext>
            <a:ext uri="{147F2762-F138-4A5C-976F-8EAC2B608ADB}">
              <a16:predDERef xmlns:a16="http://schemas.microsoft.com/office/drawing/2014/main" pred="{B2E69242-4251-4808-A94A-C8E3BCF7F5DD}"/>
            </a:ext>
          </a:extLst>
        </xdr:cNvPr>
        <xdr:cNvSpPr txBox="1"/>
      </xdr:nvSpPr>
      <xdr:spPr>
        <a:xfrm>
          <a:off x="8890000" y="871311"/>
          <a:ext cx="3991429" cy="104276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16</xdr:col>
      <xdr:colOff>40367</xdr:colOff>
      <xdr:row>10</xdr:row>
      <xdr:rowOff>136071</xdr:rowOff>
    </xdr:from>
    <xdr:to>
      <xdr:col>17</xdr:col>
      <xdr:colOff>193134</xdr:colOff>
      <xdr:row>20</xdr:row>
      <xdr:rowOff>79104</xdr:rowOff>
    </xdr:to>
    <xdr:sp macro="" textlink="">
      <xdr:nvSpPr>
        <xdr:cNvPr id="7" name="AutoShape 5">
          <a:extLst>
            <a:ext uri="{FF2B5EF4-FFF2-40B4-BE49-F238E27FC236}">
              <a16:creationId xmlns:a16="http://schemas.microsoft.com/office/drawing/2014/main" id="{96746291-230C-4490-A301-EA88BC18C800}"/>
            </a:ext>
            <a:ext uri="{147F2762-F138-4A5C-976F-8EAC2B608ADB}">
              <a16:predDERef xmlns:a16="http://schemas.microsoft.com/office/drawing/2014/main" pred="{970726EB-3FC4-480F-96EF-15A407FBF315}"/>
            </a:ext>
          </a:extLst>
        </xdr:cNvPr>
        <xdr:cNvSpPr>
          <a:spLocks noChangeAspect="1" noChangeArrowheads="1"/>
        </xdr:cNvSpPr>
      </xdr:nvSpPr>
      <xdr:spPr>
        <a:xfrm>
          <a:off x="13794467" y="1342571"/>
          <a:ext cx="1002397"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xdr:col>
      <xdr:colOff>716643</xdr:colOff>
      <xdr:row>25</xdr:row>
      <xdr:rowOff>27214</xdr:rowOff>
    </xdr:from>
    <xdr:to>
      <xdr:col>1</xdr:col>
      <xdr:colOff>945827</xdr:colOff>
      <xdr:row>25</xdr:row>
      <xdr:rowOff>254880</xdr:rowOff>
    </xdr:to>
    <xdr:pic>
      <xdr:nvPicPr>
        <xdr:cNvPr id="2" name="图片 5">
          <a:hlinkClick xmlns:r="http://schemas.openxmlformats.org/officeDocument/2006/relationships" r:id="rId2" tooltip="销售费用实质性程序注意事项"/>
          <a:extLst>
            <a:ext uri="{FF2B5EF4-FFF2-40B4-BE49-F238E27FC236}">
              <a16:creationId xmlns:a16="http://schemas.microsoft.com/office/drawing/2014/main" id="{5EBE94B0-3D9D-4BA3-B413-C25D1DF06636}"/>
            </a:ext>
          </a:extLst>
        </xdr:cNvPr>
        <xdr:cNvPicPr>
          <a:picLocks noChangeAspect="1"/>
        </xdr:cNvPicPr>
      </xdr:nvPicPr>
      <xdr:blipFill>
        <a:blip xmlns:r="http://schemas.openxmlformats.org/officeDocument/2006/relationships" r:embed="rId3"/>
        <a:stretch>
          <a:fillRect/>
        </a:stretch>
      </xdr:blipFill>
      <xdr:spPr>
        <a:xfrm>
          <a:off x="898072" y="5642428"/>
          <a:ext cx="229184" cy="227666"/>
        </a:xfrm>
        <a:prstGeom prst="rect">
          <a:avLst/>
        </a:prstGeom>
      </xdr:spPr>
    </xdr:pic>
    <xdr:clientData/>
  </xdr:twoCellAnchor>
  <xdr:twoCellAnchor>
    <xdr:from>
      <xdr:col>1</xdr:col>
      <xdr:colOff>694690</xdr:colOff>
      <xdr:row>26</xdr:row>
      <xdr:rowOff>36286</xdr:rowOff>
    </xdr:from>
    <xdr:to>
      <xdr:col>1</xdr:col>
      <xdr:colOff>934357</xdr:colOff>
      <xdr:row>26</xdr:row>
      <xdr:rowOff>255350</xdr:rowOff>
    </xdr:to>
    <xdr:pic>
      <xdr:nvPicPr>
        <xdr:cNvPr id="4" name="图片 9">
          <a:hlinkClick xmlns:r="http://schemas.openxmlformats.org/officeDocument/2006/relationships" r:id="rId4" tooltip="管理费用实质性程序注意事项"/>
          <a:extLst>
            <a:ext uri="{FF2B5EF4-FFF2-40B4-BE49-F238E27FC236}">
              <a16:creationId xmlns:a16="http://schemas.microsoft.com/office/drawing/2014/main" id="{99AAD002-474C-473D-A1B7-85A87AD8CA05}"/>
            </a:ext>
          </a:extLst>
        </xdr:cNvPr>
        <xdr:cNvPicPr>
          <a:picLocks noChangeAspect="1"/>
        </xdr:cNvPicPr>
      </xdr:nvPicPr>
      <xdr:blipFill>
        <a:blip xmlns:r="http://schemas.openxmlformats.org/officeDocument/2006/relationships" r:embed="rId3"/>
        <a:stretch>
          <a:fillRect/>
        </a:stretch>
      </xdr:blipFill>
      <xdr:spPr>
        <a:xfrm>
          <a:off x="876119" y="5969000"/>
          <a:ext cx="239667" cy="219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2</xdr:col>
      <xdr:colOff>79923</xdr:colOff>
      <xdr:row>1</xdr:row>
      <xdr:rowOff>193402</xdr:rowOff>
    </xdr:to>
    <xdr:sp macro="" textlink="">
      <xdr:nvSpPr>
        <xdr:cNvPr id="6" name="AutoShape 5">
          <a:extLst>
            <a:ext uri="{FF2B5EF4-FFF2-40B4-BE49-F238E27FC236}">
              <a16:creationId xmlns:a16="http://schemas.microsoft.com/office/drawing/2014/main" id="{970726EB-3FC4-480F-96EF-15A407FBF315}"/>
            </a:ext>
          </a:extLst>
        </xdr:cNvPr>
        <xdr:cNvSpPr>
          <a:spLocks noChangeAspect="1" noChangeArrowheads="1"/>
        </xdr:cNvSpPr>
      </xdr:nvSpPr>
      <xdr:spPr>
        <a:xfrm>
          <a:off x="448582" y="0"/>
          <a:ext cx="997135"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17</xdr:col>
      <xdr:colOff>40367</xdr:colOff>
      <xdr:row>3</xdr:row>
      <xdr:rowOff>136071</xdr:rowOff>
    </xdr:from>
    <xdr:to>
      <xdr:col>20</xdr:col>
      <xdr:colOff>232142</xdr:colOff>
      <xdr:row>11</xdr:row>
      <xdr:rowOff>152491</xdr:rowOff>
    </xdr:to>
    <xdr:sp macro="" textlink="">
      <xdr:nvSpPr>
        <xdr:cNvPr id="7" name="AutoShape 5">
          <a:extLst>
            <a:ext uri="{FF2B5EF4-FFF2-40B4-BE49-F238E27FC236}">
              <a16:creationId xmlns:a16="http://schemas.microsoft.com/office/drawing/2014/main" id="{092C617A-793B-4287-A70D-4790C34275A4}"/>
            </a:ext>
            <a:ext uri="{147F2762-F138-4A5C-976F-8EAC2B608ADB}">
              <a16:predDERef xmlns:a16="http://schemas.microsoft.com/office/drawing/2014/main" pred="{970726EB-3FC4-480F-96EF-15A407FBF315}"/>
            </a:ext>
          </a:extLst>
        </xdr:cNvPr>
        <xdr:cNvSpPr>
          <a:spLocks noChangeAspect="1" noChangeArrowheads="1"/>
        </xdr:cNvSpPr>
      </xdr:nvSpPr>
      <xdr:spPr>
        <a:xfrm>
          <a:off x="13792653" y="1342571"/>
          <a:ext cx="1001490"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0</xdr:colOff>
      <xdr:row>0</xdr:row>
      <xdr:rowOff>0</xdr:rowOff>
    </xdr:from>
    <xdr:to>
      <xdr:col>1</xdr:col>
      <xdr:colOff>568868</xdr:colOff>
      <xdr:row>0</xdr:row>
      <xdr:rowOff>613124</xdr:rowOff>
    </xdr:to>
    <xdr:pic>
      <xdr:nvPicPr>
        <xdr:cNvPr id="2" name="图片 1">
          <a:extLst>
            <a:ext uri="{FF2B5EF4-FFF2-40B4-BE49-F238E27FC236}">
              <a16:creationId xmlns:a16="http://schemas.microsoft.com/office/drawing/2014/main" id="{B19C4FEE-5924-4AFA-B4B1-3B0A85D7A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357" y="0"/>
          <a:ext cx="559978" cy="623284"/>
        </a:xfrm>
        <a:prstGeom prst="rect">
          <a:avLst/>
        </a:prstGeom>
      </xdr:spPr>
    </xdr:pic>
    <xdr:clientData/>
  </xdr:twoCellAnchor>
  <xdr:twoCellAnchor editAs="oneCell">
    <xdr:from>
      <xdr:col>2</xdr:col>
      <xdr:colOff>861785</xdr:colOff>
      <xdr:row>1</xdr:row>
      <xdr:rowOff>73908</xdr:rowOff>
    </xdr:from>
    <xdr:to>
      <xdr:col>2</xdr:col>
      <xdr:colOff>1101815</xdr:colOff>
      <xdr:row>1</xdr:row>
      <xdr:rowOff>305773</xdr:rowOff>
    </xdr:to>
    <xdr:pic>
      <xdr:nvPicPr>
        <xdr:cNvPr id="3" name="图片 4">
          <a:hlinkClick xmlns:r="http://schemas.openxmlformats.org/officeDocument/2006/relationships" r:id="rId2" tooltip="广告费\销售佣金测试"/>
          <a:extLst>
            <a:ext uri="{FF2B5EF4-FFF2-40B4-BE49-F238E27FC236}">
              <a16:creationId xmlns:a16="http://schemas.microsoft.com/office/drawing/2014/main" id="{573C8440-BBC8-4C79-8D7C-C81CA4785B1B}"/>
            </a:ext>
            <a:ext uri="{147F2762-F138-4A5C-976F-8EAC2B608ADB}">
              <a16:predDERef xmlns:a16="http://schemas.microsoft.com/office/drawing/2014/main" pred="{A11E5AF5-4256-4E8C-A87E-CFBE0A8FFF52}"/>
            </a:ext>
          </a:extLst>
        </xdr:cNvPr>
        <xdr:cNvPicPr>
          <a:picLocks noChangeAspect="1"/>
        </xdr:cNvPicPr>
      </xdr:nvPicPr>
      <xdr:blipFill>
        <a:blip xmlns:r="http://schemas.openxmlformats.org/officeDocument/2006/relationships" r:embed="rId3"/>
        <a:stretch>
          <a:fillRect/>
        </a:stretch>
      </xdr:blipFill>
      <xdr:spPr>
        <a:xfrm>
          <a:off x="2322285" y="708908"/>
          <a:ext cx="228600" cy="231865"/>
        </a:xfrm>
        <a:prstGeom prst="rect">
          <a:avLst/>
        </a:prstGeom>
      </xdr:spPr>
    </xdr:pic>
    <xdr:clientData/>
  </xdr:twoCellAnchor>
  <xdr:twoCellAnchor>
    <xdr:from>
      <xdr:col>2</xdr:col>
      <xdr:colOff>1102632</xdr:colOff>
      <xdr:row>1</xdr:row>
      <xdr:rowOff>72572</xdr:rowOff>
    </xdr:from>
    <xdr:to>
      <xdr:col>2</xdr:col>
      <xdr:colOff>1330687</xdr:colOff>
      <xdr:row>1</xdr:row>
      <xdr:rowOff>297801</xdr:rowOff>
    </xdr:to>
    <xdr:pic>
      <xdr:nvPicPr>
        <xdr:cNvPr id="4" name="图片 3">
          <a:hlinkClick xmlns:r="http://schemas.openxmlformats.org/officeDocument/2006/relationships" r:id="rId4" tooltip="运输费或推广费的判断"/>
          <a:extLst>
            <a:ext uri="{FF2B5EF4-FFF2-40B4-BE49-F238E27FC236}">
              <a16:creationId xmlns:a16="http://schemas.microsoft.com/office/drawing/2014/main" id="{301C3136-B9C1-4C9D-8029-72E80DFB16A8}"/>
            </a:ext>
          </a:extLst>
        </xdr:cNvPr>
        <xdr:cNvPicPr>
          <a:picLocks noChangeAspect="1"/>
        </xdr:cNvPicPr>
      </xdr:nvPicPr>
      <xdr:blipFill>
        <a:blip xmlns:r="http://schemas.openxmlformats.org/officeDocument/2006/relationships" r:embed="rId5"/>
        <a:stretch>
          <a:fillRect/>
        </a:stretch>
      </xdr:blipFill>
      <xdr:spPr>
        <a:xfrm>
          <a:off x="2563132" y="707572"/>
          <a:ext cx="228055" cy="225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1</xdr:col>
      <xdr:colOff>1261023</xdr:colOff>
      <xdr:row>1</xdr:row>
      <xdr:rowOff>187233</xdr:rowOff>
    </xdr:to>
    <xdr:sp macro="" textlink="">
      <xdr:nvSpPr>
        <xdr:cNvPr id="7" name="AutoShape 5">
          <a:extLst>
            <a:ext uri="{FF2B5EF4-FFF2-40B4-BE49-F238E27FC236}">
              <a16:creationId xmlns:a16="http://schemas.microsoft.com/office/drawing/2014/main" id="{F32BA8CA-C41F-40F5-A93B-74E274FEB02B}"/>
            </a:ext>
          </a:extLst>
        </xdr:cNvPr>
        <xdr:cNvSpPr>
          <a:spLocks noChangeAspect="1" noChangeArrowheads="1"/>
        </xdr:cNvSpPr>
      </xdr:nvSpPr>
      <xdr:spPr>
        <a:xfrm>
          <a:off x="641985" y="0"/>
          <a:ext cx="1024530" cy="83738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0</xdr:col>
      <xdr:colOff>170272</xdr:colOff>
      <xdr:row>0</xdr:row>
      <xdr:rowOff>1</xdr:rowOff>
    </xdr:from>
    <xdr:to>
      <xdr:col>1</xdr:col>
      <xdr:colOff>568053</xdr:colOff>
      <xdr:row>0</xdr:row>
      <xdr:rowOff>613125</xdr:rowOff>
    </xdr:to>
    <xdr:pic>
      <xdr:nvPicPr>
        <xdr:cNvPr id="4" name="图片 3">
          <a:extLst>
            <a:ext uri="{FF2B5EF4-FFF2-40B4-BE49-F238E27FC236}">
              <a16:creationId xmlns:a16="http://schemas.microsoft.com/office/drawing/2014/main" id="{2E6A5BE3-F638-4CD1-9AA1-D9F8BAD756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272" y="1"/>
          <a:ext cx="559978" cy="623284"/>
        </a:xfrm>
        <a:prstGeom prst="rect">
          <a:avLst/>
        </a:prstGeom>
      </xdr:spPr>
    </xdr:pic>
    <xdr:clientData/>
  </xdr:twoCellAnchor>
  <xdr:twoCellAnchor editAs="oneCell">
    <xdr:from>
      <xdr:col>1</xdr:col>
      <xdr:colOff>276225</xdr:colOff>
      <xdr:row>0</xdr:row>
      <xdr:rowOff>0</xdr:rowOff>
    </xdr:from>
    <xdr:to>
      <xdr:col>1</xdr:col>
      <xdr:colOff>1261023</xdr:colOff>
      <xdr:row>1</xdr:row>
      <xdr:rowOff>193402</xdr:rowOff>
    </xdr:to>
    <xdr:sp macro="" textlink="">
      <xdr:nvSpPr>
        <xdr:cNvPr id="6" name="AutoShape 5">
          <a:extLst>
            <a:ext uri="{FF2B5EF4-FFF2-40B4-BE49-F238E27FC236}">
              <a16:creationId xmlns:a16="http://schemas.microsoft.com/office/drawing/2014/main" id="{8C33D7C7-4199-43F7-A4D6-C6F6269A23DD}"/>
            </a:ext>
          </a:extLst>
        </xdr:cNvPr>
        <xdr:cNvSpPr>
          <a:spLocks noChangeAspect="1" noChangeArrowheads="1"/>
        </xdr:cNvSpPr>
      </xdr:nvSpPr>
      <xdr:spPr>
        <a:xfrm>
          <a:off x="447675" y="0"/>
          <a:ext cx="996228"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707571</xdr:colOff>
      <xdr:row>1</xdr:row>
      <xdr:rowOff>54429</xdr:rowOff>
    </xdr:from>
    <xdr:to>
      <xdr:col>2</xdr:col>
      <xdr:colOff>945875</xdr:colOff>
      <xdr:row>1</xdr:row>
      <xdr:rowOff>308621</xdr:rowOff>
    </xdr:to>
    <xdr:pic>
      <xdr:nvPicPr>
        <xdr:cNvPr id="2" name="图片 8">
          <a:hlinkClick xmlns:r="http://schemas.openxmlformats.org/officeDocument/2006/relationships" r:id="rId2" tooltip="管理费用检查注意事项"/>
          <a:extLst>
            <a:ext uri="{FF2B5EF4-FFF2-40B4-BE49-F238E27FC236}">
              <a16:creationId xmlns:a16="http://schemas.microsoft.com/office/drawing/2014/main" id="{3CB94A0B-B98B-434D-8F47-2B3052D27430}"/>
            </a:ext>
          </a:extLst>
        </xdr:cNvPr>
        <xdr:cNvPicPr>
          <a:picLocks noChangeAspect="1"/>
        </xdr:cNvPicPr>
      </xdr:nvPicPr>
      <xdr:blipFill>
        <a:blip xmlns:r="http://schemas.openxmlformats.org/officeDocument/2006/relationships" r:embed="rId3"/>
        <a:stretch>
          <a:fillRect/>
        </a:stretch>
      </xdr:blipFill>
      <xdr:spPr>
        <a:xfrm>
          <a:off x="2385785" y="689429"/>
          <a:ext cx="238304" cy="2541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180976</xdr:colOff>
      <xdr:row>0</xdr:row>
      <xdr:rowOff>0</xdr:rowOff>
    </xdr:from>
    <xdr:to>
      <xdr:col>3</xdr:col>
      <xdr:colOff>988830</xdr:colOff>
      <xdr:row>1</xdr:row>
      <xdr:rowOff>93435</xdr:rowOff>
    </xdr:to>
    <xdr:sp macro="" textlink="">
      <xdr:nvSpPr>
        <xdr:cNvPr id="2" name="AutoShape 5">
          <a:extLst>
            <a:ext uri="{FF2B5EF4-FFF2-40B4-BE49-F238E27FC236}">
              <a16:creationId xmlns:a16="http://schemas.microsoft.com/office/drawing/2014/main" id="{E6FEF732-1BC7-4CA0-9345-26117FFABF8C}"/>
            </a:ext>
            <a:ext uri="{147F2762-F138-4A5C-976F-8EAC2B608ADB}">
              <a16:predDERef xmlns:a16="http://schemas.microsoft.com/office/drawing/2014/main" pred="{00000000-0008-0000-1400-000008000000}"/>
            </a:ext>
          </a:extLst>
        </xdr:cNvPr>
        <xdr:cNvSpPr>
          <a:spLocks noChangeAspect="1" noChangeArrowheads="1"/>
        </xdr:cNvSpPr>
      </xdr:nvSpPr>
      <xdr:spPr>
        <a:xfrm>
          <a:off x="2040256" y="0"/>
          <a:ext cx="807854" cy="36775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0</xdr:colOff>
      <xdr:row>0</xdr:row>
      <xdr:rowOff>0</xdr:rowOff>
    </xdr:from>
    <xdr:to>
      <xdr:col>2</xdr:col>
      <xdr:colOff>875665</xdr:colOff>
      <xdr:row>2</xdr:row>
      <xdr:rowOff>279854</xdr:rowOff>
    </xdr:to>
    <xdr:sp macro="" textlink="">
      <xdr:nvSpPr>
        <xdr:cNvPr id="3" name="AutoShape 5">
          <a:extLst>
            <a:ext uri="{FF2B5EF4-FFF2-40B4-BE49-F238E27FC236}">
              <a16:creationId xmlns:a16="http://schemas.microsoft.com/office/drawing/2014/main" id="{147E8E50-F995-466F-9569-7A25AA665D9E}"/>
            </a:ext>
            <a:ext uri="{147F2762-F138-4A5C-976F-8EAC2B608ADB}">
              <a16:predDERef xmlns:a16="http://schemas.microsoft.com/office/drawing/2014/main" pred="{00000000-0008-0000-1400-00000F000000}"/>
            </a:ext>
          </a:extLst>
        </xdr:cNvPr>
        <xdr:cNvSpPr>
          <a:spLocks noChangeAspect="1" noChangeArrowheads="1"/>
        </xdr:cNvSpPr>
      </xdr:nvSpPr>
      <xdr:spPr>
        <a:xfrm>
          <a:off x="754380" y="0"/>
          <a:ext cx="875665" cy="820874"/>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txBody>
        <a:bodyPr/>
        <a:lstStyle/>
        <a:p>
          <a:endParaRPr lang="zh-CN" altLang="en-US"/>
        </a:p>
      </xdr:txBody>
    </xdr:sp>
    <xdr:clientData/>
  </xdr:twoCellAnchor>
  <xdr:twoCellAnchor editAs="oneCell">
    <xdr:from>
      <xdr:col>2</xdr:col>
      <xdr:colOff>860799</xdr:colOff>
      <xdr:row>81</xdr:row>
      <xdr:rowOff>9072</xdr:rowOff>
    </xdr:from>
    <xdr:to>
      <xdr:col>3</xdr:col>
      <xdr:colOff>803</xdr:colOff>
      <xdr:row>81</xdr:row>
      <xdr:rowOff>269784</xdr:rowOff>
    </xdr:to>
    <xdr:pic>
      <xdr:nvPicPr>
        <xdr:cNvPr id="4" name="图片 3">
          <a:hlinkClick xmlns:r="http://schemas.openxmlformats.org/officeDocument/2006/relationships" r:id="rId1" tooltip="预提冲销负数处理"/>
          <a:extLst>
            <a:ext uri="{FF2B5EF4-FFF2-40B4-BE49-F238E27FC236}">
              <a16:creationId xmlns:a16="http://schemas.microsoft.com/office/drawing/2014/main" id="{34AF389A-939C-4484-935B-99C692BC5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5179" y="16148232"/>
          <a:ext cx="244904" cy="260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128107</xdr:colOff>
      <xdr:row>42</xdr:row>
      <xdr:rowOff>81643</xdr:rowOff>
    </xdr:from>
    <xdr:to>
      <xdr:col>5</xdr:col>
      <xdr:colOff>384447</xdr:colOff>
      <xdr:row>44</xdr:row>
      <xdr:rowOff>2765</xdr:rowOff>
    </xdr:to>
    <xdr:pic>
      <xdr:nvPicPr>
        <xdr:cNvPr id="5" name="图片 4">
          <a:hlinkClick xmlns:r="http://schemas.openxmlformats.org/officeDocument/2006/relationships" r:id="rId3" tooltip="选取代表性样本注意事项"/>
          <a:extLst>
            <a:ext uri="{FF2B5EF4-FFF2-40B4-BE49-F238E27FC236}">
              <a16:creationId xmlns:a16="http://schemas.microsoft.com/office/drawing/2014/main" id="{91286B31-8CF0-484E-9E80-EC34AB8CA7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00307" y="8722723"/>
          <a:ext cx="256340" cy="294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65315</xdr:colOff>
      <xdr:row>1</xdr:row>
      <xdr:rowOff>76200</xdr:rowOff>
    </xdr:from>
    <xdr:to>
      <xdr:col>11</xdr:col>
      <xdr:colOff>396422</xdr:colOff>
      <xdr:row>5</xdr:row>
      <xdr:rowOff>175986</xdr:rowOff>
    </xdr:to>
    <xdr:sp macro="" textlink="">
      <xdr:nvSpPr>
        <xdr:cNvPr id="6" name="文本框 5">
          <a:extLst>
            <a:ext uri="{FF2B5EF4-FFF2-40B4-BE49-F238E27FC236}">
              <a16:creationId xmlns:a16="http://schemas.microsoft.com/office/drawing/2014/main" id="{A2F2A873-D4AC-414D-9F32-7754E1C43563}"/>
            </a:ext>
            <a:ext uri="{147F2762-F138-4A5C-976F-8EAC2B608ADB}">
              <a16:predDERef xmlns:a16="http://schemas.microsoft.com/office/drawing/2014/main" pred="{00000000-0008-0000-0100-000002000000}"/>
            </a:ext>
          </a:extLst>
        </xdr:cNvPr>
        <xdr:cNvSpPr txBox="1"/>
      </xdr:nvSpPr>
      <xdr:spPr>
        <a:xfrm>
          <a:off x="12112535" y="350520"/>
          <a:ext cx="3927747" cy="1280886"/>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ja-JP" altLang="en-US" sz="1600" b="1">
              <a:solidFill>
                <a:srgbClr val="FF0000"/>
              </a:solidFill>
              <a:latin typeface="微软雅黑" panose="020B0503020204020204" pitchFamily="34" charset="-122"/>
              <a:ea typeface="微软雅黑" panose="020B0503020204020204" pitchFamily="34" charset="-122"/>
              <a:cs typeface="Arial" panose="020B0604020202020204" pitchFamily="34" charset="0"/>
            </a:rPr>
            <a:t>注意：</a:t>
          </a:r>
          <a:r>
            <a:rPr lang="ja-JP" altLang="en-US" sz="1600">
              <a:solidFill>
                <a:schemeClr val="dk1"/>
              </a:solidFill>
              <a:latin typeface="微软雅黑" panose="020B0503020204020204" pitchFamily="34" charset="-122"/>
              <a:ea typeface="微软雅黑" panose="020B0503020204020204" pitchFamily="34" charset="-122"/>
              <a:cs typeface="Arial" panose="020B0604020202020204" pitchFamily="34" charset="0"/>
            </a:rPr>
            <a:t>淡黄色单元格需要审计小组输入。审计小组在更新时删除红色文本，并从工作底稿中删除此注意事项。</a:t>
          </a:r>
        </a:p>
      </xdr:txBody>
    </xdr:sp>
    <xdr:clientData/>
  </xdr:twoCellAnchor>
  <xdr:twoCellAnchor>
    <xdr:from>
      <xdr:col>12</xdr:col>
      <xdr:colOff>1260928</xdr:colOff>
      <xdr:row>54</xdr:row>
      <xdr:rowOff>282706</xdr:rowOff>
    </xdr:from>
    <xdr:to>
      <xdr:col>12</xdr:col>
      <xdr:colOff>1533603</xdr:colOff>
      <xdr:row>54</xdr:row>
      <xdr:rowOff>556530</xdr:rowOff>
    </xdr:to>
    <xdr:pic>
      <xdr:nvPicPr>
        <xdr:cNvPr id="7" name="图片 16">
          <a:hlinkClick xmlns:r="http://schemas.openxmlformats.org/officeDocument/2006/relationships" r:id="rId4" tooltip="记录费用实际发生日期"/>
          <a:extLst>
            <a:ext uri="{FF2B5EF4-FFF2-40B4-BE49-F238E27FC236}">
              <a16:creationId xmlns:a16="http://schemas.microsoft.com/office/drawing/2014/main" id="{E0CB4034-4101-40A5-8E88-B3F07446D7DE}"/>
            </a:ext>
            <a:ext uri="{147F2762-F138-4A5C-976F-8EAC2B608ADB}">
              <a16:predDERef xmlns:a16="http://schemas.microsoft.com/office/drawing/2014/main" pred="{01F0C554-D3B0-59DD-08A7-3E31F74CC495}"/>
            </a:ext>
          </a:extLst>
        </xdr:cNvPr>
        <xdr:cNvPicPr>
          <a:picLocks noChangeAspect="1"/>
        </xdr:cNvPicPr>
      </xdr:nvPicPr>
      <xdr:blipFill>
        <a:blip xmlns:r="http://schemas.openxmlformats.org/officeDocument/2006/relationships" r:embed="rId5"/>
        <a:stretch>
          <a:fillRect/>
        </a:stretch>
      </xdr:blipFill>
      <xdr:spPr>
        <a:xfrm>
          <a:off x="18055408" y="11270746"/>
          <a:ext cx="120275" cy="273824"/>
        </a:xfrm>
        <a:prstGeom prst="rect">
          <a:avLst/>
        </a:prstGeom>
      </xdr:spPr>
    </xdr:pic>
    <xdr:clientData/>
  </xdr:twoCellAnchor>
  <xdr:twoCellAnchor editAs="oneCell">
    <xdr:from>
      <xdr:col>3</xdr:col>
      <xdr:colOff>0</xdr:colOff>
      <xdr:row>0</xdr:row>
      <xdr:rowOff>0</xdr:rowOff>
    </xdr:from>
    <xdr:to>
      <xdr:col>3</xdr:col>
      <xdr:colOff>875665</xdr:colOff>
      <xdr:row>3</xdr:row>
      <xdr:rowOff>301807</xdr:rowOff>
    </xdr:to>
    <xdr:sp macro="" textlink="">
      <xdr:nvSpPr>
        <xdr:cNvPr id="8" name="AutoShape 5">
          <a:extLst>
            <a:ext uri="{FF2B5EF4-FFF2-40B4-BE49-F238E27FC236}">
              <a16:creationId xmlns:a16="http://schemas.microsoft.com/office/drawing/2014/main" id="{5F6F2ECB-D1B7-4008-BB56-FDA567983600}"/>
            </a:ext>
          </a:extLst>
        </xdr:cNvPr>
        <xdr:cNvSpPr>
          <a:spLocks noChangeAspect="1" noChangeArrowheads="1"/>
        </xdr:cNvSpPr>
      </xdr:nvSpPr>
      <xdr:spPr>
        <a:xfrm>
          <a:off x="1859280" y="0"/>
          <a:ext cx="875665" cy="1162867"/>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13</xdr:col>
      <xdr:colOff>1188357</xdr:colOff>
      <xdr:row>54</xdr:row>
      <xdr:rowOff>290285</xdr:rowOff>
    </xdr:from>
    <xdr:to>
      <xdr:col>13</xdr:col>
      <xdr:colOff>1458310</xdr:colOff>
      <xdr:row>54</xdr:row>
      <xdr:rowOff>554991</xdr:rowOff>
    </xdr:to>
    <xdr:pic>
      <xdr:nvPicPr>
        <xdr:cNvPr id="9" name="图片 16">
          <a:hlinkClick xmlns:r="http://schemas.openxmlformats.org/officeDocument/2006/relationships" r:id="rId6" tooltip="记录费用实际发生金额"/>
          <a:extLst>
            <a:ext uri="{FF2B5EF4-FFF2-40B4-BE49-F238E27FC236}">
              <a16:creationId xmlns:a16="http://schemas.microsoft.com/office/drawing/2014/main" id="{D20CB1CF-2402-4CE2-9EB2-608B5EBF8A89}"/>
            </a:ext>
            <a:ext uri="{147F2762-F138-4A5C-976F-8EAC2B608ADB}">
              <a16:predDERef xmlns:a16="http://schemas.microsoft.com/office/drawing/2014/main" pred="{C06191DA-A20C-4202-A0FA-619BC647D537}"/>
            </a:ext>
          </a:extLst>
        </xdr:cNvPr>
        <xdr:cNvPicPr>
          <a:picLocks noChangeAspect="1"/>
        </xdr:cNvPicPr>
      </xdr:nvPicPr>
      <xdr:blipFill>
        <a:blip xmlns:r="http://schemas.openxmlformats.org/officeDocument/2006/relationships" r:embed="rId5"/>
        <a:stretch>
          <a:fillRect/>
        </a:stretch>
      </xdr:blipFill>
      <xdr:spPr>
        <a:xfrm>
          <a:off x="19362057" y="11278325"/>
          <a:ext cx="148033" cy="264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276225</xdr:colOff>
      <xdr:row>0</xdr:row>
      <xdr:rowOff>0</xdr:rowOff>
    </xdr:from>
    <xdr:to>
      <xdr:col>5</xdr:col>
      <xdr:colOff>1191757</xdr:colOff>
      <xdr:row>3</xdr:row>
      <xdr:rowOff>76200</xdr:rowOff>
    </xdr:to>
    <xdr:sp macro="" textlink="">
      <xdr:nvSpPr>
        <xdr:cNvPr id="2" name="AutoShape 5">
          <a:extLst>
            <a:ext uri="{FF2B5EF4-FFF2-40B4-BE49-F238E27FC236}">
              <a16:creationId xmlns:a16="http://schemas.microsoft.com/office/drawing/2014/main" id="{473F2462-E012-43D5-BDA2-99102F7917C8}"/>
            </a:ext>
            <a:ext uri="{147F2762-F138-4A5C-976F-8EAC2B608ADB}">
              <a16:predDERef xmlns:a16="http://schemas.microsoft.com/office/drawing/2014/main" pred="{00000000-0008-0000-1300-000007000000}"/>
            </a:ext>
          </a:extLst>
        </xdr:cNvPr>
        <xdr:cNvSpPr>
          <a:spLocks noChangeAspect="1" noChangeArrowheads="1"/>
        </xdr:cNvSpPr>
      </xdr:nvSpPr>
      <xdr:spPr>
        <a:xfrm>
          <a:off x="6082665" y="0"/>
          <a:ext cx="915532" cy="76962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5</xdr:col>
      <xdr:colOff>240863</xdr:colOff>
      <xdr:row>45</xdr:row>
      <xdr:rowOff>92113</xdr:rowOff>
    </xdr:from>
    <xdr:to>
      <xdr:col>5</xdr:col>
      <xdr:colOff>530676</xdr:colOff>
      <xdr:row>46</xdr:row>
      <xdr:rowOff>154730</xdr:rowOff>
    </xdr:to>
    <xdr:pic>
      <xdr:nvPicPr>
        <xdr:cNvPr id="3" name="图片 16">
          <a:hlinkClick xmlns:r="http://schemas.openxmlformats.org/officeDocument/2006/relationships" r:id="rId1" tooltip="预审年审代表性样本分配策略"/>
          <a:extLst>
            <a:ext uri="{FF2B5EF4-FFF2-40B4-BE49-F238E27FC236}">
              <a16:creationId xmlns:a16="http://schemas.microsoft.com/office/drawing/2014/main" id="{CAB9E701-88CC-45B6-BCC9-D5995F7E7261}"/>
            </a:ext>
            <a:ext uri="{147F2762-F138-4A5C-976F-8EAC2B608ADB}">
              <a16:predDERef xmlns:a16="http://schemas.microsoft.com/office/drawing/2014/main" pred="{A8485E37-BC81-47C8-B14C-25EE5F745A65}"/>
            </a:ext>
          </a:extLst>
        </xdr:cNvPr>
        <xdr:cNvPicPr>
          <a:picLocks noChangeAspect="1"/>
        </xdr:cNvPicPr>
      </xdr:nvPicPr>
      <xdr:blipFill>
        <a:blip xmlns:r="http://schemas.openxmlformats.org/officeDocument/2006/relationships" r:embed="rId2"/>
        <a:stretch>
          <a:fillRect/>
        </a:stretch>
      </xdr:blipFill>
      <xdr:spPr>
        <a:xfrm>
          <a:off x="6047303" y="9228493"/>
          <a:ext cx="289813" cy="237877"/>
        </a:xfrm>
        <a:prstGeom prst="rect">
          <a:avLst/>
        </a:prstGeom>
      </xdr:spPr>
    </xdr:pic>
    <xdr:clientData/>
  </xdr:twoCellAnchor>
  <xdr:twoCellAnchor>
    <xdr:from>
      <xdr:col>12</xdr:col>
      <xdr:colOff>1306284</xdr:colOff>
      <xdr:row>58</xdr:row>
      <xdr:rowOff>252837</xdr:rowOff>
    </xdr:from>
    <xdr:to>
      <xdr:col>12</xdr:col>
      <xdr:colOff>1613961</xdr:colOff>
      <xdr:row>59</xdr:row>
      <xdr:rowOff>9073</xdr:rowOff>
    </xdr:to>
    <xdr:pic>
      <xdr:nvPicPr>
        <xdr:cNvPr id="4" name="图片 16">
          <a:hlinkClick xmlns:r="http://schemas.openxmlformats.org/officeDocument/2006/relationships" r:id="rId3" tooltip="记录费用实际发生日期"/>
          <a:extLst>
            <a:ext uri="{FF2B5EF4-FFF2-40B4-BE49-F238E27FC236}">
              <a16:creationId xmlns:a16="http://schemas.microsoft.com/office/drawing/2014/main" id="{274BDA3B-29A7-45AC-89FB-463245FD90AF}"/>
            </a:ext>
            <a:ext uri="{147F2762-F138-4A5C-976F-8EAC2B608ADB}">
              <a16:predDERef xmlns:a16="http://schemas.microsoft.com/office/drawing/2014/main" pred="{01F0C554-D3B0-59DD-08A7-3E31F74CC495}"/>
            </a:ext>
          </a:extLst>
        </xdr:cNvPr>
        <xdr:cNvPicPr>
          <a:picLocks noChangeAspect="1"/>
        </xdr:cNvPicPr>
      </xdr:nvPicPr>
      <xdr:blipFill>
        <a:blip xmlns:r="http://schemas.openxmlformats.org/officeDocument/2006/relationships" r:embed="rId2"/>
        <a:stretch>
          <a:fillRect/>
        </a:stretch>
      </xdr:blipFill>
      <xdr:spPr>
        <a:xfrm>
          <a:off x="18222684" y="11827617"/>
          <a:ext cx="231477" cy="259156"/>
        </a:xfrm>
        <a:prstGeom prst="rect">
          <a:avLst/>
        </a:prstGeom>
      </xdr:spPr>
    </xdr:pic>
    <xdr:clientData/>
  </xdr:twoCellAnchor>
  <xdr:twoCellAnchor>
    <xdr:from>
      <xdr:col>13</xdr:col>
      <xdr:colOff>1297216</xdr:colOff>
      <xdr:row>58</xdr:row>
      <xdr:rowOff>244928</xdr:rowOff>
    </xdr:from>
    <xdr:to>
      <xdr:col>13</xdr:col>
      <xdr:colOff>1569358</xdr:colOff>
      <xdr:row>59</xdr:row>
      <xdr:rowOff>7576</xdr:rowOff>
    </xdr:to>
    <xdr:pic>
      <xdr:nvPicPr>
        <xdr:cNvPr id="5" name="图片 16">
          <a:hlinkClick xmlns:r="http://schemas.openxmlformats.org/officeDocument/2006/relationships" r:id="rId4" tooltip="记录费用实际发生金额"/>
          <a:extLst>
            <a:ext uri="{FF2B5EF4-FFF2-40B4-BE49-F238E27FC236}">
              <a16:creationId xmlns:a16="http://schemas.microsoft.com/office/drawing/2014/main" id="{0AF3ECA9-2A2B-43BD-A626-69E6916DEA33}"/>
            </a:ext>
            <a:ext uri="{147F2762-F138-4A5C-976F-8EAC2B608ADB}">
              <a16:predDERef xmlns:a16="http://schemas.microsoft.com/office/drawing/2014/main" pred="{C06191DA-A20C-4202-A0FA-619BC647D537}"/>
            </a:ext>
          </a:extLst>
        </xdr:cNvPr>
        <xdr:cNvPicPr>
          <a:picLocks noChangeAspect="1"/>
        </xdr:cNvPicPr>
      </xdr:nvPicPr>
      <xdr:blipFill>
        <a:blip xmlns:r="http://schemas.openxmlformats.org/officeDocument/2006/relationships" r:embed="rId2"/>
        <a:stretch>
          <a:fillRect/>
        </a:stretch>
      </xdr:blipFill>
      <xdr:spPr>
        <a:xfrm>
          <a:off x="19752856" y="11819708"/>
          <a:ext cx="272142" cy="265568"/>
        </a:xfrm>
        <a:prstGeom prst="rect">
          <a:avLst/>
        </a:prstGeom>
      </xdr:spPr>
    </xdr:pic>
    <xdr:clientData/>
  </xdr:twoCellAnchor>
  <xdr:twoCellAnchor editAs="oneCell">
    <xdr:from>
      <xdr:col>5</xdr:col>
      <xdr:colOff>226785</xdr:colOff>
      <xdr:row>41</xdr:row>
      <xdr:rowOff>127000</xdr:rowOff>
    </xdr:from>
    <xdr:to>
      <xdr:col>5</xdr:col>
      <xdr:colOff>493285</xdr:colOff>
      <xdr:row>42</xdr:row>
      <xdr:rowOff>232272</xdr:rowOff>
    </xdr:to>
    <xdr:pic>
      <xdr:nvPicPr>
        <xdr:cNvPr id="6" name="图片 5">
          <a:hlinkClick xmlns:r="http://schemas.openxmlformats.org/officeDocument/2006/relationships" r:id="rId5" tooltip="选取代表性样本注意事项"/>
          <a:extLst>
            <a:ext uri="{FF2B5EF4-FFF2-40B4-BE49-F238E27FC236}">
              <a16:creationId xmlns:a16="http://schemas.microsoft.com/office/drawing/2014/main" id="{729BD9F4-186E-4D53-8E10-9E5F1BAE39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33225" y="8379460"/>
          <a:ext cx="266500" cy="272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823286</xdr:colOff>
      <xdr:row>108</xdr:row>
      <xdr:rowOff>0</xdr:rowOff>
    </xdr:from>
    <xdr:to>
      <xdr:col>2</xdr:col>
      <xdr:colOff>1106714</xdr:colOff>
      <xdr:row>108</xdr:row>
      <xdr:rowOff>302804</xdr:rowOff>
    </xdr:to>
    <xdr:pic>
      <xdr:nvPicPr>
        <xdr:cNvPr id="7" name="图片 3">
          <a:hlinkClick xmlns:r="http://schemas.openxmlformats.org/officeDocument/2006/relationships" r:id="rId7" tooltip="预提冲销负数处理"/>
          <a:extLst>
            <a:ext uri="{FF2B5EF4-FFF2-40B4-BE49-F238E27FC236}">
              <a16:creationId xmlns:a16="http://schemas.microsoft.com/office/drawing/2014/main" id="{EABDBD54-6780-469E-A068-045C10CC71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77666" y="20939760"/>
          <a:ext cx="283428" cy="302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57150</xdr:colOff>
      <xdr:row>0</xdr:row>
      <xdr:rowOff>51707</xdr:rowOff>
    </xdr:from>
    <xdr:to>
      <xdr:col>1</xdr:col>
      <xdr:colOff>568053</xdr:colOff>
      <xdr:row>0</xdr:row>
      <xdr:rowOff>607863</xdr:rowOff>
    </xdr:to>
    <xdr:pic>
      <xdr:nvPicPr>
        <xdr:cNvPr id="5" name="图片 4">
          <a:extLst>
            <a:ext uri="{FF2B5EF4-FFF2-40B4-BE49-F238E27FC236}">
              <a16:creationId xmlns:a16="http://schemas.microsoft.com/office/drawing/2014/main" id="{1AF52D8B-AEA9-4559-8817-85E5C00E91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043" y="51707"/>
          <a:ext cx="500743" cy="5561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841375</xdr:colOff>
      <xdr:row>1</xdr:row>
      <xdr:rowOff>149076</xdr:rowOff>
    </xdr:to>
    <xdr:sp macro="" textlink="">
      <xdr:nvSpPr>
        <xdr:cNvPr id="2" name="AutoShape 5">
          <a:extLst>
            <a:ext uri="{FF2B5EF4-FFF2-40B4-BE49-F238E27FC236}">
              <a16:creationId xmlns:a16="http://schemas.microsoft.com/office/drawing/2014/main" id="{D3AF46DE-76BE-4165-B03E-F19F53FEC58F}"/>
            </a:ext>
          </a:extLst>
        </xdr:cNvPr>
        <xdr:cNvSpPr>
          <a:spLocks noChangeAspect="1" noChangeArrowheads="1"/>
        </xdr:cNvSpPr>
      </xdr:nvSpPr>
      <xdr:spPr>
        <a:xfrm>
          <a:off x="807720" y="0"/>
          <a:ext cx="850265" cy="7626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3</xdr:row>
      <xdr:rowOff>79802</xdr:rowOff>
    </xdr:to>
    <xdr:sp macro="" textlink="">
      <xdr:nvSpPr>
        <xdr:cNvPr id="3" name="AutoShape 5">
          <a:extLst>
            <a:ext uri="{FF2B5EF4-FFF2-40B4-BE49-F238E27FC236}">
              <a16:creationId xmlns:a16="http://schemas.microsoft.com/office/drawing/2014/main" id="{024B16FE-6B53-4CC8-8C86-285EF1CD676C}"/>
            </a:ext>
          </a:extLst>
        </xdr:cNvPr>
        <xdr:cNvSpPr>
          <a:spLocks noChangeAspect="1" noChangeArrowheads="1"/>
        </xdr:cNvSpPr>
      </xdr:nvSpPr>
      <xdr:spPr>
        <a:xfrm>
          <a:off x="807720" y="0"/>
          <a:ext cx="875665" cy="12350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873125</xdr:colOff>
      <xdr:row>1</xdr:row>
      <xdr:rowOff>149076</xdr:rowOff>
    </xdr:to>
    <xdr:sp macro="" textlink="">
      <xdr:nvSpPr>
        <xdr:cNvPr id="4" name="AutoShape 5">
          <a:extLst>
            <a:ext uri="{FF2B5EF4-FFF2-40B4-BE49-F238E27FC236}">
              <a16:creationId xmlns:a16="http://schemas.microsoft.com/office/drawing/2014/main" id="{C616597B-905B-45DF-A2E6-9C460CEBA2A8}"/>
            </a:ext>
          </a:extLst>
        </xdr:cNvPr>
        <xdr:cNvSpPr>
          <a:spLocks noChangeAspect="1" noChangeArrowheads="1"/>
        </xdr:cNvSpPr>
      </xdr:nvSpPr>
      <xdr:spPr>
        <a:xfrm>
          <a:off x="952500" y="0"/>
          <a:ext cx="865505" cy="7673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149711</xdr:rowOff>
    </xdr:to>
    <xdr:sp macro="" textlink="">
      <xdr:nvSpPr>
        <xdr:cNvPr id="5" name="AutoShape 5">
          <a:extLst>
            <a:ext uri="{FF2B5EF4-FFF2-40B4-BE49-F238E27FC236}">
              <a16:creationId xmlns:a16="http://schemas.microsoft.com/office/drawing/2014/main" id="{A370F046-60A3-4EBE-880B-5CA99F455F5F}"/>
            </a:ext>
          </a:extLst>
        </xdr:cNvPr>
        <xdr:cNvSpPr>
          <a:spLocks noChangeAspect="1" noChangeArrowheads="1"/>
        </xdr:cNvSpPr>
      </xdr:nvSpPr>
      <xdr:spPr>
        <a:xfrm>
          <a:off x="1039495" y="0"/>
          <a:ext cx="871220" cy="77089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149076</xdr:rowOff>
    </xdr:to>
    <xdr:sp macro="" textlink="">
      <xdr:nvSpPr>
        <xdr:cNvPr id="7" name="AutoShape 5">
          <a:extLst>
            <a:ext uri="{FF2B5EF4-FFF2-40B4-BE49-F238E27FC236}">
              <a16:creationId xmlns:a16="http://schemas.microsoft.com/office/drawing/2014/main" id="{39C27A85-186A-4C07-A653-7AE3E940720F}"/>
            </a:ext>
          </a:extLst>
        </xdr:cNvPr>
        <xdr:cNvSpPr>
          <a:spLocks noChangeAspect="1" noChangeArrowheads="1"/>
        </xdr:cNvSpPr>
      </xdr:nvSpPr>
      <xdr:spPr>
        <a:xfrm>
          <a:off x="1184275" y="0"/>
          <a:ext cx="871220" cy="75976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66675</xdr:colOff>
      <xdr:row>0</xdr:row>
      <xdr:rowOff>0</xdr:rowOff>
    </xdr:from>
    <xdr:to>
      <xdr:col>1</xdr:col>
      <xdr:colOff>536575</xdr:colOff>
      <xdr:row>0</xdr:row>
      <xdr:rowOff>530225</xdr:rowOff>
    </xdr:to>
    <xdr:pic>
      <xdr:nvPicPr>
        <xdr:cNvPr id="9" name="图片 8">
          <a:extLst>
            <a:ext uri="{FF2B5EF4-FFF2-40B4-BE49-F238E27FC236}">
              <a16:creationId xmlns:a16="http://schemas.microsoft.com/office/drawing/2014/main" id="{FAD51BA5-FF23-4C0B-BDD6-076A7353C01F}"/>
            </a:ext>
            <a:ext uri="{147F2762-F138-4A5C-976F-8EAC2B608ADB}">
              <a16:predDERef xmlns:a16="http://schemas.microsoft.com/office/drawing/2014/main" pred="{39C27A85-186A-4C07-A653-7AE3E94072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0"/>
          <a:ext cx="476250" cy="523875"/>
        </a:xfrm>
        <a:prstGeom prst="rect">
          <a:avLst/>
        </a:prstGeom>
      </xdr:spPr>
    </xdr:pic>
    <xdr:clientData/>
  </xdr:twoCellAnchor>
  <xdr:oneCellAnchor>
    <xdr:from>
      <xdr:col>1</xdr:col>
      <xdr:colOff>0</xdr:colOff>
      <xdr:row>0</xdr:row>
      <xdr:rowOff>0</xdr:rowOff>
    </xdr:from>
    <xdr:ext cx="850265" cy="770106"/>
    <xdr:sp macro="" textlink="">
      <xdr:nvSpPr>
        <xdr:cNvPr id="6" name="AutoShape 5">
          <a:extLst>
            <a:ext uri="{FF2B5EF4-FFF2-40B4-BE49-F238E27FC236}">
              <a16:creationId xmlns:a16="http://schemas.microsoft.com/office/drawing/2014/main" id="{F0CDB10E-9E59-46C0-909A-F3623C2730D3}"/>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8" name="AutoShape 5">
          <a:extLst>
            <a:ext uri="{FF2B5EF4-FFF2-40B4-BE49-F238E27FC236}">
              <a16:creationId xmlns:a16="http://schemas.microsoft.com/office/drawing/2014/main" id="{75B4AC5A-ED69-4390-92AA-5794B5C1E502}"/>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0" name="AutoShape 5">
          <a:extLst>
            <a:ext uri="{FF2B5EF4-FFF2-40B4-BE49-F238E27FC236}">
              <a16:creationId xmlns:a16="http://schemas.microsoft.com/office/drawing/2014/main" id="{3D6A04F1-3620-495C-AABE-C4FF3AC1851E}"/>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1" name="AutoShape 5">
          <a:extLst>
            <a:ext uri="{FF2B5EF4-FFF2-40B4-BE49-F238E27FC236}">
              <a16:creationId xmlns:a16="http://schemas.microsoft.com/office/drawing/2014/main" id="{3357E6D8-5BCD-43F6-8CBA-EC79FE008241}"/>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50265" cy="770106"/>
    <xdr:sp macro="" textlink="">
      <xdr:nvSpPr>
        <xdr:cNvPr id="12" name="AutoShape 5">
          <a:extLst>
            <a:ext uri="{FF2B5EF4-FFF2-40B4-BE49-F238E27FC236}">
              <a16:creationId xmlns:a16="http://schemas.microsoft.com/office/drawing/2014/main" id="{003058D3-A5E7-4DCA-AB52-9B837C4ADD09}"/>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13" name="AutoShape 5">
          <a:extLst>
            <a:ext uri="{FF2B5EF4-FFF2-40B4-BE49-F238E27FC236}">
              <a16:creationId xmlns:a16="http://schemas.microsoft.com/office/drawing/2014/main" id="{7AA609B2-3EF1-4EBC-853F-868900011939}"/>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4" name="AutoShape 5">
          <a:extLst>
            <a:ext uri="{FF2B5EF4-FFF2-40B4-BE49-F238E27FC236}">
              <a16:creationId xmlns:a16="http://schemas.microsoft.com/office/drawing/2014/main" id="{486179A6-88B9-4CAE-8072-466271BD6CD6}"/>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5" name="AutoShape 5">
          <a:extLst>
            <a:ext uri="{FF2B5EF4-FFF2-40B4-BE49-F238E27FC236}">
              <a16:creationId xmlns:a16="http://schemas.microsoft.com/office/drawing/2014/main" id="{5E7CB901-0043-44F1-B219-2948C2E78F6B}"/>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78361"/>
    <xdr:sp macro="" textlink="">
      <xdr:nvSpPr>
        <xdr:cNvPr id="16" name="AutoShape 5">
          <a:extLst>
            <a:ext uri="{FF2B5EF4-FFF2-40B4-BE49-F238E27FC236}">
              <a16:creationId xmlns:a16="http://schemas.microsoft.com/office/drawing/2014/main" id="{128CE972-8C7C-4B2F-A7FF-72116D4A0097}"/>
            </a:ext>
          </a:extLst>
        </xdr:cNvPr>
        <xdr:cNvSpPr>
          <a:spLocks noChangeAspect="1" noChangeArrowheads="1"/>
        </xdr:cNvSpPr>
      </xdr:nvSpPr>
      <xdr:spPr>
        <a:xfrm>
          <a:off x="404132"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68836"/>
    <xdr:sp macro="" textlink="">
      <xdr:nvSpPr>
        <xdr:cNvPr id="17" name="AutoShape 5">
          <a:extLst>
            <a:ext uri="{FF2B5EF4-FFF2-40B4-BE49-F238E27FC236}">
              <a16:creationId xmlns:a16="http://schemas.microsoft.com/office/drawing/2014/main" id="{3F8C5AE5-3EBC-46C3-91AC-E01E9973F3CD}"/>
            </a:ext>
          </a:extLst>
        </xdr:cNvPr>
        <xdr:cNvSpPr>
          <a:spLocks noChangeAspect="1" noChangeArrowheads="1"/>
        </xdr:cNvSpPr>
      </xdr:nvSpPr>
      <xdr:spPr>
        <a:xfrm>
          <a:off x="404132"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editAs="oneCell">
    <xdr:from>
      <xdr:col>0</xdr:col>
      <xdr:colOff>170544</xdr:colOff>
      <xdr:row>0</xdr:row>
      <xdr:rowOff>27214</xdr:rowOff>
    </xdr:from>
    <xdr:to>
      <xdr:col>1</xdr:col>
      <xdr:colOff>568363</xdr:colOff>
      <xdr:row>0</xdr:row>
      <xdr:rowOff>574530</xdr:rowOff>
    </xdr:to>
    <xdr:pic>
      <xdr:nvPicPr>
        <xdr:cNvPr id="18" name="图片 3">
          <a:extLst>
            <a:ext uri="{FF2B5EF4-FFF2-40B4-BE49-F238E27FC236}">
              <a16:creationId xmlns:a16="http://schemas.microsoft.com/office/drawing/2014/main" id="{499BD053-DECD-424A-81BA-99F574BE5D66}"/>
            </a:ext>
            <a:ext uri="{147F2762-F138-4A5C-976F-8EAC2B608ADB}">
              <a16:predDERef xmlns:a16="http://schemas.microsoft.com/office/drawing/2014/main" pred="{3F8C5AE5-3EBC-46C3-91AC-E01E9973F3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78794" cy="5473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GCknowledgecenter/Shared%20Documents/&#23457;&#35745;&#26631;&#20934;&#24213;&#31295;/&#26631;&#20934;&#23457;&#35745;&#24213;&#31295;&#27169;&#26495;&#31532;&#20845;&#29256;-&#20351;&#29992;&#29256;/TOD%20SWP%20U_Exp%20202YXXDD%20XYZ&#20844;&#21496;.xlsx" TargetMode="External"/><Relationship Id="rId1" Type="http://schemas.openxmlformats.org/officeDocument/2006/relationships/externalLinkPath" Target="https://eychinamanaged.sharepoint.cn/sites/GCknowledgecenter/Shared%20Documents/&#23457;&#35745;&#26631;&#20934;&#24213;&#31295;/&#26631;&#20934;&#23457;&#35745;&#24213;&#31295;&#27169;&#26495;&#31532;&#20845;&#29256;-&#20351;&#29992;&#29256;/TOD%20SWP%20U_Exp%20202YXXDD%20XYZ&#20844;&#2149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SettingSheet"/>
      <sheetName val="VC&amp;VD.01.2 TOD 年审"/>
      <sheetName val="VC&amp;VD.01.2 TOD 预审+剩余期间"/>
      <sheetName val="VC&amp;VD.01.2 TOD 抽样工具输出"/>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4FE9-1E45-46CC-B9C7-EB3CA12F9F95}">
  <dimension ref="A1:H16"/>
  <sheetViews>
    <sheetView showGridLines="0" zoomScale="70" zoomScaleNormal="70" workbookViewId="0">
      <selection activeCell="E21" sqref="E21"/>
    </sheetView>
  </sheetViews>
  <sheetFormatPr defaultColWidth="9.109375" defaultRowHeight="17.25" customHeight="1"/>
  <cols>
    <col min="1" max="1" width="2.6640625" style="10" customWidth="1"/>
    <col min="2" max="2" width="16.88671875" style="205" customWidth="1"/>
    <col min="3" max="3" width="23" style="130" customWidth="1"/>
    <col min="4" max="4" width="20" style="130" customWidth="1"/>
    <col min="5" max="5" width="43.109375" style="130" customWidth="1"/>
    <col min="6" max="6" width="25" style="130" customWidth="1"/>
    <col min="7" max="7" width="22.109375" style="88" customWidth="1"/>
    <col min="8" max="8" width="34.33203125" style="88" customWidth="1"/>
    <col min="9" max="16384" width="9.109375" style="10"/>
  </cols>
  <sheetData>
    <row r="1" spans="1:8" ht="20.100000000000001" customHeight="1">
      <c r="A1" s="498" t="s">
        <v>0</v>
      </c>
    </row>
    <row r="2" spans="1:8" s="204" customFormat="1" ht="15" customHeight="1">
      <c r="B2" s="459" t="s">
        <v>1</v>
      </c>
      <c r="C2" s="513" t="s">
        <v>2</v>
      </c>
      <c r="D2" s="513"/>
      <c r="E2" s="513"/>
      <c r="F2" s="206" t="s">
        <v>3</v>
      </c>
      <c r="G2" s="207" t="s">
        <v>4</v>
      </c>
      <c r="H2" s="206" t="s">
        <v>5</v>
      </c>
    </row>
    <row r="3" spans="1:8" ht="77.25" customHeight="1">
      <c r="B3" s="166">
        <v>1</v>
      </c>
      <c r="C3" s="510" t="s">
        <v>6</v>
      </c>
      <c r="D3" s="510"/>
      <c r="E3" s="510"/>
      <c r="F3" s="499" t="s">
        <v>7</v>
      </c>
      <c r="G3" s="500"/>
      <c r="H3" s="501"/>
    </row>
    <row r="4" spans="1:8" ht="15" customHeight="1">
      <c r="B4" s="459" t="s">
        <v>1</v>
      </c>
      <c r="C4" s="512" t="s">
        <v>8</v>
      </c>
      <c r="D4" s="512"/>
      <c r="E4" s="512"/>
      <c r="F4" s="206" t="s">
        <v>3</v>
      </c>
      <c r="G4" s="207" t="s">
        <v>4</v>
      </c>
      <c r="H4" s="206" t="s">
        <v>5</v>
      </c>
    </row>
    <row r="5" spans="1:8" ht="27.75" customHeight="1">
      <c r="B5" s="166">
        <v>1</v>
      </c>
      <c r="C5" s="511" t="s">
        <v>9</v>
      </c>
      <c r="D5" s="511"/>
      <c r="E5" s="511"/>
      <c r="F5" s="499" t="s">
        <v>10</v>
      </c>
      <c r="G5" s="500"/>
      <c r="H5" s="501"/>
    </row>
    <row r="6" spans="1:8" ht="27.75" customHeight="1">
      <c r="B6" s="208">
        <v>2</v>
      </c>
      <c r="C6" s="511"/>
      <c r="D6" s="511"/>
      <c r="E6" s="511"/>
      <c r="F6" s="460" t="s">
        <v>11</v>
      </c>
      <c r="G6" s="500"/>
      <c r="H6" s="501"/>
    </row>
    <row r="7" spans="1:8" s="204" customFormat="1" ht="15" customHeight="1">
      <c r="B7" s="459" t="s">
        <v>12</v>
      </c>
      <c r="C7" s="512" t="s">
        <v>13</v>
      </c>
      <c r="D7" s="512"/>
      <c r="E7" s="512"/>
      <c r="F7" s="206" t="s">
        <v>3</v>
      </c>
      <c r="G7" s="207" t="s">
        <v>4</v>
      </c>
      <c r="H7" s="206" t="s">
        <v>5</v>
      </c>
    </row>
    <row r="8" spans="1:8" ht="49.5" customHeight="1">
      <c r="B8" s="166">
        <v>1</v>
      </c>
      <c r="C8" s="518" t="s">
        <v>14</v>
      </c>
      <c r="D8" s="519"/>
      <c r="E8" s="519"/>
      <c r="F8" s="499" t="s">
        <v>15</v>
      </c>
      <c r="G8" s="500"/>
      <c r="H8" s="501"/>
    </row>
    <row r="9" spans="1:8" s="204" customFormat="1" ht="15" customHeight="1">
      <c r="B9" s="459" t="s">
        <v>16</v>
      </c>
      <c r="C9" s="512" t="s">
        <v>17</v>
      </c>
      <c r="D9" s="512"/>
      <c r="E9" s="512"/>
      <c r="F9" s="206" t="s">
        <v>3</v>
      </c>
      <c r="G9" s="207" t="s">
        <v>4</v>
      </c>
      <c r="H9" s="206" t="s">
        <v>5</v>
      </c>
    </row>
    <row r="10" spans="1:8" ht="36" customHeight="1">
      <c r="B10" s="166">
        <v>1</v>
      </c>
      <c r="C10" s="517" t="s">
        <v>18</v>
      </c>
      <c r="D10" s="510"/>
      <c r="E10" s="510"/>
      <c r="F10" s="499" t="s">
        <v>19</v>
      </c>
      <c r="G10" s="500"/>
      <c r="H10" s="501"/>
    </row>
    <row r="11" spans="1:8" s="204" customFormat="1" ht="15" customHeight="1">
      <c r="B11" s="459" t="s">
        <v>20</v>
      </c>
      <c r="C11" s="512" t="s">
        <v>21</v>
      </c>
      <c r="D11" s="512"/>
      <c r="E11" s="512"/>
      <c r="F11" s="206" t="s">
        <v>3</v>
      </c>
      <c r="G11" s="207" t="s">
        <v>4</v>
      </c>
      <c r="H11" s="206" t="s">
        <v>5</v>
      </c>
    </row>
    <row r="12" spans="1:8" ht="78.75" customHeight="1">
      <c r="B12" s="166">
        <v>1</v>
      </c>
      <c r="C12" s="510" t="s">
        <v>22</v>
      </c>
      <c r="D12" s="510"/>
      <c r="E12" s="510"/>
      <c r="F12" s="499" t="s">
        <v>23</v>
      </c>
      <c r="G12" s="500"/>
      <c r="H12" s="501"/>
    </row>
    <row r="13" spans="1:8" s="204" customFormat="1" ht="15" customHeight="1">
      <c r="B13" s="459" t="s">
        <v>24</v>
      </c>
      <c r="C13" s="513" t="s">
        <v>25</v>
      </c>
      <c r="D13" s="512"/>
      <c r="E13" s="512"/>
      <c r="F13" s="206" t="s">
        <v>3</v>
      </c>
      <c r="G13" s="207" t="s">
        <v>4</v>
      </c>
      <c r="H13" s="206" t="s">
        <v>5</v>
      </c>
    </row>
    <row r="14" spans="1:8" ht="31.5" customHeight="1">
      <c r="B14" s="166">
        <v>1</v>
      </c>
      <c r="C14" s="510" t="s">
        <v>26</v>
      </c>
      <c r="D14" s="510"/>
      <c r="E14" s="510"/>
      <c r="F14" s="514" t="s">
        <v>27</v>
      </c>
      <c r="G14" s="515"/>
      <c r="H14" s="516"/>
    </row>
    <row r="15" spans="1:8" ht="31.5" customHeight="1">
      <c r="B15" s="166">
        <v>2</v>
      </c>
      <c r="C15" s="510" t="s">
        <v>28</v>
      </c>
      <c r="D15" s="510"/>
      <c r="E15" s="510"/>
      <c r="F15" s="514"/>
      <c r="G15" s="515"/>
      <c r="H15" s="516"/>
    </row>
    <row r="16" spans="1:8" ht="13.2"/>
  </sheetData>
  <mergeCells count="16">
    <mergeCell ref="C13:E13"/>
    <mergeCell ref="C11:E11"/>
    <mergeCell ref="C9:E9"/>
    <mergeCell ref="C10:E10"/>
    <mergeCell ref="C7:E7"/>
    <mergeCell ref="C8:E8"/>
    <mergeCell ref="C15:E15"/>
    <mergeCell ref="F14:F15"/>
    <mergeCell ref="C14:E14"/>
    <mergeCell ref="G14:G15"/>
    <mergeCell ref="H14:H15"/>
    <mergeCell ref="C3:E3"/>
    <mergeCell ref="C12:E12"/>
    <mergeCell ref="C5:E6"/>
    <mergeCell ref="C4:E4"/>
    <mergeCell ref="C2:E2"/>
  </mergeCells>
  <phoneticPr fontId="103" type="noConversion"/>
  <conditionalFormatting sqref="G3 G5:G6">
    <cfRule type="containsBlanks" dxfId="37" priority="46">
      <formula>LEN(TRIM(G3))=0</formula>
    </cfRule>
  </conditionalFormatting>
  <conditionalFormatting sqref="G8">
    <cfRule type="containsBlanks" dxfId="36" priority="3">
      <formula>LEN(TRIM(G8))=0</formula>
    </cfRule>
  </conditionalFormatting>
  <conditionalFormatting sqref="G10">
    <cfRule type="containsBlanks" dxfId="35" priority="2">
      <formula>LEN(TRIM(G10))=0</formula>
    </cfRule>
  </conditionalFormatting>
  <conditionalFormatting sqref="G12">
    <cfRule type="containsBlanks" dxfId="34" priority="1">
      <formula>LEN(TRIM(G12))=0</formula>
    </cfRule>
  </conditionalFormatting>
  <conditionalFormatting sqref="G14">
    <cfRule type="containsBlanks" dxfId="33" priority="21">
      <formula>LEN(TRIM(G14))=0</formula>
    </cfRule>
  </conditionalFormatting>
  <conditionalFormatting sqref="H3 H5:H6">
    <cfRule type="expression" dxfId="32" priority="37">
      <formula>SUMPRODUCT((G3="否")*(LEN(H3)=0))</formula>
    </cfRule>
  </conditionalFormatting>
  <conditionalFormatting sqref="H8">
    <cfRule type="expression" dxfId="31" priority="12">
      <formula>SUMPRODUCT((G8="否")*(LEN(H8)=0))</formula>
    </cfRule>
  </conditionalFormatting>
  <conditionalFormatting sqref="H10">
    <cfRule type="expression" dxfId="30" priority="11">
      <formula>SUMPRODUCT((G10="否")*(LEN(H10)=0))</formula>
    </cfRule>
  </conditionalFormatting>
  <conditionalFormatting sqref="H12">
    <cfRule type="expression" dxfId="29" priority="10">
      <formula>SUMPRODUCT((G12="否")*(LEN(H12)=0))</formula>
    </cfRule>
  </conditionalFormatting>
  <conditionalFormatting sqref="H14">
    <cfRule type="expression" dxfId="28" priority="19">
      <formula>SUMPRODUCT((OR(G14="否"))*(LEN(H14)=0))</formula>
    </cfRule>
  </conditionalFormatting>
  <dataValidations count="1">
    <dataValidation type="list" allowBlank="1" showInputMessage="1" sqref="G8 G5:G6 G10 G14:G15 G3 G12" xr:uid="{8F1C9D7A-10DA-484D-B827-9056BD836E68}">
      <formula1>"是,否"</formula1>
    </dataValidation>
  </dataValidations>
  <hyperlinks>
    <hyperlink ref="F12" location="'VD.01.3 复核法律费用'!A1" display="VD.01.03复核法律费用" xr:uid="{EC494703-C01E-4FFF-827C-D8DD4F99B932}"/>
    <hyperlink ref="F14:F15" location="'VC&amp;VD.01.4 截止性测试'!A1" display="VC&amp;VD.01.4 截止性测试" xr:uid="{31CB001F-1C80-4C0C-9658-4DEA426E3361}"/>
    <hyperlink ref="F3" location="'Uexp.00 Lead'!A1" display="Uexp.00 Lead" xr:uid="{F64E87AC-58BC-4A7A-8518-4C3CE6780B71}"/>
    <hyperlink ref="F5" location="'VC.00 销售费用BKD'!A1" display="VC.00 销售费用BKD" xr:uid="{B0E104BC-7EAC-43C1-BA75-0ABC524829CD}"/>
    <hyperlink ref="F6" location="'VD.00 管理费用BKD'!A1" display="VD.00 管理费用BKD" xr:uid="{634AF11E-FBB7-4605-80D1-759128697A83}"/>
    <hyperlink ref="F10" location="'VC&amp;VD.01.2 详细测试 TOD'!A1" display="VC&amp;VD.01.2 详细测试 TOD" xr:uid="{0EF910AC-A68E-4619-95A6-49C854E25A0C}"/>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AE3C-6AB5-4071-8234-0D7C3EFEAB30}">
  <dimension ref="A1:DR126"/>
  <sheetViews>
    <sheetView showGridLines="0" topLeftCell="A19" zoomScale="70" zoomScaleNormal="70" workbookViewId="0">
      <selection activeCell="B1" sqref="B1"/>
    </sheetView>
  </sheetViews>
  <sheetFormatPr defaultColWidth="8.88671875" defaultRowHeight="12.75" customHeight="1"/>
  <cols>
    <col min="1" max="1" width="2.6640625" style="180" customWidth="1"/>
    <col min="2" max="2" width="22" style="3" customWidth="1"/>
    <col min="3" max="3" width="24" style="3" customWidth="1"/>
    <col min="4" max="4" width="22.33203125" style="3" customWidth="1"/>
    <col min="5" max="5" width="19.44140625" style="3" customWidth="1"/>
    <col min="6" max="7" width="18.88671875" style="3" customWidth="1"/>
    <col min="8" max="8" width="17.109375" style="3" customWidth="1"/>
    <col min="9" max="9" width="18.88671875" style="3" customWidth="1"/>
    <col min="10" max="10" width="21.5546875" style="3" customWidth="1"/>
    <col min="11" max="11" width="17.6640625" style="3" customWidth="1"/>
    <col min="12" max="12" width="2.6640625" style="3" customWidth="1"/>
    <col min="13" max="13" width="1.6640625" style="3" customWidth="1"/>
    <col min="14" max="14" width="2.88671875" style="3" customWidth="1"/>
    <col min="15" max="15" width="1.33203125" style="3" customWidth="1"/>
    <col min="16" max="16" width="18.44140625" style="3" customWidth="1"/>
    <col min="17" max="17" width="13.33203125" style="3" customWidth="1"/>
    <col min="18" max="19" width="16.88671875" style="3" customWidth="1"/>
    <col min="20" max="16384" width="8.88671875" style="3"/>
  </cols>
  <sheetData>
    <row r="1" spans="1:122" s="7" customFormat="1" ht="50.1" customHeight="1">
      <c r="A1" s="502"/>
      <c r="B1" s="521" t="s">
        <v>29</v>
      </c>
      <c r="C1" s="522"/>
      <c r="D1" s="522"/>
      <c r="E1" s="522"/>
      <c r="F1" s="522"/>
      <c r="G1" s="522"/>
      <c r="H1" s="522"/>
      <c r="I1" s="522"/>
      <c r="J1" s="522"/>
      <c r="K1" s="522"/>
      <c r="L1" s="154"/>
      <c r="M1" s="155"/>
      <c r="N1" s="156"/>
      <c r="O1" s="156"/>
      <c r="P1" s="156"/>
      <c r="Q1" s="156"/>
      <c r="R1" s="10"/>
      <c r="S1" s="156"/>
      <c r="CP1" s="2"/>
      <c r="CQ1" s="2"/>
      <c r="CR1" s="2"/>
      <c r="CS1" s="21"/>
      <c r="CT1" s="21"/>
      <c r="CU1" s="21"/>
      <c r="CV1" s="21"/>
      <c r="CW1" s="21"/>
      <c r="CX1" s="21"/>
      <c r="CY1" s="21"/>
      <c r="CZ1" s="21"/>
      <c r="DA1" s="2"/>
      <c r="DB1" s="21"/>
      <c r="DC1" s="21"/>
      <c r="DD1" s="21"/>
      <c r="DE1" s="21"/>
      <c r="DF1" s="21"/>
      <c r="DG1" s="2"/>
      <c r="DH1" s="2"/>
      <c r="DI1" s="2"/>
      <c r="DJ1" s="2"/>
      <c r="DK1" s="2"/>
      <c r="DL1" s="2"/>
      <c r="DM1" s="2"/>
      <c r="DN1" s="2"/>
      <c r="DO1" s="2"/>
      <c r="DP1" s="23"/>
      <c r="DQ1" s="2"/>
      <c r="DR1" s="2"/>
    </row>
    <row r="2" spans="1:122" s="156" customFormat="1" ht="16.5" customHeight="1">
      <c r="A2" s="153"/>
      <c r="B2" s="152" t="s">
        <v>30</v>
      </c>
      <c r="C2" s="495"/>
      <c r="D2" s="523" t="s">
        <v>31</v>
      </c>
      <c r="E2" s="524"/>
      <c r="F2" s="524"/>
      <c r="G2" s="524"/>
      <c r="H2" s="524"/>
      <c r="I2" s="524"/>
      <c r="J2" s="524"/>
      <c r="K2" s="525"/>
      <c r="L2" s="154"/>
      <c r="M2" s="155"/>
      <c r="CJ2" s="157"/>
      <c r="CK2" s="157"/>
      <c r="CL2" s="157"/>
      <c r="CM2" s="158"/>
      <c r="CN2" s="158"/>
      <c r="CO2" s="158"/>
      <c r="CP2" s="158"/>
      <c r="CQ2" s="158"/>
      <c r="CR2" s="158"/>
      <c r="CS2" s="158"/>
      <c r="CT2" s="158"/>
      <c r="CU2" s="157"/>
      <c r="CV2" s="158"/>
      <c r="CW2" s="158"/>
      <c r="CX2" s="158"/>
      <c r="CY2" s="158"/>
      <c r="CZ2" s="158"/>
      <c r="DA2" s="157"/>
      <c r="DB2" s="157"/>
      <c r="DC2" s="157"/>
      <c r="DD2" s="157"/>
      <c r="DE2" s="157"/>
      <c r="DF2" s="157"/>
      <c r="DG2" s="157"/>
      <c r="DH2" s="157"/>
      <c r="DI2" s="157"/>
      <c r="DJ2" s="159"/>
      <c r="DK2" s="157"/>
      <c r="DL2" s="157"/>
    </row>
    <row r="3" spans="1:122" s="156" customFormat="1" ht="16.5" customHeight="1">
      <c r="A3" s="153"/>
      <c r="B3" s="151" t="s">
        <v>32</v>
      </c>
      <c r="C3" s="496">
        <v>46022</v>
      </c>
      <c r="D3" s="526"/>
      <c r="E3" s="527"/>
      <c r="F3" s="527"/>
      <c r="G3" s="527"/>
      <c r="H3" s="527"/>
      <c r="I3" s="527"/>
      <c r="J3" s="527"/>
      <c r="K3" s="528"/>
      <c r="L3" s="154"/>
      <c r="M3" s="155"/>
      <c r="CJ3" s="157"/>
      <c r="CK3" s="157"/>
      <c r="CL3" s="157"/>
      <c r="CM3" s="158"/>
      <c r="CN3" s="158"/>
      <c r="CO3" s="158"/>
      <c r="CP3" s="158"/>
      <c r="CQ3" s="158"/>
      <c r="CR3" s="158"/>
      <c r="CS3" s="158"/>
      <c r="CT3" s="158"/>
      <c r="CU3" s="157"/>
      <c r="CV3" s="158"/>
      <c r="CW3" s="158"/>
      <c r="CX3" s="158"/>
      <c r="CY3" s="158"/>
      <c r="CZ3" s="158"/>
      <c r="DA3" s="157"/>
      <c r="DB3" s="157"/>
      <c r="DC3" s="157"/>
      <c r="DD3" s="157"/>
      <c r="DE3" s="157"/>
      <c r="DF3" s="157"/>
      <c r="DG3" s="157"/>
      <c r="DH3" s="157"/>
      <c r="DI3" s="157"/>
      <c r="DJ3" s="159"/>
      <c r="DK3" s="157"/>
      <c r="DL3" s="157"/>
    </row>
    <row r="4" spans="1:122" s="156" customFormat="1" ht="16.5" customHeight="1">
      <c r="A4" s="153"/>
      <c r="B4" s="151" t="s">
        <v>33</v>
      </c>
      <c r="C4" s="496"/>
      <c r="D4" s="526"/>
      <c r="E4" s="527"/>
      <c r="F4" s="527"/>
      <c r="G4" s="527"/>
      <c r="H4" s="527"/>
      <c r="I4" s="527"/>
      <c r="J4" s="527"/>
      <c r="K4" s="528"/>
      <c r="L4" s="154"/>
      <c r="M4" s="155"/>
      <c r="CJ4" s="157"/>
      <c r="CK4" s="157"/>
      <c r="CL4" s="157"/>
      <c r="CM4" s="158"/>
      <c r="CN4" s="158"/>
      <c r="CO4" s="158"/>
      <c r="CP4" s="158"/>
      <c r="CQ4" s="158"/>
      <c r="CR4" s="158"/>
      <c r="CS4" s="158"/>
      <c r="CT4" s="158"/>
      <c r="CU4" s="157"/>
      <c r="CV4" s="158"/>
      <c r="CW4" s="158"/>
      <c r="CX4" s="158"/>
      <c r="CY4" s="158"/>
      <c r="CZ4" s="158"/>
      <c r="DA4" s="157"/>
      <c r="DB4" s="157"/>
      <c r="DC4" s="157"/>
      <c r="DD4" s="157"/>
      <c r="DE4" s="157"/>
      <c r="DF4" s="157"/>
      <c r="DG4" s="157"/>
      <c r="DH4" s="157"/>
      <c r="DI4" s="157"/>
      <c r="DJ4" s="159"/>
      <c r="DK4" s="157"/>
      <c r="DL4" s="157"/>
    </row>
    <row r="5" spans="1:122" s="156" customFormat="1" ht="16.5" customHeight="1">
      <c r="A5" s="153"/>
      <c r="B5" s="151" t="s">
        <v>34</v>
      </c>
      <c r="C5" s="411"/>
      <c r="D5" s="526"/>
      <c r="E5" s="527"/>
      <c r="F5" s="527"/>
      <c r="G5" s="527"/>
      <c r="H5" s="527"/>
      <c r="I5" s="527"/>
      <c r="J5" s="527"/>
      <c r="K5" s="528"/>
      <c r="L5" s="154"/>
      <c r="M5" s="155"/>
      <c r="CJ5" s="157"/>
      <c r="CK5" s="157"/>
      <c r="CL5" s="157"/>
      <c r="CM5" s="158"/>
      <c r="CN5" s="158"/>
      <c r="CO5" s="158"/>
      <c r="CP5" s="158"/>
      <c r="CQ5" s="158"/>
      <c r="CR5" s="158"/>
      <c r="CS5" s="158"/>
      <c r="CT5" s="158"/>
      <c r="CU5" s="157"/>
      <c r="CV5" s="158"/>
      <c r="CW5" s="158"/>
      <c r="CX5" s="158"/>
      <c r="CY5" s="158"/>
      <c r="CZ5" s="158"/>
      <c r="DA5" s="157"/>
      <c r="DB5" s="157"/>
      <c r="DC5" s="157"/>
      <c r="DD5" s="157"/>
      <c r="DE5" s="157"/>
      <c r="DF5" s="157"/>
      <c r="DG5" s="157"/>
      <c r="DH5" s="157"/>
      <c r="DI5" s="157"/>
      <c r="DJ5" s="159"/>
      <c r="DK5" s="157"/>
      <c r="DL5" s="157"/>
    </row>
    <row r="6" spans="1:122" s="156" customFormat="1" ht="16.5" customHeight="1">
      <c r="A6" s="153"/>
      <c r="B6" s="151" t="s">
        <v>35</v>
      </c>
      <c r="C6" s="411"/>
      <c r="D6" s="526"/>
      <c r="E6" s="527"/>
      <c r="F6" s="527"/>
      <c r="G6" s="527"/>
      <c r="H6" s="527"/>
      <c r="I6" s="527"/>
      <c r="J6" s="527"/>
      <c r="K6" s="528"/>
      <c r="L6" s="154"/>
      <c r="M6" s="155"/>
      <c r="CJ6" s="157"/>
      <c r="CK6" s="157"/>
      <c r="CL6" s="157"/>
      <c r="CM6" s="158"/>
      <c r="CN6" s="158"/>
      <c r="CO6" s="158"/>
      <c r="CP6" s="158"/>
      <c r="CQ6" s="158"/>
      <c r="CR6" s="158"/>
      <c r="CS6" s="158"/>
      <c r="CT6" s="158"/>
      <c r="CU6" s="157"/>
      <c r="CV6" s="158"/>
      <c r="CW6" s="158"/>
      <c r="CX6" s="158"/>
      <c r="CY6" s="158"/>
      <c r="CZ6" s="158"/>
      <c r="DA6" s="157"/>
      <c r="DB6" s="157"/>
      <c r="DC6" s="157"/>
      <c r="DD6" s="157"/>
      <c r="DE6" s="157"/>
      <c r="DF6" s="157"/>
      <c r="DG6" s="157"/>
      <c r="DH6" s="157"/>
      <c r="DI6" s="157"/>
      <c r="DJ6" s="159"/>
      <c r="DK6" s="157"/>
      <c r="DL6" s="157"/>
    </row>
    <row r="7" spans="1:122" s="156" customFormat="1" ht="16.5" customHeight="1">
      <c r="A7" s="153"/>
      <c r="B7" s="151" t="s">
        <v>36</v>
      </c>
      <c r="C7" s="497"/>
      <c r="D7" s="526"/>
      <c r="E7" s="527"/>
      <c r="F7" s="527"/>
      <c r="G7" s="527"/>
      <c r="H7" s="527"/>
      <c r="I7" s="527"/>
      <c r="J7" s="527"/>
      <c r="K7" s="528"/>
      <c r="L7" s="154"/>
      <c r="M7" s="155"/>
      <c r="CJ7" s="157"/>
      <c r="CK7" s="157"/>
      <c r="CL7" s="157"/>
      <c r="CM7" s="158"/>
      <c r="CN7" s="158"/>
      <c r="CO7" s="158"/>
      <c r="CP7" s="158"/>
      <c r="CQ7" s="158"/>
      <c r="CR7" s="158"/>
      <c r="CS7" s="158"/>
      <c r="CT7" s="158"/>
      <c r="CU7" s="157"/>
      <c r="CV7" s="158"/>
      <c r="CW7" s="158"/>
      <c r="CX7" s="158"/>
      <c r="CY7" s="158"/>
      <c r="CZ7" s="158"/>
      <c r="DA7" s="157"/>
      <c r="DB7" s="157"/>
      <c r="DC7" s="157"/>
      <c r="DD7" s="157"/>
      <c r="DE7" s="157"/>
      <c r="DF7" s="157"/>
      <c r="DG7" s="157"/>
      <c r="DH7" s="157"/>
      <c r="DI7" s="157"/>
      <c r="DJ7" s="159"/>
      <c r="DK7" s="157"/>
      <c r="DL7" s="157"/>
    </row>
    <row r="8" spans="1:122" s="156" customFormat="1" ht="16.5" customHeight="1">
      <c r="A8" s="153"/>
      <c r="B8" s="151" t="s">
        <v>37</v>
      </c>
      <c r="C8" s="497"/>
      <c r="D8" s="529"/>
      <c r="E8" s="530"/>
      <c r="F8" s="530"/>
      <c r="G8" s="530"/>
      <c r="H8" s="530"/>
      <c r="I8" s="530"/>
      <c r="J8" s="530"/>
      <c r="K8" s="531"/>
      <c r="L8" s="154"/>
      <c r="M8" s="155"/>
      <c r="CJ8" s="157"/>
      <c r="CK8" s="157"/>
      <c r="CL8" s="157"/>
      <c r="CM8" s="158"/>
      <c r="CN8" s="158"/>
      <c r="CO8" s="158"/>
      <c r="CP8" s="158"/>
      <c r="CQ8" s="158"/>
      <c r="CR8" s="158"/>
      <c r="CS8" s="158"/>
      <c r="CT8" s="158"/>
      <c r="CU8" s="157"/>
      <c r="CV8" s="158"/>
      <c r="CW8" s="158"/>
      <c r="CX8" s="158"/>
      <c r="CY8" s="158"/>
      <c r="CZ8" s="158"/>
      <c r="DA8" s="157"/>
      <c r="DB8" s="157"/>
      <c r="DC8" s="157"/>
      <c r="DD8" s="157"/>
      <c r="DE8" s="157"/>
      <c r="DF8" s="157"/>
      <c r="DG8" s="157"/>
      <c r="DH8" s="157"/>
      <c r="DI8" s="157"/>
      <c r="DJ8" s="159"/>
      <c r="DK8" s="157"/>
      <c r="DL8" s="157"/>
    </row>
    <row r="9" spans="1:122" s="7" customFormat="1" ht="30" customHeight="1">
      <c r="A9" s="502"/>
      <c r="B9" s="197" t="s">
        <v>38</v>
      </c>
      <c r="C9" s="198"/>
      <c r="D9" s="199"/>
      <c r="E9" s="199"/>
      <c r="F9" s="199"/>
      <c r="G9" s="199"/>
      <c r="H9" s="199"/>
      <c r="I9" s="199"/>
      <c r="J9" s="199"/>
      <c r="K9" s="200"/>
      <c r="L9" s="10"/>
      <c r="M9" s="93"/>
      <c r="S9" s="156"/>
      <c r="CJ9" s="2"/>
      <c r="CK9" s="2"/>
      <c r="CL9" s="2"/>
      <c r="CM9" s="21"/>
      <c r="CN9" s="21"/>
      <c r="CO9" s="21"/>
      <c r="CP9" s="21"/>
      <c r="CQ9" s="21"/>
      <c r="CR9" s="21"/>
      <c r="CS9" s="21"/>
      <c r="CT9" s="21"/>
      <c r="CU9" s="2"/>
      <c r="CV9" s="21"/>
      <c r="CW9" s="21"/>
      <c r="CX9" s="21"/>
      <c r="CY9" s="21"/>
      <c r="CZ9" s="21"/>
      <c r="DA9" s="2"/>
      <c r="DB9" s="2"/>
      <c r="DC9" s="2"/>
      <c r="DD9" s="2"/>
      <c r="DE9" s="2"/>
      <c r="DF9" s="2"/>
      <c r="DG9" s="2"/>
      <c r="DH9" s="2"/>
      <c r="DI9" s="2"/>
      <c r="DJ9" s="23"/>
      <c r="DK9" s="2"/>
      <c r="DL9" s="2"/>
    </row>
    <row r="10" spans="1:122" ht="12.6" customHeight="1">
      <c r="A10" s="178" t="s">
        <v>39</v>
      </c>
      <c r="C10" s="179"/>
      <c r="M10" s="93"/>
      <c r="S10" s="156"/>
    </row>
    <row r="11" spans="1:122" ht="12.6" customHeight="1">
      <c r="A11" s="178"/>
      <c r="B11" s="181" t="s">
        <v>40</v>
      </c>
      <c r="C11" s="179"/>
      <c r="M11" s="93"/>
      <c r="S11" s="156"/>
    </row>
    <row r="12" spans="1:122" s="7" customFormat="1" ht="15" customHeight="1">
      <c r="A12" s="520"/>
      <c r="B12" s="520"/>
      <c r="C12" s="502"/>
      <c r="D12" s="502"/>
      <c r="E12" s="502"/>
      <c r="F12" s="502"/>
      <c r="G12" s="502"/>
      <c r="H12" s="502"/>
      <c r="I12" s="502"/>
      <c r="J12" s="502"/>
      <c r="K12" s="502"/>
      <c r="L12" s="502"/>
      <c r="M12" s="93"/>
      <c r="N12" s="24"/>
      <c r="O12" s="85"/>
      <c r="P12" s="520"/>
      <c r="Q12" s="520"/>
      <c r="R12" s="10"/>
      <c r="S12" s="156"/>
      <c r="CP12" s="2"/>
      <c r="CQ12" s="2"/>
      <c r="CR12" s="2"/>
      <c r="CS12" s="21"/>
      <c r="CT12" s="21"/>
      <c r="CU12" s="21"/>
      <c r="CV12" s="21"/>
      <c r="CW12" s="21"/>
      <c r="CX12" s="21"/>
      <c r="CY12" s="21"/>
      <c r="CZ12" s="21"/>
      <c r="DA12" s="2"/>
      <c r="DB12" s="21"/>
      <c r="DC12" s="21"/>
      <c r="DD12" s="21"/>
      <c r="DE12" s="21"/>
      <c r="DF12" s="21"/>
      <c r="DG12" s="2"/>
      <c r="DH12" s="2"/>
      <c r="DI12" s="2"/>
      <c r="DJ12" s="2"/>
      <c r="DK12" s="2"/>
      <c r="DL12" s="2"/>
      <c r="DM12" s="2"/>
      <c r="DN12" s="2"/>
      <c r="DO12" s="2"/>
      <c r="DP12" s="23"/>
      <c r="DQ12" s="2"/>
      <c r="DR12" s="2"/>
    </row>
    <row r="13" spans="1:122" s="7" customFormat="1" ht="15" customHeight="1">
      <c r="A13" s="502"/>
      <c r="B13" s="532" t="s">
        <v>41</v>
      </c>
      <c r="C13" s="533"/>
      <c r="D13" s="533"/>
      <c r="E13" s="533"/>
      <c r="F13" s="534"/>
      <c r="L13" s="502"/>
      <c r="M13" s="93"/>
      <c r="N13" s="24"/>
      <c r="O13" s="85"/>
      <c r="P13" s="520"/>
      <c r="Q13" s="520"/>
      <c r="R13" s="10"/>
      <c r="S13" s="156"/>
      <c r="CP13" s="2"/>
      <c r="CQ13" s="2"/>
      <c r="CR13" s="2"/>
      <c r="CS13" s="21"/>
      <c r="CT13" s="21"/>
      <c r="CU13" s="21"/>
      <c r="CV13" s="21"/>
      <c r="CW13" s="21"/>
      <c r="CX13" s="21"/>
      <c r="CY13" s="21"/>
      <c r="CZ13" s="21"/>
      <c r="DA13" s="2"/>
      <c r="DB13" s="21"/>
      <c r="DC13" s="21"/>
      <c r="DD13" s="21"/>
      <c r="DE13" s="21"/>
      <c r="DF13" s="21"/>
      <c r="DG13" s="2"/>
      <c r="DH13" s="2"/>
      <c r="DI13" s="2"/>
      <c r="DJ13" s="2"/>
      <c r="DK13" s="2"/>
      <c r="DL13" s="2"/>
      <c r="DM13" s="2"/>
      <c r="DN13" s="2"/>
      <c r="DO13" s="2"/>
      <c r="DP13" s="23"/>
      <c r="DQ13" s="2"/>
      <c r="DR13" s="2"/>
    </row>
    <row r="14" spans="1:122" s="7" customFormat="1" ht="15" customHeight="1">
      <c r="A14" s="502"/>
      <c r="B14" s="167" t="s">
        <v>42</v>
      </c>
      <c r="C14" s="117" t="s">
        <v>43</v>
      </c>
      <c r="D14" s="118"/>
      <c r="E14" s="118"/>
      <c r="F14" s="168"/>
      <c r="L14" s="502"/>
      <c r="M14" s="93"/>
      <c r="N14" s="24"/>
      <c r="O14" s="85"/>
      <c r="P14" s="520"/>
      <c r="Q14" s="520"/>
      <c r="R14" s="10"/>
      <c r="S14" s="156"/>
      <c r="CP14" s="2"/>
      <c r="CQ14" s="2"/>
      <c r="CR14" s="2"/>
      <c r="CS14" s="21"/>
      <c r="CT14" s="21"/>
      <c r="CU14" s="21"/>
      <c r="CV14" s="21"/>
      <c r="CW14" s="21"/>
      <c r="CX14" s="21"/>
      <c r="CY14" s="21"/>
      <c r="CZ14" s="21"/>
      <c r="DA14" s="2"/>
      <c r="DB14" s="21"/>
      <c r="DC14" s="21"/>
      <c r="DD14" s="21"/>
      <c r="DE14" s="21"/>
      <c r="DF14" s="21"/>
      <c r="DG14" s="2"/>
      <c r="DH14" s="2"/>
      <c r="DI14" s="2"/>
      <c r="DJ14" s="2"/>
      <c r="DK14" s="2"/>
      <c r="DL14" s="2"/>
      <c r="DM14" s="2"/>
      <c r="DN14" s="2"/>
      <c r="DO14" s="2"/>
      <c r="DP14" s="23"/>
      <c r="DQ14" s="2"/>
      <c r="DR14" s="2"/>
    </row>
    <row r="15" spans="1:122" s="7" customFormat="1" ht="15" customHeight="1">
      <c r="A15" s="502"/>
      <c r="B15" s="169" t="s">
        <v>44</v>
      </c>
      <c r="C15" s="117" t="s">
        <v>45</v>
      </c>
      <c r="D15" s="119"/>
      <c r="E15" s="120"/>
      <c r="F15" s="170"/>
      <c r="L15" s="502"/>
      <c r="M15" s="93"/>
      <c r="N15" s="24"/>
      <c r="O15" s="85"/>
      <c r="P15" s="520"/>
      <c r="Q15" s="520"/>
      <c r="R15" s="10"/>
      <c r="S15" s="156"/>
      <c r="CP15" s="2"/>
      <c r="CQ15" s="2"/>
      <c r="CR15" s="2"/>
      <c r="CS15" s="21"/>
      <c r="CT15" s="21"/>
      <c r="CU15" s="21"/>
      <c r="CV15" s="21"/>
      <c r="CW15" s="21"/>
      <c r="CX15" s="21"/>
      <c r="CY15" s="21"/>
      <c r="CZ15" s="21"/>
      <c r="DA15" s="2"/>
      <c r="DB15" s="21"/>
      <c r="DC15" s="21"/>
      <c r="DD15" s="21"/>
      <c r="DE15" s="21"/>
      <c r="DF15" s="21"/>
      <c r="DG15" s="2"/>
      <c r="DH15" s="2"/>
      <c r="DI15" s="2"/>
      <c r="DJ15" s="2"/>
      <c r="DK15" s="2"/>
      <c r="DL15" s="2"/>
      <c r="DM15" s="2"/>
      <c r="DN15" s="2"/>
      <c r="DO15" s="2"/>
      <c r="DP15" s="23"/>
      <c r="DQ15" s="2"/>
      <c r="DR15" s="2"/>
    </row>
    <row r="16" spans="1:122" s="1" customFormat="1" ht="15" customHeight="1">
      <c r="A16" s="502"/>
      <c r="B16" s="167" t="s">
        <v>46</v>
      </c>
      <c r="C16" s="121" t="s">
        <v>47</v>
      </c>
      <c r="D16" s="122"/>
      <c r="E16" s="120"/>
      <c r="F16" s="170"/>
      <c r="L16" s="502"/>
      <c r="M16" s="93"/>
      <c r="N16" s="24"/>
      <c r="O16" s="85"/>
      <c r="P16" s="520"/>
      <c r="Q16" s="520"/>
      <c r="S16" s="156"/>
    </row>
    <row r="17" spans="1:19" s="1" customFormat="1" ht="15" customHeight="1">
      <c r="A17" s="502"/>
      <c r="B17" s="167" t="s">
        <v>48</v>
      </c>
      <c r="C17" s="121" t="s">
        <v>49</v>
      </c>
      <c r="D17" s="123"/>
      <c r="E17" s="120"/>
      <c r="F17" s="170"/>
      <c r="L17" s="502"/>
      <c r="M17" s="93"/>
      <c r="N17" s="24"/>
      <c r="O17" s="85"/>
      <c r="P17" s="520"/>
      <c r="Q17" s="520"/>
      <c r="S17" s="156"/>
    </row>
    <row r="18" spans="1:19" s="1" customFormat="1" ht="15" customHeight="1">
      <c r="A18" s="502"/>
      <c r="B18" s="171" t="s">
        <v>50</v>
      </c>
      <c r="C18" s="117" t="s">
        <v>51</v>
      </c>
      <c r="D18" s="124"/>
      <c r="E18" s="125"/>
      <c r="F18" s="172"/>
      <c r="L18" s="502"/>
      <c r="M18" s="93"/>
      <c r="N18" s="24"/>
      <c r="O18" s="85"/>
      <c r="P18" s="520"/>
      <c r="Q18" s="520"/>
      <c r="S18" s="156"/>
    </row>
    <row r="19" spans="1:19" s="1" customFormat="1" ht="15" customHeight="1">
      <c r="A19" s="502"/>
      <c r="B19" s="173" t="s">
        <v>52</v>
      </c>
      <c r="C19" s="117" t="s">
        <v>53</v>
      </c>
      <c r="D19" s="120"/>
      <c r="E19" s="120"/>
      <c r="F19" s="170"/>
      <c r="L19" s="502"/>
      <c r="M19" s="93"/>
      <c r="N19" s="24"/>
      <c r="O19" s="85"/>
      <c r="P19" s="520"/>
      <c r="Q19" s="520"/>
      <c r="S19" s="156"/>
    </row>
    <row r="20" spans="1:19" s="1" customFormat="1" ht="15" customHeight="1">
      <c r="A20" s="502"/>
      <c r="B20" s="167" t="s">
        <v>54</v>
      </c>
      <c r="C20" s="117" t="s">
        <v>55</v>
      </c>
      <c r="D20" s="120"/>
      <c r="E20" s="120"/>
      <c r="F20" s="170"/>
      <c r="L20" s="502"/>
      <c r="M20" s="93"/>
      <c r="N20" s="24"/>
      <c r="O20" s="85"/>
      <c r="P20" s="502"/>
      <c r="Q20" s="502"/>
      <c r="S20" s="156"/>
    </row>
    <row r="21" spans="1:19" s="1" customFormat="1" ht="15" customHeight="1">
      <c r="A21" s="502"/>
      <c r="B21" s="173" t="s">
        <v>56</v>
      </c>
      <c r="C21" s="117" t="s">
        <v>57</v>
      </c>
      <c r="D21" s="120"/>
      <c r="E21" s="120"/>
      <c r="F21" s="170"/>
      <c r="L21" s="502"/>
      <c r="M21" s="93"/>
      <c r="N21" s="24"/>
      <c r="O21" s="85"/>
      <c r="P21" s="520"/>
      <c r="Q21" s="520"/>
      <c r="S21" s="156"/>
    </row>
    <row r="22" spans="1:19" s="1" customFormat="1" ht="15" customHeight="1">
      <c r="A22" s="502"/>
      <c r="B22" s="165" t="s">
        <v>58</v>
      </c>
      <c r="C22" s="174" t="s">
        <v>59</v>
      </c>
      <c r="D22" s="160"/>
      <c r="E22" s="160"/>
      <c r="F22" s="161"/>
      <c r="L22" s="502"/>
      <c r="M22" s="93"/>
      <c r="N22" s="502"/>
      <c r="O22" s="85"/>
      <c r="P22" s="520"/>
      <c r="Q22" s="520"/>
      <c r="S22" s="156"/>
    </row>
    <row r="23" spans="1:19" s="52" customFormat="1" ht="18" customHeight="1">
      <c r="A23" s="184"/>
      <c r="B23" s="185"/>
      <c r="C23" s="185"/>
      <c r="D23" s="183"/>
      <c r="E23" s="183"/>
      <c r="F23" s="183"/>
      <c r="G23" s="26"/>
      <c r="H23" s="183"/>
      <c r="I23" s="183"/>
      <c r="J23" s="183"/>
      <c r="K23" s="186"/>
      <c r="M23" s="93"/>
    </row>
    <row r="24" spans="1:19" ht="14.85" customHeight="1">
      <c r="A24" s="182"/>
      <c r="B24" s="188" t="s">
        <v>60</v>
      </c>
      <c r="C24" s="183"/>
      <c r="I24" s="187"/>
      <c r="J24" s="215"/>
      <c r="K24" s="215"/>
      <c r="M24" s="93"/>
    </row>
    <row r="25" spans="1:19" s="2" customFormat="1" ht="29.85" customHeight="1">
      <c r="A25" s="182"/>
      <c r="B25" s="252" t="s">
        <v>61</v>
      </c>
      <c r="C25" s="252" t="s">
        <v>62</v>
      </c>
      <c r="D25" s="253" t="s">
        <v>63</v>
      </c>
      <c r="E25" s="253" t="s">
        <v>64</v>
      </c>
      <c r="F25" s="254" t="s">
        <v>65</v>
      </c>
      <c r="G25" s="255" t="s">
        <v>66</v>
      </c>
      <c r="H25" s="254" t="s">
        <v>67</v>
      </c>
      <c r="I25" s="256" t="s">
        <v>68</v>
      </c>
      <c r="J25" s="215"/>
      <c r="K25" s="215"/>
      <c r="M25" s="93"/>
    </row>
    <row r="26" spans="1:19" s="190" customFormat="1" ht="25.5" customHeight="1">
      <c r="A26" s="189"/>
      <c r="B26" s="209" t="s">
        <v>69</v>
      </c>
      <c r="C26" s="210" t="s">
        <v>70</v>
      </c>
      <c r="D26" s="211">
        <f>'VC.00 销售费用BKD'!E35</f>
        <v>0</v>
      </c>
      <c r="E26" s="211">
        <f>'VC.00 销售费用BKD'!F35</f>
        <v>0</v>
      </c>
      <c r="F26" s="211">
        <f>SUM(D26:E26)</f>
        <v>0</v>
      </c>
      <c r="G26" s="211">
        <f>'VC.00 销售费用BKD'!I35</f>
        <v>0</v>
      </c>
      <c r="H26" s="211">
        <f>SUM(F26:G26)</f>
        <v>0</v>
      </c>
      <c r="I26" s="410">
        <f>'VC.00 销售费用BKD'!K35</f>
        <v>0</v>
      </c>
      <c r="J26" s="215"/>
      <c r="K26" s="215"/>
      <c r="M26" s="93"/>
    </row>
    <row r="27" spans="1:19" s="190" customFormat="1" ht="25.5" customHeight="1">
      <c r="A27" s="189"/>
      <c r="B27" s="209" t="s">
        <v>71</v>
      </c>
      <c r="C27" s="210" t="s">
        <v>72</v>
      </c>
      <c r="D27" s="211">
        <f>'VD.00 管理费用BKD'!E35</f>
        <v>0</v>
      </c>
      <c r="E27" s="211">
        <f>'VD.00 管理费用BKD'!F35</f>
        <v>0</v>
      </c>
      <c r="F27" s="211">
        <f>SUM(D27:E27)</f>
        <v>0</v>
      </c>
      <c r="G27" s="211">
        <f>'VD.00 管理费用BKD'!I35</f>
        <v>0</v>
      </c>
      <c r="H27" s="211">
        <f>SUM(F27:G27)</f>
        <v>0</v>
      </c>
      <c r="I27" s="410">
        <f>'VD.00 管理费用BKD'!K35</f>
        <v>0</v>
      </c>
      <c r="J27" s="215"/>
      <c r="K27" s="215"/>
      <c r="M27" s="93"/>
    </row>
    <row r="28" spans="1:19" s="192" customFormat="1" ht="15" customHeight="1">
      <c r="A28" s="191"/>
      <c r="D28" s="3"/>
      <c r="E28" s="193"/>
      <c r="F28" s="193"/>
      <c r="G28" s="193"/>
      <c r="H28" s="194"/>
      <c r="I28" s="3"/>
      <c r="J28" s="3"/>
      <c r="K28" s="194"/>
      <c r="L28" s="195"/>
      <c r="M28" s="93"/>
      <c r="O28" s="195"/>
      <c r="P28" s="195"/>
      <c r="Q28" s="195"/>
    </row>
    <row r="29" spans="1:19" ht="7.5" customHeight="1">
      <c r="A29" s="93"/>
      <c r="B29" s="93"/>
      <c r="C29" s="93"/>
      <c r="D29" s="93"/>
      <c r="E29" s="93"/>
      <c r="F29" s="93"/>
      <c r="G29" s="93"/>
      <c r="H29" s="93"/>
      <c r="I29" s="93"/>
      <c r="J29" s="93"/>
      <c r="K29" s="93"/>
      <c r="L29" s="93"/>
      <c r="M29" s="93"/>
    </row>
    <row r="31" spans="1:19" ht="12.75" customHeight="1">
      <c r="A31" s="196"/>
    </row>
    <row r="32" spans="1:19" ht="12.75" customHeight="1">
      <c r="A32" s="196"/>
    </row>
    <row r="33" spans="1:1" ht="12.75" customHeight="1">
      <c r="A33" s="196"/>
    </row>
    <row r="34" spans="1:1" ht="12.75" customHeight="1">
      <c r="A34" s="196"/>
    </row>
    <row r="35" spans="1:1" ht="12.75" customHeight="1">
      <c r="A35" s="196"/>
    </row>
    <row r="36" spans="1:1" ht="12.75" customHeight="1">
      <c r="A36" s="196"/>
    </row>
    <row r="37" spans="1:1" ht="12.75" customHeight="1">
      <c r="A37" s="196"/>
    </row>
    <row r="38" spans="1:1" ht="12.75" customHeight="1">
      <c r="A38" s="196"/>
    </row>
    <row r="39" spans="1:1" ht="12.75" customHeight="1">
      <c r="A39" s="196"/>
    </row>
    <row r="40" spans="1:1" ht="12.75" customHeight="1">
      <c r="A40" s="196"/>
    </row>
    <row r="41" spans="1:1" ht="12.75" customHeight="1">
      <c r="A41" s="196"/>
    </row>
    <row r="42" spans="1:1" ht="12.75" customHeight="1">
      <c r="A42" s="196"/>
    </row>
    <row r="43" spans="1:1" ht="12.75" customHeight="1">
      <c r="A43" s="196"/>
    </row>
    <row r="44" spans="1:1" ht="12.75" customHeight="1">
      <c r="A44" s="196"/>
    </row>
    <row r="45" spans="1:1" ht="12.75" customHeight="1">
      <c r="A45" s="196"/>
    </row>
    <row r="46" spans="1:1" ht="12.75" customHeight="1">
      <c r="A46" s="196"/>
    </row>
    <row r="47" spans="1:1" ht="12.75" customHeight="1">
      <c r="A47" s="196"/>
    </row>
    <row r="48" spans="1:1" ht="12.75" customHeight="1">
      <c r="A48" s="196"/>
    </row>
    <row r="49" spans="1:1" ht="12.75" customHeight="1">
      <c r="A49" s="196"/>
    </row>
    <row r="50" spans="1:1" ht="12.75" customHeight="1">
      <c r="A50" s="196"/>
    </row>
    <row r="51" spans="1:1" ht="12.75" customHeight="1">
      <c r="A51" s="196"/>
    </row>
    <row r="52" spans="1:1" ht="12.75" customHeight="1">
      <c r="A52" s="196"/>
    </row>
    <row r="53" spans="1:1" ht="12.75" customHeight="1">
      <c r="A53" s="196"/>
    </row>
    <row r="54" spans="1:1" ht="12.75" customHeight="1">
      <c r="A54" s="196"/>
    </row>
    <row r="55" spans="1:1" ht="12.75" customHeight="1">
      <c r="A55" s="196"/>
    </row>
    <row r="56" spans="1:1" ht="12.75" customHeight="1">
      <c r="A56" s="196"/>
    </row>
    <row r="57" spans="1:1" ht="12.75" customHeight="1">
      <c r="A57" s="196"/>
    </row>
    <row r="58" spans="1:1" ht="12.75" customHeight="1">
      <c r="A58" s="196"/>
    </row>
    <row r="59" spans="1:1" ht="12.75" customHeight="1">
      <c r="A59" s="196"/>
    </row>
    <row r="60" spans="1:1" ht="12.75" customHeight="1">
      <c r="A60" s="196"/>
    </row>
    <row r="61" spans="1:1" ht="12.75" customHeight="1">
      <c r="A61" s="196"/>
    </row>
    <row r="62" spans="1:1" ht="12.75" customHeight="1">
      <c r="A62" s="196"/>
    </row>
    <row r="63" spans="1:1" ht="12.75" customHeight="1">
      <c r="A63" s="196"/>
    </row>
    <row r="64" spans="1:1" ht="12.75" customHeight="1">
      <c r="A64" s="196"/>
    </row>
    <row r="65" spans="1:1" ht="12.75" customHeight="1">
      <c r="A65" s="196"/>
    </row>
    <row r="66" spans="1:1" ht="12.75" customHeight="1">
      <c r="A66" s="196"/>
    </row>
    <row r="67" spans="1:1" ht="12.75" customHeight="1">
      <c r="A67" s="196"/>
    </row>
    <row r="68" spans="1:1" ht="12.75" customHeight="1">
      <c r="A68" s="196"/>
    </row>
    <row r="69" spans="1:1" ht="12.75" customHeight="1">
      <c r="A69" s="196"/>
    </row>
    <row r="70" spans="1:1" ht="12.75" customHeight="1">
      <c r="A70" s="196"/>
    </row>
    <row r="71" spans="1:1" ht="12.75" customHeight="1">
      <c r="A71" s="196"/>
    </row>
    <row r="72" spans="1:1" ht="12.75" customHeight="1">
      <c r="A72" s="196"/>
    </row>
    <row r="73" spans="1:1" ht="12.75" customHeight="1">
      <c r="A73" s="196"/>
    </row>
    <row r="74" spans="1:1" ht="12.75" customHeight="1">
      <c r="A74" s="196"/>
    </row>
    <row r="75" spans="1:1" ht="12.75" customHeight="1">
      <c r="A75" s="196"/>
    </row>
    <row r="76" spans="1:1" ht="12.75" customHeight="1">
      <c r="A76" s="196"/>
    </row>
    <row r="77" spans="1:1" ht="12.75" customHeight="1">
      <c r="A77" s="196"/>
    </row>
    <row r="78" spans="1:1" ht="12.75" customHeight="1">
      <c r="A78" s="196"/>
    </row>
    <row r="79" spans="1:1" ht="12.75" customHeight="1">
      <c r="A79" s="196"/>
    </row>
    <row r="80" spans="1:1" ht="12.75" customHeight="1">
      <c r="A80" s="196"/>
    </row>
    <row r="81" spans="1:1" ht="12.75" customHeight="1">
      <c r="A81" s="196"/>
    </row>
    <row r="82" spans="1:1" ht="12.75" customHeight="1">
      <c r="A82" s="196"/>
    </row>
    <row r="83" spans="1:1" ht="12.75" customHeight="1">
      <c r="A83" s="196"/>
    </row>
    <row r="84" spans="1:1" ht="12.75" customHeight="1">
      <c r="A84" s="196"/>
    </row>
    <row r="85" spans="1:1" ht="12.75" customHeight="1">
      <c r="A85" s="196"/>
    </row>
    <row r="86" spans="1:1" ht="12.75" customHeight="1">
      <c r="A86" s="196"/>
    </row>
    <row r="87" spans="1:1" ht="12.75" customHeight="1">
      <c r="A87" s="196"/>
    </row>
    <row r="88" spans="1:1" ht="12.75" customHeight="1">
      <c r="A88" s="196"/>
    </row>
    <row r="89" spans="1:1" ht="12.75" customHeight="1">
      <c r="A89" s="196"/>
    </row>
    <row r="90" spans="1:1" ht="12.75" customHeight="1">
      <c r="A90" s="196"/>
    </row>
    <row r="91" spans="1:1" ht="12.75" customHeight="1">
      <c r="A91" s="196"/>
    </row>
    <row r="92" spans="1:1" ht="12.75" customHeight="1">
      <c r="A92" s="196"/>
    </row>
    <row r="93" spans="1:1" ht="12.75" customHeight="1">
      <c r="A93" s="196"/>
    </row>
    <row r="94" spans="1:1" ht="12.75" customHeight="1">
      <c r="A94" s="196"/>
    </row>
    <row r="95" spans="1:1" ht="12.75" customHeight="1">
      <c r="A95" s="196"/>
    </row>
    <row r="96" spans="1:1" ht="12.75" customHeight="1">
      <c r="A96" s="196"/>
    </row>
    <row r="97" spans="1:1" ht="12.75" customHeight="1">
      <c r="A97" s="196"/>
    </row>
    <row r="98" spans="1:1" ht="12.75" customHeight="1">
      <c r="A98" s="196"/>
    </row>
    <row r="99" spans="1:1" ht="12.75" customHeight="1">
      <c r="A99" s="196"/>
    </row>
    <row r="100" spans="1:1" ht="12.75" customHeight="1">
      <c r="A100" s="196"/>
    </row>
    <row r="101" spans="1:1" ht="12.75" customHeight="1">
      <c r="A101" s="196"/>
    </row>
    <row r="102" spans="1:1" ht="12.75" customHeight="1">
      <c r="A102" s="196"/>
    </row>
    <row r="103" spans="1:1" ht="12.75" customHeight="1">
      <c r="A103" s="196"/>
    </row>
    <row r="104" spans="1:1" ht="12.75" customHeight="1">
      <c r="A104" s="196"/>
    </row>
    <row r="105" spans="1:1" ht="12.75" customHeight="1">
      <c r="A105" s="196"/>
    </row>
    <row r="106" spans="1:1" ht="12.75" customHeight="1">
      <c r="A106" s="196"/>
    </row>
    <row r="107" spans="1:1" ht="12.75" customHeight="1">
      <c r="A107" s="196"/>
    </row>
    <row r="108" spans="1:1" ht="12.75" customHeight="1">
      <c r="A108" s="196"/>
    </row>
    <row r="109" spans="1:1" ht="12.75" customHeight="1">
      <c r="A109" s="196"/>
    </row>
    <row r="110" spans="1:1" ht="12.75" customHeight="1">
      <c r="A110" s="196"/>
    </row>
    <row r="111" spans="1:1" ht="12.75" customHeight="1">
      <c r="A111" s="196"/>
    </row>
    <row r="112" spans="1:1" ht="12.75" customHeight="1">
      <c r="A112" s="196"/>
    </row>
    <row r="113" spans="1:1" ht="12.75" customHeight="1">
      <c r="A113" s="196"/>
    </row>
    <row r="114" spans="1:1" ht="12.75" customHeight="1">
      <c r="A114" s="196"/>
    </row>
    <row r="115" spans="1:1" ht="12.75" customHeight="1">
      <c r="A115" s="196"/>
    </row>
    <row r="116" spans="1:1" ht="12.75" customHeight="1">
      <c r="A116" s="196"/>
    </row>
    <row r="117" spans="1:1" ht="12.75" customHeight="1">
      <c r="A117" s="196"/>
    </row>
    <row r="118" spans="1:1" ht="12.75" customHeight="1">
      <c r="A118" s="196"/>
    </row>
    <row r="119" spans="1:1" ht="12.75" customHeight="1">
      <c r="A119" s="196"/>
    </row>
    <row r="120" spans="1:1" ht="12.75" customHeight="1">
      <c r="A120" s="196"/>
    </row>
    <row r="121" spans="1:1" ht="12.75" customHeight="1">
      <c r="A121" s="196"/>
    </row>
    <row r="122" spans="1:1" ht="12.75" customHeight="1">
      <c r="A122" s="196"/>
    </row>
    <row r="123" spans="1:1" ht="12.75" customHeight="1">
      <c r="A123" s="196"/>
    </row>
    <row r="124" spans="1:1" ht="12.75" customHeight="1">
      <c r="A124" s="196"/>
    </row>
    <row r="125" spans="1:1" ht="12.75" customHeight="1">
      <c r="A125" s="196"/>
    </row>
    <row r="126" spans="1:1" ht="12.75" customHeight="1">
      <c r="A126" s="196"/>
    </row>
  </sheetData>
  <mergeCells count="14">
    <mergeCell ref="P18:Q18"/>
    <mergeCell ref="P19:Q19"/>
    <mergeCell ref="B1:K1"/>
    <mergeCell ref="P21:Q21"/>
    <mergeCell ref="P22:Q22"/>
    <mergeCell ref="D2:K8"/>
    <mergeCell ref="A12:B12"/>
    <mergeCell ref="P12:Q12"/>
    <mergeCell ref="B13:F13"/>
    <mergeCell ref="P13:Q13"/>
    <mergeCell ref="P14:Q14"/>
    <mergeCell ref="P15:Q15"/>
    <mergeCell ref="P16:Q16"/>
    <mergeCell ref="P17:Q17"/>
  </mergeCells>
  <phoneticPr fontId="99" type="noConversion"/>
  <conditionalFormatting sqref="C2:C8">
    <cfRule type="containsBlanks" dxfId="27" priority="2">
      <formula>LEN(TRIM(C2))=0</formula>
    </cfRule>
  </conditionalFormatting>
  <hyperlinks>
    <hyperlink ref="B11" location="汇总!A1" display="返回汇总页" xr:uid="{7BB2F68D-AC40-4795-8A5E-97B747D624D0}"/>
    <hyperlink ref="O25" location="汇总!A1" display="返回汇总页" xr:uid="{F62A44E3-35B4-4E87-9F9C-1F93E99147B6}"/>
    <hyperlink ref="C26" location="'VC.00 销售费用BKD'!A1" display="VC.00 销售费用BKD" xr:uid="{92668D5A-97AC-4D2C-BAC1-A057C64F85D4}"/>
    <hyperlink ref="C27" location="'VD.00 管理费用BKD'!A1" display="VD.00 管理费用BKD" xr:uid="{6D8B06E2-DEB7-492E-BBE1-B69B6169FD09}"/>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F7C6-5CCE-4394-9081-4C4D9E4EB7E7}">
  <dimension ref="A1:DV112"/>
  <sheetViews>
    <sheetView showGridLines="0" zoomScale="70" zoomScaleNormal="70" workbookViewId="0">
      <selection activeCell="L48" sqref="L48"/>
    </sheetView>
  </sheetViews>
  <sheetFormatPr defaultColWidth="9.5546875" defaultRowHeight="12.6" customHeight="1"/>
  <cols>
    <col min="1" max="1" width="2.6640625" style="66" customWidth="1"/>
    <col min="2" max="2" width="18.6640625" style="67" customWidth="1"/>
    <col min="3" max="3" width="24.33203125" style="7" customWidth="1"/>
    <col min="4" max="4" width="29" style="7" customWidth="1"/>
    <col min="5" max="5" width="22.88671875" style="7" customWidth="1"/>
    <col min="6" max="6" width="15.88671875" style="7" customWidth="1"/>
    <col min="7" max="7" width="12.44140625" style="7" customWidth="1"/>
    <col min="8" max="9" width="12" style="7" customWidth="1"/>
    <col min="10" max="10" width="12.88671875" style="7" customWidth="1"/>
    <col min="11" max="11" width="14.5546875" style="7" customWidth="1"/>
    <col min="12" max="13" width="15.88671875" style="7" customWidth="1"/>
    <col min="14" max="14" width="11.5546875" style="7" bestFit="1" customWidth="1"/>
    <col min="15" max="15" width="11.5546875" style="7" customWidth="1"/>
    <col min="16" max="16" width="15.109375" style="7" customWidth="1"/>
    <col min="17" max="17" width="16.33203125" style="7" customWidth="1"/>
    <col min="18" max="18" width="2.6640625" style="7" customWidth="1"/>
    <col min="19" max="19" width="1.6640625" style="7" customWidth="1"/>
    <col min="21" max="21" width="9.5546875" style="10"/>
    <col min="22" max="24" width="8.6640625" style="7" customWidth="1"/>
    <col min="25" max="26" width="14" style="7" customWidth="1"/>
    <col min="27" max="33" width="8.6640625" style="7" customWidth="1"/>
    <col min="34" max="34" width="7.5546875" style="7" customWidth="1"/>
    <col min="35" max="35" width="8.88671875" style="7" customWidth="1"/>
    <col min="36" max="16384" width="9.5546875" style="7"/>
  </cols>
  <sheetData>
    <row r="1" spans="1:123" s="10" customFormat="1" ht="50.1" customHeight="1">
      <c r="A1" s="91"/>
      <c r="B1" s="381" t="s">
        <v>73</v>
      </c>
      <c r="C1" s="382"/>
      <c r="D1" s="382"/>
      <c r="E1" s="382"/>
      <c r="F1" s="382"/>
      <c r="G1" s="382"/>
      <c r="H1" s="382"/>
      <c r="I1" s="382"/>
      <c r="J1" s="382"/>
      <c r="K1" s="382"/>
      <c r="L1" s="382"/>
      <c r="M1" s="382"/>
      <c r="N1" s="382"/>
      <c r="O1" s="382"/>
      <c r="P1" s="382"/>
      <c r="Q1" s="383"/>
      <c r="R1" s="502"/>
      <c r="S1" s="93"/>
    </row>
    <row r="2" spans="1:123" s="10" customFormat="1" ht="30" customHeight="1">
      <c r="A2" s="91"/>
      <c r="B2" s="201" t="s">
        <v>74</v>
      </c>
      <c r="C2" s="202"/>
      <c r="D2" s="202"/>
      <c r="E2" s="202"/>
      <c r="F2" s="202"/>
      <c r="G2" s="202"/>
      <c r="H2" s="202"/>
      <c r="I2" s="202"/>
      <c r="J2" s="202"/>
      <c r="K2" s="202"/>
      <c r="L2" s="202"/>
      <c r="M2" s="202"/>
      <c r="N2" s="202"/>
      <c r="O2" s="202"/>
      <c r="P2" s="202"/>
      <c r="Q2" s="203"/>
      <c r="R2" s="502"/>
      <c r="S2" s="93"/>
    </row>
    <row r="3" spans="1:123" ht="15" customHeight="1">
      <c r="A3" s="520"/>
      <c r="B3" s="520"/>
      <c r="C3" s="502"/>
      <c r="D3" s="502"/>
      <c r="E3" s="502"/>
      <c r="F3" s="502"/>
      <c r="G3" s="502"/>
      <c r="H3" s="502"/>
      <c r="I3" s="502"/>
      <c r="J3" s="502"/>
      <c r="K3" s="502"/>
      <c r="L3" s="502"/>
      <c r="M3" s="502"/>
      <c r="N3" s="502"/>
      <c r="O3" s="502"/>
      <c r="P3" s="85"/>
      <c r="Q3" s="502"/>
      <c r="R3" s="502"/>
      <c r="S3" s="93"/>
      <c r="CQ3" s="2"/>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
      <c r="DS3" s="2"/>
    </row>
    <row r="4" spans="1:123" ht="15" customHeight="1">
      <c r="A4" s="502"/>
      <c r="B4" s="164" t="s">
        <v>75</v>
      </c>
      <c r="C4" s="502"/>
      <c r="D4" s="502"/>
      <c r="E4" s="502"/>
      <c r="F4" s="502"/>
      <c r="G4" s="502"/>
      <c r="H4" s="502"/>
      <c r="I4" s="502"/>
      <c r="J4" s="502"/>
      <c r="K4" s="502"/>
      <c r="L4" s="502"/>
      <c r="M4" s="502"/>
      <c r="N4" s="502"/>
      <c r="O4" s="502"/>
      <c r="P4" s="85"/>
      <c r="Q4" s="502"/>
      <c r="R4" s="502"/>
      <c r="S4" s="93"/>
      <c r="CQ4" s="2"/>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
      <c r="DS4" s="2"/>
    </row>
    <row r="5" spans="1:123" ht="15" customHeight="1">
      <c r="A5" s="520"/>
      <c r="B5" s="520"/>
      <c r="C5" s="502"/>
      <c r="D5" s="502"/>
      <c r="E5" s="502"/>
      <c r="F5" s="502"/>
      <c r="G5" s="502"/>
      <c r="H5" s="502"/>
      <c r="I5" s="502"/>
      <c r="J5" s="502"/>
      <c r="K5" s="502"/>
      <c r="L5" s="502"/>
      <c r="M5" s="502"/>
      <c r="N5" s="502"/>
      <c r="O5" s="502"/>
      <c r="P5" s="85"/>
      <c r="Q5" s="520"/>
      <c r="R5" s="520"/>
      <c r="S5" s="93"/>
      <c r="CQ5" s="2"/>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
      <c r="DS5" s="2"/>
    </row>
    <row r="6" spans="1:123" ht="15" customHeight="1">
      <c r="A6" s="502"/>
      <c r="B6" s="216"/>
      <c r="C6" s="216"/>
      <c r="D6" s="217" t="s">
        <v>76</v>
      </c>
      <c r="E6" s="218"/>
      <c r="F6" s="502"/>
      <c r="G6" s="502"/>
      <c r="H6" s="502"/>
      <c r="I6" s="502"/>
      <c r="J6" s="502"/>
      <c r="K6" s="502"/>
      <c r="L6" s="502"/>
      <c r="M6" s="502"/>
      <c r="N6" s="502"/>
      <c r="O6" s="502"/>
      <c r="P6" s="85"/>
      <c r="Q6" s="502"/>
      <c r="R6" s="502"/>
      <c r="S6" s="93"/>
      <c r="CQ6" s="2"/>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
      <c r="DS6" s="2"/>
    </row>
    <row r="7" spans="1:123" ht="15" customHeight="1">
      <c r="A7" s="502"/>
      <c r="B7" s="461" t="s">
        <v>77</v>
      </c>
      <c r="C7" s="461" t="s">
        <v>78</v>
      </c>
      <c r="D7" s="461" t="s">
        <v>79</v>
      </c>
      <c r="E7" s="462" t="s">
        <v>80</v>
      </c>
      <c r="F7" s="502"/>
      <c r="G7" s="502"/>
      <c r="H7" s="502"/>
      <c r="I7" s="502"/>
      <c r="J7" s="502"/>
      <c r="K7" s="502"/>
      <c r="L7" s="502"/>
      <c r="M7" s="502"/>
      <c r="N7" s="502"/>
      <c r="O7" s="502"/>
      <c r="P7" s="85"/>
      <c r="Q7" s="502"/>
      <c r="R7" s="502"/>
      <c r="S7" s="93"/>
      <c r="CQ7" s="2"/>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
      <c r="DS7" s="2"/>
    </row>
    <row r="8" spans="1:123" ht="15" customHeight="1">
      <c r="A8" s="502"/>
      <c r="B8" s="463" t="s">
        <v>81</v>
      </c>
      <c r="C8" s="226"/>
      <c r="D8" s="400">
        <f>IF(C8="Minimal",'Uexp.00 Lead'!$C$5*50%,IF(C8="Low",'Uexp.00 Lead'!$C$5*25%,IF(C8="Moderate",'Uexp.00 Lead'!$C$5*15%,IF(C8="High",'Uexp.00 Lead'!$C$5*10%,IF(C8="N/A","-",)))))</f>
        <v>0</v>
      </c>
      <c r="E8" s="401">
        <f>MIN($D$8:$D$11)</f>
        <v>0</v>
      </c>
      <c r="F8" s="502"/>
      <c r="G8" s="502"/>
      <c r="H8" s="502"/>
      <c r="I8" s="502"/>
      <c r="J8" s="502"/>
      <c r="K8" s="502"/>
      <c r="L8" s="502"/>
      <c r="M8" s="502"/>
      <c r="N8" s="502"/>
      <c r="O8" s="502"/>
      <c r="P8" s="85"/>
      <c r="Q8" s="502"/>
      <c r="R8" s="502"/>
      <c r="S8" s="93"/>
      <c r="CQ8" s="2"/>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
      <c r="DS8" s="2"/>
    </row>
    <row r="9" spans="1:123" ht="15" customHeight="1">
      <c r="A9" s="502"/>
      <c r="B9" s="463" t="s">
        <v>82</v>
      </c>
      <c r="C9" s="226"/>
      <c r="D9" s="400">
        <f>IF(C9="Minimal",'Uexp.00 Lead'!$C$5*100%,IF(C9="Low",'Uexp.00 Lead'!$C$5*75%,IF(C9="Moderate",'Uexp.00 Lead'!$C$5*50%,IF(C9="High",'Uexp.00 Lead'!$C$5*25%,IF(C9="N/A","-",)))))</f>
        <v>0</v>
      </c>
      <c r="E9" s="219"/>
      <c r="F9" s="502"/>
      <c r="G9" s="502"/>
      <c r="H9" s="502"/>
      <c r="I9" s="502"/>
      <c r="J9" s="502"/>
      <c r="K9" s="502"/>
      <c r="L9" s="502"/>
      <c r="M9" s="502"/>
      <c r="N9" s="502"/>
      <c r="O9" s="502"/>
      <c r="P9" s="85"/>
      <c r="Q9" s="502"/>
      <c r="R9" s="502"/>
      <c r="S9" s="93"/>
      <c r="CQ9" s="2"/>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
      <c r="DS9" s="2"/>
    </row>
    <row r="10" spans="1:123" ht="15" customHeight="1">
      <c r="A10" s="502"/>
      <c r="B10" s="463" t="s">
        <v>83</v>
      </c>
      <c r="C10" s="226"/>
      <c r="D10" s="400">
        <f>IF(C10="Minimal",'Uexp.00 Lead'!$C$5*100%,IF(C10="Low",'Uexp.00 Lead'!$C$5*75%,IF(C10="Moderate",'Uexp.00 Lead'!$C$5*50%,IF(C10="High",'Uexp.00 Lead'!$C$5*25%,IF(C10="N/A","-",)))))</f>
        <v>0</v>
      </c>
      <c r="E10" s="219"/>
      <c r="F10" s="502"/>
      <c r="G10" s="502"/>
      <c r="H10" s="502"/>
      <c r="I10" s="502"/>
      <c r="J10" s="502"/>
      <c r="K10" s="502"/>
      <c r="L10" s="502"/>
      <c r="M10" s="502"/>
      <c r="N10" s="502"/>
      <c r="O10" s="502"/>
      <c r="P10" s="85"/>
      <c r="Q10" s="502"/>
      <c r="R10" s="502"/>
      <c r="S10" s="93"/>
      <c r="CQ10" s="2"/>
      <c r="CR10" s="2"/>
      <c r="CS10" s="2"/>
      <c r="CT10" s="21"/>
      <c r="CU10" s="21"/>
      <c r="CV10" s="21"/>
      <c r="CW10" s="21"/>
      <c r="CX10" s="21"/>
      <c r="CY10" s="21"/>
      <c r="CZ10" s="21"/>
      <c r="DA10" s="21"/>
      <c r="DB10" s="2"/>
      <c r="DC10" s="21"/>
      <c r="DD10" s="21"/>
      <c r="DE10" s="21"/>
      <c r="DF10" s="21"/>
      <c r="DG10" s="21"/>
      <c r="DH10" s="2"/>
      <c r="DI10" s="2"/>
      <c r="DJ10" s="2"/>
      <c r="DK10" s="2"/>
      <c r="DL10" s="2"/>
      <c r="DM10" s="2"/>
      <c r="DN10" s="2"/>
      <c r="DO10" s="2"/>
      <c r="DP10" s="2"/>
      <c r="DQ10" s="23"/>
      <c r="DR10" s="2"/>
      <c r="DS10" s="2"/>
    </row>
    <row r="11" spans="1:123" ht="15" customHeight="1">
      <c r="A11" s="502"/>
      <c r="B11" s="464" t="s">
        <v>84</v>
      </c>
      <c r="C11" s="226"/>
      <c r="D11" s="400">
        <f>IF(C11="Minimal",'Uexp.00 Lead'!$C$5*100%,IF(C11="Low",'Uexp.00 Lead'!$C$5*75%,IF(C11="Moderate",'Uexp.00 Lead'!$C$5*50%,IF(C11="High",'Uexp.00 Lead'!$C$5*25%,IF(C11="N/A","-",)))))</f>
        <v>0</v>
      </c>
      <c r="E11" s="220"/>
      <c r="F11" s="502"/>
      <c r="G11" s="502"/>
      <c r="H11" s="502"/>
      <c r="I11" s="502"/>
      <c r="J11" s="502"/>
      <c r="K11" s="502"/>
      <c r="L11" s="502"/>
      <c r="M11" s="502"/>
      <c r="N11" s="502"/>
      <c r="O11" s="502"/>
      <c r="P11" s="85"/>
      <c r="Q11" s="502"/>
      <c r="R11" s="502"/>
      <c r="S11" s="93"/>
      <c r="CQ11" s="2"/>
      <c r="CR11" s="2"/>
      <c r="CS11" s="2"/>
      <c r="CT11" s="21"/>
      <c r="CU11" s="21"/>
      <c r="CV11" s="21"/>
      <c r="CW11" s="21"/>
      <c r="CX11" s="21"/>
      <c r="CY11" s="21"/>
      <c r="CZ11" s="21"/>
      <c r="DA11" s="21"/>
      <c r="DB11" s="2"/>
      <c r="DC11" s="21"/>
      <c r="DD11" s="21"/>
      <c r="DE11" s="21"/>
      <c r="DF11" s="21"/>
      <c r="DG11" s="21"/>
      <c r="DH11" s="2"/>
      <c r="DI11" s="2"/>
      <c r="DJ11" s="2"/>
      <c r="DK11" s="2"/>
      <c r="DL11" s="2"/>
      <c r="DM11" s="2"/>
      <c r="DN11" s="2"/>
      <c r="DO11" s="2"/>
      <c r="DP11" s="2"/>
      <c r="DQ11" s="23"/>
      <c r="DR11" s="2"/>
      <c r="DS11" s="2"/>
    </row>
    <row r="12" spans="1:123" ht="15" customHeight="1">
      <c r="A12" s="502"/>
      <c r="B12" s="556" t="s">
        <v>85</v>
      </c>
      <c r="C12" s="556"/>
      <c r="D12" s="556"/>
      <c r="E12" s="556"/>
      <c r="F12" s="502"/>
      <c r="G12" s="502"/>
      <c r="H12" s="502"/>
      <c r="I12" s="502"/>
      <c r="J12" s="502"/>
      <c r="K12" s="502"/>
      <c r="L12" s="502"/>
      <c r="M12" s="502"/>
      <c r="N12" s="502"/>
      <c r="O12" s="502"/>
      <c r="P12" s="85"/>
      <c r="Q12" s="502"/>
      <c r="R12" s="502"/>
      <c r="S12" s="93"/>
      <c r="CQ12" s="2"/>
      <c r="CR12" s="2"/>
      <c r="CS12" s="2"/>
      <c r="CT12" s="21"/>
      <c r="CU12" s="21"/>
      <c r="CV12" s="21"/>
      <c r="CW12" s="21"/>
      <c r="CX12" s="21"/>
      <c r="CY12" s="21"/>
      <c r="CZ12" s="21"/>
      <c r="DA12" s="21"/>
      <c r="DB12" s="2"/>
      <c r="DC12" s="21"/>
      <c r="DD12" s="21"/>
      <c r="DE12" s="21"/>
      <c r="DF12" s="21"/>
      <c r="DG12" s="21"/>
      <c r="DH12" s="2"/>
      <c r="DI12" s="2"/>
      <c r="DJ12" s="2"/>
      <c r="DK12" s="2"/>
      <c r="DL12" s="2"/>
      <c r="DM12" s="2"/>
      <c r="DN12" s="2"/>
      <c r="DO12" s="2"/>
      <c r="DP12" s="2"/>
      <c r="DQ12" s="23"/>
      <c r="DR12" s="2"/>
      <c r="DS12" s="2"/>
    </row>
    <row r="13" spans="1:123" ht="15" customHeight="1">
      <c r="A13" s="502"/>
      <c r="B13" s="221" t="s">
        <v>86</v>
      </c>
      <c r="C13" s="503"/>
      <c r="D13" s="503"/>
      <c r="E13" s="503"/>
      <c r="F13" s="502"/>
      <c r="G13" s="502"/>
      <c r="H13" s="502"/>
      <c r="I13" s="502"/>
      <c r="J13" s="502"/>
      <c r="K13" s="502"/>
      <c r="L13" s="502"/>
      <c r="M13" s="502"/>
      <c r="N13" s="502"/>
      <c r="O13" s="502"/>
      <c r="P13" s="85"/>
      <c r="Q13" s="502"/>
      <c r="R13" s="502"/>
      <c r="S13" s="93"/>
      <c r="CQ13" s="2"/>
      <c r="CR13" s="2"/>
      <c r="CS13" s="2"/>
      <c r="CT13" s="21"/>
      <c r="CU13" s="21"/>
      <c r="CV13" s="21"/>
      <c r="CW13" s="21"/>
      <c r="CX13" s="21"/>
      <c r="CY13" s="21"/>
      <c r="CZ13" s="21"/>
      <c r="DA13" s="21"/>
      <c r="DB13" s="2"/>
      <c r="DC13" s="21"/>
      <c r="DD13" s="21"/>
      <c r="DE13" s="21"/>
      <c r="DF13" s="21"/>
      <c r="DG13" s="21"/>
      <c r="DH13" s="2"/>
      <c r="DI13" s="2"/>
      <c r="DJ13" s="2"/>
      <c r="DK13" s="2"/>
      <c r="DL13" s="2"/>
      <c r="DM13" s="2"/>
      <c r="DN13" s="2"/>
      <c r="DO13" s="2"/>
      <c r="DP13" s="2"/>
      <c r="DQ13" s="23"/>
      <c r="DR13" s="2"/>
      <c r="DS13" s="2"/>
    </row>
    <row r="14" spans="1:123" ht="15" customHeight="1">
      <c r="A14" s="502"/>
      <c r="B14" s="221" t="s">
        <v>87</v>
      </c>
      <c r="C14" s="503"/>
      <c r="D14" s="503"/>
      <c r="E14" s="503"/>
      <c r="F14" s="502"/>
      <c r="G14" s="502"/>
      <c r="H14" s="502"/>
      <c r="I14" s="502"/>
      <c r="J14" s="502"/>
      <c r="K14" s="502"/>
      <c r="L14" s="502"/>
      <c r="M14" s="502"/>
      <c r="N14" s="502"/>
      <c r="O14" s="502"/>
      <c r="P14" s="85"/>
      <c r="Q14" s="502"/>
      <c r="R14" s="502"/>
      <c r="S14" s="93"/>
      <c r="CQ14" s="2"/>
      <c r="CR14" s="2"/>
      <c r="CS14" s="2"/>
      <c r="CT14" s="21"/>
      <c r="CU14" s="21"/>
      <c r="CV14" s="21"/>
      <c r="CW14" s="21"/>
      <c r="CX14" s="21"/>
      <c r="CY14" s="21"/>
      <c r="CZ14" s="21"/>
      <c r="DA14" s="21"/>
      <c r="DB14" s="2"/>
      <c r="DC14" s="21"/>
      <c r="DD14" s="21"/>
      <c r="DE14" s="21"/>
      <c r="DF14" s="21"/>
      <c r="DG14" s="21"/>
      <c r="DH14" s="2"/>
      <c r="DI14" s="2"/>
      <c r="DJ14" s="2"/>
      <c r="DK14" s="2"/>
      <c r="DL14" s="2"/>
      <c r="DM14" s="2"/>
      <c r="DN14" s="2"/>
      <c r="DO14" s="2"/>
      <c r="DP14" s="2"/>
      <c r="DQ14" s="23"/>
      <c r="DR14" s="2"/>
      <c r="DS14" s="2"/>
    </row>
    <row r="15" spans="1:123" ht="32.25" customHeight="1">
      <c r="A15" s="502"/>
      <c r="B15" s="556" t="s">
        <v>88</v>
      </c>
      <c r="C15" s="556"/>
      <c r="D15" s="556"/>
      <c r="E15" s="556"/>
      <c r="F15" s="502"/>
      <c r="G15" s="502"/>
      <c r="H15" s="502"/>
      <c r="I15" s="502"/>
      <c r="J15" s="502"/>
      <c r="K15" s="502"/>
      <c r="L15" s="502"/>
      <c r="M15" s="502"/>
      <c r="N15" s="502"/>
      <c r="O15" s="502"/>
      <c r="P15" s="85"/>
      <c r="Q15" s="502"/>
      <c r="R15" s="502"/>
      <c r="S15" s="93"/>
      <c r="CQ15" s="2"/>
      <c r="CR15" s="2"/>
      <c r="CS15" s="2"/>
      <c r="CT15" s="21"/>
      <c r="CU15" s="21"/>
      <c r="CV15" s="21"/>
      <c r="CW15" s="21"/>
      <c r="CX15" s="21"/>
      <c r="CY15" s="21"/>
      <c r="CZ15" s="21"/>
      <c r="DA15" s="21"/>
      <c r="DB15" s="2"/>
      <c r="DC15" s="21"/>
      <c r="DD15" s="21"/>
      <c r="DE15" s="21"/>
      <c r="DF15" s="21"/>
      <c r="DG15" s="21"/>
      <c r="DH15" s="2"/>
      <c r="DI15" s="2"/>
      <c r="DJ15" s="2"/>
      <c r="DK15" s="2"/>
      <c r="DL15" s="2"/>
      <c r="DM15" s="2"/>
      <c r="DN15" s="2"/>
      <c r="DO15" s="2"/>
      <c r="DP15" s="2"/>
      <c r="DQ15" s="23"/>
      <c r="DR15" s="2"/>
      <c r="DS15" s="2"/>
    </row>
    <row r="16" spans="1:123" ht="15" customHeight="1">
      <c r="A16" s="502"/>
      <c r="F16" s="502"/>
      <c r="G16" s="502"/>
      <c r="H16" s="502"/>
      <c r="I16" s="502"/>
      <c r="J16" s="502"/>
      <c r="K16" s="502"/>
      <c r="L16" s="502"/>
      <c r="M16" s="502"/>
      <c r="N16" s="502"/>
      <c r="O16" s="502"/>
      <c r="P16" s="85"/>
      <c r="Q16" s="502"/>
      <c r="R16" s="502"/>
      <c r="S16" s="93"/>
      <c r="CQ16" s="2"/>
      <c r="CR16" s="2"/>
      <c r="CS16" s="2"/>
      <c r="CT16" s="21"/>
      <c r="CU16" s="21"/>
      <c r="CV16" s="21"/>
      <c r="CW16" s="21"/>
      <c r="CX16" s="21"/>
      <c r="CY16" s="21"/>
      <c r="CZ16" s="21"/>
      <c r="DA16" s="21"/>
      <c r="DB16" s="2"/>
      <c r="DC16" s="21"/>
      <c r="DD16" s="21"/>
      <c r="DE16" s="21"/>
      <c r="DF16" s="21"/>
      <c r="DG16" s="21"/>
      <c r="DH16" s="2"/>
      <c r="DI16" s="2"/>
      <c r="DJ16" s="2"/>
      <c r="DK16" s="2"/>
      <c r="DL16" s="2"/>
      <c r="DM16" s="2"/>
      <c r="DN16" s="2"/>
      <c r="DO16" s="2"/>
      <c r="DP16" s="2"/>
      <c r="DQ16" s="23"/>
      <c r="DR16" s="2"/>
      <c r="DS16" s="2"/>
    </row>
    <row r="17" spans="1:125" s="52" customFormat="1" ht="25.35" customHeight="1">
      <c r="A17" s="86"/>
      <c r="B17" s="68" t="s">
        <v>89</v>
      </c>
      <c r="C17" s="87"/>
      <c r="D17" s="87"/>
      <c r="E17" s="87"/>
      <c r="F17" s="502"/>
      <c r="G17" s="502"/>
      <c r="H17" s="502"/>
      <c r="I17" s="502"/>
      <c r="J17" s="502"/>
      <c r="K17" s="502"/>
      <c r="L17" s="502"/>
      <c r="M17" s="502"/>
      <c r="N17" s="502"/>
      <c r="O17" s="502"/>
      <c r="P17" s="502"/>
      <c r="Q17" s="520"/>
      <c r="R17" s="520"/>
      <c r="S17" s="95"/>
    </row>
    <row r="18" spans="1:125" s="52" customFormat="1" ht="17.399999999999999">
      <c r="A18" s="86"/>
      <c r="B18" s="557"/>
      <c r="C18" s="558"/>
      <c r="D18" s="558"/>
      <c r="E18" s="558"/>
      <c r="F18" s="559"/>
      <c r="G18" s="87"/>
      <c r="H18" s="87"/>
      <c r="I18" s="87"/>
      <c r="J18" s="87"/>
      <c r="K18" s="62"/>
      <c r="L18" s="502"/>
      <c r="M18" s="502"/>
      <c r="N18" s="502"/>
      <c r="O18" s="502"/>
      <c r="P18" s="502"/>
      <c r="Q18" s="520"/>
      <c r="R18" s="520"/>
      <c r="S18" s="95"/>
    </row>
    <row r="19" spans="1:125" s="52" customFormat="1" ht="17.399999999999999">
      <c r="A19" s="86"/>
      <c r="B19" s="560"/>
      <c r="C19" s="561"/>
      <c r="D19" s="561"/>
      <c r="E19" s="561"/>
      <c r="F19" s="562"/>
      <c r="G19" s="87"/>
      <c r="H19" s="87"/>
      <c r="I19" s="87"/>
      <c r="J19" s="87"/>
      <c r="K19" s="62"/>
      <c r="L19" s="502"/>
      <c r="M19" s="502"/>
      <c r="N19" s="502"/>
      <c r="O19" s="502"/>
      <c r="P19" s="502"/>
      <c r="Q19" s="520"/>
      <c r="R19" s="520"/>
      <c r="S19" s="95"/>
    </row>
    <row r="20" spans="1:125" s="1" customFormat="1" ht="17.399999999999999">
      <c r="A20" s="86"/>
      <c r="B20" s="563"/>
      <c r="C20" s="564"/>
      <c r="D20" s="564"/>
      <c r="E20" s="564"/>
      <c r="F20" s="565"/>
      <c r="G20" s="87"/>
      <c r="H20" s="87"/>
      <c r="I20" s="87"/>
      <c r="J20" s="87"/>
      <c r="K20" s="62"/>
      <c r="L20" s="502"/>
      <c r="M20" s="502"/>
      <c r="N20" s="502"/>
      <c r="O20" s="502"/>
      <c r="P20" s="502"/>
      <c r="Q20" s="520"/>
      <c r="R20" s="520"/>
      <c r="S20" s="94"/>
    </row>
    <row r="21" spans="1:125" s="1" customFormat="1" ht="25.35" customHeight="1">
      <c r="A21" s="88"/>
      <c r="B21" s="88"/>
      <c r="C21" s="89"/>
      <c r="D21" s="26"/>
      <c r="E21" s="26"/>
      <c r="F21" s="26"/>
      <c r="G21" s="87"/>
      <c r="H21" s="87"/>
      <c r="I21" s="87"/>
      <c r="J21" s="87"/>
      <c r="K21" s="62"/>
      <c r="L21" s="502"/>
      <c r="M21" s="502"/>
      <c r="N21" s="502"/>
      <c r="O21" s="502"/>
      <c r="P21" s="502"/>
      <c r="Q21" s="520"/>
      <c r="R21" s="520"/>
      <c r="S21" s="94"/>
    </row>
    <row r="22" spans="1:125" s="1" customFormat="1" ht="12.75" customHeight="1">
      <c r="A22" s="88"/>
      <c r="B22" s="535" t="s">
        <v>90</v>
      </c>
      <c r="C22" s="536"/>
      <c r="D22" s="26"/>
      <c r="E22" s="26"/>
      <c r="F22" s="26"/>
      <c r="G22" s="87"/>
      <c r="H22" s="87"/>
      <c r="I22" s="87"/>
      <c r="J22" s="87"/>
      <c r="K22" s="62"/>
      <c r="L22" s="502"/>
      <c r="M22" s="502"/>
      <c r="N22" s="502"/>
      <c r="O22" s="502"/>
      <c r="P22" s="502"/>
      <c r="Q22" s="502"/>
      <c r="R22" s="502"/>
      <c r="S22" s="94"/>
    </row>
    <row r="23" spans="1:125" s="1" customFormat="1" ht="13.2">
      <c r="A23" s="88"/>
      <c r="B23" s="138" t="str">
        <f>"波动幅度 ("&amp;'Uexp.00 Lead'!$C$8&amp;")"</f>
        <v>波动幅度 ()</v>
      </c>
      <c r="C23" s="402">
        <f>E8</f>
        <v>0</v>
      </c>
      <c r="D23" s="24"/>
      <c r="E23" s="24"/>
      <c r="F23" s="26"/>
      <c r="G23" s="26"/>
      <c r="H23" s="24"/>
      <c r="I23" s="24"/>
      <c r="J23" s="24"/>
      <c r="K23" s="62"/>
      <c r="L23" s="502"/>
      <c r="M23" s="502"/>
      <c r="N23" s="502"/>
      <c r="O23" s="502"/>
      <c r="P23" s="502"/>
      <c r="Q23" s="520"/>
      <c r="R23" s="520"/>
      <c r="S23" s="94"/>
    </row>
    <row r="24" spans="1:125" ht="15.6">
      <c r="A24" s="24"/>
      <c r="B24" s="139" t="s">
        <v>91</v>
      </c>
      <c r="C24" s="137">
        <v>0.1</v>
      </c>
      <c r="D24" s="502"/>
      <c r="E24" s="502"/>
      <c r="F24" s="24"/>
      <c r="G24" s="24"/>
      <c r="H24" s="24"/>
      <c r="I24" s="24"/>
      <c r="J24" s="24"/>
      <c r="K24" s="24"/>
      <c r="L24" s="502"/>
      <c r="M24" s="502"/>
      <c r="N24" s="502"/>
      <c r="O24" s="502"/>
      <c r="P24" s="502"/>
      <c r="Q24" s="520"/>
      <c r="R24" s="520"/>
      <c r="S24" s="93"/>
      <c r="CS24" s="2"/>
      <c r="CT24" s="2"/>
      <c r="CU24" s="2"/>
      <c r="CV24" s="21"/>
      <c r="CW24" s="21"/>
      <c r="CX24" s="21"/>
      <c r="CY24" s="21"/>
      <c r="CZ24" s="21"/>
      <c r="DA24" s="21"/>
      <c r="DB24" s="21"/>
      <c r="DC24" s="21"/>
      <c r="DD24" s="2"/>
      <c r="DE24" s="21"/>
      <c r="DF24" s="21"/>
      <c r="DG24" s="21"/>
      <c r="DH24" s="21"/>
      <c r="DI24" s="21"/>
      <c r="DJ24" s="2"/>
      <c r="DK24" s="2"/>
      <c r="DL24" s="2"/>
      <c r="DM24" s="2"/>
      <c r="DN24" s="2"/>
      <c r="DO24" s="2"/>
      <c r="DP24" s="2"/>
      <c r="DQ24" s="2"/>
      <c r="DR24" s="2"/>
      <c r="DS24" s="23"/>
      <c r="DT24" s="2"/>
      <c r="DU24" s="2"/>
    </row>
    <row r="25" spans="1:125" ht="13.2">
      <c r="A25" s="502"/>
      <c r="B25" s="502"/>
      <c r="C25" s="502"/>
      <c r="D25" s="502"/>
      <c r="E25" s="502"/>
      <c r="F25" s="502"/>
      <c r="G25" s="502"/>
      <c r="H25" s="502"/>
      <c r="I25" s="502"/>
      <c r="J25" s="502"/>
      <c r="K25" s="502"/>
      <c r="L25" s="502"/>
      <c r="M25" s="502"/>
      <c r="N25" s="502"/>
      <c r="O25" s="502"/>
      <c r="P25" s="502"/>
      <c r="Q25" s="502"/>
      <c r="R25" s="502"/>
      <c r="S25" s="93"/>
      <c r="CL25" s="2"/>
      <c r="CM25" s="2"/>
      <c r="CN25" s="2"/>
      <c r="CO25" s="21"/>
      <c r="CP25" s="21"/>
      <c r="CQ25" s="21"/>
      <c r="CR25" s="21"/>
      <c r="CS25" s="21"/>
      <c r="CT25" s="21"/>
      <c r="CU25" s="21"/>
      <c r="CV25" s="21"/>
      <c r="CW25" s="2"/>
      <c r="CX25" s="21"/>
      <c r="CY25" s="21"/>
      <c r="CZ25" s="21"/>
      <c r="DA25" s="21"/>
      <c r="DB25" s="21"/>
      <c r="DC25" s="2"/>
      <c r="DD25" s="2"/>
      <c r="DE25" s="2"/>
      <c r="DF25" s="2"/>
      <c r="DG25" s="2"/>
      <c r="DH25" s="2"/>
      <c r="DI25" s="2"/>
      <c r="DJ25" s="2"/>
      <c r="DK25" s="2"/>
      <c r="DL25" s="23"/>
      <c r="DM25" s="2"/>
      <c r="DN25" s="2"/>
    </row>
    <row r="26" spans="1:125" ht="13.2">
      <c r="A26" s="502"/>
      <c r="B26" s="502"/>
      <c r="C26" s="502"/>
      <c r="D26" s="502"/>
      <c r="E26" s="502"/>
      <c r="F26" s="502"/>
      <c r="G26" s="502"/>
      <c r="H26" s="502"/>
      <c r="I26" s="502"/>
      <c r="J26" s="502"/>
      <c r="K26" s="502"/>
      <c r="L26" s="502"/>
      <c r="M26" s="502"/>
      <c r="N26" s="502"/>
      <c r="O26" s="502"/>
      <c r="P26" s="502"/>
      <c r="Q26" s="502"/>
      <c r="R26" s="10"/>
      <c r="S26" s="93"/>
      <c r="U26" s="7"/>
      <c r="CK26" s="2"/>
      <c r="CL26" s="2"/>
      <c r="CM26" s="2"/>
      <c r="CN26" s="21"/>
      <c r="CO26" s="21"/>
      <c r="CP26" s="21"/>
      <c r="CQ26" s="21"/>
      <c r="CR26" s="21"/>
      <c r="CS26" s="21"/>
      <c r="CT26" s="21"/>
      <c r="CU26" s="21"/>
      <c r="CV26" s="2"/>
      <c r="CW26" s="21"/>
      <c r="CX26" s="21"/>
      <c r="CY26" s="21"/>
      <c r="CZ26" s="21"/>
      <c r="DA26" s="21"/>
      <c r="DB26" s="2"/>
      <c r="DC26" s="2"/>
      <c r="DD26" s="2"/>
      <c r="DE26" s="2"/>
      <c r="DF26" s="2"/>
      <c r="DG26" s="2"/>
      <c r="DH26" s="2"/>
      <c r="DI26" s="2"/>
      <c r="DJ26" s="2"/>
      <c r="DK26" s="23"/>
      <c r="DL26" s="2"/>
      <c r="DM26" s="2"/>
    </row>
    <row r="27" spans="1:125" ht="12.6" customHeight="1">
      <c r="A27" s="77"/>
      <c r="C27" s="25"/>
      <c r="D27" s="41"/>
      <c r="E27" s="241" t="s">
        <v>92</v>
      </c>
      <c r="F27" s="242"/>
      <c r="G27" s="242"/>
      <c r="H27" s="242"/>
      <c r="I27" s="242"/>
      <c r="J27" s="242"/>
      <c r="K27" s="242" t="s">
        <v>93</v>
      </c>
      <c r="L27" s="25"/>
      <c r="M27" s="25"/>
      <c r="N27" s="25"/>
      <c r="O27" s="25"/>
      <c r="Q27" s="25"/>
      <c r="S27" s="93"/>
      <c r="U27" s="7"/>
      <c r="CG27" s="21"/>
      <c r="CH27" s="40"/>
      <c r="CI27" s="40"/>
      <c r="CJ27" s="21"/>
      <c r="CK27" s="21"/>
      <c r="CL27" s="21"/>
      <c r="CM27" s="21"/>
      <c r="CN27" s="21"/>
      <c r="CO27" s="21"/>
      <c r="CP27" s="21"/>
      <c r="CQ27" s="21"/>
      <c r="CR27" s="40"/>
      <c r="CS27" s="21"/>
      <c r="CT27" s="21"/>
      <c r="CU27" s="21"/>
      <c r="CV27" s="21"/>
      <c r="CW27" s="21"/>
      <c r="CX27" s="40"/>
      <c r="CY27" s="21"/>
      <c r="CZ27" s="21"/>
      <c r="DA27" s="21"/>
      <c r="DB27" s="21"/>
      <c r="DC27" s="21"/>
      <c r="DD27" s="40"/>
      <c r="DE27" s="40"/>
      <c r="DF27" s="40"/>
      <c r="DG27" s="43"/>
      <c r="DH27" s="21"/>
      <c r="DI27" s="22"/>
    </row>
    <row r="28" spans="1:125" ht="15.6">
      <c r="A28" s="77"/>
      <c r="B28" s="134" t="s">
        <v>94</v>
      </c>
      <c r="C28" s="14"/>
      <c r="D28" s="14"/>
      <c r="E28" s="247" t="str">
        <f>"货币/单位: "&amp;'Uexp.00 Lead'!C8</f>
        <v xml:space="preserve">货币/单位: </v>
      </c>
      <c r="F28" s="248"/>
      <c r="G28" s="248"/>
      <c r="H28" s="248"/>
      <c r="I28" s="248"/>
      <c r="J28" s="248"/>
      <c r="K28" s="249"/>
      <c r="O28" s="16"/>
      <c r="P28" s="15"/>
      <c r="Q28" s="15"/>
      <c r="S28" s="93"/>
      <c r="U28" s="7"/>
      <c r="CG28" s="21"/>
      <c r="CH28" s="40"/>
      <c r="CI28" s="40"/>
      <c r="CJ28" s="21"/>
      <c r="CK28" s="21"/>
      <c r="CL28" s="21"/>
      <c r="CM28" s="21"/>
      <c r="CN28" s="21"/>
      <c r="CO28" s="21"/>
      <c r="CP28" s="21"/>
      <c r="CQ28" s="21"/>
      <c r="CR28" s="40"/>
      <c r="CS28" s="21"/>
      <c r="CT28" s="21"/>
      <c r="CU28" s="21"/>
      <c r="CV28" s="21"/>
      <c r="CW28" s="21"/>
      <c r="CX28" s="40"/>
      <c r="CY28" s="21"/>
      <c r="CZ28" s="21"/>
      <c r="DA28" s="21"/>
      <c r="DB28" s="21"/>
      <c r="DC28" s="21"/>
      <c r="DD28" s="40"/>
      <c r="DE28" s="40"/>
      <c r="DF28" s="40"/>
      <c r="DG28" s="42"/>
      <c r="DH28" s="21"/>
      <c r="DI28" s="22"/>
    </row>
    <row r="29" spans="1:125" ht="14.4" customHeight="1">
      <c r="A29" s="77"/>
      <c r="B29" s="244"/>
      <c r="C29" s="244"/>
      <c r="D29" s="244"/>
      <c r="E29" s="548">
        <f>'Uexp.00 Lead'!C3</f>
        <v>46022</v>
      </c>
      <c r="F29" s="549"/>
      <c r="G29" s="549"/>
      <c r="H29" s="549"/>
      <c r="I29" s="549"/>
      <c r="J29" s="549"/>
      <c r="K29" s="246">
        <f>DATE(YEAR($E$29)-1,12,31)</f>
        <v>45657</v>
      </c>
      <c r="L29" s="550" t="s">
        <v>95</v>
      </c>
      <c r="M29" s="551"/>
      <c r="N29" s="552" t="s">
        <v>96</v>
      </c>
      <c r="O29" s="554" t="s">
        <v>97</v>
      </c>
      <c r="P29" s="537" t="s">
        <v>98</v>
      </c>
      <c r="Q29" s="537" t="s">
        <v>99</v>
      </c>
      <c r="S29" s="93"/>
      <c r="U29" s="7"/>
      <c r="CH29" s="2"/>
      <c r="CI29" s="2"/>
      <c r="CJ29" s="2"/>
      <c r="CK29" s="21"/>
      <c r="CL29" s="21"/>
      <c r="CM29" s="21"/>
      <c r="CN29" s="21"/>
      <c r="CO29" s="21"/>
      <c r="CP29" s="21"/>
      <c r="CQ29" s="21"/>
      <c r="CR29" s="21"/>
      <c r="CS29" s="2"/>
      <c r="CT29" s="21"/>
      <c r="CU29" s="21"/>
      <c r="CV29" s="21"/>
      <c r="CW29" s="21"/>
      <c r="CX29" s="21"/>
      <c r="CY29" s="2"/>
      <c r="CZ29" s="2"/>
      <c r="DA29" s="2"/>
      <c r="DB29" s="2"/>
      <c r="DC29" s="2"/>
      <c r="DD29" s="2"/>
      <c r="DE29" s="2"/>
      <c r="DF29" s="2"/>
      <c r="DG29" s="2"/>
      <c r="DH29" s="27"/>
      <c r="DI29" s="2"/>
      <c r="DJ29" s="2"/>
    </row>
    <row r="30" spans="1:125" ht="21" customHeight="1">
      <c r="A30" s="77"/>
      <c r="B30" s="245" t="s">
        <v>100</v>
      </c>
      <c r="C30" s="245" t="s">
        <v>101</v>
      </c>
      <c r="D30" s="245" t="s">
        <v>102</v>
      </c>
      <c r="E30" s="257" t="s">
        <v>103</v>
      </c>
      <c r="F30" s="258" t="s">
        <v>64</v>
      </c>
      <c r="G30" s="258" t="s">
        <v>104</v>
      </c>
      <c r="H30" s="258" t="s">
        <v>105</v>
      </c>
      <c r="I30" s="258" t="s">
        <v>66</v>
      </c>
      <c r="J30" s="258" t="s">
        <v>106</v>
      </c>
      <c r="K30" s="259" t="s">
        <v>107</v>
      </c>
      <c r="L30" s="239" t="s">
        <v>108</v>
      </c>
      <c r="M30" s="240" t="s">
        <v>109</v>
      </c>
      <c r="N30" s="553"/>
      <c r="O30" s="555"/>
      <c r="P30" s="538"/>
      <c r="Q30" s="538"/>
      <c r="S30" s="93"/>
      <c r="U30" s="7"/>
      <c r="CH30" s="2"/>
      <c r="CI30" s="2"/>
      <c r="CJ30" s="2"/>
      <c r="CK30" s="21"/>
      <c r="CL30" s="21"/>
      <c r="CM30" s="21"/>
      <c r="CN30" s="21"/>
      <c r="CO30" s="21"/>
      <c r="CP30" s="21"/>
      <c r="CQ30" s="21"/>
      <c r="CR30" s="21"/>
      <c r="CS30" s="2"/>
      <c r="CT30" s="21"/>
      <c r="CU30" s="21"/>
      <c r="CV30" s="21"/>
      <c r="CW30" s="21"/>
      <c r="CX30" s="21"/>
      <c r="CY30" s="2"/>
      <c r="CZ30" s="2"/>
      <c r="DA30" s="2"/>
      <c r="DB30" s="2"/>
      <c r="DC30" s="2"/>
      <c r="DD30" s="2"/>
      <c r="DE30" s="2"/>
      <c r="DF30" s="2"/>
      <c r="DG30" s="2"/>
      <c r="DH30" s="27"/>
      <c r="DI30" s="2"/>
      <c r="DJ30" s="2"/>
    </row>
    <row r="31" spans="1:125" ht="12.6" customHeight="1">
      <c r="A31" s="77"/>
      <c r="B31" s="457"/>
      <c r="C31" s="457"/>
      <c r="D31" s="457"/>
      <c r="E31" s="403"/>
      <c r="F31" s="403"/>
      <c r="G31" s="403">
        <f>E31+F31</f>
        <v>0</v>
      </c>
      <c r="H31" s="408" t="str">
        <f>IF($G$35&lt;&gt;0,G31/$G$35,"")</f>
        <v/>
      </c>
      <c r="I31" s="403"/>
      <c r="J31" s="403">
        <f>G31+I31</f>
        <v>0</v>
      </c>
      <c r="K31" s="403"/>
      <c r="L31" s="403">
        <f>J31-K31</f>
        <v>0</v>
      </c>
      <c r="M31" s="408">
        <f>IF(K31&lt;&gt;0,L31/K31,1)</f>
        <v>1</v>
      </c>
      <c r="N31" s="481"/>
      <c r="O31" s="482" t="s">
        <v>110</v>
      </c>
      <c r="P31" s="24" t="str">
        <f>IF(AND(ABS(L31)&gt;=$C$23,ABS(M31)&gt;=$C$24),"是","否")</f>
        <v>是</v>
      </c>
      <c r="Q31" s="24"/>
      <c r="S31" s="93"/>
      <c r="U31" s="7"/>
      <c r="CH31" s="2"/>
      <c r="CI31" s="2"/>
      <c r="CJ31" s="2"/>
      <c r="CK31" s="21"/>
      <c r="CL31" s="21"/>
      <c r="CM31" s="21"/>
      <c r="CN31" s="21"/>
      <c r="CO31" s="21"/>
      <c r="CP31" s="21"/>
      <c r="CQ31" s="21"/>
      <c r="CR31" s="21"/>
      <c r="CS31" s="2"/>
      <c r="CT31" s="21"/>
      <c r="CU31" s="21"/>
      <c r="CV31" s="21"/>
      <c r="CW31" s="21"/>
      <c r="CX31" s="21"/>
      <c r="CY31" s="2"/>
      <c r="CZ31" s="2"/>
      <c r="DA31" s="2"/>
      <c r="DB31" s="2"/>
      <c r="DC31" s="2"/>
      <c r="DD31" s="2"/>
      <c r="DE31" s="2"/>
      <c r="DF31" s="44"/>
      <c r="DG31" s="2"/>
      <c r="DH31" s="45"/>
      <c r="DI31" s="2"/>
      <c r="DJ31" s="2"/>
    </row>
    <row r="32" spans="1:125" ht="12.6" customHeight="1">
      <c r="A32" s="77"/>
      <c r="B32" s="457"/>
      <c r="C32" s="457"/>
      <c r="D32" s="457"/>
      <c r="E32" s="403"/>
      <c r="F32" s="403"/>
      <c r="G32" s="403">
        <f>E32+F32</f>
        <v>0</v>
      </c>
      <c r="H32" s="408" t="str">
        <f>IF($G$35&lt;&gt;0,G32/$G$35,"")</f>
        <v/>
      </c>
      <c r="I32" s="403"/>
      <c r="J32" s="403">
        <f>G32+I32</f>
        <v>0</v>
      </c>
      <c r="K32" s="403"/>
      <c r="L32" s="403">
        <f t="shared" ref="L32:L33" si="0">J32-K32</f>
        <v>0</v>
      </c>
      <c r="M32" s="408">
        <f>IF(K32&lt;&gt;0,L32/K32,1)</f>
        <v>1</v>
      </c>
      <c r="N32" s="481"/>
      <c r="O32" s="481"/>
      <c r="P32" s="24" t="str">
        <f>IF(AND(ABS(L32)&gt;=$C$23,ABS(M32)&gt;=$C$24),"是","否")</f>
        <v>是</v>
      </c>
      <c r="Q32" s="24"/>
      <c r="S32" s="93"/>
      <c r="U32" s="7"/>
      <c r="CH32" s="2"/>
      <c r="CI32" s="2"/>
      <c r="CJ32" s="2"/>
      <c r="CK32" s="21"/>
      <c r="CL32" s="21"/>
      <c r="CM32" s="21"/>
      <c r="CN32" s="21"/>
      <c r="CO32" s="21"/>
      <c r="CP32" s="21"/>
      <c r="CQ32" s="21"/>
      <c r="CR32" s="21"/>
      <c r="CS32" s="2"/>
      <c r="CT32" s="21"/>
      <c r="CU32" s="21"/>
      <c r="CV32" s="21"/>
      <c r="CW32" s="21"/>
      <c r="CX32" s="21"/>
      <c r="CY32" s="2"/>
      <c r="CZ32" s="2"/>
      <c r="DA32" s="2"/>
      <c r="DB32" s="2"/>
      <c r="DC32" s="2"/>
      <c r="DD32" s="2"/>
      <c r="DE32" s="2"/>
      <c r="DF32" s="2"/>
      <c r="DG32" s="2"/>
      <c r="DH32" s="23"/>
      <c r="DI32" s="2"/>
      <c r="DJ32" s="2"/>
    </row>
    <row r="33" spans="1:126" ht="12.6" customHeight="1">
      <c r="A33" s="77"/>
      <c r="B33" s="458"/>
      <c r="C33" s="458"/>
      <c r="D33" s="458"/>
      <c r="E33" s="404"/>
      <c r="F33" s="404"/>
      <c r="G33" s="403">
        <f>E33+F33</f>
        <v>0</v>
      </c>
      <c r="H33" s="408" t="str">
        <f>IF($G$35&lt;&gt;0,G33/$G$35,"")</f>
        <v/>
      </c>
      <c r="I33" s="405"/>
      <c r="J33" s="403">
        <f>G33+I33</f>
        <v>0</v>
      </c>
      <c r="K33" s="403"/>
      <c r="L33" s="403">
        <f t="shared" si="0"/>
        <v>0</v>
      </c>
      <c r="M33" s="408">
        <f t="shared" ref="M33" si="1">IF(K33&lt;&gt;0,L33/K33,1)</f>
        <v>1</v>
      </c>
      <c r="N33" s="481"/>
      <c r="O33" s="483"/>
      <c r="P33" s="24" t="str">
        <f>IF(AND(ABS(L33)&gt;=$C$23,ABS(M33)&gt;=$C$24),"是","否")</f>
        <v>是</v>
      </c>
      <c r="Q33" s="24"/>
      <c r="S33" s="93"/>
      <c r="U33" s="7"/>
      <c r="CH33" s="2"/>
      <c r="CI33" s="2"/>
      <c r="CJ33" s="2"/>
      <c r="CK33" s="21"/>
      <c r="CL33" s="21"/>
      <c r="CM33" s="21"/>
      <c r="CN33" s="21"/>
      <c r="CO33" s="21"/>
      <c r="CP33" s="21"/>
      <c r="CQ33" s="21"/>
      <c r="CR33" s="21"/>
      <c r="CS33" s="2"/>
      <c r="CT33" s="21"/>
      <c r="CU33" s="21"/>
      <c r="CV33" s="21"/>
      <c r="CW33" s="21"/>
      <c r="CX33" s="21"/>
      <c r="CY33" s="2"/>
      <c r="CZ33" s="2"/>
      <c r="DA33" s="2"/>
      <c r="DB33" s="2"/>
      <c r="DC33" s="2"/>
      <c r="DD33" s="2"/>
      <c r="DE33" s="2"/>
      <c r="DF33" s="2"/>
      <c r="DG33" s="2"/>
      <c r="DH33" s="23"/>
      <c r="DI33" s="2"/>
      <c r="DJ33" s="2"/>
    </row>
    <row r="34" spans="1:126" s="5" customFormat="1" ht="12" customHeight="1">
      <c r="A34" s="80"/>
      <c r="B34" s="126"/>
      <c r="C34" s="127"/>
      <c r="D34" s="128"/>
      <c r="E34" s="128"/>
      <c r="F34" s="128"/>
      <c r="G34" s="35"/>
      <c r="H34" s="35"/>
      <c r="I34" s="35"/>
      <c r="J34" s="35"/>
      <c r="K34" s="35"/>
      <c r="L34" s="129"/>
      <c r="M34" s="90"/>
      <c r="N34" s="484"/>
      <c r="O34" s="485"/>
      <c r="P34" s="484"/>
      <c r="Q34" s="484"/>
      <c r="S34" s="96"/>
      <c r="CH34" s="2"/>
      <c r="CI34" s="2"/>
      <c r="CJ34" s="2"/>
      <c r="CK34" s="21"/>
      <c r="CL34" s="21"/>
      <c r="CM34" s="21"/>
      <c r="CN34" s="21"/>
      <c r="CO34" s="21"/>
      <c r="CP34" s="21"/>
      <c r="CQ34" s="21"/>
      <c r="CR34" s="21"/>
      <c r="CS34" s="2"/>
      <c r="CT34" s="21"/>
      <c r="CU34" s="21"/>
      <c r="CV34" s="21"/>
      <c r="CW34" s="21"/>
      <c r="CX34" s="21"/>
      <c r="CY34" s="2"/>
      <c r="CZ34" s="2"/>
      <c r="DA34" s="2"/>
      <c r="DB34" s="2"/>
      <c r="DC34" s="2"/>
      <c r="DD34" s="2"/>
      <c r="DE34" s="2"/>
      <c r="DF34" s="2"/>
      <c r="DG34" s="2"/>
      <c r="DH34" s="23"/>
      <c r="DI34" s="2"/>
      <c r="DJ34" s="2"/>
    </row>
    <row r="35" spans="1:126" s="5" customFormat="1" ht="12.6" customHeight="1">
      <c r="A35" s="80"/>
      <c r="B35" s="28"/>
      <c r="C35" s="29"/>
      <c r="D35" s="30" t="s">
        <v>111</v>
      </c>
      <c r="E35" s="406">
        <f t="shared" ref="E35:K35" si="2">SUM(E30:E34)</f>
        <v>0</v>
      </c>
      <c r="F35" s="406">
        <f t="shared" si="2"/>
        <v>0</v>
      </c>
      <c r="G35" s="406">
        <f t="shared" si="2"/>
        <v>0</v>
      </c>
      <c r="H35" s="407">
        <f t="shared" si="2"/>
        <v>0</v>
      </c>
      <c r="I35" s="406">
        <f t="shared" si="2"/>
        <v>0</v>
      </c>
      <c r="J35" s="406">
        <f t="shared" si="2"/>
        <v>0</v>
      </c>
      <c r="K35" s="406">
        <f t="shared" si="2"/>
        <v>0</v>
      </c>
      <c r="L35" s="406">
        <f>J35-K35</f>
        <v>0</v>
      </c>
      <c r="M35" s="409">
        <f>IF(K35&lt;&gt;0,L35/K35,1)</f>
        <v>1</v>
      </c>
      <c r="N35" s="486"/>
      <c r="O35" s="487"/>
      <c r="P35" s="24" t="str">
        <f>IF(AND(ABS(L35)&gt;=$C$23,ABS(M35)&gt;=$C$24),"是","否")</f>
        <v>是</v>
      </c>
      <c r="Q35" s="24"/>
      <c r="S35" s="97"/>
      <c r="CI35" s="3"/>
      <c r="CJ35" s="3"/>
      <c r="CK35" s="3"/>
      <c r="CL35" s="22"/>
      <c r="CM35" s="22"/>
      <c r="CN35" s="22"/>
      <c r="CO35" s="22"/>
      <c r="CP35" s="22"/>
      <c r="CQ35" s="22"/>
      <c r="CR35" s="22"/>
      <c r="CS35" s="22"/>
      <c r="CT35" s="3"/>
      <c r="CU35" s="22"/>
      <c r="CV35" s="22"/>
      <c r="CW35" s="22"/>
      <c r="CX35" s="22"/>
      <c r="CY35" s="22"/>
      <c r="CZ35" s="3"/>
      <c r="DA35" s="3"/>
      <c r="DB35" s="3"/>
      <c r="DC35" s="3"/>
      <c r="DD35" s="3"/>
      <c r="DE35" s="3"/>
      <c r="DF35" s="3"/>
      <c r="DG35" s="3"/>
      <c r="DH35" s="3"/>
      <c r="DI35" s="31"/>
      <c r="DJ35" s="3"/>
      <c r="DK35" s="3"/>
    </row>
    <row r="36" spans="1:126" s="5" customFormat="1" ht="12.6" customHeight="1">
      <c r="A36" s="80"/>
      <c r="B36" s="28"/>
      <c r="C36" s="32"/>
      <c r="D36" s="29"/>
      <c r="E36" s="17" t="s">
        <v>54</v>
      </c>
      <c r="F36" s="17" t="s">
        <v>54</v>
      </c>
      <c r="G36" s="17" t="s">
        <v>54</v>
      </c>
      <c r="H36" s="17"/>
      <c r="I36" s="17" t="s">
        <v>54</v>
      </c>
      <c r="J36" s="17" t="s">
        <v>54</v>
      </c>
      <c r="K36" s="17" t="s">
        <v>54</v>
      </c>
      <c r="L36" s="46"/>
      <c r="M36" s="34"/>
      <c r="N36" s="34"/>
      <c r="O36" s="35"/>
      <c r="P36" s="34"/>
      <c r="Q36" s="34"/>
      <c r="R36" s="7"/>
      <c r="S36" s="93"/>
      <c r="CK36" s="2"/>
      <c r="CL36" s="2"/>
      <c r="CM36" s="2"/>
      <c r="CN36" s="21"/>
      <c r="CO36" s="21"/>
      <c r="CP36" s="21"/>
      <c r="CQ36" s="21"/>
      <c r="CR36" s="21"/>
      <c r="CS36" s="21"/>
      <c r="CT36" s="21"/>
      <c r="CU36" s="21"/>
      <c r="CV36" s="2"/>
      <c r="CW36" s="21"/>
      <c r="CX36" s="21"/>
      <c r="CY36" s="21"/>
      <c r="CZ36" s="21"/>
      <c r="DA36" s="21"/>
      <c r="DB36" s="2"/>
      <c r="DC36" s="2"/>
      <c r="DD36" s="2"/>
      <c r="DE36" s="2"/>
      <c r="DF36" s="2"/>
      <c r="DG36" s="2"/>
      <c r="DH36" s="2"/>
      <c r="DI36" s="2"/>
      <c r="DJ36" s="2"/>
      <c r="DK36" s="23"/>
      <c r="DL36" s="2"/>
      <c r="DM36" s="2"/>
    </row>
    <row r="37" spans="1:126" s="5" customFormat="1" ht="12.6" customHeight="1">
      <c r="A37" s="80"/>
      <c r="B37" s="28"/>
      <c r="C37" s="4"/>
      <c r="D37" s="212"/>
      <c r="E37" s="32"/>
      <c r="F37" s="36" t="s">
        <v>46</v>
      </c>
      <c r="G37" s="33"/>
      <c r="J37" s="33"/>
      <c r="K37" s="33"/>
      <c r="L37" s="33"/>
      <c r="M37" s="34"/>
      <c r="N37" s="34"/>
      <c r="O37" s="35"/>
      <c r="P37" s="34"/>
      <c r="Q37" s="34"/>
      <c r="R37" s="7"/>
      <c r="S37" s="97"/>
      <c r="CK37" s="2"/>
      <c r="CL37" s="2"/>
      <c r="CM37" s="2"/>
      <c r="CN37" s="21"/>
      <c r="CO37" s="21"/>
      <c r="CP37" s="21"/>
      <c r="CQ37" s="21"/>
      <c r="CR37" s="21"/>
      <c r="CS37" s="21"/>
      <c r="CT37" s="21"/>
      <c r="CU37" s="21"/>
      <c r="CV37" s="2"/>
      <c r="CW37" s="21"/>
      <c r="CX37" s="21"/>
      <c r="CY37" s="21"/>
      <c r="CZ37" s="21"/>
      <c r="DA37" s="21"/>
      <c r="DB37" s="2"/>
      <c r="DC37" s="2"/>
      <c r="DD37" s="2"/>
      <c r="DE37" s="2"/>
      <c r="DF37" s="2"/>
      <c r="DG37" s="2"/>
      <c r="DH37" s="2"/>
      <c r="DI37" s="2"/>
      <c r="DJ37" s="2"/>
      <c r="DK37" s="23"/>
      <c r="DL37" s="2"/>
      <c r="DM37" s="2"/>
    </row>
    <row r="38" spans="1:126" s="5" customFormat="1" ht="12.6" customHeight="1">
      <c r="A38" s="80"/>
      <c r="B38" s="28"/>
      <c r="C38" s="4" t="s">
        <v>112</v>
      </c>
      <c r="D38" s="59"/>
      <c r="E38" s="32"/>
      <c r="F38" s="37" t="s">
        <v>113</v>
      </c>
      <c r="G38" s="38">
        <f>G35-G37</f>
        <v>0</v>
      </c>
      <c r="H38" s="140"/>
      <c r="J38" s="38">
        <f>J35-J37</f>
        <v>0</v>
      </c>
      <c r="K38" s="38">
        <f>K35-K37</f>
        <v>0</v>
      </c>
      <c r="L38" s="33"/>
      <c r="M38" s="34"/>
      <c r="N38" s="34"/>
      <c r="O38" s="28"/>
      <c r="P38" s="34"/>
      <c r="Q38" s="35"/>
      <c r="S38" s="97"/>
      <c r="CI38" s="2"/>
      <c r="CJ38" s="2"/>
      <c r="CK38" s="2"/>
      <c r="CL38" s="21"/>
      <c r="CM38" s="21"/>
      <c r="CN38" s="21"/>
      <c r="CO38" s="21"/>
      <c r="CP38" s="21"/>
      <c r="CQ38" s="21"/>
      <c r="CR38" s="21"/>
      <c r="CS38" s="21"/>
      <c r="CT38" s="2"/>
      <c r="CU38" s="21"/>
      <c r="CV38" s="21"/>
      <c r="CW38" s="21"/>
      <c r="CX38" s="21"/>
      <c r="CY38" s="21"/>
      <c r="CZ38" s="2"/>
      <c r="DA38" s="2"/>
      <c r="DB38" s="2"/>
      <c r="DC38" s="2"/>
      <c r="DD38" s="2"/>
      <c r="DE38" s="2"/>
      <c r="DF38" s="2"/>
      <c r="DG38" s="2"/>
      <c r="DH38" s="2"/>
      <c r="DI38" s="23"/>
      <c r="DJ38" s="2"/>
      <c r="DK38" s="2"/>
    </row>
    <row r="39" spans="1:126" s="5" customFormat="1" ht="12.6" customHeight="1">
      <c r="A39" s="80"/>
      <c r="B39" s="28"/>
      <c r="C39" s="48"/>
      <c r="D39" s="47"/>
      <c r="E39" s="47"/>
      <c r="F39" s="49"/>
      <c r="G39" s="37"/>
      <c r="H39" s="38"/>
      <c r="I39" s="38"/>
      <c r="J39" s="33"/>
      <c r="L39" s="38"/>
      <c r="M39" s="38"/>
      <c r="N39" s="33"/>
      <c r="O39" s="33"/>
      <c r="P39" s="34"/>
      <c r="Q39" s="28"/>
      <c r="R39" s="34"/>
      <c r="S39" s="97"/>
      <c r="CK39" s="2"/>
      <c r="CL39" s="2"/>
      <c r="CM39" s="2"/>
      <c r="CN39" s="21"/>
      <c r="CO39" s="21"/>
      <c r="CP39" s="21"/>
      <c r="CQ39" s="21"/>
      <c r="CR39" s="21"/>
      <c r="CS39" s="21"/>
      <c r="CT39" s="21"/>
      <c r="CU39" s="21"/>
      <c r="CV39" s="2"/>
      <c r="CW39" s="21"/>
      <c r="CX39" s="21"/>
      <c r="CY39" s="21"/>
      <c r="CZ39" s="21"/>
      <c r="DA39" s="21"/>
      <c r="DB39" s="2"/>
      <c r="DC39" s="2"/>
      <c r="DD39" s="2"/>
      <c r="DE39" s="2"/>
      <c r="DF39" s="2"/>
      <c r="DG39" s="2"/>
      <c r="DH39" s="2"/>
      <c r="DI39" s="2"/>
      <c r="DJ39" s="2"/>
      <c r="DK39" s="23"/>
      <c r="DL39" s="2"/>
      <c r="DM39" s="2"/>
    </row>
    <row r="40" spans="1:126" s="4" customFormat="1" ht="13.35" customHeight="1">
      <c r="A40" s="84"/>
      <c r="B40" s="243" t="s">
        <v>114</v>
      </c>
      <c r="F40" s="18"/>
      <c r="G40" s="19"/>
      <c r="J40" s="18"/>
      <c r="S40" s="98"/>
      <c r="CU40" s="12"/>
      <c r="CV40" s="12"/>
      <c r="CW40" s="12"/>
      <c r="CX40" s="12"/>
      <c r="CY40" s="12"/>
      <c r="CZ40" s="12"/>
      <c r="DA40" s="12"/>
      <c r="DD40" s="12"/>
      <c r="DE40" s="12"/>
      <c r="DF40" s="12"/>
      <c r="DG40" s="12"/>
      <c r="DH40" s="12"/>
      <c r="DR40" s="13"/>
    </row>
    <row r="41" spans="1:126" s="6" customFormat="1" ht="12.6" customHeight="1">
      <c r="A41" s="81"/>
      <c r="B41" s="539" t="s">
        <v>115</v>
      </c>
      <c r="C41" s="540"/>
      <c r="D41" s="540"/>
      <c r="E41" s="540"/>
      <c r="F41" s="541"/>
      <c r="G41" s="20"/>
      <c r="H41" s="20"/>
      <c r="I41" s="20"/>
      <c r="J41" s="20"/>
      <c r="S41" s="99"/>
      <c r="CM41" s="4"/>
      <c r="CN41" s="4"/>
      <c r="CO41" s="4"/>
      <c r="CP41" s="12"/>
      <c r="CQ41" s="12"/>
      <c r="CR41" s="12"/>
      <c r="CS41" s="12"/>
      <c r="CT41" s="12"/>
      <c r="CU41" s="12"/>
      <c r="CV41" s="12"/>
      <c r="CW41" s="4"/>
      <c r="CX41" s="4"/>
      <c r="CY41" s="12"/>
      <c r="CZ41" s="12"/>
      <c r="DA41" s="12"/>
      <c r="DB41" s="12"/>
      <c r="DC41" s="12"/>
      <c r="DD41" s="4"/>
      <c r="DE41" s="4"/>
      <c r="DF41" s="4"/>
      <c r="DG41" s="4"/>
      <c r="DH41" s="4"/>
      <c r="DI41" s="4"/>
      <c r="DJ41" s="4"/>
      <c r="DK41" s="4"/>
      <c r="DL41" s="4"/>
      <c r="DM41" s="13"/>
      <c r="DN41" s="4"/>
      <c r="DO41" s="4"/>
    </row>
    <row r="42" spans="1:126" s="6" customFormat="1" ht="12.6" customHeight="1">
      <c r="A42" s="82"/>
      <c r="B42" s="542"/>
      <c r="C42" s="543"/>
      <c r="D42" s="543"/>
      <c r="E42" s="543"/>
      <c r="F42" s="544"/>
      <c r="G42" s="20"/>
      <c r="H42" s="20"/>
      <c r="I42" s="20"/>
      <c r="J42" s="20"/>
      <c r="S42" s="99"/>
      <c r="CM42" s="4"/>
      <c r="CN42" s="4"/>
      <c r="CO42" s="4"/>
      <c r="CP42" s="12"/>
      <c r="CQ42" s="12"/>
      <c r="CR42" s="12"/>
      <c r="CS42" s="12"/>
      <c r="CT42" s="12"/>
      <c r="CU42" s="12"/>
      <c r="CV42" s="12"/>
      <c r="CW42" s="4"/>
      <c r="CX42" s="4"/>
      <c r="CY42" s="12"/>
      <c r="CZ42" s="12"/>
      <c r="DA42" s="12"/>
      <c r="DB42" s="12"/>
      <c r="DC42" s="12"/>
      <c r="DD42" s="4"/>
      <c r="DE42" s="4"/>
      <c r="DF42" s="4"/>
      <c r="DG42" s="4"/>
      <c r="DH42" s="4"/>
      <c r="DI42" s="4"/>
      <c r="DJ42" s="4"/>
      <c r="DK42" s="4"/>
      <c r="DL42" s="4"/>
      <c r="DM42" s="13"/>
      <c r="DN42" s="4"/>
      <c r="DO42" s="4"/>
    </row>
    <row r="43" spans="1:126" s="6" customFormat="1" ht="12.6" customHeight="1">
      <c r="A43" s="82"/>
      <c r="B43" s="545"/>
      <c r="C43" s="546"/>
      <c r="D43" s="546"/>
      <c r="E43" s="546"/>
      <c r="F43" s="547"/>
      <c r="G43" s="20"/>
      <c r="H43" s="20"/>
      <c r="I43" s="20"/>
      <c r="J43" s="20"/>
      <c r="S43" s="99"/>
      <c r="CM43" s="4"/>
      <c r="CN43" s="4"/>
      <c r="CO43" s="4"/>
      <c r="CP43" s="12"/>
      <c r="CQ43" s="12"/>
      <c r="CR43" s="12"/>
      <c r="CS43" s="12"/>
      <c r="CT43" s="12"/>
      <c r="CU43" s="12"/>
      <c r="CV43" s="12"/>
      <c r="CW43" s="4"/>
      <c r="CX43" s="4"/>
      <c r="CY43" s="12"/>
      <c r="CZ43" s="12"/>
      <c r="DA43" s="12"/>
      <c r="DB43" s="12"/>
      <c r="DC43" s="12"/>
      <c r="DD43" s="4"/>
      <c r="DE43" s="4"/>
      <c r="DF43" s="4"/>
      <c r="DG43" s="4"/>
      <c r="DH43" s="4"/>
      <c r="DI43" s="4"/>
      <c r="DJ43" s="4"/>
      <c r="DK43" s="4"/>
      <c r="DL43" s="4"/>
      <c r="DM43" s="4"/>
      <c r="DN43" s="4"/>
      <c r="DO43" s="4"/>
    </row>
    <row r="44" spans="1:126" s="8" customFormat="1" ht="12.6" customHeight="1">
      <c r="A44" s="83"/>
      <c r="B44" s="51"/>
      <c r="C44" s="26"/>
      <c r="D44" s="26"/>
      <c r="E44" s="26"/>
      <c r="F44" s="52"/>
      <c r="G44" s="52"/>
      <c r="H44" s="1"/>
      <c r="I44" s="1"/>
      <c r="J44" s="1"/>
      <c r="K44" s="1"/>
      <c r="L44" s="1"/>
      <c r="M44" s="1"/>
      <c r="N44" s="9"/>
      <c r="O44" s="9"/>
      <c r="P44" s="9"/>
      <c r="Q44" s="9"/>
      <c r="R44" s="9"/>
      <c r="S44" s="100"/>
      <c r="V44" s="54"/>
      <c r="W44" s="54"/>
      <c r="X44" s="55"/>
      <c r="CT44" s="40"/>
      <c r="CU44" s="40"/>
      <c r="CV44" s="40"/>
      <c r="CW44" s="21"/>
      <c r="CX44" s="21"/>
      <c r="CY44" s="21"/>
      <c r="CZ44" s="21"/>
      <c r="DA44" s="21"/>
      <c r="DB44" s="21"/>
      <c r="DC44" s="21"/>
      <c r="DD44" s="21"/>
      <c r="DE44" s="40"/>
      <c r="DF44" s="21"/>
      <c r="DG44" s="21"/>
      <c r="DH44" s="21"/>
      <c r="DI44" s="21"/>
      <c r="DJ44" s="21"/>
      <c r="DK44" s="40"/>
      <c r="DL44" s="40"/>
      <c r="DM44" s="40"/>
      <c r="DN44" s="40"/>
      <c r="DO44" s="40"/>
      <c r="DP44" s="40"/>
      <c r="DQ44" s="40"/>
      <c r="DR44" s="40"/>
      <c r="DS44" s="40"/>
      <c r="DT44" s="42"/>
      <c r="DU44" s="40"/>
      <c r="DV44" s="40"/>
    </row>
    <row r="45" spans="1:126" s="8" customFormat="1" ht="12.6" customHeight="1">
      <c r="A45" s="63"/>
      <c r="B45" s="51"/>
      <c r="C45" s="26"/>
      <c r="D45" s="26"/>
      <c r="E45" s="26"/>
      <c r="F45" s="52"/>
      <c r="G45" s="52"/>
      <c r="H45" s="1"/>
      <c r="I45" s="1"/>
      <c r="J45" s="1"/>
      <c r="K45" s="1"/>
      <c r="L45" s="1"/>
      <c r="M45" s="1"/>
      <c r="N45" s="9"/>
      <c r="O45" s="9"/>
      <c r="P45" s="9"/>
      <c r="Q45" s="9"/>
      <c r="R45" s="9"/>
      <c r="S45" s="100"/>
      <c r="V45" s="54"/>
      <c r="W45" s="54"/>
      <c r="X45" s="55"/>
      <c r="CT45" s="40"/>
      <c r="CU45" s="40"/>
      <c r="CV45" s="40"/>
      <c r="CW45" s="21"/>
      <c r="CX45" s="21"/>
      <c r="CY45" s="21"/>
      <c r="CZ45" s="21"/>
      <c r="DA45" s="21"/>
      <c r="DB45" s="21"/>
      <c r="DC45" s="21"/>
      <c r="DD45" s="21"/>
      <c r="DE45" s="40"/>
      <c r="DF45" s="21"/>
      <c r="DG45" s="21"/>
      <c r="DH45" s="21"/>
      <c r="DI45" s="21"/>
      <c r="DJ45" s="21"/>
      <c r="DK45" s="40"/>
      <c r="DL45" s="40"/>
      <c r="DM45" s="40"/>
      <c r="DN45" s="40"/>
      <c r="DO45" s="40"/>
      <c r="DP45" s="40"/>
      <c r="DQ45" s="40"/>
      <c r="DR45" s="40"/>
      <c r="DS45" s="40"/>
      <c r="DT45" s="42"/>
      <c r="DU45" s="40"/>
      <c r="DV45" s="40"/>
    </row>
    <row r="46" spans="1:126" s="8" customFormat="1" ht="15.6">
      <c r="A46" s="63"/>
      <c r="B46" s="236" t="s">
        <v>116</v>
      </c>
      <c r="C46" s="11"/>
      <c r="D46" s="11"/>
      <c r="E46" s="7"/>
      <c r="F46" s="92"/>
      <c r="G46" s="52"/>
      <c r="H46" s="1"/>
      <c r="I46" s="1"/>
      <c r="J46" s="1"/>
      <c r="K46" s="1"/>
      <c r="L46" s="1"/>
      <c r="M46" s="1"/>
      <c r="N46" s="9"/>
      <c r="O46" s="9"/>
      <c r="P46" s="9"/>
      <c r="Q46" s="9"/>
      <c r="R46" s="9"/>
      <c r="S46" s="100"/>
      <c r="V46" s="54"/>
      <c r="W46" s="54"/>
      <c r="X46" s="55"/>
      <c r="CT46" s="40"/>
      <c r="CU46" s="40"/>
      <c r="CV46" s="40"/>
      <c r="CW46" s="21"/>
      <c r="CX46" s="21"/>
      <c r="CY46" s="21"/>
      <c r="CZ46" s="21"/>
      <c r="DA46" s="21"/>
      <c r="DB46" s="21"/>
      <c r="DC46" s="21"/>
      <c r="DD46" s="21"/>
      <c r="DE46" s="40"/>
      <c r="DF46" s="21"/>
      <c r="DG46" s="21"/>
      <c r="DH46" s="21"/>
      <c r="DI46" s="21"/>
      <c r="DJ46" s="21"/>
      <c r="DK46" s="40"/>
      <c r="DL46" s="40"/>
      <c r="DM46" s="40"/>
      <c r="DN46" s="40"/>
      <c r="DO46" s="40"/>
      <c r="DP46" s="40"/>
      <c r="DQ46" s="40"/>
      <c r="DR46" s="40"/>
      <c r="DS46" s="40"/>
      <c r="DT46" s="42"/>
      <c r="DU46" s="40"/>
      <c r="DV46" s="40"/>
    </row>
    <row r="47" spans="1:126" s="8" customFormat="1" ht="15">
      <c r="A47" s="63"/>
      <c r="B47" s="214" t="s">
        <v>117</v>
      </c>
      <c r="C47" s="25"/>
      <c r="D47" s="25"/>
      <c r="E47" s="213"/>
      <c r="F47" s="213"/>
      <c r="G47" s="52"/>
      <c r="H47" s="1"/>
      <c r="I47" s="1"/>
      <c r="J47" s="1"/>
      <c r="K47" s="1"/>
      <c r="L47" s="1"/>
      <c r="M47" s="1"/>
      <c r="N47" s="9"/>
      <c r="O47" s="9"/>
      <c r="P47" s="9"/>
      <c r="Q47" s="9"/>
      <c r="R47" s="9"/>
      <c r="S47" s="100"/>
      <c r="V47" s="54"/>
      <c r="W47" s="54"/>
      <c r="X47" s="55"/>
      <c r="CT47" s="40"/>
      <c r="CU47" s="40"/>
      <c r="CV47" s="40"/>
      <c r="CW47" s="21"/>
      <c r="CX47" s="21"/>
      <c r="CY47" s="21"/>
      <c r="CZ47" s="21"/>
      <c r="DA47" s="21"/>
      <c r="DB47" s="21"/>
      <c r="DC47" s="21"/>
      <c r="DD47" s="21"/>
      <c r="DE47" s="40"/>
      <c r="DF47" s="21"/>
      <c r="DG47" s="21"/>
      <c r="DH47" s="21"/>
      <c r="DI47" s="21"/>
      <c r="DJ47" s="21"/>
      <c r="DK47" s="40"/>
      <c r="DL47" s="40"/>
      <c r="DM47" s="40"/>
      <c r="DN47" s="40"/>
      <c r="DO47" s="40"/>
      <c r="DP47" s="40"/>
      <c r="DQ47" s="40"/>
      <c r="DR47" s="40"/>
      <c r="DS47" s="40"/>
      <c r="DT47" s="42"/>
      <c r="DU47" s="40"/>
      <c r="DV47" s="40"/>
    </row>
    <row r="48" spans="1:126" ht="12.6" customHeight="1">
      <c r="B48" s="223"/>
      <c r="C48" s="494"/>
      <c r="D48" s="224"/>
      <c r="E48" s="468"/>
      <c r="F48" s="469"/>
      <c r="S48" s="93"/>
      <c r="CU48" s="21"/>
      <c r="CV48" s="21"/>
      <c r="CW48" s="21"/>
      <c r="CX48" s="21"/>
      <c r="CY48" s="21"/>
      <c r="CZ48" s="2"/>
      <c r="DA48" s="2"/>
      <c r="DB48" s="2"/>
      <c r="DC48" s="2"/>
      <c r="DD48" s="21"/>
      <c r="DE48" s="21"/>
      <c r="DF48" s="21"/>
      <c r="DG48" s="21"/>
      <c r="DH48" s="21"/>
    </row>
    <row r="49" spans="1:112" ht="12.6" customHeight="1">
      <c r="B49" s="222"/>
      <c r="C49" s="443"/>
      <c r="D49" s="443"/>
      <c r="E49" s="470"/>
      <c r="F49" s="471"/>
      <c r="S49" s="93"/>
      <c r="CU49" s="21"/>
      <c r="CV49" s="21"/>
      <c r="CW49" s="21"/>
      <c r="CX49" s="21"/>
      <c r="CY49" s="21"/>
      <c r="CZ49" s="2"/>
      <c r="DA49" s="2"/>
      <c r="DB49" s="2"/>
      <c r="DC49" s="2"/>
      <c r="DD49" s="21"/>
      <c r="DE49" s="21"/>
      <c r="DF49" s="21"/>
      <c r="DG49" s="21"/>
      <c r="DH49" s="21"/>
    </row>
    <row r="50" spans="1:112" ht="12.6" customHeight="1">
      <c r="B50" s="222"/>
      <c r="C50" s="443"/>
      <c r="D50" s="443"/>
      <c r="E50" s="470"/>
      <c r="F50" s="471"/>
      <c r="S50" s="93"/>
      <c r="CU50" s="21"/>
      <c r="CV50" s="21"/>
      <c r="CW50" s="21"/>
      <c r="CX50" s="21"/>
      <c r="CY50" s="21"/>
      <c r="CZ50" s="2"/>
      <c r="DA50" s="2"/>
      <c r="DB50" s="2"/>
      <c r="DC50" s="2"/>
      <c r="DD50" s="21"/>
      <c r="DE50" s="21"/>
      <c r="DF50" s="21"/>
      <c r="DG50" s="21"/>
      <c r="DH50" s="21"/>
    </row>
    <row r="51" spans="1:112" ht="12.6" customHeight="1">
      <c r="B51" s="225"/>
      <c r="C51" s="472"/>
      <c r="D51" s="472"/>
      <c r="E51" s="472"/>
      <c r="F51" s="473"/>
      <c r="S51" s="93"/>
      <c r="CU51" s="21"/>
      <c r="CV51" s="21"/>
      <c r="CW51" s="21"/>
      <c r="CX51" s="21"/>
      <c r="CY51" s="21"/>
      <c r="CZ51" s="2"/>
      <c r="DA51" s="2"/>
      <c r="DB51" s="2"/>
      <c r="DC51" s="2"/>
      <c r="DD51" s="21"/>
      <c r="DE51" s="21"/>
      <c r="DF51" s="21"/>
      <c r="DG51" s="21"/>
      <c r="DH51" s="21"/>
    </row>
    <row r="52" spans="1:112" ht="15" customHeight="1">
      <c r="S52" s="93"/>
      <c r="CU52" s="21"/>
      <c r="CV52" s="21"/>
      <c r="CW52" s="21"/>
      <c r="CX52" s="21"/>
      <c r="CY52" s="21"/>
      <c r="CZ52" s="2"/>
      <c r="DA52" s="2"/>
      <c r="DB52" s="2"/>
      <c r="DC52" s="2"/>
      <c r="DD52" s="21"/>
      <c r="DE52" s="21"/>
      <c r="DF52" s="21"/>
      <c r="DG52" s="21"/>
      <c r="DH52" s="21"/>
    </row>
    <row r="53" spans="1:112" ht="7.5" customHeight="1">
      <c r="A53" s="101"/>
      <c r="B53" s="102"/>
      <c r="C53" s="93"/>
      <c r="D53" s="93"/>
      <c r="E53" s="93"/>
      <c r="F53" s="93"/>
      <c r="G53" s="93"/>
      <c r="H53" s="93"/>
      <c r="I53" s="93"/>
      <c r="J53" s="93"/>
      <c r="K53" s="93"/>
      <c r="L53" s="93"/>
      <c r="M53" s="93"/>
      <c r="N53" s="93"/>
      <c r="O53" s="93"/>
      <c r="P53" s="93"/>
      <c r="Q53" s="93"/>
      <c r="R53" s="93"/>
      <c r="S53" s="93"/>
      <c r="CU53" s="21"/>
      <c r="CV53" s="21"/>
      <c r="CW53" s="21"/>
      <c r="CX53" s="21"/>
      <c r="CY53" s="21"/>
      <c r="CZ53" s="2"/>
      <c r="DA53" s="2"/>
      <c r="DB53" s="2"/>
      <c r="DC53" s="2"/>
      <c r="DD53" s="21"/>
      <c r="DE53" s="21"/>
      <c r="DF53" s="21"/>
      <c r="DG53" s="21"/>
      <c r="DH53" s="21"/>
    </row>
    <row r="54" spans="1:112" ht="12.6" customHeight="1">
      <c r="CU54" s="21"/>
      <c r="CV54" s="21"/>
      <c r="CW54" s="21"/>
      <c r="CX54" s="21"/>
      <c r="CY54" s="21"/>
      <c r="CZ54" s="2"/>
      <c r="DA54" s="2"/>
      <c r="DB54" s="2"/>
      <c r="DC54" s="2"/>
      <c r="DD54" s="21"/>
      <c r="DE54" s="21"/>
      <c r="DF54" s="21"/>
      <c r="DG54" s="21"/>
      <c r="DH54" s="21"/>
    </row>
    <row r="55" spans="1:112" ht="12.6" customHeight="1">
      <c r="CU55" s="21"/>
      <c r="CV55" s="21"/>
      <c r="CW55" s="21"/>
      <c r="CX55" s="21"/>
      <c r="CY55" s="21"/>
      <c r="CZ55" s="2"/>
      <c r="DA55" s="2"/>
      <c r="DB55" s="2"/>
      <c r="DC55" s="2"/>
      <c r="DD55" s="21"/>
      <c r="DE55" s="21"/>
      <c r="DF55" s="21"/>
      <c r="DG55" s="21"/>
      <c r="DH55" s="21"/>
    </row>
    <row r="56" spans="1:112" ht="12.6" customHeight="1">
      <c r="CU56" s="21"/>
      <c r="CV56" s="21"/>
      <c r="CW56" s="21"/>
      <c r="CX56" s="21"/>
      <c r="CY56" s="21"/>
      <c r="CZ56" s="2"/>
      <c r="DA56" s="2"/>
      <c r="DB56" s="2"/>
      <c r="DC56" s="2"/>
      <c r="DD56" s="21"/>
      <c r="DE56" s="21"/>
      <c r="DF56" s="21"/>
      <c r="DG56" s="21"/>
      <c r="DH56" s="21"/>
    </row>
    <row r="57" spans="1:112" ht="12.6" customHeight="1">
      <c r="CU57" s="21"/>
      <c r="CV57" s="21"/>
      <c r="CW57" s="21"/>
      <c r="CX57" s="21"/>
      <c r="CY57" s="21"/>
      <c r="CZ57" s="2"/>
      <c r="DA57" s="2"/>
      <c r="DB57" s="2"/>
      <c r="DC57" s="2"/>
      <c r="DD57" s="21"/>
      <c r="DE57" s="21"/>
      <c r="DF57" s="21"/>
      <c r="DG57" s="21"/>
      <c r="DH57" s="21"/>
    </row>
    <row r="58" spans="1:112" ht="12.6" customHeight="1">
      <c r="CU58" s="21"/>
      <c r="CV58" s="21"/>
      <c r="CW58" s="21"/>
      <c r="CX58" s="21"/>
      <c r="CY58" s="21"/>
      <c r="CZ58" s="2"/>
      <c r="DA58" s="2"/>
      <c r="DB58" s="2"/>
      <c r="DC58" s="2"/>
      <c r="DD58" s="21"/>
      <c r="DE58" s="21"/>
      <c r="DF58" s="21"/>
      <c r="DG58" s="21"/>
      <c r="DH58" s="21"/>
    </row>
    <row r="59" spans="1:112" ht="12.6" customHeight="1">
      <c r="CU59" s="21"/>
      <c r="CV59" s="21"/>
      <c r="CW59" s="21"/>
      <c r="CX59" s="21"/>
      <c r="CY59" s="21"/>
      <c r="CZ59" s="2"/>
      <c r="DA59" s="2"/>
      <c r="DB59" s="2"/>
      <c r="DC59" s="2"/>
      <c r="DD59" s="21"/>
      <c r="DE59" s="21"/>
      <c r="DF59" s="21"/>
      <c r="DG59" s="21"/>
      <c r="DH59" s="21"/>
    </row>
    <row r="60" spans="1:112" ht="12.6" customHeight="1">
      <c r="CU60" s="21"/>
      <c r="CV60" s="21"/>
      <c r="CW60" s="21"/>
      <c r="CX60" s="21"/>
      <c r="CY60" s="21"/>
      <c r="CZ60" s="2"/>
      <c r="DA60" s="2"/>
      <c r="DB60" s="2"/>
      <c r="DC60" s="2"/>
      <c r="DD60" s="21"/>
      <c r="DE60" s="21"/>
      <c r="DF60" s="21"/>
      <c r="DG60" s="21"/>
      <c r="DH60" s="21"/>
    </row>
    <row r="61" spans="1:112" ht="12.6" customHeight="1">
      <c r="CU61" s="21"/>
      <c r="CV61" s="21"/>
      <c r="CW61" s="21"/>
      <c r="CX61" s="21"/>
      <c r="CY61" s="21"/>
      <c r="CZ61" s="2"/>
      <c r="DA61" s="2"/>
      <c r="DB61" s="2"/>
      <c r="DC61" s="2"/>
      <c r="DD61" s="21"/>
      <c r="DE61" s="21"/>
      <c r="DF61" s="21"/>
      <c r="DG61" s="21"/>
      <c r="DH61" s="21"/>
    </row>
    <row r="62" spans="1:112" ht="12.6" customHeight="1">
      <c r="CU62" s="21"/>
      <c r="CV62" s="21"/>
      <c r="CW62" s="21"/>
      <c r="CX62" s="21"/>
      <c r="CY62" s="21"/>
      <c r="CZ62" s="2"/>
      <c r="DA62" s="2"/>
      <c r="DB62" s="2"/>
      <c r="DC62" s="2"/>
      <c r="DD62" s="21"/>
      <c r="DE62" s="21"/>
      <c r="DF62" s="21"/>
      <c r="DG62" s="21"/>
      <c r="DH62" s="21"/>
    </row>
    <row r="63" spans="1:112" ht="12.6" customHeight="1">
      <c r="CU63" s="21"/>
      <c r="CV63" s="21"/>
      <c r="CW63" s="21"/>
      <c r="CX63" s="21"/>
      <c r="CY63" s="21"/>
      <c r="CZ63" s="2"/>
      <c r="DA63" s="2"/>
      <c r="DB63" s="2"/>
      <c r="DC63" s="2"/>
      <c r="DD63" s="21"/>
      <c r="DE63" s="21"/>
      <c r="DF63" s="21"/>
      <c r="DG63" s="21"/>
      <c r="DH63" s="21"/>
    </row>
    <row r="64" spans="1:112" ht="12.6" customHeight="1">
      <c r="CU64" s="21"/>
      <c r="CV64" s="21"/>
      <c r="CW64" s="21"/>
      <c r="CX64" s="21"/>
      <c r="CY64" s="21"/>
      <c r="CZ64" s="2"/>
      <c r="DA64" s="2"/>
      <c r="DB64" s="2"/>
      <c r="DC64" s="2"/>
      <c r="DD64" s="21"/>
      <c r="DE64" s="21"/>
      <c r="DF64" s="21"/>
      <c r="DG64" s="21"/>
      <c r="DH64" s="21"/>
    </row>
    <row r="65" spans="99:112" ht="12.6" customHeight="1">
      <c r="CU65" s="21"/>
      <c r="CV65" s="21"/>
      <c r="CW65" s="21"/>
      <c r="CX65" s="21"/>
      <c r="CY65" s="21"/>
      <c r="CZ65" s="2"/>
      <c r="DA65" s="2"/>
      <c r="DB65" s="2"/>
      <c r="DC65" s="2"/>
      <c r="DD65" s="21"/>
      <c r="DE65" s="21"/>
      <c r="DF65" s="21"/>
      <c r="DG65" s="21"/>
      <c r="DH65" s="21"/>
    </row>
    <row r="66" spans="99:112" ht="12.6" customHeight="1">
      <c r="CU66" s="21"/>
      <c r="CV66" s="21"/>
      <c r="CW66" s="21"/>
      <c r="CX66" s="21"/>
      <c r="CY66" s="21"/>
      <c r="CZ66" s="2"/>
      <c r="DA66" s="2"/>
      <c r="DB66" s="2"/>
      <c r="DC66" s="2"/>
      <c r="DD66" s="21"/>
      <c r="DE66" s="21"/>
      <c r="DF66" s="21"/>
      <c r="DG66" s="21"/>
      <c r="DH66" s="21"/>
    </row>
    <row r="67" spans="99:112" ht="12.6" customHeight="1">
      <c r="CU67" s="21"/>
      <c r="CV67" s="21"/>
      <c r="CW67" s="21"/>
      <c r="CX67" s="21"/>
      <c r="CY67" s="21"/>
      <c r="CZ67" s="2"/>
      <c r="DA67" s="2"/>
      <c r="DB67" s="2"/>
      <c r="DC67" s="2"/>
      <c r="DD67" s="21"/>
      <c r="DE67" s="21"/>
      <c r="DF67" s="21"/>
      <c r="DG67" s="21"/>
      <c r="DH67" s="21"/>
    </row>
    <row r="68" spans="99:112" ht="12.6" customHeight="1">
      <c r="CU68" s="21"/>
      <c r="CV68" s="21"/>
      <c r="CW68" s="21"/>
      <c r="CX68" s="21"/>
      <c r="CY68" s="21"/>
      <c r="CZ68" s="2"/>
      <c r="DA68" s="2"/>
      <c r="DB68" s="2"/>
      <c r="DC68" s="2"/>
      <c r="DD68" s="21"/>
      <c r="DE68" s="21"/>
      <c r="DF68" s="21"/>
      <c r="DG68" s="21"/>
      <c r="DH68" s="21"/>
    </row>
    <row r="69" spans="99:112" ht="12.6" customHeight="1">
      <c r="CU69" s="21"/>
      <c r="CV69" s="21"/>
      <c r="CW69" s="21"/>
      <c r="CX69" s="21"/>
      <c r="CY69" s="21"/>
      <c r="CZ69" s="2"/>
      <c r="DA69" s="2"/>
      <c r="DB69" s="2"/>
      <c r="DC69" s="2"/>
      <c r="DD69" s="21"/>
      <c r="DE69" s="21"/>
      <c r="DF69" s="21"/>
      <c r="DG69" s="21"/>
      <c r="DH69" s="21"/>
    </row>
    <row r="70" spans="99:112" ht="12.6" customHeight="1">
      <c r="CU70" s="21"/>
      <c r="CV70" s="21"/>
      <c r="CW70" s="21"/>
      <c r="CX70" s="21"/>
      <c r="CY70" s="21"/>
      <c r="CZ70" s="2"/>
      <c r="DA70" s="2"/>
      <c r="DB70" s="2"/>
      <c r="DC70" s="2"/>
      <c r="DD70" s="21"/>
      <c r="DE70" s="21"/>
      <c r="DF70" s="21"/>
      <c r="DG70" s="21"/>
      <c r="DH70" s="21"/>
    </row>
    <row r="71" spans="99:112" ht="12.6" customHeight="1">
      <c r="CU71" s="21"/>
      <c r="CV71" s="21"/>
      <c r="CW71" s="21"/>
      <c r="CX71" s="21"/>
      <c r="CY71" s="21"/>
      <c r="CZ71" s="2"/>
      <c r="DA71" s="2"/>
      <c r="DB71" s="2"/>
      <c r="DC71" s="2"/>
      <c r="DD71" s="21"/>
      <c r="DE71" s="21"/>
      <c r="DF71" s="21"/>
      <c r="DG71" s="21"/>
      <c r="DH71" s="21"/>
    </row>
    <row r="72" spans="99:112" ht="12.6" customHeight="1">
      <c r="CU72" s="21"/>
      <c r="CV72" s="21"/>
      <c r="CW72" s="21"/>
      <c r="CX72" s="21"/>
      <c r="CY72" s="21"/>
      <c r="CZ72" s="2"/>
      <c r="DA72" s="2"/>
      <c r="DB72" s="2"/>
      <c r="DC72" s="2"/>
      <c r="DD72" s="21"/>
      <c r="DE72" s="21"/>
      <c r="DF72" s="21"/>
      <c r="DG72" s="21"/>
      <c r="DH72" s="21"/>
    </row>
    <row r="73" spans="99:112" ht="12.6" customHeight="1">
      <c r="CU73" s="21"/>
      <c r="CV73" s="21"/>
      <c r="CW73" s="21"/>
      <c r="CX73" s="21"/>
      <c r="CY73" s="21"/>
      <c r="CZ73" s="2"/>
      <c r="DA73" s="2"/>
      <c r="DB73" s="2"/>
      <c r="DC73" s="2"/>
      <c r="DD73" s="21"/>
      <c r="DE73" s="21"/>
      <c r="DF73" s="21"/>
      <c r="DG73" s="21"/>
      <c r="DH73" s="21"/>
    </row>
    <row r="74" spans="99:112" ht="12.6" customHeight="1">
      <c r="CU74" s="21"/>
      <c r="CV74" s="21"/>
      <c r="CW74" s="21"/>
      <c r="CX74" s="21"/>
      <c r="CY74" s="21"/>
      <c r="CZ74" s="2"/>
      <c r="DA74" s="2"/>
      <c r="DB74" s="2"/>
      <c r="DC74" s="2"/>
      <c r="DD74" s="21"/>
      <c r="DE74" s="21"/>
      <c r="DF74" s="21"/>
      <c r="DG74" s="21"/>
      <c r="DH74" s="21"/>
    </row>
    <row r="75" spans="99:112" ht="12.6" customHeight="1">
      <c r="CU75" s="21"/>
      <c r="CV75" s="21"/>
      <c r="CW75" s="21"/>
      <c r="CX75" s="21"/>
      <c r="CY75" s="21"/>
      <c r="CZ75" s="2"/>
      <c r="DA75" s="2"/>
      <c r="DB75" s="2"/>
      <c r="DC75" s="2"/>
      <c r="DD75" s="21"/>
      <c r="DE75" s="21"/>
      <c r="DF75" s="21"/>
      <c r="DG75" s="21"/>
      <c r="DH75" s="21"/>
    </row>
    <row r="76" spans="99:112" ht="12.6" customHeight="1">
      <c r="CU76" s="21"/>
      <c r="CV76" s="21"/>
      <c r="CW76" s="21"/>
      <c r="CX76" s="21"/>
      <c r="CY76" s="21"/>
      <c r="CZ76" s="2"/>
      <c r="DA76" s="2"/>
      <c r="DB76" s="2"/>
      <c r="DC76" s="2"/>
      <c r="DD76" s="21"/>
      <c r="DE76" s="21"/>
      <c r="DF76" s="21"/>
      <c r="DG76" s="21"/>
      <c r="DH76" s="21"/>
    </row>
    <row r="77" spans="99:112" ht="12.6" customHeight="1">
      <c r="CU77" s="21"/>
      <c r="CV77" s="21"/>
      <c r="CW77" s="21"/>
      <c r="CX77" s="21"/>
      <c r="CY77" s="21"/>
      <c r="CZ77" s="2"/>
      <c r="DA77" s="2"/>
      <c r="DB77" s="2"/>
      <c r="DC77" s="2"/>
      <c r="DD77" s="21"/>
      <c r="DE77" s="21"/>
      <c r="DF77" s="21"/>
      <c r="DG77" s="21"/>
      <c r="DH77" s="21"/>
    </row>
    <row r="78" spans="99:112" ht="12.6" customHeight="1">
      <c r="CU78" s="21"/>
      <c r="CV78" s="21"/>
      <c r="CW78" s="21"/>
      <c r="CX78" s="21"/>
      <c r="CY78" s="21"/>
      <c r="CZ78" s="2"/>
      <c r="DA78" s="2"/>
      <c r="DB78" s="2"/>
      <c r="DC78" s="2"/>
      <c r="DD78" s="21"/>
      <c r="DE78" s="21"/>
      <c r="DF78" s="21"/>
      <c r="DG78" s="21"/>
      <c r="DH78" s="21"/>
    </row>
    <row r="79" spans="99:112" ht="12.6" customHeight="1">
      <c r="CU79" s="21"/>
      <c r="CV79" s="21"/>
      <c r="CW79" s="21"/>
      <c r="CX79" s="21"/>
      <c r="CY79" s="21"/>
      <c r="CZ79" s="2"/>
      <c r="DA79" s="2"/>
      <c r="DB79" s="2"/>
      <c r="DC79" s="2"/>
      <c r="DD79" s="21"/>
      <c r="DE79" s="21"/>
      <c r="DF79" s="21"/>
      <c r="DG79" s="21"/>
      <c r="DH79" s="21"/>
    </row>
    <row r="80" spans="99:112" ht="12.6" customHeight="1">
      <c r="CU80" s="21"/>
      <c r="CV80" s="21"/>
      <c r="CW80" s="21"/>
      <c r="CX80" s="21"/>
      <c r="CY80" s="21"/>
      <c r="CZ80" s="2"/>
      <c r="DA80" s="2"/>
      <c r="DB80" s="2"/>
      <c r="DC80" s="2"/>
      <c r="DD80" s="21"/>
      <c r="DE80" s="21"/>
      <c r="DF80" s="21"/>
      <c r="DG80" s="21"/>
      <c r="DH80" s="21"/>
    </row>
    <row r="81" spans="99:112" ht="12.6" customHeight="1">
      <c r="CU81" s="21"/>
      <c r="CV81" s="21"/>
      <c r="CW81" s="21"/>
      <c r="CX81" s="21"/>
      <c r="CY81" s="21"/>
      <c r="CZ81" s="2"/>
      <c r="DA81" s="2"/>
      <c r="DB81" s="2"/>
      <c r="DC81" s="2"/>
      <c r="DD81" s="21"/>
      <c r="DE81" s="21"/>
      <c r="DF81" s="21"/>
      <c r="DG81" s="21"/>
      <c r="DH81" s="21"/>
    </row>
    <row r="82" spans="99:112" ht="12.6" customHeight="1">
      <c r="CU82" s="21"/>
      <c r="CV82" s="21"/>
      <c r="CW82" s="21"/>
      <c r="CX82" s="21"/>
      <c r="CY82" s="21"/>
      <c r="CZ82" s="2"/>
      <c r="DA82" s="2"/>
      <c r="DB82" s="2"/>
      <c r="DC82" s="2"/>
      <c r="DD82" s="21"/>
      <c r="DE82" s="21"/>
      <c r="DF82" s="21"/>
      <c r="DG82" s="21"/>
      <c r="DH82" s="21"/>
    </row>
    <row r="83" spans="99:112" ht="12.6" customHeight="1">
      <c r="CU83" s="21"/>
      <c r="CV83" s="21"/>
      <c r="CW83" s="21"/>
      <c r="CX83" s="21"/>
      <c r="CY83" s="21"/>
      <c r="CZ83" s="2"/>
      <c r="DA83" s="2"/>
      <c r="DB83" s="2"/>
      <c r="DC83" s="2"/>
      <c r="DD83" s="21"/>
      <c r="DE83" s="21"/>
      <c r="DF83" s="21"/>
      <c r="DG83" s="21"/>
      <c r="DH83" s="21"/>
    </row>
    <row r="84" spans="99:112" ht="12.6" customHeight="1">
      <c r="CU84" s="21"/>
      <c r="CV84" s="21"/>
      <c r="CW84" s="21"/>
      <c r="CX84" s="21"/>
      <c r="CY84" s="21"/>
      <c r="CZ84" s="2"/>
      <c r="DA84" s="2"/>
      <c r="DB84" s="2"/>
      <c r="DC84" s="2"/>
      <c r="DD84" s="21"/>
      <c r="DE84" s="21"/>
      <c r="DF84" s="21"/>
      <c r="DG84" s="21"/>
      <c r="DH84" s="21"/>
    </row>
    <row r="85" spans="99:112" ht="12.6" customHeight="1">
      <c r="CU85" s="21"/>
      <c r="CV85" s="21"/>
      <c r="CW85" s="21"/>
      <c r="CX85" s="21"/>
      <c r="CY85" s="21"/>
      <c r="CZ85" s="2"/>
      <c r="DA85" s="2"/>
      <c r="DB85" s="2"/>
      <c r="DC85" s="2"/>
      <c r="DD85" s="21"/>
      <c r="DE85" s="21"/>
      <c r="DF85" s="21"/>
      <c r="DG85" s="21"/>
      <c r="DH85" s="21"/>
    </row>
    <row r="86" spans="99:112" ht="12.6" customHeight="1">
      <c r="CU86" s="21"/>
      <c r="CV86" s="21"/>
      <c r="CW86" s="21"/>
      <c r="CX86" s="21"/>
      <c r="CY86" s="21"/>
      <c r="CZ86" s="2"/>
      <c r="DA86" s="2"/>
      <c r="DB86" s="2"/>
      <c r="DC86" s="2"/>
      <c r="DD86" s="21"/>
      <c r="DE86" s="21"/>
      <c r="DF86" s="21"/>
      <c r="DG86" s="21"/>
      <c r="DH86" s="21"/>
    </row>
    <row r="87" spans="99:112" ht="12.6" customHeight="1">
      <c r="CU87" s="21"/>
      <c r="CV87" s="21"/>
      <c r="CW87" s="21"/>
      <c r="CX87" s="21"/>
      <c r="CY87" s="21"/>
      <c r="CZ87" s="2"/>
      <c r="DA87" s="2"/>
      <c r="DB87" s="2"/>
      <c r="DC87" s="2"/>
      <c r="DD87" s="21"/>
      <c r="DE87" s="21"/>
      <c r="DF87" s="21"/>
      <c r="DG87" s="21"/>
      <c r="DH87" s="21"/>
    </row>
    <row r="88" spans="99:112" ht="12.6" customHeight="1">
      <c r="CU88" s="21"/>
      <c r="CV88" s="21"/>
      <c r="CW88" s="21"/>
      <c r="CX88" s="21"/>
      <c r="CY88" s="21"/>
      <c r="CZ88" s="2"/>
      <c r="DA88" s="2"/>
      <c r="DB88" s="2"/>
      <c r="DC88" s="2"/>
      <c r="DD88" s="21"/>
      <c r="DE88" s="21"/>
      <c r="DF88" s="21"/>
      <c r="DG88" s="21"/>
      <c r="DH88" s="21"/>
    </row>
    <row r="89" spans="99:112" ht="12.6" customHeight="1">
      <c r="CU89" s="21"/>
      <c r="CV89" s="21"/>
      <c r="CW89" s="21"/>
      <c r="CX89" s="21"/>
      <c r="CY89" s="21"/>
      <c r="CZ89" s="2"/>
      <c r="DA89" s="2"/>
      <c r="DB89" s="2"/>
      <c r="DC89" s="2"/>
      <c r="DD89" s="21"/>
      <c r="DE89" s="21"/>
      <c r="DF89" s="21"/>
      <c r="DG89" s="21"/>
      <c r="DH89" s="21"/>
    </row>
    <row r="90" spans="99:112" ht="12.6" customHeight="1">
      <c r="CU90" s="21"/>
      <c r="CV90" s="21"/>
      <c r="CW90" s="21"/>
      <c r="CX90" s="21"/>
      <c r="CY90" s="21"/>
      <c r="CZ90" s="2"/>
      <c r="DA90" s="2"/>
      <c r="DB90" s="2"/>
      <c r="DC90" s="2"/>
      <c r="DD90" s="21"/>
      <c r="DE90" s="21"/>
      <c r="DF90" s="21"/>
      <c r="DG90" s="21"/>
      <c r="DH90" s="21"/>
    </row>
    <row r="91" spans="99:112" ht="12.6" customHeight="1">
      <c r="CU91" s="21"/>
      <c r="CV91" s="21"/>
      <c r="CW91" s="21"/>
      <c r="CX91" s="21"/>
      <c r="CY91" s="21"/>
      <c r="CZ91" s="2"/>
      <c r="DA91" s="2"/>
      <c r="DB91" s="2"/>
      <c r="DC91" s="2"/>
      <c r="DD91" s="21"/>
      <c r="DE91" s="21"/>
      <c r="DF91" s="21"/>
      <c r="DG91" s="21"/>
      <c r="DH91" s="21"/>
    </row>
    <row r="92" spans="99:112" ht="12.6" customHeight="1">
      <c r="CU92" s="21"/>
      <c r="CV92" s="21"/>
      <c r="CW92" s="21"/>
      <c r="CX92" s="21"/>
      <c r="CY92" s="21"/>
      <c r="CZ92" s="2"/>
      <c r="DA92" s="2"/>
      <c r="DB92" s="2"/>
      <c r="DC92" s="2"/>
      <c r="DD92" s="21"/>
      <c r="DE92" s="21"/>
      <c r="DF92" s="21"/>
      <c r="DG92" s="21"/>
      <c r="DH92" s="21"/>
    </row>
    <row r="93" spans="99:112" ht="12.6" customHeight="1">
      <c r="CU93" s="21"/>
      <c r="CV93" s="21"/>
      <c r="CW93" s="21"/>
      <c r="CX93" s="21"/>
      <c r="CY93" s="21"/>
      <c r="CZ93" s="2"/>
      <c r="DA93" s="2"/>
      <c r="DB93" s="2"/>
      <c r="DC93" s="2"/>
      <c r="DD93" s="21"/>
      <c r="DE93" s="21"/>
      <c r="DF93" s="21"/>
      <c r="DG93" s="21"/>
      <c r="DH93" s="21"/>
    </row>
    <row r="94" spans="99:112" ht="12.6" customHeight="1">
      <c r="CU94" s="21"/>
      <c r="CV94" s="21"/>
      <c r="CW94" s="21"/>
      <c r="CX94" s="21"/>
      <c r="CY94" s="21"/>
      <c r="CZ94" s="2"/>
      <c r="DA94" s="2"/>
      <c r="DB94" s="2"/>
      <c r="DC94" s="2"/>
      <c r="DD94" s="21"/>
      <c r="DE94" s="21"/>
      <c r="DF94" s="21"/>
      <c r="DG94" s="21"/>
      <c r="DH94" s="21"/>
    </row>
    <row r="95" spans="99:112" ht="12.6" customHeight="1">
      <c r="CU95" s="21"/>
      <c r="CV95" s="21"/>
      <c r="CW95" s="21"/>
      <c r="CX95" s="21"/>
      <c r="CY95" s="21"/>
      <c r="CZ95" s="2"/>
      <c r="DA95" s="2"/>
      <c r="DB95" s="2"/>
      <c r="DC95" s="2"/>
      <c r="DD95" s="21"/>
      <c r="DE95" s="21"/>
      <c r="DF95" s="21"/>
      <c r="DG95" s="21"/>
      <c r="DH95" s="21"/>
    </row>
    <row r="96" spans="99:112" ht="12.6" customHeight="1">
      <c r="CU96" s="21"/>
      <c r="CV96" s="21"/>
      <c r="CW96" s="21"/>
      <c r="CX96" s="21"/>
      <c r="CY96" s="21"/>
      <c r="CZ96" s="2"/>
      <c r="DA96" s="2"/>
      <c r="DB96" s="2"/>
      <c r="DC96" s="2"/>
      <c r="DD96" s="21"/>
      <c r="DE96" s="21"/>
      <c r="DF96" s="21"/>
      <c r="DG96" s="21"/>
      <c r="DH96" s="21"/>
    </row>
    <row r="97" spans="99:112" ht="12.6" customHeight="1">
      <c r="CU97" s="21"/>
      <c r="CV97" s="21"/>
      <c r="CW97" s="21"/>
      <c r="CX97" s="21"/>
      <c r="CY97" s="21"/>
      <c r="CZ97" s="2"/>
      <c r="DA97" s="2"/>
      <c r="DB97" s="2"/>
      <c r="DC97" s="2"/>
      <c r="DD97" s="21"/>
      <c r="DE97" s="21"/>
      <c r="DF97" s="21"/>
      <c r="DG97" s="21"/>
      <c r="DH97" s="21"/>
    </row>
    <row r="98" spans="99:112" ht="12.6" customHeight="1">
      <c r="CU98" s="21"/>
      <c r="CV98" s="21"/>
      <c r="CW98" s="21"/>
      <c r="CX98" s="21"/>
      <c r="CY98" s="21"/>
      <c r="CZ98" s="2"/>
      <c r="DA98" s="2"/>
      <c r="DB98" s="2"/>
      <c r="DC98" s="2"/>
      <c r="DD98" s="21"/>
      <c r="DE98" s="21"/>
      <c r="DF98" s="21"/>
      <c r="DG98" s="21"/>
      <c r="DH98" s="21"/>
    </row>
    <row r="99" spans="99:112" ht="12.6" customHeight="1">
      <c r="CU99" s="21"/>
      <c r="CV99" s="21"/>
      <c r="CW99" s="21"/>
      <c r="CX99" s="21"/>
      <c r="CY99" s="21"/>
      <c r="CZ99" s="2"/>
      <c r="DA99" s="2"/>
      <c r="DB99" s="2"/>
      <c r="DC99" s="2"/>
      <c r="DD99" s="21"/>
      <c r="DE99" s="21"/>
      <c r="DF99" s="21"/>
      <c r="DG99" s="21"/>
      <c r="DH99" s="21"/>
    </row>
    <row r="100" spans="99:112" ht="12.6" customHeight="1">
      <c r="CU100" s="21"/>
      <c r="CV100" s="21"/>
      <c r="CW100" s="21"/>
      <c r="CX100" s="21"/>
      <c r="CY100" s="21"/>
      <c r="CZ100" s="2"/>
      <c r="DA100" s="2"/>
      <c r="DB100" s="2"/>
      <c r="DC100" s="2"/>
      <c r="DD100" s="21"/>
      <c r="DE100" s="21"/>
      <c r="DF100" s="21"/>
      <c r="DG100" s="21"/>
      <c r="DH100" s="21"/>
    </row>
    <row r="101" spans="99:112" ht="12.6" customHeight="1">
      <c r="CU101" s="21"/>
      <c r="CV101" s="21"/>
      <c r="CW101" s="21"/>
      <c r="CX101" s="21"/>
      <c r="CY101" s="21"/>
      <c r="CZ101" s="2"/>
      <c r="DA101" s="2"/>
      <c r="DB101" s="2"/>
      <c r="DC101" s="2"/>
      <c r="DD101" s="21"/>
      <c r="DE101" s="21"/>
      <c r="DF101" s="21"/>
      <c r="DG101" s="21"/>
      <c r="DH101" s="21"/>
    </row>
    <row r="102" spans="99:112" ht="12.6" customHeight="1">
      <c r="CU102" s="21"/>
      <c r="CV102" s="21"/>
      <c r="CW102" s="21"/>
      <c r="CX102" s="21"/>
      <c r="CY102" s="21"/>
      <c r="CZ102" s="2"/>
      <c r="DA102" s="2"/>
      <c r="DB102" s="2"/>
      <c r="DC102" s="2"/>
      <c r="DD102" s="21"/>
      <c r="DE102" s="21"/>
      <c r="DF102" s="21"/>
      <c r="DG102" s="21"/>
      <c r="DH102" s="21"/>
    </row>
    <row r="103" spans="99:112" ht="12.6" customHeight="1">
      <c r="CU103" s="21"/>
      <c r="CV103" s="21"/>
      <c r="CW103" s="21"/>
      <c r="CX103" s="21"/>
      <c r="CY103" s="21"/>
      <c r="CZ103" s="2"/>
      <c r="DA103" s="2"/>
      <c r="DB103" s="2"/>
      <c r="DC103" s="2"/>
      <c r="DD103" s="21"/>
      <c r="DE103" s="21"/>
      <c r="DF103" s="21"/>
      <c r="DG103" s="21"/>
      <c r="DH103" s="21"/>
    </row>
    <row r="104" spans="99:112" ht="12.6" customHeight="1">
      <c r="CU104" s="21"/>
      <c r="CV104" s="21"/>
      <c r="CW104" s="21"/>
      <c r="CX104" s="21"/>
      <c r="CY104" s="21"/>
      <c r="CZ104" s="2"/>
      <c r="DA104" s="2"/>
      <c r="DB104" s="2"/>
      <c r="DC104" s="2"/>
      <c r="DD104" s="21"/>
      <c r="DE104" s="21"/>
      <c r="DF104" s="21"/>
      <c r="DG104" s="21"/>
      <c r="DH104" s="21"/>
    </row>
    <row r="105" spans="99:112" ht="12.6" customHeight="1">
      <c r="CU105" s="21"/>
      <c r="CV105" s="21"/>
      <c r="CW105" s="21"/>
      <c r="CX105" s="21"/>
      <c r="CY105" s="21"/>
      <c r="CZ105" s="2"/>
      <c r="DA105" s="2"/>
      <c r="DB105" s="2"/>
      <c r="DC105" s="2"/>
      <c r="DD105" s="21"/>
      <c r="DE105" s="21"/>
      <c r="DF105" s="21"/>
      <c r="DG105" s="21"/>
      <c r="DH105" s="21"/>
    </row>
    <row r="106" spans="99:112" ht="12.6" customHeight="1">
      <c r="CU106" s="21"/>
      <c r="CV106" s="21"/>
      <c r="CW106" s="21"/>
      <c r="CX106" s="21"/>
      <c r="CY106" s="21"/>
      <c r="CZ106" s="2"/>
      <c r="DA106" s="2"/>
      <c r="DB106" s="2"/>
      <c r="DC106" s="2"/>
      <c r="DD106" s="21"/>
      <c r="DE106" s="21"/>
      <c r="DF106" s="21"/>
      <c r="DG106" s="21"/>
      <c r="DH106" s="21"/>
    </row>
    <row r="107" spans="99:112" ht="12.6" customHeight="1">
      <c r="CU107" s="21"/>
      <c r="CV107" s="21"/>
      <c r="CW107" s="21"/>
      <c r="CX107" s="21"/>
      <c r="CY107" s="21"/>
      <c r="CZ107" s="2"/>
      <c r="DA107" s="2"/>
      <c r="DB107" s="2"/>
      <c r="DC107" s="2"/>
      <c r="DD107" s="21"/>
      <c r="DE107" s="21"/>
      <c r="DF107" s="21"/>
      <c r="DG107" s="21"/>
      <c r="DH107" s="21"/>
    </row>
    <row r="108" spans="99:112" ht="12.6" customHeight="1">
      <c r="CU108" s="21"/>
      <c r="CV108" s="21"/>
      <c r="CW108" s="21"/>
      <c r="CX108" s="21"/>
      <c r="CY108" s="21"/>
      <c r="CZ108" s="2"/>
      <c r="DA108" s="2"/>
      <c r="DB108" s="2"/>
      <c r="DC108" s="2"/>
      <c r="DD108" s="21"/>
      <c r="DE108" s="21"/>
      <c r="DF108" s="21"/>
      <c r="DG108" s="21"/>
      <c r="DH108" s="21"/>
    </row>
    <row r="109" spans="99:112" ht="12.6" customHeight="1">
      <c r="CU109" s="21"/>
      <c r="CV109" s="21"/>
      <c r="CW109" s="21"/>
      <c r="CX109" s="21"/>
      <c r="CY109" s="21"/>
      <c r="CZ109" s="2"/>
      <c r="DA109" s="2"/>
      <c r="DB109" s="2"/>
      <c r="DC109" s="2"/>
      <c r="DD109" s="21"/>
      <c r="DE109" s="21"/>
      <c r="DF109" s="21"/>
      <c r="DG109" s="21"/>
      <c r="DH109" s="21"/>
    </row>
    <row r="110" spans="99:112" ht="12.6" customHeight="1">
      <c r="CU110" s="21"/>
      <c r="CV110" s="21"/>
      <c r="CW110" s="21"/>
      <c r="CX110" s="21"/>
      <c r="CY110" s="21"/>
      <c r="CZ110" s="2"/>
      <c r="DA110" s="2"/>
      <c r="DB110" s="2"/>
      <c r="DC110" s="2"/>
      <c r="DD110" s="21"/>
      <c r="DE110" s="21"/>
      <c r="DF110" s="21"/>
      <c r="DG110" s="21"/>
      <c r="DH110" s="21"/>
    </row>
    <row r="111" spans="99:112" ht="12.6" customHeight="1">
      <c r="CU111" s="21"/>
      <c r="CV111" s="21"/>
      <c r="CW111" s="21"/>
      <c r="CX111" s="21"/>
      <c r="CY111" s="21"/>
      <c r="CZ111" s="2"/>
      <c r="DA111" s="2"/>
      <c r="DB111" s="2"/>
      <c r="DC111" s="2"/>
      <c r="DD111" s="21"/>
      <c r="DE111" s="21"/>
      <c r="DF111" s="21"/>
      <c r="DG111" s="21"/>
      <c r="DH111" s="21"/>
    </row>
    <row r="112" spans="99:112" ht="12.6" customHeight="1">
      <c r="CU112" s="21"/>
      <c r="CV112" s="21"/>
      <c r="CW112" s="21"/>
      <c r="CX112" s="21"/>
      <c r="CY112" s="21"/>
      <c r="CZ112" s="2"/>
      <c r="DA112" s="2"/>
      <c r="DB112" s="2"/>
      <c r="DC112" s="2"/>
      <c r="DD112" s="21"/>
      <c r="DE112" s="21"/>
      <c r="DF112" s="21"/>
      <c r="DG112" s="21"/>
      <c r="DH112" s="21"/>
    </row>
  </sheetData>
  <mergeCells count="21">
    <mergeCell ref="A3:B3"/>
    <mergeCell ref="B12:E12"/>
    <mergeCell ref="B15:E15"/>
    <mergeCell ref="Q21:R21"/>
    <mergeCell ref="A5:B5"/>
    <mergeCell ref="Q5:R5"/>
    <mergeCell ref="B18:F20"/>
    <mergeCell ref="Q20:R20"/>
    <mergeCell ref="Q17:R17"/>
    <mergeCell ref="Q18:R18"/>
    <mergeCell ref="Q19:R19"/>
    <mergeCell ref="B22:C22"/>
    <mergeCell ref="Q29:Q30"/>
    <mergeCell ref="Q23:R23"/>
    <mergeCell ref="Q24:R24"/>
    <mergeCell ref="B41:F43"/>
    <mergeCell ref="P29:P30"/>
    <mergeCell ref="E29:J29"/>
    <mergeCell ref="L29:M29"/>
    <mergeCell ref="N29:N30"/>
    <mergeCell ref="O29:O30"/>
  </mergeCells>
  <phoneticPr fontId="99" type="noConversion"/>
  <conditionalFormatting sqref="B31:E33 K31:K33 Q31:Q33 G37 J37:K37 B41 B48:F48 C49:F49 B49:B51">
    <cfRule type="containsBlanks" dxfId="26" priority="14">
      <formula>LEN(TRIM(B31))=0</formula>
    </cfRule>
  </conditionalFormatting>
  <conditionalFormatting sqref="B18:F20">
    <cfRule type="containsBlanks" dxfId="25" priority="9">
      <formula>LEN(TRIM(B18))=0</formula>
    </cfRule>
  </conditionalFormatting>
  <conditionalFormatting sqref="C8:C11">
    <cfRule type="containsBlanks" dxfId="24" priority="4">
      <formula>LEN(TRIM(C8))=0</formula>
    </cfRule>
  </conditionalFormatting>
  <conditionalFormatting sqref="C24">
    <cfRule type="containsBlanks" dxfId="23" priority="8">
      <formula>LEN(TRIM(C24))=0</formula>
    </cfRule>
  </conditionalFormatting>
  <conditionalFormatting sqref="C50:F51">
    <cfRule type="containsBlanks" dxfId="22" priority="3">
      <formula>LEN(TRIM(C50))=0</formula>
    </cfRule>
  </conditionalFormatting>
  <conditionalFormatting sqref="Q35">
    <cfRule type="containsBlanks" dxfId="21" priority="2">
      <formula>LEN(TRIM(Q35))=0</formula>
    </cfRule>
  </conditionalFormatting>
  <dataValidations count="3">
    <dataValidation type="list" allowBlank="1" showInputMessage="1" sqref="Q31:Q33 Q35" xr:uid="{1404952C-7FB0-453E-A750-DCFDD63661A3}">
      <formula1>"是,否"</formula1>
    </dataValidation>
    <dataValidation type="list" allowBlank="1" showInputMessage="1" showErrorMessage="1" sqref="C8:C11" xr:uid="{D7F564AA-ACE5-4037-9DB1-9B2E6F066112}">
      <formula1>"Minimal,Low,Moderate,High,N/A"</formula1>
    </dataValidation>
    <dataValidation type="list" allowBlank="1" showInputMessage="1" sqref="B48:B51" xr:uid="{CF70E584-6C60-4F35-B7CF-D859586B2743}">
      <formula1>"管理层账表调整(CLA),已更正审计调整(AA/RA/OA),未更正审计调整(SAD)"</formula1>
    </dataValidation>
  </dataValidations>
  <hyperlinks>
    <hyperlink ref="B4" location="汇总!A1" display="返回汇总页" xr:uid="{8EF6F07C-FBF7-4D82-915C-B77641F59D59}"/>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EF8E-565E-4B46-B914-40CACA815D20}">
  <dimension ref="A1:DV53"/>
  <sheetViews>
    <sheetView showGridLines="0" zoomScale="70" zoomScaleNormal="70" workbookViewId="0">
      <selection activeCell="H49" sqref="H49"/>
    </sheetView>
  </sheetViews>
  <sheetFormatPr defaultColWidth="9.5546875" defaultRowHeight="12.75" customHeight="1"/>
  <cols>
    <col min="1" max="1" width="2.6640625" style="373" customWidth="1"/>
    <col min="2" max="2" width="21.88671875" style="294" customWidth="1"/>
    <col min="3" max="3" width="25.44140625" style="271" customWidth="1"/>
    <col min="4" max="4" width="27.6640625" style="271" customWidth="1"/>
    <col min="5" max="5" width="30.88671875" style="271" customWidth="1"/>
    <col min="6" max="6" width="17.33203125" style="271" customWidth="1"/>
    <col min="7" max="7" width="15.88671875" style="271" customWidth="1"/>
    <col min="8" max="9" width="11.6640625" style="271" customWidth="1"/>
    <col min="10" max="10" width="18" style="271" customWidth="1"/>
    <col min="11" max="11" width="15.6640625" style="271" customWidth="1"/>
    <col min="12" max="12" width="14.88671875" style="271" customWidth="1"/>
    <col min="13" max="13" width="11.5546875" style="271" customWidth="1"/>
    <col min="14" max="14" width="9.5546875" style="271" customWidth="1"/>
    <col min="15" max="15" width="12.109375" style="271" customWidth="1"/>
    <col min="16" max="16" width="13.44140625" style="271" customWidth="1"/>
    <col min="17" max="17" width="14.109375" style="271" customWidth="1"/>
    <col min="18" max="18" width="2.6640625" style="271" customWidth="1"/>
    <col min="19" max="19" width="1.6640625" style="271" customWidth="1"/>
    <col min="20" max="20" width="9.5546875" style="265"/>
    <col min="21" max="35" width="8.6640625" style="271" customWidth="1"/>
    <col min="36" max="36" width="13.33203125" style="271" customWidth="1"/>
    <col min="37" max="37" width="10.44140625" style="271" customWidth="1"/>
    <col min="38" max="38" width="11.88671875" style="271" customWidth="1"/>
    <col min="39" max="39" width="7.5546875" style="271" customWidth="1"/>
    <col min="40" max="40" width="9.109375" style="271" customWidth="1"/>
    <col min="41" max="16384" width="9.5546875" style="271"/>
  </cols>
  <sheetData>
    <row r="1" spans="1:123" s="265" customFormat="1" ht="50.1" customHeight="1">
      <c r="A1" s="260"/>
      <c r="B1" s="261" t="s">
        <v>118</v>
      </c>
      <c r="C1" s="262"/>
      <c r="D1" s="262"/>
      <c r="E1" s="262"/>
      <c r="F1" s="262"/>
      <c r="G1" s="262"/>
      <c r="H1" s="262"/>
      <c r="I1" s="262"/>
      <c r="J1" s="262"/>
      <c r="K1" s="262"/>
      <c r="L1" s="262"/>
      <c r="M1" s="262"/>
      <c r="N1" s="262"/>
      <c r="O1" s="262"/>
      <c r="P1" s="262"/>
      <c r="Q1" s="263"/>
      <c r="R1"/>
      <c r="S1" s="264"/>
    </row>
    <row r="2" spans="1:123" s="265" customFormat="1" ht="30" customHeight="1">
      <c r="A2" s="260"/>
      <c r="B2" s="266" t="s">
        <v>119</v>
      </c>
      <c r="C2" s="267"/>
      <c r="D2" s="267"/>
      <c r="E2" s="267"/>
      <c r="F2" s="267"/>
      <c r="G2" s="267"/>
      <c r="H2" s="267"/>
      <c r="I2" s="267"/>
      <c r="J2" s="267"/>
      <c r="K2" s="267"/>
      <c r="L2" s="267"/>
      <c r="M2" s="267"/>
      <c r="N2" s="267"/>
      <c r="O2" s="267"/>
      <c r="P2" s="267"/>
      <c r="Q2" s="268"/>
      <c r="R2"/>
      <c r="S2" s="264"/>
    </row>
    <row r="3" spans="1:123" ht="15" customHeight="1">
      <c r="A3" s="577"/>
      <c r="B3" s="577"/>
      <c r="C3" s="505"/>
      <c r="D3" s="505"/>
      <c r="E3" s="505"/>
      <c r="F3" s="505"/>
      <c r="G3" s="505"/>
      <c r="H3" s="505"/>
      <c r="I3" s="505"/>
      <c r="J3" s="505"/>
      <c r="K3" s="505"/>
      <c r="L3" s="505"/>
      <c r="M3" s="505"/>
      <c r="N3" s="505"/>
      <c r="O3" s="505"/>
      <c r="P3" s="269"/>
      <c r="Q3" s="270"/>
      <c r="R3" s="505"/>
      <c r="S3" s="264"/>
      <c r="CQ3" s="272"/>
      <c r="CR3" s="272"/>
      <c r="CS3" s="272"/>
      <c r="CT3" s="273"/>
      <c r="CU3" s="273"/>
      <c r="CV3" s="273"/>
      <c r="CW3" s="273"/>
      <c r="CX3" s="273"/>
      <c r="CY3" s="273"/>
      <c r="CZ3" s="273"/>
      <c r="DA3" s="273"/>
      <c r="DB3" s="272"/>
      <c r="DC3" s="273"/>
      <c r="DD3" s="273"/>
      <c r="DE3" s="273"/>
      <c r="DF3" s="273"/>
      <c r="DG3" s="273"/>
      <c r="DH3" s="272"/>
      <c r="DI3" s="272"/>
      <c r="DJ3" s="272"/>
      <c r="DK3" s="272"/>
      <c r="DL3" s="272"/>
      <c r="DM3" s="272"/>
      <c r="DN3" s="272"/>
      <c r="DO3" s="272"/>
      <c r="DP3" s="272"/>
      <c r="DQ3" s="274"/>
      <c r="DR3" s="272"/>
      <c r="DS3" s="272"/>
    </row>
    <row r="4" spans="1:123" ht="15" customHeight="1">
      <c r="A4" s="505"/>
      <c r="B4" s="275" t="s">
        <v>120</v>
      </c>
      <c r="C4" s="505"/>
      <c r="D4" s="505"/>
      <c r="E4" s="505"/>
      <c r="F4" s="505"/>
      <c r="G4" s="505"/>
      <c r="H4" s="505"/>
      <c r="I4" s="505"/>
      <c r="J4" s="505"/>
      <c r="K4" s="505"/>
      <c r="L4" s="505"/>
      <c r="M4" s="505"/>
      <c r="N4" s="505"/>
      <c r="O4" s="505"/>
      <c r="P4" s="269"/>
      <c r="Q4" s="270"/>
      <c r="R4" s="505"/>
      <c r="S4" s="264"/>
      <c r="CQ4" s="272"/>
      <c r="CR4" s="272"/>
      <c r="CS4" s="272"/>
      <c r="CT4" s="273"/>
      <c r="CU4" s="273"/>
      <c r="CV4" s="273"/>
      <c r="CW4" s="273"/>
      <c r="CX4" s="273"/>
      <c r="CY4" s="273"/>
      <c r="CZ4" s="273"/>
      <c r="DA4" s="273"/>
      <c r="DB4" s="272"/>
      <c r="DC4" s="273"/>
      <c r="DD4" s="273"/>
      <c r="DE4" s="273"/>
      <c r="DF4" s="273"/>
      <c r="DG4" s="273"/>
      <c r="DH4" s="272"/>
      <c r="DI4" s="272"/>
      <c r="DJ4" s="272"/>
      <c r="DK4" s="272"/>
      <c r="DL4" s="272"/>
      <c r="DM4" s="272"/>
      <c r="DN4" s="272"/>
      <c r="DO4" s="272"/>
      <c r="DP4" s="272"/>
      <c r="DQ4" s="274"/>
      <c r="DR4" s="272"/>
      <c r="DS4" s="272"/>
    </row>
    <row r="5" spans="1:123" ht="15" customHeight="1">
      <c r="A5" s="577"/>
      <c r="B5" s="577"/>
      <c r="C5" s="505"/>
      <c r="D5" s="505"/>
      <c r="E5" s="505"/>
      <c r="F5" s="505"/>
      <c r="G5" s="505"/>
      <c r="H5" s="505"/>
      <c r="I5" s="505"/>
      <c r="J5" s="505"/>
      <c r="K5" s="505"/>
      <c r="L5" s="505"/>
      <c r="M5" s="505"/>
      <c r="N5" s="505"/>
      <c r="O5" s="505"/>
      <c r="P5" s="269"/>
      <c r="Q5" s="270"/>
      <c r="R5" s="505"/>
      <c r="S5" s="264"/>
      <c r="CQ5" s="272"/>
      <c r="CR5" s="272"/>
      <c r="CS5" s="272"/>
      <c r="CT5" s="273"/>
      <c r="CU5" s="273"/>
      <c r="CV5" s="273"/>
      <c r="CW5" s="273"/>
      <c r="CX5" s="273"/>
      <c r="CY5" s="273"/>
      <c r="CZ5" s="273"/>
      <c r="DA5" s="273"/>
      <c r="DB5" s="272"/>
      <c r="DC5" s="273"/>
      <c r="DD5" s="273"/>
      <c r="DE5" s="273"/>
      <c r="DF5" s="273"/>
      <c r="DG5" s="273"/>
      <c r="DH5" s="272"/>
      <c r="DI5" s="272"/>
      <c r="DJ5" s="272"/>
      <c r="DK5" s="272"/>
      <c r="DL5" s="272"/>
      <c r="DM5" s="272"/>
      <c r="DN5" s="272"/>
      <c r="DO5" s="272"/>
      <c r="DP5" s="272"/>
      <c r="DQ5" s="274"/>
      <c r="DR5" s="272"/>
      <c r="DS5" s="272"/>
    </row>
    <row r="6" spans="1:123" ht="15" customHeight="1">
      <c r="A6" s="505"/>
      <c r="B6" s="276"/>
      <c r="C6" s="276"/>
      <c r="D6" s="277" t="s">
        <v>76</v>
      </c>
      <c r="E6" s="278"/>
      <c r="F6" s="505"/>
      <c r="G6" s="505"/>
      <c r="H6" s="505"/>
      <c r="I6" s="505"/>
      <c r="J6" s="505"/>
      <c r="K6" s="505"/>
      <c r="L6" s="505"/>
      <c r="M6" s="505"/>
      <c r="N6" s="505"/>
      <c r="O6" s="505"/>
      <c r="P6" s="269"/>
      <c r="Q6" s="270"/>
      <c r="R6" s="505"/>
      <c r="S6" s="264"/>
      <c r="CQ6" s="272"/>
      <c r="CR6" s="272"/>
      <c r="CS6" s="272"/>
      <c r="CT6" s="273"/>
      <c r="CU6" s="273"/>
      <c r="CV6" s="273"/>
      <c r="CW6" s="273"/>
      <c r="CX6" s="273"/>
      <c r="CY6" s="273"/>
      <c r="CZ6" s="273"/>
      <c r="DA6" s="273"/>
      <c r="DB6" s="272"/>
      <c r="DC6" s="273"/>
      <c r="DD6" s="273"/>
      <c r="DE6" s="273"/>
      <c r="DF6" s="273"/>
      <c r="DG6" s="273"/>
      <c r="DH6" s="272"/>
      <c r="DI6" s="272"/>
      <c r="DJ6" s="272"/>
      <c r="DK6" s="272"/>
      <c r="DL6" s="272"/>
      <c r="DM6" s="272"/>
      <c r="DN6" s="272"/>
      <c r="DO6" s="272"/>
      <c r="DP6" s="272"/>
      <c r="DQ6" s="274"/>
      <c r="DR6" s="272"/>
      <c r="DS6" s="272"/>
    </row>
    <row r="7" spans="1:123" ht="15" customHeight="1">
      <c r="A7" s="505"/>
      <c r="B7" s="250" t="s">
        <v>121</v>
      </c>
      <c r="C7" s="250" t="s">
        <v>78</v>
      </c>
      <c r="D7" s="250" t="s">
        <v>122</v>
      </c>
      <c r="E7" s="465" t="s">
        <v>123</v>
      </c>
      <c r="F7" s="505"/>
      <c r="G7" s="505"/>
      <c r="H7" s="505"/>
      <c r="I7" s="505"/>
      <c r="J7" s="505"/>
      <c r="K7" s="505"/>
      <c r="L7" s="505"/>
      <c r="M7" s="505"/>
      <c r="N7" s="505"/>
      <c r="O7" s="505"/>
      <c r="P7" s="269"/>
      <c r="Q7" s="270"/>
      <c r="R7" s="505"/>
      <c r="S7" s="264"/>
      <c r="CQ7" s="272"/>
      <c r="CR7" s="272"/>
      <c r="CS7" s="272"/>
      <c r="CT7" s="273"/>
      <c r="CU7" s="273"/>
      <c r="CV7" s="273"/>
      <c r="CW7" s="273"/>
      <c r="CX7" s="273"/>
      <c r="CY7" s="273"/>
      <c r="CZ7" s="273"/>
      <c r="DA7" s="273"/>
      <c r="DB7" s="272"/>
      <c r="DC7" s="273"/>
      <c r="DD7" s="273"/>
      <c r="DE7" s="273"/>
      <c r="DF7" s="273"/>
      <c r="DG7" s="273"/>
      <c r="DH7" s="272"/>
      <c r="DI7" s="272"/>
      <c r="DJ7" s="272"/>
      <c r="DK7" s="272"/>
      <c r="DL7" s="272"/>
      <c r="DM7" s="272"/>
      <c r="DN7" s="272"/>
      <c r="DO7" s="272"/>
      <c r="DP7" s="272"/>
      <c r="DQ7" s="274"/>
      <c r="DR7" s="272"/>
      <c r="DS7" s="272"/>
    </row>
    <row r="8" spans="1:123" ht="15" customHeight="1">
      <c r="A8" s="505"/>
      <c r="B8" s="466" t="s">
        <v>124</v>
      </c>
      <c r="C8" s="279"/>
      <c r="D8" s="451">
        <f>IF(C8="Minimal",'Uexp.00 Lead'!$C$5*50%,IF(C8="Low",'Uexp.00 Lead'!$C$5*25%,IF(C8="Moderate",'Uexp.00 Lead'!$C$5*15%,IF(C8="High",'Uexp.00 Lead'!$C$5*10%,IF(C8="N/A","-",)))))</f>
        <v>0</v>
      </c>
      <c r="E8" s="452">
        <f>MIN($D$8:$D$11)</f>
        <v>0</v>
      </c>
      <c r="F8" s="505"/>
      <c r="G8" s="505"/>
      <c r="H8" s="505"/>
      <c r="I8" s="505"/>
      <c r="J8" s="505"/>
      <c r="K8" s="505"/>
      <c r="L8" s="505"/>
      <c r="M8" s="505"/>
      <c r="N8" s="505"/>
      <c r="O8" s="505"/>
      <c r="P8" s="269"/>
      <c r="Q8" s="270"/>
      <c r="R8" s="505"/>
      <c r="S8" s="264"/>
      <c r="CQ8" s="272"/>
      <c r="CR8" s="272"/>
      <c r="CS8" s="272"/>
      <c r="CT8" s="273"/>
      <c r="CU8" s="273"/>
      <c r="CV8" s="273"/>
      <c r="CW8" s="273"/>
      <c r="CX8" s="273"/>
      <c r="CY8" s="273"/>
      <c r="CZ8" s="273"/>
      <c r="DA8" s="273"/>
      <c r="DB8" s="272"/>
      <c r="DC8" s="273"/>
      <c r="DD8" s="273"/>
      <c r="DE8" s="273"/>
      <c r="DF8" s="273"/>
      <c r="DG8" s="273"/>
      <c r="DH8" s="272"/>
      <c r="DI8" s="272"/>
      <c r="DJ8" s="272"/>
      <c r="DK8" s="272"/>
      <c r="DL8" s="272"/>
      <c r="DM8" s="272"/>
      <c r="DN8" s="272"/>
      <c r="DO8" s="272"/>
      <c r="DP8" s="272"/>
      <c r="DQ8" s="274"/>
      <c r="DR8" s="272"/>
      <c r="DS8" s="272"/>
    </row>
    <row r="9" spans="1:123" ht="15" customHeight="1">
      <c r="A9" s="505"/>
      <c r="B9" s="466" t="s">
        <v>125</v>
      </c>
      <c r="C9" s="279"/>
      <c r="D9" s="451">
        <f>IF(C9="Minimal",'Uexp.00 Lead'!$C$5*100%,IF(C9="Low",'Uexp.00 Lead'!$C$5*75%,IF(C9="Moderate",'Uexp.00 Lead'!$C$5*50%,IF(C9="High",'Uexp.00 Lead'!$C$5*25%,IF(C9="N/A","-",)))))</f>
        <v>0</v>
      </c>
      <c r="E9" s="453"/>
      <c r="F9" s="505"/>
      <c r="G9" s="505"/>
      <c r="H9" s="505"/>
      <c r="I9" s="505"/>
      <c r="J9" s="505"/>
      <c r="K9" s="505"/>
      <c r="L9" s="505"/>
      <c r="M9" s="505"/>
      <c r="N9" s="505"/>
      <c r="O9" s="505"/>
      <c r="P9" s="269"/>
      <c r="Q9" s="270"/>
      <c r="R9" s="505"/>
      <c r="S9" s="264"/>
      <c r="CQ9" s="272"/>
      <c r="CR9" s="272"/>
      <c r="CS9" s="272"/>
      <c r="CT9" s="273"/>
      <c r="CU9" s="273"/>
      <c r="CV9" s="273"/>
      <c r="CW9" s="273"/>
      <c r="CX9" s="273"/>
      <c r="CY9" s="273"/>
      <c r="CZ9" s="273"/>
      <c r="DA9" s="273"/>
      <c r="DB9" s="272"/>
      <c r="DC9" s="273"/>
      <c r="DD9" s="273"/>
      <c r="DE9" s="273"/>
      <c r="DF9" s="273"/>
      <c r="DG9" s="273"/>
      <c r="DH9" s="272"/>
      <c r="DI9" s="272"/>
      <c r="DJ9" s="272"/>
      <c r="DK9" s="272"/>
      <c r="DL9" s="272"/>
      <c r="DM9" s="272"/>
      <c r="DN9" s="272"/>
      <c r="DO9" s="272"/>
      <c r="DP9" s="272"/>
      <c r="DQ9" s="274"/>
      <c r="DR9" s="272"/>
      <c r="DS9" s="272"/>
    </row>
    <row r="10" spans="1:123" ht="15" customHeight="1">
      <c r="A10" s="505"/>
      <c r="B10" s="466" t="s">
        <v>126</v>
      </c>
      <c r="C10" s="279"/>
      <c r="D10" s="451">
        <f>IF(C10="Minimal",'Uexp.00 Lead'!$C$5*100%,IF(C10="Low",'Uexp.00 Lead'!$C$5*75%,IF(C10="Moderate",'Uexp.00 Lead'!$C$5*50%,IF(C10="High",'Uexp.00 Lead'!$C$5*25%,IF(C10="N/A","-",)))))</f>
        <v>0</v>
      </c>
      <c r="E10" s="453"/>
      <c r="F10" s="505"/>
      <c r="G10" s="505"/>
      <c r="H10" s="505"/>
      <c r="I10" s="505"/>
      <c r="J10" s="505"/>
      <c r="K10" s="505"/>
      <c r="L10" s="505"/>
      <c r="M10" s="505"/>
      <c r="N10" s="505"/>
      <c r="O10" s="505"/>
      <c r="P10" s="269"/>
      <c r="Q10" s="270"/>
      <c r="R10" s="505"/>
      <c r="S10" s="264"/>
      <c r="CQ10" s="272"/>
      <c r="CR10" s="272"/>
      <c r="CS10" s="272"/>
      <c r="CT10" s="273"/>
      <c r="CU10" s="273"/>
      <c r="CV10" s="273"/>
      <c r="CW10" s="273"/>
      <c r="CX10" s="273"/>
      <c r="CY10" s="273"/>
      <c r="CZ10" s="273"/>
      <c r="DA10" s="273"/>
      <c r="DB10" s="272"/>
      <c r="DC10" s="273"/>
      <c r="DD10" s="273"/>
      <c r="DE10" s="273"/>
      <c r="DF10" s="273"/>
      <c r="DG10" s="273"/>
      <c r="DH10" s="272"/>
      <c r="DI10" s="272"/>
      <c r="DJ10" s="272"/>
      <c r="DK10" s="272"/>
      <c r="DL10" s="272"/>
      <c r="DM10" s="272"/>
      <c r="DN10" s="272"/>
      <c r="DO10" s="272"/>
      <c r="DP10" s="272"/>
      <c r="DQ10" s="274"/>
      <c r="DR10" s="272"/>
      <c r="DS10" s="272"/>
    </row>
    <row r="11" spans="1:123" ht="15" customHeight="1">
      <c r="A11" s="505"/>
      <c r="B11" s="467" t="s">
        <v>127</v>
      </c>
      <c r="C11" s="279"/>
      <c r="D11" s="451">
        <f>IF(C11="Minimal",'Uexp.00 Lead'!$C$5*100%,IF(C11="Low",'Uexp.00 Lead'!$C$5*75%,IF(C11="Moderate",'Uexp.00 Lead'!$C$5*50%,IF(C11="High",'Uexp.00 Lead'!$C$5*25%,IF(C11="N/A","-",)))))</f>
        <v>0</v>
      </c>
      <c r="E11" s="454"/>
      <c r="F11" s="505"/>
      <c r="G11" s="505"/>
      <c r="H11" s="505"/>
      <c r="I11" s="505"/>
      <c r="J11" s="505"/>
      <c r="K11" s="505"/>
      <c r="L11" s="505"/>
      <c r="M11" s="505"/>
      <c r="N11" s="505"/>
      <c r="O11" s="505"/>
      <c r="P11" s="269"/>
      <c r="Q11" s="270"/>
      <c r="R11" s="505"/>
      <c r="S11" s="264"/>
      <c r="CQ11" s="272"/>
      <c r="CR11" s="272"/>
      <c r="CS11" s="272"/>
      <c r="CT11" s="273"/>
      <c r="CU11" s="273"/>
      <c r="CV11" s="273"/>
      <c r="CW11" s="273"/>
      <c r="CX11" s="273"/>
      <c r="CY11" s="273"/>
      <c r="CZ11" s="273"/>
      <c r="DA11" s="273"/>
      <c r="DB11" s="272"/>
      <c r="DC11" s="273"/>
      <c r="DD11" s="273"/>
      <c r="DE11" s="273"/>
      <c r="DF11" s="273"/>
      <c r="DG11" s="273"/>
      <c r="DH11" s="272"/>
      <c r="DI11" s="272"/>
      <c r="DJ11" s="272"/>
      <c r="DK11" s="272"/>
      <c r="DL11" s="272"/>
      <c r="DM11" s="272"/>
      <c r="DN11" s="272"/>
      <c r="DO11" s="272"/>
      <c r="DP11" s="272"/>
      <c r="DQ11" s="274"/>
      <c r="DR11" s="272"/>
      <c r="DS11" s="272"/>
    </row>
    <row r="12" spans="1:123" ht="15" customHeight="1">
      <c r="A12" s="505"/>
      <c r="B12" s="578" t="s">
        <v>128</v>
      </c>
      <c r="C12" s="578"/>
      <c r="D12" s="578"/>
      <c r="E12" s="578"/>
      <c r="F12" s="505"/>
      <c r="G12" s="505"/>
      <c r="H12" s="505"/>
      <c r="I12" s="505"/>
      <c r="J12" s="505"/>
      <c r="K12" s="505"/>
      <c r="L12" s="505"/>
      <c r="M12" s="505"/>
      <c r="N12" s="505"/>
      <c r="O12" s="505"/>
      <c r="P12" s="269"/>
      <c r="Q12" s="270"/>
      <c r="R12" s="505"/>
      <c r="S12" s="264"/>
      <c r="CQ12" s="272"/>
      <c r="CR12" s="272"/>
      <c r="CS12" s="272"/>
      <c r="CT12" s="273"/>
      <c r="CU12" s="273"/>
      <c r="CV12" s="273"/>
      <c r="CW12" s="273"/>
      <c r="CX12" s="273"/>
      <c r="CY12" s="273"/>
      <c r="CZ12" s="273"/>
      <c r="DA12" s="273"/>
      <c r="DB12" s="272"/>
      <c r="DC12" s="273"/>
      <c r="DD12" s="273"/>
      <c r="DE12" s="273"/>
      <c r="DF12" s="273"/>
      <c r="DG12" s="273"/>
      <c r="DH12" s="272"/>
      <c r="DI12" s="272"/>
      <c r="DJ12" s="272"/>
      <c r="DK12" s="272"/>
      <c r="DL12" s="272"/>
      <c r="DM12" s="272"/>
      <c r="DN12" s="272"/>
      <c r="DO12" s="272"/>
      <c r="DP12" s="272"/>
      <c r="DQ12" s="274"/>
      <c r="DR12" s="272"/>
      <c r="DS12" s="272"/>
    </row>
    <row r="13" spans="1:123" ht="15" customHeight="1">
      <c r="A13" s="505"/>
      <c r="B13" s="384" t="s">
        <v>129</v>
      </c>
      <c r="C13" s="506"/>
      <c r="D13" s="506"/>
      <c r="E13" s="506"/>
      <c r="F13" s="505"/>
      <c r="G13" s="505"/>
      <c r="H13" s="505"/>
      <c r="I13" s="505"/>
      <c r="J13" s="505"/>
      <c r="K13" s="505"/>
      <c r="L13" s="505"/>
      <c r="M13" s="505"/>
      <c r="N13" s="505"/>
      <c r="O13" s="505"/>
      <c r="P13" s="269"/>
      <c r="Q13" s="270"/>
      <c r="R13" s="505"/>
      <c r="S13" s="264"/>
      <c r="CQ13" s="272"/>
      <c r="CR13" s="272"/>
      <c r="CS13" s="272"/>
      <c r="CT13" s="273"/>
      <c r="CU13" s="273"/>
      <c r="CV13" s="273"/>
      <c r="CW13" s="273"/>
      <c r="CX13" s="273"/>
      <c r="CY13" s="273"/>
      <c r="CZ13" s="273"/>
      <c r="DA13" s="273"/>
      <c r="DB13" s="272"/>
      <c r="DC13" s="273"/>
      <c r="DD13" s="273"/>
      <c r="DE13" s="273"/>
      <c r="DF13" s="273"/>
      <c r="DG13" s="273"/>
      <c r="DH13" s="272"/>
      <c r="DI13" s="272"/>
      <c r="DJ13" s="272"/>
      <c r="DK13" s="272"/>
      <c r="DL13" s="272"/>
      <c r="DM13" s="272"/>
      <c r="DN13" s="272"/>
      <c r="DO13" s="272"/>
      <c r="DP13" s="272"/>
      <c r="DQ13" s="274"/>
      <c r="DR13" s="272"/>
      <c r="DS13" s="272"/>
    </row>
    <row r="14" spans="1:123" ht="15" customHeight="1">
      <c r="A14" s="505"/>
      <c r="B14" s="384" t="s">
        <v>130</v>
      </c>
      <c r="C14" s="506"/>
      <c r="D14" s="506"/>
      <c r="E14" s="506"/>
      <c r="F14" s="505"/>
      <c r="G14" s="505"/>
      <c r="H14" s="505"/>
      <c r="I14" s="505"/>
      <c r="J14" s="505"/>
      <c r="K14" s="505"/>
      <c r="L14" s="505"/>
      <c r="M14" s="505"/>
      <c r="N14" s="505"/>
      <c r="O14" s="505"/>
      <c r="P14" s="269"/>
      <c r="Q14" s="270"/>
      <c r="R14" s="505"/>
      <c r="S14" s="264"/>
      <c r="CQ14" s="272"/>
      <c r="CR14" s="272"/>
      <c r="CS14" s="272"/>
      <c r="CT14" s="273"/>
      <c r="CU14" s="273"/>
      <c r="CV14" s="273"/>
      <c r="CW14" s="273"/>
      <c r="CX14" s="273"/>
      <c r="CY14" s="273"/>
      <c r="CZ14" s="273"/>
      <c r="DA14" s="273"/>
      <c r="DB14" s="272"/>
      <c r="DC14" s="273"/>
      <c r="DD14" s="273"/>
      <c r="DE14" s="273"/>
      <c r="DF14" s="273"/>
      <c r="DG14" s="273"/>
      <c r="DH14" s="272"/>
      <c r="DI14" s="272"/>
      <c r="DJ14" s="272"/>
      <c r="DK14" s="272"/>
      <c r="DL14" s="272"/>
      <c r="DM14" s="272"/>
      <c r="DN14" s="272"/>
      <c r="DO14" s="272"/>
      <c r="DP14" s="272"/>
      <c r="DQ14" s="274"/>
      <c r="DR14" s="272"/>
      <c r="DS14" s="272"/>
    </row>
    <row r="15" spans="1:123" ht="41.25" customHeight="1">
      <c r="A15" s="505"/>
      <c r="B15" s="578" t="s">
        <v>131</v>
      </c>
      <c r="C15" s="578"/>
      <c r="D15" s="578"/>
      <c r="E15" s="578"/>
      <c r="F15" s="505"/>
      <c r="G15" s="505"/>
      <c r="H15" s="505"/>
      <c r="I15" s="505"/>
      <c r="J15" s="505"/>
      <c r="K15" s="505"/>
      <c r="L15" s="505"/>
      <c r="M15" s="505"/>
      <c r="N15" s="505"/>
      <c r="O15" s="505"/>
      <c r="P15" s="269"/>
      <c r="Q15" s="270"/>
      <c r="R15" s="505"/>
      <c r="S15" s="264"/>
      <c r="CQ15" s="272"/>
      <c r="CR15" s="272"/>
      <c r="CS15" s="272"/>
      <c r="CT15" s="273"/>
      <c r="CU15" s="273"/>
      <c r="CV15" s="273"/>
      <c r="CW15" s="273"/>
      <c r="CX15" s="273"/>
      <c r="CY15" s="273"/>
      <c r="CZ15" s="273"/>
      <c r="DA15" s="273"/>
      <c r="DB15" s="272"/>
      <c r="DC15" s="273"/>
      <c r="DD15" s="273"/>
      <c r="DE15" s="273"/>
      <c r="DF15" s="273"/>
      <c r="DG15" s="273"/>
      <c r="DH15" s="272"/>
      <c r="DI15" s="272"/>
      <c r="DJ15" s="272"/>
      <c r="DK15" s="272"/>
      <c r="DL15" s="272"/>
      <c r="DM15" s="272"/>
      <c r="DN15" s="272"/>
      <c r="DO15" s="272"/>
      <c r="DP15" s="272"/>
      <c r="DQ15" s="274"/>
      <c r="DR15" s="272"/>
      <c r="DS15" s="272"/>
    </row>
    <row r="16" spans="1:123" ht="15" customHeight="1">
      <c r="A16" s="505"/>
      <c r="B16" s="505"/>
      <c r="C16" s="505"/>
      <c r="D16" s="505"/>
      <c r="E16" s="505"/>
      <c r="F16" s="505"/>
      <c r="G16" s="505"/>
      <c r="H16" s="505"/>
      <c r="I16" s="505"/>
      <c r="J16" s="505"/>
      <c r="K16" s="505"/>
      <c r="L16" s="505"/>
      <c r="M16" s="505"/>
      <c r="N16" s="505"/>
      <c r="O16" s="505"/>
      <c r="P16" s="269"/>
      <c r="Q16" s="270"/>
      <c r="R16" s="505"/>
      <c r="S16" s="264"/>
      <c r="CQ16" s="272"/>
      <c r="CR16" s="272"/>
      <c r="CS16" s="272"/>
      <c r="CT16" s="273"/>
      <c r="CU16" s="273"/>
      <c r="CV16" s="273"/>
      <c r="CW16" s="273"/>
      <c r="CX16" s="273"/>
      <c r="CY16" s="273"/>
      <c r="CZ16" s="273"/>
      <c r="DA16" s="273"/>
      <c r="DB16" s="272"/>
      <c r="DC16" s="273"/>
      <c r="DD16" s="273"/>
      <c r="DE16" s="273"/>
      <c r="DF16" s="273"/>
      <c r="DG16" s="273"/>
      <c r="DH16" s="272"/>
      <c r="DI16" s="272"/>
      <c r="DJ16" s="272"/>
      <c r="DK16" s="272"/>
      <c r="DL16" s="272"/>
      <c r="DM16" s="272"/>
      <c r="DN16" s="272"/>
      <c r="DO16" s="272"/>
      <c r="DP16" s="272"/>
      <c r="DQ16" s="274"/>
      <c r="DR16" s="272"/>
      <c r="DS16" s="272"/>
    </row>
    <row r="17" spans="1:125" s="284" customFormat="1" ht="12.6" customHeight="1">
      <c r="A17" s="280"/>
      <c r="B17" s="281" t="s">
        <v>132</v>
      </c>
      <c r="C17" s="282"/>
      <c r="D17" s="282"/>
      <c r="E17" s="282"/>
      <c r="F17" s="505"/>
      <c r="G17" s="505"/>
      <c r="H17" s="505"/>
      <c r="I17" s="505"/>
      <c r="J17" s="505"/>
      <c r="K17" s="505"/>
      <c r="L17" s="505"/>
      <c r="M17" s="505"/>
      <c r="N17" s="505"/>
      <c r="O17" s="505"/>
      <c r="P17" s="505"/>
      <c r="Q17" s="505"/>
      <c r="R17" s="505"/>
      <c r="S17" s="283"/>
    </row>
    <row r="18" spans="1:125" s="284" customFormat="1" ht="19.2">
      <c r="A18" s="280"/>
      <c r="B18" s="568"/>
      <c r="C18" s="569"/>
      <c r="D18" s="569"/>
      <c r="E18" s="569"/>
      <c r="F18" s="570"/>
      <c r="G18" s="282"/>
      <c r="H18" s="282"/>
      <c r="I18" s="282"/>
      <c r="J18" s="282"/>
      <c r="K18" s="285"/>
      <c r="L18" s="505"/>
      <c r="M18" s="505"/>
      <c r="N18" s="505"/>
      <c r="O18" s="505"/>
      <c r="P18" s="505"/>
      <c r="Q18" s="505"/>
      <c r="R18" s="505"/>
      <c r="S18" s="283"/>
    </row>
    <row r="19" spans="1:125" s="284" customFormat="1" ht="19.2">
      <c r="A19" s="280"/>
      <c r="B19" s="571"/>
      <c r="C19" s="572"/>
      <c r="D19" s="572"/>
      <c r="E19" s="572"/>
      <c r="F19" s="573"/>
      <c r="G19" s="282"/>
      <c r="H19" s="282"/>
      <c r="I19" s="282"/>
      <c r="J19" s="282"/>
      <c r="K19" s="285"/>
      <c r="L19" s="505"/>
      <c r="M19" s="505"/>
      <c r="N19" s="505"/>
      <c r="O19" s="505"/>
      <c r="P19" s="505"/>
      <c r="Q19" s="505"/>
      <c r="R19" s="505"/>
      <c r="S19" s="283"/>
    </row>
    <row r="20" spans="1:125" s="287" customFormat="1" ht="19.2">
      <c r="A20" s="280"/>
      <c r="B20" s="574"/>
      <c r="C20" s="575"/>
      <c r="D20" s="575"/>
      <c r="E20" s="575"/>
      <c r="F20" s="576"/>
      <c r="G20" s="282"/>
      <c r="H20" s="282"/>
      <c r="I20" s="282"/>
      <c r="J20" s="282"/>
      <c r="K20" s="285"/>
      <c r="L20" s="505"/>
      <c r="M20" s="505"/>
      <c r="N20" s="505"/>
      <c r="O20" s="505"/>
      <c r="P20" s="505"/>
      <c r="Q20" s="505"/>
      <c r="R20" s="505"/>
      <c r="S20" s="286"/>
    </row>
    <row r="21" spans="1:125" s="287" customFormat="1" ht="12.6" customHeight="1">
      <c r="A21" s="288"/>
      <c r="B21" s="288"/>
      <c r="C21" s="289"/>
      <c r="D21" s="290"/>
      <c r="E21" s="290"/>
      <c r="F21" s="504"/>
      <c r="G21" s="282"/>
      <c r="H21" s="282"/>
      <c r="I21" s="282"/>
      <c r="J21" s="282"/>
      <c r="K21" s="285"/>
      <c r="L21" s="505"/>
      <c r="M21" s="505"/>
      <c r="N21" s="505"/>
      <c r="O21" s="505"/>
      <c r="P21" s="505"/>
      <c r="Q21" s="505"/>
      <c r="R21" s="505"/>
      <c r="S21" s="286"/>
    </row>
    <row r="22" spans="1:125" s="287" customFormat="1" ht="12.6" customHeight="1">
      <c r="A22" s="288"/>
      <c r="B22" s="535" t="s">
        <v>90</v>
      </c>
      <c r="C22" s="536"/>
      <c r="D22" s="290"/>
      <c r="E22" s="290"/>
      <c r="F22" s="504"/>
      <c r="G22" s="282"/>
      <c r="H22" s="282"/>
      <c r="I22" s="282"/>
      <c r="J22" s="282"/>
      <c r="K22" s="285"/>
      <c r="L22" s="505"/>
      <c r="M22" s="505"/>
      <c r="N22" s="505"/>
      <c r="O22" s="505"/>
      <c r="P22" s="505"/>
      <c r="Q22" s="505"/>
      <c r="R22" s="505"/>
      <c r="S22" s="286"/>
    </row>
    <row r="23" spans="1:125" s="287" customFormat="1" ht="15.6">
      <c r="A23" s="288"/>
      <c r="B23" s="138" t="str">
        <f>"波动幅度 ("&amp;'Uexp.00 Lead'!$C$8&amp;")"</f>
        <v>波动幅度 ()</v>
      </c>
      <c r="C23" s="399">
        <f>E8</f>
        <v>0</v>
      </c>
      <c r="D23" s="269"/>
      <c r="E23" s="269"/>
      <c r="F23" s="290"/>
      <c r="G23" s="290"/>
      <c r="H23" s="269"/>
      <c r="I23" s="269"/>
      <c r="J23" s="269"/>
      <c r="K23" s="285"/>
      <c r="L23" s="505"/>
      <c r="M23" s="505"/>
      <c r="N23" s="505"/>
      <c r="O23" s="505"/>
      <c r="P23" s="505"/>
      <c r="Q23" s="505"/>
      <c r="R23" s="505"/>
      <c r="S23" s="286"/>
    </row>
    <row r="24" spans="1:125" ht="15.6">
      <c r="A24" s="269"/>
      <c r="B24" s="291" t="s">
        <v>133</v>
      </c>
      <c r="C24" s="292">
        <v>0.1</v>
      </c>
      <c r="D24" s="505"/>
      <c r="E24" s="505"/>
      <c r="F24" s="269"/>
      <c r="G24" s="269"/>
      <c r="H24" s="269"/>
      <c r="I24" s="269"/>
      <c r="J24" s="269"/>
      <c r="K24" s="269"/>
      <c r="L24" s="505"/>
      <c r="M24" s="505"/>
      <c r="N24" s="505"/>
      <c r="O24" s="505"/>
      <c r="P24" s="505"/>
      <c r="Q24" s="505"/>
      <c r="R24" s="505"/>
      <c r="S24" s="264"/>
      <c r="CS24" s="272"/>
      <c r="CT24" s="272"/>
      <c r="CU24" s="272"/>
      <c r="CV24" s="273"/>
      <c r="CW24" s="273"/>
      <c r="CX24" s="273"/>
      <c r="CY24" s="273"/>
      <c r="CZ24" s="273"/>
      <c r="DA24" s="273"/>
      <c r="DB24" s="273"/>
      <c r="DC24" s="273"/>
      <c r="DD24" s="272"/>
      <c r="DE24" s="273"/>
      <c r="DF24" s="273"/>
      <c r="DG24" s="273"/>
      <c r="DH24" s="273"/>
      <c r="DI24" s="273"/>
      <c r="DJ24" s="272"/>
      <c r="DK24" s="272"/>
      <c r="DL24" s="272"/>
      <c r="DM24" s="272"/>
      <c r="DN24" s="272"/>
      <c r="DO24" s="272"/>
      <c r="DP24" s="272"/>
      <c r="DQ24" s="272"/>
      <c r="DR24" s="272"/>
      <c r="DS24" s="274"/>
      <c r="DT24" s="272"/>
      <c r="DU24" s="272"/>
    </row>
    <row r="25" spans="1:125" ht="15.6">
      <c r="A25" s="293"/>
      <c r="C25" s="295"/>
      <c r="D25" s="296"/>
      <c r="E25" s="290"/>
      <c r="S25" s="264"/>
      <c r="CJ25" s="273"/>
      <c r="CK25" s="297"/>
      <c r="CL25" s="297"/>
      <c r="CM25" s="273"/>
      <c r="CN25" s="273"/>
      <c r="CO25" s="273"/>
      <c r="CP25" s="273"/>
      <c r="CQ25" s="273"/>
      <c r="CR25" s="273"/>
      <c r="CS25" s="273"/>
      <c r="CT25" s="273"/>
      <c r="CU25" s="297"/>
      <c r="CV25" s="273"/>
      <c r="CW25" s="273"/>
      <c r="CX25" s="273"/>
      <c r="CY25" s="273"/>
      <c r="CZ25" s="273"/>
      <c r="DA25" s="297"/>
      <c r="DB25" s="273"/>
      <c r="DC25" s="273"/>
      <c r="DD25" s="273"/>
      <c r="DE25" s="273"/>
      <c r="DF25" s="273"/>
      <c r="DG25" s="297"/>
      <c r="DH25" s="297"/>
      <c r="DI25" s="297"/>
      <c r="DJ25" s="298"/>
      <c r="DK25" s="273"/>
      <c r="DL25" s="299"/>
    </row>
    <row r="26" spans="1:125" ht="12.6" customHeight="1">
      <c r="A26" s="293"/>
      <c r="C26" s="295"/>
      <c r="D26" s="296"/>
      <c r="S26" s="264"/>
      <c r="T26" s="271"/>
      <c r="CI26" s="273"/>
      <c r="CJ26" s="297"/>
      <c r="CK26" s="297"/>
      <c r="CL26" s="273"/>
      <c r="CM26" s="273"/>
      <c r="CN26" s="273"/>
      <c r="CO26" s="273"/>
      <c r="CP26" s="273"/>
      <c r="CQ26" s="273"/>
      <c r="CR26" s="273"/>
      <c r="CS26" s="273"/>
      <c r="CT26" s="297"/>
      <c r="CU26" s="273"/>
      <c r="CV26" s="273"/>
      <c r="CW26" s="273"/>
      <c r="CX26" s="273"/>
      <c r="CY26" s="273"/>
      <c r="CZ26" s="297"/>
      <c r="DA26" s="273"/>
      <c r="DB26" s="273"/>
      <c r="DC26" s="273"/>
      <c r="DD26" s="273"/>
      <c r="DE26" s="273"/>
      <c r="DF26" s="297"/>
      <c r="DG26" s="297"/>
      <c r="DH26" s="297"/>
      <c r="DI26" s="298"/>
      <c r="DJ26" s="273"/>
      <c r="DK26" s="299"/>
    </row>
    <row r="27" spans="1:125" ht="12.6" customHeight="1">
      <c r="A27" s="293"/>
      <c r="C27" s="295"/>
      <c r="D27" s="296"/>
      <c r="E27" s="300" t="s">
        <v>134</v>
      </c>
      <c r="F27" s="301"/>
      <c r="G27" s="301"/>
      <c r="H27" s="301"/>
      <c r="I27" s="301"/>
      <c r="J27" s="301"/>
      <c r="K27" s="301" t="s">
        <v>93</v>
      </c>
      <c r="L27" s="295"/>
      <c r="M27" s="295"/>
      <c r="N27" s="295"/>
      <c r="O27" s="295"/>
      <c r="Q27" s="295"/>
      <c r="S27" s="264"/>
      <c r="T27" s="271"/>
      <c r="CF27" s="273"/>
      <c r="CG27" s="297"/>
      <c r="CH27" s="297"/>
      <c r="CI27" s="273"/>
      <c r="CJ27" s="273"/>
      <c r="CK27" s="273"/>
      <c r="CL27" s="273"/>
      <c r="CM27" s="273"/>
      <c r="CN27" s="273"/>
      <c r="CO27" s="273"/>
      <c r="CP27" s="273"/>
      <c r="CQ27" s="297"/>
      <c r="CR27" s="273"/>
      <c r="CS27" s="273"/>
      <c r="CT27" s="273"/>
      <c r="CU27" s="273"/>
      <c r="CV27" s="273"/>
      <c r="CW27" s="297"/>
      <c r="CX27" s="273"/>
      <c r="CY27" s="273"/>
      <c r="CZ27" s="273"/>
      <c r="DA27" s="273"/>
      <c r="DB27" s="273"/>
      <c r="DC27" s="297"/>
      <c r="DD27" s="297"/>
      <c r="DE27" s="297"/>
      <c r="DF27" s="298"/>
      <c r="DG27" s="273"/>
      <c r="DH27" s="299"/>
    </row>
    <row r="28" spans="1:125" ht="15.6">
      <c r="A28" s="293"/>
      <c r="B28" s="302" t="s">
        <v>135</v>
      </c>
      <c r="C28" s="303"/>
      <c r="D28" s="303"/>
      <c r="E28" s="304" t="str">
        <f>"货币/单位: "&amp;'Uexp.00 Lead'!C8</f>
        <v xml:space="preserve">货币/单位: </v>
      </c>
      <c r="F28" s="305"/>
      <c r="G28" s="305"/>
      <c r="H28" s="305"/>
      <c r="I28" s="305"/>
      <c r="J28" s="305"/>
      <c r="K28" s="306"/>
      <c r="O28" s="307"/>
      <c r="P28" s="308"/>
      <c r="Q28" s="308"/>
      <c r="S28" s="264"/>
      <c r="T28" s="271"/>
      <c r="CF28" s="273"/>
      <c r="CG28" s="297"/>
      <c r="CH28" s="297"/>
      <c r="CI28" s="273"/>
      <c r="CJ28" s="273"/>
      <c r="CK28" s="273"/>
      <c r="CL28" s="273"/>
      <c r="CM28" s="273"/>
      <c r="CN28" s="273"/>
      <c r="CO28" s="273"/>
      <c r="CP28" s="273"/>
      <c r="CQ28" s="297"/>
      <c r="CR28" s="273"/>
      <c r="CS28" s="273"/>
      <c r="CT28" s="273"/>
      <c r="CU28" s="273"/>
      <c r="CV28" s="273"/>
      <c r="CW28" s="297"/>
      <c r="CX28" s="273"/>
      <c r="CY28" s="273"/>
      <c r="CZ28" s="273"/>
      <c r="DA28" s="273"/>
      <c r="DB28" s="273"/>
      <c r="DC28" s="297"/>
      <c r="DD28" s="297"/>
      <c r="DE28" s="297"/>
      <c r="DF28" s="309"/>
      <c r="DG28" s="273"/>
      <c r="DH28" s="299"/>
    </row>
    <row r="29" spans="1:125" ht="14.4" customHeight="1">
      <c r="A29" s="293"/>
      <c r="B29" s="310"/>
      <c r="C29" s="310"/>
      <c r="D29" s="310"/>
      <c r="E29" s="590">
        <f>'Uexp.00 Lead'!C3</f>
        <v>46022</v>
      </c>
      <c r="F29" s="591"/>
      <c r="G29" s="591"/>
      <c r="H29" s="591"/>
      <c r="I29" s="591"/>
      <c r="J29" s="591"/>
      <c r="K29" s="311">
        <f>DATE(YEAR($E$29)-1,12,31)</f>
        <v>45657</v>
      </c>
      <c r="L29" s="550" t="s">
        <v>95</v>
      </c>
      <c r="M29" s="551"/>
      <c r="N29" s="588" t="s">
        <v>136</v>
      </c>
      <c r="O29" s="592" t="s">
        <v>97</v>
      </c>
      <c r="P29" s="566" t="s">
        <v>137</v>
      </c>
      <c r="Q29" s="566" t="s">
        <v>138</v>
      </c>
      <c r="S29" s="264"/>
      <c r="T29" s="271"/>
      <c r="CG29" s="272"/>
      <c r="CH29" s="272"/>
      <c r="CI29" s="272"/>
      <c r="CJ29" s="273"/>
      <c r="CK29" s="273"/>
      <c r="CL29" s="273"/>
      <c r="CM29" s="273"/>
      <c r="CN29" s="273"/>
      <c r="CO29" s="273"/>
      <c r="CP29" s="273"/>
      <c r="CQ29" s="273"/>
      <c r="CR29" s="272"/>
      <c r="CS29" s="273"/>
      <c r="CT29" s="273"/>
      <c r="CU29" s="273"/>
      <c r="CV29" s="273"/>
      <c r="CW29" s="273"/>
      <c r="CX29" s="272"/>
      <c r="CY29" s="272"/>
      <c r="CZ29" s="272"/>
      <c r="DA29" s="272"/>
      <c r="DB29" s="272"/>
      <c r="DC29" s="272"/>
      <c r="DD29" s="272"/>
      <c r="DE29" s="272"/>
      <c r="DF29" s="272"/>
      <c r="DG29" s="312"/>
      <c r="DH29" s="272"/>
      <c r="DI29" s="272"/>
    </row>
    <row r="30" spans="1:125" ht="21" customHeight="1">
      <c r="A30" s="293"/>
      <c r="B30" s="313" t="s">
        <v>139</v>
      </c>
      <c r="C30" s="313" t="s">
        <v>101</v>
      </c>
      <c r="D30" s="313" t="s">
        <v>140</v>
      </c>
      <c r="E30" s="251" t="s">
        <v>103</v>
      </c>
      <c r="F30" s="251" t="s">
        <v>64</v>
      </c>
      <c r="G30" s="251" t="s">
        <v>104</v>
      </c>
      <c r="H30" s="251" t="s">
        <v>141</v>
      </c>
      <c r="I30" s="251" t="s">
        <v>66</v>
      </c>
      <c r="J30" s="251" t="s">
        <v>106</v>
      </c>
      <c r="K30" s="508" t="s">
        <v>107</v>
      </c>
      <c r="L30" s="251" t="s">
        <v>142</v>
      </c>
      <c r="M30" s="314" t="s">
        <v>143</v>
      </c>
      <c r="N30" s="589"/>
      <c r="O30" s="593"/>
      <c r="P30" s="567"/>
      <c r="Q30" s="567"/>
      <c r="S30" s="264"/>
      <c r="T30" s="271"/>
      <c r="CG30" s="272"/>
      <c r="CH30" s="272"/>
      <c r="CI30" s="272"/>
      <c r="CJ30" s="273"/>
      <c r="CK30" s="273"/>
      <c r="CL30" s="273"/>
      <c r="CM30" s="273"/>
      <c r="CN30" s="273"/>
      <c r="CO30" s="273"/>
      <c r="CP30" s="273"/>
      <c r="CQ30" s="273"/>
      <c r="CR30" s="272"/>
      <c r="CS30" s="273"/>
      <c r="CT30" s="273"/>
      <c r="CU30" s="273"/>
      <c r="CV30" s="273"/>
      <c r="CW30" s="273"/>
      <c r="CX30" s="272"/>
      <c r="CY30" s="272"/>
      <c r="CZ30" s="272"/>
      <c r="DA30" s="272"/>
      <c r="DB30" s="272"/>
      <c r="DC30" s="272"/>
      <c r="DD30" s="272"/>
      <c r="DE30" s="272"/>
      <c r="DF30" s="272"/>
      <c r="DG30" s="312"/>
      <c r="DH30" s="272"/>
      <c r="DI30" s="272"/>
    </row>
    <row r="31" spans="1:125" ht="15.6">
      <c r="A31" s="293"/>
      <c r="B31" s="391"/>
      <c r="C31" s="391"/>
      <c r="D31" s="391"/>
      <c r="E31" s="490"/>
      <c r="F31" s="490"/>
      <c r="G31" s="393">
        <f>E31+F31</f>
        <v>0</v>
      </c>
      <c r="H31" s="395" t="str">
        <f>IF($G$35&lt;&gt;0,G31/$G$35,"")</f>
        <v/>
      </c>
      <c r="I31" s="490"/>
      <c r="J31" s="393">
        <f>G31+I31</f>
        <v>0</v>
      </c>
      <c r="K31" s="490"/>
      <c r="L31" s="393">
        <f>J31-K31</f>
        <v>0</v>
      </c>
      <c r="M31" s="395">
        <f>IF(K31&lt;&gt;0,L31/K31,1)</f>
        <v>1</v>
      </c>
      <c r="N31" s="391"/>
      <c r="O31" s="398" t="s">
        <v>110</v>
      </c>
      <c r="P31" s="288" t="str">
        <f>IF(AND(ABS(L31)&gt;=$C$23,ABS(M31)&gt;=$C$24),"是","否")</f>
        <v>是</v>
      </c>
      <c r="Q31" s="288"/>
      <c r="S31" s="264"/>
      <c r="T31" s="271"/>
      <c r="CG31" s="272"/>
      <c r="CH31" s="272"/>
      <c r="CI31" s="272"/>
      <c r="CJ31" s="273"/>
      <c r="CK31" s="273"/>
      <c r="CL31" s="273"/>
      <c r="CM31" s="273"/>
      <c r="CN31" s="273"/>
      <c r="CO31" s="273"/>
      <c r="CP31" s="273"/>
      <c r="CQ31" s="273"/>
      <c r="CR31" s="272"/>
      <c r="CS31" s="273"/>
      <c r="CT31" s="273"/>
      <c r="CU31" s="273"/>
      <c r="CV31" s="273"/>
      <c r="CW31" s="273"/>
      <c r="CX31" s="272"/>
      <c r="CY31" s="272"/>
      <c r="CZ31" s="272"/>
      <c r="DA31" s="272"/>
      <c r="DB31" s="272"/>
      <c r="DC31" s="272"/>
      <c r="DD31" s="272"/>
      <c r="DE31" s="315"/>
      <c r="DF31" s="272"/>
      <c r="DG31" s="316"/>
      <c r="DH31" s="272"/>
      <c r="DI31" s="272"/>
    </row>
    <row r="32" spans="1:125" ht="15.6">
      <c r="A32" s="293"/>
      <c r="B32" s="391"/>
      <c r="C32" s="391"/>
      <c r="D32" s="391"/>
      <c r="E32" s="490"/>
      <c r="F32" s="490"/>
      <c r="G32" s="393">
        <f>E32+F32</f>
        <v>0</v>
      </c>
      <c r="H32" s="395" t="str">
        <f>IF($G$35&lt;&gt;0,G32/$G$35,"")</f>
        <v/>
      </c>
      <c r="I32" s="490"/>
      <c r="J32" s="393">
        <f>G32+I32</f>
        <v>0</v>
      </c>
      <c r="K32" s="490"/>
      <c r="L32" s="393">
        <f>J32-K32</f>
        <v>0</v>
      </c>
      <c r="M32" s="395">
        <f>IF(K32&lt;&gt;0,L32/K32,1)</f>
        <v>1</v>
      </c>
      <c r="N32" s="391"/>
      <c r="O32" s="391"/>
      <c r="P32" s="288" t="str">
        <f t="shared" ref="P32" si="0">IF(AND(ABS(L32)&gt;=$C$23,ABS(M32)&gt;=$C$24),"是","否")</f>
        <v>是</v>
      </c>
      <c r="Q32" s="288"/>
      <c r="S32" s="264"/>
      <c r="T32" s="271"/>
      <c r="CG32" s="272"/>
      <c r="CH32" s="272"/>
      <c r="CI32" s="272"/>
      <c r="CJ32" s="273"/>
      <c r="CK32" s="273"/>
      <c r="CL32" s="273"/>
      <c r="CM32" s="273"/>
      <c r="CN32" s="273"/>
      <c r="CO32" s="273"/>
      <c r="CP32" s="273"/>
      <c r="CQ32" s="273"/>
      <c r="CR32" s="272"/>
      <c r="CS32" s="273"/>
      <c r="CT32" s="273"/>
      <c r="CU32" s="273"/>
      <c r="CV32" s="273"/>
      <c r="CW32" s="273"/>
      <c r="CX32" s="272"/>
      <c r="CY32" s="272"/>
      <c r="CZ32" s="272"/>
      <c r="DA32" s="272"/>
      <c r="DB32" s="272"/>
      <c r="DC32" s="272"/>
      <c r="DD32" s="272"/>
      <c r="DE32" s="272"/>
      <c r="DF32" s="272"/>
      <c r="DG32" s="274"/>
      <c r="DH32" s="272"/>
      <c r="DI32" s="272"/>
    </row>
    <row r="33" spans="1:126" ht="15.6">
      <c r="A33" s="293"/>
      <c r="B33" s="392"/>
      <c r="C33" s="392"/>
      <c r="D33" s="392"/>
      <c r="E33" s="491"/>
      <c r="F33" s="491"/>
      <c r="G33" s="393">
        <f>E33+F33</f>
        <v>0</v>
      </c>
      <c r="H33" s="395" t="str">
        <f>IF($G$35&lt;&gt;0,G33/$G$35,"")</f>
        <v/>
      </c>
      <c r="I33" s="363"/>
      <c r="J33" s="393">
        <f>G33+I33</f>
        <v>0</v>
      </c>
      <c r="K33" s="490"/>
      <c r="L33" s="393">
        <f>J33-K33</f>
        <v>0</v>
      </c>
      <c r="M33" s="395">
        <f>IF(K33&lt;&gt;0,L33/K33,1)</f>
        <v>1</v>
      </c>
      <c r="N33" s="391"/>
      <c r="O33" s="392"/>
      <c r="P33" s="288" t="str">
        <f>IF(AND(ABS(L33)&gt;=$C$23,ABS(M33)&gt;=$C$24),"是","否")</f>
        <v>是</v>
      </c>
      <c r="Q33" s="288"/>
      <c r="S33" s="264"/>
      <c r="T33" s="271"/>
      <c r="CG33" s="272"/>
      <c r="CH33" s="272"/>
      <c r="CI33" s="272"/>
      <c r="CJ33" s="273"/>
      <c r="CK33" s="273"/>
      <c r="CL33" s="273"/>
      <c r="CM33" s="273"/>
      <c r="CN33" s="273"/>
      <c r="CO33" s="273"/>
      <c r="CP33" s="273"/>
      <c r="CQ33" s="273"/>
      <c r="CR33" s="272"/>
      <c r="CS33" s="273"/>
      <c r="CT33" s="273"/>
      <c r="CU33" s="273"/>
      <c r="CV33" s="273"/>
      <c r="CW33" s="273"/>
      <c r="CX33" s="272"/>
      <c r="CY33" s="272"/>
      <c r="CZ33" s="272"/>
      <c r="DA33" s="272"/>
      <c r="DB33" s="272"/>
      <c r="DC33" s="272"/>
      <c r="DD33" s="272"/>
      <c r="DE33" s="272"/>
      <c r="DF33" s="272"/>
      <c r="DG33" s="274"/>
      <c r="DH33" s="272"/>
      <c r="DI33" s="272"/>
    </row>
    <row r="34" spans="1:126" s="324" customFormat="1" ht="15.6">
      <c r="A34" s="317"/>
      <c r="B34" s="318"/>
      <c r="C34" s="319"/>
      <c r="D34" s="319"/>
      <c r="E34" s="320"/>
      <c r="F34" s="320"/>
      <c r="G34" s="321"/>
      <c r="H34" s="321"/>
      <c r="I34" s="321"/>
      <c r="J34" s="321"/>
      <c r="K34" s="321"/>
      <c r="L34" s="322"/>
      <c r="M34" s="323"/>
      <c r="N34" s="455"/>
      <c r="O34" s="488"/>
      <c r="P34" s="455"/>
      <c r="Q34" s="455"/>
      <c r="S34" s="325"/>
      <c r="CG34" s="272"/>
      <c r="CH34" s="272"/>
      <c r="CI34" s="272"/>
      <c r="CJ34" s="273"/>
      <c r="CK34" s="273"/>
      <c r="CL34" s="273"/>
      <c r="CM34" s="273"/>
      <c r="CN34" s="273"/>
      <c r="CO34" s="273"/>
      <c r="CP34" s="273"/>
      <c r="CQ34" s="273"/>
      <c r="CR34" s="272"/>
      <c r="CS34" s="273"/>
      <c r="CT34" s="273"/>
      <c r="CU34" s="273"/>
      <c r="CV34" s="273"/>
      <c r="CW34" s="273"/>
      <c r="CX34" s="272"/>
      <c r="CY34" s="272"/>
      <c r="CZ34" s="272"/>
      <c r="DA34" s="272"/>
      <c r="DB34" s="272"/>
      <c r="DC34" s="272"/>
      <c r="DD34" s="272"/>
      <c r="DE34" s="272"/>
      <c r="DF34" s="272"/>
      <c r="DG34" s="274"/>
      <c r="DH34" s="272"/>
      <c r="DI34" s="272"/>
    </row>
    <row r="35" spans="1:126" s="324" customFormat="1" ht="15.6">
      <c r="A35" s="317"/>
      <c r="B35" s="326"/>
      <c r="C35" s="327"/>
      <c r="D35" s="327"/>
      <c r="E35" s="394">
        <f>SUM(E30:E34)</f>
        <v>0</v>
      </c>
      <c r="F35" s="394">
        <f>SUM(F30:F34)</f>
        <v>0</v>
      </c>
      <c r="G35" s="394">
        <f>SUM(G30:G34)</f>
        <v>0</v>
      </c>
      <c r="H35" s="396">
        <f>SUM(H30:H34)</f>
        <v>0</v>
      </c>
      <c r="I35" s="394">
        <f t="shared" ref="I35:J35" si="1">SUM(I30:I34)</f>
        <v>0</v>
      </c>
      <c r="J35" s="394">
        <f t="shared" si="1"/>
        <v>0</v>
      </c>
      <c r="K35" s="394">
        <f>SUM(K30:K34)</f>
        <v>0</v>
      </c>
      <c r="L35" s="394">
        <f>J35-K35</f>
        <v>0</v>
      </c>
      <c r="M35" s="397">
        <f>IF(K35&lt;&gt;0,L35/K35,1)</f>
        <v>1</v>
      </c>
      <c r="N35" s="456"/>
      <c r="O35" s="489"/>
      <c r="P35" s="288" t="str">
        <f t="shared" ref="P35" si="2">IF(AND(ABS(L35)&gt;=$C$23,ABS(M35)&gt;=$C$24),"是","否")</f>
        <v>是</v>
      </c>
      <c r="Q35" s="288"/>
      <c r="S35" s="328"/>
      <c r="CH35" s="329"/>
      <c r="CI35" s="329"/>
      <c r="CJ35" s="329"/>
      <c r="CK35" s="299"/>
      <c r="CL35" s="299"/>
      <c r="CM35" s="299"/>
      <c r="CN35" s="299"/>
      <c r="CO35" s="299"/>
      <c r="CP35" s="299"/>
      <c r="CQ35" s="299"/>
      <c r="CR35" s="299"/>
      <c r="CS35" s="329"/>
      <c r="CT35" s="299"/>
      <c r="CU35" s="299"/>
      <c r="CV35" s="299"/>
      <c r="CW35" s="299"/>
      <c r="CX35" s="299"/>
      <c r="CY35" s="329"/>
      <c r="CZ35" s="329"/>
      <c r="DA35" s="329"/>
      <c r="DB35" s="329"/>
      <c r="DC35" s="329"/>
      <c r="DD35" s="329"/>
      <c r="DE35" s="329"/>
      <c r="DF35" s="329"/>
      <c r="DG35" s="329"/>
      <c r="DH35" s="330"/>
      <c r="DI35" s="329"/>
      <c r="DJ35" s="329"/>
    </row>
    <row r="36" spans="1:126" s="324" customFormat="1" ht="16.8">
      <c r="A36" s="317"/>
      <c r="B36" s="326"/>
      <c r="C36" s="331"/>
      <c r="D36" s="331"/>
      <c r="E36" s="332" t="s">
        <v>54</v>
      </c>
      <c r="F36" s="332" t="s">
        <v>54</v>
      </c>
      <c r="G36" s="332" t="s">
        <v>54</v>
      </c>
      <c r="H36" s="332"/>
      <c r="I36" s="332" t="s">
        <v>54</v>
      </c>
      <c r="J36" s="332" t="s">
        <v>54</v>
      </c>
      <c r="K36" s="332" t="s">
        <v>54</v>
      </c>
      <c r="L36" s="333"/>
      <c r="M36" s="334"/>
      <c r="N36" s="334"/>
      <c r="O36" s="321"/>
      <c r="P36" s="334"/>
      <c r="Q36" s="334"/>
      <c r="S36" s="264"/>
      <c r="CJ36" s="272"/>
      <c r="CK36" s="272"/>
      <c r="CL36" s="272"/>
      <c r="CM36" s="273"/>
      <c r="CN36" s="273"/>
      <c r="CO36" s="273"/>
      <c r="CP36" s="273"/>
      <c r="CQ36" s="273"/>
      <c r="CR36" s="273"/>
      <c r="CS36" s="273"/>
      <c r="CT36" s="273"/>
      <c r="CU36" s="272"/>
      <c r="CV36" s="273"/>
      <c r="CW36" s="273"/>
      <c r="CX36" s="273"/>
      <c r="CY36" s="273"/>
      <c r="CZ36" s="273"/>
      <c r="DA36" s="272"/>
      <c r="DB36" s="272"/>
      <c r="DC36" s="272"/>
      <c r="DD36" s="272"/>
      <c r="DE36" s="272"/>
      <c r="DF36" s="272"/>
      <c r="DG36" s="272"/>
      <c r="DH36" s="272"/>
      <c r="DI36" s="272"/>
      <c r="DJ36" s="274"/>
      <c r="DK36" s="272"/>
      <c r="DL36" s="272"/>
    </row>
    <row r="37" spans="1:126" s="324" customFormat="1" ht="12.6" customHeight="1">
      <c r="A37" s="317"/>
      <c r="B37" s="326"/>
      <c r="C37" s="326"/>
      <c r="D37" s="326"/>
      <c r="E37" s="326"/>
      <c r="F37" s="335" t="s">
        <v>46</v>
      </c>
      <c r="G37" s="336"/>
      <c r="J37" s="336"/>
      <c r="K37" s="336"/>
      <c r="L37" s="336"/>
      <c r="M37" s="334"/>
      <c r="N37" s="334"/>
      <c r="O37" s="321"/>
      <c r="P37" s="334"/>
      <c r="Q37" s="334"/>
      <c r="S37" s="328"/>
      <c r="CJ37" s="272"/>
      <c r="CK37" s="272"/>
      <c r="CL37" s="272"/>
      <c r="CM37" s="273"/>
      <c r="CN37" s="273"/>
      <c r="CO37" s="273"/>
      <c r="CP37" s="273"/>
      <c r="CQ37" s="273"/>
      <c r="CR37" s="273"/>
      <c r="CS37" s="273"/>
      <c r="CT37" s="273"/>
      <c r="CU37" s="272"/>
      <c r="CV37" s="273"/>
      <c r="CW37" s="273"/>
      <c r="CX37" s="273"/>
      <c r="CY37" s="273"/>
      <c r="CZ37" s="273"/>
      <c r="DA37" s="272"/>
      <c r="DB37" s="272"/>
      <c r="DC37" s="272"/>
      <c r="DD37" s="272"/>
      <c r="DE37" s="272"/>
      <c r="DF37" s="272"/>
      <c r="DG37" s="272"/>
      <c r="DH37" s="272"/>
      <c r="DI37" s="272"/>
      <c r="DJ37" s="274"/>
      <c r="DK37" s="272"/>
      <c r="DL37" s="272"/>
    </row>
    <row r="38" spans="1:126" s="324" customFormat="1" ht="12.6" customHeight="1">
      <c r="A38" s="317"/>
      <c r="B38" s="326"/>
      <c r="C38" s="337" t="s">
        <v>112</v>
      </c>
      <c r="D38" s="337"/>
      <c r="E38" s="331"/>
      <c r="F38" s="338" t="s">
        <v>113</v>
      </c>
      <c r="G38" s="343">
        <f>G35-G37</f>
        <v>0</v>
      </c>
      <c r="H38" s="339"/>
      <c r="J38" s="343">
        <f>J35-J37</f>
        <v>0</v>
      </c>
      <c r="K38" s="343">
        <f>K35-K37</f>
        <v>0</v>
      </c>
      <c r="L38" s="336"/>
      <c r="M38" s="334"/>
      <c r="N38" s="334"/>
      <c r="O38" s="326"/>
      <c r="P38" s="334"/>
      <c r="Q38" s="321"/>
      <c r="S38" s="328"/>
      <c r="CH38" s="272"/>
      <c r="CI38" s="272"/>
      <c r="CJ38" s="272"/>
      <c r="CK38" s="273"/>
      <c r="CL38" s="273"/>
      <c r="CM38" s="273"/>
      <c r="CN38" s="273"/>
      <c r="CO38" s="273"/>
      <c r="CP38" s="273"/>
      <c r="CQ38" s="273"/>
      <c r="CR38" s="273"/>
      <c r="CS38" s="272"/>
      <c r="CT38" s="273"/>
      <c r="CU38" s="273"/>
      <c r="CV38" s="273"/>
      <c r="CW38" s="273"/>
      <c r="CX38" s="273"/>
      <c r="CY38" s="272"/>
      <c r="CZ38" s="272"/>
      <c r="DA38" s="272"/>
      <c r="DB38" s="272"/>
      <c r="DC38" s="272"/>
      <c r="DD38" s="272"/>
      <c r="DE38" s="272"/>
      <c r="DF38" s="272"/>
      <c r="DG38" s="272"/>
      <c r="DH38" s="274"/>
      <c r="DI38" s="272"/>
      <c r="DJ38" s="272"/>
    </row>
    <row r="39" spans="1:126" s="324" customFormat="1" ht="12.6" customHeight="1">
      <c r="A39" s="317"/>
      <c r="B39" s="326"/>
      <c r="C39" s="340"/>
      <c r="D39" s="340"/>
      <c r="E39" s="341"/>
      <c r="F39" s="331" t="s">
        <v>144</v>
      </c>
      <c r="G39" s="338"/>
      <c r="H39" s="338"/>
      <c r="I39" s="342"/>
      <c r="J39" s="336"/>
      <c r="L39" s="343"/>
      <c r="M39" s="343"/>
      <c r="N39" s="343"/>
      <c r="O39" s="334"/>
      <c r="P39" s="334"/>
      <c r="Q39" s="326"/>
      <c r="S39" s="328"/>
      <c r="CJ39" s="272"/>
      <c r="CK39" s="272"/>
      <c r="CL39" s="272"/>
      <c r="CM39" s="273"/>
      <c r="CN39" s="273"/>
      <c r="CO39" s="273"/>
      <c r="CP39" s="273"/>
      <c r="CQ39" s="273"/>
      <c r="CR39" s="273"/>
      <c r="CS39" s="273"/>
      <c r="CT39" s="273"/>
      <c r="CU39" s="272"/>
      <c r="CV39" s="273"/>
      <c r="CW39" s="273"/>
      <c r="CX39" s="273"/>
      <c r="CY39" s="273"/>
      <c r="CZ39" s="273"/>
      <c r="DA39" s="272"/>
      <c r="DB39" s="272"/>
      <c r="DC39" s="272"/>
      <c r="DD39" s="272"/>
      <c r="DE39" s="272"/>
      <c r="DF39" s="272"/>
      <c r="DG39" s="272"/>
      <c r="DH39" s="272"/>
      <c r="DI39" s="272"/>
      <c r="DJ39" s="274"/>
      <c r="DK39" s="272"/>
      <c r="DL39" s="272"/>
    </row>
    <row r="40" spans="1:126" s="337" customFormat="1" ht="13.35" customHeight="1">
      <c r="A40" s="344"/>
      <c r="B40" s="345" t="s">
        <v>145</v>
      </c>
      <c r="F40" s="346"/>
      <c r="G40" s="347"/>
      <c r="S40" s="348"/>
      <c r="CT40" s="349"/>
      <c r="CU40" s="349"/>
      <c r="CV40" s="349"/>
      <c r="CW40" s="349"/>
      <c r="CX40" s="349"/>
      <c r="CY40" s="349"/>
      <c r="CZ40" s="349"/>
      <c r="DC40" s="349"/>
      <c r="DD40" s="349"/>
      <c r="DE40" s="349"/>
      <c r="DF40" s="349"/>
      <c r="DG40" s="349"/>
      <c r="DQ40" s="350"/>
    </row>
    <row r="41" spans="1:126" s="353" customFormat="1" ht="12.6" customHeight="1">
      <c r="A41" s="351"/>
      <c r="B41" s="579" t="s">
        <v>115</v>
      </c>
      <c r="C41" s="580"/>
      <c r="D41" s="580"/>
      <c r="E41" s="580"/>
      <c r="F41" s="581"/>
      <c r="G41" s="352"/>
      <c r="H41" s="352"/>
      <c r="I41" s="352"/>
      <c r="S41" s="354"/>
      <c r="CL41" s="337"/>
      <c r="CM41" s="337"/>
      <c r="CN41" s="337"/>
      <c r="CO41" s="349"/>
      <c r="CP41" s="349"/>
      <c r="CQ41" s="349"/>
      <c r="CR41" s="349"/>
      <c r="CS41" s="349"/>
      <c r="CT41" s="349"/>
      <c r="CU41" s="349"/>
      <c r="CV41" s="337"/>
      <c r="CW41" s="337"/>
      <c r="CX41" s="349"/>
      <c r="CY41" s="349"/>
      <c r="CZ41" s="349"/>
      <c r="DA41" s="349"/>
      <c r="DB41" s="349"/>
      <c r="DC41" s="337"/>
      <c r="DD41" s="337"/>
      <c r="DE41" s="337"/>
      <c r="DF41" s="337"/>
      <c r="DG41" s="337"/>
      <c r="DH41" s="337"/>
      <c r="DI41" s="337"/>
      <c r="DJ41" s="337"/>
      <c r="DK41" s="337"/>
      <c r="DL41" s="350"/>
      <c r="DM41" s="337"/>
      <c r="DN41" s="337"/>
    </row>
    <row r="42" spans="1:126" s="353" customFormat="1" ht="12.6" customHeight="1">
      <c r="A42" s="355"/>
      <c r="B42" s="582"/>
      <c r="C42" s="583"/>
      <c r="D42" s="583"/>
      <c r="E42" s="583"/>
      <c r="F42" s="584"/>
      <c r="G42" s="352"/>
      <c r="H42" s="352"/>
      <c r="I42" s="352"/>
      <c r="S42" s="354"/>
      <c r="CL42" s="337"/>
      <c r="CM42" s="337"/>
      <c r="CN42" s="337"/>
      <c r="CO42" s="349"/>
      <c r="CP42" s="349"/>
      <c r="CQ42" s="349"/>
      <c r="CR42" s="349"/>
      <c r="CS42" s="349"/>
      <c r="CT42" s="349"/>
      <c r="CU42" s="349"/>
      <c r="CV42" s="337"/>
      <c r="CW42" s="337"/>
      <c r="CX42" s="349"/>
      <c r="CY42" s="349"/>
      <c r="CZ42" s="349"/>
      <c r="DA42" s="349"/>
      <c r="DB42" s="349"/>
      <c r="DC42" s="337"/>
      <c r="DD42" s="337"/>
      <c r="DE42" s="337"/>
      <c r="DF42" s="337"/>
      <c r="DG42" s="337"/>
      <c r="DH42" s="337"/>
      <c r="DI42" s="337"/>
      <c r="DJ42" s="337"/>
      <c r="DK42" s="337"/>
      <c r="DL42" s="350"/>
      <c r="DM42" s="337"/>
      <c r="DN42" s="337"/>
    </row>
    <row r="43" spans="1:126" s="353" customFormat="1" ht="12.6" customHeight="1">
      <c r="A43" s="355"/>
      <c r="B43" s="585"/>
      <c r="C43" s="586"/>
      <c r="D43" s="586"/>
      <c r="E43" s="586"/>
      <c r="F43" s="587"/>
      <c r="G43" s="352"/>
      <c r="H43" s="352"/>
      <c r="I43" s="352"/>
      <c r="J43" s="352"/>
      <c r="S43" s="354"/>
      <c r="CM43" s="337"/>
      <c r="CN43" s="337"/>
      <c r="CO43" s="337"/>
      <c r="CP43" s="349"/>
      <c r="CQ43" s="349"/>
      <c r="CR43" s="349"/>
      <c r="CS43" s="349"/>
      <c r="CT43" s="349"/>
      <c r="CU43" s="349"/>
      <c r="CV43" s="349"/>
      <c r="CW43" s="337"/>
      <c r="CX43" s="337"/>
      <c r="CY43" s="349"/>
      <c r="CZ43" s="349"/>
      <c r="DA43" s="349"/>
      <c r="DB43" s="349"/>
      <c r="DC43" s="349"/>
      <c r="DD43" s="337"/>
      <c r="DE43" s="337"/>
      <c r="DF43" s="337"/>
      <c r="DG43" s="337"/>
      <c r="DH43" s="337"/>
      <c r="DI43" s="337"/>
      <c r="DJ43" s="337"/>
      <c r="DK43" s="337"/>
      <c r="DL43" s="337"/>
      <c r="DM43" s="337"/>
      <c r="DN43" s="337"/>
      <c r="DO43" s="337"/>
    </row>
    <row r="44" spans="1:126" s="360" customFormat="1" ht="12.6" customHeight="1">
      <c r="A44" s="356"/>
      <c r="B44" s="357"/>
      <c r="C44" s="290"/>
      <c r="D44" s="290"/>
      <c r="E44" s="290"/>
      <c r="F44" s="284"/>
      <c r="G44" s="284"/>
      <c r="H44" s="287"/>
      <c r="I44" s="287"/>
      <c r="J44" s="287"/>
      <c r="K44" s="287"/>
      <c r="L44" s="287"/>
      <c r="M44" s="287"/>
      <c r="N44" s="358"/>
      <c r="O44" s="358"/>
      <c r="P44" s="358"/>
      <c r="Q44" s="358"/>
      <c r="R44" s="358"/>
      <c r="S44" s="359"/>
      <c r="U44" s="361"/>
      <c r="V44" s="362"/>
      <c r="W44" s="362"/>
      <c r="X44" s="363"/>
      <c r="CT44" s="297"/>
      <c r="CU44" s="297"/>
      <c r="CV44" s="297"/>
      <c r="CW44" s="273"/>
      <c r="CX44" s="273"/>
      <c r="CY44" s="273"/>
      <c r="CZ44" s="273"/>
      <c r="DA44" s="273"/>
      <c r="DB44" s="273"/>
      <c r="DC44" s="273"/>
      <c r="DD44" s="273"/>
      <c r="DE44" s="297"/>
      <c r="DF44" s="273"/>
      <c r="DG44" s="273"/>
      <c r="DH44" s="273"/>
      <c r="DI44" s="273"/>
      <c r="DJ44" s="273"/>
      <c r="DK44" s="297"/>
      <c r="DL44" s="297"/>
      <c r="DM44" s="297"/>
      <c r="DN44" s="297"/>
      <c r="DO44" s="297"/>
      <c r="DP44" s="297"/>
      <c r="DQ44" s="297"/>
      <c r="DR44" s="297"/>
      <c r="DS44" s="297"/>
      <c r="DT44" s="309"/>
      <c r="DU44" s="297"/>
      <c r="DV44" s="297"/>
    </row>
    <row r="45" spans="1:126" s="360" customFormat="1" ht="12.6" customHeight="1">
      <c r="A45" s="364"/>
      <c r="B45" s="357"/>
      <c r="C45" s="290"/>
      <c r="D45" s="290"/>
      <c r="E45" s="290"/>
      <c r="F45" s="284"/>
      <c r="G45" s="284"/>
      <c r="H45" s="287"/>
      <c r="I45" s="287"/>
      <c r="J45" s="287"/>
      <c r="K45" s="287"/>
      <c r="L45" s="287"/>
      <c r="M45" s="287"/>
      <c r="N45" s="358"/>
      <c r="O45" s="358"/>
      <c r="P45" s="358"/>
      <c r="Q45" s="358"/>
      <c r="R45" s="358"/>
      <c r="S45" s="359"/>
      <c r="U45" s="361"/>
      <c r="V45" s="362"/>
      <c r="W45" s="362"/>
      <c r="X45" s="363"/>
      <c r="CT45" s="297"/>
      <c r="CU45" s="297"/>
      <c r="CV45" s="297"/>
      <c r="CW45" s="273"/>
      <c r="CX45" s="273"/>
      <c r="CY45" s="273"/>
      <c r="CZ45" s="273"/>
      <c r="DA45" s="273"/>
      <c r="DB45" s="273"/>
      <c r="DC45" s="273"/>
      <c r="DD45" s="273"/>
      <c r="DE45" s="297"/>
      <c r="DF45" s="273"/>
      <c r="DG45" s="273"/>
      <c r="DH45" s="273"/>
      <c r="DI45" s="273"/>
      <c r="DJ45" s="273"/>
      <c r="DK45" s="297"/>
      <c r="DL45" s="297"/>
      <c r="DM45" s="297"/>
      <c r="DN45" s="297"/>
      <c r="DO45" s="297"/>
      <c r="DP45" s="297"/>
      <c r="DQ45" s="297"/>
      <c r="DR45" s="297"/>
      <c r="DS45" s="297"/>
      <c r="DT45" s="309"/>
      <c r="DU45" s="297"/>
      <c r="DV45" s="297"/>
    </row>
    <row r="46" spans="1:126" s="360" customFormat="1" ht="16.8">
      <c r="A46" s="364"/>
      <c r="B46" s="365" t="s">
        <v>116</v>
      </c>
      <c r="C46" s="366"/>
      <c r="D46" s="366"/>
      <c r="E46" s="271"/>
      <c r="F46" s="367"/>
      <c r="G46" s="284"/>
      <c r="H46" s="287"/>
      <c r="I46" s="287"/>
      <c r="J46" s="287"/>
      <c r="K46" s="287"/>
      <c r="L46" s="287"/>
      <c r="M46" s="287"/>
      <c r="N46" s="358"/>
      <c r="O46" s="358"/>
      <c r="P46" s="358"/>
      <c r="Q46" s="358"/>
      <c r="R46" s="358"/>
      <c r="S46" s="359"/>
      <c r="U46" s="361"/>
      <c r="V46" s="362"/>
      <c r="W46" s="362"/>
      <c r="X46" s="363"/>
      <c r="CT46" s="297"/>
      <c r="CU46" s="297"/>
      <c r="CV46" s="297"/>
      <c r="CW46" s="273"/>
      <c r="CX46" s="273"/>
      <c r="CY46" s="273"/>
      <c r="CZ46" s="273"/>
      <c r="DA46" s="273"/>
      <c r="DB46" s="273"/>
      <c r="DC46" s="273"/>
      <c r="DD46" s="273"/>
      <c r="DE46" s="297"/>
      <c r="DF46" s="273"/>
      <c r="DG46" s="273"/>
      <c r="DH46" s="273"/>
      <c r="DI46" s="273"/>
      <c r="DJ46" s="273"/>
      <c r="DK46" s="297"/>
      <c r="DL46" s="297"/>
      <c r="DM46" s="297"/>
      <c r="DN46" s="297"/>
      <c r="DO46" s="297"/>
      <c r="DP46" s="297"/>
      <c r="DQ46" s="297"/>
      <c r="DR46" s="297"/>
      <c r="DS46" s="297"/>
      <c r="DT46" s="309"/>
      <c r="DU46" s="297"/>
      <c r="DV46" s="297"/>
    </row>
    <row r="47" spans="1:126" s="360" customFormat="1" ht="12.6" customHeight="1">
      <c r="A47" s="364"/>
      <c r="B47" s="368" t="s">
        <v>146</v>
      </c>
      <c r="C47" s="295"/>
      <c r="D47" s="295"/>
      <c r="E47" s="369"/>
      <c r="F47" s="369"/>
      <c r="G47" s="284"/>
      <c r="H47" s="287"/>
      <c r="I47" s="287"/>
      <c r="J47" s="287"/>
      <c r="K47" s="287"/>
      <c r="L47" s="287"/>
      <c r="M47" s="287"/>
      <c r="N47" s="358"/>
      <c r="O47" s="358"/>
      <c r="P47" s="358"/>
      <c r="Q47" s="358"/>
      <c r="R47" s="358"/>
      <c r="S47" s="359"/>
      <c r="U47" s="361"/>
      <c r="V47" s="362"/>
      <c r="W47" s="362"/>
      <c r="X47" s="363"/>
      <c r="CT47" s="297"/>
      <c r="CU47" s="297"/>
      <c r="CV47" s="297"/>
      <c r="CW47" s="273"/>
      <c r="CX47" s="273"/>
      <c r="CY47" s="273"/>
      <c r="CZ47" s="273"/>
      <c r="DA47" s="273"/>
      <c r="DB47" s="273"/>
      <c r="DC47" s="273"/>
      <c r="DD47" s="273"/>
      <c r="DE47" s="297"/>
      <c r="DF47" s="273"/>
      <c r="DG47" s="273"/>
      <c r="DH47" s="273"/>
      <c r="DI47" s="273"/>
      <c r="DJ47" s="273"/>
      <c r="DK47" s="297"/>
      <c r="DL47" s="297"/>
      <c r="DM47" s="297"/>
      <c r="DN47" s="297"/>
      <c r="DO47" s="297"/>
      <c r="DP47" s="297"/>
      <c r="DQ47" s="297"/>
      <c r="DR47" s="297"/>
      <c r="DS47" s="297"/>
      <c r="DT47" s="309"/>
      <c r="DU47" s="297"/>
      <c r="DV47" s="297"/>
    </row>
    <row r="48" spans="1:126" s="360" customFormat="1" ht="12.6" customHeight="1">
      <c r="A48" s="364"/>
      <c r="B48" s="370"/>
      <c r="C48" s="371"/>
      <c r="D48" s="371"/>
      <c r="E48" s="474"/>
      <c r="F48" s="475"/>
      <c r="G48" s="284"/>
      <c r="H48" s="287"/>
      <c r="I48" s="287"/>
      <c r="J48" s="287"/>
      <c r="K48" s="287"/>
      <c r="L48" s="287"/>
      <c r="M48" s="287"/>
      <c r="N48" s="358"/>
      <c r="O48" s="358"/>
      <c r="P48" s="358"/>
      <c r="Q48" s="358"/>
      <c r="R48" s="358"/>
      <c r="S48" s="359"/>
      <c r="U48" s="361"/>
      <c r="V48" s="362"/>
      <c r="W48" s="362"/>
      <c r="X48" s="363"/>
      <c r="CT48" s="297"/>
      <c r="CU48" s="297"/>
      <c r="CV48" s="297"/>
      <c r="CW48" s="273"/>
      <c r="CX48" s="273"/>
      <c r="CY48" s="273"/>
      <c r="CZ48" s="273"/>
      <c r="DA48" s="273"/>
      <c r="DB48" s="273"/>
      <c r="DC48" s="273"/>
      <c r="DD48" s="273"/>
      <c r="DE48" s="297"/>
      <c r="DF48" s="273"/>
      <c r="DG48" s="273"/>
      <c r="DH48" s="273"/>
      <c r="DI48" s="273"/>
      <c r="DJ48" s="273"/>
      <c r="DK48" s="297"/>
      <c r="DL48" s="297"/>
      <c r="DM48" s="297"/>
      <c r="DN48" s="297"/>
      <c r="DO48" s="297"/>
      <c r="DP48" s="297"/>
      <c r="DQ48" s="297"/>
      <c r="DR48" s="297"/>
      <c r="DS48" s="297"/>
      <c r="DT48" s="309"/>
      <c r="DU48" s="297"/>
      <c r="DV48" s="297"/>
    </row>
    <row r="49" spans="1:126" s="360" customFormat="1" ht="12.6" customHeight="1">
      <c r="A49" s="364"/>
      <c r="B49" s="372"/>
      <c r="C49" s="476"/>
      <c r="D49" s="476"/>
      <c r="E49" s="477"/>
      <c r="F49" s="478"/>
      <c r="G49" s="284"/>
      <c r="H49" s="287"/>
      <c r="I49" s="287"/>
      <c r="J49" s="287"/>
      <c r="K49" s="287"/>
      <c r="L49" s="287"/>
      <c r="M49" s="287"/>
      <c r="N49" s="358"/>
      <c r="O49" s="358"/>
      <c r="P49" s="358"/>
      <c r="Q49" s="358"/>
      <c r="R49" s="358"/>
      <c r="S49" s="359"/>
      <c r="U49" s="361"/>
      <c r="V49" s="362"/>
      <c r="W49" s="362"/>
      <c r="X49" s="363"/>
      <c r="CT49" s="297"/>
      <c r="CU49" s="297"/>
      <c r="CV49" s="297"/>
      <c r="CW49" s="273"/>
      <c r="CX49" s="273"/>
      <c r="CY49" s="273"/>
      <c r="CZ49" s="273"/>
      <c r="DA49" s="273"/>
      <c r="DB49" s="273"/>
      <c r="DC49" s="273"/>
      <c r="DD49" s="273"/>
      <c r="DE49" s="297"/>
      <c r="DF49" s="273"/>
      <c r="DG49" s="273"/>
      <c r="DH49" s="273"/>
      <c r="DI49" s="273"/>
      <c r="DJ49" s="273"/>
      <c r="DK49" s="297"/>
      <c r="DL49" s="297"/>
      <c r="DM49" s="297"/>
      <c r="DN49" s="297"/>
      <c r="DO49" s="297"/>
      <c r="DP49" s="297"/>
      <c r="DQ49" s="297"/>
      <c r="DR49" s="297"/>
      <c r="DS49" s="297"/>
      <c r="DT49" s="309"/>
      <c r="DU49" s="297"/>
      <c r="DV49" s="297"/>
    </row>
    <row r="50" spans="1:126" ht="14.4" customHeight="1">
      <c r="B50" s="372"/>
      <c r="C50" s="476"/>
      <c r="D50" s="476"/>
      <c r="E50" s="477"/>
      <c r="F50" s="478"/>
      <c r="S50" s="264"/>
    </row>
    <row r="51" spans="1:126" ht="15.6">
      <c r="B51" s="374"/>
      <c r="C51" s="479"/>
      <c r="D51" s="479"/>
      <c r="E51" s="479"/>
      <c r="F51" s="480"/>
      <c r="S51" s="264"/>
    </row>
    <row r="52" spans="1:126" ht="15" customHeight="1">
      <c r="S52" s="264"/>
    </row>
    <row r="53" spans="1:126" ht="7.5" customHeight="1">
      <c r="A53" s="375"/>
      <c r="B53" s="376"/>
      <c r="C53" s="264"/>
      <c r="D53" s="264"/>
      <c r="E53" s="264"/>
      <c r="F53" s="264"/>
      <c r="G53" s="264"/>
      <c r="H53" s="264"/>
      <c r="I53" s="264"/>
      <c r="J53" s="264"/>
      <c r="K53" s="264"/>
      <c r="L53" s="264"/>
      <c r="M53" s="264"/>
      <c r="N53" s="264"/>
      <c r="O53" s="264"/>
      <c r="P53" s="264"/>
      <c r="Q53" s="264"/>
      <c r="R53" s="264"/>
      <c r="S53" s="264"/>
    </row>
  </sheetData>
  <mergeCells count="13">
    <mergeCell ref="B41:F43"/>
    <mergeCell ref="P29:P30"/>
    <mergeCell ref="N29:N30"/>
    <mergeCell ref="E29:J29"/>
    <mergeCell ref="L29:M29"/>
    <mergeCell ref="O29:O30"/>
    <mergeCell ref="Q29:Q30"/>
    <mergeCell ref="B18:F20"/>
    <mergeCell ref="B22:C22"/>
    <mergeCell ref="A3:B3"/>
    <mergeCell ref="A5:B5"/>
    <mergeCell ref="B12:E12"/>
    <mergeCell ref="B15:E15"/>
  </mergeCells>
  <phoneticPr fontId="99" type="noConversion"/>
  <conditionalFormatting sqref="B18 B31:E33">
    <cfRule type="containsBlanks" dxfId="20" priority="10">
      <formula>LEN(TRIM(B18))=0</formula>
    </cfRule>
  </conditionalFormatting>
  <conditionalFormatting sqref="B41">
    <cfRule type="containsBlanks" dxfId="19" priority="2">
      <formula>LEN(TRIM(B41))=0</formula>
    </cfRule>
  </conditionalFormatting>
  <conditionalFormatting sqref="B48:F48 C49:F49 B49:B51">
    <cfRule type="containsBlanks" dxfId="18" priority="4">
      <formula>LEN(TRIM(B48))=0</formula>
    </cfRule>
  </conditionalFormatting>
  <conditionalFormatting sqref="C8:C11">
    <cfRule type="containsBlanks" dxfId="17" priority="5">
      <formula>LEN(TRIM(C8))=0</formula>
    </cfRule>
  </conditionalFormatting>
  <conditionalFormatting sqref="C24">
    <cfRule type="containsBlanks" dxfId="16" priority="9">
      <formula>LEN(TRIM(C24))=0</formula>
    </cfRule>
  </conditionalFormatting>
  <conditionalFormatting sqref="C50:F51">
    <cfRule type="containsBlanks" dxfId="15" priority="3">
      <formula>LEN(TRIM(C50))=0</formula>
    </cfRule>
  </conditionalFormatting>
  <conditionalFormatting sqref="K31:K33 Q31:Q33 G37 J37:K37">
    <cfRule type="containsBlanks" dxfId="14" priority="16">
      <formula>LEN(TRIM(G31))=0</formula>
    </cfRule>
  </conditionalFormatting>
  <conditionalFormatting sqref="Q35">
    <cfRule type="containsBlanks" dxfId="13" priority="1">
      <formula>LEN(TRIM(Q35))=0</formula>
    </cfRule>
  </conditionalFormatting>
  <dataValidations count="3">
    <dataValidation type="list" allowBlank="1" showInputMessage="1" sqref="Q31:Q33 Q35" xr:uid="{3E8E4F9A-FC0A-4B7D-A08E-18AE731B9728}">
      <formula1>"是,否"</formula1>
    </dataValidation>
    <dataValidation type="list" allowBlank="1" showInputMessage="1" showErrorMessage="1" sqref="C8:C11" xr:uid="{317D22CA-1F45-4065-86D3-D654D02B0E35}">
      <formula1>"Minimal,Low,Moderate,High,N/A"</formula1>
    </dataValidation>
    <dataValidation type="list" allowBlank="1" showInputMessage="1" sqref="B48:B51" xr:uid="{C09DF0A3-912C-4D9C-8484-6C22A08D460A}">
      <formula1>"管理层账表调整(CLA),已更正审计调整(AA/RA/OA),未更正审计调整(SAD)"</formula1>
    </dataValidation>
  </dataValidations>
  <hyperlinks>
    <hyperlink ref="B4" location="汇总!A1" display="返回汇总页" xr:uid="{B85787DF-0F33-4F61-A230-7DB32726EBF6}"/>
  </hyperlink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63CAB-5371-4E83-840C-501A83F8C029}">
  <dimension ref="A1:X105"/>
  <sheetViews>
    <sheetView showGridLines="0" zoomScale="70" zoomScaleNormal="70" workbookViewId="0">
      <selection activeCell="O90" sqref="O90"/>
    </sheetView>
  </sheetViews>
  <sheetFormatPr defaultColWidth="7.77734375" defaultRowHeight="13.2" outlineLevelRow="1"/>
  <cols>
    <col min="1" max="1" width="5.21875" style="655" customWidth="1"/>
    <col min="2" max="2" width="5.77734375" style="843" customWidth="1"/>
    <col min="3" max="3" width="16.109375" style="660" customWidth="1"/>
    <col min="4" max="4" width="30.33203125" style="660" customWidth="1"/>
    <col min="5" max="5" width="32.5546875" style="660" customWidth="1"/>
    <col min="6" max="6" width="33.44140625" style="660" customWidth="1"/>
    <col min="7" max="7" width="37.6640625" style="660" customWidth="1"/>
    <col min="8" max="8" width="14.5546875" style="660" customWidth="1"/>
    <col min="9" max="9" width="22.21875" style="660" customWidth="1"/>
    <col min="10" max="10" width="13.109375" style="660" customWidth="1"/>
    <col min="11" max="11" width="17.109375" style="660" customWidth="1"/>
    <col min="12" max="12" width="16.77734375" style="660" customWidth="1"/>
    <col min="13" max="13" width="20.109375" style="660" customWidth="1"/>
    <col min="14" max="14" width="19.44140625" style="660" customWidth="1"/>
    <col min="15" max="15" width="15.77734375" style="660" customWidth="1"/>
    <col min="16" max="19" width="11.109375" style="660" customWidth="1"/>
    <col min="20" max="20" width="8.44140625" style="660" customWidth="1"/>
    <col min="21" max="21" width="12.5546875" style="660" customWidth="1"/>
    <col min="22" max="22" width="6.77734375" style="660" customWidth="1"/>
    <col min="23" max="16384" width="7.77734375" style="660"/>
  </cols>
  <sheetData>
    <row r="1" spans="1:24" s="3" customFormat="1" ht="22.05" customHeight="1">
      <c r="A1" s="651" t="s">
        <v>0</v>
      </c>
      <c r="B1" s="652"/>
      <c r="C1" s="653"/>
      <c r="I1" s="654"/>
      <c r="J1" s="654"/>
      <c r="K1" s="654"/>
    </row>
    <row r="2" spans="1:24" ht="21" thickBot="1">
      <c r="B2" s="656"/>
      <c r="C2" s="657" t="s">
        <v>556</v>
      </c>
      <c r="D2" s="658"/>
      <c r="E2" s="658"/>
      <c r="F2" s="658"/>
      <c r="G2" s="659"/>
      <c r="I2" s="654"/>
      <c r="J2" s="654"/>
      <c r="K2" s="654"/>
      <c r="L2" s="654"/>
      <c r="M2" s="654"/>
      <c r="N2" s="654"/>
      <c r="O2" s="654"/>
      <c r="P2" s="654"/>
      <c r="Q2" s="654"/>
      <c r="R2" s="654"/>
      <c r="S2" s="654"/>
      <c r="T2" s="654"/>
      <c r="U2" s="654"/>
    </row>
    <row r="3" spans="1:24" ht="25.5" customHeight="1" outlineLevel="1">
      <c r="B3" s="656"/>
      <c r="C3" s="661" t="s">
        <v>557</v>
      </c>
      <c r="D3" s="662"/>
      <c r="E3" s="662"/>
      <c r="F3" s="662"/>
      <c r="G3" s="663"/>
      <c r="H3" s="664"/>
      <c r="I3" s="654"/>
      <c r="J3" s="654"/>
      <c r="K3" s="654"/>
      <c r="L3" s="654"/>
      <c r="M3" s="654"/>
      <c r="N3" s="654"/>
      <c r="O3" s="654"/>
      <c r="P3" s="654"/>
      <c r="Q3" s="654"/>
      <c r="R3" s="654"/>
      <c r="S3" s="654"/>
      <c r="T3" s="654"/>
      <c r="U3" s="654"/>
    </row>
    <row r="4" spans="1:24" ht="27.6" customHeight="1" outlineLevel="1">
      <c r="B4" s="656"/>
      <c r="C4" s="665" t="s">
        <v>558</v>
      </c>
      <c r="D4" s="666"/>
      <c r="E4" s="666"/>
      <c r="F4" s="666"/>
      <c r="G4" s="667"/>
      <c r="H4" s="664"/>
      <c r="I4" s="654"/>
      <c r="J4" s="654"/>
      <c r="K4" s="654"/>
      <c r="L4" s="654"/>
      <c r="M4" s="654"/>
      <c r="N4" s="654"/>
      <c r="O4" s="654"/>
      <c r="P4" s="654"/>
      <c r="Q4" s="654"/>
      <c r="R4" s="654"/>
      <c r="S4" s="654"/>
      <c r="T4" s="654"/>
      <c r="U4" s="654"/>
    </row>
    <row r="5" spans="1:24" ht="19.2" outlineLevel="1">
      <c r="B5" s="656"/>
      <c r="C5" s="668" t="s">
        <v>559</v>
      </c>
      <c r="D5" s="669"/>
      <c r="E5" s="669"/>
      <c r="F5" s="669"/>
      <c r="G5" s="670"/>
      <c r="H5" s="671"/>
      <c r="I5" s="654"/>
      <c r="J5" s="654"/>
      <c r="K5" s="654"/>
      <c r="L5" s="654"/>
      <c r="M5" s="654"/>
      <c r="N5" s="654"/>
      <c r="O5" s="654"/>
      <c r="P5" s="654"/>
      <c r="Q5" s="654"/>
      <c r="R5" s="654"/>
      <c r="S5" s="654"/>
      <c r="T5" s="654"/>
      <c r="U5" s="654"/>
    </row>
    <row r="6" spans="1:24" ht="15.75" customHeight="1" outlineLevel="1" thickBot="1">
      <c r="B6" s="656"/>
      <c r="C6" s="672"/>
      <c r="D6" s="673"/>
      <c r="E6" s="673"/>
      <c r="F6" s="673"/>
      <c r="G6" s="674"/>
      <c r="H6" s="675"/>
      <c r="I6" s="654"/>
      <c r="J6" s="654"/>
      <c r="K6" s="654"/>
      <c r="L6" s="654"/>
      <c r="M6" s="654"/>
      <c r="N6" s="654"/>
      <c r="O6" s="654"/>
      <c r="P6" s="654"/>
      <c r="Q6" s="654"/>
      <c r="R6" s="654"/>
      <c r="S6" s="654"/>
      <c r="T6" s="654"/>
      <c r="U6" s="654"/>
    </row>
    <row r="7" spans="1:24" s="683" customFormat="1" ht="16.350000000000001" customHeight="1">
      <c r="A7" s="676"/>
      <c r="B7" s="656"/>
      <c r="C7" s="677"/>
      <c r="D7" s="678"/>
      <c r="E7" s="679"/>
      <c r="F7" s="679"/>
      <c r="G7" s="680"/>
      <c r="H7" s="681"/>
      <c r="I7" s="682"/>
      <c r="J7" s="682"/>
      <c r="K7" s="682"/>
      <c r="L7" s="682"/>
      <c r="M7" s="682"/>
      <c r="N7" s="682"/>
      <c r="O7" s="682"/>
      <c r="P7" s="654"/>
      <c r="Q7" s="654"/>
      <c r="R7" s="654"/>
      <c r="S7" s="654"/>
      <c r="T7" s="654"/>
      <c r="U7" s="654"/>
    </row>
    <row r="8" spans="1:24" s="683" customFormat="1" ht="13.8" thickBot="1">
      <c r="A8" s="676"/>
      <c r="B8" s="684"/>
      <c r="C8" s="685"/>
      <c r="D8" s="686"/>
      <c r="E8" s="686"/>
      <c r="F8" s="685"/>
      <c r="G8" s="685"/>
      <c r="H8" s="685"/>
      <c r="I8" s="685"/>
      <c r="J8" s="685"/>
      <c r="K8" s="685"/>
      <c r="L8" s="685"/>
      <c r="M8" s="685"/>
      <c r="N8" s="685"/>
      <c r="O8" s="685"/>
      <c r="P8" s="685"/>
      <c r="Q8" s="685"/>
      <c r="R8" s="685"/>
      <c r="S8" s="685"/>
      <c r="T8" s="685"/>
      <c r="U8" s="685"/>
      <c r="V8" s="685"/>
      <c r="W8" s="654"/>
      <c r="X8" s="654"/>
    </row>
    <row r="9" spans="1:24" s="690" customFormat="1" ht="16.2" thickBot="1">
      <c r="A9" s="687"/>
      <c r="B9" s="688"/>
      <c r="C9" s="689" t="s">
        <v>560</v>
      </c>
      <c r="P9" s="691"/>
      <c r="Q9" s="691"/>
      <c r="R9" s="691"/>
      <c r="S9" s="691"/>
    </row>
    <row r="10" spans="1:24" s="690" customFormat="1" ht="15.6">
      <c r="A10" s="687"/>
      <c r="B10" s="692"/>
      <c r="C10" s="693">
        <v>1</v>
      </c>
      <c r="D10" s="694" t="s">
        <v>561</v>
      </c>
      <c r="E10" s="695"/>
      <c r="F10" s="695"/>
      <c r="G10" s="696"/>
      <c r="P10" s="691"/>
      <c r="Q10" s="691"/>
      <c r="R10" s="691"/>
      <c r="S10" s="691"/>
    </row>
    <row r="11" spans="1:24" s="690" customFormat="1" ht="15.6">
      <c r="A11" s="687"/>
      <c r="B11" s="692"/>
      <c r="C11" s="697">
        <v>1.1000000000000001</v>
      </c>
      <c r="D11" s="698" t="s">
        <v>562</v>
      </c>
      <c r="E11" s="698" t="s">
        <v>563</v>
      </c>
      <c r="F11" s="699" t="s">
        <v>564</v>
      </c>
      <c r="G11" s="700"/>
      <c r="P11" s="691"/>
      <c r="Q11" s="691"/>
      <c r="R11" s="691"/>
      <c r="S11" s="691"/>
      <c r="T11" s="691"/>
    </row>
    <row r="12" spans="1:24" s="690" customFormat="1">
      <c r="A12" s="687"/>
      <c r="B12" s="692"/>
      <c r="C12" s="697"/>
      <c r="D12" s="701"/>
      <c r="E12" s="702"/>
      <c r="F12" s="703"/>
      <c r="G12" s="700"/>
      <c r="P12" s="691"/>
      <c r="Q12" s="691"/>
      <c r="R12" s="691"/>
      <c r="S12" s="691"/>
      <c r="T12" s="691"/>
    </row>
    <row r="13" spans="1:24" s="690" customFormat="1">
      <c r="A13" s="687"/>
      <c r="B13" s="692"/>
      <c r="C13" s="697"/>
      <c r="D13" s="701"/>
      <c r="E13" s="702"/>
      <c r="F13" s="703"/>
      <c r="G13" s="700"/>
      <c r="P13" s="691"/>
      <c r="Q13" s="691"/>
      <c r="R13" s="691"/>
      <c r="S13" s="691"/>
      <c r="T13" s="691"/>
    </row>
    <row r="14" spans="1:24" s="690" customFormat="1">
      <c r="A14" s="687"/>
      <c r="B14" s="692"/>
      <c r="C14" s="697"/>
      <c r="D14" s="701"/>
      <c r="E14" s="702"/>
      <c r="F14" s="703"/>
      <c r="G14" s="700"/>
      <c r="P14" s="691"/>
      <c r="Q14" s="691"/>
      <c r="R14" s="691"/>
      <c r="S14" s="691"/>
      <c r="T14" s="691"/>
    </row>
    <row r="15" spans="1:24" s="690" customFormat="1" ht="16.2" thickBot="1">
      <c r="A15" s="687"/>
      <c r="B15" s="704"/>
      <c r="C15" s="705"/>
      <c r="D15" s="706" t="s">
        <v>565</v>
      </c>
      <c r="F15" s="707">
        <f>SUM(F12:F14)</f>
        <v>0</v>
      </c>
      <c r="G15" s="708"/>
      <c r="P15" s="691"/>
      <c r="Q15" s="691"/>
      <c r="R15" s="691"/>
      <c r="S15" s="691"/>
      <c r="T15" s="691"/>
    </row>
    <row r="16" spans="1:24" s="690" customFormat="1" ht="13.8" thickTop="1">
      <c r="A16" s="687"/>
      <c r="B16" s="704"/>
      <c r="C16" s="705"/>
      <c r="D16" s="709"/>
      <c r="F16" s="710" t="s">
        <v>54</v>
      </c>
      <c r="G16" s="711"/>
      <c r="P16" s="691"/>
      <c r="Q16" s="691"/>
      <c r="R16" s="691"/>
      <c r="S16" s="691"/>
      <c r="T16" s="691"/>
    </row>
    <row r="17" spans="1:20" s="690" customFormat="1" ht="15.6">
      <c r="A17" s="687"/>
      <c r="B17" s="704"/>
      <c r="C17" s="697">
        <v>1.2</v>
      </c>
      <c r="D17" s="712" t="s">
        <v>566</v>
      </c>
      <c r="E17" s="698" t="s">
        <v>563</v>
      </c>
      <c r="F17" s="713" t="s">
        <v>567</v>
      </c>
      <c r="G17" s="714" t="s">
        <v>158</v>
      </c>
      <c r="P17" s="691"/>
      <c r="Q17" s="691"/>
      <c r="R17" s="691"/>
      <c r="S17" s="691"/>
      <c r="T17" s="691"/>
    </row>
    <row r="18" spans="1:20" s="690" customFormat="1" ht="25.5" customHeight="1">
      <c r="A18" s="687"/>
      <c r="B18" s="704"/>
      <c r="C18" s="697"/>
      <c r="D18" s="706" t="s">
        <v>568</v>
      </c>
      <c r="E18" s="706"/>
      <c r="F18" s="715"/>
      <c r="G18" s="716"/>
      <c r="P18" s="691"/>
      <c r="Q18" s="691"/>
      <c r="R18" s="691"/>
      <c r="S18" s="691"/>
      <c r="T18" s="691"/>
    </row>
    <row r="19" spans="1:20" s="690" customFormat="1" ht="15.6">
      <c r="A19" s="687"/>
      <c r="B19" s="704"/>
      <c r="C19" s="705"/>
      <c r="D19" s="717" t="s">
        <v>569</v>
      </c>
      <c r="E19" s="718" t="s">
        <v>570</v>
      </c>
      <c r="F19" s="719" t="s">
        <v>571</v>
      </c>
      <c r="G19" s="720"/>
      <c r="P19" s="691"/>
      <c r="Q19" s="691"/>
      <c r="R19" s="691"/>
      <c r="S19" s="691"/>
      <c r="T19" s="691"/>
    </row>
    <row r="20" spans="1:20" s="690" customFormat="1" ht="15">
      <c r="A20" s="687"/>
      <c r="B20" s="704"/>
      <c r="C20" s="705"/>
      <c r="D20" s="717" t="s">
        <v>572</v>
      </c>
      <c r="E20" s="721"/>
      <c r="F20" s="722"/>
      <c r="G20" s="720"/>
      <c r="P20" s="691"/>
      <c r="Q20" s="691"/>
      <c r="R20" s="691"/>
      <c r="S20" s="691"/>
      <c r="T20" s="691"/>
    </row>
    <row r="21" spans="1:20" s="690" customFormat="1" ht="15">
      <c r="A21" s="687"/>
      <c r="B21" s="704"/>
      <c r="C21" s="705"/>
      <c r="D21" s="717" t="s">
        <v>573</v>
      </c>
      <c r="E21" s="721"/>
      <c r="F21" s="722"/>
      <c r="G21" s="720"/>
      <c r="P21" s="691"/>
      <c r="Q21" s="691"/>
      <c r="R21" s="691"/>
      <c r="S21" s="691"/>
      <c r="T21" s="691"/>
    </row>
    <row r="22" spans="1:20" s="690" customFormat="1" ht="15">
      <c r="A22" s="687"/>
      <c r="B22" s="704"/>
      <c r="C22" s="705"/>
      <c r="D22" s="717" t="s">
        <v>574</v>
      </c>
      <c r="E22" s="721"/>
      <c r="F22" s="722"/>
      <c r="G22" s="720"/>
      <c r="P22" s="691"/>
      <c r="Q22" s="691"/>
      <c r="R22" s="691"/>
      <c r="S22" s="691"/>
      <c r="T22" s="691"/>
    </row>
    <row r="23" spans="1:20" s="690" customFormat="1" ht="15">
      <c r="A23" s="687"/>
      <c r="B23" s="704"/>
      <c r="C23" s="705"/>
      <c r="D23" s="717" t="s">
        <v>575</v>
      </c>
      <c r="E23" s="721"/>
      <c r="F23" s="722"/>
      <c r="G23" s="720"/>
      <c r="P23" s="691"/>
      <c r="Q23" s="691"/>
      <c r="R23" s="691"/>
      <c r="S23" s="691"/>
      <c r="T23" s="691"/>
    </row>
    <row r="24" spans="1:20" s="690" customFormat="1" ht="15">
      <c r="A24" s="687"/>
      <c r="B24" s="704"/>
      <c r="C24" s="705"/>
      <c r="D24" s="717" t="s">
        <v>576</v>
      </c>
      <c r="E24" s="721"/>
      <c r="F24" s="722"/>
      <c r="G24" s="720"/>
      <c r="P24" s="691"/>
      <c r="Q24" s="691"/>
      <c r="R24" s="691"/>
      <c r="S24" s="691"/>
      <c r="T24" s="691"/>
    </row>
    <row r="25" spans="1:20" s="690" customFormat="1" ht="17.55" customHeight="1">
      <c r="A25" s="687"/>
      <c r="B25" s="704"/>
      <c r="C25" s="705"/>
      <c r="D25" s="717" t="s">
        <v>577</v>
      </c>
      <c r="E25" s="721"/>
      <c r="F25" s="722"/>
      <c r="G25" s="720"/>
      <c r="P25" s="691"/>
      <c r="Q25" s="691"/>
      <c r="R25" s="691"/>
      <c r="S25" s="691"/>
      <c r="T25" s="691"/>
    </row>
    <row r="26" spans="1:20" s="690" customFormat="1" ht="15">
      <c r="A26" s="687"/>
      <c r="B26" s="704"/>
      <c r="C26" s="723"/>
      <c r="D26" s="724" t="s">
        <v>578</v>
      </c>
      <c r="E26" s="721"/>
      <c r="F26" s="722"/>
      <c r="G26" s="720"/>
      <c r="P26" s="691"/>
      <c r="Q26" s="691"/>
      <c r="R26" s="691"/>
      <c r="S26" s="691"/>
      <c r="T26" s="691"/>
    </row>
    <row r="27" spans="1:20" s="690" customFormat="1" ht="20.55" customHeight="1">
      <c r="A27" s="687"/>
      <c r="B27" s="704"/>
      <c r="C27" s="723"/>
      <c r="D27" s="725" t="s">
        <v>579</v>
      </c>
      <c r="E27" s="721"/>
      <c r="F27" s="726" t="s">
        <v>580</v>
      </c>
      <c r="G27" s="720"/>
      <c r="P27" s="691"/>
      <c r="Q27" s="691"/>
      <c r="R27" s="691"/>
      <c r="S27" s="691"/>
      <c r="T27" s="691"/>
    </row>
    <row r="28" spans="1:20" s="690" customFormat="1">
      <c r="A28" s="687"/>
      <c r="B28" s="704"/>
      <c r="C28" s="723"/>
      <c r="D28" s="709"/>
      <c r="G28" s="727"/>
      <c r="P28" s="691"/>
      <c r="Q28" s="691"/>
      <c r="R28" s="691"/>
      <c r="S28" s="691"/>
      <c r="T28" s="691"/>
    </row>
    <row r="29" spans="1:20" s="690" customFormat="1" ht="16.2" thickBot="1">
      <c r="A29" s="687"/>
      <c r="B29" s="704"/>
      <c r="C29" s="723"/>
      <c r="D29" s="706" t="s">
        <v>581</v>
      </c>
      <c r="G29" s="728">
        <f>SUM(G19:G27)</f>
        <v>0</v>
      </c>
      <c r="P29" s="691"/>
      <c r="Q29" s="691"/>
      <c r="R29" s="691"/>
      <c r="S29" s="691"/>
      <c r="T29" s="691"/>
    </row>
    <row r="30" spans="1:20" s="690" customFormat="1" ht="13.8" thickTop="1">
      <c r="A30" s="687"/>
      <c r="B30" s="704"/>
      <c r="C30" s="723"/>
      <c r="D30" s="729"/>
      <c r="F30" s="730"/>
      <c r="G30" s="731" t="s">
        <v>54</v>
      </c>
      <c r="P30" s="691"/>
      <c r="Q30" s="691"/>
      <c r="R30" s="691"/>
      <c r="S30" s="691"/>
    </row>
    <row r="31" spans="1:20" s="690" customFormat="1" ht="16.2" thickBot="1">
      <c r="A31" s="687"/>
      <c r="B31" s="704"/>
      <c r="C31" s="732"/>
      <c r="D31" s="733" t="s">
        <v>582</v>
      </c>
      <c r="F31" s="734"/>
      <c r="G31" s="735">
        <f>F15-G29</f>
        <v>0</v>
      </c>
      <c r="P31" s="691"/>
      <c r="Q31" s="691"/>
      <c r="R31" s="691"/>
      <c r="S31" s="691"/>
      <c r="T31" s="691"/>
    </row>
    <row r="32" spans="1:20" s="690" customFormat="1" ht="13.8" thickTop="1">
      <c r="A32" s="687"/>
      <c r="B32" s="704"/>
      <c r="C32" s="732"/>
      <c r="E32" s="709"/>
      <c r="F32" s="709"/>
      <c r="G32" s="700"/>
      <c r="P32" s="691"/>
      <c r="Q32" s="691"/>
      <c r="R32" s="691"/>
      <c r="S32" s="691"/>
      <c r="T32" s="691"/>
    </row>
    <row r="33" spans="1:24" s="690" customFormat="1">
      <c r="A33" s="687"/>
      <c r="B33" s="704"/>
      <c r="C33" s="723"/>
      <c r="D33" s="736"/>
      <c r="E33" s="709"/>
      <c r="F33" s="709"/>
      <c r="G33" s="700"/>
      <c r="P33" s="691"/>
      <c r="Q33" s="691"/>
      <c r="R33" s="691"/>
      <c r="S33" s="691"/>
      <c r="T33" s="691"/>
    </row>
    <row r="34" spans="1:24" s="690" customFormat="1" ht="15.6">
      <c r="A34" s="687"/>
      <c r="B34" s="704"/>
      <c r="C34" s="705">
        <v>2</v>
      </c>
      <c r="D34" s="737" t="s">
        <v>583</v>
      </c>
      <c r="E34" s="738" t="s">
        <v>584</v>
      </c>
      <c r="F34" s="738" t="s">
        <v>564</v>
      </c>
      <c r="G34" s="700"/>
      <c r="P34" s="691"/>
      <c r="Q34" s="691"/>
      <c r="R34" s="691"/>
      <c r="S34" s="691"/>
      <c r="T34" s="691"/>
    </row>
    <row r="35" spans="1:24" s="690" customFormat="1" ht="15">
      <c r="A35" s="687"/>
      <c r="B35" s="704"/>
      <c r="C35" s="732"/>
      <c r="D35" s="739" t="s">
        <v>585</v>
      </c>
      <c r="E35" s="740"/>
      <c r="F35" s="740"/>
      <c r="G35" s="700"/>
      <c r="P35" s="691"/>
      <c r="Q35" s="691"/>
      <c r="R35" s="691"/>
      <c r="S35" s="691"/>
      <c r="T35" s="691"/>
    </row>
    <row r="36" spans="1:24" s="690" customFormat="1" ht="15">
      <c r="A36" s="687"/>
      <c r="B36" s="704"/>
      <c r="C36" s="723"/>
      <c r="D36" s="739" t="s">
        <v>586</v>
      </c>
      <c r="E36" s="740"/>
      <c r="F36" s="740"/>
      <c r="G36" s="700"/>
      <c r="P36" s="691"/>
      <c r="Q36" s="691"/>
      <c r="R36" s="691"/>
      <c r="S36" s="691"/>
      <c r="T36" s="691"/>
    </row>
    <row r="37" spans="1:24" s="690" customFormat="1" ht="15">
      <c r="A37" s="687"/>
      <c r="B37" s="704"/>
      <c r="C37" s="723"/>
      <c r="D37" s="739" t="s">
        <v>587</v>
      </c>
      <c r="E37" s="740"/>
      <c r="F37" s="740"/>
      <c r="G37" s="700"/>
      <c r="P37" s="691"/>
      <c r="Q37" s="691"/>
      <c r="R37" s="691"/>
      <c r="S37" s="691"/>
      <c r="T37" s="691"/>
    </row>
    <row r="38" spans="1:24" s="690" customFormat="1">
      <c r="A38" s="687"/>
      <c r="B38" s="704"/>
      <c r="C38" s="723"/>
      <c r="D38" s="741"/>
      <c r="E38" s="742"/>
      <c r="F38" s="742"/>
      <c r="G38" s="700"/>
      <c r="P38" s="691"/>
      <c r="Q38" s="691"/>
      <c r="R38" s="691"/>
      <c r="S38" s="691"/>
      <c r="T38" s="691"/>
    </row>
    <row r="39" spans="1:24" s="690" customFormat="1" ht="16.2" thickBot="1">
      <c r="A39" s="687"/>
      <c r="B39" s="704"/>
      <c r="C39" s="743"/>
      <c r="D39" s="744" t="s">
        <v>588</v>
      </c>
      <c r="E39" s="745">
        <f>SUM(E35:E37)</f>
        <v>0</v>
      </c>
      <c r="F39" s="746">
        <f>SUM(F35:F37)</f>
        <v>0</v>
      </c>
      <c r="G39" s="700"/>
      <c r="P39" s="691"/>
      <c r="Q39" s="691"/>
      <c r="R39" s="691"/>
      <c r="S39" s="691"/>
      <c r="T39" s="691"/>
    </row>
    <row r="40" spans="1:24" s="690" customFormat="1" ht="13.8" thickTop="1">
      <c r="A40" s="687"/>
      <c r="B40" s="704"/>
      <c r="C40" s="743"/>
      <c r="D40" s="747"/>
      <c r="E40" s="748" t="s">
        <v>589</v>
      </c>
      <c r="F40" s="748" t="s">
        <v>589</v>
      </c>
      <c r="G40" s="700"/>
      <c r="P40" s="691"/>
      <c r="Q40" s="691"/>
      <c r="R40" s="691"/>
      <c r="S40" s="691"/>
    </row>
    <row r="41" spans="1:24" s="690" customFormat="1">
      <c r="A41" s="687"/>
      <c r="B41" s="704"/>
      <c r="C41" s="743"/>
      <c r="D41" s="747"/>
      <c r="E41" s="748"/>
      <c r="F41" s="748"/>
      <c r="G41" s="700"/>
      <c r="P41" s="691"/>
      <c r="Q41" s="691"/>
      <c r="R41" s="691"/>
      <c r="S41" s="691"/>
    </row>
    <row r="42" spans="1:24" s="690" customFormat="1" ht="15.6">
      <c r="A42" s="687"/>
      <c r="B42" s="704"/>
      <c r="C42" s="749">
        <v>3</v>
      </c>
      <c r="D42" s="750" t="s">
        <v>590</v>
      </c>
      <c r="E42" s="747"/>
      <c r="G42" s="700"/>
      <c r="P42" s="691"/>
      <c r="Q42" s="691"/>
      <c r="R42" s="691"/>
      <c r="S42" s="691"/>
    </row>
    <row r="43" spans="1:24" s="690" customFormat="1">
      <c r="A43" s="687"/>
      <c r="B43" s="704"/>
      <c r="C43" s="749"/>
      <c r="D43" s="744"/>
      <c r="E43" s="747"/>
      <c r="F43" s="748"/>
      <c r="G43" s="751"/>
      <c r="P43" s="691"/>
      <c r="Q43" s="691"/>
      <c r="R43" s="691"/>
      <c r="S43" s="691"/>
    </row>
    <row r="44" spans="1:24" s="690" customFormat="1" ht="16.2" thickBot="1">
      <c r="A44" s="687"/>
      <c r="B44" s="704"/>
      <c r="C44" s="749"/>
      <c r="D44" s="744" t="s">
        <v>591</v>
      </c>
      <c r="E44" s="752">
        <f>G31-F39</f>
        <v>0</v>
      </c>
      <c r="F44" s="753"/>
      <c r="G44" s="751"/>
      <c r="P44" s="691"/>
      <c r="Q44" s="691"/>
      <c r="R44" s="691"/>
      <c r="S44" s="691"/>
    </row>
    <row r="45" spans="1:24" s="690" customFormat="1" ht="13.8" thickTop="1">
      <c r="A45" s="687"/>
      <c r="B45" s="704"/>
      <c r="C45" s="754"/>
      <c r="F45" s="748"/>
      <c r="G45" s="751"/>
      <c r="P45" s="691"/>
      <c r="Q45" s="691"/>
      <c r="R45" s="691"/>
      <c r="S45" s="691"/>
    </row>
    <row r="46" spans="1:24" s="690" customFormat="1" ht="13.8" thickBot="1">
      <c r="A46" s="687"/>
      <c r="B46" s="704"/>
      <c r="C46" s="755"/>
      <c r="D46" s="756"/>
      <c r="E46" s="756"/>
      <c r="F46" s="756"/>
      <c r="G46" s="757"/>
      <c r="P46" s="691"/>
      <c r="Q46" s="691"/>
      <c r="R46" s="691"/>
      <c r="S46" s="691"/>
    </row>
    <row r="47" spans="1:24" s="683" customFormat="1">
      <c r="A47" s="676"/>
      <c r="B47" s="684"/>
      <c r="C47" s="685"/>
      <c r="D47" s="686"/>
      <c r="E47" s="686"/>
      <c r="F47" s="685"/>
      <c r="G47" s="685"/>
      <c r="H47" s="685"/>
      <c r="I47" s="685"/>
      <c r="J47" s="685"/>
      <c r="K47" s="685"/>
      <c r="L47" s="685"/>
      <c r="M47" s="685"/>
      <c r="N47" s="685"/>
      <c r="O47" s="685"/>
      <c r="P47" s="685"/>
      <c r="Q47" s="685"/>
      <c r="R47" s="685"/>
      <c r="S47" s="685"/>
      <c r="T47" s="685"/>
      <c r="U47" s="685"/>
      <c r="V47" s="685"/>
      <c r="W47" s="654"/>
      <c r="X47" s="654"/>
    </row>
    <row r="48" spans="1:24" s="683" customFormat="1" ht="16.2" thickBot="1">
      <c r="A48" s="758"/>
      <c r="B48" s="759" t="s">
        <v>60</v>
      </c>
      <c r="C48" s="760" t="s">
        <v>592</v>
      </c>
      <c r="D48" s="686"/>
      <c r="E48" s="686"/>
      <c r="F48" s="685"/>
      <c r="G48" s="685"/>
      <c r="H48" s="685"/>
      <c r="I48" s="685"/>
      <c r="J48" s="685"/>
      <c r="K48" s="685"/>
      <c r="L48" s="685"/>
      <c r="M48" s="685"/>
      <c r="N48" s="685"/>
      <c r="O48" s="685"/>
      <c r="P48" s="685"/>
      <c r="Q48" s="685"/>
      <c r="R48" s="685"/>
      <c r="S48" s="685"/>
      <c r="T48" s="685"/>
      <c r="U48" s="685"/>
      <c r="V48" s="685"/>
      <c r="W48" s="654"/>
      <c r="X48" s="654"/>
    </row>
    <row r="49" spans="1:24" s="683" customFormat="1" ht="15.6">
      <c r="A49" s="676"/>
      <c r="B49" s="761"/>
      <c r="C49" s="762" t="s">
        <v>593</v>
      </c>
      <c r="D49" s="763"/>
      <c r="E49" s="763"/>
      <c r="F49" s="763"/>
      <c r="G49" s="764"/>
      <c r="H49" s="765"/>
      <c r="I49" s="765"/>
      <c r="J49" s="765"/>
      <c r="K49" s="765"/>
      <c r="L49" s="765"/>
      <c r="M49" s="765"/>
      <c r="N49" s="765"/>
      <c r="O49" s="765"/>
      <c r="P49" s="685"/>
      <c r="Q49" s="685"/>
      <c r="R49" s="685"/>
      <c r="S49" s="685"/>
      <c r="T49" s="685"/>
      <c r="U49" s="685"/>
      <c r="V49" s="685"/>
      <c r="W49" s="654"/>
      <c r="X49" s="654"/>
    </row>
    <row r="50" spans="1:24" s="683" customFormat="1" ht="15.45" customHeight="1">
      <c r="A50" s="676"/>
      <c r="B50" s="766"/>
      <c r="C50" s="767" t="s">
        <v>594</v>
      </c>
      <c r="D50" s="768" t="s">
        <v>595</v>
      </c>
      <c r="E50" s="769"/>
      <c r="F50" s="769"/>
      <c r="G50" s="770"/>
      <c r="H50" s="765"/>
      <c r="I50" s="765"/>
      <c r="J50" s="765"/>
      <c r="K50" s="765"/>
      <c r="L50" s="765"/>
      <c r="M50" s="765"/>
      <c r="N50" s="765"/>
      <c r="O50" s="685"/>
      <c r="P50" s="685"/>
      <c r="Q50" s="685"/>
      <c r="R50" s="685"/>
      <c r="S50" s="685"/>
      <c r="T50" s="685"/>
      <c r="U50" s="685"/>
      <c r="V50" s="654"/>
      <c r="W50" s="654"/>
    </row>
    <row r="51" spans="1:24" s="683" customFormat="1" ht="14.55" customHeight="1">
      <c r="A51" s="676"/>
      <c r="B51" s="766"/>
      <c r="C51" s="767" t="s">
        <v>596</v>
      </c>
      <c r="D51" s="768" t="s">
        <v>597</v>
      </c>
      <c r="E51" s="769"/>
      <c r="F51" s="769"/>
      <c r="G51" s="770"/>
      <c r="H51" s="765"/>
      <c r="I51" s="765"/>
      <c r="J51" s="765"/>
      <c r="L51" s="765"/>
      <c r="M51" s="765"/>
      <c r="N51" s="765"/>
      <c r="O51" s="685"/>
      <c r="P51" s="685"/>
      <c r="Q51" s="685"/>
      <c r="R51" s="685"/>
      <c r="S51" s="685"/>
      <c r="T51" s="685"/>
      <c r="U51" s="685"/>
      <c r="V51" s="654"/>
      <c r="W51" s="654"/>
    </row>
    <row r="52" spans="1:24" s="683" customFormat="1" ht="14.55" customHeight="1" thickBot="1">
      <c r="A52" s="676"/>
      <c r="B52" s="766"/>
      <c r="C52" s="771" t="s">
        <v>598</v>
      </c>
      <c r="D52" s="772" t="s">
        <v>599</v>
      </c>
      <c r="E52" s="773"/>
      <c r="F52" s="773"/>
      <c r="G52" s="774"/>
      <c r="H52" s="765"/>
      <c r="I52" s="765"/>
      <c r="J52" s="765"/>
      <c r="L52" s="765"/>
      <c r="P52" s="685"/>
      <c r="Q52" s="685"/>
      <c r="R52" s="685"/>
      <c r="S52" s="685"/>
      <c r="T52" s="685"/>
      <c r="U52" s="685"/>
      <c r="V52" s="654"/>
      <c r="W52" s="654"/>
    </row>
    <row r="53" spans="1:24" s="683" customFormat="1" ht="20.25" customHeight="1" thickBot="1">
      <c r="A53" s="676"/>
      <c r="B53" s="766"/>
      <c r="C53" s="744"/>
      <c r="D53" s="775"/>
      <c r="E53" s="744"/>
      <c r="F53" s="744"/>
      <c r="G53" s="765"/>
      <c r="H53" s="765"/>
      <c r="I53" s="765"/>
      <c r="J53" s="765"/>
      <c r="K53" s="765"/>
      <c r="L53" s="765"/>
      <c r="P53" s="685"/>
      <c r="Q53" s="685"/>
      <c r="R53" s="685"/>
      <c r="S53" s="685"/>
      <c r="T53" s="685"/>
      <c r="U53" s="685"/>
      <c r="V53" s="654"/>
      <c r="W53" s="654"/>
    </row>
    <row r="54" spans="1:24" s="683" customFormat="1" ht="19.5" customHeight="1" thickBot="1">
      <c r="A54" s="676"/>
      <c r="B54" s="766"/>
      <c r="C54" s="760"/>
      <c r="D54" s="765"/>
      <c r="E54" s="765"/>
      <c r="F54" s="765"/>
      <c r="G54" s="765"/>
      <c r="H54" s="765"/>
      <c r="I54" s="765"/>
      <c r="J54" s="776"/>
      <c r="K54" s="765"/>
      <c r="M54" s="776"/>
      <c r="N54" s="776"/>
      <c r="O54" s="776"/>
      <c r="P54" s="777" t="s">
        <v>600</v>
      </c>
      <c r="Q54" s="778"/>
      <c r="R54" s="779"/>
      <c r="S54" s="685"/>
      <c r="T54" s="685"/>
      <c r="U54" s="685"/>
      <c r="V54" s="654"/>
      <c r="W54" s="654"/>
    </row>
    <row r="55" spans="1:24" s="793" customFormat="1" ht="46.8" customHeight="1" outlineLevel="1">
      <c r="A55" s="676"/>
      <c r="B55" s="780"/>
      <c r="C55" s="781" t="s">
        <v>601</v>
      </c>
      <c r="D55" s="782" t="s">
        <v>602</v>
      </c>
      <c r="E55" s="783" t="s">
        <v>603</v>
      </c>
      <c r="F55" s="783" t="s">
        <v>604</v>
      </c>
      <c r="G55" s="783" t="s">
        <v>605</v>
      </c>
      <c r="H55" s="783" t="s">
        <v>606</v>
      </c>
      <c r="I55" s="783" t="s">
        <v>607</v>
      </c>
      <c r="J55" s="784" t="s">
        <v>608</v>
      </c>
      <c r="K55" s="785" t="s">
        <v>609</v>
      </c>
      <c r="L55" s="786" t="s">
        <v>610</v>
      </c>
      <c r="M55" s="787" t="s">
        <v>611</v>
      </c>
      <c r="N55" s="787" t="s">
        <v>612</v>
      </c>
      <c r="O55" s="788" t="s">
        <v>613</v>
      </c>
      <c r="P55" s="789" t="s">
        <v>594</v>
      </c>
      <c r="Q55" s="790" t="s">
        <v>596</v>
      </c>
      <c r="R55" s="791" t="s">
        <v>598</v>
      </c>
      <c r="S55" s="792" t="s">
        <v>614</v>
      </c>
      <c r="V55" s="794"/>
      <c r="W55" s="794"/>
    </row>
    <row r="56" spans="1:24" s="683" customFormat="1" outlineLevel="1">
      <c r="B56" s="684"/>
      <c r="C56" s="795"/>
      <c r="D56" s="796"/>
      <c r="E56" s="797"/>
      <c r="F56" s="798"/>
      <c r="G56" s="798"/>
      <c r="H56" s="798"/>
      <c r="I56" s="798"/>
      <c r="J56" s="799"/>
      <c r="K56" s="798"/>
      <c r="L56" s="798"/>
      <c r="M56" s="797"/>
      <c r="N56" s="799"/>
      <c r="O56" s="800">
        <f>J56-N56</f>
        <v>0</v>
      </c>
      <c r="P56" s="801"/>
      <c r="Q56" s="802"/>
      <c r="R56" s="803"/>
      <c r="S56" s="804"/>
    </row>
    <row r="57" spans="1:24" s="683" customFormat="1" outlineLevel="1">
      <c r="B57" s="684"/>
      <c r="C57" s="795"/>
      <c r="D57" s="796"/>
      <c r="E57" s="797"/>
      <c r="F57" s="798"/>
      <c r="G57" s="798"/>
      <c r="H57" s="798"/>
      <c r="I57" s="798"/>
      <c r="J57" s="799"/>
      <c r="K57" s="798"/>
      <c r="L57" s="798"/>
      <c r="M57" s="797"/>
      <c r="N57" s="799"/>
      <c r="O57" s="800">
        <f t="shared" ref="O57:O69" si="0">J57-N57</f>
        <v>0</v>
      </c>
      <c r="P57" s="801"/>
      <c r="Q57" s="802"/>
      <c r="R57" s="803"/>
      <c r="S57" s="804"/>
    </row>
    <row r="58" spans="1:24" s="683" customFormat="1" outlineLevel="1">
      <c r="B58" s="684"/>
      <c r="C58" s="795"/>
      <c r="D58" s="796"/>
      <c r="E58" s="797"/>
      <c r="F58" s="798"/>
      <c r="G58" s="798"/>
      <c r="H58" s="798"/>
      <c r="I58" s="798"/>
      <c r="J58" s="799"/>
      <c r="K58" s="798"/>
      <c r="L58" s="798"/>
      <c r="M58" s="797"/>
      <c r="N58" s="799"/>
      <c r="O58" s="800">
        <f t="shared" si="0"/>
        <v>0</v>
      </c>
      <c r="P58" s="801"/>
      <c r="Q58" s="802"/>
      <c r="R58" s="803"/>
      <c r="S58" s="804"/>
    </row>
    <row r="59" spans="1:24" s="683" customFormat="1" outlineLevel="1">
      <c r="B59" s="684"/>
      <c r="C59" s="795"/>
      <c r="D59" s="796"/>
      <c r="E59" s="797"/>
      <c r="F59" s="798"/>
      <c r="G59" s="798"/>
      <c r="H59" s="798"/>
      <c r="I59" s="798"/>
      <c r="J59" s="799"/>
      <c r="K59" s="798"/>
      <c r="L59" s="798"/>
      <c r="M59" s="797"/>
      <c r="N59" s="799"/>
      <c r="O59" s="800">
        <f t="shared" si="0"/>
        <v>0</v>
      </c>
      <c r="P59" s="801"/>
      <c r="Q59" s="802"/>
      <c r="R59" s="803"/>
      <c r="S59" s="804"/>
    </row>
    <row r="60" spans="1:24" s="683" customFormat="1" outlineLevel="1">
      <c r="B60" s="684"/>
      <c r="C60" s="795"/>
      <c r="D60" s="796"/>
      <c r="E60" s="797"/>
      <c r="F60" s="798"/>
      <c r="G60" s="798"/>
      <c r="H60" s="798"/>
      <c r="I60" s="798"/>
      <c r="J60" s="799"/>
      <c r="K60" s="798"/>
      <c r="L60" s="798"/>
      <c r="M60" s="797"/>
      <c r="N60" s="799"/>
      <c r="O60" s="800">
        <f t="shared" si="0"/>
        <v>0</v>
      </c>
      <c r="P60" s="801"/>
      <c r="Q60" s="802"/>
      <c r="R60" s="803"/>
      <c r="S60" s="804"/>
    </row>
    <row r="61" spans="1:24" s="683" customFormat="1" outlineLevel="1">
      <c r="B61" s="684"/>
      <c r="C61" s="795"/>
      <c r="D61" s="796"/>
      <c r="E61" s="797"/>
      <c r="F61" s="798"/>
      <c r="G61" s="798"/>
      <c r="H61" s="798"/>
      <c r="I61" s="798"/>
      <c r="J61" s="799"/>
      <c r="K61" s="798"/>
      <c r="L61" s="798"/>
      <c r="M61" s="797"/>
      <c r="N61" s="799"/>
      <c r="O61" s="800">
        <f t="shared" si="0"/>
        <v>0</v>
      </c>
      <c r="P61" s="801"/>
      <c r="Q61" s="802"/>
      <c r="R61" s="803"/>
      <c r="S61" s="804"/>
    </row>
    <row r="62" spans="1:24" s="683" customFormat="1" outlineLevel="1">
      <c r="B62" s="684"/>
      <c r="C62" s="795"/>
      <c r="D62" s="796"/>
      <c r="E62" s="797"/>
      <c r="F62" s="798"/>
      <c r="G62" s="798"/>
      <c r="H62" s="798"/>
      <c r="I62" s="798"/>
      <c r="J62" s="799"/>
      <c r="K62" s="798"/>
      <c r="L62" s="798"/>
      <c r="M62" s="797"/>
      <c r="N62" s="799"/>
      <c r="O62" s="800">
        <f t="shared" si="0"/>
        <v>0</v>
      </c>
      <c r="P62" s="801"/>
      <c r="Q62" s="802"/>
      <c r="R62" s="803"/>
      <c r="S62" s="804"/>
    </row>
    <row r="63" spans="1:24" s="683" customFormat="1" outlineLevel="1">
      <c r="B63" s="684"/>
      <c r="C63" s="805"/>
      <c r="D63" s="796"/>
      <c r="E63" s="797"/>
      <c r="F63" s="798"/>
      <c r="G63" s="798"/>
      <c r="H63" s="798"/>
      <c r="I63" s="798"/>
      <c r="J63" s="799"/>
      <c r="K63" s="798"/>
      <c r="L63" s="798"/>
      <c r="M63" s="797"/>
      <c r="N63" s="799"/>
      <c r="O63" s="800">
        <f t="shared" si="0"/>
        <v>0</v>
      </c>
      <c r="P63" s="801"/>
      <c r="Q63" s="802"/>
      <c r="R63" s="803"/>
      <c r="S63" s="804"/>
    </row>
    <row r="64" spans="1:24" s="683" customFormat="1" outlineLevel="1">
      <c r="B64" s="684"/>
      <c r="C64" s="805"/>
      <c r="D64" s="796"/>
      <c r="E64" s="797"/>
      <c r="F64" s="798"/>
      <c r="G64" s="798"/>
      <c r="H64" s="798"/>
      <c r="I64" s="798"/>
      <c r="J64" s="799"/>
      <c r="K64" s="798"/>
      <c r="L64" s="798"/>
      <c r="M64" s="797"/>
      <c r="N64" s="799"/>
      <c r="O64" s="800">
        <f t="shared" si="0"/>
        <v>0</v>
      </c>
      <c r="P64" s="801"/>
      <c r="Q64" s="802"/>
      <c r="R64" s="803"/>
      <c r="S64" s="804"/>
    </row>
    <row r="65" spans="1:23" s="683" customFormat="1" outlineLevel="1">
      <c r="B65" s="684"/>
      <c r="C65" s="805"/>
      <c r="D65" s="796"/>
      <c r="E65" s="797"/>
      <c r="F65" s="798"/>
      <c r="G65" s="798"/>
      <c r="H65" s="798"/>
      <c r="I65" s="798"/>
      <c r="J65" s="799"/>
      <c r="K65" s="798"/>
      <c r="L65" s="798"/>
      <c r="M65" s="797"/>
      <c r="N65" s="799"/>
      <c r="O65" s="800">
        <f t="shared" si="0"/>
        <v>0</v>
      </c>
      <c r="P65" s="801"/>
      <c r="Q65" s="802"/>
      <c r="R65" s="803"/>
      <c r="S65" s="804"/>
    </row>
    <row r="66" spans="1:23" s="683" customFormat="1" outlineLevel="1">
      <c r="B66" s="684"/>
      <c r="C66" s="805"/>
      <c r="D66" s="796"/>
      <c r="E66" s="797"/>
      <c r="F66" s="798"/>
      <c r="G66" s="798"/>
      <c r="H66" s="798"/>
      <c r="I66" s="798"/>
      <c r="J66" s="799"/>
      <c r="K66" s="798"/>
      <c r="L66" s="798"/>
      <c r="M66" s="797"/>
      <c r="N66" s="799"/>
      <c r="O66" s="800">
        <f t="shared" si="0"/>
        <v>0</v>
      </c>
      <c r="P66" s="801"/>
      <c r="Q66" s="802"/>
      <c r="R66" s="803"/>
      <c r="S66" s="804"/>
    </row>
    <row r="67" spans="1:23" s="683" customFormat="1" outlineLevel="1">
      <c r="B67" s="684"/>
      <c r="C67" s="805"/>
      <c r="D67" s="796"/>
      <c r="E67" s="797"/>
      <c r="F67" s="798"/>
      <c r="G67" s="798"/>
      <c r="H67" s="798"/>
      <c r="I67" s="798"/>
      <c r="J67" s="799"/>
      <c r="K67" s="798"/>
      <c r="L67" s="798"/>
      <c r="M67" s="797"/>
      <c r="N67" s="799"/>
      <c r="O67" s="800">
        <f t="shared" si="0"/>
        <v>0</v>
      </c>
      <c r="P67" s="801"/>
      <c r="Q67" s="802"/>
      <c r="R67" s="803"/>
      <c r="S67" s="804"/>
    </row>
    <row r="68" spans="1:23" s="683" customFormat="1" outlineLevel="1">
      <c r="B68" s="684"/>
      <c r="C68" s="805"/>
      <c r="D68" s="796"/>
      <c r="E68" s="797"/>
      <c r="F68" s="798"/>
      <c r="G68" s="798"/>
      <c r="H68" s="798"/>
      <c r="I68" s="798"/>
      <c r="J68" s="799"/>
      <c r="K68" s="798"/>
      <c r="L68" s="798"/>
      <c r="M68" s="797"/>
      <c r="N68" s="799"/>
      <c r="O68" s="800">
        <f t="shared" si="0"/>
        <v>0</v>
      </c>
      <c r="P68" s="801"/>
      <c r="Q68" s="802"/>
      <c r="R68" s="803"/>
      <c r="S68" s="804"/>
    </row>
    <row r="69" spans="1:23" s="683" customFormat="1" ht="13.8" outlineLevel="1" thickBot="1">
      <c r="A69" s="806"/>
      <c r="B69" s="761"/>
      <c r="C69" s="807"/>
      <c r="D69" s="808"/>
      <c r="E69" s="809"/>
      <c r="F69" s="810"/>
      <c r="G69" s="810"/>
      <c r="H69" s="810"/>
      <c r="I69" s="810"/>
      <c r="J69" s="811"/>
      <c r="K69" s="810"/>
      <c r="L69" s="810"/>
      <c r="M69" s="809"/>
      <c r="N69" s="811"/>
      <c r="O69" s="812">
        <f t="shared" si="0"/>
        <v>0</v>
      </c>
      <c r="P69" s="813"/>
      <c r="Q69" s="814"/>
      <c r="R69" s="815"/>
      <c r="S69" s="816"/>
      <c r="V69" s="806"/>
      <c r="W69" s="806"/>
    </row>
    <row r="70" spans="1:23" s="683" customFormat="1" outlineLevel="1">
      <c r="A70" s="806"/>
      <c r="B70" s="761"/>
      <c r="D70" s="817"/>
      <c r="E70" s="817"/>
      <c r="F70" s="817"/>
      <c r="G70" s="817"/>
      <c r="H70" s="817"/>
      <c r="I70" s="817"/>
      <c r="J70" s="817"/>
      <c r="K70" s="817"/>
      <c r="L70" s="817"/>
      <c r="M70" s="817"/>
      <c r="N70" s="817"/>
      <c r="O70" s="817"/>
      <c r="P70" s="817"/>
      <c r="Q70" s="817"/>
      <c r="R70" s="817"/>
      <c r="U70" s="806"/>
      <c r="V70" s="806"/>
    </row>
    <row r="71" spans="1:23" s="683" customFormat="1" ht="16.2" thickBot="1">
      <c r="A71" s="676"/>
      <c r="B71" s="684"/>
      <c r="C71" s="818" t="s">
        <v>615</v>
      </c>
      <c r="D71" s="654"/>
      <c r="E71" s="654"/>
      <c r="F71" s="654"/>
      <c r="G71" s="654"/>
      <c r="H71" s="654"/>
      <c r="I71" s="654"/>
      <c r="J71" s="654"/>
      <c r="K71" s="654"/>
      <c r="L71" s="654"/>
      <c r="M71" s="654"/>
      <c r="N71" s="654"/>
      <c r="O71" s="654"/>
      <c r="P71" s="654"/>
      <c r="Q71" s="654"/>
      <c r="R71" s="654"/>
      <c r="S71" s="654"/>
      <c r="T71" s="654"/>
      <c r="U71" s="654"/>
      <c r="V71" s="654"/>
      <c r="W71" s="654"/>
    </row>
    <row r="72" spans="1:23" s="654" customFormat="1" ht="14.25" customHeight="1">
      <c r="A72" s="819"/>
      <c r="B72" s="684"/>
      <c r="C72" s="820"/>
      <c r="D72" s="821"/>
      <c r="E72" s="821"/>
      <c r="F72" s="821"/>
      <c r="G72" s="822"/>
    </row>
    <row r="73" spans="1:23" s="654" customFormat="1" ht="14.25" customHeight="1">
      <c r="A73" s="819"/>
      <c r="B73" s="684"/>
      <c r="C73" s="823"/>
      <c r="D73" s="824"/>
      <c r="E73" s="824"/>
      <c r="F73" s="824"/>
      <c r="G73" s="825"/>
    </row>
    <row r="74" spans="1:23" s="654" customFormat="1" ht="14.25" customHeight="1">
      <c r="A74" s="819"/>
      <c r="B74" s="684"/>
      <c r="C74" s="823"/>
      <c r="D74" s="824"/>
      <c r="E74" s="824"/>
      <c r="F74" s="824"/>
      <c r="G74" s="825"/>
    </row>
    <row r="75" spans="1:23" s="654" customFormat="1" ht="14.25" customHeight="1" thickBot="1">
      <c r="A75" s="819"/>
      <c r="B75" s="684"/>
      <c r="C75" s="826"/>
      <c r="D75" s="827"/>
      <c r="E75" s="827"/>
      <c r="F75" s="827"/>
      <c r="G75" s="828"/>
    </row>
    <row r="77" spans="1:23" ht="15.6">
      <c r="B77" s="759" t="s">
        <v>616</v>
      </c>
      <c r="C77" s="829" t="s">
        <v>617</v>
      </c>
    </row>
    <row r="78" spans="1:23">
      <c r="B78" s="759"/>
      <c r="C78" s="830"/>
    </row>
    <row r="79" spans="1:23" ht="15.6" outlineLevel="1">
      <c r="B79" s="759" t="s">
        <v>618</v>
      </c>
      <c r="C79" s="830" t="s">
        <v>619</v>
      </c>
    </row>
    <row r="80" spans="1:23" ht="15.6" outlineLevel="1">
      <c r="B80" s="759"/>
      <c r="C80" s="830" t="s">
        <v>620</v>
      </c>
    </row>
    <row r="81" spans="1:24" ht="15.6" outlineLevel="1">
      <c r="B81" s="759"/>
      <c r="C81" s="830"/>
      <c r="D81" s="831" t="s">
        <v>621</v>
      </c>
      <c r="E81" s="832" t="s">
        <v>622</v>
      </c>
    </row>
    <row r="82" spans="1:24" ht="26.25" customHeight="1" outlineLevel="1">
      <c r="B82" s="759"/>
      <c r="C82" s="830" t="s">
        <v>623</v>
      </c>
      <c r="D82" s="740"/>
      <c r="E82" s="833"/>
    </row>
    <row r="83" spans="1:24" ht="15.6" outlineLevel="1">
      <c r="B83" s="759"/>
      <c r="C83" s="830" t="s">
        <v>624</v>
      </c>
      <c r="D83" s="740"/>
    </row>
    <row r="84" spans="1:24" ht="16.2" outlineLevel="1" thickBot="1">
      <c r="B84" s="759"/>
      <c r="C84" s="830" t="s">
        <v>625</v>
      </c>
      <c r="D84" s="752">
        <f>SUM(D82:D83)</f>
        <v>0</v>
      </c>
    </row>
    <row r="85" spans="1:24" ht="13.8" outlineLevel="1" thickTop="1">
      <c r="B85" s="759"/>
      <c r="C85" s="830"/>
      <c r="D85" s="834">
        <f>D84-G27</f>
        <v>0</v>
      </c>
    </row>
    <row r="86" spans="1:24" outlineLevel="1">
      <c r="B86" s="759"/>
      <c r="C86" s="760"/>
    </row>
    <row r="87" spans="1:24" ht="16.2" outlineLevel="1" thickBot="1">
      <c r="B87" s="759" t="s">
        <v>626</v>
      </c>
      <c r="C87" s="760" t="s">
        <v>627</v>
      </c>
    </row>
    <row r="88" spans="1:24" s="654" customFormat="1" ht="14.25" customHeight="1" outlineLevel="1">
      <c r="A88" s="819"/>
      <c r="B88" s="684"/>
      <c r="C88" s="820"/>
      <c r="D88" s="835"/>
      <c r="E88" s="835"/>
      <c r="F88" s="835"/>
      <c r="G88" s="836"/>
    </row>
    <row r="89" spans="1:24" s="654" customFormat="1" ht="14.25" customHeight="1" outlineLevel="1">
      <c r="A89" s="819"/>
      <c r="B89" s="684"/>
      <c r="C89" s="837"/>
      <c r="D89" s="838"/>
      <c r="E89" s="838"/>
      <c r="F89" s="838"/>
      <c r="G89" s="839"/>
    </row>
    <row r="90" spans="1:24" s="654" customFormat="1" ht="14.25" customHeight="1" outlineLevel="1">
      <c r="A90" s="819"/>
      <c r="B90" s="684"/>
      <c r="C90" s="837"/>
      <c r="D90" s="838"/>
      <c r="E90" s="838"/>
      <c r="F90" s="838"/>
      <c r="G90" s="839"/>
    </row>
    <row r="91" spans="1:24" s="654" customFormat="1" ht="14.25" customHeight="1" outlineLevel="1" thickBot="1">
      <c r="A91" s="819"/>
      <c r="B91" s="684"/>
      <c r="C91" s="840"/>
      <c r="D91" s="841"/>
      <c r="E91" s="841"/>
      <c r="F91" s="841"/>
      <c r="G91" s="842"/>
    </row>
    <row r="92" spans="1:24" outlineLevel="1"/>
    <row r="93" spans="1:24" ht="16.2" outlineLevel="1" thickBot="1">
      <c r="B93" s="759" t="s">
        <v>628</v>
      </c>
      <c r="C93" s="832" t="s">
        <v>629</v>
      </c>
    </row>
    <row r="94" spans="1:24" s="683" customFormat="1" ht="18.600000000000001" customHeight="1" outlineLevel="1">
      <c r="A94" s="676"/>
      <c r="B94" s="761"/>
      <c r="C94" s="762" t="s">
        <v>630</v>
      </c>
      <c r="D94" s="763"/>
      <c r="E94" s="763"/>
      <c r="F94" s="763"/>
      <c r="G94" s="764"/>
      <c r="H94" s="765"/>
      <c r="I94" s="765"/>
      <c r="J94" s="765"/>
      <c r="K94" s="765"/>
      <c r="L94" s="765"/>
      <c r="M94" s="765"/>
      <c r="N94" s="765"/>
      <c r="O94" s="765"/>
      <c r="P94" s="685"/>
      <c r="Q94" s="685"/>
      <c r="R94" s="685"/>
      <c r="S94" s="685"/>
      <c r="T94" s="685"/>
      <c r="U94" s="685"/>
      <c r="V94" s="685"/>
      <c r="W94" s="654"/>
      <c r="X94" s="654"/>
    </row>
    <row r="95" spans="1:24" s="683" customFormat="1" ht="18" customHeight="1" outlineLevel="1">
      <c r="A95" s="676"/>
      <c r="B95" s="766"/>
      <c r="C95" s="844" t="s">
        <v>631</v>
      </c>
      <c r="D95" s="690" t="s">
        <v>632</v>
      </c>
      <c r="E95" s="744"/>
      <c r="F95" s="744"/>
      <c r="G95" s="845"/>
      <c r="H95" s="765"/>
      <c r="I95" s="765"/>
      <c r="J95" s="765"/>
      <c r="K95" s="765"/>
      <c r="L95" s="765"/>
      <c r="M95" s="765"/>
      <c r="N95" s="765"/>
      <c r="O95" s="685"/>
      <c r="P95" s="685"/>
      <c r="Q95" s="685"/>
      <c r="R95" s="685"/>
      <c r="S95" s="685"/>
      <c r="T95" s="685"/>
      <c r="U95" s="685"/>
      <c r="V95" s="654"/>
      <c r="W95" s="654"/>
    </row>
    <row r="96" spans="1:24" s="683" customFormat="1" ht="18" customHeight="1" outlineLevel="1">
      <c r="A96" s="676"/>
      <c r="B96" s="766"/>
      <c r="C96" s="844" t="s">
        <v>633</v>
      </c>
      <c r="D96" s="690" t="s">
        <v>634</v>
      </c>
      <c r="E96" s="744"/>
      <c r="F96" s="744"/>
      <c r="G96" s="845"/>
      <c r="H96" s="765"/>
      <c r="I96" s="765"/>
      <c r="J96" s="765"/>
      <c r="K96" s="765"/>
      <c r="L96" s="765"/>
      <c r="M96" s="765"/>
      <c r="N96" s="765"/>
      <c r="O96" s="685"/>
      <c r="P96" s="685"/>
      <c r="Q96" s="685"/>
      <c r="R96" s="685"/>
      <c r="S96" s="685"/>
      <c r="T96" s="685"/>
      <c r="U96" s="685"/>
      <c r="V96" s="654"/>
      <c r="W96" s="654"/>
    </row>
    <row r="97" spans="1:23" s="683" customFormat="1" ht="16.95" customHeight="1" outlineLevel="1" thickBot="1">
      <c r="A97" s="676"/>
      <c r="B97" s="766"/>
      <c r="C97" s="846" t="s">
        <v>635</v>
      </c>
      <c r="D97" s="847" t="s">
        <v>636</v>
      </c>
      <c r="E97" s="848"/>
      <c r="F97" s="848"/>
      <c r="G97" s="849"/>
      <c r="H97" s="765"/>
      <c r="I97" s="765"/>
      <c r="J97" s="765"/>
      <c r="K97" s="765"/>
      <c r="L97" s="765"/>
      <c r="M97" s="765"/>
      <c r="N97" s="765"/>
      <c r="O97" s="685"/>
      <c r="P97" s="685"/>
      <c r="Q97" s="685"/>
      <c r="R97" s="685"/>
      <c r="S97" s="685"/>
      <c r="T97" s="685"/>
      <c r="U97" s="685"/>
      <c r="V97" s="654"/>
      <c r="W97" s="654"/>
    </row>
    <row r="98" spans="1:23" s="683" customFormat="1" ht="20.25" customHeight="1" outlineLevel="1" thickBot="1">
      <c r="A98" s="676"/>
      <c r="B98" s="766"/>
      <c r="C98" s="744"/>
      <c r="D98" s="744"/>
      <c r="E98" s="744"/>
      <c r="F98" s="744"/>
      <c r="G98" s="765"/>
      <c r="H98" s="765"/>
      <c r="I98" s="765"/>
      <c r="J98" s="765"/>
      <c r="K98" s="765"/>
      <c r="L98" s="765"/>
      <c r="M98" s="765"/>
      <c r="N98" s="765"/>
      <c r="O98" s="685"/>
      <c r="P98" s="685"/>
      <c r="Q98" s="685"/>
      <c r="R98" s="685"/>
      <c r="S98" s="685"/>
      <c r="T98" s="685"/>
      <c r="U98" s="685"/>
      <c r="V98" s="654"/>
      <c r="W98" s="654"/>
    </row>
    <row r="99" spans="1:23" s="832" customFormat="1" ht="18" customHeight="1" outlineLevel="1">
      <c r="A99" s="655"/>
      <c r="B99" s="850"/>
      <c r="C99" s="851" t="s">
        <v>604</v>
      </c>
      <c r="D99" s="852" t="s">
        <v>637</v>
      </c>
      <c r="E99" s="852" t="s">
        <v>638</v>
      </c>
      <c r="F99" s="852" t="s">
        <v>639</v>
      </c>
      <c r="G99" s="852" t="s">
        <v>640</v>
      </c>
      <c r="H99" s="852" t="s">
        <v>641</v>
      </c>
      <c r="I99" s="852" t="s">
        <v>642</v>
      </c>
      <c r="J99" s="852" t="s">
        <v>643</v>
      </c>
      <c r="K99" s="853"/>
      <c r="L99" s="854" t="s">
        <v>600</v>
      </c>
      <c r="M99" s="855"/>
      <c r="N99" s="856"/>
    </row>
    <row r="100" spans="1:23" s="832" customFormat="1" outlineLevel="1">
      <c r="A100" s="655"/>
      <c r="B100" s="850"/>
      <c r="C100" s="857"/>
      <c r="D100" s="858"/>
      <c r="E100" s="858"/>
      <c r="F100" s="858"/>
      <c r="G100" s="858"/>
      <c r="H100" s="858"/>
      <c r="I100" s="858"/>
      <c r="J100" s="858"/>
      <c r="K100" s="859" t="s">
        <v>631</v>
      </c>
      <c r="L100" s="860" t="s">
        <v>633</v>
      </c>
      <c r="M100" s="861" t="s">
        <v>635</v>
      </c>
      <c r="N100" s="862"/>
    </row>
    <row r="101" spans="1:23" outlineLevel="1">
      <c r="C101" s="863"/>
      <c r="D101" s="864"/>
      <c r="E101" s="865"/>
      <c r="F101" s="865"/>
      <c r="G101" s="865"/>
      <c r="H101" s="866"/>
      <c r="I101" s="865"/>
      <c r="J101" s="865"/>
      <c r="K101" s="867"/>
      <c r="L101" s="867"/>
      <c r="M101" s="868"/>
      <c r="N101" s="869"/>
    </row>
    <row r="102" spans="1:23" outlineLevel="1">
      <c r="C102" s="870"/>
      <c r="D102" s="871"/>
      <c r="E102" s="872"/>
      <c r="F102" s="872"/>
      <c r="G102" s="872"/>
      <c r="H102" s="873"/>
      <c r="I102" s="865"/>
      <c r="J102" s="865"/>
      <c r="K102" s="867"/>
      <c r="L102" s="867"/>
      <c r="M102" s="868"/>
      <c r="N102" s="869"/>
    </row>
    <row r="103" spans="1:23" ht="13.8" outlineLevel="1" thickBot="1">
      <c r="C103" s="874"/>
      <c r="D103" s="875"/>
      <c r="E103" s="876"/>
      <c r="F103" s="876"/>
      <c r="G103" s="876"/>
      <c r="H103" s="877"/>
      <c r="I103" s="876"/>
      <c r="J103" s="876"/>
      <c r="K103" s="878"/>
      <c r="L103" s="878"/>
      <c r="M103" s="879"/>
      <c r="N103" s="869"/>
    </row>
    <row r="105" spans="1:23" ht="12" customHeight="1"/>
  </sheetData>
  <dataConsolidate/>
  <mergeCells count="13">
    <mergeCell ref="H99:H100"/>
    <mergeCell ref="I99:I100"/>
    <mergeCell ref="J99:J100"/>
    <mergeCell ref="C49:G49"/>
    <mergeCell ref="P54:R54"/>
    <mergeCell ref="C72:G75"/>
    <mergeCell ref="C88:G91"/>
    <mergeCell ref="C94:G94"/>
    <mergeCell ref="C99:C100"/>
    <mergeCell ref="D99:D100"/>
    <mergeCell ref="E99:E100"/>
    <mergeCell ref="F99:F100"/>
    <mergeCell ref="G99:G100"/>
  </mergeCells>
  <phoneticPr fontId="99" type="noConversion"/>
  <conditionalFormatting sqref="D12:D14 F12:F14 D19:E19 G19:G27 E35:F37 C56:R69 C72:G75 E82 D82:D83 C88:G91 C101:M103">
    <cfRule type="containsBlanks" dxfId="6" priority="2">
      <formula>LEN(TRIM(C12))=0</formula>
    </cfRule>
  </conditionalFormatting>
  <conditionalFormatting sqref="D20:D27">
    <cfRule type="containsBlanks" dxfId="5" priority="1">
      <formula>LEN(TRIM(D20))=0</formula>
    </cfRule>
  </conditionalFormatting>
  <dataValidations count="3">
    <dataValidation type="list" allowBlank="1" showInputMessage="1" sqref="D56:D69" xr:uid="{AAB4DAF9-4511-404C-8E0B-EB30D7FB31ED}">
      <formula1>"关键项,代表性样本"</formula1>
    </dataValidation>
    <dataValidation type="list" allowBlank="1" showInputMessage="1" sqref="P56:R69 K101:M103" xr:uid="{04C5F6AC-ED3A-43DE-A2FE-E52D2269FD02}">
      <formula1>"Y,N"</formula1>
    </dataValidation>
    <dataValidation type="list" allowBlank="1" showInputMessage="1" sqref="E82" xr:uid="{EDBEFA6F-C722-4D0F-9FBF-DAA30A0F116E}">
      <formula1>"是,否"</formula1>
    </dataValidation>
  </dataValidation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A7090-37AD-4C90-B1C8-E2F8ADA49B6D}">
  <dimension ref="A1:Y132"/>
  <sheetViews>
    <sheetView showGridLines="0" topLeftCell="A37" zoomScale="70" zoomScaleNormal="70" workbookViewId="0">
      <selection activeCell="J56" sqref="J56"/>
    </sheetView>
  </sheetViews>
  <sheetFormatPr defaultColWidth="7.77734375" defaultRowHeight="13.2" outlineLevelRow="1"/>
  <cols>
    <col min="1" max="1" width="5.21875" style="655" customWidth="1"/>
    <col min="2" max="2" width="5.77734375" style="660" customWidth="1"/>
    <col min="3" max="3" width="22.5546875" style="660" customWidth="1"/>
    <col min="4" max="4" width="28.5546875" style="660" customWidth="1"/>
    <col min="5" max="5" width="22.5546875" style="660" customWidth="1"/>
    <col min="6" max="6" width="32.5546875" style="660" customWidth="1"/>
    <col min="7" max="7" width="37.5546875" style="660" customWidth="1"/>
    <col min="8" max="8" width="21.109375" style="660" customWidth="1"/>
    <col min="9" max="9" width="22.77734375" style="660" customWidth="1"/>
    <col min="10" max="10" width="15.77734375" style="660" customWidth="1"/>
    <col min="11" max="12" width="16.109375" style="660" customWidth="1"/>
    <col min="13" max="13" width="22.44140625" style="660" customWidth="1"/>
    <col min="14" max="14" width="23.21875" style="660" customWidth="1"/>
    <col min="15" max="15" width="15.77734375" style="660" customWidth="1"/>
    <col min="16" max="16" width="13" style="660" customWidth="1"/>
    <col min="17" max="17" width="16" style="660" customWidth="1"/>
    <col min="18" max="18" width="13.44140625" style="660" customWidth="1"/>
    <col min="19" max="19" width="11.109375" style="660" customWidth="1"/>
    <col min="20" max="20" width="12.5546875" style="660" customWidth="1"/>
    <col min="21" max="21" width="6.77734375" style="660" customWidth="1"/>
    <col min="22" max="16384" width="7.77734375" style="660"/>
  </cols>
  <sheetData>
    <row r="1" spans="1:22">
      <c r="B1" s="880"/>
      <c r="C1" s="881"/>
      <c r="D1" s="881"/>
      <c r="E1" s="881"/>
      <c r="F1" s="881"/>
      <c r="G1" s="881"/>
      <c r="H1" s="881"/>
      <c r="I1" s="881"/>
      <c r="J1" s="881"/>
      <c r="K1" s="881"/>
      <c r="L1" s="881"/>
      <c r="M1" s="881"/>
      <c r="N1" s="881"/>
      <c r="O1" s="881"/>
      <c r="P1" s="881"/>
      <c r="Q1" s="881"/>
      <c r="R1" s="881"/>
      <c r="S1" s="881"/>
      <c r="T1" s="881"/>
      <c r="U1" s="881"/>
      <c r="V1" s="881"/>
    </row>
    <row r="2" spans="1:22" ht="21" thickBot="1">
      <c r="B2" s="880"/>
      <c r="C2" s="882" t="s">
        <v>644</v>
      </c>
      <c r="D2" s="883"/>
      <c r="E2" s="883"/>
      <c r="F2" s="883"/>
      <c r="G2" s="884"/>
      <c r="H2" s="881"/>
      <c r="J2" s="881"/>
      <c r="K2" s="881"/>
      <c r="L2" s="881"/>
      <c r="M2" s="881"/>
      <c r="N2" s="881"/>
      <c r="O2" s="881"/>
      <c r="P2" s="881"/>
      <c r="Q2" s="881"/>
      <c r="R2" s="881"/>
      <c r="S2" s="881"/>
      <c r="T2" s="881"/>
    </row>
    <row r="3" spans="1:22" ht="20.399999999999999" outlineLevel="1">
      <c r="B3" s="880"/>
      <c r="C3" s="885" t="s">
        <v>557</v>
      </c>
      <c r="D3" s="886"/>
      <c r="E3" s="886"/>
      <c r="F3" s="886"/>
      <c r="G3" s="886"/>
      <c r="H3" s="886"/>
      <c r="I3" s="887"/>
      <c r="J3" s="881"/>
      <c r="K3" s="881"/>
      <c r="L3" s="881"/>
      <c r="M3" s="881"/>
      <c r="N3" s="881"/>
      <c r="O3" s="881"/>
      <c r="P3" s="881"/>
      <c r="Q3" s="881"/>
      <c r="R3" s="881"/>
      <c r="S3" s="881"/>
      <c r="T3" s="881"/>
    </row>
    <row r="4" spans="1:22" ht="19.2" outlineLevel="1">
      <c r="B4" s="880"/>
      <c r="C4" s="665" t="s">
        <v>558</v>
      </c>
      <c r="D4" s="669"/>
      <c r="E4" s="669"/>
      <c r="F4" s="669"/>
      <c r="G4" s="669"/>
      <c r="H4" s="669"/>
      <c r="I4" s="670"/>
      <c r="J4" s="881"/>
      <c r="K4" s="881"/>
      <c r="L4" s="881"/>
      <c r="M4" s="881"/>
      <c r="N4" s="881"/>
      <c r="O4" s="881"/>
      <c r="P4" s="881"/>
      <c r="Q4" s="881"/>
      <c r="R4" s="881"/>
      <c r="S4" s="881"/>
      <c r="T4" s="881"/>
    </row>
    <row r="5" spans="1:22" ht="19.2" outlineLevel="1">
      <c r="B5" s="880"/>
      <c r="C5" s="665" t="s">
        <v>645</v>
      </c>
      <c r="D5" s="669"/>
      <c r="E5" s="669"/>
      <c r="F5" s="669"/>
      <c r="G5" s="669"/>
      <c r="H5" s="669"/>
      <c r="I5" s="670"/>
      <c r="J5" s="881"/>
      <c r="K5" s="881"/>
      <c r="L5" s="881"/>
      <c r="M5" s="881"/>
      <c r="N5" s="881"/>
      <c r="O5" s="881"/>
      <c r="P5" s="881"/>
      <c r="Q5" s="881"/>
      <c r="R5" s="881"/>
      <c r="S5" s="881"/>
      <c r="T5" s="881"/>
    </row>
    <row r="6" spans="1:22" s="683" customFormat="1" ht="18" outlineLevel="1" thickBot="1">
      <c r="A6" s="676"/>
      <c r="B6" s="881"/>
      <c r="C6" s="888"/>
      <c r="D6" s="889"/>
      <c r="E6" s="889"/>
      <c r="F6" s="889"/>
      <c r="G6" s="890"/>
      <c r="H6" s="891"/>
      <c r="I6" s="892"/>
      <c r="J6" s="893"/>
      <c r="K6" s="893"/>
      <c r="L6" s="893"/>
      <c r="M6" s="893"/>
      <c r="N6" s="893"/>
      <c r="O6" s="893"/>
      <c r="P6" s="893"/>
      <c r="Q6" s="893"/>
      <c r="R6" s="893"/>
      <c r="S6" s="893"/>
      <c r="T6" s="881"/>
      <c r="U6" s="881"/>
    </row>
    <row r="7" spans="1:22" s="690" customFormat="1" ht="13.8" thickBot="1">
      <c r="A7" s="687"/>
      <c r="B7" s="747"/>
      <c r="C7" s="893"/>
      <c r="D7" s="678"/>
      <c r="E7" s="894"/>
      <c r="F7" s="893"/>
      <c r="G7" s="893"/>
      <c r="H7" s="893"/>
      <c r="I7" s="893"/>
      <c r="J7" s="893"/>
      <c r="K7" s="893"/>
      <c r="M7" s="691"/>
      <c r="N7" s="691"/>
      <c r="O7" s="691"/>
      <c r="P7" s="691"/>
      <c r="Q7" s="691"/>
      <c r="R7" s="691"/>
    </row>
    <row r="8" spans="1:22" s="690" customFormat="1" ht="16.2" thickBot="1">
      <c r="A8" s="687"/>
      <c r="B8" s="775"/>
      <c r="C8" s="895" t="s">
        <v>560</v>
      </c>
      <c r="M8" s="691"/>
      <c r="N8" s="691"/>
      <c r="O8" s="691"/>
      <c r="P8" s="691"/>
      <c r="Q8" s="691"/>
      <c r="R8" s="691"/>
    </row>
    <row r="9" spans="1:22" s="690" customFormat="1" ht="15.6">
      <c r="A9" s="687"/>
      <c r="B9" s="775"/>
      <c r="C9" s="896">
        <v>1</v>
      </c>
      <c r="D9" s="694" t="s">
        <v>561</v>
      </c>
      <c r="E9" s="695"/>
      <c r="F9" s="695"/>
      <c r="G9" s="897"/>
      <c r="H9" s="897"/>
      <c r="I9" s="897"/>
      <c r="J9" s="898"/>
      <c r="M9" s="691"/>
      <c r="N9" s="691"/>
      <c r="O9" s="691"/>
      <c r="P9" s="691"/>
      <c r="Q9" s="691"/>
      <c r="R9" s="691"/>
    </row>
    <row r="10" spans="1:22" s="690" customFormat="1" ht="15.6">
      <c r="A10" s="687"/>
      <c r="B10" s="775"/>
      <c r="C10" s="697">
        <v>1.1000000000000001</v>
      </c>
      <c r="D10" s="698" t="s">
        <v>562</v>
      </c>
      <c r="E10" s="698" t="s">
        <v>646</v>
      </c>
      <c r="F10" s="899" t="s">
        <v>647</v>
      </c>
      <c r="G10" s="900" t="s">
        <v>648</v>
      </c>
      <c r="H10" s="901" t="s">
        <v>111</v>
      </c>
      <c r="J10" s="700"/>
      <c r="M10" s="691"/>
      <c r="N10" s="691"/>
      <c r="O10" s="691"/>
      <c r="P10" s="691"/>
      <c r="Q10" s="691"/>
      <c r="R10" s="691"/>
    </row>
    <row r="11" spans="1:22" s="902" customFormat="1">
      <c r="B11" s="768"/>
      <c r="C11" s="903"/>
      <c r="D11" s="904"/>
      <c r="E11" s="905"/>
      <c r="F11" s="703"/>
      <c r="G11" s="906"/>
      <c r="H11" s="907">
        <f>F11+G11</f>
        <v>0</v>
      </c>
      <c r="I11" s="908"/>
      <c r="J11" s="909"/>
      <c r="M11" s="691"/>
      <c r="N11" s="691"/>
      <c r="O11" s="691"/>
      <c r="P11" s="691"/>
      <c r="Q11" s="691"/>
      <c r="R11" s="691"/>
    </row>
    <row r="12" spans="1:22" s="902" customFormat="1">
      <c r="B12" s="768"/>
      <c r="C12" s="903"/>
      <c r="D12" s="904"/>
      <c r="E12" s="905"/>
      <c r="F12" s="703"/>
      <c r="G12" s="906"/>
      <c r="H12" s="907">
        <f>F12+G12</f>
        <v>0</v>
      </c>
      <c r="I12" s="908"/>
      <c r="J12" s="909"/>
      <c r="M12" s="691"/>
      <c r="N12" s="691"/>
      <c r="O12" s="691"/>
      <c r="P12" s="691"/>
      <c r="Q12" s="691"/>
      <c r="R12" s="691"/>
    </row>
    <row r="13" spans="1:22" s="902" customFormat="1">
      <c r="B13" s="768"/>
      <c r="C13" s="903"/>
      <c r="D13" s="904"/>
      <c r="E13" s="905"/>
      <c r="F13" s="703"/>
      <c r="G13" s="906"/>
      <c r="H13" s="907">
        <f>F13+G13</f>
        <v>0</v>
      </c>
      <c r="I13" s="908"/>
      <c r="J13" s="909"/>
      <c r="M13" s="691"/>
      <c r="N13" s="691"/>
      <c r="O13" s="691"/>
      <c r="P13" s="691"/>
      <c r="Q13" s="691"/>
      <c r="R13" s="691"/>
    </row>
    <row r="14" spans="1:22" s="902" customFormat="1">
      <c r="B14" s="768"/>
      <c r="C14" s="903"/>
      <c r="D14" s="904"/>
      <c r="E14" s="905"/>
      <c r="F14" s="703"/>
      <c r="G14" s="906"/>
      <c r="H14" s="907">
        <f>F14+G14</f>
        <v>0</v>
      </c>
      <c r="I14" s="908"/>
      <c r="J14" s="909"/>
      <c r="M14" s="691"/>
      <c r="N14" s="691"/>
      <c r="O14" s="691"/>
      <c r="P14" s="691"/>
      <c r="Q14" s="691"/>
      <c r="R14" s="691"/>
    </row>
    <row r="15" spans="1:22" s="690" customFormat="1" ht="16.2" thickBot="1">
      <c r="A15" s="687"/>
      <c r="C15" s="705"/>
      <c r="D15" s="706" t="s">
        <v>565</v>
      </c>
      <c r="F15" s="745">
        <f>SUM(F11:F14)</f>
        <v>0</v>
      </c>
      <c r="G15" s="745">
        <f>SUM(G11:G14)</f>
        <v>0</v>
      </c>
      <c r="H15" s="745">
        <f>F15+G15</f>
        <v>0</v>
      </c>
      <c r="I15" s="910"/>
      <c r="J15" s="700"/>
      <c r="M15" s="691"/>
      <c r="N15" s="691"/>
      <c r="O15" s="691"/>
      <c r="P15" s="691"/>
      <c r="Q15" s="691"/>
      <c r="R15" s="691"/>
    </row>
    <row r="16" spans="1:22" s="690" customFormat="1" ht="13.8" thickTop="1">
      <c r="A16" s="687"/>
      <c r="C16" s="705"/>
      <c r="D16" s="706"/>
      <c r="F16" s="910" t="s">
        <v>589</v>
      </c>
      <c r="G16" s="910" t="s">
        <v>589</v>
      </c>
      <c r="J16" s="700"/>
      <c r="M16" s="691"/>
      <c r="N16" s="691"/>
      <c r="O16" s="691"/>
      <c r="P16" s="691"/>
      <c r="Q16" s="691"/>
      <c r="R16" s="691"/>
    </row>
    <row r="17" spans="1:18" s="690" customFormat="1" ht="31.2">
      <c r="A17" s="687"/>
      <c r="C17" s="697">
        <v>1.2</v>
      </c>
      <c r="D17" s="698" t="s">
        <v>649</v>
      </c>
      <c r="E17" s="698" t="s">
        <v>646</v>
      </c>
      <c r="F17" s="698" t="s">
        <v>650</v>
      </c>
      <c r="G17" s="911" t="s">
        <v>647</v>
      </c>
      <c r="H17" s="900" t="s">
        <v>648</v>
      </c>
      <c r="I17" s="912" t="s">
        <v>111</v>
      </c>
      <c r="J17" s="700"/>
      <c r="M17" s="691"/>
      <c r="N17" s="691"/>
      <c r="O17" s="691"/>
      <c r="P17" s="691"/>
      <c r="Q17" s="691"/>
      <c r="R17" s="691"/>
    </row>
    <row r="18" spans="1:18" s="690" customFormat="1" ht="21.45" customHeight="1">
      <c r="A18" s="687"/>
      <c r="C18" s="913"/>
      <c r="D18" s="706" t="s">
        <v>651</v>
      </c>
      <c r="F18" s="747"/>
      <c r="G18" s="914"/>
      <c r="H18" s="914"/>
      <c r="I18" s="914"/>
      <c r="J18" s="700"/>
      <c r="M18" s="691"/>
      <c r="N18" s="691"/>
      <c r="O18" s="691"/>
      <c r="P18" s="691"/>
      <c r="Q18" s="691"/>
      <c r="R18" s="691"/>
    </row>
    <row r="19" spans="1:18" s="690" customFormat="1" ht="15.6">
      <c r="A19" s="687"/>
      <c r="C19" s="723"/>
      <c r="D19" s="915" t="s">
        <v>652</v>
      </c>
      <c r="E19" s="916" t="s">
        <v>570</v>
      </c>
      <c r="F19" s="917" t="s">
        <v>571</v>
      </c>
      <c r="G19" s="918"/>
      <c r="H19" s="918"/>
      <c r="I19" s="919">
        <f>G19+H19</f>
        <v>0</v>
      </c>
      <c r="J19" s="920"/>
      <c r="M19" s="691"/>
      <c r="N19" s="691"/>
      <c r="O19" s="691"/>
      <c r="P19" s="691"/>
      <c r="Q19" s="691"/>
      <c r="R19" s="691"/>
    </row>
    <row r="20" spans="1:18" s="690" customFormat="1" ht="15">
      <c r="A20" s="687"/>
      <c r="C20" s="723"/>
      <c r="D20" s="915" t="s">
        <v>653</v>
      </c>
      <c r="E20" s="921"/>
      <c r="F20" s="922"/>
      <c r="G20" s="918"/>
      <c r="H20" s="918"/>
      <c r="I20" s="919">
        <f t="shared" ref="I20:I24" si="0">G20+H20</f>
        <v>0</v>
      </c>
      <c r="J20" s="920"/>
      <c r="M20" s="691"/>
      <c r="N20" s="691"/>
      <c r="O20" s="691"/>
      <c r="P20" s="691"/>
      <c r="Q20" s="691"/>
      <c r="R20" s="691"/>
    </row>
    <row r="21" spans="1:18" s="690" customFormat="1" ht="15">
      <c r="A21" s="687"/>
      <c r="C21" s="723"/>
      <c r="D21" s="915" t="s">
        <v>654</v>
      </c>
      <c r="E21" s="921"/>
      <c r="F21" s="922"/>
      <c r="G21" s="918"/>
      <c r="H21" s="918"/>
      <c r="I21" s="919">
        <f t="shared" si="0"/>
        <v>0</v>
      </c>
      <c r="J21" s="920"/>
      <c r="M21" s="691"/>
      <c r="N21" s="691"/>
      <c r="O21" s="691"/>
      <c r="P21" s="691"/>
      <c r="Q21" s="691"/>
      <c r="R21" s="691"/>
    </row>
    <row r="22" spans="1:18" s="690" customFormat="1" ht="15">
      <c r="A22" s="687"/>
      <c r="C22" s="723"/>
      <c r="D22" s="915" t="s">
        <v>655</v>
      </c>
      <c r="E22" s="921"/>
      <c r="F22" s="922"/>
      <c r="G22" s="918"/>
      <c r="H22" s="918"/>
      <c r="I22" s="919">
        <f t="shared" si="0"/>
        <v>0</v>
      </c>
      <c r="J22" s="920"/>
      <c r="M22" s="691"/>
      <c r="N22" s="691"/>
      <c r="O22" s="691"/>
      <c r="P22" s="691"/>
      <c r="Q22" s="691"/>
      <c r="R22" s="691"/>
    </row>
    <row r="23" spans="1:18" s="690" customFormat="1" ht="15">
      <c r="A23" s="687"/>
      <c r="C23" s="723"/>
      <c r="D23" s="915" t="s">
        <v>656</v>
      </c>
      <c r="E23" s="921"/>
      <c r="F23" s="922"/>
      <c r="G23" s="918"/>
      <c r="H23" s="918"/>
      <c r="I23" s="919">
        <f t="shared" si="0"/>
        <v>0</v>
      </c>
      <c r="J23" s="920"/>
      <c r="M23" s="691"/>
      <c r="N23" s="691"/>
      <c r="O23" s="691"/>
      <c r="P23" s="691"/>
      <c r="Q23" s="691"/>
      <c r="R23" s="691"/>
    </row>
    <row r="24" spans="1:18" s="690" customFormat="1" ht="15">
      <c r="A24" s="687"/>
      <c r="C24" s="723"/>
      <c r="D24" s="915" t="s">
        <v>657</v>
      </c>
      <c r="E24" s="921"/>
      <c r="F24" s="922"/>
      <c r="G24" s="918"/>
      <c r="H24" s="918"/>
      <c r="I24" s="919">
        <f t="shared" si="0"/>
        <v>0</v>
      </c>
      <c r="J24" s="920"/>
      <c r="M24" s="691"/>
      <c r="N24" s="691"/>
      <c r="O24" s="691"/>
      <c r="P24" s="691"/>
      <c r="Q24" s="691"/>
      <c r="R24" s="691"/>
    </row>
    <row r="25" spans="1:18" s="690" customFormat="1" ht="15">
      <c r="A25" s="687"/>
      <c r="C25" s="723"/>
      <c r="D25" s="915" t="s">
        <v>658</v>
      </c>
      <c r="E25" s="921"/>
      <c r="F25" s="922"/>
      <c r="G25" s="918"/>
      <c r="H25" s="918"/>
      <c r="I25" s="919">
        <f>G25+H25</f>
        <v>0</v>
      </c>
      <c r="J25" s="920"/>
      <c r="M25" s="691"/>
      <c r="N25" s="691"/>
      <c r="O25" s="691"/>
      <c r="P25" s="691"/>
      <c r="Q25" s="691"/>
      <c r="R25" s="691"/>
    </row>
    <row r="26" spans="1:18" s="690" customFormat="1" ht="15">
      <c r="A26" s="687"/>
      <c r="C26" s="723"/>
      <c r="D26" s="915" t="s">
        <v>659</v>
      </c>
      <c r="E26" s="921"/>
      <c r="F26" s="922"/>
      <c r="G26" s="740"/>
      <c r="H26" s="923"/>
      <c r="I26" s="919">
        <f t="shared" ref="I26:I27" si="1">G26+H26</f>
        <v>0</v>
      </c>
      <c r="J26" s="920"/>
      <c r="M26" s="691"/>
      <c r="N26" s="691"/>
      <c r="O26" s="691"/>
      <c r="P26" s="691"/>
      <c r="Q26" s="691"/>
      <c r="R26" s="691"/>
    </row>
    <row r="27" spans="1:18" s="690" customFormat="1" ht="18" customHeight="1">
      <c r="A27" s="687"/>
      <c r="C27" s="723"/>
      <c r="D27" s="725" t="s">
        <v>579</v>
      </c>
      <c r="E27" s="921"/>
      <c r="F27" s="924" t="s">
        <v>580</v>
      </c>
      <c r="G27" s="740"/>
      <c r="H27" s="923"/>
      <c r="I27" s="919">
        <f t="shared" si="1"/>
        <v>0</v>
      </c>
      <c r="J27" s="920"/>
      <c r="M27" s="691"/>
      <c r="N27" s="691"/>
      <c r="O27" s="691"/>
      <c r="P27" s="691"/>
      <c r="Q27" s="691"/>
      <c r="R27" s="691"/>
    </row>
    <row r="28" spans="1:18" s="690" customFormat="1">
      <c r="A28" s="687"/>
      <c r="C28" s="723"/>
      <c r="D28" s="925"/>
      <c r="E28" s="921"/>
      <c r="F28" s="747"/>
      <c r="G28" s="709"/>
      <c r="J28" s="700"/>
      <c r="M28" s="691"/>
      <c r="N28" s="691"/>
      <c r="O28" s="691"/>
      <c r="P28" s="691"/>
      <c r="Q28" s="691"/>
      <c r="R28" s="691"/>
    </row>
    <row r="29" spans="1:18" s="690" customFormat="1" ht="16.2" thickBot="1">
      <c r="A29" s="687"/>
      <c r="C29" s="723"/>
      <c r="D29" s="706" t="s">
        <v>581</v>
      </c>
      <c r="E29" s="921"/>
      <c r="G29" s="745">
        <f>SUM(G19:G27)</f>
        <v>0</v>
      </c>
      <c r="H29" s="745">
        <f>SUM(H19:H27)</f>
        <v>0</v>
      </c>
      <c r="I29" s="745">
        <f>SUM(I19:I27)</f>
        <v>0</v>
      </c>
      <c r="J29" s="700"/>
      <c r="M29" s="691"/>
      <c r="N29" s="691"/>
      <c r="O29" s="691"/>
      <c r="P29" s="691"/>
      <c r="Q29" s="691"/>
      <c r="R29" s="691"/>
    </row>
    <row r="30" spans="1:18" s="690" customFormat="1" ht="13.8" thickTop="1">
      <c r="A30" s="687"/>
      <c r="C30" s="723"/>
      <c r="D30" s="706"/>
      <c r="F30" s="926"/>
      <c r="G30" s="910" t="s">
        <v>589</v>
      </c>
      <c r="H30" s="910" t="s">
        <v>589</v>
      </c>
      <c r="I30" s="910" t="s">
        <v>589</v>
      </c>
      <c r="J30" s="700"/>
      <c r="M30" s="691"/>
      <c r="N30" s="691"/>
      <c r="O30" s="691"/>
      <c r="P30" s="691"/>
      <c r="Q30" s="691"/>
      <c r="R30" s="691"/>
    </row>
    <row r="31" spans="1:18" s="690" customFormat="1" ht="16.2" thickBot="1">
      <c r="A31" s="687"/>
      <c r="C31" s="732"/>
      <c r="D31" s="733" t="s">
        <v>582</v>
      </c>
      <c r="F31" s="927"/>
      <c r="G31" s="745">
        <f>F15-G29</f>
        <v>0</v>
      </c>
      <c r="H31" s="745">
        <f>G15-H29</f>
        <v>0</v>
      </c>
      <c r="I31" s="745">
        <f>H15-I29</f>
        <v>0</v>
      </c>
      <c r="J31" s="700"/>
      <c r="M31" s="691"/>
      <c r="N31" s="691"/>
      <c r="O31" s="691"/>
      <c r="P31" s="691"/>
      <c r="Q31" s="691"/>
      <c r="R31" s="691"/>
    </row>
    <row r="32" spans="1:18" s="690" customFormat="1" ht="13.8" thickTop="1">
      <c r="A32" s="687"/>
      <c r="C32" s="723"/>
      <c r="D32" s="709"/>
      <c r="E32" s="709"/>
      <c r="F32" s="709"/>
      <c r="J32" s="700"/>
      <c r="M32" s="691"/>
      <c r="N32" s="691"/>
      <c r="O32" s="691"/>
      <c r="P32" s="691"/>
      <c r="Q32" s="691"/>
      <c r="R32" s="691"/>
    </row>
    <row r="33" spans="1:18" s="690" customFormat="1">
      <c r="A33" s="687"/>
      <c r="C33" s="723"/>
      <c r="D33" s="709"/>
      <c r="E33" s="709"/>
      <c r="F33" s="709"/>
      <c r="J33" s="700"/>
      <c r="M33" s="691"/>
      <c r="N33" s="691"/>
      <c r="O33" s="691"/>
      <c r="P33" s="691"/>
      <c r="Q33" s="691"/>
      <c r="R33" s="691"/>
    </row>
    <row r="34" spans="1:18" s="690" customFormat="1" ht="15.6">
      <c r="A34" s="687"/>
      <c r="C34" s="697">
        <v>2</v>
      </c>
      <c r="D34" s="737" t="s">
        <v>583</v>
      </c>
      <c r="E34" s="928" t="s">
        <v>660</v>
      </c>
      <c r="F34" s="928"/>
      <c r="G34" s="928" t="s">
        <v>661</v>
      </c>
      <c r="H34" s="928"/>
      <c r="I34" s="928" t="s">
        <v>111</v>
      </c>
      <c r="J34" s="929"/>
      <c r="M34" s="691"/>
      <c r="N34" s="691"/>
      <c r="O34" s="691"/>
      <c r="P34" s="691"/>
      <c r="Q34" s="691"/>
      <c r="R34" s="691"/>
    </row>
    <row r="35" spans="1:18" s="690" customFormat="1" ht="15.6">
      <c r="A35" s="687"/>
      <c r="C35" s="723"/>
      <c r="E35" s="930" t="s">
        <v>662</v>
      </c>
      <c r="F35" s="930" t="s">
        <v>158</v>
      </c>
      <c r="G35" s="930" t="s">
        <v>662</v>
      </c>
      <c r="H35" s="930" t="s">
        <v>158</v>
      </c>
      <c r="I35" s="930" t="s">
        <v>662</v>
      </c>
      <c r="J35" s="931" t="s">
        <v>158</v>
      </c>
      <c r="M35" s="691"/>
      <c r="N35" s="691"/>
      <c r="O35" s="691"/>
      <c r="P35" s="691"/>
      <c r="Q35" s="691"/>
      <c r="R35" s="691"/>
    </row>
    <row r="36" spans="1:18" s="690" customFormat="1" ht="15">
      <c r="A36" s="687"/>
      <c r="C36" s="723"/>
      <c r="D36" s="739" t="s">
        <v>585</v>
      </c>
      <c r="E36" s="932"/>
      <c r="F36" s="932"/>
      <c r="G36" s="932"/>
      <c r="H36" s="932"/>
      <c r="I36" s="933">
        <f>G36+E36</f>
        <v>0</v>
      </c>
      <c r="J36" s="934">
        <f>H36+F36</f>
        <v>0</v>
      </c>
      <c r="M36" s="691"/>
      <c r="N36" s="691"/>
      <c r="O36" s="691"/>
      <c r="P36" s="691"/>
      <c r="Q36" s="691"/>
      <c r="R36" s="691"/>
    </row>
    <row r="37" spans="1:18" s="690" customFormat="1" ht="15">
      <c r="A37" s="687"/>
      <c r="C37" s="732"/>
      <c r="D37" s="739" t="s">
        <v>586</v>
      </c>
      <c r="E37" s="932"/>
      <c r="F37" s="932"/>
      <c r="G37" s="932"/>
      <c r="H37" s="932"/>
      <c r="I37" s="933">
        <f>G37+E37</f>
        <v>0</v>
      </c>
      <c r="J37" s="934">
        <f>H37+F37</f>
        <v>0</v>
      </c>
      <c r="M37" s="691"/>
      <c r="N37" s="691"/>
      <c r="O37" s="691"/>
      <c r="P37" s="691"/>
      <c r="Q37" s="691"/>
      <c r="R37" s="691"/>
    </row>
    <row r="38" spans="1:18" s="690" customFormat="1" ht="15">
      <c r="A38" s="687"/>
      <c r="C38" s="723"/>
      <c r="D38" s="739" t="s">
        <v>587</v>
      </c>
      <c r="E38" s="932"/>
      <c r="F38" s="932"/>
      <c r="G38" s="932"/>
      <c r="H38" s="932"/>
      <c r="I38" s="933">
        <f t="shared" ref="I38:J38" si="2">G38+E38</f>
        <v>0</v>
      </c>
      <c r="J38" s="934">
        <f t="shared" si="2"/>
        <v>0</v>
      </c>
      <c r="M38" s="691"/>
      <c r="N38" s="691"/>
      <c r="O38" s="691"/>
      <c r="P38" s="691"/>
      <c r="Q38" s="691"/>
      <c r="R38" s="691"/>
    </row>
    <row r="39" spans="1:18" s="690" customFormat="1">
      <c r="A39" s="687"/>
      <c r="C39" s="723"/>
      <c r="D39" s="741"/>
      <c r="E39" s="740"/>
      <c r="F39" s="740"/>
      <c r="G39" s="740"/>
      <c r="H39" s="740"/>
      <c r="J39" s="700"/>
      <c r="M39" s="691"/>
      <c r="N39" s="691"/>
      <c r="O39" s="691"/>
      <c r="P39" s="691"/>
      <c r="Q39" s="691"/>
      <c r="R39" s="691"/>
    </row>
    <row r="40" spans="1:18" s="690" customFormat="1" ht="15.6" thickBot="1">
      <c r="A40" s="687"/>
      <c r="C40" s="723"/>
      <c r="D40" s="747" t="s">
        <v>663</v>
      </c>
      <c r="E40" s="745">
        <f>SUM(E36:E38)</f>
        <v>0</v>
      </c>
      <c r="F40" s="745">
        <f>SUM(F36:F38)</f>
        <v>0</v>
      </c>
      <c r="G40" s="745">
        <f>SUM(G36:G38)</f>
        <v>0</v>
      </c>
      <c r="H40" s="745">
        <f>SUM(H36:H38)</f>
        <v>0</v>
      </c>
      <c r="I40" s="745">
        <f>E40+G40</f>
        <v>0</v>
      </c>
      <c r="J40" s="935">
        <f>H40+F40</f>
        <v>0</v>
      </c>
      <c r="M40" s="691"/>
      <c r="N40" s="691"/>
      <c r="O40" s="691"/>
      <c r="P40" s="691"/>
      <c r="Q40" s="691"/>
      <c r="R40" s="691"/>
    </row>
    <row r="41" spans="1:18" s="690" customFormat="1" ht="13.8" thickTop="1">
      <c r="A41" s="687"/>
      <c r="C41" s="743"/>
      <c r="D41" s="747"/>
      <c r="E41" s="17" t="s">
        <v>589</v>
      </c>
      <c r="F41" s="17" t="s">
        <v>589</v>
      </c>
      <c r="G41" s="17" t="s">
        <v>589</v>
      </c>
      <c r="H41" s="17" t="s">
        <v>589</v>
      </c>
      <c r="I41" s="17" t="s">
        <v>589</v>
      </c>
      <c r="J41" s="936" t="s">
        <v>589</v>
      </c>
      <c r="M41" s="691"/>
      <c r="N41" s="691"/>
      <c r="O41" s="691"/>
      <c r="P41" s="691"/>
      <c r="Q41" s="691"/>
      <c r="R41" s="691"/>
    </row>
    <row r="42" spans="1:18" s="690" customFormat="1">
      <c r="A42" s="687"/>
      <c r="C42" s="743"/>
      <c r="J42" s="700"/>
      <c r="M42" s="691"/>
      <c r="N42" s="691"/>
      <c r="O42" s="691"/>
      <c r="P42" s="691"/>
      <c r="Q42" s="691"/>
      <c r="R42" s="691"/>
    </row>
    <row r="43" spans="1:18" s="690" customFormat="1" ht="24.75" customHeight="1">
      <c r="A43" s="687"/>
      <c r="C43" s="937">
        <v>3</v>
      </c>
      <c r="D43" s="744" t="s">
        <v>664</v>
      </c>
      <c r="E43" s="747"/>
      <c r="F43" s="747"/>
      <c r="I43" s="17"/>
      <c r="J43" s="700"/>
      <c r="M43" s="691"/>
      <c r="N43" s="691"/>
      <c r="O43" s="691"/>
      <c r="P43" s="691"/>
      <c r="Q43" s="691"/>
      <c r="R43" s="691"/>
    </row>
    <row r="44" spans="1:18" s="690" customFormat="1" ht="15.6">
      <c r="A44" s="687"/>
      <c r="C44" s="743"/>
      <c r="D44" s="747"/>
      <c r="E44" s="938" t="s">
        <v>647</v>
      </c>
      <c r="F44" s="939" t="s">
        <v>648</v>
      </c>
      <c r="G44" s="831" t="s">
        <v>111</v>
      </c>
      <c r="H44" s="831"/>
      <c r="J44" s="700"/>
      <c r="M44" s="691"/>
      <c r="N44" s="691"/>
      <c r="O44" s="691"/>
      <c r="P44" s="691"/>
      <c r="Q44" s="691"/>
      <c r="R44" s="691"/>
    </row>
    <row r="45" spans="1:18" s="690" customFormat="1" ht="16.2" thickBot="1">
      <c r="A45" s="687"/>
      <c r="C45" s="743"/>
      <c r="D45" s="744" t="s">
        <v>591</v>
      </c>
      <c r="E45" s="940">
        <f>G31-F40</f>
        <v>0</v>
      </c>
      <c r="F45" s="940">
        <f>H31-H40</f>
        <v>0</v>
      </c>
      <c r="G45" s="940">
        <f>I31-J40</f>
        <v>0</v>
      </c>
      <c r="H45" s="941"/>
      <c r="J45" s="700"/>
      <c r="M45" s="691"/>
      <c r="N45" s="691"/>
      <c r="O45" s="691"/>
      <c r="P45" s="691"/>
      <c r="Q45" s="691"/>
      <c r="R45" s="691"/>
    </row>
    <row r="46" spans="1:18" s="690" customFormat="1" ht="13.8" thickTop="1">
      <c r="A46" s="687"/>
      <c r="C46" s="743"/>
      <c r="D46" s="744"/>
      <c r="E46" s="942"/>
      <c r="F46" s="942"/>
      <c r="G46" s="942"/>
      <c r="H46" s="941"/>
      <c r="J46" s="700"/>
      <c r="M46" s="691"/>
      <c r="N46" s="691"/>
      <c r="O46" s="691"/>
      <c r="P46" s="691"/>
      <c r="Q46" s="691"/>
      <c r="R46" s="691"/>
    </row>
    <row r="47" spans="1:18" s="690" customFormat="1" ht="15.6">
      <c r="A47" s="687"/>
      <c r="C47" s="937">
        <v>4</v>
      </c>
      <c r="D47" s="744" t="s">
        <v>665</v>
      </c>
      <c r="E47" s="942"/>
      <c r="F47" s="942"/>
      <c r="G47" s="942"/>
      <c r="H47" s="941"/>
      <c r="J47" s="700"/>
      <c r="M47" s="691"/>
      <c r="N47" s="691"/>
      <c r="O47" s="691"/>
      <c r="P47" s="691"/>
      <c r="Q47" s="691"/>
      <c r="R47" s="691"/>
    </row>
    <row r="48" spans="1:18" s="690" customFormat="1">
      <c r="A48" s="687"/>
      <c r="C48" s="743"/>
      <c r="D48" s="943"/>
      <c r="E48" s="943"/>
      <c r="F48" s="943"/>
      <c r="G48" s="942"/>
      <c r="H48" s="941"/>
      <c r="J48" s="700"/>
      <c r="M48" s="691"/>
      <c r="N48" s="691"/>
      <c r="O48" s="691"/>
      <c r="P48" s="691"/>
      <c r="Q48" s="691"/>
      <c r="R48" s="691"/>
    </row>
    <row r="49" spans="1:23" s="690" customFormat="1">
      <c r="A49" s="687"/>
      <c r="C49" s="743"/>
      <c r="D49" s="943"/>
      <c r="E49" s="943"/>
      <c r="F49" s="943"/>
      <c r="G49" s="942"/>
      <c r="H49" s="941"/>
      <c r="J49" s="700"/>
      <c r="M49" s="691"/>
      <c r="N49" s="691"/>
      <c r="O49" s="691"/>
      <c r="P49" s="691"/>
      <c r="Q49" s="691"/>
      <c r="R49" s="691"/>
    </row>
    <row r="50" spans="1:23" s="690" customFormat="1">
      <c r="A50" s="687"/>
      <c r="C50" s="743"/>
      <c r="D50" s="943"/>
      <c r="E50" s="943"/>
      <c r="F50" s="943"/>
      <c r="J50" s="700"/>
      <c r="M50" s="691"/>
      <c r="N50" s="691"/>
      <c r="O50" s="691"/>
      <c r="P50" s="691"/>
      <c r="Q50" s="691"/>
      <c r="R50" s="691"/>
    </row>
    <row r="51" spans="1:23" s="683" customFormat="1" ht="13.8" thickBot="1">
      <c r="A51" s="676"/>
      <c r="B51" s="881"/>
      <c r="C51" s="755"/>
      <c r="D51" s="756"/>
      <c r="E51" s="756"/>
      <c r="F51" s="756"/>
      <c r="G51" s="756"/>
      <c r="H51" s="756"/>
      <c r="I51" s="756"/>
      <c r="J51" s="757"/>
      <c r="K51" s="690"/>
      <c r="L51" s="893"/>
      <c r="M51" s="893"/>
      <c r="N51" s="893"/>
      <c r="O51" s="893"/>
      <c r="P51" s="893"/>
      <c r="Q51" s="893"/>
      <c r="R51" s="893"/>
      <c r="S51" s="893"/>
      <c r="T51" s="893"/>
      <c r="U51" s="893"/>
      <c r="V51" s="881"/>
      <c r="W51" s="881"/>
    </row>
    <row r="52" spans="1:23" s="683" customFormat="1">
      <c r="A52" s="676"/>
      <c r="B52" s="881"/>
      <c r="C52" s="897"/>
      <c r="D52" s="690"/>
      <c r="E52" s="690"/>
      <c r="F52" s="690"/>
      <c r="G52" s="690"/>
      <c r="H52" s="690"/>
      <c r="I52" s="690"/>
      <c r="J52" s="690"/>
      <c r="K52" s="690"/>
      <c r="L52" s="893"/>
      <c r="M52" s="893"/>
      <c r="N52" s="893"/>
      <c r="O52" s="893"/>
      <c r="P52" s="893"/>
      <c r="Q52" s="893"/>
      <c r="R52" s="893"/>
      <c r="S52" s="893"/>
      <c r="T52" s="893"/>
      <c r="U52" s="893"/>
      <c r="V52" s="881"/>
      <c r="W52" s="881"/>
    </row>
    <row r="53" spans="1:23" s="683" customFormat="1" ht="16.2" thickBot="1">
      <c r="A53" s="676"/>
      <c r="B53" s="944" t="s">
        <v>60</v>
      </c>
      <c r="C53" s="945" t="s">
        <v>592</v>
      </c>
      <c r="D53" s="690"/>
      <c r="E53" s="690"/>
      <c r="F53" s="690"/>
      <c r="G53" s="690"/>
      <c r="H53" s="690"/>
      <c r="I53" s="690"/>
      <c r="J53" s="690"/>
      <c r="K53" s="690"/>
      <c r="L53" s="893"/>
      <c r="M53" s="893"/>
      <c r="N53" s="893"/>
      <c r="O53" s="893"/>
      <c r="P53" s="893"/>
      <c r="Q53" s="893"/>
      <c r="R53" s="893"/>
      <c r="S53" s="893"/>
      <c r="T53" s="893"/>
      <c r="U53" s="893"/>
      <c r="V53" s="881"/>
      <c r="W53" s="881"/>
    </row>
    <row r="54" spans="1:23" s="683" customFormat="1" ht="15.6">
      <c r="A54" s="676"/>
      <c r="B54" s="946"/>
      <c r="C54" s="947" t="s">
        <v>666</v>
      </c>
      <c r="D54" s="948"/>
      <c r="E54" s="948"/>
      <c r="F54" s="948"/>
      <c r="G54" s="949"/>
      <c r="H54" s="881"/>
      <c r="I54" s="881"/>
      <c r="J54" s="690"/>
      <c r="K54" s="690"/>
      <c r="L54" s="893"/>
      <c r="M54" s="893"/>
      <c r="N54" s="893"/>
      <c r="O54" s="893"/>
      <c r="P54" s="893"/>
      <c r="Q54" s="893"/>
      <c r="R54" s="893"/>
      <c r="S54" s="893"/>
      <c r="T54" s="893"/>
      <c r="U54" s="893"/>
      <c r="V54" s="881"/>
      <c r="W54" s="881"/>
    </row>
    <row r="55" spans="1:23" s="683" customFormat="1" ht="15">
      <c r="A55" s="676"/>
      <c r="B55" s="880"/>
      <c r="C55" s="950" t="s">
        <v>594</v>
      </c>
      <c r="D55" s="768" t="s">
        <v>595</v>
      </c>
      <c r="E55" s="769"/>
      <c r="F55" s="769"/>
      <c r="G55" s="951"/>
      <c r="H55" s="881"/>
      <c r="I55" s="881"/>
      <c r="J55" s="881"/>
      <c r="K55" s="881"/>
      <c r="L55" s="881"/>
      <c r="M55" s="682"/>
      <c r="N55" s="682"/>
      <c r="O55" s="682"/>
      <c r="P55" s="682"/>
      <c r="Q55" s="881"/>
      <c r="R55" s="881"/>
      <c r="S55" s="881"/>
      <c r="T55" s="881"/>
      <c r="U55" s="881"/>
      <c r="V55" s="881"/>
      <c r="W55" s="881"/>
    </row>
    <row r="56" spans="1:23" s="683" customFormat="1" ht="15">
      <c r="A56" s="676"/>
      <c r="B56" s="880"/>
      <c r="C56" s="950" t="s">
        <v>596</v>
      </c>
      <c r="D56" s="768" t="s">
        <v>667</v>
      </c>
      <c r="E56" s="769"/>
      <c r="F56" s="769"/>
      <c r="G56" s="951"/>
      <c r="H56" s="881"/>
      <c r="I56" s="881"/>
      <c r="J56" s="881"/>
      <c r="K56" s="881"/>
      <c r="L56" s="881"/>
      <c r="M56" s="881"/>
      <c r="N56" s="881"/>
      <c r="O56" s="881"/>
      <c r="P56" s="682"/>
      <c r="Q56" s="881"/>
      <c r="R56" s="881"/>
      <c r="S56" s="881"/>
      <c r="T56" s="881"/>
      <c r="U56" s="881"/>
      <c r="V56" s="881"/>
      <c r="W56" s="881"/>
    </row>
    <row r="57" spans="1:23" s="683" customFormat="1" ht="15.6" thickBot="1">
      <c r="A57" s="676"/>
      <c r="B57" s="880"/>
      <c r="C57" s="952" t="s">
        <v>598</v>
      </c>
      <c r="D57" s="953" t="s">
        <v>668</v>
      </c>
      <c r="E57" s="954"/>
      <c r="F57" s="954"/>
      <c r="G57" s="955"/>
      <c r="H57" s="881"/>
      <c r="I57" s="881"/>
      <c r="J57" s="881"/>
      <c r="K57" s="881"/>
      <c r="L57" s="881"/>
      <c r="M57" s="682"/>
      <c r="N57" s="682"/>
      <c r="O57" s="682"/>
      <c r="P57" s="682"/>
      <c r="Q57" s="881"/>
      <c r="R57" s="881"/>
      <c r="S57" s="881"/>
      <c r="T57" s="881"/>
      <c r="U57" s="881"/>
      <c r="V57" s="881"/>
      <c r="W57" s="881"/>
    </row>
    <row r="58" spans="1:23" s="958" customFormat="1" ht="19.05" customHeight="1" outlineLevel="1" thickBot="1">
      <c r="A58" s="956"/>
      <c r="B58" s="957"/>
      <c r="C58" s="760"/>
      <c r="D58" s="765"/>
      <c r="E58" s="765"/>
      <c r="F58" s="765"/>
      <c r="G58" s="765"/>
      <c r="H58" s="765"/>
      <c r="I58" s="765"/>
      <c r="J58" s="776"/>
      <c r="K58" s="765"/>
      <c r="L58" s="683"/>
      <c r="M58" s="776"/>
      <c r="N58" s="776"/>
      <c r="O58" s="776"/>
      <c r="P58" s="777" t="s">
        <v>600</v>
      </c>
      <c r="Q58" s="778"/>
      <c r="R58" s="779"/>
      <c r="S58" s="685"/>
      <c r="V58" s="959"/>
      <c r="W58" s="959"/>
    </row>
    <row r="59" spans="1:23" s="793" customFormat="1" ht="40.049999999999997" customHeight="1" outlineLevel="1">
      <c r="A59" s="676"/>
      <c r="B59" s="945"/>
      <c r="C59" s="781" t="s">
        <v>601</v>
      </c>
      <c r="D59" s="782" t="s">
        <v>602</v>
      </c>
      <c r="E59" s="783" t="s">
        <v>603</v>
      </c>
      <c r="F59" s="783" t="s">
        <v>604</v>
      </c>
      <c r="G59" s="783" t="s">
        <v>605</v>
      </c>
      <c r="H59" s="783" t="s">
        <v>606</v>
      </c>
      <c r="I59" s="783" t="s">
        <v>607</v>
      </c>
      <c r="J59" s="784" t="s">
        <v>608</v>
      </c>
      <c r="K59" s="960" t="s">
        <v>609</v>
      </c>
      <c r="L59" s="961" t="s">
        <v>610</v>
      </c>
      <c r="M59" s="787" t="s">
        <v>611</v>
      </c>
      <c r="N59" s="962" t="s">
        <v>612</v>
      </c>
      <c r="O59" s="963" t="s">
        <v>669</v>
      </c>
      <c r="P59" s="964" t="s">
        <v>594</v>
      </c>
      <c r="Q59" s="790" t="s">
        <v>596</v>
      </c>
      <c r="R59" s="791" t="s">
        <v>598</v>
      </c>
      <c r="S59" s="792" t="s">
        <v>614</v>
      </c>
    </row>
    <row r="60" spans="1:23" s="683" customFormat="1" outlineLevel="1">
      <c r="B60" s="965"/>
      <c r="C60" s="863"/>
      <c r="D60" s="796"/>
      <c r="E60" s="966"/>
      <c r="F60" s="967"/>
      <c r="G60" s="967"/>
      <c r="H60" s="967"/>
      <c r="I60" s="967"/>
      <c r="J60" s="968"/>
      <c r="K60" s="967"/>
      <c r="L60" s="967"/>
      <c r="M60" s="966"/>
      <c r="N60" s="968"/>
      <c r="O60" s="969">
        <f>J60-N60</f>
        <v>0</v>
      </c>
      <c r="P60" s="970"/>
      <c r="Q60" s="865"/>
      <c r="R60" s="971"/>
      <c r="S60" s="972"/>
    </row>
    <row r="61" spans="1:23" s="683" customFormat="1" outlineLevel="1">
      <c r="B61" s="965"/>
      <c r="C61" s="863"/>
      <c r="D61" s="796"/>
      <c r="E61" s="966"/>
      <c r="F61" s="967"/>
      <c r="G61" s="967"/>
      <c r="H61" s="967"/>
      <c r="I61" s="967"/>
      <c r="J61" s="968"/>
      <c r="K61" s="967"/>
      <c r="L61" s="967"/>
      <c r="M61" s="966"/>
      <c r="N61" s="968"/>
      <c r="O61" s="969">
        <f t="shared" ref="O61:O72" si="3">J61-N61</f>
        <v>0</v>
      </c>
      <c r="P61" s="970"/>
      <c r="Q61" s="865"/>
      <c r="R61" s="971"/>
      <c r="S61" s="972"/>
    </row>
    <row r="62" spans="1:23" s="683" customFormat="1" outlineLevel="1">
      <c r="B62" s="965"/>
      <c r="C62" s="863"/>
      <c r="D62" s="796"/>
      <c r="E62" s="966"/>
      <c r="F62" s="967"/>
      <c r="G62" s="967"/>
      <c r="H62" s="967"/>
      <c r="I62" s="967"/>
      <c r="J62" s="968"/>
      <c r="K62" s="967"/>
      <c r="L62" s="967"/>
      <c r="M62" s="966"/>
      <c r="N62" s="968"/>
      <c r="O62" s="969">
        <f t="shared" si="3"/>
        <v>0</v>
      </c>
      <c r="P62" s="970"/>
      <c r="Q62" s="865"/>
      <c r="R62" s="971"/>
      <c r="S62" s="972"/>
    </row>
    <row r="63" spans="1:23" s="683" customFormat="1" outlineLevel="1">
      <c r="B63" s="965"/>
      <c r="C63" s="863"/>
      <c r="D63" s="796"/>
      <c r="E63" s="966"/>
      <c r="F63" s="967"/>
      <c r="G63" s="967"/>
      <c r="H63" s="967"/>
      <c r="I63" s="967"/>
      <c r="J63" s="968"/>
      <c r="K63" s="967"/>
      <c r="L63" s="967"/>
      <c r="M63" s="966"/>
      <c r="N63" s="968"/>
      <c r="O63" s="969">
        <f t="shared" si="3"/>
        <v>0</v>
      </c>
      <c r="P63" s="970"/>
      <c r="Q63" s="865"/>
      <c r="R63" s="971"/>
      <c r="S63" s="972"/>
    </row>
    <row r="64" spans="1:23" s="683" customFormat="1" outlineLevel="1">
      <c r="B64" s="965"/>
      <c r="C64" s="863"/>
      <c r="D64" s="796"/>
      <c r="E64" s="966"/>
      <c r="F64" s="967"/>
      <c r="G64" s="967"/>
      <c r="H64" s="967"/>
      <c r="I64" s="967"/>
      <c r="J64" s="968"/>
      <c r="K64" s="967"/>
      <c r="L64" s="967"/>
      <c r="M64" s="966"/>
      <c r="N64" s="968"/>
      <c r="O64" s="969">
        <f t="shared" si="3"/>
        <v>0</v>
      </c>
      <c r="P64" s="970"/>
      <c r="Q64" s="865"/>
      <c r="R64" s="971"/>
      <c r="S64" s="972"/>
    </row>
    <row r="65" spans="1:24" s="683" customFormat="1" outlineLevel="1">
      <c r="B65" s="965"/>
      <c r="C65" s="863"/>
      <c r="D65" s="796"/>
      <c r="E65" s="966"/>
      <c r="F65" s="967"/>
      <c r="G65" s="967"/>
      <c r="H65" s="967"/>
      <c r="I65" s="967"/>
      <c r="J65" s="968"/>
      <c r="K65" s="967"/>
      <c r="L65" s="967"/>
      <c r="M65" s="966"/>
      <c r="N65" s="968"/>
      <c r="O65" s="969">
        <f t="shared" si="3"/>
        <v>0</v>
      </c>
      <c r="P65" s="970"/>
      <c r="Q65" s="865"/>
      <c r="R65" s="971"/>
      <c r="S65" s="972"/>
    </row>
    <row r="66" spans="1:24" s="683" customFormat="1" outlineLevel="1">
      <c r="B66" s="965"/>
      <c r="C66" s="973"/>
      <c r="D66" s="796"/>
      <c r="E66" s="966"/>
      <c r="F66" s="967"/>
      <c r="G66" s="967"/>
      <c r="H66" s="967"/>
      <c r="I66" s="967"/>
      <c r="J66" s="968"/>
      <c r="K66" s="967"/>
      <c r="L66" s="967"/>
      <c r="M66" s="966"/>
      <c r="N66" s="968"/>
      <c r="O66" s="969">
        <f t="shared" si="3"/>
        <v>0</v>
      </c>
      <c r="P66" s="970"/>
      <c r="Q66" s="865"/>
      <c r="R66" s="971"/>
      <c r="S66" s="972"/>
    </row>
    <row r="67" spans="1:24" s="683" customFormat="1" outlineLevel="1">
      <c r="B67" s="965"/>
      <c r="C67" s="973"/>
      <c r="D67" s="796"/>
      <c r="E67" s="966"/>
      <c r="F67" s="967"/>
      <c r="G67" s="967"/>
      <c r="H67" s="967"/>
      <c r="I67" s="967"/>
      <c r="J67" s="968"/>
      <c r="K67" s="967"/>
      <c r="L67" s="967"/>
      <c r="M67" s="966"/>
      <c r="N67" s="968"/>
      <c r="O67" s="969">
        <f t="shared" si="3"/>
        <v>0</v>
      </c>
      <c r="P67" s="970"/>
      <c r="Q67" s="865"/>
      <c r="R67" s="971"/>
      <c r="S67" s="972"/>
    </row>
    <row r="68" spans="1:24" s="683" customFormat="1" outlineLevel="1">
      <c r="B68" s="965"/>
      <c r="C68" s="973"/>
      <c r="D68" s="796"/>
      <c r="E68" s="966"/>
      <c r="F68" s="967"/>
      <c r="G68" s="967"/>
      <c r="H68" s="967"/>
      <c r="I68" s="967"/>
      <c r="J68" s="968"/>
      <c r="K68" s="967"/>
      <c r="L68" s="967"/>
      <c r="M68" s="966"/>
      <c r="N68" s="968"/>
      <c r="O68" s="969">
        <f t="shared" si="3"/>
        <v>0</v>
      </c>
      <c r="P68" s="970"/>
      <c r="Q68" s="865"/>
      <c r="R68" s="971"/>
      <c r="S68" s="972"/>
    </row>
    <row r="69" spans="1:24" s="683" customFormat="1" outlineLevel="1">
      <c r="B69" s="965"/>
      <c r="C69" s="973"/>
      <c r="D69" s="796"/>
      <c r="E69" s="966"/>
      <c r="F69" s="967"/>
      <c r="G69" s="967"/>
      <c r="H69" s="967"/>
      <c r="I69" s="967"/>
      <c r="J69" s="968"/>
      <c r="K69" s="967"/>
      <c r="L69" s="967"/>
      <c r="M69" s="966"/>
      <c r="N69" s="968"/>
      <c r="O69" s="969">
        <f t="shared" si="3"/>
        <v>0</v>
      </c>
      <c r="P69" s="970"/>
      <c r="Q69" s="865"/>
      <c r="R69" s="971"/>
      <c r="S69" s="972"/>
    </row>
    <row r="70" spans="1:24" s="683" customFormat="1" outlineLevel="1">
      <c r="B70" s="965"/>
      <c r="C70" s="973"/>
      <c r="D70" s="796"/>
      <c r="E70" s="966"/>
      <c r="F70" s="967"/>
      <c r="G70" s="967"/>
      <c r="H70" s="967"/>
      <c r="I70" s="967"/>
      <c r="J70" s="968"/>
      <c r="K70" s="967"/>
      <c r="L70" s="967"/>
      <c r="M70" s="966"/>
      <c r="N70" s="968"/>
      <c r="O70" s="969">
        <f t="shared" si="3"/>
        <v>0</v>
      </c>
      <c r="P70" s="970"/>
      <c r="Q70" s="865"/>
      <c r="R70" s="971"/>
      <c r="S70" s="972"/>
    </row>
    <row r="71" spans="1:24" s="683" customFormat="1" outlineLevel="1">
      <c r="A71" s="965"/>
      <c r="C71" s="973"/>
      <c r="D71" s="796"/>
      <c r="E71" s="966"/>
      <c r="F71" s="967"/>
      <c r="G71" s="967"/>
      <c r="H71" s="967"/>
      <c r="I71" s="967"/>
      <c r="J71" s="968"/>
      <c r="K71" s="967"/>
      <c r="L71" s="967"/>
      <c r="M71" s="966"/>
      <c r="N71" s="968"/>
      <c r="O71" s="969">
        <f t="shared" si="3"/>
        <v>0</v>
      </c>
      <c r="P71" s="970"/>
      <c r="Q71" s="865"/>
      <c r="R71" s="971"/>
      <c r="S71" s="972"/>
      <c r="V71" s="965"/>
      <c r="W71" s="965"/>
    </row>
    <row r="72" spans="1:24" s="683" customFormat="1" ht="13.8" outlineLevel="1" thickBot="1">
      <c r="B72" s="881"/>
      <c r="C72" s="874"/>
      <c r="D72" s="974"/>
      <c r="E72" s="975"/>
      <c r="F72" s="976"/>
      <c r="G72" s="976"/>
      <c r="H72" s="976"/>
      <c r="I72" s="976"/>
      <c r="J72" s="977"/>
      <c r="K72" s="976"/>
      <c r="L72" s="976"/>
      <c r="M72" s="975"/>
      <c r="N72" s="977"/>
      <c r="O72" s="978">
        <f t="shared" si="3"/>
        <v>0</v>
      </c>
      <c r="P72" s="979"/>
      <c r="Q72" s="876"/>
      <c r="R72" s="980"/>
      <c r="S72" s="981"/>
      <c r="T72" s="881"/>
      <c r="U72" s="881"/>
      <c r="V72" s="881"/>
      <c r="W72" s="881"/>
    </row>
    <row r="73" spans="1:24" s="881" customFormat="1" outlineLevel="1">
      <c r="A73" s="982"/>
      <c r="O73" s="983"/>
    </row>
    <row r="74" spans="1:24" s="881" customFormat="1" ht="16.2" outlineLevel="1" thickBot="1">
      <c r="A74" s="982"/>
      <c r="C74" s="984" t="s">
        <v>615</v>
      </c>
    </row>
    <row r="75" spans="1:24" s="881" customFormat="1" ht="13.8" outlineLevel="1" thickBot="1">
      <c r="A75" s="982"/>
      <c r="C75" s="985"/>
      <c r="D75" s="985"/>
      <c r="E75" s="985"/>
      <c r="F75" s="985"/>
      <c r="G75" s="986"/>
    </row>
    <row r="76" spans="1:24" s="881" customFormat="1" ht="13.8" outlineLevel="1" thickBot="1">
      <c r="A76" s="982"/>
      <c r="C76" s="985"/>
      <c r="D76" s="985"/>
      <c r="E76" s="985"/>
      <c r="F76" s="985"/>
      <c r="G76" s="986"/>
    </row>
    <row r="77" spans="1:24" s="881" customFormat="1" ht="13.8" outlineLevel="1" thickBot="1">
      <c r="A77" s="982"/>
      <c r="C77" s="985"/>
      <c r="D77" s="985"/>
      <c r="E77" s="985"/>
      <c r="F77" s="985"/>
      <c r="G77" s="986"/>
    </row>
    <row r="78" spans="1:24" s="881" customFormat="1" ht="13.8" outlineLevel="1" thickBot="1">
      <c r="A78" s="982"/>
      <c r="C78" s="987"/>
      <c r="D78" s="987"/>
      <c r="E78" s="987"/>
      <c r="F78" s="987"/>
      <c r="G78" s="988"/>
    </row>
    <row r="79" spans="1:24" outlineLevel="1"/>
    <row r="80" spans="1:24" s="683" customFormat="1" ht="12" customHeight="1" outlineLevel="1" thickBot="1">
      <c r="A80" s="676"/>
      <c r="B80" s="944" t="s">
        <v>670</v>
      </c>
      <c r="C80" s="945" t="s">
        <v>671</v>
      </c>
      <c r="D80" s="660"/>
      <c r="E80" s="660"/>
      <c r="F80" s="660"/>
      <c r="G80" s="660"/>
      <c r="H80" s="660"/>
      <c r="I80" s="660"/>
      <c r="J80" s="660"/>
      <c r="K80" s="660"/>
      <c r="L80" s="660"/>
      <c r="M80" s="660"/>
      <c r="N80" s="660"/>
      <c r="O80" s="660"/>
      <c r="P80" s="989"/>
      <c r="R80" s="989"/>
      <c r="S80" s="893"/>
      <c r="T80" s="660"/>
      <c r="W80" s="881"/>
      <c r="X80" s="881"/>
    </row>
    <row r="81" spans="1:24" s="683" customFormat="1" ht="22.95" customHeight="1" outlineLevel="1" thickBot="1">
      <c r="A81" s="676"/>
      <c r="B81" s="944"/>
      <c r="C81" s="760"/>
      <c r="D81" s="765"/>
      <c r="E81" s="765"/>
      <c r="F81" s="765"/>
      <c r="G81" s="765"/>
      <c r="H81" s="765"/>
      <c r="I81" s="765"/>
      <c r="J81" s="776"/>
      <c r="K81" s="765"/>
      <c r="M81" s="776"/>
      <c r="N81" s="776"/>
      <c r="O81" s="776"/>
      <c r="P81" s="777" t="s">
        <v>600</v>
      </c>
      <c r="Q81" s="778"/>
      <c r="R81" s="779"/>
      <c r="S81" s="685"/>
      <c r="T81" s="660"/>
      <c r="W81" s="881"/>
      <c r="X81" s="881"/>
    </row>
    <row r="82" spans="1:24" s="793" customFormat="1" ht="34.5" customHeight="1" outlineLevel="1">
      <c r="A82" s="676"/>
      <c r="B82" s="944"/>
      <c r="C82" s="781" t="s">
        <v>601</v>
      </c>
      <c r="D82" s="782" t="s">
        <v>602</v>
      </c>
      <c r="E82" s="783" t="s">
        <v>603</v>
      </c>
      <c r="F82" s="783" t="s">
        <v>604</v>
      </c>
      <c r="G82" s="783" t="s">
        <v>605</v>
      </c>
      <c r="H82" s="783" t="s">
        <v>606</v>
      </c>
      <c r="I82" s="783" t="s">
        <v>607</v>
      </c>
      <c r="J82" s="784" t="s">
        <v>608</v>
      </c>
      <c r="K82" s="960" t="s">
        <v>609</v>
      </c>
      <c r="L82" s="961" t="s">
        <v>610</v>
      </c>
      <c r="M82" s="787" t="s">
        <v>611</v>
      </c>
      <c r="N82" s="990" t="s">
        <v>612</v>
      </c>
      <c r="O82" s="963" t="s">
        <v>669</v>
      </c>
      <c r="P82" s="781" t="s">
        <v>594</v>
      </c>
      <c r="Q82" s="790" t="s">
        <v>596</v>
      </c>
      <c r="R82" s="991" t="s">
        <v>598</v>
      </c>
      <c r="S82" s="792" t="s">
        <v>614</v>
      </c>
      <c r="T82" s="832"/>
      <c r="W82" s="992"/>
      <c r="X82" s="992"/>
    </row>
    <row r="83" spans="1:24" s="683" customFormat="1" outlineLevel="1">
      <c r="A83" s="676"/>
      <c r="B83" s="965"/>
      <c r="C83" s="863"/>
      <c r="D83" s="796"/>
      <c r="E83" s="966"/>
      <c r="F83" s="967"/>
      <c r="G83" s="967"/>
      <c r="H83" s="967"/>
      <c r="I83" s="967"/>
      <c r="J83" s="993"/>
      <c r="K83" s="967"/>
      <c r="L83" s="966"/>
      <c r="M83" s="994"/>
      <c r="N83" s="993"/>
      <c r="O83" s="995">
        <f>J83-N83</f>
        <v>0</v>
      </c>
      <c r="P83" s="996"/>
      <c r="Q83" s="997"/>
      <c r="R83" s="998"/>
      <c r="S83" s="972"/>
    </row>
    <row r="84" spans="1:24" s="683" customFormat="1" outlineLevel="1">
      <c r="A84" s="676"/>
      <c r="B84" s="965"/>
      <c r="C84" s="863"/>
      <c r="D84" s="796"/>
      <c r="E84" s="966"/>
      <c r="F84" s="967"/>
      <c r="G84" s="967"/>
      <c r="H84" s="967"/>
      <c r="I84" s="967"/>
      <c r="J84" s="993"/>
      <c r="K84" s="967"/>
      <c r="L84" s="966"/>
      <c r="M84" s="994"/>
      <c r="N84" s="993"/>
      <c r="O84" s="995">
        <f t="shared" ref="O84:O96" si="4">J84-N84</f>
        <v>0</v>
      </c>
      <c r="P84" s="996"/>
      <c r="Q84" s="997"/>
      <c r="R84" s="998"/>
      <c r="S84" s="972"/>
    </row>
    <row r="85" spans="1:24" s="683" customFormat="1" outlineLevel="1">
      <c r="A85" s="676"/>
      <c r="B85" s="965"/>
      <c r="C85" s="863"/>
      <c r="D85" s="796"/>
      <c r="E85" s="966"/>
      <c r="F85" s="967"/>
      <c r="G85" s="967"/>
      <c r="H85" s="967"/>
      <c r="I85" s="967"/>
      <c r="J85" s="993"/>
      <c r="K85" s="967"/>
      <c r="L85" s="966"/>
      <c r="M85" s="994"/>
      <c r="N85" s="993"/>
      <c r="O85" s="995">
        <f t="shared" si="4"/>
        <v>0</v>
      </c>
      <c r="P85" s="996"/>
      <c r="Q85" s="997"/>
      <c r="R85" s="998"/>
      <c r="S85" s="972"/>
    </row>
    <row r="86" spans="1:24" s="683" customFormat="1" outlineLevel="1">
      <c r="A86" s="676"/>
      <c r="B86" s="965"/>
      <c r="C86" s="863"/>
      <c r="D86" s="796"/>
      <c r="E86" s="966"/>
      <c r="F86" s="967"/>
      <c r="G86" s="967"/>
      <c r="H86" s="967"/>
      <c r="I86" s="967"/>
      <c r="J86" s="993"/>
      <c r="K86" s="967"/>
      <c r="L86" s="966"/>
      <c r="M86" s="994"/>
      <c r="N86" s="993"/>
      <c r="O86" s="995">
        <f t="shared" si="4"/>
        <v>0</v>
      </c>
      <c r="P86" s="996"/>
      <c r="Q86" s="997"/>
      <c r="R86" s="998"/>
      <c r="S86" s="972"/>
    </row>
    <row r="87" spans="1:24" s="683" customFormat="1" outlineLevel="1">
      <c r="A87" s="676"/>
      <c r="B87" s="965"/>
      <c r="C87" s="863"/>
      <c r="D87" s="796"/>
      <c r="E87" s="966"/>
      <c r="F87" s="967"/>
      <c r="G87" s="967"/>
      <c r="H87" s="967"/>
      <c r="I87" s="967"/>
      <c r="J87" s="993"/>
      <c r="K87" s="967"/>
      <c r="L87" s="966"/>
      <c r="M87" s="994"/>
      <c r="N87" s="993"/>
      <c r="O87" s="995">
        <f t="shared" si="4"/>
        <v>0</v>
      </c>
      <c r="P87" s="996"/>
      <c r="Q87" s="997"/>
      <c r="R87" s="998"/>
      <c r="S87" s="972"/>
    </row>
    <row r="88" spans="1:24" s="683" customFormat="1" outlineLevel="1">
      <c r="A88" s="676"/>
      <c r="B88" s="965"/>
      <c r="C88" s="863"/>
      <c r="D88" s="796"/>
      <c r="E88" s="966"/>
      <c r="F88" s="967"/>
      <c r="G88" s="967"/>
      <c r="H88" s="967"/>
      <c r="I88" s="967"/>
      <c r="J88" s="993"/>
      <c r="K88" s="967"/>
      <c r="L88" s="966"/>
      <c r="M88" s="994"/>
      <c r="N88" s="993"/>
      <c r="O88" s="995">
        <f t="shared" si="4"/>
        <v>0</v>
      </c>
      <c r="P88" s="996"/>
      <c r="Q88" s="997"/>
      <c r="R88" s="998"/>
      <c r="S88" s="972"/>
    </row>
    <row r="89" spans="1:24" s="683" customFormat="1" outlineLevel="1">
      <c r="A89" s="676"/>
      <c r="B89" s="965"/>
      <c r="C89" s="863"/>
      <c r="D89" s="796"/>
      <c r="E89" s="966"/>
      <c r="F89" s="967"/>
      <c r="G89" s="967"/>
      <c r="H89" s="967"/>
      <c r="I89" s="967"/>
      <c r="J89" s="993"/>
      <c r="K89" s="967"/>
      <c r="L89" s="966"/>
      <c r="M89" s="994"/>
      <c r="N89" s="993"/>
      <c r="O89" s="995">
        <f t="shared" si="4"/>
        <v>0</v>
      </c>
      <c r="P89" s="996"/>
      <c r="Q89" s="997"/>
      <c r="R89" s="998"/>
      <c r="S89" s="972"/>
    </row>
    <row r="90" spans="1:24" s="683" customFormat="1" outlineLevel="1">
      <c r="A90" s="676"/>
      <c r="B90" s="965"/>
      <c r="C90" s="999"/>
      <c r="D90" s="796"/>
      <c r="E90" s="966"/>
      <c r="F90" s="967"/>
      <c r="G90" s="967"/>
      <c r="H90" s="967"/>
      <c r="I90" s="967"/>
      <c r="J90" s="993"/>
      <c r="K90" s="967"/>
      <c r="L90" s="966"/>
      <c r="M90" s="994"/>
      <c r="N90" s="993"/>
      <c r="O90" s="995">
        <f t="shared" si="4"/>
        <v>0</v>
      </c>
      <c r="P90" s="996"/>
      <c r="Q90" s="997"/>
      <c r="R90" s="998"/>
      <c r="S90" s="972"/>
    </row>
    <row r="91" spans="1:24" s="683" customFormat="1" outlineLevel="1">
      <c r="A91" s="676"/>
      <c r="B91" s="965"/>
      <c r="C91" s="999"/>
      <c r="D91" s="796"/>
      <c r="E91" s="966"/>
      <c r="F91" s="967"/>
      <c r="G91" s="967"/>
      <c r="H91" s="967"/>
      <c r="I91" s="967"/>
      <c r="J91" s="993"/>
      <c r="K91" s="967"/>
      <c r="L91" s="966"/>
      <c r="M91" s="994"/>
      <c r="N91" s="993"/>
      <c r="O91" s="995">
        <f t="shared" si="4"/>
        <v>0</v>
      </c>
      <c r="P91" s="996"/>
      <c r="Q91" s="997"/>
      <c r="R91" s="998"/>
      <c r="S91" s="972"/>
    </row>
    <row r="92" spans="1:24" s="683" customFormat="1" outlineLevel="1">
      <c r="A92" s="676"/>
      <c r="B92" s="965"/>
      <c r="C92" s="999"/>
      <c r="D92" s="796"/>
      <c r="E92" s="966"/>
      <c r="F92" s="967"/>
      <c r="G92" s="967"/>
      <c r="H92" s="967"/>
      <c r="I92" s="967"/>
      <c r="J92" s="993"/>
      <c r="K92" s="967"/>
      <c r="L92" s="966"/>
      <c r="M92" s="994"/>
      <c r="N92" s="993"/>
      <c r="O92" s="995">
        <f t="shared" si="4"/>
        <v>0</v>
      </c>
      <c r="P92" s="996"/>
      <c r="Q92" s="997"/>
      <c r="R92" s="998"/>
      <c r="S92" s="972"/>
    </row>
    <row r="93" spans="1:24" s="683" customFormat="1" outlineLevel="1">
      <c r="A93" s="676"/>
      <c r="B93" s="965"/>
      <c r="C93" s="999"/>
      <c r="D93" s="796"/>
      <c r="E93" s="966"/>
      <c r="F93" s="967"/>
      <c r="G93" s="967"/>
      <c r="H93" s="967"/>
      <c r="I93" s="967"/>
      <c r="J93" s="993"/>
      <c r="K93" s="967"/>
      <c r="L93" s="966"/>
      <c r="M93" s="994"/>
      <c r="N93" s="993"/>
      <c r="O93" s="995">
        <f t="shared" si="4"/>
        <v>0</v>
      </c>
      <c r="P93" s="996"/>
      <c r="Q93" s="997"/>
      <c r="R93" s="998"/>
      <c r="S93" s="972"/>
    </row>
    <row r="94" spans="1:24" s="683" customFormat="1" outlineLevel="1">
      <c r="A94" s="676"/>
      <c r="B94" s="965"/>
      <c r="C94" s="999"/>
      <c r="D94" s="796"/>
      <c r="E94" s="966"/>
      <c r="F94" s="967"/>
      <c r="G94" s="967"/>
      <c r="H94" s="967"/>
      <c r="I94" s="967"/>
      <c r="J94" s="993"/>
      <c r="K94" s="967"/>
      <c r="L94" s="966"/>
      <c r="M94" s="994"/>
      <c r="N94" s="993"/>
      <c r="O94" s="995">
        <f t="shared" si="4"/>
        <v>0</v>
      </c>
      <c r="P94" s="996"/>
      <c r="Q94" s="997"/>
      <c r="R94" s="998"/>
      <c r="S94" s="972"/>
    </row>
    <row r="95" spans="1:24" s="683" customFormat="1" outlineLevel="1">
      <c r="A95" s="676"/>
      <c r="B95" s="965"/>
      <c r="C95" s="999"/>
      <c r="D95" s="796"/>
      <c r="E95" s="966"/>
      <c r="F95" s="967"/>
      <c r="G95" s="967"/>
      <c r="H95" s="967"/>
      <c r="I95" s="967"/>
      <c r="J95" s="993"/>
      <c r="K95" s="967"/>
      <c r="L95" s="966"/>
      <c r="M95" s="994"/>
      <c r="N95" s="993"/>
      <c r="O95" s="995">
        <f t="shared" si="4"/>
        <v>0</v>
      </c>
      <c r="P95" s="996"/>
      <c r="Q95" s="997"/>
      <c r="R95" s="998"/>
      <c r="S95" s="972"/>
    </row>
    <row r="96" spans="1:24" s="683" customFormat="1" ht="13.8" outlineLevel="1" thickBot="1">
      <c r="A96" s="676"/>
      <c r="B96" s="965"/>
      <c r="C96" s="874"/>
      <c r="D96" s="974"/>
      <c r="E96" s="975"/>
      <c r="F96" s="976"/>
      <c r="G96" s="976"/>
      <c r="H96" s="976"/>
      <c r="I96" s="976"/>
      <c r="J96" s="1000"/>
      <c r="K96" s="976"/>
      <c r="L96" s="975"/>
      <c r="M96" s="1001"/>
      <c r="N96" s="1000"/>
      <c r="O96" s="1002">
        <f t="shared" si="4"/>
        <v>0</v>
      </c>
      <c r="P96" s="1003"/>
      <c r="Q96" s="1004"/>
      <c r="R96" s="1005"/>
      <c r="S96" s="981"/>
    </row>
    <row r="97" spans="1:10" s="881" customFormat="1" outlineLevel="1">
      <c r="A97" s="982"/>
    </row>
    <row r="98" spans="1:10" s="881" customFormat="1" ht="16.2" outlineLevel="1" thickBot="1">
      <c r="A98" s="982"/>
      <c r="C98" s="984" t="s">
        <v>615</v>
      </c>
    </row>
    <row r="99" spans="1:10" s="881" customFormat="1" ht="13.8" outlineLevel="1" thickBot="1">
      <c r="A99" s="982"/>
      <c r="C99" s="985"/>
      <c r="D99" s="985"/>
      <c r="E99" s="985"/>
      <c r="F99" s="985"/>
      <c r="G99" s="986"/>
    </row>
    <row r="100" spans="1:10" s="881" customFormat="1" ht="13.8" outlineLevel="1" thickBot="1">
      <c r="A100" s="982"/>
      <c r="C100" s="985"/>
      <c r="D100" s="985"/>
      <c r="E100" s="985"/>
      <c r="F100" s="985"/>
      <c r="G100" s="986"/>
    </row>
    <row r="101" spans="1:10" s="881" customFormat="1" ht="13.8" outlineLevel="1" thickBot="1">
      <c r="A101" s="982"/>
      <c r="C101" s="985"/>
      <c r="D101" s="985"/>
      <c r="E101" s="985"/>
      <c r="F101" s="985"/>
      <c r="G101" s="986"/>
    </row>
    <row r="102" spans="1:10" s="881" customFormat="1" ht="13.8" outlineLevel="1" thickBot="1">
      <c r="A102" s="982"/>
      <c r="C102" s="987"/>
      <c r="D102" s="987"/>
      <c r="E102" s="987"/>
      <c r="F102" s="987"/>
      <c r="G102" s="988"/>
    </row>
    <row r="104" spans="1:10" ht="15.6">
      <c r="B104" s="944" t="s">
        <v>616</v>
      </c>
      <c r="C104" s="829" t="s">
        <v>617</v>
      </c>
    </row>
    <row r="106" spans="1:10" ht="15.6" outlineLevel="1">
      <c r="B106" s="944" t="s">
        <v>618</v>
      </c>
      <c r="C106" s="1006" t="s">
        <v>619</v>
      </c>
    </row>
    <row r="107" spans="1:10" ht="15.6" outlineLevel="1">
      <c r="B107" s="944"/>
      <c r="C107" s="1006" t="s">
        <v>620</v>
      </c>
      <c r="J107" s="1007"/>
    </row>
    <row r="108" spans="1:10" ht="15.6" outlineLevel="1">
      <c r="B108" s="944"/>
      <c r="C108" s="1006"/>
      <c r="D108" s="831" t="s">
        <v>621</v>
      </c>
      <c r="E108" s="832" t="s">
        <v>622</v>
      </c>
    </row>
    <row r="109" spans="1:10" ht="27" customHeight="1" outlineLevel="1">
      <c r="B109" s="944"/>
      <c r="C109" s="1006" t="s">
        <v>623</v>
      </c>
      <c r="D109" s="740"/>
      <c r="E109" s="957"/>
    </row>
    <row r="110" spans="1:10" ht="15.6" outlineLevel="1">
      <c r="B110" s="944"/>
      <c r="C110" s="1006" t="s">
        <v>624</v>
      </c>
      <c r="D110" s="740"/>
    </row>
    <row r="111" spans="1:10" ht="16.2" outlineLevel="1" thickBot="1">
      <c r="B111" s="944"/>
      <c r="C111" s="1006" t="s">
        <v>625</v>
      </c>
      <c r="D111" s="752">
        <f>SUM(D109:D110)</f>
        <v>0</v>
      </c>
    </row>
    <row r="112" spans="1:10" ht="13.8" outlineLevel="1" thickTop="1">
      <c r="D112" s="834">
        <f>D111-I27</f>
        <v>0</v>
      </c>
    </row>
    <row r="113" spans="1:25" outlineLevel="1"/>
    <row r="114" spans="1:25" ht="16.2" outlineLevel="1" thickBot="1">
      <c r="B114" s="944" t="s">
        <v>626</v>
      </c>
      <c r="C114" s="945" t="s">
        <v>672</v>
      </c>
    </row>
    <row r="115" spans="1:25" s="881" customFormat="1" ht="14.25" customHeight="1" outlineLevel="1" thickBot="1">
      <c r="A115" s="982"/>
      <c r="C115" s="1008"/>
      <c r="D115" s="1008"/>
      <c r="E115" s="1008"/>
      <c r="F115" s="1008"/>
      <c r="G115" s="1009"/>
    </row>
    <row r="116" spans="1:25" s="881" customFormat="1" ht="14.25" customHeight="1" outlineLevel="1" thickBot="1">
      <c r="A116" s="982"/>
      <c r="C116" s="1008"/>
      <c r="D116" s="1008"/>
      <c r="E116" s="1008"/>
      <c r="F116" s="1008"/>
      <c r="G116" s="1009"/>
    </row>
    <row r="117" spans="1:25" s="881" customFormat="1" ht="14.25" customHeight="1" outlineLevel="1" thickBot="1">
      <c r="A117" s="982"/>
      <c r="C117" s="1008"/>
      <c r="D117" s="1008"/>
      <c r="E117" s="1008"/>
      <c r="F117" s="1008"/>
      <c r="G117" s="1009"/>
    </row>
    <row r="118" spans="1:25" s="881" customFormat="1" ht="14.25" customHeight="1" outlineLevel="1" thickBot="1">
      <c r="A118" s="982"/>
      <c r="C118" s="1010"/>
      <c r="D118" s="1010"/>
      <c r="E118" s="1010"/>
      <c r="F118" s="1010"/>
      <c r="G118" s="1011"/>
    </row>
    <row r="119" spans="1:25" outlineLevel="1"/>
    <row r="120" spans="1:25" ht="16.2" outlineLevel="1" thickBot="1">
      <c r="B120" s="944" t="s">
        <v>628</v>
      </c>
      <c r="C120" s="832" t="s">
        <v>673</v>
      </c>
    </row>
    <row r="121" spans="1:25" s="683" customFormat="1" ht="12" customHeight="1" outlineLevel="1">
      <c r="A121" s="676"/>
      <c r="C121" s="1012" t="s">
        <v>630</v>
      </c>
      <c r="D121" s="1013"/>
      <c r="E121" s="1013"/>
      <c r="F121" s="1013"/>
      <c r="G121" s="1014"/>
      <c r="H121" s="989"/>
      <c r="I121" s="989"/>
      <c r="J121" s="989"/>
      <c r="K121" s="989"/>
      <c r="L121" s="989"/>
      <c r="M121" s="989"/>
      <c r="N121" s="989"/>
      <c r="O121" s="989"/>
      <c r="P121" s="989"/>
      <c r="Q121" s="893"/>
      <c r="R121" s="893"/>
      <c r="S121" s="893"/>
      <c r="T121" s="893"/>
      <c r="U121" s="893"/>
      <c r="V121" s="893"/>
      <c r="W121" s="893"/>
      <c r="X121" s="881"/>
      <c r="Y121" s="881"/>
    </row>
    <row r="122" spans="1:25" s="683" customFormat="1" ht="15" outlineLevel="1">
      <c r="A122" s="676"/>
      <c r="B122" s="946"/>
      <c r="C122" s="1015" t="s">
        <v>631</v>
      </c>
      <c r="D122" s="690" t="s">
        <v>674</v>
      </c>
      <c r="E122" s="744"/>
      <c r="F122" s="744"/>
      <c r="G122" s="1016"/>
      <c r="H122" s="989"/>
      <c r="I122" s="989"/>
      <c r="J122" s="989"/>
      <c r="K122" s="989"/>
      <c r="L122" s="989"/>
      <c r="M122" s="989"/>
      <c r="N122" s="989"/>
      <c r="O122" s="989"/>
      <c r="P122" s="893"/>
      <c r="Q122" s="893"/>
      <c r="R122" s="893"/>
      <c r="S122" s="893"/>
      <c r="T122" s="893"/>
      <c r="U122" s="893"/>
      <c r="V122" s="893"/>
      <c r="W122" s="881"/>
      <c r="X122" s="881"/>
    </row>
    <row r="123" spans="1:25" s="683" customFormat="1" ht="15" outlineLevel="1">
      <c r="A123" s="676"/>
      <c r="B123" s="946"/>
      <c r="C123" s="1015" t="s">
        <v>633</v>
      </c>
      <c r="D123" s="690" t="s">
        <v>634</v>
      </c>
      <c r="E123" s="744"/>
      <c r="F123" s="744"/>
      <c r="G123" s="1016"/>
      <c r="H123" s="989"/>
      <c r="I123" s="989"/>
      <c r="J123" s="989"/>
      <c r="K123" s="989"/>
      <c r="L123" s="989"/>
      <c r="M123" s="989"/>
      <c r="N123" s="989"/>
      <c r="O123" s="989"/>
      <c r="P123" s="893"/>
      <c r="Q123" s="893"/>
      <c r="R123" s="893"/>
      <c r="S123" s="893"/>
      <c r="T123" s="893"/>
      <c r="U123" s="893"/>
      <c r="V123" s="893"/>
      <c r="W123" s="881"/>
      <c r="X123" s="881"/>
    </row>
    <row r="124" spans="1:25" s="683" customFormat="1" ht="15.6" outlineLevel="1" thickBot="1">
      <c r="A124" s="676"/>
      <c r="B124" s="946"/>
      <c r="C124" s="1017" t="s">
        <v>635</v>
      </c>
      <c r="D124" s="1018" t="s">
        <v>636</v>
      </c>
      <c r="E124" s="1019"/>
      <c r="F124" s="1019"/>
      <c r="G124" s="1020"/>
      <c r="H124" s="989"/>
      <c r="I124" s="989"/>
      <c r="J124" s="989"/>
      <c r="K124" s="989"/>
      <c r="L124" s="989"/>
      <c r="M124" s="989"/>
      <c r="N124" s="989"/>
      <c r="O124" s="893"/>
      <c r="P124" s="893"/>
      <c r="Q124" s="893"/>
      <c r="R124" s="893"/>
      <c r="S124" s="893"/>
      <c r="T124" s="893"/>
      <c r="U124" s="893"/>
      <c r="V124" s="881"/>
      <c r="W124" s="881"/>
    </row>
    <row r="125" spans="1:25" s="683" customFormat="1" ht="13.8" outlineLevel="1" thickBot="1">
      <c r="A125" s="676"/>
      <c r="B125" s="946"/>
      <c r="C125" s="744"/>
      <c r="D125" s="744"/>
      <c r="E125" s="744"/>
      <c r="F125" s="744"/>
      <c r="G125" s="989"/>
      <c r="H125" s="989"/>
      <c r="I125" s="989"/>
      <c r="J125" s="989"/>
      <c r="K125" s="989"/>
      <c r="L125" s="989"/>
      <c r="M125" s="989"/>
      <c r="N125" s="989"/>
      <c r="O125" s="893"/>
      <c r="P125" s="893"/>
      <c r="Q125" s="893"/>
      <c r="R125" s="893"/>
      <c r="S125" s="893"/>
      <c r="T125" s="893"/>
      <c r="U125" s="893"/>
      <c r="V125" s="881"/>
      <c r="W125" s="881"/>
    </row>
    <row r="126" spans="1:25" s="832" customFormat="1" ht="13.2" customHeight="1" outlineLevel="1" thickBot="1">
      <c r="A126" s="655"/>
      <c r="C126" s="851" t="s">
        <v>604</v>
      </c>
      <c r="D126" s="852" t="s">
        <v>637</v>
      </c>
      <c r="E126" s="852" t="s">
        <v>638</v>
      </c>
      <c r="F126" s="852" t="s">
        <v>639</v>
      </c>
      <c r="G126" s="1021" t="s">
        <v>675</v>
      </c>
      <c r="H126" s="852" t="s">
        <v>641</v>
      </c>
      <c r="I126" s="852" t="s">
        <v>642</v>
      </c>
      <c r="J126" s="1022" t="s">
        <v>643</v>
      </c>
      <c r="K126" s="1023"/>
      <c r="L126" s="854" t="s">
        <v>600</v>
      </c>
      <c r="M126" s="855"/>
      <c r="N126" s="1024"/>
    </row>
    <row r="127" spans="1:25" s="832" customFormat="1" ht="12" customHeight="1" outlineLevel="1">
      <c r="A127" s="655"/>
      <c r="C127" s="1025"/>
      <c r="D127" s="1026"/>
      <c r="E127" s="1027"/>
      <c r="F127" s="1026"/>
      <c r="G127" s="1026"/>
      <c r="H127" s="1026"/>
      <c r="I127" s="1026"/>
      <c r="J127" s="1028"/>
      <c r="K127" s="1029" t="s">
        <v>631</v>
      </c>
      <c r="L127" s="1030" t="s">
        <v>633</v>
      </c>
      <c r="M127" s="1031" t="s">
        <v>635</v>
      </c>
      <c r="N127" s="1024"/>
    </row>
    <row r="128" spans="1:25" outlineLevel="1">
      <c r="A128" s="660"/>
      <c r="C128" s="1032"/>
      <c r="D128" s="1033"/>
      <c r="E128" s="1034"/>
      <c r="F128" s="1034"/>
      <c r="G128" s="1034"/>
      <c r="H128" s="1035"/>
      <c r="I128" s="1034"/>
      <c r="J128" s="1036"/>
      <c r="K128" s="1037"/>
      <c r="L128" s="1038"/>
      <c r="M128" s="1039"/>
      <c r="N128" s="881"/>
    </row>
    <row r="129" spans="1:14" outlineLevel="1">
      <c r="A129" s="660"/>
      <c r="C129" s="870"/>
      <c r="D129" s="1040"/>
      <c r="E129" s="1041"/>
      <c r="F129" s="1041"/>
      <c r="G129" s="1041"/>
      <c r="H129" s="1042"/>
      <c r="I129" s="967"/>
      <c r="J129" s="1043"/>
      <c r="K129" s="970"/>
      <c r="L129" s="865"/>
      <c r="M129" s="971"/>
      <c r="N129" s="881"/>
    </row>
    <row r="130" spans="1:14" ht="13.8" outlineLevel="1" thickBot="1">
      <c r="A130" s="660"/>
      <c r="C130" s="874"/>
      <c r="D130" s="975"/>
      <c r="E130" s="976"/>
      <c r="F130" s="976"/>
      <c r="G130" s="976"/>
      <c r="H130" s="977"/>
      <c r="I130" s="976"/>
      <c r="J130" s="1044"/>
      <c r="K130" s="979"/>
      <c r="L130" s="876"/>
      <c r="M130" s="980"/>
      <c r="N130" s="881"/>
    </row>
    <row r="131" spans="1:14">
      <c r="N131" s="989"/>
    </row>
    <row r="132" spans="1:14" ht="12" customHeight="1"/>
  </sheetData>
  <mergeCells count="19">
    <mergeCell ref="H126:H127"/>
    <mergeCell ref="I126:I127"/>
    <mergeCell ref="J126:J127"/>
    <mergeCell ref="C75:G78"/>
    <mergeCell ref="P81:R81"/>
    <mergeCell ref="C99:G102"/>
    <mergeCell ref="C115:G118"/>
    <mergeCell ref="C121:G121"/>
    <mergeCell ref="C126:C127"/>
    <mergeCell ref="D126:D127"/>
    <mergeCell ref="E126:E127"/>
    <mergeCell ref="F126:F127"/>
    <mergeCell ref="G126:G127"/>
    <mergeCell ref="E34:F34"/>
    <mergeCell ref="G34:H34"/>
    <mergeCell ref="I34:J34"/>
    <mergeCell ref="D48:F50"/>
    <mergeCell ref="C54:G54"/>
    <mergeCell ref="P58:R58"/>
  </mergeCells>
  <phoneticPr fontId="99" type="noConversion"/>
  <conditionalFormatting sqref="C60:R72">
    <cfRule type="containsBlanks" dxfId="4" priority="3">
      <formula>LEN(TRIM(C60))=0</formula>
    </cfRule>
  </conditionalFormatting>
  <conditionalFormatting sqref="C83:R96">
    <cfRule type="containsBlanks" dxfId="3" priority="2">
      <formula>LEN(TRIM(C83))=0</formula>
    </cfRule>
  </conditionalFormatting>
  <conditionalFormatting sqref="D11:D14 F11:G14 E36:H38 D48 C75:G78 C99:G102 E109 D109:D110 C115:G118 C128:M130">
    <cfRule type="containsBlanks" dxfId="2" priority="5">
      <formula>LEN(TRIM(C11))=0</formula>
    </cfRule>
  </conditionalFormatting>
  <conditionalFormatting sqref="D19:D27">
    <cfRule type="containsBlanks" dxfId="1" priority="1">
      <formula>LEN(TRIM(D19))=0</formula>
    </cfRule>
  </conditionalFormatting>
  <conditionalFormatting sqref="G19:H27">
    <cfRule type="containsBlanks" dxfId="0" priority="4">
      <formula>LEN(TRIM(G19))=0</formula>
    </cfRule>
  </conditionalFormatting>
  <dataValidations count="3">
    <dataValidation type="list" allowBlank="1" showInputMessage="1" sqref="D60:D72 D83:D96" xr:uid="{1C1FB54A-1D0C-4CDC-88EE-2B28617BD29A}">
      <formula1>"关键项,代表性样本"</formula1>
    </dataValidation>
    <dataValidation type="list" allowBlank="1" showInputMessage="1" sqref="P60:R72 P83:R96 K128:M130" xr:uid="{103E000B-A4D0-42DF-9FE0-6919C0A714EE}">
      <formula1>"Y,N"</formula1>
    </dataValidation>
    <dataValidation type="list" allowBlank="1" showInputMessage="1" sqref="E109" xr:uid="{9959657C-2E55-4045-98F2-E0E102054B53}">
      <formula1>"是,否"</formula1>
    </dataValidation>
  </dataValidation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62A5-FA16-4E44-BEBE-DB51E363CCB0}">
  <dimension ref="A1:Q5"/>
  <sheetViews>
    <sheetView showGridLines="0" zoomScale="70" zoomScaleNormal="70" workbookViewId="0">
      <selection activeCell="J46" sqref="J46"/>
    </sheetView>
  </sheetViews>
  <sheetFormatPr defaultColWidth="8" defaultRowHeight="13.2"/>
  <cols>
    <col min="1" max="1" width="5.21875" style="1048" customWidth="1"/>
    <col min="2" max="14" width="8" style="1046"/>
    <col min="15" max="15" width="30.44140625" style="1046" customWidth="1"/>
    <col min="16" max="16" width="2.5546875" style="1046" customWidth="1"/>
    <col min="17" max="17" width="1.5546875" style="1046" customWidth="1"/>
    <col min="18" max="16384" width="8" style="1046"/>
  </cols>
  <sheetData>
    <row r="1" spans="1:17">
      <c r="A1" s="1045" t="s">
        <v>676</v>
      </c>
      <c r="Q1" s="1047"/>
    </row>
    <row r="2" spans="1:17">
      <c r="Q2" s="1047"/>
    </row>
    <row r="3" spans="1:17" ht="20.399999999999999">
      <c r="B3" s="1049" t="s">
        <v>677</v>
      </c>
      <c r="C3" s="1050" t="s">
        <v>678</v>
      </c>
      <c r="D3" s="1051"/>
      <c r="E3" s="1052"/>
      <c r="F3" s="1052"/>
      <c r="G3" s="1052"/>
      <c r="H3" s="1052"/>
      <c r="I3" s="1052"/>
      <c r="J3" s="1052"/>
      <c r="K3" s="1052"/>
      <c r="L3" s="1052"/>
      <c r="M3" s="1052"/>
      <c r="N3" s="1052"/>
      <c r="O3" s="1052"/>
      <c r="Q3" s="1047"/>
    </row>
    <row r="4" spans="1:17" ht="15" customHeight="1">
      <c r="Q4" s="1047"/>
    </row>
    <row r="5" spans="1:17" ht="7.5" customHeight="1">
      <c r="A5" s="1053"/>
      <c r="B5" s="1047"/>
      <c r="C5" s="1047"/>
      <c r="D5" s="1047"/>
      <c r="E5" s="1047"/>
      <c r="F5" s="1047"/>
      <c r="G5" s="1047"/>
      <c r="H5" s="1047"/>
      <c r="I5" s="1047"/>
      <c r="J5" s="1047"/>
      <c r="K5" s="1047"/>
      <c r="L5" s="1047"/>
      <c r="M5" s="1047"/>
      <c r="N5" s="1047"/>
      <c r="O5" s="1047"/>
      <c r="P5" s="1047"/>
      <c r="Q5" s="1047"/>
    </row>
  </sheetData>
  <phoneticPr fontId="99"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82E9-3AB7-4923-9449-AAAFBF585C2B}">
  <sheetPr codeName="Sheet5"/>
  <dimension ref="A1:DX29"/>
  <sheetViews>
    <sheetView showGridLines="0" tabSelected="1" zoomScale="70" zoomScaleNormal="70" workbookViewId="0">
      <selection activeCell="H38" sqref="H38"/>
    </sheetView>
  </sheetViews>
  <sheetFormatPr defaultColWidth="9.5546875" defaultRowHeight="13.2"/>
  <cols>
    <col min="1" max="1" width="2.6640625" style="66" customWidth="1"/>
    <col min="2" max="2" width="20.109375" style="7" customWidth="1"/>
    <col min="3" max="3" width="27.44140625" style="7" customWidth="1"/>
    <col min="4" max="4" width="31.33203125" style="7" customWidth="1"/>
    <col min="5" max="5" width="27.109375" style="7" customWidth="1"/>
    <col min="6" max="6" width="24.88671875" style="7" customWidth="1"/>
    <col min="7" max="7" width="26.109375" style="7" customWidth="1"/>
    <col min="8" max="8" width="17.33203125" style="7" customWidth="1"/>
    <col min="9" max="9" width="18.109375" style="7" customWidth="1"/>
    <col min="10" max="10" width="36.33203125" style="7" customWidth="1"/>
    <col min="11" max="11" width="20.6640625" style="7" customWidth="1"/>
    <col min="12" max="12" width="16" style="7" customWidth="1"/>
    <col min="13" max="13" width="18.88671875" style="7" customWidth="1"/>
    <col min="14" max="14" width="13.44140625" style="7" customWidth="1"/>
    <col min="15" max="15" width="2.6640625" style="7" customWidth="1"/>
    <col min="16" max="16" width="1.6640625" style="7" customWidth="1"/>
    <col min="17" max="17" width="14" style="7" customWidth="1"/>
    <col min="18" max="18" width="22.44140625" style="7" customWidth="1"/>
    <col min="19" max="19" width="15.88671875" style="7" customWidth="1"/>
    <col min="20" max="35" width="8.6640625" style="7" customWidth="1"/>
    <col min="36" max="36" width="13.33203125" style="7" customWidth="1"/>
    <col min="37" max="37" width="10.44140625" style="7" customWidth="1"/>
    <col min="38" max="38" width="11.88671875" style="7" customWidth="1"/>
    <col min="39" max="39" width="7.5546875" style="7" customWidth="1"/>
    <col min="40" max="40" width="9.109375" style="7" customWidth="1"/>
    <col min="41" max="16384" width="9.5546875" style="7"/>
  </cols>
  <sheetData>
    <row r="1" spans="1:128" ht="50.1" customHeight="1">
      <c r="A1" s="502"/>
      <c r="B1" s="594" t="s">
        <v>147</v>
      </c>
      <c r="C1" s="595"/>
      <c r="D1" s="595"/>
      <c r="E1" s="595"/>
      <c r="F1" s="595"/>
      <c r="G1" s="595"/>
      <c r="H1" s="595"/>
      <c r="I1" s="595"/>
      <c r="J1" s="595"/>
      <c r="K1" s="595"/>
      <c r="L1" s="595"/>
      <c r="M1" s="595"/>
      <c r="N1" s="596"/>
      <c r="O1" s="502"/>
      <c r="P1" s="108"/>
      <c r="S1" s="10"/>
      <c r="CQ1" s="2"/>
      <c r="CR1" s="2"/>
      <c r="CS1" s="2"/>
      <c r="CT1" s="21"/>
      <c r="CU1" s="21"/>
      <c r="CV1" s="21"/>
      <c r="CW1" s="21"/>
      <c r="CX1" s="21"/>
      <c r="CY1" s="21"/>
      <c r="CZ1" s="21"/>
      <c r="DA1" s="21"/>
      <c r="DB1" s="2"/>
      <c r="DC1" s="21"/>
      <c r="DD1" s="21"/>
      <c r="DE1" s="21"/>
      <c r="DF1" s="21"/>
      <c r="DG1" s="21"/>
      <c r="DH1" s="2"/>
      <c r="DI1" s="2"/>
      <c r="DJ1" s="2"/>
      <c r="DK1" s="2"/>
      <c r="DL1" s="2"/>
      <c r="DM1" s="2"/>
      <c r="DN1" s="2"/>
      <c r="DO1" s="2"/>
      <c r="DP1" s="2"/>
      <c r="DQ1" s="23"/>
      <c r="DR1" s="2"/>
      <c r="DS1" s="2"/>
    </row>
    <row r="2" spans="1:128" s="3" customFormat="1" ht="30" customHeight="1">
      <c r="A2" s="86"/>
      <c r="B2" s="597" t="s">
        <v>148</v>
      </c>
      <c r="C2" s="598"/>
      <c r="D2" s="598"/>
      <c r="E2" s="598"/>
      <c r="F2" s="598"/>
      <c r="G2" s="598"/>
      <c r="H2" s="598"/>
      <c r="I2" s="598"/>
      <c r="J2" s="598"/>
      <c r="K2" s="598"/>
      <c r="L2" s="598"/>
      <c r="M2" s="598"/>
      <c r="N2" s="599"/>
      <c r="P2" s="109"/>
    </row>
    <row r="3" spans="1:128" ht="15" customHeight="1">
      <c r="A3" s="150"/>
      <c r="B3" s="150"/>
      <c r="C3" s="502"/>
      <c r="D3" s="502"/>
      <c r="E3" s="502"/>
      <c r="F3" s="502"/>
      <c r="G3" s="502"/>
      <c r="H3" s="502"/>
      <c r="I3" s="502"/>
      <c r="J3" s="520"/>
      <c r="K3" s="520"/>
      <c r="P3" s="93"/>
      <c r="CQ3" s="21"/>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1"/>
      <c r="DS3" s="22"/>
    </row>
    <row r="4" spans="1:128" ht="15.6">
      <c r="A4" s="502"/>
      <c r="B4" s="145" t="s">
        <v>149</v>
      </c>
      <c r="C4" s="145"/>
      <c r="D4" s="145"/>
      <c r="E4" s="145"/>
      <c r="F4" s="145"/>
      <c r="G4" s="145"/>
      <c r="H4" s="145"/>
      <c r="I4" s="145"/>
      <c r="J4" s="145"/>
      <c r="K4" s="145"/>
      <c r="L4" s="145"/>
      <c r="M4" s="145"/>
      <c r="N4" s="145"/>
      <c r="P4" s="93"/>
      <c r="CQ4" s="21"/>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1"/>
      <c r="DS4" s="22"/>
    </row>
    <row r="5" spans="1:128" ht="15" customHeight="1">
      <c r="A5" s="502"/>
      <c r="B5" s="502"/>
      <c r="C5" s="502"/>
      <c r="D5" s="502"/>
      <c r="E5" s="502"/>
      <c r="F5" s="502"/>
      <c r="G5" s="502"/>
      <c r="H5" s="502"/>
      <c r="I5" s="502"/>
      <c r="J5" s="520"/>
      <c r="K5" s="520"/>
      <c r="P5" s="93"/>
      <c r="CQ5" s="21"/>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1"/>
      <c r="DS5" s="22"/>
    </row>
    <row r="6" spans="1:128" ht="15" customHeight="1">
      <c r="A6" s="502"/>
      <c r="B6" s="103" t="s">
        <v>40</v>
      </c>
      <c r="C6" s="502"/>
      <c r="D6" s="502"/>
      <c r="E6" s="502"/>
      <c r="F6" s="502"/>
      <c r="G6" s="502"/>
      <c r="H6" s="502"/>
      <c r="I6" s="502"/>
      <c r="J6" s="520"/>
      <c r="K6" s="520"/>
      <c r="P6" s="93"/>
      <c r="CQ6" s="21"/>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1"/>
      <c r="DS6" s="22"/>
    </row>
    <row r="7" spans="1:128" ht="15" customHeight="1">
      <c r="A7" s="609"/>
      <c r="B7" s="609"/>
      <c r="C7" s="502"/>
      <c r="D7" s="502"/>
      <c r="E7" s="502"/>
      <c r="F7" s="502"/>
      <c r="G7" s="502"/>
      <c r="H7" s="502"/>
      <c r="I7" s="502"/>
      <c r="J7" s="520"/>
      <c r="K7" s="520"/>
      <c r="P7" s="93"/>
      <c r="CQ7" s="21"/>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1"/>
      <c r="DS7" s="22"/>
    </row>
    <row r="8" spans="1:128" ht="15.6">
      <c r="A8" s="507"/>
      <c r="B8" s="141" t="s">
        <v>150</v>
      </c>
      <c r="C8" s="142"/>
      <c r="D8" s="142"/>
      <c r="E8" s="143"/>
      <c r="F8" s="143"/>
      <c r="G8" s="143"/>
      <c r="H8" s="143"/>
      <c r="I8" s="144"/>
      <c r="J8" s="610"/>
      <c r="K8" s="520"/>
      <c r="P8" s="93"/>
      <c r="CQ8" s="21"/>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1"/>
      <c r="DS8" s="22"/>
    </row>
    <row r="9" spans="1:128" ht="30.9" customHeight="1">
      <c r="A9" s="507"/>
      <c r="B9" s="611" t="s">
        <v>151</v>
      </c>
      <c r="C9" s="612"/>
      <c r="D9" s="612"/>
      <c r="E9" s="612"/>
      <c r="F9" s="612"/>
      <c r="G9" s="612"/>
      <c r="H9" s="612"/>
      <c r="I9" s="613"/>
      <c r="J9" s="520"/>
      <c r="K9" s="520"/>
      <c r="P9" s="93"/>
      <c r="CQ9" s="21"/>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1"/>
      <c r="DS9" s="22"/>
    </row>
    <row r="10" spans="1:128" s="1" customFormat="1">
      <c r="A10" s="78"/>
      <c r="C10" s="69"/>
      <c r="D10" s="70"/>
      <c r="E10" s="26"/>
      <c r="F10" s="26"/>
      <c r="G10" s="26"/>
      <c r="H10" s="26"/>
      <c r="I10" s="24"/>
      <c r="J10" s="24"/>
      <c r="K10" s="71"/>
      <c r="L10" s="60"/>
      <c r="M10" s="60"/>
      <c r="N10" s="60"/>
      <c r="O10" s="60"/>
      <c r="P10" s="110"/>
      <c r="Q10" s="61"/>
    </row>
    <row r="11" spans="1:128" s="8" customFormat="1" ht="23.25" customHeight="1">
      <c r="A11" s="63"/>
      <c r="B11" s="135" t="s">
        <v>60</v>
      </c>
      <c r="C11" s="26"/>
      <c r="D11" s="26"/>
      <c r="E11" s="26"/>
      <c r="F11" s="52"/>
      <c r="G11" s="52"/>
      <c r="H11" s="1"/>
      <c r="I11" s="1"/>
      <c r="J11" s="1"/>
      <c r="K11" s="1"/>
      <c r="L11" s="1"/>
      <c r="M11" s="9"/>
      <c r="N11" s="9"/>
      <c r="P11" s="100"/>
      <c r="Q11" s="9"/>
      <c r="R11" s="9"/>
      <c r="S11" s="9"/>
      <c r="T11" s="53"/>
      <c r="U11" s="54"/>
      <c r="V11" s="54"/>
      <c r="W11" s="55"/>
      <c r="CS11" s="40"/>
      <c r="CT11" s="40"/>
      <c r="CU11" s="40"/>
      <c r="CV11" s="21"/>
      <c r="CW11" s="21"/>
      <c r="CX11" s="21"/>
      <c r="CY11" s="21"/>
      <c r="CZ11" s="21"/>
      <c r="DA11" s="21"/>
      <c r="DB11" s="21"/>
      <c r="DC11" s="21"/>
      <c r="DD11" s="40"/>
      <c r="DE11" s="21"/>
      <c r="DF11" s="21"/>
      <c r="DG11" s="21"/>
      <c r="DH11" s="21"/>
      <c r="DI11" s="21"/>
      <c r="DJ11" s="40"/>
      <c r="DK11" s="40"/>
      <c r="DL11" s="40"/>
      <c r="DM11" s="40"/>
      <c r="DN11" s="40"/>
      <c r="DO11" s="40"/>
      <c r="DP11" s="40"/>
      <c r="DQ11" s="40"/>
      <c r="DR11" s="40"/>
      <c r="DS11" s="42"/>
      <c r="DT11" s="40"/>
      <c r="DU11" s="40"/>
    </row>
    <row r="12" spans="1:128" s="8" customFormat="1" ht="29.1" customHeight="1">
      <c r="A12" s="63"/>
      <c r="B12" s="377" t="s">
        <v>152</v>
      </c>
      <c r="C12" s="378" t="s">
        <v>153</v>
      </c>
      <c r="D12" s="378" t="s">
        <v>154</v>
      </c>
      <c r="E12" s="378" t="s">
        <v>155</v>
      </c>
      <c r="F12" s="379" t="s">
        <v>156</v>
      </c>
      <c r="G12" s="379" t="s">
        <v>157</v>
      </c>
      <c r="H12" s="379" t="s">
        <v>158</v>
      </c>
      <c r="I12" s="379" t="s">
        <v>159</v>
      </c>
      <c r="J12" s="379" t="s">
        <v>160</v>
      </c>
      <c r="K12" s="379" t="s">
        <v>161</v>
      </c>
      <c r="L12" s="379" t="s">
        <v>162</v>
      </c>
      <c r="M12" s="379" t="s">
        <v>163</v>
      </c>
      <c r="N12" s="424" t="s">
        <v>96</v>
      </c>
      <c r="P12" s="100"/>
      <c r="Q12" s="9"/>
      <c r="R12" s="9"/>
      <c r="S12" s="53"/>
      <c r="T12" s="54"/>
      <c r="U12" s="54"/>
      <c r="V12" s="55"/>
      <c r="CR12" s="40"/>
      <c r="CS12" s="40"/>
      <c r="CT12" s="40"/>
      <c r="CU12" s="21"/>
      <c r="CV12" s="21"/>
      <c r="CW12" s="21"/>
      <c r="CX12" s="21"/>
      <c r="CY12" s="21"/>
      <c r="CZ12" s="21"/>
      <c r="DA12" s="21"/>
      <c r="DB12" s="21"/>
      <c r="DC12" s="40"/>
      <c r="DD12" s="21"/>
      <c r="DE12" s="21"/>
      <c r="DF12" s="21"/>
      <c r="DG12" s="21"/>
      <c r="DH12" s="21"/>
      <c r="DI12" s="40"/>
      <c r="DJ12" s="40"/>
      <c r="DK12" s="40"/>
      <c r="DL12" s="40"/>
      <c r="DM12" s="40"/>
      <c r="DN12" s="40"/>
      <c r="DO12" s="40"/>
      <c r="DP12" s="40"/>
      <c r="DQ12" s="40"/>
      <c r="DR12" s="42"/>
      <c r="DS12" s="40"/>
      <c r="DT12" s="40"/>
    </row>
    <row r="13" spans="1:128" s="425" customFormat="1">
      <c r="B13" s="238"/>
      <c r="C13" s="238"/>
      <c r="D13" s="238"/>
      <c r="E13" s="492"/>
      <c r="F13" s="238"/>
      <c r="G13" s="231"/>
      <c r="H13" s="492"/>
      <c r="I13" s="238"/>
      <c r="J13" s="238"/>
      <c r="K13" s="238"/>
      <c r="L13" s="238"/>
      <c r="M13" s="423"/>
      <c r="N13" s="426"/>
      <c r="P13" s="427"/>
      <c r="S13" s="65"/>
      <c r="T13" s="65"/>
      <c r="U13" s="65"/>
      <c r="V13" s="65"/>
      <c r="W13" s="65"/>
      <c r="X13" s="65"/>
      <c r="AA13" s="65"/>
      <c r="AD13" s="64"/>
      <c r="AE13" s="64"/>
      <c r="AF13" s="64"/>
      <c r="AG13" s="64"/>
      <c r="AH13" s="64"/>
      <c r="AI13" s="64"/>
      <c r="AJ13" s="65"/>
      <c r="AK13" s="65"/>
      <c r="AL13" s="65"/>
      <c r="AM13" s="65"/>
      <c r="AN13" s="65"/>
      <c r="AO13" s="65"/>
      <c r="CV13" s="428"/>
      <c r="CW13" s="428"/>
      <c r="CX13" s="428"/>
      <c r="CY13" s="7"/>
      <c r="CZ13" s="7"/>
      <c r="DA13" s="7"/>
      <c r="DB13" s="7"/>
      <c r="DC13" s="7"/>
      <c r="DD13" s="7"/>
      <c r="DE13" s="7"/>
      <c r="DF13" s="428"/>
      <c r="DG13" s="428"/>
      <c r="DH13" s="7"/>
      <c r="DI13" s="7"/>
      <c r="DJ13" s="7"/>
      <c r="DK13" s="7"/>
      <c r="DL13" s="7"/>
      <c r="DM13" s="428"/>
      <c r="DN13" s="428"/>
      <c r="DO13" s="428"/>
      <c r="DP13" s="428"/>
      <c r="DQ13" s="428"/>
      <c r="DR13" s="428"/>
      <c r="DS13" s="428"/>
      <c r="DT13" s="428"/>
      <c r="DU13" s="428"/>
      <c r="DV13" s="429"/>
      <c r="DW13" s="428"/>
      <c r="DX13" s="428"/>
    </row>
    <row r="14" spans="1:128" s="431" customFormat="1">
      <c r="A14" s="430"/>
      <c r="B14" s="238"/>
      <c r="C14" s="238"/>
      <c r="D14" s="238"/>
      <c r="E14" s="492"/>
      <c r="F14" s="238"/>
      <c r="G14" s="231"/>
      <c r="H14" s="492"/>
      <c r="I14" s="238"/>
      <c r="J14" s="422"/>
      <c r="K14" s="238"/>
      <c r="L14" s="238"/>
      <c r="M14" s="423"/>
      <c r="N14" s="426"/>
      <c r="P14" s="432"/>
      <c r="S14" s="50"/>
      <c r="T14" s="50"/>
      <c r="U14" s="50"/>
      <c r="V14" s="50"/>
      <c r="W14" s="50"/>
      <c r="X14" s="50"/>
      <c r="AA14" s="50"/>
      <c r="AD14" s="64"/>
      <c r="AE14" s="64"/>
      <c r="AF14" s="64"/>
      <c r="AG14" s="64"/>
      <c r="AH14" s="64"/>
      <c r="AI14" s="64"/>
      <c r="AJ14" s="65"/>
      <c r="AK14" s="65"/>
      <c r="AL14" s="65"/>
      <c r="AM14" s="65"/>
      <c r="AN14" s="65"/>
      <c r="AO14" s="65"/>
      <c r="CV14" s="433"/>
      <c r="CW14" s="433"/>
      <c r="CX14" s="433"/>
      <c r="CY14" s="22"/>
      <c r="CZ14" s="22"/>
      <c r="DA14" s="22"/>
      <c r="DB14" s="22"/>
      <c r="DC14" s="22"/>
      <c r="DD14" s="22"/>
      <c r="DE14" s="22"/>
      <c r="DF14" s="433"/>
      <c r="DG14" s="433"/>
      <c r="DH14" s="22"/>
      <c r="DI14" s="22"/>
      <c r="DJ14" s="22"/>
      <c r="DK14" s="22"/>
      <c r="DL14" s="22"/>
      <c r="DM14" s="433"/>
      <c r="DN14" s="433"/>
      <c r="DO14" s="433"/>
      <c r="DP14" s="433"/>
      <c r="DQ14" s="433"/>
      <c r="DR14" s="433"/>
      <c r="DS14" s="433"/>
      <c r="DT14" s="433"/>
      <c r="DU14" s="433"/>
      <c r="DV14" s="434"/>
      <c r="DW14" s="433"/>
      <c r="DX14" s="433"/>
    </row>
    <row r="15" spans="1:128" s="24" customFormat="1">
      <c r="A15" s="88"/>
      <c r="B15" s="390"/>
      <c r="C15" s="390"/>
      <c r="D15" s="390"/>
      <c r="E15" s="493"/>
      <c r="F15" s="238"/>
      <c r="G15" s="231"/>
      <c r="H15" s="492"/>
      <c r="I15" s="238"/>
      <c r="J15" s="238"/>
      <c r="K15" s="238"/>
      <c r="L15" s="238"/>
      <c r="M15" s="423"/>
      <c r="N15" s="426"/>
      <c r="P15" s="432"/>
      <c r="Q15" s="431"/>
      <c r="R15" s="431"/>
      <c r="CU15" s="433"/>
      <c r="CV15" s="433"/>
      <c r="CW15" s="433"/>
      <c r="CX15" s="22"/>
      <c r="CY15" s="22"/>
      <c r="CZ15" s="22"/>
      <c r="DA15" s="22"/>
      <c r="DB15" s="22"/>
      <c r="DC15" s="22"/>
      <c r="DD15" s="22"/>
      <c r="DE15" s="433"/>
      <c r="DF15" s="433"/>
      <c r="DG15" s="22"/>
      <c r="DH15" s="22"/>
      <c r="DI15" s="22"/>
      <c r="DJ15" s="22"/>
      <c r="DK15" s="22"/>
      <c r="DL15" s="433"/>
      <c r="DM15" s="433"/>
      <c r="DN15" s="433"/>
      <c r="DO15" s="433"/>
      <c r="DP15" s="433"/>
      <c r="DQ15" s="433"/>
      <c r="DR15" s="433"/>
      <c r="DS15" s="433"/>
      <c r="DT15" s="433"/>
      <c r="DU15" s="434"/>
      <c r="DV15" s="433"/>
      <c r="DW15" s="433"/>
    </row>
    <row r="16" spans="1:128" s="437" customFormat="1">
      <c r="A16" s="435"/>
      <c r="B16" s="390"/>
      <c r="C16" s="390"/>
      <c r="D16" s="390"/>
      <c r="E16" s="493"/>
      <c r="F16" s="238"/>
      <c r="G16" s="231"/>
      <c r="H16" s="492"/>
      <c r="I16" s="238"/>
      <c r="J16" s="238"/>
      <c r="K16" s="238"/>
      <c r="L16" s="238"/>
      <c r="M16" s="423"/>
      <c r="N16" s="436"/>
      <c r="P16" s="438"/>
      <c r="Q16" s="439"/>
      <c r="R16" s="439"/>
      <c r="CU16" s="440"/>
      <c r="CV16" s="440"/>
      <c r="CW16" s="440"/>
      <c r="CX16" s="441"/>
      <c r="CY16" s="441"/>
      <c r="CZ16" s="441"/>
      <c r="DA16" s="441"/>
      <c r="DB16" s="441"/>
      <c r="DC16" s="441"/>
      <c r="DD16" s="441"/>
      <c r="DE16" s="440"/>
      <c r="DF16" s="440"/>
      <c r="DG16" s="441"/>
      <c r="DH16" s="441"/>
      <c r="DI16" s="441"/>
      <c r="DJ16" s="441"/>
      <c r="DK16" s="441"/>
      <c r="DL16" s="440"/>
      <c r="DM16" s="440"/>
      <c r="DN16" s="440"/>
      <c r="DO16" s="440"/>
      <c r="DP16" s="440"/>
      <c r="DQ16" s="440"/>
      <c r="DR16" s="440"/>
      <c r="DS16" s="440"/>
      <c r="DT16" s="440"/>
      <c r="DU16" s="442"/>
      <c r="DV16" s="440"/>
      <c r="DW16" s="440"/>
    </row>
    <row r="17" spans="1:128" s="24" customFormat="1">
      <c r="A17" s="88"/>
      <c r="B17" s="390"/>
      <c r="C17" s="390"/>
      <c r="D17" s="390"/>
      <c r="E17" s="493"/>
      <c r="F17" s="238"/>
      <c r="G17" s="231"/>
      <c r="H17" s="492"/>
      <c r="I17" s="238"/>
      <c r="J17" s="238"/>
      <c r="K17" s="238"/>
      <c r="L17" s="238"/>
      <c r="M17" s="423"/>
      <c r="N17" s="426"/>
      <c r="P17" s="432"/>
      <c r="Q17" s="431"/>
      <c r="R17" s="431"/>
      <c r="CU17" s="433"/>
      <c r="CV17" s="433"/>
      <c r="CW17" s="433"/>
      <c r="CX17" s="22"/>
      <c r="CY17" s="22"/>
      <c r="CZ17" s="22"/>
      <c r="DA17" s="22"/>
      <c r="DB17" s="22"/>
      <c r="DC17" s="22"/>
      <c r="DD17" s="22"/>
      <c r="DE17" s="433"/>
      <c r="DF17" s="433"/>
      <c r="DG17" s="22"/>
      <c r="DH17" s="22"/>
      <c r="DI17" s="22"/>
      <c r="DJ17" s="22"/>
      <c r="DK17" s="22"/>
      <c r="DL17" s="433"/>
      <c r="DM17" s="433"/>
      <c r="DN17" s="433"/>
      <c r="DO17" s="433"/>
      <c r="DP17" s="433"/>
      <c r="DQ17" s="433"/>
      <c r="DR17" s="433"/>
      <c r="DS17" s="433"/>
      <c r="DT17" s="433"/>
      <c r="DU17" s="434"/>
      <c r="DV17" s="433"/>
      <c r="DW17" s="433"/>
    </row>
    <row r="18" spans="1:128">
      <c r="A18" s="443"/>
      <c r="B18" s="238"/>
      <c r="C18" s="238"/>
      <c r="D18" s="238"/>
      <c r="E18" s="492"/>
      <c r="F18" s="238"/>
      <c r="G18" s="231"/>
      <c r="H18" s="492"/>
      <c r="I18" s="238"/>
      <c r="J18" s="238"/>
      <c r="K18" s="238"/>
      <c r="L18" s="238"/>
      <c r="M18" s="423"/>
      <c r="N18" s="426"/>
      <c r="P18" s="432"/>
      <c r="Q18" s="431"/>
      <c r="R18" s="431"/>
      <c r="CU18" s="433"/>
      <c r="CV18" s="433"/>
      <c r="CW18" s="433"/>
      <c r="CX18" s="22"/>
      <c r="CY18" s="22"/>
      <c r="CZ18" s="22"/>
      <c r="DA18" s="22"/>
      <c r="DB18" s="22"/>
      <c r="DC18" s="22"/>
      <c r="DD18" s="22"/>
      <c r="DE18" s="433"/>
      <c r="DF18" s="433"/>
      <c r="DG18" s="22"/>
      <c r="DH18" s="22"/>
      <c r="DI18" s="22"/>
      <c r="DJ18" s="22"/>
      <c r="DK18" s="22"/>
      <c r="DL18" s="433"/>
      <c r="DM18" s="433"/>
      <c r="DN18" s="433"/>
      <c r="DO18" s="433"/>
      <c r="DP18" s="433"/>
      <c r="DQ18" s="433"/>
      <c r="DR18" s="433"/>
      <c r="DS18" s="433"/>
      <c r="DT18" s="433"/>
      <c r="DU18" s="434"/>
      <c r="DV18" s="433"/>
      <c r="DW18" s="433"/>
    </row>
    <row r="19" spans="1:128" s="10" customFormat="1">
      <c r="A19" s="79"/>
      <c r="E19" s="449"/>
      <c r="H19" s="449"/>
      <c r="P19" s="111"/>
    </row>
    <row r="20" spans="1:128" ht="16.2" thickBot="1">
      <c r="A20" s="77"/>
      <c r="C20" s="10"/>
      <c r="D20" s="232" t="s">
        <v>111</v>
      </c>
      <c r="E20" s="450">
        <f>SUM(E12:E18)</f>
        <v>0</v>
      </c>
      <c r="F20" s="233"/>
      <c r="G20" s="233"/>
      <c r="H20" s="450">
        <f>SUM(H12:H18)</f>
        <v>0</v>
      </c>
      <c r="I20" s="10"/>
      <c r="J20" s="10"/>
      <c r="K20" s="10"/>
      <c r="L20" s="10"/>
      <c r="M20" s="10"/>
      <c r="N20" s="234"/>
      <c r="P20" s="100"/>
      <c r="Q20" s="9"/>
      <c r="R20" s="9"/>
      <c r="S20" s="9"/>
      <c r="CV20" s="40"/>
      <c r="CW20" s="40"/>
      <c r="CX20" s="40"/>
      <c r="CY20" s="21"/>
      <c r="CZ20" s="21"/>
      <c r="DA20" s="21"/>
      <c r="DB20" s="21"/>
      <c r="DC20" s="21"/>
      <c r="DD20" s="21"/>
      <c r="DE20" s="21"/>
      <c r="DF20" s="40"/>
      <c r="DG20" s="40"/>
      <c r="DH20" s="21"/>
      <c r="DI20" s="21"/>
      <c r="DJ20" s="21"/>
      <c r="DK20" s="21"/>
      <c r="DL20" s="21"/>
      <c r="DM20" s="40"/>
      <c r="DN20" s="40"/>
      <c r="DO20" s="40"/>
      <c r="DP20" s="40"/>
      <c r="DQ20" s="40"/>
      <c r="DR20" s="40"/>
      <c r="DS20" s="40"/>
      <c r="DT20" s="40"/>
      <c r="DU20" s="40"/>
      <c r="DV20" s="42"/>
      <c r="DW20" s="40"/>
      <c r="DX20" s="40"/>
    </row>
    <row r="21" spans="1:128" s="10" customFormat="1" ht="12.6" customHeight="1" thickTop="1">
      <c r="A21" s="79"/>
      <c r="E21" s="17" t="s">
        <v>54</v>
      </c>
      <c r="H21" s="17" t="s">
        <v>54</v>
      </c>
      <c r="P21" s="111"/>
    </row>
    <row r="22" spans="1:128">
      <c r="P22" s="93"/>
    </row>
    <row r="23" spans="1:128" s="5" customFormat="1" ht="12.6" customHeight="1">
      <c r="A23" s="80"/>
      <c r="B23" s="235" t="s">
        <v>97</v>
      </c>
      <c r="C23" s="48"/>
      <c r="D23" s="47"/>
      <c r="E23" s="49"/>
      <c r="F23" s="32"/>
      <c r="G23" s="37"/>
      <c r="H23" s="38"/>
      <c r="I23" s="39"/>
      <c r="J23" s="33"/>
      <c r="L23" s="38"/>
      <c r="M23" s="38"/>
      <c r="N23" s="33"/>
      <c r="P23" s="112"/>
      <c r="Q23" s="28"/>
      <c r="R23" s="28"/>
      <c r="S23" s="28"/>
      <c r="CK23" s="2"/>
      <c r="CL23" s="2"/>
      <c r="CM23" s="2"/>
      <c r="CN23" s="21"/>
      <c r="CO23" s="21"/>
      <c r="CP23" s="21"/>
      <c r="CQ23" s="21"/>
      <c r="CR23" s="21"/>
      <c r="CS23" s="21"/>
      <c r="CT23" s="21"/>
      <c r="CU23" s="21"/>
      <c r="CV23" s="2"/>
      <c r="CW23" s="21"/>
      <c r="CX23" s="21"/>
      <c r="CY23" s="21"/>
      <c r="CZ23" s="21"/>
      <c r="DA23" s="21"/>
      <c r="DB23" s="2"/>
      <c r="DC23" s="2"/>
      <c r="DD23" s="2"/>
      <c r="DE23" s="2"/>
      <c r="DF23" s="2"/>
      <c r="DG23" s="2"/>
      <c r="DH23" s="2"/>
      <c r="DI23" s="2"/>
      <c r="DJ23" s="2"/>
      <c r="DK23" s="23"/>
      <c r="DL23" s="2"/>
      <c r="DM23" s="2"/>
    </row>
    <row r="24" spans="1:128" s="6" customFormat="1" ht="12.6" customHeight="1">
      <c r="A24" s="81"/>
      <c r="B24" s="600"/>
      <c r="C24" s="601"/>
      <c r="D24" s="601"/>
      <c r="E24" s="601"/>
      <c r="F24" s="602"/>
      <c r="P24" s="99"/>
      <c r="CL24" s="4"/>
      <c r="CM24" s="4"/>
      <c r="CN24" s="4"/>
      <c r="CO24" s="12"/>
      <c r="CP24" s="12"/>
      <c r="CQ24" s="12"/>
      <c r="CR24" s="12"/>
      <c r="CS24" s="12"/>
      <c r="CT24" s="12"/>
      <c r="CU24" s="12"/>
      <c r="CV24" s="4"/>
      <c r="CW24" s="4"/>
      <c r="CX24" s="12"/>
      <c r="CY24" s="12"/>
      <c r="CZ24" s="12"/>
      <c r="DA24" s="12"/>
      <c r="DB24" s="12"/>
      <c r="DC24" s="4"/>
      <c r="DD24" s="4"/>
      <c r="DE24" s="4"/>
      <c r="DF24" s="4"/>
      <c r="DG24" s="4"/>
      <c r="DH24" s="4"/>
      <c r="DI24" s="4"/>
      <c r="DJ24" s="4"/>
      <c r="DK24" s="4"/>
      <c r="DL24" s="13"/>
      <c r="DM24" s="4"/>
      <c r="DN24" s="4"/>
    </row>
    <row r="25" spans="1:128" s="6" customFormat="1" ht="22.35" customHeight="1">
      <c r="A25" s="82"/>
      <c r="B25" s="603"/>
      <c r="C25" s="604"/>
      <c r="D25" s="604"/>
      <c r="E25" s="604"/>
      <c r="F25" s="605"/>
      <c r="P25" s="99"/>
      <c r="CL25" s="4"/>
      <c r="CM25" s="4"/>
      <c r="CN25" s="4"/>
      <c r="CO25" s="12"/>
      <c r="CP25" s="12"/>
      <c r="CQ25" s="12"/>
      <c r="CR25" s="12"/>
      <c r="CS25" s="12"/>
      <c r="CT25" s="12"/>
      <c r="CU25" s="12"/>
      <c r="CV25" s="4"/>
      <c r="CW25" s="4"/>
      <c r="CX25" s="12"/>
      <c r="CY25" s="12"/>
      <c r="CZ25" s="12"/>
      <c r="DA25" s="12"/>
      <c r="DB25" s="12"/>
      <c r="DC25" s="4"/>
      <c r="DD25" s="4"/>
      <c r="DE25" s="4"/>
      <c r="DF25" s="4"/>
      <c r="DG25" s="4"/>
      <c r="DH25" s="4"/>
      <c r="DI25" s="4"/>
      <c r="DJ25" s="4"/>
      <c r="DK25" s="4"/>
      <c r="DL25" s="13"/>
      <c r="DM25" s="4"/>
      <c r="DN25" s="4"/>
    </row>
    <row r="26" spans="1:128" s="6" customFormat="1" ht="22.35" customHeight="1">
      <c r="A26" s="82"/>
      <c r="B26" s="606"/>
      <c r="C26" s="607"/>
      <c r="D26" s="607"/>
      <c r="E26" s="607"/>
      <c r="F26" s="608"/>
      <c r="P26" s="99"/>
      <c r="CL26" s="4"/>
      <c r="CM26" s="4"/>
      <c r="CN26" s="4"/>
      <c r="CO26" s="12"/>
      <c r="CP26" s="12"/>
      <c r="CQ26" s="12"/>
      <c r="CR26" s="12"/>
      <c r="CS26" s="12"/>
      <c r="CT26" s="12"/>
      <c r="CU26" s="12"/>
      <c r="CV26" s="4"/>
      <c r="CW26" s="4"/>
      <c r="CX26" s="12"/>
      <c r="CY26" s="12"/>
      <c r="CZ26" s="12"/>
      <c r="DA26" s="12"/>
      <c r="DB26" s="12"/>
      <c r="DC26" s="4"/>
      <c r="DD26" s="4"/>
      <c r="DE26" s="4"/>
      <c r="DF26" s="4"/>
      <c r="DG26" s="4"/>
      <c r="DH26" s="4"/>
      <c r="DI26" s="4"/>
      <c r="DJ26" s="4"/>
      <c r="DK26" s="4"/>
      <c r="DL26" s="4"/>
      <c r="DM26" s="4"/>
      <c r="DN26" s="4"/>
    </row>
    <row r="27" spans="1:128" s="8" customFormat="1" ht="15" customHeight="1">
      <c r="A27" s="83"/>
      <c r="B27" s="50"/>
      <c r="C27" s="51"/>
      <c r="D27" s="26"/>
      <c r="E27" s="26"/>
      <c r="F27" s="26"/>
      <c r="G27" s="52"/>
      <c r="H27" s="52"/>
      <c r="I27" s="1"/>
      <c r="J27" s="1"/>
      <c r="K27" s="1"/>
      <c r="L27" s="1"/>
      <c r="M27" s="1"/>
      <c r="N27" s="9"/>
      <c r="O27" s="9"/>
      <c r="P27" s="100"/>
      <c r="Q27" s="9"/>
      <c r="R27" s="9"/>
      <c r="S27" s="9"/>
      <c r="T27" s="9"/>
      <c r="U27" s="53"/>
      <c r="V27" s="54"/>
      <c r="W27" s="54"/>
      <c r="X27" s="55"/>
      <c r="CT27" s="40"/>
      <c r="CU27" s="40"/>
      <c r="CV27" s="40"/>
      <c r="CW27" s="21"/>
      <c r="CX27" s="21"/>
      <c r="CY27" s="21"/>
      <c r="CZ27" s="21"/>
      <c r="DA27" s="21"/>
      <c r="DB27" s="21"/>
      <c r="DC27" s="21"/>
      <c r="DD27" s="21"/>
      <c r="DE27" s="40"/>
      <c r="DF27" s="21"/>
      <c r="DG27" s="21"/>
      <c r="DH27" s="21"/>
      <c r="DI27" s="21"/>
      <c r="DJ27" s="21"/>
      <c r="DK27" s="40"/>
      <c r="DL27" s="40"/>
      <c r="DM27" s="40"/>
      <c r="DN27" s="40"/>
      <c r="DO27" s="40"/>
      <c r="DP27" s="40"/>
      <c r="DQ27" s="40"/>
      <c r="DR27" s="40"/>
      <c r="DS27" s="40"/>
      <c r="DT27" s="42"/>
      <c r="DU27" s="40"/>
      <c r="DV27" s="40"/>
    </row>
    <row r="28" spans="1:128" s="8" customFormat="1" ht="7.5" customHeight="1">
      <c r="A28" s="104"/>
      <c r="B28" s="105"/>
      <c r="C28" s="106"/>
      <c r="D28" s="107"/>
      <c r="E28" s="107"/>
      <c r="F28" s="107"/>
      <c r="G28" s="95"/>
      <c r="H28" s="95"/>
      <c r="I28" s="94"/>
      <c r="J28" s="94"/>
      <c r="K28" s="94"/>
      <c r="L28" s="94"/>
      <c r="M28" s="94"/>
      <c r="N28" s="100"/>
      <c r="O28" s="100"/>
      <c r="P28" s="100"/>
      <c r="Q28" s="9"/>
      <c r="R28" s="9"/>
      <c r="S28" s="9"/>
      <c r="T28" s="9"/>
      <c r="U28" s="53"/>
      <c r="V28" s="54"/>
      <c r="W28" s="54"/>
      <c r="X28" s="55"/>
      <c r="CT28" s="40"/>
      <c r="CU28" s="40"/>
      <c r="CV28" s="40"/>
      <c r="CW28" s="21"/>
      <c r="CX28" s="21"/>
      <c r="CY28" s="21"/>
      <c r="CZ28" s="21"/>
      <c r="DA28" s="21"/>
      <c r="DB28" s="21"/>
      <c r="DC28" s="21"/>
      <c r="DD28" s="21"/>
      <c r="DE28" s="40"/>
      <c r="DF28" s="21"/>
      <c r="DG28" s="21"/>
      <c r="DH28" s="21"/>
      <c r="DI28" s="21"/>
      <c r="DJ28" s="21"/>
      <c r="DK28" s="40"/>
      <c r="DL28" s="40"/>
      <c r="DM28" s="40"/>
      <c r="DN28" s="40"/>
      <c r="DO28" s="40"/>
      <c r="DP28" s="40"/>
      <c r="DQ28" s="40"/>
      <c r="DR28" s="40"/>
      <c r="DS28" s="40"/>
      <c r="DT28" s="42"/>
      <c r="DU28" s="40"/>
      <c r="DV28" s="40"/>
    </row>
    <row r="29" spans="1:128" s="8" customFormat="1" ht="12.6" customHeight="1">
      <c r="A29" s="63"/>
      <c r="B29" s="50"/>
      <c r="C29" s="51"/>
      <c r="D29" s="26"/>
      <c r="E29" s="26"/>
      <c r="F29" s="26"/>
      <c r="G29" s="52"/>
      <c r="H29" s="52"/>
      <c r="I29" s="1"/>
      <c r="J29" s="1"/>
      <c r="K29" s="1"/>
      <c r="L29" s="1"/>
      <c r="M29" s="1"/>
      <c r="N29" s="9"/>
      <c r="O29" s="9"/>
      <c r="P29" s="9"/>
      <c r="Q29" s="9"/>
      <c r="R29" s="9"/>
      <c r="S29" s="9"/>
      <c r="T29" s="9"/>
      <c r="U29" s="53"/>
      <c r="V29" s="54"/>
      <c r="W29" s="54"/>
      <c r="X29" s="55"/>
      <c r="CT29" s="40"/>
      <c r="CU29" s="40"/>
      <c r="CV29" s="40"/>
      <c r="CW29" s="21"/>
      <c r="CX29" s="21"/>
      <c r="CY29" s="21"/>
      <c r="CZ29" s="21"/>
      <c r="DA29" s="21"/>
      <c r="DB29" s="21"/>
      <c r="DC29" s="21"/>
      <c r="DD29" s="21"/>
      <c r="DE29" s="40"/>
      <c r="DF29" s="21"/>
      <c r="DG29" s="21"/>
      <c r="DH29" s="21"/>
      <c r="DI29" s="21"/>
      <c r="DJ29" s="21"/>
      <c r="DK29" s="40"/>
      <c r="DL29" s="40"/>
      <c r="DM29" s="40"/>
      <c r="DN29" s="40"/>
      <c r="DO29" s="40"/>
      <c r="DP29" s="40"/>
      <c r="DQ29" s="40"/>
      <c r="DR29" s="40"/>
      <c r="DS29" s="40"/>
      <c r="DT29" s="42"/>
      <c r="DU29" s="40"/>
      <c r="DV29" s="40"/>
    </row>
  </sheetData>
  <mergeCells count="11">
    <mergeCell ref="B1:N1"/>
    <mergeCell ref="B2:N2"/>
    <mergeCell ref="B24:F26"/>
    <mergeCell ref="J3:K3"/>
    <mergeCell ref="A7:B7"/>
    <mergeCell ref="J8:K8"/>
    <mergeCell ref="B9:I9"/>
    <mergeCell ref="J9:K9"/>
    <mergeCell ref="J5:K5"/>
    <mergeCell ref="J6:K6"/>
    <mergeCell ref="J7:K7"/>
  </mergeCells>
  <phoneticPr fontId="99" type="noConversion"/>
  <conditionalFormatting sqref="B13:K18 M13:M18 B24:F26">
    <cfRule type="containsBlanks" dxfId="12" priority="1">
      <formula>LEN(TRIM(B13))=0</formula>
    </cfRule>
  </conditionalFormatting>
  <dataValidations count="1">
    <dataValidation type="list" allowBlank="1" showInputMessage="1" sqref="I13:K18 M13:M18" xr:uid="{E3E41FE2-F364-4208-B3EB-97A66C8F3B91}">
      <formula1>"是,否"</formula1>
    </dataValidation>
  </dataValidations>
  <hyperlinks>
    <hyperlink ref="B6" location="汇总!A1" display="返回汇总页" xr:uid="{35EA7BF0-8614-45BB-84A3-4E48154328B1}"/>
  </hyperlink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D253-8EAF-41B2-8DB9-FDAFFC717A17}">
  <dimension ref="A1:DQ50"/>
  <sheetViews>
    <sheetView showGridLines="0" zoomScale="70" zoomScaleNormal="70" workbookViewId="0">
      <selection activeCell="B1" sqref="B1:L1"/>
    </sheetView>
  </sheetViews>
  <sheetFormatPr defaultColWidth="10.44140625" defaultRowHeight="12.6" customHeight="1"/>
  <cols>
    <col min="1" max="1" width="2.6640625" style="73" customWidth="1"/>
    <col min="2" max="2" width="14.5546875" style="74" customWidth="1"/>
    <col min="3" max="3" width="27" style="56" customWidth="1"/>
    <col min="4" max="4" width="24.44140625" style="56" customWidth="1"/>
    <col min="5" max="6" width="22.33203125" style="56" customWidth="1"/>
    <col min="7" max="7" width="19.33203125" style="56" customWidth="1"/>
    <col min="8" max="8" width="22.109375" style="56" customWidth="1"/>
    <col min="9" max="9" width="27" style="56" customWidth="1"/>
    <col min="10" max="10" width="20" style="56" customWidth="1"/>
    <col min="11" max="11" width="18.88671875" style="56" customWidth="1"/>
    <col min="12" max="12" width="28.33203125" style="56" customWidth="1"/>
    <col min="13" max="13" width="2.6640625" style="56" customWidth="1"/>
    <col min="14" max="14" width="1.6640625" style="56" customWidth="1"/>
    <col min="15" max="15" width="10.44140625" style="380"/>
    <col min="16" max="16384" width="10.44140625" style="56"/>
  </cols>
  <sheetData>
    <row r="1" spans="1:121" s="7" customFormat="1" ht="50.1" customHeight="1">
      <c r="A1" s="502"/>
      <c r="B1" s="614" t="s">
        <v>29</v>
      </c>
      <c r="C1" s="615"/>
      <c r="D1" s="615"/>
      <c r="E1" s="615"/>
      <c r="F1" s="615"/>
      <c r="G1" s="615"/>
      <c r="H1" s="615"/>
      <c r="I1" s="615"/>
      <c r="J1" s="615"/>
      <c r="K1" s="615"/>
      <c r="L1" s="616"/>
      <c r="M1" s="502"/>
      <c r="N1" s="108"/>
      <c r="Q1" s="10"/>
      <c r="CO1" s="2"/>
      <c r="CP1" s="2"/>
      <c r="CQ1" s="2"/>
      <c r="CR1" s="21"/>
      <c r="CS1" s="21"/>
      <c r="CT1" s="21"/>
      <c r="CU1" s="21"/>
      <c r="CV1" s="21"/>
      <c r="CW1" s="21"/>
      <c r="CX1" s="21"/>
      <c r="CY1" s="21"/>
      <c r="CZ1" s="2"/>
      <c r="DA1" s="21"/>
      <c r="DB1" s="21"/>
      <c r="DC1" s="21"/>
      <c r="DD1" s="21"/>
      <c r="DE1" s="21"/>
      <c r="DF1" s="2"/>
      <c r="DG1" s="2"/>
      <c r="DH1" s="2"/>
      <c r="DI1" s="2"/>
      <c r="DJ1" s="2"/>
      <c r="DK1" s="2"/>
      <c r="DL1" s="2"/>
      <c r="DM1" s="2"/>
      <c r="DN1" s="2"/>
      <c r="DO1" s="23"/>
      <c r="DP1" s="2"/>
      <c r="DQ1" s="2"/>
    </row>
    <row r="2" spans="1:121" s="3" customFormat="1" ht="30" customHeight="1">
      <c r="A2" s="86"/>
      <c r="B2" s="617" t="s">
        <v>164</v>
      </c>
      <c r="C2" s="618"/>
      <c r="D2" s="618"/>
      <c r="E2" s="618"/>
      <c r="F2" s="618"/>
      <c r="G2" s="618"/>
      <c r="H2" s="618"/>
      <c r="I2" s="618"/>
      <c r="J2" s="618"/>
      <c r="K2" s="618"/>
      <c r="L2" s="619"/>
      <c r="N2" s="109"/>
    </row>
    <row r="3" spans="1:121" s="7" customFormat="1" ht="12.6" customHeight="1">
      <c r="A3" s="150"/>
      <c r="B3" s="150"/>
      <c r="C3" s="502"/>
      <c r="D3" s="502"/>
      <c r="E3" s="502"/>
      <c r="F3" s="502"/>
      <c r="G3" s="502"/>
      <c r="H3" s="502"/>
      <c r="I3" s="502"/>
      <c r="J3" s="502"/>
      <c r="K3" s="520"/>
      <c r="L3" s="520"/>
      <c r="N3" s="93"/>
      <c r="CO3" s="21"/>
      <c r="CP3" s="2"/>
      <c r="CQ3" s="2"/>
      <c r="CR3" s="21"/>
      <c r="CS3" s="21"/>
      <c r="CT3" s="21"/>
      <c r="CU3" s="21"/>
      <c r="CV3" s="21"/>
      <c r="CW3" s="21"/>
      <c r="CX3" s="21"/>
      <c r="CY3" s="21"/>
      <c r="CZ3" s="2"/>
      <c r="DA3" s="21"/>
      <c r="DB3" s="21"/>
      <c r="DC3" s="21"/>
      <c r="DD3" s="21"/>
      <c r="DE3" s="21"/>
      <c r="DF3" s="2"/>
      <c r="DG3" s="2"/>
      <c r="DH3" s="2"/>
      <c r="DI3" s="2"/>
      <c r="DJ3" s="2"/>
      <c r="DK3" s="2"/>
      <c r="DL3" s="2"/>
      <c r="DM3" s="2"/>
      <c r="DN3" s="2"/>
      <c r="DO3" s="23"/>
      <c r="DP3" s="21"/>
      <c r="DQ3" s="22"/>
    </row>
    <row r="4" spans="1:121" s="7" customFormat="1" ht="15.6">
      <c r="A4" s="502"/>
      <c r="B4" s="145" t="s">
        <v>165</v>
      </c>
      <c r="C4" s="145"/>
      <c r="D4" s="145"/>
      <c r="E4" s="145"/>
      <c r="F4" s="145"/>
      <c r="G4" s="145"/>
      <c r="H4" s="145"/>
      <c r="I4" s="145"/>
      <c r="J4" s="145"/>
      <c r="K4" s="145"/>
      <c r="L4" s="145"/>
      <c r="N4" s="93"/>
      <c r="CO4" s="21"/>
      <c r="CP4" s="2"/>
      <c r="CQ4" s="2"/>
      <c r="CR4" s="21"/>
      <c r="CS4" s="21"/>
      <c r="CT4" s="21"/>
      <c r="CU4" s="21"/>
      <c r="CV4" s="21"/>
      <c r="CW4" s="21"/>
      <c r="CX4" s="21"/>
      <c r="CY4" s="21"/>
      <c r="CZ4" s="2"/>
      <c r="DA4" s="21"/>
      <c r="DB4" s="21"/>
      <c r="DC4" s="21"/>
      <c r="DD4" s="21"/>
      <c r="DE4" s="21"/>
      <c r="DF4" s="2"/>
      <c r="DG4" s="2"/>
      <c r="DH4" s="2"/>
      <c r="DI4" s="2"/>
      <c r="DJ4" s="2"/>
      <c r="DK4" s="2"/>
      <c r="DL4" s="2"/>
      <c r="DM4" s="2"/>
      <c r="DN4" s="2"/>
      <c r="DO4" s="23"/>
      <c r="DP4" s="21"/>
      <c r="DQ4" s="22"/>
    </row>
    <row r="5" spans="1:121" s="7" customFormat="1" ht="12.6" customHeight="1">
      <c r="A5" s="609"/>
      <c r="B5" s="609"/>
      <c r="C5" s="502"/>
      <c r="D5" s="502"/>
      <c r="E5" s="502"/>
      <c r="F5" s="502"/>
      <c r="G5" s="502"/>
      <c r="H5" s="502"/>
      <c r="I5" s="502"/>
      <c r="J5" s="502"/>
      <c r="K5" s="520"/>
      <c r="L5" s="520"/>
      <c r="N5" s="93"/>
      <c r="CO5" s="21"/>
      <c r="CP5" s="2"/>
      <c r="CQ5" s="2"/>
      <c r="CR5" s="21"/>
      <c r="CS5" s="21"/>
      <c r="CT5" s="21"/>
      <c r="CU5" s="21"/>
      <c r="CV5" s="21"/>
      <c r="CW5" s="21"/>
      <c r="CX5" s="21"/>
      <c r="CY5" s="21"/>
      <c r="CZ5" s="2"/>
      <c r="DA5" s="21"/>
      <c r="DB5" s="21"/>
      <c r="DC5" s="21"/>
      <c r="DD5" s="21"/>
      <c r="DE5" s="21"/>
      <c r="DF5" s="2"/>
      <c r="DG5" s="2"/>
      <c r="DH5" s="2"/>
      <c r="DI5" s="2"/>
      <c r="DJ5" s="2"/>
      <c r="DK5" s="2"/>
      <c r="DL5" s="2"/>
      <c r="DM5" s="2"/>
      <c r="DN5" s="2"/>
      <c r="DO5" s="23"/>
      <c r="DP5" s="21"/>
      <c r="DQ5" s="22"/>
    </row>
    <row r="6" spans="1:121" s="7" customFormat="1" ht="12.6" customHeight="1">
      <c r="A6" s="507"/>
      <c r="B6" s="103" t="s">
        <v>40</v>
      </c>
      <c r="C6" s="502"/>
      <c r="D6" s="502"/>
      <c r="E6" s="502"/>
      <c r="F6" s="502"/>
      <c r="G6" s="502"/>
      <c r="H6" s="502"/>
      <c r="I6" s="502"/>
      <c r="J6" s="502"/>
      <c r="K6" s="502"/>
      <c r="L6" s="502"/>
      <c r="N6" s="93"/>
      <c r="CO6" s="21"/>
      <c r="CP6" s="2"/>
      <c r="CQ6" s="2"/>
      <c r="CR6" s="21"/>
      <c r="CS6" s="21"/>
      <c r="CT6" s="21"/>
      <c r="CU6" s="21"/>
      <c r="CV6" s="21"/>
      <c r="CW6" s="21"/>
      <c r="CX6" s="21"/>
      <c r="CY6" s="21"/>
      <c r="CZ6" s="2"/>
      <c r="DA6" s="21"/>
      <c r="DB6" s="21"/>
      <c r="DC6" s="21"/>
      <c r="DD6" s="21"/>
      <c r="DE6" s="21"/>
      <c r="DF6" s="2"/>
      <c r="DG6" s="2"/>
      <c r="DH6" s="2"/>
      <c r="DI6" s="2"/>
      <c r="DJ6" s="2"/>
      <c r="DK6" s="2"/>
      <c r="DL6" s="2"/>
      <c r="DM6" s="2"/>
      <c r="DN6" s="2"/>
      <c r="DO6" s="23"/>
      <c r="DP6" s="21"/>
      <c r="DQ6" s="22"/>
    </row>
    <row r="7" spans="1:121" ht="12.6" customHeight="1">
      <c r="A7" s="75"/>
      <c r="N7" s="115"/>
    </row>
    <row r="8" spans="1:121" ht="15.6">
      <c r="A8" s="75"/>
      <c r="B8" s="162" t="s">
        <v>166</v>
      </c>
      <c r="N8" s="115"/>
    </row>
    <row r="9" spans="1:121" ht="30">
      <c r="A9" s="75"/>
      <c r="B9" s="146" t="s">
        <v>167</v>
      </c>
      <c r="C9" s="147" t="s">
        <v>168</v>
      </c>
      <c r="D9" s="148" t="s">
        <v>169</v>
      </c>
      <c r="E9" s="148" t="s">
        <v>170</v>
      </c>
      <c r="F9" s="62"/>
      <c r="N9" s="115"/>
    </row>
    <row r="10" spans="1:121" ht="68.25" customHeight="1">
      <c r="A10" s="75"/>
      <c r="B10" s="227"/>
      <c r="C10" s="237" t="s">
        <v>171</v>
      </c>
      <c r="D10" s="149">
        <f>'Uexp.00 Lead'!$C$3-'VC&amp;VD.01.4 截止性测试'!B10</f>
        <v>46022</v>
      </c>
      <c r="E10" s="149">
        <f>'Uexp.00 Lead'!$C$3+'VC&amp;VD.01.4 截止性测试'!B10</f>
        <v>46022</v>
      </c>
      <c r="F10" s="62"/>
      <c r="N10" s="115"/>
    </row>
    <row r="11" spans="1:121" ht="12.6" customHeight="1">
      <c r="A11" s="75"/>
      <c r="B11" s="56"/>
      <c r="F11" s="62"/>
      <c r="N11" s="115"/>
    </row>
    <row r="12" spans="1:121" ht="15.6">
      <c r="A12" s="76"/>
      <c r="B12" s="163" t="s">
        <v>172</v>
      </c>
      <c r="C12" s="62"/>
      <c r="D12" s="62"/>
      <c r="E12" s="62"/>
      <c r="F12" s="62"/>
      <c r="G12" s="62"/>
      <c r="H12" s="62"/>
      <c r="I12" s="62"/>
      <c r="J12" s="62"/>
      <c r="K12" s="62"/>
      <c r="L12" s="62"/>
      <c r="N12" s="116"/>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row>
    <row r="13" spans="1:121" ht="13.8">
      <c r="A13" s="76"/>
      <c r="B13" s="629"/>
      <c r="C13" s="630"/>
      <c r="D13" s="630"/>
      <c r="E13" s="631"/>
      <c r="F13" s="62"/>
      <c r="G13" s="62"/>
      <c r="H13" s="62"/>
      <c r="I13" s="62"/>
      <c r="J13" s="62"/>
      <c r="K13" s="62"/>
      <c r="L13" s="62"/>
      <c r="N13" s="116"/>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row>
    <row r="14" spans="1:121" ht="13.8">
      <c r="A14" s="76"/>
      <c r="B14" s="632"/>
      <c r="C14" s="561"/>
      <c r="D14" s="561"/>
      <c r="E14" s="633"/>
      <c r="F14" s="62"/>
      <c r="G14" s="62"/>
      <c r="H14" s="62"/>
      <c r="I14" s="62"/>
      <c r="J14" s="62"/>
      <c r="K14" s="62"/>
      <c r="L14" s="62"/>
      <c r="N14" s="116"/>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row>
    <row r="15" spans="1:121" ht="13.8">
      <c r="A15" s="76"/>
      <c r="B15" s="634"/>
      <c r="C15" s="635"/>
      <c r="D15" s="635"/>
      <c r="E15" s="636"/>
      <c r="F15" s="62"/>
      <c r="G15" s="62"/>
      <c r="H15" s="62"/>
      <c r="I15" s="62"/>
      <c r="J15" s="62"/>
      <c r="K15" s="62"/>
      <c r="L15" s="62"/>
      <c r="N15" s="116"/>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row>
    <row r="16" spans="1:121" ht="12.6" customHeight="1">
      <c r="A16" s="75"/>
      <c r="B16" s="56"/>
      <c r="N16" s="115"/>
    </row>
    <row r="17" spans="1:15" ht="15.6">
      <c r="A17" s="75"/>
      <c r="B17" s="162" t="s">
        <v>173</v>
      </c>
      <c r="N17" s="115"/>
    </row>
    <row r="18" spans="1:15" ht="15.6">
      <c r="A18" s="75"/>
      <c r="B18" s="175" t="s">
        <v>174</v>
      </c>
      <c r="C18" s="176"/>
      <c r="D18" s="176"/>
      <c r="E18" s="176"/>
      <c r="F18" s="177"/>
      <c r="G18" s="62"/>
      <c r="H18" s="62"/>
      <c r="I18" s="62"/>
      <c r="J18" s="62"/>
      <c r="K18" s="62"/>
      <c r="L18" s="62"/>
      <c r="N18" s="115"/>
    </row>
    <row r="19" spans="1:15" ht="17.25" customHeight="1">
      <c r="A19" s="75"/>
      <c r="B19" s="638" t="s">
        <v>175</v>
      </c>
      <c r="C19" s="639"/>
      <c r="D19" s="639"/>
      <c r="E19" s="639"/>
      <c r="F19" s="640"/>
      <c r="G19" s="62"/>
      <c r="H19" s="62"/>
      <c r="I19" s="62"/>
      <c r="J19" s="62"/>
      <c r="K19" s="62"/>
      <c r="L19" s="62"/>
      <c r="N19" s="115"/>
    </row>
    <row r="20" spans="1:15" ht="12.6" customHeight="1">
      <c r="A20" s="75"/>
      <c r="B20" s="56"/>
      <c r="N20" s="115"/>
    </row>
    <row r="21" spans="1:15" ht="12.6" customHeight="1">
      <c r="A21" s="75"/>
      <c r="B21" s="56"/>
      <c r="N21" s="115"/>
    </row>
    <row r="22" spans="1:15" ht="12.6" customHeight="1">
      <c r="A22" s="75"/>
      <c r="B22" s="56"/>
      <c r="N22" s="115"/>
    </row>
    <row r="23" spans="1:15" ht="13.5" customHeight="1">
      <c r="A23" s="75"/>
      <c r="B23" s="642" t="s">
        <v>176</v>
      </c>
      <c r="C23" s="643"/>
      <c r="D23" s="643"/>
      <c r="E23" s="644"/>
      <c r="F23" s="641" t="s">
        <v>177</v>
      </c>
      <c r="G23" s="641"/>
      <c r="H23" s="641"/>
      <c r="I23" s="641" t="s">
        <v>178</v>
      </c>
      <c r="J23" s="641"/>
      <c r="K23" s="637" t="s">
        <v>179</v>
      </c>
      <c r="L23" s="648" t="s">
        <v>180</v>
      </c>
      <c r="N23" s="115"/>
    </row>
    <row r="24" spans="1:15" ht="17.25" customHeight="1">
      <c r="A24" s="75"/>
      <c r="B24" s="645"/>
      <c r="C24" s="646"/>
      <c r="D24" s="646"/>
      <c r="E24" s="647"/>
      <c r="F24" s="641" t="s">
        <v>181</v>
      </c>
      <c r="G24" s="641"/>
      <c r="H24" s="641"/>
      <c r="I24" s="641" t="s">
        <v>182</v>
      </c>
      <c r="J24" s="641"/>
      <c r="K24" s="637"/>
      <c r="L24" s="649"/>
      <c r="N24" s="115"/>
    </row>
    <row r="25" spans="1:15" ht="19.5" customHeight="1">
      <c r="A25" s="75"/>
      <c r="B25" s="250" t="s">
        <v>183</v>
      </c>
      <c r="C25" s="250" t="s">
        <v>184</v>
      </c>
      <c r="D25" s="251" t="s">
        <v>185</v>
      </c>
      <c r="E25" s="250" t="s">
        <v>186</v>
      </c>
      <c r="F25" s="251" t="s">
        <v>187</v>
      </c>
      <c r="G25" s="508" t="s">
        <v>188</v>
      </c>
      <c r="H25" s="508" t="s">
        <v>189</v>
      </c>
      <c r="I25" s="508" t="s">
        <v>190</v>
      </c>
      <c r="J25" s="508" t="s">
        <v>191</v>
      </c>
      <c r="K25" s="509">
        <v>1</v>
      </c>
      <c r="L25" s="650"/>
      <c r="N25" s="115"/>
    </row>
    <row r="26" spans="1:15" ht="12.6" customHeight="1">
      <c r="A26" s="75"/>
      <c r="B26" s="132" t="s">
        <v>192</v>
      </c>
      <c r="C26" s="131"/>
      <c r="D26" s="131"/>
      <c r="E26" s="131"/>
      <c r="F26" s="131"/>
      <c r="G26" s="131"/>
      <c r="H26" s="131"/>
      <c r="I26" s="133"/>
      <c r="K26" s="385"/>
      <c r="L26" s="413"/>
      <c r="N26" s="115"/>
    </row>
    <row r="27" spans="1:15" s="445" customFormat="1" ht="12.6" customHeight="1">
      <c r="A27" s="444"/>
      <c r="B27" s="229"/>
      <c r="C27" s="228"/>
      <c r="D27" s="419"/>
      <c r="E27" s="229"/>
      <c r="F27" s="229"/>
      <c r="G27" s="229"/>
      <c r="H27" s="228"/>
      <c r="I27" s="386"/>
      <c r="J27" s="386"/>
      <c r="K27" s="387"/>
      <c r="L27" s="412"/>
      <c r="N27" s="446"/>
      <c r="O27" s="447"/>
    </row>
    <row r="28" spans="1:15" s="445" customFormat="1" ht="12.6" customHeight="1">
      <c r="A28" s="444"/>
      <c r="B28" s="229"/>
      <c r="C28" s="228"/>
      <c r="D28" s="419"/>
      <c r="E28" s="229"/>
      <c r="F28" s="229"/>
      <c r="G28" s="229"/>
      <c r="H28" s="228"/>
      <c r="I28" s="386"/>
      <c r="J28" s="386"/>
      <c r="K28" s="388"/>
      <c r="L28" s="229"/>
      <c r="N28" s="446"/>
      <c r="O28" s="447"/>
    </row>
    <row r="29" spans="1:15" s="445" customFormat="1" ht="12.6" customHeight="1">
      <c r="A29" s="448"/>
      <c r="B29" s="229"/>
      <c r="C29" s="228"/>
      <c r="D29" s="419"/>
      <c r="E29" s="229"/>
      <c r="F29" s="229"/>
      <c r="G29" s="229"/>
      <c r="H29" s="228"/>
      <c r="I29" s="386"/>
      <c r="J29" s="386"/>
      <c r="K29" s="388"/>
      <c r="L29" s="229"/>
      <c r="N29" s="446"/>
      <c r="O29" s="447"/>
    </row>
    <row r="30" spans="1:15" s="445" customFormat="1" ht="12.6" customHeight="1">
      <c r="A30" s="448"/>
      <c r="B30" s="229"/>
      <c r="C30" s="228"/>
      <c r="D30" s="419"/>
      <c r="E30" s="229"/>
      <c r="F30" s="229"/>
      <c r="G30" s="229"/>
      <c r="H30" s="228"/>
      <c r="I30" s="386"/>
      <c r="J30" s="386"/>
      <c r="K30" s="388"/>
      <c r="L30" s="229"/>
      <c r="N30" s="446"/>
      <c r="O30" s="447"/>
    </row>
    <row r="31" spans="1:15" s="445" customFormat="1" ht="12.6" customHeight="1">
      <c r="A31" s="448"/>
      <c r="B31" s="229"/>
      <c r="C31" s="228"/>
      <c r="D31" s="419"/>
      <c r="E31" s="229"/>
      <c r="F31" s="229"/>
      <c r="G31" s="229"/>
      <c r="H31" s="228"/>
      <c r="I31" s="386"/>
      <c r="J31" s="386"/>
      <c r="K31" s="389"/>
      <c r="L31" s="414"/>
      <c r="N31" s="446"/>
      <c r="O31" s="447"/>
    </row>
    <row r="32" spans="1:15" ht="12.6" customHeight="1">
      <c r="A32" s="75"/>
      <c r="B32" s="418" t="s">
        <v>193</v>
      </c>
      <c r="C32" s="230"/>
      <c r="D32" s="420"/>
      <c r="E32" s="417"/>
      <c r="F32" s="230"/>
      <c r="G32" s="417"/>
      <c r="H32" s="230"/>
      <c r="I32" s="230"/>
      <c r="J32" s="230"/>
      <c r="K32" s="421"/>
      <c r="L32" s="415"/>
      <c r="N32" s="115"/>
    </row>
    <row r="33" spans="1:15" s="445" customFormat="1" ht="12.6" customHeight="1">
      <c r="A33" s="444"/>
      <c r="B33" s="229"/>
      <c r="C33" s="228"/>
      <c r="D33" s="419"/>
      <c r="E33" s="229"/>
      <c r="F33" s="229"/>
      <c r="G33" s="229"/>
      <c r="H33" s="228"/>
      <c r="I33" s="386"/>
      <c r="J33" s="386"/>
      <c r="K33" s="387"/>
      <c r="L33" s="416"/>
      <c r="N33" s="446"/>
      <c r="O33" s="447"/>
    </row>
    <row r="34" spans="1:15" s="445" customFormat="1" ht="12.6" customHeight="1">
      <c r="A34" s="448"/>
      <c r="B34" s="229"/>
      <c r="C34" s="228"/>
      <c r="D34" s="419"/>
      <c r="E34" s="229"/>
      <c r="F34" s="229"/>
      <c r="G34" s="229"/>
      <c r="H34" s="228"/>
      <c r="I34" s="386"/>
      <c r="J34" s="386"/>
      <c r="K34" s="388"/>
      <c r="L34" s="412"/>
      <c r="N34" s="446"/>
      <c r="O34" s="447"/>
    </row>
    <row r="35" spans="1:15" s="445" customFormat="1" ht="12.6" customHeight="1">
      <c r="A35" s="448"/>
      <c r="B35" s="229"/>
      <c r="C35" s="228"/>
      <c r="D35" s="419"/>
      <c r="E35" s="229"/>
      <c r="F35" s="229"/>
      <c r="G35" s="229"/>
      <c r="H35" s="228"/>
      <c r="I35" s="386"/>
      <c r="J35" s="386"/>
      <c r="K35" s="388"/>
      <c r="L35" s="229"/>
      <c r="N35" s="446"/>
      <c r="O35" s="447"/>
    </row>
    <row r="36" spans="1:15" s="445" customFormat="1" ht="12.6" customHeight="1">
      <c r="A36" s="448"/>
      <c r="B36" s="229"/>
      <c r="C36" s="228"/>
      <c r="D36" s="419"/>
      <c r="E36" s="229"/>
      <c r="F36" s="229"/>
      <c r="G36" s="229"/>
      <c r="H36" s="386"/>
      <c r="I36" s="386"/>
      <c r="J36" s="386"/>
      <c r="K36" s="388"/>
      <c r="L36" s="229"/>
      <c r="N36" s="446"/>
      <c r="O36" s="447"/>
    </row>
    <row r="37" spans="1:15" s="445" customFormat="1" ht="12.6" customHeight="1">
      <c r="A37" s="448"/>
      <c r="B37" s="229"/>
      <c r="C37" s="228"/>
      <c r="D37" s="419"/>
      <c r="E37" s="229"/>
      <c r="F37" s="229"/>
      <c r="G37" s="229"/>
      <c r="H37" s="228"/>
      <c r="I37" s="386"/>
      <c r="J37" s="386"/>
      <c r="K37" s="388"/>
      <c r="L37" s="229"/>
      <c r="N37" s="446"/>
      <c r="O37" s="447"/>
    </row>
    <row r="38" spans="1:15" ht="12.6" customHeight="1">
      <c r="B38" s="56"/>
      <c r="N38" s="115"/>
    </row>
    <row r="39" spans="1:15" ht="12.6" customHeight="1">
      <c r="B39" s="136" t="s">
        <v>194</v>
      </c>
      <c r="N39" s="115"/>
    </row>
    <row r="40" spans="1:15" ht="29.25" customHeight="1">
      <c r="B40" s="620" t="s">
        <v>195</v>
      </c>
      <c r="C40" s="621"/>
      <c r="D40" s="621"/>
      <c r="E40" s="621"/>
      <c r="F40" s="621"/>
      <c r="G40" s="622"/>
      <c r="N40" s="115"/>
    </row>
    <row r="41" spans="1:15" ht="29.25" customHeight="1">
      <c r="B41" s="623"/>
      <c r="C41" s="624"/>
      <c r="D41" s="624"/>
      <c r="E41" s="624"/>
      <c r="F41" s="624"/>
      <c r="G41" s="625"/>
      <c r="I41" s="57"/>
      <c r="N41" s="115"/>
    </row>
    <row r="42" spans="1:15" ht="29.25" customHeight="1">
      <c r="B42" s="626"/>
      <c r="C42" s="627"/>
      <c r="D42" s="627"/>
      <c r="E42" s="627"/>
      <c r="F42" s="627"/>
      <c r="G42" s="628"/>
      <c r="N42" s="115"/>
    </row>
    <row r="43" spans="1:15" ht="15" customHeight="1">
      <c r="C43" s="11"/>
      <c r="D43" s="7"/>
      <c r="E43" s="7"/>
      <c r="F43" s="7"/>
      <c r="G43" s="7"/>
      <c r="H43" s="7"/>
      <c r="N43" s="115"/>
    </row>
    <row r="44" spans="1:15" ht="7.5" customHeight="1">
      <c r="A44" s="113"/>
      <c r="B44" s="114"/>
      <c r="C44" s="115"/>
      <c r="D44" s="115"/>
      <c r="E44" s="115"/>
      <c r="F44" s="115"/>
      <c r="G44" s="115"/>
      <c r="H44" s="115"/>
      <c r="I44" s="115"/>
      <c r="J44" s="115"/>
      <c r="K44" s="115"/>
      <c r="L44" s="115"/>
      <c r="M44" s="115"/>
      <c r="N44" s="115"/>
    </row>
    <row r="48" spans="1:15" ht="21.75" customHeight="1"/>
    <row r="49" ht="33" customHeight="1"/>
    <row r="50" ht="38.25" customHeight="1"/>
  </sheetData>
  <mergeCells count="15">
    <mergeCell ref="B1:L1"/>
    <mergeCell ref="B2:L2"/>
    <mergeCell ref="B40:G42"/>
    <mergeCell ref="B13:E15"/>
    <mergeCell ref="K3:L3"/>
    <mergeCell ref="A5:B5"/>
    <mergeCell ref="K5:L5"/>
    <mergeCell ref="K23:K24"/>
    <mergeCell ref="B19:F19"/>
    <mergeCell ref="F23:H23"/>
    <mergeCell ref="F24:H24"/>
    <mergeCell ref="I23:J23"/>
    <mergeCell ref="I24:J24"/>
    <mergeCell ref="B23:E24"/>
    <mergeCell ref="L23:L25"/>
  </mergeCells>
  <phoneticPr fontId="99" type="noConversion"/>
  <conditionalFormatting sqref="B10:C10 B13:E15 B33:J37 B40:G42">
    <cfRule type="cellIs" dxfId="11" priority="17" operator="equal">
      <formula>0</formula>
    </cfRule>
  </conditionalFormatting>
  <conditionalFormatting sqref="B27:J31">
    <cfRule type="cellIs" dxfId="10" priority="14" operator="equal">
      <formula>0</formula>
    </cfRule>
  </conditionalFormatting>
  <conditionalFormatting sqref="H36">
    <cfRule type="containsBlanks" dxfId="9" priority="1">
      <formula>LEN(TRIM(H36))=0</formula>
    </cfRule>
  </conditionalFormatting>
  <conditionalFormatting sqref="I27:K31">
    <cfRule type="containsBlanks" dxfId="8" priority="10">
      <formula>LEN(TRIM(I27))=0</formula>
    </cfRule>
  </conditionalFormatting>
  <conditionalFormatting sqref="I33:K37">
    <cfRule type="containsBlanks" dxfId="7" priority="8">
      <formula>LEN(TRIM(I33))=0</formula>
    </cfRule>
  </conditionalFormatting>
  <dataValidations count="2">
    <dataValidation type="list" allowBlank="1" showInputMessage="1" sqref="K33:K37 K27:K31" xr:uid="{081A9FAF-8709-4127-B901-2889235C9114}">
      <formula1>"Y,N"</formula1>
    </dataValidation>
    <dataValidation type="list" allowBlank="1" showInputMessage="1" sqref="I33:J37 I27:J31" xr:uid="{46D7613F-8E2F-4B98-8A25-2DACE2098560}">
      <formula1>"√"</formula1>
    </dataValidation>
  </dataValidations>
  <hyperlinks>
    <hyperlink ref="B6" location="汇总!A1" display="返回汇总页" xr:uid="{11AD6C7F-3F13-4D85-B769-A277CB8BF20E}"/>
  </hyperlink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
  <dimension ref="A1:DA169"/>
  <sheetViews>
    <sheetView workbookViewId="0"/>
  </sheetViews>
  <sheetFormatPr defaultColWidth="9" defaultRowHeight="12"/>
  <cols>
    <col min="1" max="1" width="0.109375" customWidth="1"/>
  </cols>
  <sheetData>
    <row r="1" spans="1:105">
      <c r="A1" t="s">
        <v>196</v>
      </c>
    </row>
    <row r="3" spans="1:105">
      <c r="A3" t="s">
        <v>197</v>
      </c>
    </row>
    <row r="4" spans="1:105">
      <c r="A4" t="b">
        <v>1</v>
      </c>
    </row>
    <row r="5" spans="1:105">
      <c r="A5" t="s">
        <v>198</v>
      </c>
    </row>
    <row r="6" spans="1:105">
      <c r="E6" t="s">
        <v>679</v>
      </c>
      <c r="Y6" t="s">
        <v>199</v>
      </c>
      <c r="Z6" t="s">
        <v>200</v>
      </c>
      <c r="AA6" t="s">
        <v>201</v>
      </c>
      <c r="AB6" t="s">
        <v>202</v>
      </c>
      <c r="AC6" t="s">
        <v>203</v>
      </c>
      <c r="AD6" t="s">
        <v>204</v>
      </c>
      <c r="AE6" t="s">
        <v>205</v>
      </c>
      <c r="AF6" t="s">
        <v>206</v>
      </c>
      <c r="AG6" t="s">
        <v>207</v>
      </c>
      <c r="AH6" t="s">
        <v>208</v>
      </c>
      <c r="AI6" t="s">
        <v>209</v>
      </c>
      <c r="AJ6" t="s">
        <v>210</v>
      </c>
      <c r="AK6" t="s">
        <v>211</v>
      </c>
      <c r="AL6" t="s">
        <v>212</v>
      </c>
      <c r="AM6" t="s">
        <v>213</v>
      </c>
      <c r="AN6" t="s">
        <v>214</v>
      </c>
      <c r="AO6" t="s">
        <v>215</v>
      </c>
      <c r="AP6" t="s">
        <v>216</v>
      </c>
      <c r="AQ6" t="s">
        <v>217</v>
      </c>
      <c r="AR6" t="s">
        <v>218</v>
      </c>
      <c r="AS6" t="s">
        <v>219</v>
      </c>
      <c r="AT6" t="s">
        <v>220</v>
      </c>
      <c r="AU6" t="s">
        <v>221</v>
      </c>
      <c r="AV6" t="s">
        <v>222</v>
      </c>
      <c r="AW6" t="s">
        <v>223</v>
      </c>
      <c r="AX6" t="s">
        <v>224</v>
      </c>
      <c r="AY6" t="s">
        <v>225</v>
      </c>
      <c r="AZ6" t="s">
        <v>226</v>
      </c>
      <c r="BA6" t="s">
        <v>227</v>
      </c>
      <c r="BB6" t="s">
        <v>228</v>
      </c>
      <c r="BC6" t="s">
        <v>229</v>
      </c>
      <c r="BD6" t="s">
        <v>230</v>
      </c>
      <c r="BE6" t="s">
        <v>231</v>
      </c>
      <c r="BF6" t="s">
        <v>232</v>
      </c>
      <c r="BG6" t="s">
        <v>233</v>
      </c>
      <c r="BH6" t="s">
        <v>234</v>
      </c>
      <c r="BI6" t="s">
        <v>235</v>
      </c>
      <c r="BJ6" t="s">
        <v>236</v>
      </c>
      <c r="BK6" t="s">
        <v>237</v>
      </c>
      <c r="BL6" t="s">
        <v>238</v>
      </c>
      <c r="BM6" t="s">
        <v>239</v>
      </c>
      <c r="BN6" t="s">
        <v>240</v>
      </c>
      <c r="BO6" t="s">
        <v>241</v>
      </c>
      <c r="BP6" t="s">
        <v>242</v>
      </c>
      <c r="BQ6" t="s">
        <v>243</v>
      </c>
      <c r="BR6" t="s">
        <v>244</v>
      </c>
      <c r="BS6" t="s">
        <v>245</v>
      </c>
      <c r="BT6" t="s">
        <v>246</v>
      </c>
      <c r="BU6" t="s">
        <v>247</v>
      </c>
      <c r="BV6" t="s">
        <v>248</v>
      </c>
      <c r="BW6" t="s">
        <v>249</v>
      </c>
      <c r="BX6" t="s">
        <v>250</v>
      </c>
      <c r="BY6" t="s">
        <v>251</v>
      </c>
      <c r="BZ6" t="s">
        <v>252</v>
      </c>
      <c r="CA6" t="s">
        <v>253</v>
      </c>
      <c r="CB6" t="s">
        <v>254</v>
      </c>
      <c r="CC6" t="s">
        <v>255</v>
      </c>
      <c r="CD6" t="s">
        <v>256</v>
      </c>
      <c r="CE6" t="s">
        <v>257</v>
      </c>
      <c r="CF6" t="s">
        <v>258</v>
      </c>
      <c r="CG6" t="s">
        <v>259</v>
      </c>
      <c r="CH6" t="s">
        <v>260</v>
      </c>
      <c r="CI6" t="s">
        <v>261</v>
      </c>
      <c r="CJ6" t="s">
        <v>262</v>
      </c>
      <c r="CK6" t="s">
        <v>263</v>
      </c>
      <c r="CL6" t="s">
        <v>264</v>
      </c>
      <c r="CM6" t="s">
        <v>265</v>
      </c>
      <c r="CN6" t="s">
        <v>266</v>
      </c>
      <c r="CO6" t="s">
        <v>267</v>
      </c>
      <c r="CP6" t="s">
        <v>268</v>
      </c>
      <c r="CQ6" t="s">
        <v>269</v>
      </c>
      <c r="CR6" t="s">
        <v>270</v>
      </c>
      <c r="CS6" t="s">
        <v>271</v>
      </c>
      <c r="CT6" t="s">
        <v>272</v>
      </c>
      <c r="CU6" t="s">
        <v>273</v>
      </c>
      <c r="CV6" t="s">
        <v>274</v>
      </c>
      <c r="CW6" t="s">
        <v>275</v>
      </c>
      <c r="CX6" t="s">
        <v>276</v>
      </c>
      <c r="CY6" t="s">
        <v>277</v>
      </c>
      <c r="CZ6" t="s">
        <v>278</v>
      </c>
      <c r="DA6" t="s">
        <v>279</v>
      </c>
    </row>
    <row r="7" spans="1:105">
      <c r="A7" t="s">
        <v>280</v>
      </c>
    </row>
    <row r="10" spans="1:105">
      <c r="F10" t="e">
        <f>#REF!</f>
        <v>#REF!</v>
      </c>
      <c r="G10" t="s">
        <v>281</v>
      </c>
    </row>
    <row r="11" spans="1:105">
      <c r="A11" s="58">
        <v>169</v>
      </c>
      <c r="F11" t="e">
        <f>#REF!</f>
        <v>#REF!</v>
      </c>
      <c r="G11" t="s">
        <v>282</v>
      </c>
    </row>
    <row r="12" spans="1:105">
      <c r="F12" t="e">
        <f>#REF!</f>
        <v>#REF!</v>
      </c>
      <c r="G12" t="s">
        <v>283</v>
      </c>
    </row>
    <row r="13" spans="1:105">
      <c r="F13" t="e">
        <f>#REF!</f>
        <v>#REF!</v>
      </c>
      <c r="G13" t="s">
        <v>284</v>
      </c>
    </row>
    <row r="14" spans="1:105">
      <c r="F14" t="e">
        <f>#REF!</f>
        <v>#REF!</v>
      </c>
      <c r="G14" t="s">
        <v>285</v>
      </c>
    </row>
    <row r="15" spans="1:105">
      <c r="A15" s="58">
        <v>88</v>
      </c>
      <c r="F15" t="e">
        <f>#REF!</f>
        <v>#REF!</v>
      </c>
      <c r="G15" t="s">
        <v>286</v>
      </c>
      <c r="R15" t="e">
        <f>#REF!</f>
        <v>#REF!</v>
      </c>
      <c r="S15" t="s">
        <v>287</v>
      </c>
    </row>
    <row r="16" spans="1:105">
      <c r="F16" t="e">
        <f>#REF!</f>
        <v>#REF!</v>
      </c>
      <c r="G16" t="s">
        <v>288</v>
      </c>
      <c r="R16" t="e">
        <f>#REF!</f>
        <v>#REF!</v>
      </c>
      <c r="S16" t="s">
        <v>289</v>
      </c>
    </row>
    <row r="17" spans="6:19">
      <c r="F17" s="58" t="e">
        <f>#REF!</f>
        <v>#REF!</v>
      </c>
      <c r="G17" t="s">
        <v>290</v>
      </c>
      <c r="R17" t="e">
        <f>#REF!</f>
        <v>#REF!</v>
      </c>
      <c r="S17" t="s">
        <v>291</v>
      </c>
    </row>
    <row r="18" spans="6:19">
      <c r="F18" s="58" t="e">
        <f>#REF!</f>
        <v>#REF!</v>
      </c>
      <c r="G18" t="s">
        <v>292</v>
      </c>
      <c r="R18" t="e">
        <f>#REF!</f>
        <v>#REF!</v>
      </c>
      <c r="S18" t="s">
        <v>293</v>
      </c>
    </row>
    <row r="19" spans="6:19">
      <c r="F19" s="58" t="e">
        <f>#REF!</f>
        <v>#REF!</v>
      </c>
      <c r="G19" t="s">
        <v>294</v>
      </c>
      <c r="R19" t="e">
        <f>#REF!</f>
        <v>#REF!</v>
      </c>
      <c r="S19" t="s">
        <v>295</v>
      </c>
    </row>
    <row r="20" spans="6:19">
      <c r="F20" t="e">
        <f>#REF!</f>
        <v>#REF!</v>
      </c>
      <c r="G20" t="s">
        <v>296</v>
      </c>
      <c r="R20" s="58" t="e">
        <f>#REF!</f>
        <v>#REF!</v>
      </c>
      <c r="S20" t="s">
        <v>297</v>
      </c>
    </row>
    <row r="21" spans="6:19">
      <c r="F21" t="e">
        <f>#REF!</f>
        <v>#REF!</v>
      </c>
      <c r="G21" t="s">
        <v>298</v>
      </c>
      <c r="R21" t="e">
        <f>#REF!</f>
        <v>#REF!</v>
      </c>
      <c r="S21" t="s">
        <v>299</v>
      </c>
    </row>
    <row r="22" spans="6:19">
      <c r="F22" t="e">
        <f>#REF!</f>
        <v>#REF!</v>
      </c>
      <c r="G22" t="s">
        <v>300</v>
      </c>
      <c r="R22" t="e">
        <f>#REF!</f>
        <v>#REF!</v>
      </c>
      <c r="S22" t="s">
        <v>301</v>
      </c>
    </row>
    <row r="23" spans="6:19">
      <c r="F23" t="e">
        <f>#REF!</f>
        <v>#REF!</v>
      </c>
      <c r="G23" t="s">
        <v>302</v>
      </c>
      <c r="R23" t="e">
        <f>#REF!</f>
        <v>#REF!</v>
      </c>
      <c r="S23" t="s">
        <v>303</v>
      </c>
    </row>
    <row r="24" spans="6:19">
      <c r="F24" t="e">
        <f>#REF!</f>
        <v>#REF!</v>
      </c>
      <c r="G24" t="s">
        <v>304</v>
      </c>
      <c r="R24" t="e">
        <f>#REF!</f>
        <v>#REF!</v>
      </c>
      <c r="S24" t="s">
        <v>305</v>
      </c>
    </row>
    <row r="25" spans="6:19">
      <c r="F25" t="e">
        <f>#REF!</f>
        <v>#REF!</v>
      </c>
      <c r="G25" t="s">
        <v>306</v>
      </c>
      <c r="R25" t="e">
        <f>#REF!</f>
        <v>#REF!</v>
      </c>
      <c r="S25" t="s">
        <v>307</v>
      </c>
    </row>
    <row r="26" spans="6:19">
      <c r="F26" t="e">
        <f>#REF!</f>
        <v>#REF!</v>
      </c>
      <c r="G26" t="s">
        <v>308</v>
      </c>
      <c r="R26" t="e">
        <f>#REF!</f>
        <v>#REF!</v>
      </c>
      <c r="S26" t="s">
        <v>309</v>
      </c>
    </row>
    <row r="27" spans="6:19">
      <c r="F27" s="58" t="e">
        <f>#REF!</f>
        <v>#REF!</v>
      </c>
      <c r="G27" t="s">
        <v>310</v>
      </c>
      <c r="R27" t="e">
        <f>#REF!</f>
        <v>#REF!</v>
      </c>
      <c r="S27" t="s">
        <v>311</v>
      </c>
    </row>
    <row r="28" spans="6:19">
      <c r="F28" s="58" t="e">
        <f>#REF!</f>
        <v>#REF!</v>
      </c>
      <c r="G28" t="s">
        <v>312</v>
      </c>
      <c r="R28" t="e">
        <f>#REF!</f>
        <v>#REF!</v>
      </c>
      <c r="S28" t="s">
        <v>313</v>
      </c>
    </row>
    <row r="29" spans="6:19">
      <c r="F29" s="58" t="e">
        <f>#REF!</f>
        <v>#REF!</v>
      </c>
      <c r="G29" t="s">
        <v>314</v>
      </c>
      <c r="R29" t="e">
        <f>#REF!</f>
        <v>#REF!</v>
      </c>
      <c r="S29" t="s">
        <v>315</v>
      </c>
    </row>
    <row r="30" spans="6:19">
      <c r="F30" t="e">
        <f>#REF!</f>
        <v>#REF!</v>
      </c>
      <c r="G30" t="s">
        <v>316</v>
      </c>
      <c r="R30" t="e">
        <f>#REF!</f>
        <v>#REF!</v>
      </c>
      <c r="S30" t="s">
        <v>317</v>
      </c>
    </row>
    <row r="31" spans="6:19">
      <c r="F31" t="e">
        <f>#REF!</f>
        <v>#REF!</v>
      </c>
      <c r="G31" t="s">
        <v>318</v>
      </c>
      <c r="R31" t="e">
        <f>#REF!</f>
        <v>#REF!</v>
      </c>
      <c r="S31" t="s">
        <v>319</v>
      </c>
    </row>
    <row r="32" spans="6:19">
      <c r="F32" t="e">
        <f>#REF!</f>
        <v>#REF!</v>
      </c>
      <c r="G32" t="s">
        <v>320</v>
      </c>
      <c r="R32" t="e">
        <f>#REF!</f>
        <v>#REF!</v>
      </c>
      <c r="S32" t="s">
        <v>321</v>
      </c>
    </row>
    <row r="33" spans="6:19">
      <c r="F33" t="e">
        <f>#REF!</f>
        <v>#REF!</v>
      </c>
      <c r="G33" t="s">
        <v>322</v>
      </c>
      <c r="R33" t="e">
        <f>#REF!</f>
        <v>#REF!</v>
      </c>
      <c r="S33" t="s">
        <v>323</v>
      </c>
    </row>
    <row r="34" spans="6:19">
      <c r="F34" t="e">
        <f>#REF!</f>
        <v>#REF!</v>
      </c>
      <c r="G34" t="s">
        <v>324</v>
      </c>
      <c r="R34" t="e">
        <f>#REF!</f>
        <v>#REF!</v>
      </c>
      <c r="S34" t="s">
        <v>325</v>
      </c>
    </row>
    <row r="35" spans="6:19">
      <c r="F35" t="e">
        <f>#REF!</f>
        <v>#REF!</v>
      </c>
      <c r="G35" t="s">
        <v>326</v>
      </c>
      <c r="R35" t="e">
        <f>#REF!</f>
        <v>#REF!</v>
      </c>
      <c r="S35" t="s">
        <v>327</v>
      </c>
    </row>
    <row r="36" spans="6:19">
      <c r="F36" t="e">
        <f>#REF!</f>
        <v>#REF!</v>
      </c>
      <c r="G36" t="s">
        <v>328</v>
      </c>
      <c r="R36" t="e">
        <f>#REF!</f>
        <v>#REF!</v>
      </c>
      <c r="S36" t="s">
        <v>329</v>
      </c>
    </row>
    <row r="37" spans="6:19">
      <c r="F37" s="58" t="e">
        <f>#REF!</f>
        <v>#REF!</v>
      </c>
      <c r="G37" t="s">
        <v>330</v>
      </c>
      <c r="R37" t="e">
        <f>#REF!</f>
        <v>#REF!</v>
      </c>
      <c r="S37" t="s">
        <v>331</v>
      </c>
    </row>
    <row r="38" spans="6:19">
      <c r="F38" s="58" t="e">
        <f>#REF!</f>
        <v>#REF!</v>
      </c>
      <c r="G38" t="s">
        <v>332</v>
      </c>
      <c r="R38" t="e">
        <f>#REF!</f>
        <v>#REF!</v>
      </c>
      <c r="S38" t="s">
        <v>333</v>
      </c>
    </row>
    <row r="39" spans="6:19">
      <c r="F39" s="58" t="e">
        <f>#REF!</f>
        <v>#REF!</v>
      </c>
      <c r="G39" t="s">
        <v>334</v>
      </c>
      <c r="R39" t="e">
        <f>#REF!</f>
        <v>#REF!</v>
      </c>
      <c r="S39" t="s">
        <v>335</v>
      </c>
    </row>
    <row r="40" spans="6:19">
      <c r="F40" t="e">
        <f>#REF!</f>
        <v>#REF!</v>
      </c>
      <c r="G40" t="s">
        <v>336</v>
      </c>
      <c r="R40" t="e">
        <f>#REF!</f>
        <v>#REF!</v>
      </c>
      <c r="S40" t="s">
        <v>337</v>
      </c>
    </row>
    <row r="41" spans="6:19">
      <c r="F41" t="e">
        <f>#REF!</f>
        <v>#REF!</v>
      </c>
      <c r="G41" t="s">
        <v>338</v>
      </c>
      <c r="R41" t="e">
        <f>#REF!</f>
        <v>#REF!</v>
      </c>
      <c r="S41" t="s">
        <v>339</v>
      </c>
    </row>
    <row r="42" spans="6:19">
      <c r="F42" t="e">
        <f>#REF!</f>
        <v>#REF!</v>
      </c>
      <c r="G42" t="s">
        <v>340</v>
      </c>
      <c r="R42" t="e">
        <f>#REF!</f>
        <v>#REF!</v>
      </c>
      <c r="S42" t="s">
        <v>341</v>
      </c>
    </row>
    <row r="43" spans="6:19">
      <c r="F43" t="e">
        <f>#REF!</f>
        <v>#REF!</v>
      </c>
      <c r="G43" t="s">
        <v>342</v>
      </c>
      <c r="R43" t="e">
        <f>#REF!</f>
        <v>#REF!</v>
      </c>
      <c r="S43" t="s">
        <v>343</v>
      </c>
    </row>
    <row r="44" spans="6:19">
      <c r="F44" t="e">
        <f>#REF!</f>
        <v>#REF!</v>
      </c>
      <c r="G44" t="s">
        <v>344</v>
      </c>
      <c r="R44" t="e">
        <f>#REF!</f>
        <v>#REF!</v>
      </c>
      <c r="S44" t="s">
        <v>345</v>
      </c>
    </row>
    <row r="45" spans="6:19">
      <c r="F45" t="e">
        <f>#REF!</f>
        <v>#REF!</v>
      </c>
      <c r="G45" t="s">
        <v>346</v>
      </c>
      <c r="R45" t="e">
        <f>#REF!</f>
        <v>#REF!</v>
      </c>
      <c r="S45" t="s">
        <v>347</v>
      </c>
    </row>
    <row r="46" spans="6:19">
      <c r="F46" t="e">
        <f>#REF!</f>
        <v>#REF!</v>
      </c>
      <c r="G46" t="s">
        <v>348</v>
      </c>
      <c r="R46" t="e">
        <f>#REF!</f>
        <v>#REF!</v>
      </c>
      <c r="S46" t="s">
        <v>349</v>
      </c>
    </row>
    <row r="47" spans="6:19">
      <c r="F47" s="58" t="e">
        <f>#REF!</f>
        <v>#REF!</v>
      </c>
      <c r="G47" t="s">
        <v>350</v>
      </c>
      <c r="R47" t="e">
        <f>#REF!</f>
        <v>#REF!</v>
      </c>
      <c r="S47" t="s">
        <v>351</v>
      </c>
    </row>
    <row r="48" spans="6:19">
      <c r="F48" s="58" t="e">
        <f>#REF!</f>
        <v>#REF!</v>
      </c>
      <c r="G48" t="s">
        <v>352</v>
      </c>
      <c r="R48" t="e">
        <f>#REF!</f>
        <v>#REF!</v>
      </c>
      <c r="S48" t="s">
        <v>353</v>
      </c>
    </row>
    <row r="49" spans="6:19">
      <c r="F49" s="58" t="e">
        <f>#REF!</f>
        <v>#REF!</v>
      </c>
      <c r="G49" t="s">
        <v>354</v>
      </c>
      <c r="R49" t="e">
        <f>#REF!</f>
        <v>#REF!</v>
      </c>
      <c r="S49" t="s">
        <v>355</v>
      </c>
    </row>
    <row r="50" spans="6:19">
      <c r="F50" t="e">
        <f>#REF!</f>
        <v>#REF!</v>
      </c>
      <c r="G50" t="s">
        <v>356</v>
      </c>
      <c r="R50" t="e">
        <f>#REF!</f>
        <v>#REF!</v>
      </c>
      <c r="S50" t="s">
        <v>357</v>
      </c>
    </row>
    <row r="51" spans="6:19">
      <c r="F51" t="e">
        <f>#REF!</f>
        <v>#REF!</v>
      </c>
      <c r="G51" t="s">
        <v>358</v>
      </c>
      <c r="R51" t="e">
        <f>#REF!</f>
        <v>#REF!</v>
      </c>
      <c r="S51" t="s">
        <v>359</v>
      </c>
    </row>
    <row r="52" spans="6:19">
      <c r="F52" t="e">
        <f>#REF!</f>
        <v>#REF!</v>
      </c>
      <c r="G52" t="s">
        <v>360</v>
      </c>
      <c r="R52" t="e">
        <f>#REF!</f>
        <v>#REF!</v>
      </c>
      <c r="S52" t="s">
        <v>361</v>
      </c>
    </row>
    <row r="53" spans="6:19">
      <c r="F53" t="e">
        <f>#REF!</f>
        <v>#REF!</v>
      </c>
      <c r="G53" t="s">
        <v>362</v>
      </c>
      <c r="R53" t="e">
        <f>#REF!</f>
        <v>#REF!</v>
      </c>
      <c r="S53" t="s">
        <v>363</v>
      </c>
    </row>
    <row r="54" spans="6:19">
      <c r="F54" t="e">
        <f>#REF!</f>
        <v>#REF!</v>
      </c>
      <c r="G54" t="s">
        <v>364</v>
      </c>
      <c r="R54" t="e">
        <f>#REF!</f>
        <v>#REF!</v>
      </c>
      <c r="S54" t="s">
        <v>365</v>
      </c>
    </row>
    <row r="55" spans="6:19">
      <c r="F55" t="e">
        <f>#REF!</f>
        <v>#REF!</v>
      </c>
      <c r="G55" t="s">
        <v>366</v>
      </c>
      <c r="R55" t="e">
        <f>#REF!</f>
        <v>#REF!</v>
      </c>
      <c r="S55" t="s">
        <v>367</v>
      </c>
    </row>
    <row r="56" spans="6:19">
      <c r="F56" t="e">
        <f>#REF!</f>
        <v>#REF!</v>
      </c>
      <c r="G56" t="s">
        <v>368</v>
      </c>
      <c r="R56" t="e">
        <f>#REF!</f>
        <v>#REF!</v>
      </c>
      <c r="S56" t="s">
        <v>369</v>
      </c>
    </row>
    <row r="57" spans="6:19">
      <c r="F57" s="58" t="e">
        <f>#REF!</f>
        <v>#REF!</v>
      </c>
      <c r="G57" t="s">
        <v>370</v>
      </c>
      <c r="R57" t="e">
        <f>#REF!</f>
        <v>#REF!</v>
      </c>
      <c r="S57" t="s">
        <v>371</v>
      </c>
    </row>
    <row r="58" spans="6:19">
      <c r="F58" s="58" t="e">
        <f>#REF!</f>
        <v>#REF!</v>
      </c>
      <c r="G58" t="s">
        <v>372</v>
      </c>
      <c r="R58" t="e">
        <f>#REF!</f>
        <v>#REF!</v>
      </c>
      <c r="S58" t="s">
        <v>373</v>
      </c>
    </row>
    <row r="59" spans="6:19">
      <c r="F59" s="58" t="e">
        <f>#REF!</f>
        <v>#REF!</v>
      </c>
      <c r="G59" t="s">
        <v>374</v>
      </c>
      <c r="R59" t="e">
        <f>#REF!</f>
        <v>#REF!</v>
      </c>
      <c r="S59" t="s">
        <v>375</v>
      </c>
    </row>
    <row r="60" spans="6:19">
      <c r="F60" t="e">
        <f>#REF!</f>
        <v>#REF!</v>
      </c>
      <c r="G60" t="s">
        <v>376</v>
      </c>
      <c r="R60" t="e">
        <f>#REF!</f>
        <v>#REF!</v>
      </c>
      <c r="S60" t="s">
        <v>377</v>
      </c>
    </row>
    <row r="61" spans="6:19">
      <c r="F61" t="e">
        <f>#REF!</f>
        <v>#REF!</v>
      </c>
      <c r="G61" t="s">
        <v>378</v>
      </c>
      <c r="R61" t="e">
        <f>#REF!</f>
        <v>#REF!</v>
      </c>
      <c r="S61" t="s">
        <v>379</v>
      </c>
    </row>
    <row r="62" spans="6:19">
      <c r="F62" t="e">
        <f>#REF!</f>
        <v>#REF!</v>
      </c>
      <c r="G62" t="s">
        <v>380</v>
      </c>
      <c r="R62" t="e">
        <f>#REF!</f>
        <v>#REF!</v>
      </c>
      <c r="S62" t="s">
        <v>381</v>
      </c>
    </row>
    <row r="63" spans="6:19">
      <c r="F63" t="e">
        <f>#REF!</f>
        <v>#REF!</v>
      </c>
      <c r="G63" t="s">
        <v>382</v>
      </c>
      <c r="R63" t="e">
        <f>#REF!</f>
        <v>#REF!</v>
      </c>
      <c r="S63" t="s">
        <v>383</v>
      </c>
    </row>
    <row r="64" spans="6:19">
      <c r="F64" t="e">
        <f>#REF!</f>
        <v>#REF!</v>
      </c>
      <c r="G64" t="s">
        <v>384</v>
      </c>
      <c r="R64" t="e">
        <f>#REF!</f>
        <v>#REF!</v>
      </c>
      <c r="S64" t="s">
        <v>385</v>
      </c>
    </row>
    <row r="65" spans="6:19">
      <c r="F65" t="e">
        <f>#REF!</f>
        <v>#REF!</v>
      </c>
      <c r="G65" t="s">
        <v>386</v>
      </c>
      <c r="R65" t="e">
        <f>#REF!</f>
        <v>#REF!</v>
      </c>
      <c r="S65" t="s">
        <v>387</v>
      </c>
    </row>
    <row r="66" spans="6:19">
      <c r="F66" t="e">
        <f>#REF!</f>
        <v>#REF!</v>
      </c>
      <c r="G66" t="s">
        <v>388</v>
      </c>
      <c r="R66" t="e">
        <f>#REF!</f>
        <v>#REF!</v>
      </c>
      <c r="S66" t="s">
        <v>389</v>
      </c>
    </row>
    <row r="67" spans="6:19">
      <c r="F67" s="58" t="e">
        <f>#REF!</f>
        <v>#REF!</v>
      </c>
      <c r="G67" t="s">
        <v>390</v>
      </c>
      <c r="R67" t="e">
        <f>#REF!</f>
        <v>#REF!</v>
      </c>
      <c r="S67" t="s">
        <v>391</v>
      </c>
    </row>
    <row r="68" spans="6:19">
      <c r="F68" s="58" t="e">
        <f>#REF!</f>
        <v>#REF!</v>
      </c>
      <c r="G68" t="s">
        <v>392</v>
      </c>
      <c r="R68" t="e">
        <f>#REF!</f>
        <v>#REF!</v>
      </c>
      <c r="S68" t="s">
        <v>393</v>
      </c>
    </row>
    <row r="69" spans="6:19">
      <c r="F69" s="58" t="e">
        <f>#REF!</f>
        <v>#REF!</v>
      </c>
      <c r="G69" t="s">
        <v>394</v>
      </c>
      <c r="R69" t="e">
        <f>#REF!</f>
        <v>#REF!</v>
      </c>
      <c r="S69" t="s">
        <v>395</v>
      </c>
    </row>
    <row r="70" spans="6:19">
      <c r="F70" t="e">
        <f>#REF!</f>
        <v>#REF!</v>
      </c>
      <c r="G70" t="s">
        <v>396</v>
      </c>
      <c r="R70" t="e">
        <f>#REF!</f>
        <v>#REF!</v>
      </c>
      <c r="S70" t="s">
        <v>397</v>
      </c>
    </row>
    <row r="71" spans="6:19">
      <c r="F71" t="e">
        <f>#REF!</f>
        <v>#REF!</v>
      </c>
      <c r="G71" t="s">
        <v>398</v>
      </c>
      <c r="R71" t="e">
        <f>#REF!</f>
        <v>#REF!</v>
      </c>
      <c r="S71" t="s">
        <v>399</v>
      </c>
    </row>
    <row r="72" spans="6:19">
      <c r="F72" t="e">
        <f>#REF!</f>
        <v>#REF!</v>
      </c>
      <c r="G72" t="s">
        <v>400</v>
      </c>
      <c r="R72" t="e">
        <f>#REF!</f>
        <v>#REF!</v>
      </c>
      <c r="S72" t="s">
        <v>401</v>
      </c>
    </row>
    <row r="73" spans="6:19">
      <c r="F73" t="e">
        <f>#REF!</f>
        <v>#REF!</v>
      </c>
      <c r="G73" t="s">
        <v>402</v>
      </c>
      <c r="R73" t="e">
        <f>#REF!</f>
        <v>#REF!</v>
      </c>
      <c r="S73" t="s">
        <v>403</v>
      </c>
    </row>
    <row r="74" spans="6:19">
      <c r="F74" t="e">
        <f>#REF!</f>
        <v>#REF!</v>
      </c>
      <c r="G74" t="s">
        <v>404</v>
      </c>
      <c r="R74" t="e">
        <f>#REF!</f>
        <v>#REF!</v>
      </c>
      <c r="S74" t="s">
        <v>405</v>
      </c>
    </row>
    <row r="75" spans="6:19">
      <c r="F75" t="e">
        <f>#REF!</f>
        <v>#REF!</v>
      </c>
      <c r="G75" t="s">
        <v>406</v>
      </c>
      <c r="R75" t="e">
        <f>#REF!</f>
        <v>#REF!</v>
      </c>
      <c r="S75" t="s">
        <v>407</v>
      </c>
    </row>
    <row r="76" spans="6:19">
      <c r="F76" t="e">
        <f>#REF!</f>
        <v>#REF!</v>
      </c>
      <c r="G76" t="s">
        <v>408</v>
      </c>
      <c r="R76" t="e">
        <f>#REF!</f>
        <v>#REF!</v>
      </c>
      <c r="S76" t="s">
        <v>409</v>
      </c>
    </row>
    <row r="77" spans="6:19">
      <c r="F77" s="58" t="e">
        <f>#REF!</f>
        <v>#REF!</v>
      </c>
      <c r="G77" t="s">
        <v>410</v>
      </c>
      <c r="R77" t="e">
        <f>#REF!</f>
        <v>#REF!</v>
      </c>
      <c r="S77" t="s">
        <v>411</v>
      </c>
    </row>
    <row r="78" spans="6:19">
      <c r="F78" s="58" t="e">
        <f>#REF!</f>
        <v>#REF!</v>
      </c>
      <c r="G78" t="s">
        <v>412</v>
      </c>
      <c r="R78" t="e">
        <f>#REF!</f>
        <v>#REF!</v>
      </c>
      <c r="S78" t="s">
        <v>413</v>
      </c>
    </row>
    <row r="79" spans="6:19">
      <c r="F79" s="58" t="e">
        <f>#REF!</f>
        <v>#REF!</v>
      </c>
      <c r="G79" t="s">
        <v>414</v>
      </c>
      <c r="R79" t="e">
        <f>#REF!</f>
        <v>#REF!</v>
      </c>
      <c r="S79" t="s">
        <v>415</v>
      </c>
    </row>
    <row r="80" spans="6:19">
      <c r="F80" t="e">
        <f>#REF!</f>
        <v>#REF!</v>
      </c>
      <c r="G80" t="s">
        <v>416</v>
      </c>
      <c r="R80" t="e">
        <f>#REF!</f>
        <v>#REF!</v>
      </c>
      <c r="S80" t="s">
        <v>417</v>
      </c>
    </row>
    <row r="81" spans="6:19">
      <c r="F81" t="e">
        <f>#REF!</f>
        <v>#REF!</v>
      </c>
      <c r="G81" t="s">
        <v>418</v>
      </c>
      <c r="R81" t="e">
        <f>#REF!</f>
        <v>#REF!</v>
      </c>
      <c r="S81" t="s">
        <v>419</v>
      </c>
    </row>
    <row r="82" spans="6:19">
      <c r="F82" t="e">
        <f>#REF!</f>
        <v>#REF!</v>
      </c>
      <c r="G82" t="s">
        <v>420</v>
      </c>
      <c r="R82" t="e">
        <f>#REF!</f>
        <v>#REF!</v>
      </c>
      <c r="S82" t="s">
        <v>421</v>
      </c>
    </row>
    <row r="83" spans="6:19">
      <c r="F83" t="e">
        <f>#REF!</f>
        <v>#REF!</v>
      </c>
      <c r="G83" t="s">
        <v>422</v>
      </c>
      <c r="R83" t="e">
        <f>#REF!</f>
        <v>#REF!</v>
      </c>
      <c r="S83" t="s">
        <v>423</v>
      </c>
    </row>
    <row r="84" spans="6:19">
      <c r="F84" t="e">
        <f>#REF!</f>
        <v>#REF!</v>
      </c>
      <c r="G84" t="s">
        <v>424</v>
      </c>
      <c r="R84" t="e">
        <f>#REF!</f>
        <v>#REF!</v>
      </c>
      <c r="S84" t="s">
        <v>425</v>
      </c>
    </row>
    <row r="85" spans="6:19">
      <c r="F85" t="e">
        <f>#REF!</f>
        <v>#REF!</v>
      </c>
      <c r="G85" t="s">
        <v>426</v>
      </c>
      <c r="R85" t="e">
        <f>#REF!</f>
        <v>#REF!</v>
      </c>
      <c r="S85" t="s">
        <v>427</v>
      </c>
    </row>
    <row r="86" spans="6:19">
      <c r="F86" t="e">
        <f>#REF!</f>
        <v>#REF!</v>
      </c>
      <c r="G86" t="s">
        <v>428</v>
      </c>
      <c r="R86" t="e">
        <f>#REF!</f>
        <v>#REF!</v>
      </c>
      <c r="S86" t="s">
        <v>429</v>
      </c>
    </row>
    <row r="87" spans="6:19">
      <c r="F87" s="58" t="e">
        <f>#REF!</f>
        <v>#REF!</v>
      </c>
      <c r="G87" t="s">
        <v>430</v>
      </c>
      <c r="R87" t="e">
        <f>#REF!</f>
        <v>#REF!</v>
      </c>
      <c r="S87" t="s">
        <v>431</v>
      </c>
    </row>
    <row r="88" spans="6:19">
      <c r="F88" s="58" t="e">
        <f>#REF!</f>
        <v>#REF!</v>
      </c>
      <c r="G88" t="s">
        <v>432</v>
      </c>
      <c r="R88" t="e">
        <f>#REF!</f>
        <v>#REF!</v>
      </c>
      <c r="S88" t="s">
        <v>433</v>
      </c>
    </row>
    <row r="89" spans="6:19">
      <c r="F89" s="58" t="e">
        <f>#REF!</f>
        <v>#REF!</v>
      </c>
      <c r="G89" t="s">
        <v>434</v>
      </c>
    </row>
    <row r="90" spans="6:19">
      <c r="F90" t="e">
        <f>#REF!</f>
        <v>#REF!</v>
      </c>
      <c r="G90" t="s">
        <v>435</v>
      </c>
    </row>
    <row r="91" spans="6:19">
      <c r="F91" t="e">
        <f>#REF!</f>
        <v>#REF!</v>
      </c>
      <c r="G91" t="s">
        <v>436</v>
      </c>
    </row>
    <row r="92" spans="6:19">
      <c r="F92" t="e">
        <f>#REF!</f>
        <v>#REF!</v>
      </c>
      <c r="G92" t="s">
        <v>437</v>
      </c>
    </row>
    <row r="93" spans="6:19">
      <c r="F93" t="e">
        <f>#REF!</f>
        <v>#REF!</v>
      </c>
      <c r="G93" t="s">
        <v>438</v>
      </c>
    </row>
    <row r="94" spans="6:19">
      <c r="F94" t="e">
        <f>#REF!</f>
        <v>#REF!</v>
      </c>
      <c r="G94" t="s">
        <v>439</v>
      </c>
    </row>
    <row r="95" spans="6:19">
      <c r="F95" t="e">
        <f>#REF!</f>
        <v>#REF!</v>
      </c>
      <c r="G95" t="s">
        <v>440</v>
      </c>
    </row>
    <row r="96" spans="6:19">
      <c r="F96" t="e">
        <f>#REF!</f>
        <v>#REF!</v>
      </c>
      <c r="G96" t="s">
        <v>441</v>
      </c>
    </row>
    <row r="97" spans="6:7">
      <c r="F97" s="58" t="e">
        <f>#REF!</f>
        <v>#REF!</v>
      </c>
      <c r="G97" t="s">
        <v>442</v>
      </c>
    </row>
    <row r="98" spans="6:7">
      <c r="F98" s="58" t="e">
        <f>#REF!</f>
        <v>#REF!</v>
      </c>
      <c r="G98" t="s">
        <v>443</v>
      </c>
    </row>
    <row r="99" spans="6:7">
      <c r="F99" s="58" t="e">
        <f>#REF!</f>
        <v>#REF!</v>
      </c>
      <c r="G99" t="s">
        <v>444</v>
      </c>
    </row>
    <row r="100" spans="6:7">
      <c r="F100" t="e">
        <f>#REF!</f>
        <v>#REF!</v>
      </c>
      <c r="G100" t="s">
        <v>445</v>
      </c>
    </row>
    <row r="101" spans="6:7">
      <c r="F101" t="e">
        <f>#REF!</f>
        <v>#REF!</v>
      </c>
      <c r="G101" t="s">
        <v>446</v>
      </c>
    </row>
    <row r="102" spans="6:7">
      <c r="F102" t="e">
        <f>#REF!</f>
        <v>#REF!</v>
      </c>
      <c r="G102" t="s">
        <v>447</v>
      </c>
    </row>
    <row r="103" spans="6:7">
      <c r="F103" t="e">
        <f>#REF!</f>
        <v>#REF!</v>
      </c>
      <c r="G103" t="s">
        <v>448</v>
      </c>
    </row>
    <row r="104" spans="6:7">
      <c r="F104" t="e">
        <f>#REF!</f>
        <v>#REF!</v>
      </c>
      <c r="G104" t="s">
        <v>449</v>
      </c>
    </row>
    <row r="105" spans="6:7">
      <c r="F105" t="e">
        <f>#REF!</f>
        <v>#REF!</v>
      </c>
      <c r="G105" t="s">
        <v>450</v>
      </c>
    </row>
    <row r="106" spans="6:7">
      <c r="F106" t="e">
        <f>#REF!</f>
        <v>#REF!</v>
      </c>
      <c r="G106" t="s">
        <v>451</v>
      </c>
    </row>
    <row r="107" spans="6:7">
      <c r="F107" s="58" t="e">
        <f>#REF!</f>
        <v>#REF!</v>
      </c>
      <c r="G107" t="s">
        <v>452</v>
      </c>
    </row>
    <row r="108" spans="6:7">
      <c r="F108" s="58" t="e">
        <f>#REF!</f>
        <v>#REF!</v>
      </c>
      <c r="G108" t="s">
        <v>453</v>
      </c>
    </row>
    <row r="109" spans="6:7">
      <c r="F109" s="58" t="e">
        <f>#REF!</f>
        <v>#REF!</v>
      </c>
      <c r="G109" t="s">
        <v>454</v>
      </c>
    </row>
    <row r="110" spans="6:7">
      <c r="F110" t="e">
        <f>#REF!</f>
        <v>#REF!</v>
      </c>
      <c r="G110" t="s">
        <v>455</v>
      </c>
    </row>
    <row r="111" spans="6:7">
      <c r="F111" t="e">
        <f>#REF!</f>
        <v>#REF!</v>
      </c>
      <c r="G111" t="s">
        <v>456</v>
      </c>
    </row>
    <row r="112" spans="6:7">
      <c r="F112" t="e">
        <f>#REF!</f>
        <v>#REF!</v>
      </c>
      <c r="G112" t="s">
        <v>457</v>
      </c>
    </row>
    <row r="113" spans="6:7">
      <c r="F113" t="e">
        <f>#REF!</f>
        <v>#REF!</v>
      </c>
      <c r="G113" t="s">
        <v>458</v>
      </c>
    </row>
    <row r="114" spans="6:7">
      <c r="F114" t="e">
        <f>#REF!</f>
        <v>#REF!</v>
      </c>
      <c r="G114" t="s">
        <v>459</v>
      </c>
    </row>
    <row r="115" spans="6:7">
      <c r="F115" t="e">
        <f>#REF!</f>
        <v>#REF!</v>
      </c>
      <c r="G115" t="s">
        <v>460</v>
      </c>
    </row>
    <row r="116" spans="6:7">
      <c r="F116" t="e">
        <f>#REF!</f>
        <v>#REF!</v>
      </c>
      <c r="G116" t="s">
        <v>461</v>
      </c>
    </row>
    <row r="117" spans="6:7">
      <c r="F117" s="58" t="e">
        <f>#REF!</f>
        <v>#REF!</v>
      </c>
      <c r="G117" t="s">
        <v>462</v>
      </c>
    </row>
    <row r="118" spans="6:7">
      <c r="F118" s="58" t="e">
        <f>#REF!</f>
        <v>#REF!</v>
      </c>
      <c r="G118" t="s">
        <v>463</v>
      </c>
    </row>
    <row r="119" spans="6:7">
      <c r="F119" s="58" t="e">
        <f>#REF!</f>
        <v>#REF!</v>
      </c>
      <c r="G119" t="s">
        <v>464</v>
      </c>
    </row>
    <row r="120" spans="6:7">
      <c r="F120" t="e">
        <f>#REF!</f>
        <v>#REF!</v>
      </c>
      <c r="G120" t="s">
        <v>465</v>
      </c>
    </row>
    <row r="121" spans="6:7">
      <c r="F121" t="e">
        <f>#REF!</f>
        <v>#REF!</v>
      </c>
      <c r="G121" t="s">
        <v>466</v>
      </c>
    </row>
    <row r="122" spans="6:7">
      <c r="F122" t="e">
        <f>#REF!</f>
        <v>#REF!</v>
      </c>
      <c r="G122" t="s">
        <v>467</v>
      </c>
    </row>
    <row r="123" spans="6:7">
      <c r="F123" t="e">
        <f>#REF!</f>
        <v>#REF!</v>
      </c>
      <c r="G123" t="s">
        <v>468</v>
      </c>
    </row>
    <row r="124" spans="6:7">
      <c r="F124" t="e">
        <f>#REF!</f>
        <v>#REF!</v>
      </c>
      <c r="G124" t="s">
        <v>469</v>
      </c>
    </row>
    <row r="125" spans="6:7">
      <c r="F125" t="e">
        <f>#REF!</f>
        <v>#REF!</v>
      </c>
      <c r="G125" t="s">
        <v>470</v>
      </c>
    </row>
    <row r="126" spans="6:7">
      <c r="F126" t="e">
        <f>#REF!</f>
        <v>#REF!</v>
      </c>
      <c r="G126" t="s">
        <v>471</v>
      </c>
    </row>
    <row r="127" spans="6:7">
      <c r="F127" s="58" t="e">
        <f>#REF!</f>
        <v>#REF!</v>
      </c>
      <c r="G127" t="s">
        <v>472</v>
      </c>
    </row>
    <row r="128" spans="6:7">
      <c r="F128" s="58" t="e">
        <f>#REF!</f>
        <v>#REF!</v>
      </c>
      <c r="G128" t="s">
        <v>473</v>
      </c>
    </row>
    <row r="129" spans="6:7">
      <c r="F129" s="58" t="e">
        <f>#REF!</f>
        <v>#REF!</v>
      </c>
      <c r="G129" t="s">
        <v>474</v>
      </c>
    </row>
    <row r="130" spans="6:7">
      <c r="F130" t="e">
        <f>#REF!</f>
        <v>#REF!</v>
      </c>
      <c r="G130" t="s">
        <v>475</v>
      </c>
    </row>
    <row r="131" spans="6:7">
      <c r="F131" t="e">
        <f>#REF!</f>
        <v>#REF!</v>
      </c>
      <c r="G131" t="s">
        <v>476</v>
      </c>
    </row>
    <row r="132" spans="6:7">
      <c r="F132" t="e">
        <f>#REF!</f>
        <v>#REF!</v>
      </c>
      <c r="G132" t="s">
        <v>477</v>
      </c>
    </row>
    <row r="133" spans="6:7">
      <c r="F133" t="e">
        <f>#REF!</f>
        <v>#REF!</v>
      </c>
      <c r="G133" t="s">
        <v>478</v>
      </c>
    </row>
    <row r="134" spans="6:7">
      <c r="F134" t="e">
        <f>#REF!</f>
        <v>#REF!</v>
      </c>
      <c r="G134" t="s">
        <v>479</v>
      </c>
    </row>
    <row r="135" spans="6:7">
      <c r="F135" t="e">
        <f>#REF!</f>
        <v>#REF!</v>
      </c>
      <c r="G135" t="s">
        <v>480</v>
      </c>
    </row>
    <row r="136" spans="6:7">
      <c r="F136" t="e">
        <f>#REF!</f>
        <v>#REF!</v>
      </c>
      <c r="G136" t="s">
        <v>481</v>
      </c>
    </row>
    <row r="137" spans="6:7">
      <c r="F137" s="58" t="e">
        <f>#REF!</f>
        <v>#REF!</v>
      </c>
      <c r="G137" t="s">
        <v>482</v>
      </c>
    </row>
    <row r="138" spans="6:7">
      <c r="F138" s="58" t="e">
        <f>#REF!</f>
        <v>#REF!</v>
      </c>
      <c r="G138" t="s">
        <v>483</v>
      </c>
    </row>
    <row r="139" spans="6:7">
      <c r="F139" s="58" t="e">
        <f>#REF!</f>
        <v>#REF!</v>
      </c>
      <c r="G139" t="s">
        <v>484</v>
      </c>
    </row>
    <row r="140" spans="6:7">
      <c r="F140" t="e">
        <f>#REF!</f>
        <v>#REF!</v>
      </c>
      <c r="G140" t="s">
        <v>485</v>
      </c>
    </row>
    <row r="141" spans="6:7">
      <c r="F141" t="e">
        <f>#REF!</f>
        <v>#REF!</v>
      </c>
      <c r="G141" t="s">
        <v>486</v>
      </c>
    </row>
    <row r="142" spans="6:7">
      <c r="F142" t="e">
        <f>#REF!</f>
        <v>#REF!</v>
      </c>
      <c r="G142" t="s">
        <v>487</v>
      </c>
    </row>
    <row r="143" spans="6:7">
      <c r="F143" t="e">
        <f>#REF!</f>
        <v>#REF!</v>
      </c>
      <c r="G143" t="s">
        <v>488</v>
      </c>
    </row>
    <row r="144" spans="6:7">
      <c r="F144" t="e">
        <f>#REF!</f>
        <v>#REF!</v>
      </c>
      <c r="G144" t="s">
        <v>489</v>
      </c>
    </row>
    <row r="145" spans="6:7">
      <c r="F145" t="e">
        <f>#REF!</f>
        <v>#REF!</v>
      </c>
      <c r="G145" t="s">
        <v>490</v>
      </c>
    </row>
    <row r="146" spans="6:7">
      <c r="F146" t="e">
        <f>#REF!</f>
        <v>#REF!</v>
      </c>
      <c r="G146" t="s">
        <v>491</v>
      </c>
    </row>
    <row r="147" spans="6:7">
      <c r="F147" s="58" t="e">
        <f>#REF!</f>
        <v>#REF!</v>
      </c>
      <c r="G147" t="s">
        <v>492</v>
      </c>
    </row>
    <row r="148" spans="6:7">
      <c r="F148" s="58" t="e">
        <f>#REF!</f>
        <v>#REF!</v>
      </c>
      <c r="G148" t="s">
        <v>493</v>
      </c>
    </row>
    <row r="149" spans="6:7">
      <c r="F149" s="58" t="e">
        <f>#REF!</f>
        <v>#REF!</v>
      </c>
      <c r="G149" t="s">
        <v>494</v>
      </c>
    </row>
    <row r="150" spans="6:7">
      <c r="F150" t="e">
        <f>#REF!</f>
        <v>#REF!</v>
      </c>
      <c r="G150" t="s">
        <v>495</v>
      </c>
    </row>
    <row r="151" spans="6:7">
      <c r="F151" t="e">
        <f>#REF!</f>
        <v>#REF!</v>
      </c>
      <c r="G151" t="s">
        <v>496</v>
      </c>
    </row>
    <row r="152" spans="6:7">
      <c r="F152" t="e">
        <f>#REF!</f>
        <v>#REF!</v>
      </c>
      <c r="G152" t="s">
        <v>497</v>
      </c>
    </row>
    <row r="153" spans="6:7">
      <c r="F153" t="e">
        <f>#REF!</f>
        <v>#REF!</v>
      </c>
      <c r="G153" t="s">
        <v>498</v>
      </c>
    </row>
    <row r="154" spans="6:7">
      <c r="F154" t="e">
        <f>#REF!</f>
        <v>#REF!</v>
      </c>
      <c r="G154" t="s">
        <v>499</v>
      </c>
    </row>
    <row r="155" spans="6:7">
      <c r="F155" t="e">
        <f>#REF!</f>
        <v>#REF!</v>
      </c>
      <c r="G155" t="s">
        <v>500</v>
      </c>
    </row>
    <row r="156" spans="6:7">
      <c r="F156" t="e">
        <f>#REF!</f>
        <v>#REF!</v>
      </c>
      <c r="G156" t="s">
        <v>501</v>
      </c>
    </row>
    <row r="157" spans="6:7">
      <c r="F157" s="58" t="e">
        <f>#REF!</f>
        <v>#REF!</v>
      </c>
      <c r="G157" t="s">
        <v>502</v>
      </c>
    </row>
    <row r="158" spans="6:7">
      <c r="F158" s="58" t="e">
        <f>#REF!</f>
        <v>#REF!</v>
      </c>
      <c r="G158" t="s">
        <v>503</v>
      </c>
    </row>
    <row r="159" spans="6:7">
      <c r="F159" s="58" t="e">
        <f>#REF!</f>
        <v>#REF!</v>
      </c>
      <c r="G159" t="s">
        <v>504</v>
      </c>
    </row>
    <row r="160" spans="6:7">
      <c r="F160" t="e">
        <f>#REF!</f>
        <v>#REF!</v>
      </c>
      <c r="G160" t="s">
        <v>505</v>
      </c>
    </row>
    <row r="161" spans="6:7">
      <c r="F161" t="e">
        <f>#REF!</f>
        <v>#REF!</v>
      </c>
      <c r="G161" t="s">
        <v>506</v>
      </c>
    </row>
    <row r="162" spans="6:7">
      <c r="F162" t="e">
        <f>#REF!</f>
        <v>#REF!</v>
      </c>
      <c r="G162" t="s">
        <v>507</v>
      </c>
    </row>
    <row r="163" spans="6:7">
      <c r="F163" t="e">
        <f>#REF!</f>
        <v>#REF!</v>
      </c>
      <c r="G163" t="s">
        <v>508</v>
      </c>
    </row>
    <row r="164" spans="6:7">
      <c r="F164" t="e">
        <f>#REF!</f>
        <v>#REF!</v>
      </c>
      <c r="G164" t="s">
        <v>509</v>
      </c>
    </row>
    <row r="165" spans="6:7">
      <c r="F165" t="e">
        <f>#REF!</f>
        <v>#REF!</v>
      </c>
      <c r="G165" t="s">
        <v>510</v>
      </c>
    </row>
    <row r="166" spans="6:7">
      <c r="F166" t="e">
        <f>#REF!</f>
        <v>#REF!</v>
      </c>
      <c r="G166" t="s">
        <v>511</v>
      </c>
    </row>
    <row r="167" spans="6:7">
      <c r="F167" t="e">
        <f>#REF!</f>
        <v>#REF!</v>
      </c>
      <c r="G167" t="s">
        <v>512</v>
      </c>
    </row>
    <row r="168" spans="6:7">
      <c r="F168" t="e">
        <f>#REF!</f>
        <v>#REF!</v>
      </c>
      <c r="G168" t="s">
        <v>513</v>
      </c>
    </row>
    <row r="169" spans="6:7">
      <c r="F169" t="e">
        <f>#REF!</f>
        <v>#REF!</v>
      </c>
      <c r="G169" t="s">
        <v>514</v>
      </c>
    </row>
  </sheetData>
  <phoneticPr fontId="99"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817-C025-4FDE-A10F-719B66607F0F}">
  <dimension ref="A1:BD8"/>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56">
      <c r="A1">
        <v>1748594142327</v>
      </c>
      <c r="B1" t="s">
        <v>515</v>
      </c>
      <c r="C1" t="s">
        <v>516</v>
      </c>
      <c r="D1">
        <v>7</v>
      </c>
      <c r="E1">
        <v>1751009522636</v>
      </c>
      <c r="F1" t="s">
        <v>517</v>
      </c>
      <c r="G1" t="s">
        <v>518</v>
      </c>
      <c r="H1">
        <v>0</v>
      </c>
      <c r="I1">
        <v>1753065434690</v>
      </c>
      <c r="J1" t="s">
        <v>519</v>
      </c>
      <c r="K1" t="s">
        <v>520</v>
      </c>
      <c r="L1">
        <v>0</v>
      </c>
      <c r="M1">
        <v>1753680658296</v>
      </c>
      <c r="N1" t="s">
        <v>521</v>
      </c>
      <c r="O1" t="s">
        <v>522</v>
      </c>
      <c r="P1">
        <v>0</v>
      </c>
      <c r="Q1">
        <v>1753685254550</v>
      </c>
      <c r="R1" t="s">
        <v>523</v>
      </c>
      <c r="S1" t="s">
        <v>524</v>
      </c>
      <c r="T1">
        <v>0</v>
      </c>
      <c r="U1">
        <v>1754449508425</v>
      </c>
      <c r="V1" t="s">
        <v>525</v>
      </c>
      <c r="W1" t="s">
        <v>526</v>
      </c>
      <c r="X1">
        <v>0</v>
      </c>
      <c r="Y1">
        <v>1754619956929</v>
      </c>
      <c r="Z1" t="s">
        <v>527</v>
      </c>
      <c r="AA1" t="s">
        <v>528</v>
      </c>
      <c r="AB1">
        <v>0</v>
      </c>
      <c r="AC1">
        <v>1754638983660</v>
      </c>
      <c r="AD1" t="s">
        <v>529</v>
      </c>
      <c r="AE1" t="s">
        <v>530</v>
      </c>
      <c r="AF1">
        <v>0</v>
      </c>
      <c r="AG1">
        <v>1754726819918</v>
      </c>
      <c r="AH1" t="s">
        <v>531</v>
      </c>
      <c r="AI1" t="s">
        <v>532</v>
      </c>
      <c r="AJ1">
        <v>0</v>
      </c>
      <c r="AK1">
        <v>1755484783290</v>
      </c>
      <c r="AL1" t="s">
        <v>533</v>
      </c>
      <c r="AM1" t="s">
        <v>534</v>
      </c>
      <c r="AN1">
        <v>0</v>
      </c>
      <c r="AO1">
        <v>1755510900994</v>
      </c>
      <c r="AP1" t="s">
        <v>535</v>
      </c>
      <c r="AQ1" t="s">
        <v>536</v>
      </c>
      <c r="AR1">
        <v>0</v>
      </c>
      <c r="AS1">
        <v>1755852131215</v>
      </c>
      <c r="AT1" t="s">
        <v>537</v>
      </c>
      <c r="AU1" t="s">
        <v>538</v>
      </c>
      <c r="AV1">
        <v>0</v>
      </c>
      <c r="AW1">
        <v>1756437386403</v>
      </c>
      <c r="AX1" t="s">
        <v>539</v>
      </c>
      <c r="AY1" t="s">
        <v>540</v>
      </c>
      <c r="AZ1">
        <v>0</v>
      </c>
      <c r="BA1">
        <v>1776255004494</v>
      </c>
      <c r="BB1" t="s">
        <v>554</v>
      </c>
      <c r="BC1" t="s">
        <v>555</v>
      </c>
      <c r="BD1">
        <v>0</v>
      </c>
    </row>
    <row r="2" spans="1:56">
      <c r="A2">
        <v>1748594142675</v>
      </c>
      <c r="B2" t="s">
        <v>541</v>
      </c>
      <c r="C2" t="s">
        <v>542</v>
      </c>
      <c r="D2" t="s">
        <v>543</v>
      </c>
    </row>
    <row r="3" spans="1:56">
      <c r="A3">
        <v>1748594142693</v>
      </c>
      <c r="B3" t="s">
        <v>541</v>
      </c>
      <c r="C3" t="s">
        <v>544</v>
      </c>
      <c r="D3" t="s">
        <v>545</v>
      </c>
    </row>
    <row r="4" spans="1:56">
      <c r="A4">
        <v>1748594142693</v>
      </c>
      <c r="B4" t="s">
        <v>541</v>
      </c>
      <c r="C4" t="s">
        <v>546</v>
      </c>
      <c r="D4" t="s">
        <v>547</v>
      </c>
    </row>
    <row r="5" spans="1:56">
      <c r="A5">
        <v>1748594142693</v>
      </c>
      <c r="B5" t="s">
        <v>541</v>
      </c>
      <c r="C5" t="s">
        <v>548</v>
      </c>
      <c r="D5" t="s">
        <v>549</v>
      </c>
    </row>
    <row r="6" spans="1:56">
      <c r="A6">
        <v>1748594142693</v>
      </c>
      <c r="B6" t="s">
        <v>541</v>
      </c>
      <c r="C6" t="s">
        <v>550</v>
      </c>
      <c r="D6" t="s">
        <v>551</v>
      </c>
    </row>
    <row r="7" spans="1:56">
      <c r="A7">
        <v>1748594142766</v>
      </c>
      <c r="B7" t="s">
        <v>541</v>
      </c>
      <c r="C7" t="s">
        <v>542</v>
      </c>
      <c r="D7" t="s">
        <v>552</v>
      </c>
    </row>
    <row r="8" spans="1:56">
      <c r="A8">
        <v>1748594142766</v>
      </c>
      <c r="B8" t="s">
        <v>541</v>
      </c>
      <c r="C8" t="s">
        <v>546</v>
      </c>
      <c r="D8" t="s">
        <v>553</v>
      </c>
    </row>
  </sheetData>
  <phoneticPr fontId="9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880-5016-48FF-95D6-64FF63C00226}">
  <dimension ref="A1:BD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56">
      <c r="A1">
        <v>1748594142501</v>
      </c>
      <c r="B1" t="s">
        <v>515</v>
      </c>
      <c r="C1" t="s">
        <v>516</v>
      </c>
      <c r="D1">
        <v>0</v>
      </c>
      <c r="E1">
        <v>1751009523072</v>
      </c>
      <c r="F1" t="s">
        <v>517</v>
      </c>
      <c r="G1" t="s">
        <v>518</v>
      </c>
      <c r="H1">
        <v>0</v>
      </c>
      <c r="I1">
        <v>1753065435418</v>
      </c>
      <c r="J1" t="s">
        <v>519</v>
      </c>
      <c r="K1" t="s">
        <v>520</v>
      </c>
      <c r="L1">
        <v>0</v>
      </c>
      <c r="M1">
        <v>1753680658337</v>
      </c>
      <c r="N1" t="s">
        <v>521</v>
      </c>
      <c r="O1" t="s">
        <v>522</v>
      </c>
      <c r="P1">
        <v>0</v>
      </c>
      <c r="Q1">
        <v>1753685254800</v>
      </c>
      <c r="R1" t="s">
        <v>523</v>
      </c>
      <c r="S1" t="s">
        <v>524</v>
      </c>
      <c r="T1">
        <v>0</v>
      </c>
      <c r="U1">
        <v>1754449508759</v>
      </c>
      <c r="V1" t="s">
        <v>525</v>
      </c>
      <c r="W1" t="s">
        <v>526</v>
      </c>
      <c r="X1">
        <v>0</v>
      </c>
      <c r="Y1">
        <v>1754619957262</v>
      </c>
      <c r="Z1" t="s">
        <v>527</v>
      </c>
      <c r="AA1" t="s">
        <v>528</v>
      </c>
      <c r="AB1">
        <v>0</v>
      </c>
      <c r="AC1">
        <v>1754638983817</v>
      </c>
      <c r="AD1" t="s">
        <v>529</v>
      </c>
      <c r="AE1" t="s">
        <v>530</v>
      </c>
      <c r="AF1">
        <v>0</v>
      </c>
      <c r="AG1">
        <v>1754726820038</v>
      </c>
      <c r="AH1" t="s">
        <v>531</v>
      </c>
      <c r="AI1" t="s">
        <v>532</v>
      </c>
      <c r="AJ1">
        <v>0</v>
      </c>
      <c r="AK1">
        <v>1755484783896</v>
      </c>
      <c r="AL1" t="s">
        <v>533</v>
      </c>
      <c r="AM1" t="s">
        <v>534</v>
      </c>
      <c r="AN1">
        <v>0</v>
      </c>
      <c r="AO1">
        <v>1755510901487</v>
      </c>
      <c r="AP1" t="s">
        <v>535</v>
      </c>
      <c r="AQ1" t="s">
        <v>536</v>
      </c>
      <c r="AR1">
        <v>0</v>
      </c>
      <c r="AS1">
        <v>1755852131429</v>
      </c>
      <c r="AT1" t="s">
        <v>537</v>
      </c>
      <c r="AU1" t="s">
        <v>538</v>
      </c>
      <c r="AV1">
        <v>0</v>
      </c>
      <c r="AW1">
        <v>1756437386563</v>
      </c>
      <c r="AX1" t="s">
        <v>539</v>
      </c>
      <c r="AY1" t="s">
        <v>540</v>
      </c>
      <c r="AZ1">
        <v>0</v>
      </c>
      <c r="BA1">
        <v>1776255005278</v>
      </c>
      <c r="BB1" t="s">
        <v>554</v>
      </c>
      <c r="BC1" t="s">
        <v>555</v>
      </c>
      <c r="BD1">
        <v>0</v>
      </c>
    </row>
  </sheetData>
  <phoneticPr fontId="9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60B5-7156-4E97-BA4F-3AEC57233222}">
  <dimension ref="A1:BD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56">
      <c r="A1">
        <v>1748594142597</v>
      </c>
      <c r="B1" t="s">
        <v>515</v>
      </c>
      <c r="C1" t="s">
        <v>516</v>
      </c>
      <c r="D1">
        <v>0</v>
      </c>
      <c r="E1">
        <v>1751009523093</v>
      </c>
      <c r="F1" t="s">
        <v>517</v>
      </c>
      <c r="G1" t="s">
        <v>518</v>
      </c>
      <c r="H1">
        <v>0</v>
      </c>
      <c r="I1">
        <v>1753065435431</v>
      </c>
      <c r="J1" t="s">
        <v>519</v>
      </c>
      <c r="K1" t="s">
        <v>520</v>
      </c>
      <c r="L1">
        <v>0</v>
      </c>
      <c r="M1">
        <v>1753680658368</v>
      </c>
      <c r="N1" t="s">
        <v>521</v>
      </c>
      <c r="O1" t="s">
        <v>522</v>
      </c>
      <c r="P1">
        <v>0</v>
      </c>
      <c r="Q1">
        <v>1753685255006</v>
      </c>
      <c r="R1" t="s">
        <v>523</v>
      </c>
      <c r="S1" t="s">
        <v>524</v>
      </c>
      <c r="T1">
        <v>0</v>
      </c>
      <c r="U1">
        <v>1754449508764</v>
      </c>
      <c r="V1" t="s">
        <v>525</v>
      </c>
      <c r="W1" t="s">
        <v>526</v>
      </c>
      <c r="X1">
        <v>0</v>
      </c>
      <c r="Y1">
        <v>1754619957274</v>
      </c>
      <c r="Z1" t="s">
        <v>527</v>
      </c>
      <c r="AA1" t="s">
        <v>528</v>
      </c>
      <c r="AB1">
        <v>0</v>
      </c>
      <c r="AC1">
        <v>1754638983833</v>
      </c>
      <c r="AD1" t="s">
        <v>529</v>
      </c>
      <c r="AE1" t="s">
        <v>530</v>
      </c>
      <c r="AF1">
        <v>0</v>
      </c>
      <c r="AG1">
        <v>1754726820057</v>
      </c>
      <c r="AH1" t="s">
        <v>531</v>
      </c>
      <c r="AI1" t="s">
        <v>532</v>
      </c>
      <c r="AJ1">
        <v>0</v>
      </c>
      <c r="AK1">
        <v>1755484783908</v>
      </c>
      <c r="AL1" t="s">
        <v>533</v>
      </c>
      <c r="AM1" t="s">
        <v>534</v>
      </c>
      <c r="AN1">
        <v>0</v>
      </c>
      <c r="AO1">
        <v>1755510901510</v>
      </c>
      <c r="AP1" t="s">
        <v>535</v>
      </c>
      <c r="AQ1" t="s">
        <v>536</v>
      </c>
      <c r="AR1">
        <v>0</v>
      </c>
      <c r="AS1">
        <v>1755852131434</v>
      </c>
      <c r="AT1" t="s">
        <v>537</v>
      </c>
      <c r="AU1" t="s">
        <v>538</v>
      </c>
      <c r="AV1">
        <v>0</v>
      </c>
      <c r="AW1">
        <v>1756437386595</v>
      </c>
      <c r="AX1" t="s">
        <v>539</v>
      </c>
      <c r="AY1" t="s">
        <v>540</v>
      </c>
      <c r="AZ1">
        <v>0</v>
      </c>
      <c r="BA1">
        <v>1776255005303</v>
      </c>
      <c r="BB1" t="s">
        <v>554</v>
      </c>
      <c r="BC1" t="s">
        <v>555</v>
      </c>
      <c r="BD1">
        <v>0</v>
      </c>
    </row>
  </sheetData>
  <phoneticPr fontId="9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7BCA-73DB-4131-AD8F-8D2A97F02278}">
  <dimension ref="A1:BD1"/>
  <sheetViews>
    <sheetView workbookViewId="0"/>
  </sheetViews>
  <sheetFormatPr defaultRowHeight="12"/>
  <cols>
    <col min="9" max="9" width="12.6640625" bestFit="1" customWidth="1"/>
    <col min="12" max="12" width="9" bestFit="1" customWidth="1"/>
    <col min="41" max="41" width="13.109375" bestFit="1" customWidth="1"/>
    <col min="45" max="45" width="12.5546875" bestFit="1" customWidth="1"/>
    <col min="48" max="48" width="8.88671875" bestFit="1" customWidth="1"/>
  </cols>
  <sheetData>
    <row r="1" spans="1:56">
      <c r="A1">
        <v>1748594142671</v>
      </c>
      <c r="B1" t="s">
        <v>515</v>
      </c>
      <c r="C1" t="s">
        <v>516</v>
      </c>
      <c r="D1">
        <v>0</v>
      </c>
      <c r="E1">
        <v>1751009523098</v>
      </c>
      <c r="F1" t="s">
        <v>517</v>
      </c>
      <c r="G1" t="s">
        <v>518</v>
      </c>
      <c r="H1">
        <v>0</v>
      </c>
      <c r="I1">
        <v>1753065435440</v>
      </c>
      <c r="J1" t="s">
        <v>519</v>
      </c>
      <c r="K1" t="s">
        <v>520</v>
      </c>
      <c r="L1">
        <v>0</v>
      </c>
      <c r="M1">
        <v>1753680658402</v>
      </c>
      <c r="N1" t="s">
        <v>521</v>
      </c>
      <c r="O1" t="s">
        <v>522</v>
      </c>
      <c r="P1">
        <v>0</v>
      </c>
      <c r="Q1">
        <v>1753685255177</v>
      </c>
      <c r="R1" t="s">
        <v>523</v>
      </c>
      <c r="S1" t="s">
        <v>524</v>
      </c>
      <c r="T1">
        <v>0</v>
      </c>
      <c r="U1">
        <v>1754449508764</v>
      </c>
      <c r="V1" t="s">
        <v>525</v>
      </c>
      <c r="W1" t="s">
        <v>526</v>
      </c>
      <c r="X1">
        <v>0</v>
      </c>
      <c r="Y1">
        <v>1754619957280</v>
      </c>
      <c r="Z1" t="s">
        <v>527</v>
      </c>
      <c r="AA1" t="s">
        <v>528</v>
      </c>
      <c r="AB1">
        <v>0</v>
      </c>
      <c r="AC1">
        <v>1754638983833</v>
      </c>
      <c r="AD1" t="s">
        <v>529</v>
      </c>
      <c r="AE1" t="s">
        <v>530</v>
      </c>
      <c r="AF1">
        <v>0</v>
      </c>
      <c r="AG1">
        <v>1754726820079</v>
      </c>
      <c r="AH1" t="s">
        <v>531</v>
      </c>
      <c r="AI1" t="s">
        <v>532</v>
      </c>
      <c r="AJ1">
        <v>0</v>
      </c>
      <c r="AK1">
        <v>1755484783920</v>
      </c>
      <c r="AL1" t="s">
        <v>533</v>
      </c>
      <c r="AM1" t="s">
        <v>534</v>
      </c>
      <c r="AN1">
        <v>0</v>
      </c>
      <c r="AO1">
        <v>1755510901529</v>
      </c>
      <c r="AP1" t="s">
        <v>535</v>
      </c>
      <c r="AQ1" t="s">
        <v>536</v>
      </c>
      <c r="AR1">
        <v>0</v>
      </c>
      <c r="AS1">
        <v>1755852131438</v>
      </c>
      <c r="AT1" t="s">
        <v>537</v>
      </c>
      <c r="AU1" t="s">
        <v>538</v>
      </c>
      <c r="AV1">
        <v>0</v>
      </c>
      <c r="AW1">
        <v>1756437386626</v>
      </c>
      <c r="AX1" t="s">
        <v>539</v>
      </c>
      <c r="AY1" t="s">
        <v>540</v>
      </c>
      <c r="AZ1">
        <v>0</v>
      </c>
      <c r="BA1">
        <v>1776255005327</v>
      </c>
      <c r="BB1" t="s">
        <v>554</v>
      </c>
      <c r="BC1" t="s">
        <v>555</v>
      </c>
      <c r="BD1">
        <v>0</v>
      </c>
    </row>
  </sheetData>
  <phoneticPr fontId="9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datasnipper xmlns="http://datasnipper" xmlMigrated="true" guid="73bce20d-4f7b-433c-8dc9-fc3130bd572b" revision="3"/>
</file>

<file path=customXml/item4.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5.xml><?xml version="1.0" encoding="utf-8"?>
<p:properties xmlns:p="http://schemas.microsoft.com/office/2006/metadata/properties" xmlns:xsi="http://www.w3.org/2001/XMLSchema-instance" xmlns:pc="http://schemas.microsoft.com/office/infopath/2007/PartnerControls">
  <documentManagement>
    <SharedWithUsers xmlns="aa9bf47e-7d7d-4d70-9d97-7b2a84c9bd53">
      <UserInfo>
        <DisplayName>Johnny ZZ Zhang</DisplayName>
        <AccountId>49</AccountId>
        <AccountType/>
      </UserInfo>
      <UserInfo>
        <DisplayName>Selene Li</DisplayName>
        <AccountId>117</AccountId>
        <AccountType/>
      </UserInfo>
    </SharedWithUsers>
  </documentManagement>
</p:properties>
</file>

<file path=customXml/itemProps1.xml><?xml version="1.0" encoding="utf-8"?>
<ds:datastoreItem xmlns:ds="http://schemas.openxmlformats.org/officeDocument/2006/customXml" ds:itemID="{70C0DDAA-AF1B-4A4A-AFCC-50E74A7FA1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81F21E-843E-4A52-9FF7-55312426CCC2}">
  <ds:schemaRefs>
    <ds:schemaRef ds:uri="http://schemas.microsoft.com/sharepoint/v3/contenttype/forms"/>
  </ds:schemaRefs>
</ds:datastoreItem>
</file>

<file path=customXml/itemProps3.xml><?xml version="1.0" encoding="utf-8"?>
<ds:datastoreItem xmlns:ds="http://schemas.openxmlformats.org/officeDocument/2006/customXml" ds:itemID="{40E57B9C-0E63-4E2F-9B61-6B42B9A89BD7}">
  <ds:schemaRefs>
    <ds:schemaRef ds:uri="http://datasnipper"/>
  </ds:schemaRefs>
</ds:datastoreItem>
</file>

<file path=customXml/itemProps4.xml><?xml version="1.0" encoding="utf-8"?>
<ds:datastoreItem xmlns:ds="http://schemas.openxmlformats.org/officeDocument/2006/customXml" ds:itemID="{3686B72A-51F0-4B33-88D7-1521ACC978D2}">
  <ds:schemaRefs>
    <ds:schemaRef ds:uri="http://datasnipperlegacy"/>
    <ds:schemaRef ds:uri=""/>
  </ds:schemaRefs>
</ds:datastoreItem>
</file>

<file path=customXml/itemProps5.xml><?xml version="1.0" encoding="utf-8"?>
<ds:datastoreItem xmlns:ds="http://schemas.openxmlformats.org/officeDocument/2006/customXml" ds:itemID="{72B85EFF-3607-43AA-AAD3-CCF4C26188C0}">
  <ds:schemaRefs>
    <ds:schemaRef ds:uri="http://schemas.microsoft.com/office/2006/metadata/properties"/>
    <ds:schemaRef ds:uri="http://schemas.microsoft.com/office/infopath/2007/PartnerControls"/>
    <ds:schemaRef ds:uri="aa9bf47e-7d7d-4d70-9d97-7b2a84c9bd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汇总</vt:lpstr>
      <vt:lpstr>Uexp.00 Lead</vt:lpstr>
      <vt:lpstr>VC.00 销售费用BKD</vt:lpstr>
      <vt:lpstr>VD.00 管理费用BKD</vt:lpstr>
      <vt:lpstr>VC&amp;VD.01.2 TOD 年审</vt:lpstr>
      <vt:lpstr>VC&amp;VD.01.2 TOD 预审+剩余期间</vt:lpstr>
      <vt:lpstr>VC&amp;VD.01.2 TOD 抽样工具输出</vt:lpstr>
      <vt:lpstr>VD.01.3 复核法律费用</vt:lpstr>
      <vt:lpstr>VC&amp;VD.01.4 截止性测试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Audit.V6.U_exp VC&amp;VD.0901</cp:keywords>
  <dc:description>B2EE6476-01BB-4A47-B969-699B73282C31</dc:description>
  <cp:lastModifiedBy>Dana D Li</cp:lastModifiedBy>
  <cp:revision/>
  <dcterms:created xsi:type="dcterms:W3CDTF">2019-11-17T09:56:00Z</dcterms:created>
  <dcterms:modified xsi:type="dcterms:W3CDTF">2026-04-17T06:01:05Z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A302EF344059403B925D29DE0A0B98A2</vt:lpwstr>
  </property>
  <property fmtid="{D5CDD505-2E9C-101B-9397-08002B2CF9AE}" pid="4" name="KSOProductBuildVer">
    <vt:lpwstr>2052-11.1.0.12358</vt:lpwstr>
  </property>
</Properties>
</file>
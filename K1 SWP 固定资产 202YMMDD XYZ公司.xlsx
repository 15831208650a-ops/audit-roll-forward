
<file path=[Content_Types].xml><?xml version="1.0" encoding="utf-8"?>
<Types xmlns="http://schemas.openxmlformats.org/package/2006/content-types">
  <Default Extension="xml" ContentType="application/xml"/>
  <Default Extension="jpeg" ContentType="image/jpeg"/>
  <Default Extension="JPG" ContentType="image/.jp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5" Type="http://schemas.microsoft.com/office/2006/relationships/ui/extensibility" Target="customUI/customUI.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040" windowHeight="9180" tabRatio="898" firstSheet="3" activeTab="11"/>
  </bookViews>
  <sheets>
    <sheet name="汇总 " sheetId="217" r:id="rId1"/>
    <sheet name="K.00 Lead Sheet" sheetId="225" r:id="rId2"/>
    <sheet name="K.01 Agree SL to GL" sheetId="226" r:id="rId3"/>
    <sheet name="FA list" sheetId="200" r:id="rId4"/>
    <sheet name="K.02.1 新增测试 " sheetId="218" r:id="rId5"/>
    <sheet name="K.02.1a 新增选样输出" sheetId="214" r:id="rId6"/>
    <sheet name="新增清单" sheetId="221" r:id="rId7"/>
    <sheet name="K.02.2 处置测试" sheetId="219" r:id="rId8"/>
    <sheet name="K.02.2a 处置选样输出" sheetId="215" r:id="rId9"/>
    <sheet name="SkywindSettingSheet" sheetId="170" state="veryHidden" r:id="rId10"/>
    <sheet name="处置清单" sheetId="222" r:id="rId11"/>
    <sheet name="K.03.1 SAP" sheetId="237" r:id="rId12"/>
    <sheet name="K.03.2 折旧测试TOD" sheetId="28" r:id="rId13"/>
    <sheet name="K.03.3 折旧政策复核" sheetId="238" r:id="rId14"/>
  </sheets>
  <definedNames>
    <definedName name="_____dod1" localSheetId="3" hidden="1">{#N/A,#N/A,TRUE,"CPRD";#N/A,#N/A,TRUE,"BCCPDR";#N/A,#N/A,TRUE,"EWRD";#N/A,#N/A,TRUE,"5100";#N/A,#N/A,TRUE,"5110"}</definedName>
    <definedName name="_____dod1" localSheetId="1" hidden="1">{#N/A,#N/A,TRUE,"CPRD";#N/A,#N/A,TRUE,"BCCPDR";#N/A,#N/A,TRUE,"EWRD";#N/A,#N/A,TRUE,"5100";#N/A,#N/A,TRUE,"5110"}</definedName>
    <definedName name="_____dod1" localSheetId="2" hidden="1">{#N/A,#N/A,TRUE,"CPRD";#N/A,#N/A,TRUE,"BCCPDR";#N/A,#N/A,TRUE,"EWRD";#N/A,#N/A,TRUE,"5100";#N/A,#N/A,TRUE,"5110"}</definedName>
    <definedName name="_____dod1" localSheetId="11" hidden="1">{#N/A,#N/A,TRUE,"CPRD";#N/A,#N/A,TRUE,"BCCPDR";#N/A,#N/A,TRUE,"EWRD";#N/A,#N/A,TRUE,"5100";#N/A,#N/A,TRUE,"5110"}</definedName>
    <definedName name="_____dod1" localSheetId="13" hidden="1">{#N/A,#N/A,TRUE,"CPRD";#N/A,#N/A,TRUE,"BCCPDR";#N/A,#N/A,TRUE,"EWRD";#N/A,#N/A,TRUE,"5100";#N/A,#N/A,TRUE,"5110"}</definedName>
    <definedName name="_____dod1" localSheetId="10" hidden="1">{#N/A,#N/A,TRUE,"CPRD";#N/A,#N/A,TRUE,"BCCPDR";#N/A,#N/A,TRUE,"EWRD";#N/A,#N/A,TRUE,"5100";#N/A,#N/A,TRUE,"5110"}</definedName>
    <definedName name="_____dod1" localSheetId="6" hidden="1">{#N/A,#N/A,TRUE,"CPRD";#N/A,#N/A,TRUE,"BCCPDR";#N/A,#N/A,TRUE,"EWRD";#N/A,#N/A,TRUE,"5100";#N/A,#N/A,TRUE,"5110"}</definedName>
    <definedName name="_____dod1" hidden="1">{#N/A,#N/A,TRUE,"CPRD";#N/A,#N/A,TRUE,"BCCPDR";#N/A,#N/A,TRUE,"EWRD";#N/A,#N/A,TRUE,"5100";#N/A,#N/A,TRUE,"5110"}</definedName>
    <definedName name="____dod1" localSheetId="3" hidden="1">{#N/A,#N/A,TRUE,"CPRD";#N/A,#N/A,TRUE,"BCCPDR";#N/A,#N/A,TRUE,"EWRD";#N/A,#N/A,TRUE,"5100";#N/A,#N/A,TRUE,"5110"}</definedName>
    <definedName name="____dod1" localSheetId="1" hidden="1">{#N/A,#N/A,TRUE,"CPRD";#N/A,#N/A,TRUE,"BCCPDR";#N/A,#N/A,TRUE,"EWRD";#N/A,#N/A,TRUE,"5100";#N/A,#N/A,TRUE,"5110"}</definedName>
    <definedName name="____dod1" localSheetId="2" hidden="1">{#N/A,#N/A,TRUE,"CPRD";#N/A,#N/A,TRUE,"BCCPDR";#N/A,#N/A,TRUE,"EWRD";#N/A,#N/A,TRUE,"5100";#N/A,#N/A,TRUE,"5110"}</definedName>
    <definedName name="____dod1" localSheetId="11" hidden="1">{#N/A,#N/A,TRUE,"CPRD";#N/A,#N/A,TRUE,"BCCPDR";#N/A,#N/A,TRUE,"EWRD";#N/A,#N/A,TRUE,"5100";#N/A,#N/A,TRUE,"5110"}</definedName>
    <definedName name="____dod1" localSheetId="13" hidden="1">{#N/A,#N/A,TRUE,"CPRD";#N/A,#N/A,TRUE,"BCCPDR";#N/A,#N/A,TRUE,"EWRD";#N/A,#N/A,TRUE,"5100";#N/A,#N/A,TRUE,"5110"}</definedName>
    <definedName name="____dod1" localSheetId="10" hidden="1">{#N/A,#N/A,TRUE,"CPRD";#N/A,#N/A,TRUE,"BCCPDR";#N/A,#N/A,TRUE,"EWRD";#N/A,#N/A,TRUE,"5100";#N/A,#N/A,TRUE,"5110"}</definedName>
    <definedName name="____dod1" localSheetId="6" hidden="1">{#N/A,#N/A,TRUE,"CPRD";#N/A,#N/A,TRUE,"BCCPDR";#N/A,#N/A,TRUE,"EWRD";#N/A,#N/A,TRUE,"5100";#N/A,#N/A,TRUE,"5110"}</definedName>
    <definedName name="____dod1" hidden="1">{#N/A,#N/A,TRUE,"CPRD";#N/A,#N/A,TRUE,"BCCPDR";#N/A,#N/A,TRUE,"EWRD";#N/A,#N/A,TRUE,"5100";#N/A,#N/A,TRUE,"5110"}</definedName>
    <definedName name="___dod1" localSheetId="3" hidden="1">{#N/A,#N/A,TRUE,"CPRD";#N/A,#N/A,TRUE,"BCCPDR";#N/A,#N/A,TRUE,"EWRD";#N/A,#N/A,TRUE,"5100";#N/A,#N/A,TRUE,"5110"}</definedName>
    <definedName name="___dod1" localSheetId="1" hidden="1">{#N/A,#N/A,TRUE,"CPRD";#N/A,#N/A,TRUE,"BCCPDR";#N/A,#N/A,TRUE,"EWRD";#N/A,#N/A,TRUE,"5100";#N/A,#N/A,TRUE,"5110"}</definedName>
    <definedName name="___dod1" localSheetId="2" hidden="1">{#N/A,#N/A,TRUE,"CPRD";#N/A,#N/A,TRUE,"BCCPDR";#N/A,#N/A,TRUE,"EWRD";#N/A,#N/A,TRUE,"5100";#N/A,#N/A,TRUE,"5110"}</definedName>
    <definedName name="___dod1" localSheetId="11" hidden="1">{#N/A,#N/A,TRUE,"CPRD";#N/A,#N/A,TRUE,"BCCPDR";#N/A,#N/A,TRUE,"EWRD";#N/A,#N/A,TRUE,"5100";#N/A,#N/A,TRUE,"5110"}</definedName>
    <definedName name="___dod1" localSheetId="13" hidden="1">{#N/A,#N/A,TRUE,"CPRD";#N/A,#N/A,TRUE,"BCCPDR";#N/A,#N/A,TRUE,"EWRD";#N/A,#N/A,TRUE,"5100";#N/A,#N/A,TRUE,"5110"}</definedName>
    <definedName name="___dod1" localSheetId="10" hidden="1">{#N/A,#N/A,TRUE,"CPRD";#N/A,#N/A,TRUE,"BCCPDR";#N/A,#N/A,TRUE,"EWRD";#N/A,#N/A,TRUE,"5100";#N/A,#N/A,TRUE,"5110"}</definedName>
    <definedName name="___dod1" localSheetId="6" hidden="1">{#N/A,#N/A,TRUE,"CPRD";#N/A,#N/A,TRUE,"BCCPDR";#N/A,#N/A,TRUE,"EWRD";#N/A,#N/A,TRUE,"5100";#N/A,#N/A,TRUE,"5110"}</definedName>
    <definedName name="___dod1" hidden="1">{#N/A,#N/A,TRUE,"CPRD";#N/A,#N/A,TRUE,"BCCPDR";#N/A,#N/A,TRUE,"EWRD";#N/A,#N/A,TRUE,"5100";#N/A,#N/A,TRUE,"5110"}</definedName>
    <definedName name="___dog1" localSheetId="3" hidden="1">{#N/A,#N/A,TRUE,"CPRD";#N/A,#N/A,TRUE,"BCCPDR";#N/A,#N/A,TRUE,"EWRD";#N/A,#N/A,TRUE,"5100";#N/A,#N/A,TRUE,"5110"}</definedName>
    <definedName name="___dog1" localSheetId="1" hidden="1">{#N/A,#N/A,TRUE,"CPRD";#N/A,#N/A,TRUE,"BCCPDR";#N/A,#N/A,TRUE,"EWRD";#N/A,#N/A,TRUE,"5100";#N/A,#N/A,TRUE,"5110"}</definedName>
    <definedName name="___dog1" localSheetId="2" hidden="1">{#N/A,#N/A,TRUE,"CPRD";#N/A,#N/A,TRUE,"BCCPDR";#N/A,#N/A,TRUE,"EWRD";#N/A,#N/A,TRUE,"5100";#N/A,#N/A,TRUE,"5110"}</definedName>
    <definedName name="___dog1" localSheetId="11" hidden="1">{#N/A,#N/A,TRUE,"CPRD";#N/A,#N/A,TRUE,"BCCPDR";#N/A,#N/A,TRUE,"EWRD";#N/A,#N/A,TRUE,"5100";#N/A,#N/A,TRUE,"5110"}</definedName>
    <definedName name="___dog1" localSheetId="13" hidden="1">{#N/A,#N/A,TRUE,"CPRD";#N/A,#N/A,TRUE,"BCCPDR";#N/A,#N/A,TRUE,"EWRD";#N/A,#N/A,TRUE,"5100";#N/A,#N/A,TRUE,"5110"}</definedName>
    <definedName name="___dog1" localSheetId="10" hidden="1">{#N/A,#N/A,TRUE,"CPRD";#N/A,#N/A,TRUE,"BCCPDR";#N/A,#N/A,TRUE,"EWRD";#N/A,#N/A,TRUE,"5100";#N/A,#N/A,TRUE,"5110"}</definedName>
    <definedName name="___dog1" localSheetId="6" hidden="1">{#N/A,#N/A,TRUE,"CPRD";#N/A,#N/A,TRUE,"BCCPDR";#N/A,#N/A,TRUE,"EWRD";#N/A,#N/A,TRUE,"5100";#N/A,#N/A,TRUE,"5110"}</definedName>
    <definedName name="___dog1" hidden="1">{#N/A,#N/A,TRUE,"CPRD";#N/A,#N/A,TRUE,"BCCPDR";#N/A,#N/A,TRUE,"EWRD";#N/A,#N/A,TRUE,"5100";#N/A,#N/A,TRUE,"5110"}</definedName>
    <definedName name="__123Graph_A" hidden="1">#REF!</definedName>
    <definedName name="__123Graph_ACURRENT" hidden="1">#REF!</definedName>
    <definedName name="__123Graph_AGraph1" hidden="1">#REF!</definedName>
    <definedName name="__123Graph_ANETPROFIT2" hidden="1">#REF!</definedName>
    <definedName name="__123Graph_APROJECT" hidden="1">#REF!</definedName>
    <definedName name="__123Graph_B" hidden="1">#REF!</definedName>
    <definedName name="__123Graph_BGraph1" hidden="1">#REF!</definedName>
    <definedName name="__123Graph_C" hidden="1">#REF!</definedName>
    <definedName name="__123Graph_CCURRENT" hidden="1">#REF!</definedName>
    <definedName name="__123Graph_CGraph1" hidden="1">#REF!</definedName>
    <definedName name="__123Graph_D" hidden="1">#REF!</definedName>
    <definedName name="__123Graph_DCURRENT" hidden="1">#REF!</definedName>
    <definedName name="__123Graph_DGraph1" hidden="1">#REF!</definedName>
    <definedName name="__123Graph_E" hidden="1">#REF!</definedName>
    <definedName name="__123Graph_ECURRENT" hidden="1">#REF!</definedName>
    <definedName name="__123Graph_EGraph1" hidden="1">#REF!</definedName>
    <definedName name="__123Graph_F" hidden="1">#REF!</definedName>
    <definedName name="__123Graph_FCURRENT" hidden="1">#REF!</definedName>
    <definedName name="__123Graph_LBL_ANETPROFIT2" hidden="1">#REF!</definedName>
    <definedName name="__123Graph_LBL_APROJECT" hidden="1">#REF!</definedName>
    <definedName name="__123Graph_X" hidden="1">#REF!</definedName>
    <definedName name="__123Graph_XGraph1" hidden="1">#REF!</definedName>
    <definedName name="__A11" localSheetId="13" hidden="1">{#N/A,#N/A,FALSE,"Umsatz 99";#N/A,#N/A,FALSE,"ER 99 "}</definedName>
    <definedName name="__A11" hidden="1">{#N/A,#N/A,FALSE,"Umsatz 99";#N/A,#N/A,FALSE,"ER 99 "}</definedName>
    <definedName name="__c" localSheetId="13" hidden="1">{"Fiesta Facer Page",#N/A,FALSE,"Q_C_S";"Fiesta Main Page",#N/A,FALSE,"V_L";"Fiesta 95BP Struct",#N/A,FALSE,"StructBP";"Fiesta Post 95BP Struct",#N/A,FALSE,"AdjStructBP"}</definedName>
    <definedName name="__c" hidden="1">{"Fiesta Facer Page",#N/A,FALSE,"Q_C_S";"Fiesta Main Page",#N/A,FALSE,"V_L";"Fiesta 95BP Struct",#N/A,FALSE,"StructBP";"Fiesta Post 95BP Struct",#N/A,FALSE,"AdjStructBP"}</definedName>
    <definedName name="__dod1" localSheetId="3" hidden="1">{#N/A,#N/A,TRUE,"CPRD";#N/A,#N/A,TRUE,"BCCPDR";#N/A,#N/A,TRUE,"EWRD";#N/A,#N/A,TRUE,"5100";#N/A,#N/A,TRUE,"5110"}</definedName>
    <definedName name="__dod1" localSheetId="1" hidden="1">{#N/A,#N/A,TRUE,"CPRD";#N/A,#N/A,TRUE,"BCCPDR";#N/A,#N/A,TRUE,"EWRD";#N/A,#N/A,TRUE,"5100";#N/A,#N/A,TRUE,"5110"}</definedName>
    <definedName name="__dod1" localSheetId="2" hidden="1">{#N/A,#N/A,TRUE,"CPRD";#N/A,#N/A,TRUE,"BCCPDR";#N/A,#N/A,TRUE,"EWRD";#N/A,#N/A,TRUE,"5100";#N/A,#N/A,TRUE,"5110"}</definedName>
    <definedName name="__dod1" localSheetId="11" hidden="1">{#N/A,#N/A,TRUE,"CPRD";#N/A,#N/A,TRUE,"BCCPDR";#N/A,#N/A,TRUE,"EWRD";#N/A,#N/A,TRUE,"5100";#N/A,#N/A,TRUE,"5110"}</definedName>
    <definedName name="__dod1" localSheetId="13" hidden="1">{#N/A,#N/A,TRUE,"CPRD";#N/A,#N/A,TRUE,"BCCPDR";#N/A,#N/A,TRUE,"EWRD";#N/A,#N/A,TRUE,"5100";#N/A,#N/A,TRUE,"5110"}</definedName>
    <definedName name="__dod1" localSheetId="10" hidden="1">{#N/A,#N/A,TRUE,"CPRD";#N/A,#N/A,TRUE,"BCCPDR";#N/A,#N/A,TRUE,"EWRD";#N/A,#N/A,TRUE,"5100";#N/A,#N/A,TRUE,"5110"}</definedName>
    <definedName name="__dod1" localSheetId="6" hidden="1">{#N/A,#N/A,TRUE,"CPRD";#N/A,#N/A,TRUE,"BCCPDR";#N/A,#N/A,TRUE,"EWRD";#N/A,#N/A,TRUE,"5100";#N/A,#N/A,TRUE,"5110"}</definedName>
    <definedName name="__dod1" hidden="1">{#N/A,#N/A,TRUE,"CPRD";#N/A,#N/A,TRUE,"BCCPDR";#N/A,#N/A,TRUE,"EWRD";#N/A,#N/A,TRUE,"5100";#N/A,#N/A,TRUE,"5110"}</definedName>
    <definedName name="__dog1" localSheetId="3" hidden="1">{#N/A,#N/A,TRUE,"CPRD";#N/A,#N/A,TRUE,"BCCPDR";#N/A,#N/A,TRUE,"EWRD";#N/A,#N/A,TRUE,"5100";#N/A,#N/A,TRUE,"5110"}</definedName>
    <definedName name="__dog1" localSheetId="1" hidden="1">{#N/A,#N/A,TRUE,"CPRD";#N/A,#N/A,TRUE,"BCCPDR";#N/A,#N/A,TRUE,"EWRD";#N/A,#N/A,TRUE,"5100";#N/A,#N/A,TRUE,"5110"}</definedName>
    <definedName name="__dog1" localSheetId="2" hidden="1">{#N/A,#N/A,TRUE,"CPRD";#N/A,#N/A,TRUE,"BCCPDR";#N/A,#N/A,TRUE,"EWRD";#N/A,#N/A,TRUE,"5100";#N/A,#N/A,TRUE,"5110"}</definedName>
    <definedName name="__dog1" localSheetId="11" hidden="1">{#N/A,#N/A,TRUE,"CPRD";#N/A,#N/A,TRUE,"BCCPDR";#N/A,#N/A,TRUE,"EWRD";#N/A,#N/A,TRUE,"5100";#N/A,#N/A,TRUE,"5110"}</definedName>
    <definedName name="__dog1" localSheetId="13" hidden="1">{#N/A,#N/A,TRUE,"CPRD";#N/A,#N/A,TRUE,"BCCPDR";#N/A,#N/A,TRUE,"EWRD";#N/A,#N/A,TRUE,"5100";#N/A,#N/A,TRUE,"5110"}</definedName>
    <definedName name="__dog1" localSheetId="10" hidden="1">{#N/A,#N/A,TRUE,"CPRD";#N/A,#N/A,TRUE,"BCCPDR";#N/A,#N/A,TRUE,"EWRD";#N/A,#N/A,TRUE,"5100";#N/A,#N/A,TRUE,"5110"}</definedName>
    <definedName name="__dog1" localSheetId="6" hidden="1">{#N/A,#N/A,TRUE,"CPRD";#N/A,#N/A,TRUE,"BCCPDR";#N/A,#N/A,TRUE,"EWRD";#N/A,#N/A,TRUE,"5100";#N/A,#N/A,TRUE,"5110"}</definedName>
    <definedName name="__dog1" hidden="1">{#N/A,#N/A,TRUE,"CPRD";#N/A,#N/A,TRUE,"BCCPDR";#N/A,#N/A,TRUE,"EWRD";#N/A,#N/A,TRUE,"5100";#N/A,#N/A,TRUE,"5110"}</definedName>
    <definedName name="__FDS_HYPERLINK_TOGGLE_STATE__" hidden="1">"ON"</definedName>
    <definedName name="__H200" localSheetId="13" hidden="1">{#N/A,#N/A,FALSE,"ABB HOLDING LTD"}</definedName>
    <definedName name="__H200" hidden="1">{#N/A,#N/A,FALSE,"ABB HOLDING LTD"}</definedName>
    <definedName name="__IntlFixup" hidden="1">TRUE</definedName>
    <definedName name="_1" hidden="1">#REF!</definedName>
    <definedName name="_1__123Graph_ACHART_3" hidden="1">#REF!</definedName>
    <definedName name="_12c_" localSheetId="13" hidden="1">{"Fiesta Facer Page",#N/A,FALSE,"Q_C_S";"Fiesta Main Page",#N/A,FALSE,"V_L";"Fiesta 95BP Struct",#N/A,FALSE,"StructBP";"Fiesta Post 95BP Struct",#N/A,FALSE,"AdjStructBP"}</definedName>
    <definedName name="_12c_" hidden="1">{"Fiesta Facer Page",#N/A,FALSE,"Q_C_S";"Fiesta Main Page",#N/A,FALSE,"V_L";"Fiesta 95BP Struct",#N/A,FALSE,"StructBP";"Fiesta Post 95BP Struct",#N/A,FALSE,"AdjStructBP"}</definedName>
    <definedName name="_12H200_" localSheetId="13" hidden="1">{#N/A,#N/A,FALSE,"ABB HOLDING LTD"}</definedName>
    <definedName name="_12H200_" hidden="1">{#N/A,#N/A,FALSE,"ABB HOLDING LTD"}</definedName>
    <definedName name="_15wrn.²Ä1­Ó¤ë1_Ü20¤H." localSheetId="11" hidden="1">{#N/A,#N/A,FALSE,"²Ä1­Ó¤ë"}</definedName>
    <definedName name="_15wrn.²Ä1­Ó¤ë1_Ü20¤H." localSheetId="13" hidden="1">{#N/A,#N/A,FALSE,"²Ä1­Ó¤ë"}</definedName>
    <definedName name="_15wrn.²Ä1­Ó¤ë1_Ü20¤H." hidden="1">{#N/A,#N/A,FALSE,"²Ä1­Ó¤ë"}</definedName>
    <definedName name="_16wrn.²Ä1­Ó¤ë1_Ü20¤H." localSheetId="11" hidden="1">{#N/A,#N/A,FALSE,"²Ä1­Ó¤ë"}</definedName>
    <definedName name="_16wrn.²Ä1­Ó¤ë1_Ü20¤H." localSheetId="13" hidden="1">{#N/A,#N/A,FALSE,"²Ä1­Ó¤ë"}</definedName>
    <definedName name="_16wrn.²Ä1­Ó¤ë1_Ü20¤H." hidden="1">{#N/A,#N/A,FALSE,"²Ä1­Ó¤ë"}</definedName>
    <definedName name="_18wrn.²Ä1­Ó¤ë1_Ü20¤H." localSheetId="13" hidden="1">{#N/A,#N/A,FALSE,"²Ä1­Ó¤ë"}</definedName>
    <definedName name="_18wrn.²Ä1­Ó¤ë1_Ü20¤H." hidden="1">{#N/A,#N/A,FALSE,"²Ä1­Ó¤ë"}</definedName>
    <definedName name="_2__123Graph_BCHART_2" hidden="1">#REF!</definedName>
    <definedName name="_23_0_S" hidden="1">#REF!</definedName>
    <definedName name="_24_0_Table2_" hidden="1">#REF!</definedName>
    <definedName name="_25_0_Table2_" hidden="1">#REF!</definedName>
    <definedName name="_3__123Graph_BCHART_3" hidden="1">#REF!</definedName>
    <definedName name="_4__123Graph_CCHART_3" hidden="1">#REF!</definedName>
    <definedName name="_4wrn.²Ä1­Ó¤ë1_Ü20¤H." localSheetId="13" hidden="1">{#N/A,#N/A,FALSE,"²Ä1­Ó¤ë"}</definedName>
    <definedName name="_4wrn.²Ä1­Ó¤ë1_Ü20¤H." hidden="1">{#N/A,#N/A,FALSE,"²Ä1­Ó¤ë"}</definedName>
    <definedName name="_5__123Graph_DCHART_2" hidden="1">#REF!</definedName>
    <definedName name="_6__123Graph_DCHART_3" hidden="1">#REF!</definedName>
    <definedName name="_6_0_Table2_" hidden="1">#REF!</definedName>
    <definedName name="_6A11_" localSheetId="13" hidden="1">{#N/A,#N/A,FALSE,"Umsatz 99";#N/A,#N/A,FALSE,"ER 99 "}</definedName>
    <definedName name="_6A11_" hidden="1">{#N/A,#N/A,FALSE,"Umsatz 99";#N/A,#N/A,FALSE,"ER 99 "}</definedName>
    <definedName name="_a1" localSheetId="13" hidden="1">{#N/A,#N/A,FALSE,"Virgin Flightdeck"}</definedName>
    <definedName name="_a1" hidden="1">{#N/A,#N/A,FALSE,"Virgin Flightdeck"}</definedName>
    <definedName name="_A11" localSheetId="13" hidden="1">{#N/A,#N/A,FALSE,"Umsatz 99";#N/A,#N/A,FALSE,"ER 99 "}</definedName>
    <definedName name="_A11" hidden="1">{#N/A,#N/A,FALSE,"Umsatz 99";#N/A,#N/A,FALSE,"ER 99 "}</definedName>
    <definedName name="_a2" localSheetId="13" hidden="1">{#N/A,#N/A,FALSE,"Virgin Flightdeck"}</definedName>
    <definedName name="_a2" hidden="1">{#N/A,#N/A,FALSE,"Virgin Flightdeck"}</definedName>
    <definedName name="_a3" localSheetId="13" hidden="1">{#N/A,#N/A,FALSE,"Virgin Flightdeck"}</definedName>
    <definedName name="_a3" hidden="1">{#N/A,#N/A,FALSE,"Virgin Flightdeck"}</definedName>
    <definedName name="_b2" localSheetId="13" hidden="1">{#N/A,#N/A,FALSE,"Virgin Flightdeck"}</definedName>
    <definedName name="_b2" hidden="1">{#N/A,#N/A,FALSE,"Virgin Flightdeck"}</definedName>
    <definedName name="_b3" localSheetId="13" hidden="1">{#N/A,#N/A,FALSE,"Virgin Flightdeck"}</definedName>
    <definedName name="_b3" hidden="1">{#N/A,#N/A,FALSE,"Virgin Flightdeck"}</definedName>
    <definedName name="_c" localSheetId="13" hidden="1">{"Fiesta Facer Page",#N/A,FALSE,"Q_C_S";"Fiesta Main Page",#N/A,FALSE,"V_L";"Fiesta 95BP Struct",#N/A,FALSE,"StructBP";"Fiesta Post 95BP Struct",#N/A,FALSE,"AdjStructBP"}</definedName>
    <definedName name="_c" hidden="1">{"Fiesta Facer Page",#N/A,FALSE,"Q_C_S";"Fiesta Main Page",#N/A,FALSE,"V_L";"Fiesta 95BP Struct",#N/A,FALSE,"StructBP";"Fiesta Post 95BP Struct",#N/A,FALSE,"AdjStructBP"}</definedName>
    <definedName name="_Dist_Bin" hidden="1">#REF!</definedName>
    <definedName name="_dod1" localSheetId="3" hidden="1">{#N/A,#N/A,TRUE,"CPRD";#N/A,#N/A,TRUE,"BCCPDR";#N/A,#N/A,TRUE,"EWRD";#N/A,#N/A,TRUE,"5100";#N/A,#N/A,TRUE,"5110"}</definedName>
    <definedName name="_dod1" localSheetId="1" hidden="1">{#N/A,#N/A,TRUE,"CPRD";#N/A,#N/A,TRUE,"BCCPDR";#N/A,#N/A,TRUE,"EWRD";#N/A,#N/A,TRUE,"5100";#N/A,#N/A,TRUE,"5110"}</definedName>
    <definedName name="_dod1" localSheetId="2" hidden="1">{#N/A,#N/A,TRUE,"CPRD";#N/A,#N/A,TRUE,"BCCPDR";#N/A,#N/A,TRUE,"EWRD";#N/A,#N/A,TRUE,"5100";#N/A,#N/A,TRUE,"5110"}</definedName>
    <definedName name="_dod1" localSheetId="11" hidden="1">{#N/A,#N/A,TRUE,"CPRD";#N/A,#N/A,TRUE,"BCCPDR";#N/A,#N/A,TRUE,"EWRD";#N/A,#N/A,TRUE,"5100";#N/A,#N/A,TRUE,"5110"}</definedName>
    <definedName name="_dod1" localSheetId="13" hidden="1">{#N/A,#N/A,TRUE,"CPRD";#N/A,#N/A,TRUE,"BCCPDR";#N/A,#N/A,TRUE,"EWRD";#N/A,#N/A,TRUE,"5100";#N/A,#N/A,TRUE,"5110"}</definedName>
    <definedName name="_dod1" localSheetId="10" hidden="1">{#N/A,#N/A,TRUE,"CPRD";#N/A,#N/A,TRUE,"BCCPDR";#N/A,#N/A,TRUE,"EWRD";#N/A,#N/A,TRUE,"5100";#N/A,#N/A,TRUE,"5110"}</definedName>
    <definedName name="_dod1" localSheetId="6" hidden="1">{#N/A,#N/A,TRUE,"CPRD";#N/A,#N/A,TRUE,"BCCPDR";#N/A,#N/A,TRUE,"EWRD";#N/A,#N/A,TRUE,"5100";#N/A,#N/A,TRUE,"5110"}</definedName>
    <definedName name="_dod1" hidden="1">{#N/A,#N/A,TRUE,"CPRD";#N/A,#N/A,TRUE,"BCCPDR";#N/A,#N/A,TRUE,"EWRD";#N/A,#N/A,TRUE,"5100";#N/A,#N/A,TRUE,"5110"}</definedName>
    <definedName name="_dog1" localSheetId="3" hidden="1">{#N/A,#N/A,TRUE,"CPRD";#N/A,#N/A,TRUE,"BCCPDR";#N/A,#N/A,TRUE,"EWRD";#N/A,#N/A,TRUE,"5100";#N/A,#N/A,TRUE,"5110"}</definedName>
    <definedName name="_dog1" localSheetId="1" hidden="1">{#N/A,#N/A,TRUE,"CPRD";#N/A,#N/A,TRUE,"BCCPDR";#N/A,#N/A,TRUE,"EWRD";#N/A,#N/A,TRUE,"5100";#N/A,#N/A,TRUE,"5110"}</definedName>
    <definedName name="_dog1" localSheetId="2" hidden="1">{#N/A,#N/A,TRUE,"CPRD";#N/A,#N/A,TRUE,"BCCPDR";#N/A,#N/A,TRUE,"EWRD";#N/A,#N/A,TRUE,"5100";#N/A,#N/A,TRUE,"5110"}</definedName>
    <definedName name="_dog1" localSheetId="11" hidden="1">{#N/A,#N/A,TRUE,"CPRD";#N/A,#N/A,TRUE,"BCCPDR";#N/A,#N/A,TRUE,"EWRD";#N/A,#N/A,TRUE,"5100";#N/A,#N/A,TRUE,"5110"}</definedName>
    <definedName name="_dog1" localSheetId="13" hidden="1">{#N/A,#N/A,TRUE,"CPRD";#N/A,#N/A,TRUE,"BCCPDR";#N/A,#N/A,TRUE,"EWRD";#N/A,#N/A,TRUE,"5100";#N/A,#N/A,TRUE,"5110"}</definedName>
    <definedName name="_dog1" localSheetId="10" hidden="1">{#N/A,#N/A,TRUE,"CPRD";#N/A,#N/A,TRUE,"BCCPDR";#N/A,#N/A,TRUE,"EWRD";#N/A,#N/A,TRUE,"5100";#N/A,#N/A,TRUE,"5110"}</definedName>
    <definedName name="_dog1" localSheetId="6" hidden="1">{#N/A,#N/A,TRUE,"CPRD";#N/A,#N/A,TRUE,"BCCPDR";#N/A,#N/A,TRUE,"EWRD";#N/A,#N/A,TRUE,"5100";#N/A,#N/A,TRUE,"5110"}</definedName>
    <definedName name="_dog1" hidden="1">{#N/A,#N/A,TRUE,"CPRD";#N/A,#N/A,TRUE,"BCCPDR";#N/A,#N/A,TRUE,"EWRD";#N/A,#N/A,TRUE,"5100";#N/A,#N/A,TRUE,"5110"}</definedName>
    <definedName name="_Fill" localSheetId="3" hidden="1">#REF!</definedName>
    <definedName name="_Fill" localSheetId="1" hidden="1">'K.00 Lead Sheet'!#REF!</definedName>
    <definedName name="_Fill" localSheetId="2" hidden="1">#REF!</definedName>
    <definedName name="_Fill" hidden="1">#REF!</definedName>
    <definedName name="_xlnm._FilterDatabase" localSheetId="3" hidden="1">'FA list'!$A$2:$AI$2</definedName>
    <definedName name="_xlnm._FilterDatabase" localSheetId="1" hidden="1">'K.00 Lead Sheet'!#REF!</definedName>
    <definedName name="_xlnm._FilterDatabase" localSheetId="2" hidden="1">#REF!</definedName>
    <definedName name="_xlnm._FilterDatabase" localSheetId="0" hidden="1">'汇总 '!$B$5:$H$19</definedName>
    <definedName name="_xlnm._FilterDatabase" hidden="1">#REF!</definedName>
    <definedName name="_h2" localSheetId="13" hidden="1">{#N/A,#N/A,FALSE,"Virgin Flightdeck"}</definedName>
    <definedName name="_h2" hidden="1">{#N/A,#N/A,FALSE,"Virgin Flightdeck"}</definedName>
    <definedName name="_H200" localSheetId="13" hidden="1">{#N/A,#N/A,FALSE,"ABB HOLDING LTD"}</definedName>
    <definedName name="_H200" hidden="1">{#N/A,#N/A,FALSE,"ABB HOLDING LTD"}</definedName>
    <definedName name="_h3" localSheetId="13" hidden="1">{#N/A,#N/A,FALSE,"Virgin Flightdeck"}</definedName>
    <definedName name="_h3" hidden="1">{#N/A,#N/A,FALSE,"Virgin Flightdeck"}</definedName>
    <definedName name="_K7" localSheetId="13" hidden="1">{#N/A,#N/A,FALSE,"Sheet1"}</definedName>
    <definedName name="_K7" hidden="1">{#N/A,#N/A,FALSE,"Sheet1"}</definedName>
    <definedName name="_Key1" localSheetId="3" hidden="1">#REF!</definedName>
    <definedName name="_Key1" localSheetId="1" hidden="1">'K.00 Lead Sheet'!#REF!</definedName>
    <definedName name="_Key1" localSheetId="2" hidden="1">#REF!</definedName>
    <definedName name="_Key1" hidden="1">#REF!</definedName>
    <definedName name="_Key2" hidden="1">#REF!</definedName>
    <definedName name="_Key3" hidden="1">#REF!</definedName>
    <definedName name="_O1" localSheetId="11" hidden="1">{#N/A,#N/A,FALSE,"970301";#N/A,#N/A,FALSE,"970302";#N/A,#N/A,FALSE,"970303";#N/A,#N/A,FALSE,"970304";#N/A,#N/A,FALSE,"COM1";#N/A,#N/A,FALSE,"COM2"}</definedName>
    <definedName name="_O1" localSheetId="13" hidden="1">{#N/A,#N/A,FALSE,"970301";#N/A,#N/A,FALSE,"970302";#N/A,#N/A,FALSE,"970303";#N/A,#N/A,FALSE,"970304";#N/A,#N/A,FALSE,"COM1";#N/A,#N/A,FALSE,"COM2"}</definedName>
    <definedName name="_O1" hidden="1">{#N/A,#N/A,FALSE,"970301";#N/A,#N/A,FALSE,"970302";#N/A,#N/A,FALSE,"970303";#N/A,#N/A,FALSE,"970304";#N/A,#N/A,FALSE,"COM1";#N/A,#N/A,FALSE,"COM2"}</definedName>
    <definedName name="_OP2" localSheetId="13" hidden="1">{#N/A,#N/A,FALSE,"PLEDGE";#N/A,#N/A,FALSE,"GLADE";#N/A,#N/A,FALSE,"GREEN BIRD";#N/A,#N/A,FALSE,"MR. MUSCLE";#N/A,#N/A,FALSE,"TOILET DUCK";#N/A,#N/A,FALSE,"Other Home Care";#N/A,#N/A,FALSE,"RED BIRD";#N/A,#N/A,FALSE,"SHANGHAI";#N/A,#N/A,FALSE,"RAID";#N/A,#N/A,FALSE,"OFF";#N/A,#N/A,FALSE,"SEAGULL";#N/A,#N/A,FALSE,"HALSA";#N/A,#N/A,FALSE,"SOFT SENSE";#N/A,#N/A,FALSE,"TOTAL"}</definedName>
    <definedName name="_OP2" hidden="1">{#N/A,#N/A,FALSE,"PLEDGE";#N/A,#N/A,FALSE,"GLADE";#N/A,#N/A,FALSE,"GREEN BIRD";#N/A,#N/A,FALSE,"MR. MUSCLE";#N/A,#N/A,FALSE,"TOILET DUCK";#N/A,#N/A,FALSE,"Other Home Care";#N/A,#N/A,FALSE,"RED BIRD";#N/A,#N/A,FALSE,"SHANGHAI";#N/A,#N/A,FALSE,"RAID";#N/A,#N/A,FALSE,"OFF";#N/A,#N/A,FALSE,"SEAGULL";#N/A,#N/A,FALSE,"HALSA";#N/A,#N/A,FALSE,"SOFT SENSE";#N/A,#N/A,FALSE,"TOTAL"}</definedName>
    <definedName name="_Order1" hidden="1">255</definedName>
    <definedName name="_Order2" hidden="1">255</definedName>
    <definedName name="_sd2" localSheetId="13" hidden="1">{"CSC_1",#N/A,FALSE,"CSC Outputs";"CSC_2",#N/A,FALSE,"CSC Outputs"}</definedName>
    <definedName name="_sd2" hidden="1">{"CSC_1",#N/A,FALSE,"CSC Outputs";"CSC_2",#N/A,FALSE,"CSC Outputs"}</definedName>
    <definedName name="_Sort" localSheetId="3" hidden="1">#REF!</definedName>
    <definedName name="_Sort" localSheetId="1" hidden="1">'K.00 Lead Sheet'!#REF!</definedName>
    <definedName name="_Sort" localSheetId="2" hidden="1">#REF!</definedName>
    <definedName name="_Sort"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v" hidden="1">#REF!</definedName>
    <definedName name="_wrn2" localSheetId="13" hidden="1">{#N/A,#N/A,FALSE,"Virgin Flightdeck"}</definedName>
    <definedName name="_wrn2" hidden="1">{#N/A,#N/A,FALSE,"Virgin Flightdeck"}</definedName>
    <definedName name="_wrn3" localSheetId="13" hidden="1">{#N/A,#N/A,FALSE,"Virgin Flightdeck"}</definedName>
    <definedName name="_wrn3" hidden="1">{#N/A,#N/A,FALSE,"Virgin Flightdeck"}</definedName>
    <definedName name="_wrn4" localSheetId="13" hidden="1">{#N/A,#N/A,FALSE,"Virgin Flightdeck"}</definedName>
    <definedName name="_wrn4" hidden="1">{#N/A,#N/A,FALSE,"Virgin Flightdeck"}</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vbrdf" localSheetId="11" hidden="1">{#N/A,#N/A,FALSE,"OffAdvance";#N/A,#N/A,FALSE,"OffExpRprt";#N/A,#N/A,FALSE,"Travelling";#N/A,#N/A,FALSE,"Entertmnt";#N/A,#N/A,FALSE,"Promotion"}</definedName>
    <definedName name="aavbrdf" localSheetId="13" hidden="1">{#N/A,#N/A,FALSE,"OffAdvance";#N/A,#N/A,FALSE,"OffExpRprt";#N/A,#N/A,FALSE,"Travelling";#N/A,#N/A,FALSE,"Entertmnt";#N/A,#N/A,FALSE,"Promotion"}</definedName>
    <definedName name="aavbrdf" hidden="1">{#N/A,#N/A,FALSE,"OffAdvance";#N/A,#N/A,FALSE,"OffExpRprt";#N/A,#N/A,FALSE,"Travelling";#N/A,#N/A,FALSE,"Entertmnt";#N/A,#N/A,FALSE,"Promotion"}</definedName>
    <definedName name="aaz" localSheetId="11" hidden="1">{#N/A,#N/A,FALSE,"资产负债表";#N/A,#N/A,FALSE,"资产负债表"}</definedName>
    <definedName name="aaz" localSheetId="13" hidden="1">{#N/A,#N/A,FALSE,"资产负债表";#N/A,#N/A,FALSE,"资产负债表"}</definedName>
    <definedName name="aaz" hidden="1">{#N/A,#N/A,FALSE,"资产负债表";#N/A,#N/A,FALSE,"资产负债表"}</definedName>
    <definedName name="abcdeg" localSheetId="13" hidden="1">{#N/A,#N/A,FALSE,"PLEDGE";#N/A,#N/A,FALSE,"GLADE";#N/A,#N/A,FALSE,"GREEN BIRD";#N/A,#N/A,FALSE,"MR. MUSCLE";#N/A,#N/A,FALSE,"TOILET DUCK";#N/A,#N/A,FALSE,"Other Home Care";#N/A,#N/A,FALSE,"RED BIRD";#N/A,#N/A,FALSE,"SHANGHAI";#N/A,#N/A,FALSE,"RAID";#N/A,#N/A,FALSE,"OFF";#N/A,#N/A,FALSE,"SEAGULL";#N/A,#N/A,FALSE,"HALSA";#N/A,#N/A,FALSE,"SOFT SENSE";#N/A,#N/A,FALSE,"TOTAL"}</definedName>
    <definedName name="abcdeg" hidden="1">{#N/A,#N/A,FALSE,"PLEDGE";#N/A,#N/A,FALSE,"GLADE";#N/A,#N/A,FALSE,"GREEN BIRD";#N/A,#N/A,FALSE,"MR. MUSCLE";#N/A,#N/A,FALSE,"TOILET DUCK";#N/A,#N/A,FALSE,"Other Home Care";#N/A,#N/A,FALSE,"RED BIRD";#N/A,#N/A,FALSE,"SHANGHAI";#N/A,#N/A,FALSE,"RAID";#N/A,#N/A,FALSE,"OFF";#N/A,#N/A,FALSE,"SEAGULL";#N/A,#N/A,FALSE,"HALSA";#N/A,#N/A,FALSE,"SOFT SENSE";#N/A,#N/A,FALSE,"TOTAL"}</definedName>
    <definedName name="Access_Button" hidden="1">"BBB_Std_Analog_Raw_Data_List"</definedName>
    <definedName name="AccessDatabase" hidden="1">"F:\Track-Pur\Sachs-2000.mdb"</definedName>
    <definedName name="ada" localSheetId="11" hidden="1">{#N/A,#N/A,FALSE,"资产负债表";#N/A,#N/A,FALSE,"资产负债表"}</definedName>
    <definedName name="ada" localSheetId="13" hidden="1">{#N/A,#N/A,FALSE,"资产负债表";#N/A,#N/A,FALSE,"资产负债表"}</definedName>
    <definedName name="ada" hidden="1">{#N/A,#N/A,FALSE,"资产负债表";#N/A,#N/A,FALSE,"资产负债表"}</definedName>
    <definedName name="adaf" localSheetId="11" hidden="1">{#N/A,#N/A,FALSE,"资产负债表";#N/A,#N/A,FALSE,"资产负债表"}</definedName>
    <definedName name="adaf" localSheetId="13" hidden="1">{#N/A,#N/A,FALSE,"资产负债表";#N/A,#N/A,FALSE,"资产负债表"}</definedName>
    <definedName name="adaf" hidden="1">{#N/A,#N/A,FALSE,"资产负债表";#N/A,#N/A,FALSE,"资产负债表"}</definedName>
    <definedName name="adas" localSheetId="3" hidden="1">{"M1Print",#N/A,TRUE,"M1";"M2Print",#N/A,TRUE,"M2";"M1sPrint",#N/A,TRUE,"M1s";"M2aPrint",#N/A,TRUE,"M2a";"M4Print",#N/A,TRUE,"M4";"M5Print",#N/A,TRUE,"M5";"M6Print",#N/A,TRUE,"M6";"M6_1Print",#N/A,TRUE,"M6_1";"M6_2Print",#N/A,TRUE,"M6_2";"M7_1Print",#N/A,TRUE,"M7_1";"M7_2Print",#N/A,TRUE,"M7_2"}</definedName>
    <definedName name="adas" localSheetId="1" hidden="1">{"M1Print",#N/A,TRUE,"M1";"M2Print",#N/A,TRUE,"M2";"M1sPrint",#N/A,TRUE,"M1s";"M2aPrint",#N/A,TRUE,"M2a";"M4Print",#N/A,TRUE,"M4";"M5Print",#N/A,TRUE,"M5";"M6Print",#N/A,TRUE,"M6";"M6_1Print",#N/A,TRUE,"M6_1";"M6_2Print",#N/A,TRUE,"M6_2";"M7_1Print",#N/A,TRUE,"M7_1";"M7_2Print",#N/A,TRUE,"M7_2"}</definedName>
    <definedName name="adas" localSheetId="2" hidden="1">{"M1Print",#N/A,TRUE,"M1";"M2Print",#N/A,TRUE,"M2";"M1sPrint",#N/A,TRUE,"M1s";"M2aPrint",#N/A,TRUE,"M2a";"M4Print",#N/A,TRUE,"M4";"M5Print",#N/A,TRUE,"M5";"M6Print",#N/A,TRUE,"M6";"M6_1Print",#N/A,TRUE,"M6_1";"M6_2Print",#N/A,TRUE,"M6_2";"M7_1Print",#N/A,TRUE,"M7_1";"M7_2Print",#N/A,TRUE,"M7_2"}</definedName>
    <definedName name="adas" localSheetId="11" hidden="1">{"M1Print",#N/A,TRUE,"M1";"M2Print",#N/A,TRUE,"M2";"M1sPrint",#N/A,TRUE,"M1s";"M2aPrint",#N/A,TRUE,"M2a";"M4Print",#N/A,TRUE,"M4";"M5Print",#N/A,TRUE,"M5";"M6Print",#N/A,TRUE,"M6";"M6_1Print",#N/A,TRUE,"M6_1";"M6_2Print",#N/A,TRUE,"M6_2";"M7_1Print",#N/A,TRUE,"M7_1";"M7_2Print",#N/A,TRUE,"M7_2"}</definedName>
    <definedName name="adas" localSheetId="13" hidden="1">{"M1Print",#N/A,TRUE,"M1";"M2Print",#N/A,TRUE,"M2";"M1sPrint",#N/A,TRUE,"M1s";"M2aPrint",#N/A,TRUE,"M2a";"M4Print",#N/A,TRUE,"M4";"M5Print",#N/A,TRUE,"M5";"M6Print",#N/A,TRUE,"M6";"M6_1Print",#N/A,TRUE,"M6_1";"M6_2Print",#N/A,TRUE,"M6_2";"M7_1Print",#N/A,TRUE,"M7_1";"M7_2Print",#N/A,TRUE,"M7_2"}</definedName>
    <definedName name="adas" localSheetId="10" hidden="1">{"M1Print",#N/A,TRUE,"M1";"M2Print",#N/A,TRUE,"M2";"M1sPrint",#N/A,TRUE,"M1s";"M2aPrint",#N/A,TRUE,"M2a";"M4Print",#N/A,TRUE,"M4";"M5Print",#N/A,TRUE,"M5";"M6Print",#N/A,TRUE,"M6";"M6_1Print",#N/A,TRUE,"M6_1";"M6_2Print",#N/A,TRUE,"M6_2";"M7_1Print",#N/A,TRUE,"M7_1";"M7_2Print",#N/A,TRUE,"M7_2"}</definedName>
    <definedName name="adas" localSheetId="6" hidden="1">{"M1Print",#N/A,TRUE,"M1";"M2Print",#N/A,TRUE,"M2";"M1sPrint",#N/A,TRUE,"M1s";"M2aPrint",#N/A,TRUE,"M2a";"M4Print",#N/A,TRUE,"M4";"M5Print",#N/A,TRUE,"M5";"M6Print",#N/A,TRUE,"M6";"M6_1Print",#N/A,TRUE,"M6_1";"M6_2Print",#N/A,TRUE,"M6_2";"M7_1Print",#N/A,TRUE,"M7_1";"M7_2Print",#N/A,TRUE,"M7_2"}</definedName>
    <definedName name="adas" hidden="1">{"M1Print",#N/A,TRUE,"M1";"M2Print",#N/A,TRUE,"M2";"M1sPrint",#N/A,TRUE,"M1s";"M2aPrint",#N/A,TRUE,"M2a";"M4Print",#N/A,TRUE,"M4";"M5Print",#N/A,TRUE,"M5";"M6Print",#N/A,TRUE,"M6";"M6_1Print",#N/A,TRUE,"M6_1";"M6_2Print",#N/A,TRUE,"M6_2";"M7_1Print",#N/A,TRUE,"M7_1";"M7_2Print",#N/A,TRUE,"M7_2"}</definedName>
    <definedName name="adf" localSheetId="11" hidden="1">{"toptrial",#N/A,TRUE,"toptrial";"adjustment",#N/A,TRUE,"toptrial";"voucher",#N/A,TRUE,"toptrial"}</definedName>
    <definedName name="adf" localSheetId="13" hidden="1">{"toptrial",#N/A,TRUE,"toptrial";"adjustment",#N/A,TRUE,"toptrial";"voucher",#N/A,TRUE,"toptrial"}</definedName>
    <definedName name="adf" hidden="1">{"toptrial",#N/A,TRUE,"toptrial";"adjustment",#N/A,TRUE,"toptrial";"voucher",#N/A,TRUE,"toptrial"}</definedName>
    <definedName name="adfa" localSheetId="13" hidden="1">{"page 1",#N/A,FALSE,"A";"page 2",#N/A,FALSE,"A";"page 3",#N/A,FALSE,"A";"page 4",#N/A,FALSE,"A";"page 5",#N/A,FALSE,"A";"page 6",#N/A,FALSE,"A";"page 7",#N/A,FALSE,"A";"page 8",#N/A,FALSE,"A";"page 9",#N/A,FALSE,"A";"page 10",#N/A,FALSE,"A";"page 11",#N/A,FALSE,"A";"page 12",#N/A,FALSE,"A";"page 13",#N/A,FALSE,"A";"page 14",#N/A,FALSE,"A"}</definedName>
    <definedName name="adfa" hidden="1">{"page 1",#N/A,FALSE,"A";"page 2",#N/A,FALSE,"A";"page 3",#N/A,FALSE,"A";"page 4",#N/A,FALSE,"A";"page 5",#N/A,FALSE,"A";"page 6",#N/A,FALSE,"A";"page 7",#N/A,FALSE,"A";"page 8",#N/A,FALSE,"A";"page 9",#N/A,FALSE,"A";"page 10",#N/A,FALSE,"A";"page 11",#N/A,FALSE,"A";"page 12",#N/A,FALSE,"A";"page 13",#N/A,FALSE,"A";"page 14",#N/A,FALSE,"A"}</definedName>
    <definedName name="adfad" localSheetId="13"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adfad"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afhai" localSheetId="11" hidden="1">{#N/A,#N/A,FALSE,"资产负债表";#N/A,#N/A,FALSE,"资产负债表"}</definedName>
    <definedName name="afhai" localSheetId="13" hidden="1">{#N/A,#N/A,FALSE,"资产负债表";#N/A,#N/A,FALSE,"资产负债表"}</definedName>
    <definedName name="afhai" hidden="1">{#N/A,#N/A,FALSE,"资产负债表";#N/A,#N/A,FALSE,"资产负债表"}</definedName>
    <definedName name="afsdavad" hidden="1">#REF!</definedName>
    <definedName name="AGEDDATABASE" localSheetId="11" hidden="1">{#N/A,#N/A,FALSE,"970301";#N/A,#N/A,FALSE,"970302";#N/A,#N/A,FALSE,"970303";#N/A,#N/A,FALSE,"970304";#N/A,#N/A,FALSE,"COM1";#N/A,#N/A,FALSE,"COM2"}</definedName>
    <definedName name="AGEDDATABASE" localSheetId="13" hidden="1">{#N/A,#N/A,FALSE,"970301";#N/A,#N/A,FALSE,"970302";#N/A,#N/A,FALSE,"970303";#N/A,#N/A,FALSE,"970304";#N/A,#N/A,FALSE,"COM1";#N/A,#N/A,FALSE,"COM2"}</definedName>
    <definedName name="AGEDDATABASE" hidden="1">{#N/A,#N/A,FALSE,"970301";#N/A,#N/A,FALSE,"970302";#N/A,#N/A,FALSE,"970303";#N/A,#N/A,FALSE,"970304";#N/A,#N/A,FALSE,"COM1";#N/A,#N/A,FALSE,"COM2"}</definedName>
    <definedName name="aidhaif" localSheetId="11" hidden="1">{#N/A,#N/A,FALSE,"资产负债表";#N/A,#N/A,FALSE,"资产负债表"}</definedName>
    <definedName name="aidhaif" localSheetId="13" hidden="1">{#N/A,#N/A,FALSE,"资产负债表";#N/A,#N/A,FALSE,"资产负债表"}</definedName>
    <definedName name="aidhaif" hidden="1">{#N/A,#N/A,FALSE,"资产负债表";#N/A,#N/A,FALSE,"资产负债表"}</definedName>
    <definedName name="AJHFkjDGHF" localSheetId="13" hidden="1">{"Annual_Income",#N/A,FALSE,"Report Page";"Balance_Cash_Flow",#N/A,FALSE,"Report Page";"Quarterly_Income",#N/A,FALSE,"Report Page"}</definedName>
    <definedName name="AJHFkjDGHF" hidden="1">{"Annual_Income",#N/A,FALSE,"Report Page";"Balance_Cash_Flow",#N/A,FALSE,"Report Page";"Quarterly_Income",#N/A,FALSE,"Report Page"}</definedName>
    <definedName name="anakf" localSheetId="11" hidden="1">{#N/A,#N/A,FALSE,"资产负债表";#N/A,#N/A,FALSE,"资产负债表"}</definedName>
    <definedName name="anakf" localSheetId="13" hidden="1">{#N/A,#N/A,FALSE,"资产负债表";#N/A,#N/A,FALSE,"资产负债表"}</definedName>
    <definedName name="anakf" hidden="1">{#N/A,#N/A,FALSE,"资产负债表";#N/A,#N/A,FALSE,"资产负债表"}</definedName>
    <definedName name="ANALSIS._.9511" localSheetId="13" hidden="1">{#N/A,#N/A,FALSE,"ABB HOLDING LTD"}</definedName>
    <definedName name="ANALSIS._.9511" hidden="1">{#N/A,#N/A,FALSE,"ABB HOLDING LTD"}</definedName>
    <definedName name="anna" localSheetId="13" hidden="1">{#N/A,#N/A,FALSE,"ABB HOLDING LTD"}</definedName>
    <definedName name="anna" hidden="1">{#N/A,#N/A,FALSE,"ABB HOLDING LTD"}</definedName>
    <definedName name="anscount" hidden="1">1</definedName>
    <definedName name="app0" localSheetId="13" hidden="1">{"M1Print",#N/A,FALSE,"M1"}</definedName>
    <definedName name="app0" hidden="1">{"M1Print",#N/A,FALSE,"M1"}</definedName>
    <definedName name="are" localSheetId="13" hidden="1">{"toptrial",#N/A,TRUE,"toptrial";"adjustment",#N/A,TRUE,"toptrial";"voucher",#N/A,TRUE,"toptrial"}</definedName>
    <definedName name="are" hidden="1">{"toptrial",#N/A,TRUE,"toptrial";"adjustment",#N/A,TRUE,"toptrial";"voucher",#N/A,TRUE,"toptrial"}</definedName>
    <definedName name="AS2DocOpenMode" hidden="1">"AS2DocumentEdit"</definedName>
    <definedName name="AS2HasNoAutoHeaderFooter" hidden="1">" "</definedName>
    <definedName name="AS2NamedRange" hidden="1">7</definedName>
    <definedName name="AS2ReportLS" hidden="1">1</definedName>
    <definedName name="AS2StaticLS" hidden="1">#REF!</definedName>
    <definedName name="AS2SyncStepLS" hidden="1">0</definedName>
    <definedName name="AS2TickmarkLS" localSheetId="3" hidden="1">#REF!</definedName>
    <definedName name="AS2TickmarkLS" localSheetId="1" hidden="1">'K.00 Lead Sheet'!#REF!</definedName>
    <definedName name="AS2TickmarkLS" localSheetId="2" hidden="1">#REF!</definedName>
    <definedName name="AS2TickmarkLS" hidden="1">#REF!</definedName>
    <definedName name="AS2VersionLS" hidden="1">300</definedName>
    <definedName name="asda" localSheetId="13" hidden="1">{"CSC_1",#N/A,FALSE,"CSC Outputs";"CSC_2",#N/A,FALSE,"CSC Outputs"}</definedName>
    <definedName name="asda" hidden="1">{"CSC_1",#N/A,FALSE,"CSC Outputs";"CSC_2",#N/A,FALSE,"CSC Outputs"}</definedName>
    <definedName name="asdf" localSheetId="13" hidden="1">{#N/A,#N/A,FALSE,"970301";#N/A,#N/A,FALSE,"970302";#N/A,#N/A,FALSE,"970303";#N/A,#N/A,FALSE,"970304";#N/A,#N/A,FALSE,"COM1";#N/A,#N/A,FALSE,"COM2"}</definedName>
    <definedName name="asdf" hidden="1">{#N/A,#N/A,FALSE,"970301";#N/A,#N/A,FALSE,"970302";#N/A,#N/A,FALSE,"970303";#N/A,#N/A,FALSE,"970304";#N/A,#N/A,FALSE,"COM1";#N/A,#N/A,FALSE,"COM2"}</definedName>
    <definedName name="asdg" localSheetId="11" hidden="1">{#N/A,#N/A,FALSE,"资产负债表";#N/A,#N/A,FALSE,"资产负债表"}</definedName>
    <definedName name="asdg" localSheetId="13" hidden="1">{#N/A,#N/A,FALSE,"资产负债表";#N/A,#N/A,FALSE,"资产负债表"}</definedName>
    <definedName name="asdg" hidden="1">{#N/A,#N/A,FALSE,"资产负债表";#N/A,#N/A,FALSE,"资产负债表"}</definedName>
    <definedName name="ass" localSheetId="3" hidden="1">{#N/A,#N/A,TRUE,"CPRD";#N/A,#N/A,TRUE,"BCCPDR";#N/A,#N/A,TRUE,"EWRD";#N/A,#N/A,TRUE,"5100";#N/A,#N/A,TRUE,"5110"}</definedName>
    <definedName name="ass" localSheetId="1" hidden="1">{#N/A,#N/A,TRUE,"CPRD";#N/A,#N/A,TRUE,"BCCPDR";#N/A,#N/A,TRUE,"EWRD";#N/A,#N/A,TRUE,"5100";#N/A,#N/A,TRUE,"5110"}</definedName>
    <definedName name="ass" localSheetId="2" hidden="1">{#N/A,#N/A,TRUE,"CPRD";#N/A,#N/A,TRUE,"BCCPDR";#N/A,#N/A,TRUE,"EWRD";#N/A,#N/A,TRUE,"5100";#N/A,#N/A,TRUE,"5110"}</definedName>
    <definedName name="ass" localSheetId="11" hidden="1">{#N/A,#N/A,TRUE,"CPRD";#N/A,#N/A,TRUE,"BCCPDR";#N/A,#N/A,TRUE,"EWRD";#N/A,#N/A,TRUE,"5100";#N/A,#N/A,TRUE,"5110"}</definedName>
    <definedName name="ass" localSheetId="13" hidden="1">{#N/A,#N/A,TRUE,"CPRD";#N/A,#N/A,TRUE,"BCCPDR";#N/A,#N/A,TRUE,"EWRD";#N/A,#N/A,TRUE,"5100";#N/A,#N/A,TRUE,"5110"}</definedName>
    <definedName name="ass" localSheetId="10" hidden="1">{#N/A,#N/A,TRUE,"CPRD";#N/A,#N/A,TRUE,"BCCPDR";#N/A,#N/A,TRUE,"EWRD";#N/A,#N/A,TRUE,"5100";#N/A,#N/A,TRUE,"5110"}</definedName>
    <definedName name="ass" localSheetId="6" hidden="1">{#N/A,#N/A,TRUE,"CPRD";#N/A,#N/A,TRUE,"BCCPDR";#N/A,#N/A,TRUE,"EWRD";#N/A,#N/A,TRUE,"5100";#N/A,#N/A,TRUE,"5110"}</definedName>
    <definedName name="ass" hidden="1">{#N/A,#N/A,TRUE,"CPRD";#N/A,#N/A,TRUE,"BCCPDR";#N/A,#N/A,TRUE,"EWRD";#N/A,#N/A,TRUE,"5100";#N/A,#N/A,TRUE,"5110"}</definedName>
    <definedName name="AuraStyleDefaultsReset" hidden="1">#N/A</definedName>
    <definedName name="Bear" localSheetId="13" hidden="1">{#N/A,#N/A,FALSE,"TS";#N/A,#N/A,FALSE,"Combo";#N/A,#N/A,FALSE,"FAIR";#N/A,#N/A,FALSE,"RBC";#N/A,#N/A,FALSE,"xxxx";#N/A,#N/A,FALSE,"A_D";#N/A,#N/A,FALSE,"WACC";#N/A,#N/A,FALSE,"DCF";#N/A,#N/A,FALSE,"LBO";#N/A,#N/A,FALSE,"AcqMults";#N/A,#N/A,FALSE,"CompMults"}</definedName>
    <definedName name="Bear" hidden="1">{#N/A,#N/A,FALSE,"TS";#N/A,#N/A,FALSE,"Combo";#N/A,#N/A,FALSE,"FAIR";#N/A,#N/A,FALSE,"RBC";#N/A,#N/A,FALSE,"xxxx";#N/A,#N/A,FALSE,"A_D";#N/A,#N/A,FALSE,"WACC";#N/A,#N/A,FALSE,"DCF";#N/A,#N/A,FALSE,"LBO";#N/A,#N/A,FALSE,"AcqMults";#N/A,#N/A,FALSE,"CompMults"}</definedName>
    <definedName name="BEx1GOL4T20ZYMEME4AOC1I2ZBV3" hidden="1">#REF!</definedName>
    <definedName name="BEx1KILOFST3VEOXVEC1QN03BHGA" hidden="1">#REF!</definedName>
    <definedName name="BEx1M9JC5LZZOUZZJBFE1EQ0CYCC" hidden="1">#REF!</definedName>
    <definedName name="BEx1ND8X2WN7NFW5BVSOLFH61M84" hidden="1">#REF!</definedName>
    <definedName name="BEx1OKPEQNPV9QNO6JU5C68PT6Q0" hidden="1">#REF!</definedName>
    <definedName name="BEx1R6T7X0940TREN8TT0TNFQPT6" hidden="1">#REF!</definedName>
    <definedName name="BEx1WGD8QW1OO3Z8CRJZ2SLV3XOL" hidden="1">#REF!</definedName>
    <definedName name="BEx3BP97JNLY9I27CV38UB0ZP05T" hidden="1">#REF!</definedName>
    <definedName name="BEx3JNRLRJ2JV5NNQZ0E6BGLEJQ7" hidden="1">#REF!</definedName>
    <definedName name="BEx3LZ8GB3FK41S4MT046E3ROW74" hidden="1">#REF!</definedName>
    <definedName name="BEx3PZU9740IPCC6H8OPE1S9GMU2" hidden="1">#REF!</definedName>
    <definedName name="BEx3Q8TWXITHZ3X76SJUL1PUW1CB" hidden="1">#REF!</definedName>
    <definedName name="BEx57Z6CADZGQPCAGXX3NPX2K2N0" hidden="1">#REF!</definedName>
    <definedName name="BEx596C1WUINFC3E55ER7W8C6FII" hidden="1">#REF!</definedName>
    <definedName name="BEx5A1NHZ01UFJAWFDKZ7Q32YCAP" hidden="1">#REF!</definedName>
    <definedName name="BEx5HJTYH3HP8KCYFVDEXJRHX490" hidden="1">#REF!</definedName>
    <definedName name="BEx5JYQT2HZM2KUEPEKSOE4HP3R7" hidden="1">#REF!</definedName>
    <definedName name="BEx7519PXO1HM898NUYPQWARV2EL" hidden="1">#REF!</definedName>
    <definedName name="BEx7648DGEBZ217G2G0A366USBT0" hidden="1">#REF!</definedName>
    <definedName name="BEx76C0WIFQUGK3UB0BAODNMLXTH" hidden="1">#REF!</definedName>
    <definedName name="BEx7CQHSAPD3MPFTKGMMN3CVW50O" hidden="1">#REF!</definedName>
    <definedName name="BEx7JM1L18WS45G4QD3JEP01Y5CK" hidden="1">#REF!</definedName>
    <definedName name="BEx908Z8ILGHESB1W8JR2DOW7ABL" hidden="1">#REF!</definedName>
    <definedName name="BEx91ZRKZJ7MB7VVGADGQZ08O9XY" hidden="1">#REF!</definedName>
    <definedName name="BEx97U059JN44X3DZ148YVABPMFN" hidden="1">#REF!</definedName>
    <definedName name="BEx98RVDTKKOY3DAU9A4JZYT5OIT" hidden="1">#REF!</definedName>
    <definedName name="BEx9CIVW2DWJMNAWF3WDJ9E4QZ35" hidden="1">#REF!</definedName>
    <definedName name="BEx9DA5OT3ZSCGNY1WF06B98S475" hidden="1">#REF!</definedName>
    <definedName name="BExB02KNVWQTZBCVRIB1EWZ0V0JL" hidden="1">#REF!</definedName>
    <definedName name="BExB1BZ6Z4M9JS3I1KXP6XAEMSLI" hidden="1">#REF!</definedName>
    <definedName name="BExB44DJMD7F0150IRHXJP7GTP60" hidden="1">#REF!</definedName>
    <definedName name="BExB4967ICE32DID1UIQR97OO173" hidden="1">#REF!</definedName>
    <definedName name="BExB516X8WTIOV96RB06FD74D9EC" hidden="1">#REF!</definedName>
    <definedName name="BExB7LHZH54ZK24EU7O6W9J85Y6O" hidden="1">#REF!</definedName>
    <definedName name="BExB9ASDJ6E5QNP9HKCXEV97PUCF" hidden="1">#REF!</definedName>
    <definedName name="BExB9SBH89RBYVOK8JWJG85KQAPP" hidden="1">#REF!</definedName>
    <definedName name="BExBCK4A0LSJO6DBOL7FPO4D24J9" hidden="1">#REF!</definedName>
    <definedName name="BExBCO0KHJSG0WZB6SGXFR6H5NO7" hidden="1">#REF!</definedName>
    <definedName name="BExCYN28OZBXVKSPT7BDGSLQHHFU" hidden="1">#REF!</definedName>
    <definedName name="BExD0BLMMGY5XYERG6V0TT0M2YE3" hidden="1">#REF!</definedName>
    <definedName name="BExD0ISJYTLUGS04P5IRFS5B3CF9" hidden="1">#REF!</definedName>
    <definedName name="BExD2PRJY7TYFUEA7WHYQBCHPW9Y" hidden="1">#REF!</definedName>
    <definedName name="BExD7TS213CYLKZM2LRHP7H69CCP" hidden="1">#REF!</definedName>
    <definedName name="BExD880N3DSVXWG9MHOUKRWZRTBE" hidden="1">#REF!</definedName>
    <definedName name="BExDA0G9BQ3JNIYZ9L65S6VBYWMS" hidden="1">#REF!</definedName>
    <definedName name="BExDCIIGE672LU969XCUQ9OYBHPZ" hidden="1">#REF!</definedName>
    <definedName name="BExEQ4YH338D2FXOHEGCN5E8UTHJ" hidden="1">#REF!</definedName>
    <definedName name="BExEUUQDME4CZNJTA7OEHOI7PQCX" hidden="1">#REF!</definedName>
    <definedName name="BExEVCEZK6FN15T0UYF1CB9RAMP9" hidden="1">#REF!</definedName>
    <definedName name="BExEWIOCCAXKVY98T9IT7E3WIQ0E" hidden="1">#REF!</definedName>
    <definedName name="BExEWP9OM81HG8KFNOC23RI70VZL" hidden="1">#REF!</definedName>
    <definedName name="BExF05HRERO5UALKECDAVEEDJZN1" hidden="1">#REF!</definedName>
    <definedName name="BExF0MQ337K2NFXXIQ0O47G45C1C" hidden="1">#REF!</definedName>
    <definedName name="BExF2848DYNZRBOOANUXZJAUXF5I" hidden="1">#REF!</definedName>
    <definedName name="BExF4HSB7GJLPZR0NCKZFQO2UW5F" hidden="1">#REF!</definedName>
    <definedName name="BExF67TQWVHFNN1WYRBW6MEB7CYM" hidden="1">#REF!</definedName>
    <definedName name="BExGO4WV0HKEQUYJ1RD84YAPM4AF" hidden="1">#REF!</definedName>
    <definedName name="BExGPG47K2WA8AA2TNG33MAQL8J2" hidden="1">#REF!</definedName>
    <definedName name="BExGPGPQ41JXS4S24X63XVAAMN5I" hidden="1">#REF!</definedName>
    <definedName name="BExGR47FVJRRJYCDCPQHR5BS8TTE" hidden="1">#REF!</definedName>
    <definedName name="BExGRW2TNFAUIHXBISCNRT35ZN4U" hidden="1">#REF!</definedName>
    <definedName name="BExGS4GY840D03GX09MFUJZZQIQI" hidden="1">#REF!</definedName>
    <definedName name="BExGWBYVZLX1Y7H09E1OJR2M7NEO" hidden="1">#REF!</definedName>
    <definedName name="BExGYQA5XQAV3GALTISYXAOLC00N" hidden="1">#REF!</definedName>
    <definedName name="BExH2ZKTRC9AU7I8TGC5PSW9KUKA" hidden="1">#REF!</definedName>
    <definedName name="BExH3GIH7IKQ6L1766O2F80W53H7" hidden="1">#REF!</definedName>
    <definedName name="BExIIBGODUPZCN0CS6AIFCS9JJ3T" hidden="1">#REF!</definedName>
    <definedName name="BExIK8E56SGZDTZP8N5UKCB51HLK" hidden="1">#REF!</definedName>
    <definedName name="BExIKLA43JG5Q0E5DUX6GGA36M2D" hidden="1">#REF!</definedName>
    <definedName name="BExIOV0VPGAVNIH8CAGOZQTE8RQC" hidden="1">#REF!</definedName>
    <definedName name="BExIRJTRW38YJPZF94ZRIMHT1EDT" hidden="1">#REF!</definedName>
    <definedName name="BExIS4NJWFRORMVD64VAH35KYTAV" hidden="1">#REF!</definedName>
    <definedName name="BExIVO6FK5E6OWNW080ZWFXGTAW9" hidden="1">#REF!</definedName>
    <definedName name="BExIX6KP2828HYO5B58WTT6B4GQF" hidden="1">#REF!</definedName>
    <definedName name="BExIYAL1JJ0YAOVQ8NTVMVWSIWEN" hidden="1">#REF!</definedName>
    <definedName name="BExJ0JYBMCA6QMUA23EJ4K1XY7OB" hidden="1">#REF!</definedName>
    <definedName name="BExKH3W4N0O82E6T46JO6PSMZCKO" hidden="1">#REF!</definedName>
    <definedName name="BExKIAWCRGDEI4GPDFEI8JPG2FQR" hidden="1">#REF!</definedName>
    <definedName name="BExKICEADRLL4OGPHHM5X4LBZAUM" hidden="1">#REF!</definedName>
    <definedName name="BExKJKWIM4MX8IMRSUA1CG62XKM3" hidden="1">#REF!</definedName>
    <definedName name="BExKLGHH49AYDWDK6NMDQDG9OZ1S" hidden="1">#REF!</definedName>
    <definedName name="BExKQXOQJ1LJ20FX6Y7TCVGEFGRN" hidden="1">#REF!</definedName>
    <definedName name="BExKUO3OAC6GXS5E8H77YTDG1TNE" hidden="1">#REF!</definedName>
    <definedName name="BExMC20EFJ3NPS70N2WK57JSBZJO" hidden="1">#REF!</definedName>
    <definedName name="BExMEPM4H3CEM9FKDCNK4L7RPLIY" hidden="1">#REF!</definedName>
    <definedName name="BExMF1LPXBCFR9B5DUQJX67CY770" hidden="1">#REF!</definedName>
    <definedName name="BExMF3UKNY832KUUVVC55Z657TVM" hidden="1">#REF!</definedName>
    <definedName name="BExMFV4G2WKFSKQMEBNOCG1BU4DX" hidden="1">#REF!</definedName>
    <definedName name="BExMIXEV4TKUJ6IGSJX7YYYJUEN9" hidden="1">#REF!</definedName>
    <definedName name="BExMJ3JYY9C504NQ9S2DTRUK5ZU1" hidden="1">#REF!</definedName>
    <definedName name="BExMN4WS0QNU17OJRWNQE9QL2X2P" hidden="1">#REF!</definedName>
    <definedName name="BExMNU8EBNMBBMACFUT6NKEYQ76T" hidden="1">#REF!</definedName>
    <definedName name="BExMPSD7OKVZ5UJSB60TQWZL41CN" hidden="1">#REF!</definedName>
    <definedName name="BExMPZ9CBIZQV9RFIO4AGNOVYOS5" hidden="1">#REF!</definedName>
    <definedName name="BExMR9ET51OCDPPEJ4L5LSKHG5H3" hidden="1">#REF!</definedName>
    <definedName name="BExMR9K9DME0KRRXFRATYSZOWN31" hidden="1">#REF!</definedName>
    <definedName name="BExMRB7JMQHVST9CP35OM2B2NZEI" hidden="1">#REF!</definedName>
    <definedName name="BExMRC3X7BCNL9AVT3X0QMFDY6XM" hidden="1">#REF!</definedName>
    <definedName name="BExMST5NOZ5FZAECAYE0FFFPNUOE" hidden="1">#REF!</definedName>
    <definedName name="BExO7DROP6MRLCSAHEFXSNT3JT0M" hidden="1">#REF!</definedName>
    <definedName name="BExO7O3U9Z5HA5A38ESC0RZ6PG9F" hidden="1">#REF!</definedName>
    <definedName name="BExO8MKIDJ2O1CWUUGXV518PW32P" hidden="1">#REF!</definedName>
    <definedName name="BExOF2ZM9CK6OKB6AO70LHCIYO3W" hidden="1">#REF!</definedName>
    <definedName name="BExOKW6I5HFJ8DQUWGPW6L36BXGU" hidden="1">#REF!</definedName>
    <definedName name="BExON9W4L9LS02VF014KYPE4N42Q" hidden="1">#REF!</definedName>
    <definedName name="BExOO75TFXPUHHF2W77C7LA2O9O1" hidden="1">#REF!</definedName>
    <definedName name="BExQ5BBSQUHHHCHRY13R2T90JK32" hidden="1">#REF!</definedName>
    <definedName name="BExQ9Y40PM0L2GY7PYHH4ETRC1CH" hidden="1">#REF!</definedName>
    <definedName name="BExQARXHDVBMPHS610S0LV1RH4NO" hidden="1">#REF!</definedName>
    <definedName name="BExQCU3UFN2GMVO543ZQWCJQ3U0Y" hidden="1">#REF!</definedName>
    <definedName name="BExQEJP109073QT4YE59TOR6EAWC" hidden="1">#REF!</definedName>
    <definedName name="BExQGCFFHS1QVUU3RY7WO160WFUB" hidden="1">#REF!</definedName>
    <definedName name="BExQGCQ7YNBBJ539M37GDTBYX0SX" hidden="1">#REF!</definedName>
    <definedName name="BExRYBRJM6L56M835KPD7AMAK0AQ" hidden="1">#REF!</definedName>
    <definedName name="BExS10F45V2WEL1E8JU2KIZ9DRCZ" hidden="1">#REF!</definedName>
    <definedName name="BExS6QBB5MCKPTQME64V5PFRX5A8" hidden="1">#REF!</definedName>
    <definedName name="BExSBCHWUN0MGNHJ2ZKBNY6JFX81" hidden="1">#REF!</definedName>
    <definedName name="BExSBX0XVOA76ZT2A1PNKPO3322L" hidden="1">#REF!</definedName>
    <definedName name="BExSDB2U91GEI58UMTEW23ZEZ8K9" hidden="1">#REF!</definedName>
    <definedName name="BExSEMKVYFVRR81WHTAAK9213JTC" hidden="1">#REF!</definedName>
    <definedName name="BExSF67JEWA4AJ7LR8TNDSQVKUVY" hidden="1">#REF!</definedName>
    <definedName name="BExSGWJRKR5HEOF2QCRM833GKTUT" hidden="1">#REF!</definedName>
    <definedName name="BExU036RHSWR2VHMUQDHZ2SG5SO2" hidden="1">#REF!</definedName>
    <definedName name="BExU14Y8RTX8D32JVR2TU5YLA485" hidden="1">#REF!</definedName>
    <definedName name="BExU1QZD8QZVGRAIT4025YON6Q44" hidden="1">#REF!</definedName>
    <definedName name="BExU24ROS5GK8C2P0R9CGZKS8Z9P" hidden="1">#REF!</definedName>
    <definedName name="BExU2LUKCPO4F7P7LPHDOB4YVF31" hidden="1">#REF!</definedName>
    <definedName name="BExU5V15XN37ZT440JZAICIQI2OH" hidden="1">#REF!</definedName>
    <definedName name="BExU7KX58ALKVE6B2FNC47A6N0GG" hidden="1">#REF!</definedName>
    <definedName name="BExU891LVF2XXANDW7HA2D391K0N" hidden="1">#REF!</definedName>
    <definedName name="BExU9N8TMS3B0OH4L9YCVQ0Y4JZE" hidden="1">#REF!</definedName>
    <definedName name="BExU9V1CJHH8AHDUQIU4YEDLBD8P" hidden="1">#REF!</definedName>
    <definedName name="BExUE82XW551UZ6XC8C6EOZUKO1M" hidden="1">#REF!</definedName>
    <definedName name="BExVRIU581T3KTW9Q0BI1LAQ2D3E" hidden="1">#REF!</definedName>
    <definedName name="BExVYW2NLCPKWNA2SVOJQWHGVO67" hidden="1">#REF!</definedName>
    <definedName name="BExW253QJI7FK045WM389QVBR6FP" hidden="1">#REF!</definedName>
    <definedName name="BExW2QJ45281ICG22KEIC2PMQQ5C" hidden="1">#REF!</definedName>
    <definedName name="BExXM8V22NQXKV0IK4CSSC8RJVFT" hidden="1">#REF!</definedName>
    <definedName name="BExXMZDWJMFRC4MXUPONBAIHVGZM" hidden="1">#REF!</definedName>
    <definedName name="BExXPEG6GJ3MY9SDXK3RPH3EI7FW" hidden="1">#REF!</definedName>
    <definedName name="BExXPXBY53H7JQG6T5TYSERUS1I4" hidden="1">#REF!</definedName>
    <definedName name="BExXQAYS3PB0YQIUU4GYQLTY7CDA" hidden="1">#REF!</definedName>
    <definedName name="BExXSRTTUIP5881CME97EPGILL3V" hidden="1">#REF!</definedName>
    <definedName name="BExXV6QNIULYZ4QS8H135K6YBMGT" hidden="1">#REF!</definedName>
    <definedName name="BExXWC3NJU845ZCF44JGJUHNB9LV" hidden="1">#REF!</definedName>
    <definedName name="BExXZIAD0KGCSBSOU0B12K7W0WI6" hidden="1">#REF!</definedName>
    <definedName name="BExY1DPUN2UL4DIV0EJ0GCANR7ZB" hidden="1">#REF!</definedName>
    <definedName name="BExY2FXGYUUQX6EXYN3TC5JLFW13" hidden="1">#REF!</definedName>
    <definedName name="BExY3UFGF4WM0FL482UNCA00U108" hidden="1">#REF!</definedName>
    <definedName name="BExY57Q8YTA3RTIS2IOJ6AH09TDI" hidden="1">#REF!</definedName>
    <definedName name="BExZL6ORJMEPVLH0FAMKAK7P2VBN" hidden="1">#REF!</definedName>
    <definedName name="BExZRQ92MJIQ9HC5CNX10BPNDTB4" hidden="1">#REF!</definedName>
    <definedName name="BExZSWIEGQMJM7HX0PFOAGLPTYBZ" hidden="1">#REF!</definedName>
    <definedName name="BExZTI8LHXZ58W9B5NTXZH23PBA3" hidden="1">#REF!</definedName>
    <definedName name="BExZXESSDGXDMAV5ML62TCSPVDQ7" hidden="1">#REF!</definedName>
    <definedName name="BG_Del" hidden="1">15</definedName>
    <definedName name="BG_Ins" hidden="1">4</definedName>
    <definedName name="BG_Mod" hidden="1">6</definedName>
    <definedName name="BLPB1" hidden="1">#REF!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BNE_MESSAGES_HIDDEN" hidden="1">#REF!</definedName>
    <definedName name="book" localSheetId="11" hidden="1">{#N/A,#N/A,FALSE,"OffAdvance";#N/A,#N/A,FALSE,"OffExpRprt";#N/A,#N/A,FALSE,"Entertmnt";#N/A,#N/A,FALSE,"Promotion";#N/A,#N/A,FALSE,"Travelling"}</definedName>
    <definedName name="book" localSheetId="13" hidden="1">{#N/A,#N/A,FALSE,"OffAdvance";#N/A,#N/A,FALSE,"OffExpRprt";#N/A,#N/A,FALSE,"Entertmnt";#N/A,#N/A,FALSE,"Promotion";#N/A,#N/A,FALSE,"Travelling"}</definedName>
    <definedName name="book" hidden="1">{#N/A,#N/A,FALSE,"OffAdvance";#N/A,#N/A,FALSE,"OffExpRprt";#N/A,#N/A,FALSE,"Entertmnt";#N/A,#N/A,FALSE,"Promotion";#N/A,#N/A,FALSE,"Travelling"}</definedName>
    <definedName name="book.2" localSheetId="11" hidden="1">{#N/A,#N/A,FALSE,"OffAdvance";#N/A,#N/A,FALSE,"OffExpRprt";#N/A,#N/A,FALSE,"Travelling";#N/A,#N/A,FALSE,"Entertmnt";#N/A,#N/A,FALSE,"Promotion"}</definedName>
    <definedName name="book.2" localSheetId="13" hidden="1">{#N/A,#N/A,FALSE,"OffAdvance";#N/A,#N/A,FALSE,"OffExpRprt";#N/A,#N/A,FALSE,"Travelling";#N/A,#N/A,FALSE,"Entertmnt";#N/A,#N/A,FALSE,"Promotion"}</definedName>
    <definedName name="book.2" hidden="1">{#N/A,#N/A,FALSE,"OffAdvance";#N/A,#N/A,FALSE,"OffExpRprt";#N/A,#N/A,FALSE,"Travelling";#N/A,#N/A,FALSE,"Entertmnt";#N/A,#N/A,FALSE,"Promotion"}</definedName>
    <definedName name="bs_1" localSheetId="13" hidden="1">{#N/A,#N/A,FALSE,"BBPREP"}</definedName>
    <definedName name="bs_1" hidden="1">{#N/A,#N/A,FALSE,"BBPREP"}</definedName>
    <definedName name="cashflow20030930" localSheetId="3" hidden="1">{"M1Print",#N/A,TRUE,"M1";"M2Print",#N/A,TRUE,"M2";"M1sPrint",#N/A,TRUE,"M1s";"M2aPrint",#N/A,TRUE,"M2a";"M4Print",#N/A,TRUE,"M4";"M5Print",#N/A,TRUE,"M5";"M6Print",#N/A,TRUE,"M6";"M6_1Print",#N/A,TRUE,"M6_1";"M6_2Print",#N/A,TRUE,"M6_2";"M7_1Print",#N/A,TRUE,"M7_1";"M7_2Print",#N/A,TRUE,"M7_2"}</definedName>
    <definedName name="cashflow20030930" localSheetId="1" hidden="1">{"M1Print",#N/A,TRUE,"M1";"M2Print",#N/A,TRUE,"M2";"M1sPrint",#N/A,TRUE,"M1s";"M2aPrint",#N/A,TRUE,"M2a";"M4Print",#N/A,TRUE,"M4";"M5Print",#N/A,TRUE,"M5";"M6Print",#N/A,TRUE,"M6";"M6_1Print",#N/A,TRUE,"M6_1";"M6_2Print",#N/A,TRUE,"M6_2";"M7_1Print",#N/A,TRUE,"M7_1";"M7_2Print",#N/A,TRUE,"M7_2"}</definedName>
    <definedName name="cashflow20030930" localSheetId="2" hidden="1">{"M1Print",#N/A,TRUE,"M1";"M2Print",#N/A,TRUE,"M2";"M1sPrint",#N/A,TRUE,"M1s";"M2aPrint",#N/A,TRUE,"M2a";"M4Print",#N/A,TRUE,"M4";"M5Print",#N/A,TRUE,"M5";"M6Print",#N/A,TRUE,"M6";"M6_1Print",#N/A,TRUE,"M6_1";"M6_2Print",#N/A,TRUE,"M6_2";"M7_1Print",#N/A,TRUE,"M7_1";"M7_2Print",#N/A,TRUE,"M7_2"}</definedName>
    <definedName name="cashflow20030930" localSheetId="11" hidden="1">{"M1Print",#N/A,TRUE,"M1";"M2Print",#N/A,TRUE,"M2";"M1sPrint",#N/A,TRUE,"M1s";"M2aPrint",#N/A,TRUE,"M2a";"M4Print",#N/A,TRUE,"M4";"M5Print",#N/A,TRUE,"M5";"M6Print",#N/A,TRUE,"M6";"M6_1Print",#N/A,TRUE,"M6_1";"M6_2Print",#N/A,TRUE,"M6_2";"M7_1Print",#N/A,TRUE,"M7_1";"M7_2Print",#N/A,TRUE,"M7_2"}</definedName>
    <definedName name="cashflow20030930" localSheetId="13" hidden="1">{"M1Print",#N/A,TRUE,"M1";"M2Print",#N/A,TRUE,"M2";"M1sPrint",#N/A,TRUE,"M1s";"M2aPrint",#N/A,TRUE,"M2a";"M4Print",#N/A,TRUE,"M4";"M5Print",#N/A,TRUE,"M5";"M6Print",#N/A,TRUE,"M6";"M6_1Print",#N/A,TRUE,"M6_1";"M6_2Print",#N/A,TRUE,"M6_2";"M7_1Print",#N/A,TRUE,"M7_1";"M7_2Print",#N/A,TRUE,"M7_2"}</definedName>
    <definedName name="cashflow20030930" localSheetId="10" hidden="1">{"M1Print",#N/A,TRUE,"M1";"M2Print",#N/A,TRUE,"M2";"M1sPrint",#N/A,TRUE,"M1s";"M2aPrint",#N/A,TRUE,"M2a";"M4Print",#N/A,TRUE,"M4";"M5Print",#N/A,TRUE,"M5";"M6Print",#N/A,TRUE,"M6";"M6_1Print",#N/A,TRUE,"M6_1";"M6_2Print",#N/A,TRUE,"M6_2";"M7_1Print",#N/A,TRUE,"M7_1";"M7_2Print",#N/A,TRUE,"M7_2"}</definedName>
    <definedName name="cashflow20030930" localSheetId="6" hidden="1">{"M1Print",#N/A,TRUE,"M1";"M2Print",#N/A,TRUE,"M2";"M1sPrint",#N/A,TRUE,"M1s";"M2aPrint",#N/A,TRUE,"M2a";"M4Print",#N/A,TRUE,"M4";"M5Print",#N/A,TRUE,"M5";"M6Print",#N/A,TRUE,"M6";"M6_1Print",#N/A,TRUE,"M6_1";"M6_2Print",#N/A,TRUE,"M6_2";"M7_1Print",#N/A,TRUE,"M7_1";"M7_2Print",#N/A,TRUE,"M7_2"}</definedName>
    <definedName name="cashflow20030930" hidden="1">{"M1Print",#N/A,TRUE,"M1";"M2Print",#N/A,TRUE,"M2";"M1sPrint",#N/A,TRUE,"M1s";"M2aPrint",#N/A,TRUE,"M2a";"M4Print",#N/A,TRUE,"M4";"M5Print",#N/A,TRUE,"M5";"M6Print",#N/A,TRUE,"M6";"M6_1Print",#N/A,TRUE,"M6_1";"M6_2Print",#N/A,TRUE,"M6_2";"M7_1Print",#N/A,TRUE,"M7_1";"M7_2Print",#N/A,TRUE,"M7_2"}</definedName>
    <definedName name="cbx" localSheetId="11" hidden="1">{#N/A,#N/A,FALSE,"M1s Board";#N/A,#N/A,FALSE,"M3 Board";#N/A,#N/A,FALSE,"M6 Board";#N/A,#N/A,FALSE,"M7";#N/A,#N/A,FALSE,"M7B";#N/A,#N/A,FALSE,"M8";#N/A,#N/A,FALSE,"M8A Board";#N/A,#N/A,FALSE,"AF1 Board"}</definedName>
    <definedName name="cbx" localSheetId="13" hidden="1">{#N/A,#N/A,FALSE,"M1s Board";#N/A,#N/A,FALSE,"M3 Board";#N/A,#N/A,FALSE,"M6 Board";#N/A,#N/A,FALSE,"M7";#N/A,#N/A,FALSE,"M7B";#N/A,#N/A,FALSE,"M8";#N/A,#N/A,FALSE,"M8A Board";#N/A,#N/A,FALSE,"AF1 Board"}</definedName>
    <definedName name="cbx" hidden="1">{#N/A,#N/A,FALSE,"M1s Board";#N/A,#N/A,FALSE,"M3 Board";#N/A,#N/A,FALSE,"M6 Board";#N/A,#N/A,FALSE,"M7";#N/A,#N/A,FALSE,"M7B";#N/A,#N/A,FALSE,"M8";#N/A,#N/A,FALSE,"M8A Board";#N/A,#N/A,FALSE,"AF1 Board"}</definedName>
    <definedName name="cccvb" localSheetId="11" hidden="1">{#N/A,#N/A,FALSE,"资产负债表";#N/A,#N/A,FALSE,"资产负债表"}</definedName>
    <definedName name="cccvb" localSheetId="13" hidden="1">{#N/A,#N/A,FALSE,"资产负债表";#N/A,#N/A,FALSE,"资产负债表"}</definedName>
    <definedName name="cccvb" hidden="1">{#N/A,#N/A,FALSE,"资产负债表";#N/A,#N/A,FALSE,"资产负债表"}</definedName>
    <definedName name="CFVVHH" localSheetId="11" hidden="1">{#N/A,#N/A,FALSE,"资产负债表";#N/A,#N/A,FALSE,"资产负债表"}</definedName>
    <definedName name="CFVVHH" localSheetId="13" hidden="1">{#N/A,#N/A,FALSE,"资产负债表";#N/A,#N/A,FALSE,"资产负债表"}</definedName>
    <definedName name="CFVVHH" hidden="1">{#N/A,#N/A,FALSE,"资产负债表";#N/A,#N/A,FALSE,"资产负债表"}</definedName>
    <definedName name="cfyik" localSheetId="11" hidden="1">{#N/A,#N/A,FALSE,"资产负债表";#N/A,#N/A,FALSE,"资产负债表"}</definedName>
    <definedName name="cfyik" localSheetId="13" hidden="1">{#N/A,#N/A,FALSE,"资产负债表";#N/A,#N/A,FALSE,"资产负债表"}</definedName>
    <definedName name="cfyik" hidden="1">{#N/A,#N/A,FALSE,"资产负债表";#N/A,#N/A,FALSE,"资产负债表"}</definedName>
    <definedName name="cgul" localSheetId="11" hidden="1">{#N/A,#N/A,FALSE,"资产负债表";#N/A,#N/A,FALSE,"资产负债表"}</definedName>
    <definedName name="cgul" localSheetId="13" hidden="1">{#N/A,#N/A,FALSE,"资产负债表";#N/A,#N/A,FALSE,"资产负债表"}</definedName>
    <definedName name="cgul" hidden="1">{#N/A,#N/A,FALSE,"资产负债表";#N/A,#N/A,FALSE,"资产负债表"}</definedName>
    <definedName name="cguocnbnl" localSheetId="11" hidden="1">{#N/A,#N/A,FALSE,"资产负债表";#N/A,#N/A,FALSE,"资产负债表"}</definedName>
    <definedName name="cguocnbnl" localSheetId="13" hidden="1">{#N/A,#N/A,FALSE,"资产负债表";#N/A,#N/A,FALSE,"资产负债表"}</definedName>
    <definedName name="cguocnbnl" hidden="1">{#N/A,#N/A,FALSE,"资产负债表";#N/A,#N/A,FALSE,"资产负债表"}</definedName>
    <definedName name="CIQWBGuid" hidden="1">"06.2023 - K- PPE Work Program Example.xlsx"</definedName>
    <definedName name="CIQWBInfo" hidden="1">"{ ""CIQVersion"":""9.51.3510.3078"" }"</definedName>
    <definedName name="Code" hidden="1">#REF!</definedName>
    <definedName name="Coll" localSheetId="11" hidden="1">{#N/A,#N/A,FALSE,"970301";#N/A,#N/A,FALSE,"970302";#N/A,#N/A,FALSE,"970303";#N/A,#N/A,FALSE,"970304";#N/A,#N/A,FALSE,"COM1";#N/A,#N/A,FALSE,"COM2"}</definedName>
    <definedName name="Coll" localSheetId="13" hidden="1">{#N/A,#N/A,FALSE,"970301";#N/A,#N/A,FALSE,"970302";#N/A,#N/A,FALSE,"970303";#N/A,#N/A,FALSE,"970304";#N/A,#N/A,FALSE,"COM1";#N/A,#N/A,FALSE,"COM2"}</definedName>
    <definedName name="Coll" hidden="1">{#N/A,#N/A,FALSE,"970301";#N/A,#N/A,FALSE,"970302";#N/A,#N/A,FALSE,"970303";#N/A,#N/A,FALSE,"970304";#N/A,#N/A,FALSE,"COM1";#N/A,#N/A,FALSE,"COM2"}</definedName>
    <definedName name="copia" localSheetId="13" hidden="1">{#N/A,#N/A,FALSE,"voz corporativa";#N/A,#N/A,FALSE,"Transmisión de datos";#N/A,#N/A,FALSE,"Videoconferencia";#N/A,#N/A,FALSE,"Correo electrónico";#N/A,#N/A,FALSE,"Correo de voz";#N/A,#N/A,FALSE,"Megafax";#N/A,#N/A,FALSE,"Edi";#N/A,#N/A,FALSE,"Internet";#N/A,#N/A,FALSE,"VSAT";#N/A,#N/A,FALSE,"ing ult. milla"}</definedName>
    <definedName name="copia" hidden="1">{#N/A,#N/A,FALSE,"voz corporativa";#N/A,#N/A,FALSE,"Transmisión de datos";#N/A,#N/A,FALSE,"Videoconferencia";#N/A,#N/A,FALSE,"Correo electrónico";#N/A,#N/A,FALSE,"Correo de voz";#N/A,#N/A,FALSE,"Megafax";#N/A,#N/A,FALSE,"Edi";#N/A,#N/A,FALSE,"Internet";#N/A,#N/A,FALSE,"VSAT";#N/A,#N/A,FALSE,"ing ult. milla"}</definedName>
    <definedName name="CSCGZ" localSheetId="13" hidden="1">Main.SAPF4Help()</definedName>
    <definedName name="CSCGZ" hidden="1">Main.SAPF4Help()</definedName>
    <definedName name="data1" hidden="1">#REF!</definedName>
    <definedName name="data2" hidden="1">#REF!</definedName>
    <definedName name="data3" hidden="1">#REF!</definedName>
    <definedName name="DBS" hidden="1">#REF!</definedName>
    <definedName name="dcca" localSheetId="11" hidden="1">{#N/A,#N/A,FALSE,"资产负债表";#N/A,#N/A,FALSE,"资产负债表"}</definedName>
    <definedName name="dcca" localSheetId="13" hidden="1">{#N/A,#N/A,FALSE,"资产负债表";#N/A,#N/A,FALSE,"资产负债表"}</definedName>
    <definedName name="dcca" hidden="1">{#N/A,#N/A,FALSE,"资产负债表";#N/A,#N/A,FALSE,"资产负债表"}</definedName>
    <definedName name="DDDD" localSheetId="13" hidden="1">{#N/A,#N/A,FALSE,"Virgin Flightdeck"}</definedName>
    <definedName name="DDDD" hidden="1">{#N/A,#N/A,FALSE,"Virgin Flightdeck"}</definedName>
    <definedName name="DDDDDD" localSheetId="13" hidden="1">{#N/A,#N/A,FALSE,"Virgin Flightdeck"}</definedName>
    <definedName name="DDDDDD" hidden="1">{#N/A,#N/A,FALSE,"Virgin Flightdeck"}</definedName>
    <definedName name="dfdf"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gdafsg" localSheetId="11" hidden="1">{#N/A,#N/A,FALSE,"OffAdvance";#N/A,#N/A,FALSE,"OffExpRprt";#N/A,#N/A,FALSE,"Travelling";#N/A,#N/A,FALSE,"Entertmnt";#N/A,#N/A,FALSE,"Promotion"}</definedName>
    <definedName name="dfgdafsg" localSheetId="13" hidden="1">{#N/A,#N/A,FALSE,"OffAdvance";#N/A,#N/A,FALSE,"OffExpRprt";#N/A,#N/A,FALSE,"Travelling";#N/A,#N/A,FALSE,"Entertmnt";#N/A,#N/A,FALSE,"Promotion"}</definedName>
    <definedName name="dfgdafsg" hidden="1">{#N/A,#N/A,FALSE,"OffAdvance";#N/A,#N/A,FALSE,"OffExpRprt";#N/A,#N/A,FALSE,"Travelling";#N/A,#N/A,FALSE,"Entertmnt";#N/A,#N/A,FALSE,"Promotion"}</definedName>
    <definedName name="dfk"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v" localSheetId="11" hidden="1">{"M1Print",#N/A,TRUE,"M1";"M2Print",#N/A,TRUE,"M2";"M1sPrint",#N/A,TRUE,"M1s";"M2aPrint",#N/A,TRUE,"M2a";"M4Print",#N/A,TRUE,"M4";"M5Print",#N/A,TRUE,"M5";"M6Print",#N/A,TRUE,"M6";"M6_1Print",#N/A,TRUE,"M6_1";"M6_2Print",#N/A,TRUE,"M6_2";"M7_1Print",#N/A,TRUE,"M7_1";"M7_2Print",#N/A,TRUE,"M7_2"}</definedName>
    <definedName name="dfv" localSheetId="13" hidden="1">{"M1Print",#N/A,TRUE,"M1";"M2Print",#N/A,TRUE,"M2";"M1sPrint",#N/A,TRUE,"M1s";"M2aPrint",#N/A,TRUE,"M2a";"M4Print",#N/A,TRUE,"M4";"M5Print",#N/A,TRUE,"M5";"M6Print",#N/A,TRUE,"M6";"M6_1Print",#N/A,TRUE,"M6_1";"M6_2Print",#N/A,TRUE,"M6_2";"M7_1Print",#N/A,TRUE,"M7_1";"M7_2Print",#N/A,TRUE,"M7_2"}</definedName>
    <definedName name="dfv" hidden="1">{"M1Print",#N/A,TRUE,"M1";"M2Print",#N/A,TRUE,"M2";"M1sPrint",#N/A,TRUE,"M1s";"M2aPrint",#N/A,TRUE,"M2a";"M4Print",#N/A,TRUE,"M4";"M5Print",#N/A,TRUE,"M5";"M6Print",#N/A,TRUE,"M6";"M6_1Print",#N/A,TRUE,"M6_1";"M6_2Print",#N/A,TRUE,"M6_2";"M7_1Print",#N/A,TRUE,"M7_1";"M7_2Print",#N/A,TRUE,"M7_2"}</definedName>
    <definedName name="dh" localSheetId="11" hidden="1">{"M4Print",#N/A,FALSE,"M4"}</definedName>
    <definedName name="dh" localSheetId="13" hidden="1">{"M4Print",#N/A,FALSE,"M4"}</definedName>
    <definedName name="dh" hidden="1">{"M4Print",#N/A,FALSE,"M4"}</definedName>
    <definedName name="Discount" hidden="1">#REF!</definedName>
    <definedName name="display_area_2" hidden="1">#REF!</definedName>
    <definedName name="dlf" localSheetId="11" hidden="1">{"M4Print",#N/A,FALSE,"M4"}</definedName>
    <definedName name="dlf" localSheetId="13" hidden="1">{"M4Print",#N/A,FALSE,"M4"}</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localSheetId="3" hidden="1">{#N/A,#N/A,TRUE,"CPRD";#N/A,#N/A,TRUE,"BCCPDR";#N/A,#N/A,TRUE,"EWRD";#N/A,#N/A,TRUE,"5100";#N/A,#N/A,TRUE,"5110"}</definedName>
    <definedName name="doddd" localSheetId="1" hidden="1">{#N/A,#N/A,TRUE,"CPRD";#N/A,#N/A,TRUE,"BCCPDR";#N/A,#N/A,TRUE,"EWRD";#N/A,#N/A,TRUE,"5100";#N/A,#N/A,TRUE,"5110"}</definedName>
    <definedName name="doddd" localSheetId="2" hidden="1">{#N/A,#N/A,TRUE,"CPRD";#N/A,#N/A,TRUE,"BCCPDR";#N/A,#N/A,TRUE,"EWRD";#N/A,#N/A,TRUE,"5100";#N/A,#N/A,TRUE,"5110"}</definedName>
    <definedName name="doddd" localSheetId="11" hidden="1">{#N/A,#N/A,TRUE,"CPRD";#N/A,#N/A,TRUE,"BCCPDR";#N/A,#N/A,TRUE,"EWRD";#N/A,#N/A,TRUE,"5100";#N/A,#N/A,TRUE,"5110"}</definedName>
    <definedName name="doddd" localSheetId="13" hidden="1">{#N/A,#N/A,TRUE,"CPRD";#N/A,#N/A,TRUE,"BCCPDR";#N/A,#N/A,TRUE,"EWRD";#N/A,#N/A,TRUE,"5100";#N/A,#N/A,TRUE,"5110"}</definedName>
    <definedName name="doddd" localSheetId="10" hidden="1">{#N/A,#N/A,TRUE,"CPRD";#N/A,#N/A,TRUE,"BCCPDR";#N/A,#N/A,TRUE,"EWRD";#N/A,#N/A,TRUE,"5100";#N/A,#N/A,TRUE,"5110"}</definedName>
    <definedName name="doddd" localSheetId="6" hidden="1">{#N/A,#N/A,TRUE,"CPRD";#N/A,#N/A,TRUE,"BCCPDR";#N/A,#N/A,TRUE,"EWRD";#N/A,#N/A,TRUE,"5100";#N/A,#N/A,TRUE,"5110"}</definedName>
    <definedName name="doddd" hidden="1">{#N/A,#N/A,TRUE,"CPRD";#N/A,#N/A,TRUE,"BCCPDR";#N/A,#N/A,TRUE,"EWRD";#N/A,#N/A,TRUE,"5100";#N/A,#N/A,TRUE,"5110"}</definedName>
    <definedName name="dog" localSheetId="3" hidden="1">{#N/A,#N/A,TRUE,"CPRD";#N/A,#N/A,TRUE,"BCCPDR";#N/A,#N/A,TRUE,"EWRD";#N/A,#N/A,TRUE,"5100";#N/A,#N/A,TRUE,"5110"}</definedName>
    <definedName name="dog" localSheetId="1" hidden="1">{#N/A,#N/A,TRUE,"CPRD";#N/A,#N/A,TRUE,"BCCPDR";#N/A,#N/A,TRUE,"EWRD";#N/A,#N/A,TRUE,"5100";#N/A,#N/A,TRUE,"5110"}</definedName>
    <definedName name="dog" localSheetId="2" hidden="1">{#N/A,#N/A,TRUE,"CPRD";#N/A,#N/A,TRUE,"BCCPDR";#N/A,#N/A,TRUE,"EWRD";#N/A,#N/A,TRUE,"5100";#N/A,#N/A,TRUE,"5110"}</definedName>
    <definedName name="dog" localSheetId="11" hidden="1">{#N/A,#N/A,TRUE,"CPRD";#N/A,#N/A,TRUE,"BCCPDR";#N/A,#N/A,TRUE,"EWRD";#N/A,#N/A,TRUE,"5100";#N/A,#N/A,TRUE,"5110"}</definedName>
    <definedName name="dog" localSheetId="13" hidden="1">{#N/A,#N/A,TRUE,"CPRD";#N/A,#N/A,TRUE,"BCCPDR";#N/A,#N/A,TRUE,"EWRD";#N/A,#N/A,TRUE,"5100";#N/A,#N/A,TRUE,"5110"}</definedName>
    <definedName name="dog" localSheetId="10" hidden="1">{#N/A,#N/A,TRUE,"CPRD";#N/A,#N/A,TRUE,"BCCPDR";#N/A,#N/A,TRUE,"EWRD";#N/A,#N/A,TRUE,"5100";#N/A,#N/A,TRUE,"5110"}</definedName>
    <definedName name="dog" localSheetId="6" hidden="1">{#N/A,#N/A,TRUE,"CPRD";#N/A,#N/A,TRUE,"BCCPDR";#N/A,#N/A,TRUE,"EWRD";#N/A,#N/A,TRUE,"5100";#N/A,#N/A,TRUE,"5110"}</definedName>
    <definedName name="dog" hidden="1">{#N/A,#N/A,TRUE,"CPRD";#N/A,#N/A,TRUE,"BCCPDR";#N/A,#N/A,TRUE,"EWRD";#N/A,#N/A,TRUE,"5100";#N/A,#N/A,TRUE,"5110"}</definedName>
    <definedName name="DPL" hidden="1">#REF!</definedName>
    <definedName name="ds" localSheetId="13" hidden="1">{"CSC_1",#N/A,FALSE,"CSC Outputs";"CSC_2",#N/A,FALSE,"CSC Outputs"}</definedName>
    <definedName name="ds" hidden="1">{"CSC_1",#N/A,FALSE,"CSC Outputs";"CSC_2",#N/A,FALSE,"CSC Outputs"}</definedName>
    <definedName name="dsasafsadf" localSheetId="13" hidden="1">{"page 1",#N/A,FALSE,"A";"page 2",#N/A,FALSE,"A";"page 3",#N/A,FALSE,"A";"page 4",#N/A,FALSE,"A";"page 5",#N/A,FALSE,"A";"page 6",#N/A,FALSE,"A";"page 7",#N/A,FALSE,"A";"page 8",#N/A,FALSE,"A";"page 9",#N/A,FALSE,"A";"page 10",#N/A,FALSE,"A";"page 11",#N/A,FALSE,"A";"page 12",#N/A,FALSE,"A";"page 13",#N/A,FALSE,"A";"page 14",#N/A,FALSE,"A"}</definedName>
    <definedName name="dsasafsadf" hidden="1">{"page 1",#N/A,FALSE,"A";"page 2",#N/A,FALSE,"A";"page 3",#N/A,FALSE,"A";"page 4",#N/A,FALSE,"A";"page 5",#N/A,FALSE,"A";"page 6",#N/A,FALSE,"A";"page 7",#N/A,FALSE,"A";"page 8",#N/A,FALSE,"A";"page 9",#N/A,FALSE,"A";"page 10",#N/A,FALSE,"A";"page 11",#N/A,FALSE,"A";"page 12",#N/A,FALSE,"A";"page 13",#N/A,FALSE,"A";"page 14",#N/A,FALSE,"A"}</definedName>
    <definedName name="DSCCD" localSheetId="13" hidden="1">{#N/A,#N/A,FALSE,"Verify at a Glance";#N/A,#N/A,FALSE,"CARMS VS. STAR";#N/A,#N/A,FALSE,"Intel-US";#N/A,#N/A,FALSE,"Intel-PR";#N/A,#N/A,FALSE,"Intel-MISC-6";#N/A,#N/A,FALSE,"Intel-DPA-7";#N/A,#N/A,FALSE,"Intel-IRE";#N/A,#N/A,FALSE,"Intel-HK";#N/A,#N/A,FALSE,"DAILY INPUT";#N/A,#N/A,FALSE,"P5 HK Cash List"}</definedName>
    <definedName name="DSCCD" hidden="1">{#N/A,#N/A,FALSE,"Verify at a Glance";#N/A,#N/A,FALSE,"CARMS VS. STAR";#N/A,#N/A,FALSE,"Intel-US";#N/A,#N/A,FALSE,"Intel-PR";#N/A,#N/A,FALSE,"Intel-MISC-6";#N/A,#N/A,FALSE,"Intel-DPA-7";#N/A,#N/A,FALSE,"Intel-IRE";#N/A,#N/A,FALSE,"Intel-HK";#N/A,#N/A,FALSE,"DAILY INPUT";#N/A,#N/A,FALSE,"P5 HK Cash List"}</definedName>
    <definedName name="dsd是" hidden="1">#REF!</definedName>
    <definedName name="dvbm" localSheetId="11" hidden="1">{#N/A,#N/A,FALSE,"资产负债表";#N/A,#N/A,FALSE,"资产负债表"}</definedName>
    <definedName name="dvbm" localSheetId="13" hidden="1">{#N/A,#N/A,FALSE,"资产负债表";#N/A,#N/A,FALSE,"资产负债表"}</definedName>
    <definedName name="dvbm" hidden="1">{#N/A,#N/A,FALSE,"资产负债表";#N/A,#N/A,FALSE,"资产负债表"}</definedName>
    <definedName name="DWED" hidden="1">#REF!</definedName>
    <definedName name="EDEW" hidden="1">#REF!</definedName>
    <definedName name="edispu" localSheetId="13" hidden="1">{#N/A,#N/A,FALSE,"Sheet1"}</definedName>
    <definedName name="edispu" hidden="1">{#N/A,#N/A,FALSE,"Sheet1"}</definedName>
    <definedName name="ehdg" localSheetId="11" hidden="1">{#N/A,#N/A,FALSE,"Jan"}</definedName>
    <definedName name="ehdg" localSheetId="13" hidden="1">{#N/A,#N/A,FALSE,"Jan"}</definedName>
    <definedName name="ehdg" localSheetId="10" hidden="1">{#N/A,#N/A,FALSE,"Jan"}</definedName>
    <definedName name="ehdg" localSheetId="6" hidden="1">{#N/A,#N/A,FALSE,"Jan"}</definedName>
    <definedName name="ehdg" hidden="1">{#N/A,#N/A,FALSE,"Jan"}</definedName>
    <definedName name="eqwrwer" localSheetId="13" hidden="1">{"Annual_Income",#N/A,FALSE,"Report Page";"Balance_Cash_Flow",#N/A,FALSE,"Report Page";"Quarterly_Income",#N/A,FALSE,"Report Page"}</definedName>
    <definedName name="eqwrwer" hidden="1">{"Annual_Income",#N/A,FALSE,"Report Page";"Balance_Cash_Flow",#N/A,FALSE,"Report Page";"Quarterly_Income",#N/A,FALSE,"Report Page"}</definedName>
    <definedName name="erf" localSheetId="11" hidden="1">{#N/A,#N/A,FALSE,"970301";#N/A,#N/A,FALSE,"970302";#N/A,#N/A,FALSE,"970303";#N/A,#N/A,FALSE,"970304";#N/A,#N/A,FALSE,"COM1";#N/A,#N/A,FALSE,"COM2"}</definedName>
    <definedName name="erf" localSheetId="13" hidden="1">{#N/A,#N/A,FALSE,"970301";#N/A,#N/A,FALSE,"970302";#N/A,#N/A,FALSE,"970303";#N/A,#N/A,FALSE,"970304";#N/A,#N/A,FALSE,"COM1";#N/A,#N/A,FALSE,"COM2"}</definedName>
    <definedName name="erf" hidden="1">{#N/A,#N/A,FALSE,"970301";#N/A,#N/A,FALSE,"970302";#N/A,#N/A,FALSE,"970303";#N/A,#N/A,FALSE,"970304";#N/A,#N/A,FALSE,"COM1";#N/A,#N/A,FALSE,"COM2"}</definedName>
    <definedName name="errrr" localSheetId="13" hidden="1">{"CSC_1",#N/A,FALSE,"CSC Outputs";"CSC_2",#N/A,FALSE,"CSC Outputs"}</definedName>
    <definedName name="errrr" hidden="1">{"CSC_1",#N/A,FALSE,"CSC Outputs";"CSC_2",#N/A,FALSE,"CSC Outputs"}</definedName>
    <definedName name="eryj" localSheetId="11" hidden="1">{#N/A,#N/A,FALSE,"资产负债表";#N/A,#N/A,FALSE,"资产负债表"}</definedName>
    <definedName name="eryj" localSheetId="13" hidden="1">{#N/A,#N/A,FALSE,"资产负债表";#N/A,#N/A,FALSE,"资产负债表"}</definedName>
    <definedName name="eryj" hidden="1">{#N/A,#N/A,FALSE,"资产负债表";#N/A,#N/A,FALSE,"资产负债表"}</definedName>
    <definedName name="EV__LASTREFTIME__" hidden="1">39274.4724884259</definedName>
    <definedName name="ExpenseUpload" localSheetId="3" hidden="1">{#N/A,#N/A,TRUE,"CPRD";#N/A,#N/A,TRUE,"BCCPDR";#N/A,#N/A,TRUE,"EWRD";#N/A,#N/A,TRUE,"5100";#N/A,#N/A,TRUE,"5110"}</definedName>
    <definedName name="ExpenseUpload" localSheetId="1" hidden="1">{#N/A,#N/A,TRUE,"CPRD";#N/A,#N/A,TRUE,"BCCPDR";#N/A,#N/A,TRUE,"EWRD";#N/A,#N/A,TRUE,"5100";#N/A,#N/A,TRUE,"5110"}</definedName>
    <definedName name="ExpenseUpload" localSheetId="2" hidden="1">{#N/A,#N/A,TRUE,"CPRD";#N/A,#N/A,TRUE,"BCCPDR";#N/A,#N/A,TRUE,"EWRD";#N/A,#N/A,TRUE,"5100";#N/A,#N/A,TRUE,"5110"}</definedName>
    <definedName name="ExpenseUpload" localSheetId="11" hidden="1">{#N/A,#N/A,TRUE,"CPRD";#N/A,#N/A,TRUE,"BCCPDR";#N/A,#N/A,TRUE,"EWRD";#N/A,#N/A,TRUE,"5100";#N/A,#N/A,TRUE,"5110"}</definedName>
    <definedName name="ExpenseUpload" localSheetId="13" hidden="1">{#N/A,#N/A,TRUE,"CPRD";#N/A,#N/A,TRUE,"BCCPDR";#N/A,#N/A,TRUE,"EWRD";#N/A,#N/A,TRUE,"5100";#N/A,#N/A,TRUE,"5110"}</definedName>
    <definedName name="ExpenseUpload" localSheetId="10" hidden="1">{#N/A,#N/A,TRUE,"CPRD";#N/A,#N/A,TRUE,"BCCPDR";#N/A,#N/A,TRUE,"EWRD";#N/A,#N/A,TRUE,"5100";#N/A,#N/A,TRUE,"5110"}</definedName>
    <definedName name="ExpenseUpload" localSheetId="6" hidden="1">{#N/A,#N/A,TRUE,"CPRD";#N/A,#N/A,TRUE,"BCCPDR";#N/A,#N/A,TRUE,"EWRD";#N/A,#N/A,TRUE,"5100";#N/A,#N/A,TRUE,"5110"}</definedName>
    <definedName name="ExpenseUpload" hidden="1">{#N/A,#N/A,TRUE,"CPRD";#N/A,#N/A,TRUE,"BCCPDR";#N/A,#N/A,TRUE,"EWRD";#N/A,#N/A,TRUE,"5100";#N/A,#N/A,TRUE,"5110"}</definedName>
    <definedName name="faif" localSheetId="11" hidden="1">{#N/A,#N/A,FALSE,"资产负债表";#N/A,#N/A,FALSE,"资产负债表"}</definedName>
    <definedName name="faif" localSheetId="13" hidden="1">{#N/A,#N/A,FALSE,"资产负债表";#N/A,#N/A,FALSE,"资产负债表"}</definedName>
    <definedName name="faif" hidden="1">{#N/A,#N/A,FALSE,"资产负债表";#N/A,#N/A,FALSE,"资产负债表"}</definedName>
    <definedName name="FCode" hidden="1">#REF!</definedName>
    <definedName name="fd" localSheetId="11" hidden="1">{"M1sPrint",#N/A,FALSE,"M1s"}</definedName>
    <definedName name="fd" localSheetId="13" hidden="1">{"M1sPrint",#N/A,FALSE,"M1s"}</definedName>
    <definedName name="fd" hidden="1">{"M1sPrint",#N/A,FALSE,"M1s"}</definedName>
    <definedName name="FDEFRE" hidden="1">#REF!</definedName>
    <definedName name="FDVV" localSheetId="13" hidden="1">{#N/A,#N/A,FALSE,"Verify at a Glance";#N/A,#N/A,FALSE,"CARMS VS. STAR";#N/A,#N/A,FALSE,"Intel-US";#N/A,#N/A,FALSE,"Intel-PR";#N/A,#N/A,FALSE,"Intel-MISC-6";#N/A,#N/A,FALSE,"Intel-DPA-7";#N/A,#N/A,FALSE,"Intel-IRE";#N/A,#N/A,FALSE,"Intel-HK";#N/A,#N/A,FALSE,"DAILY INPUT";#N/A,#N/A,FALSE,"P5 HK Cash List"}</definedName>
    <definedName name="FDVV" hidden="1">{#N/A,#N/A,FALSE,"Verify at a Glance";#N/A,#N/A,FALSE,"CARMS VS. STAR";#N/A,#N/A,FALSE,"Intel-US";#N/A,#N/A,FALSE,"Intel-PR";#N/A,#N/A,FALSE,"Intel-MISC-6";#N/A,#N/A,FALSE,"Intel-DPA-7";#N/A,#N/A,FALSE,"Intel-IRE";#N/A,#N/A,FALSE,"Intel-HK";#N/A,#N/A,FALSE,"DAILY INPUT";#N/A,#N/A,FALSE,"P5 HK Cash List"}</definedName>
    <definedName name="feedback" localSheetId="11" hidden="1">{#N/A,#N/A,TRUE,"CPRD";#N/A,#N/A,TRUE,"BCCPDR";#N/A,#N/A,TRUE,"EWRD";#N/A,#N/A,TRUE,"5100";#N/A,#N/A,TRUE,"5110"}</definedName>
    <definedName name="feedback" localSheetId="13" hidden="1">{#N/A,#N/A,TRUE,"CPRD";#N/A,#N/A,TRUE,"BCCPDR";#N/A,#N/A,TRUE,"EWRD";#N/A,#N/A,TRUE,"5100";#N/A,#N/A,TRUE,"5110"}</definedName>
    <definedName name="feedback" hidden="1">{#N/A,#N/A,TRUE,"CPRD";#N/A,#N/A,TRUE,"BCCPDR";#N/A,#N/A,TRUE,"EWRD";#N/A,#N/A,TRUE,"5100";#N/A,#N/A,TRUE,"5110"}</definedName>
    <definedName name="fgdg" localSheetId="11" hidden="1">{"M1Print",#N/A,TRUE,"M1";"M2Print",#N/A,TRUE,"M2";"M1sPrint",#N/A,TRUE,"M1s";"M2aPrint",#N/A,TRUE,"M2a";"M4Print",#N/A,TRUE,"M4";"M5Print",#N/A,TRUE,"M5";"M6Print",#N/A,TRUE,"M6";"M6_1Print",#N/A,TRUE,"M6_1";"M6_2Print",#N/A,TRUE,"M6_2";"M7_1Print",#N/A,TRUE,"M7_1";"M7_2Print",#N/A,TRUE,"M7_2"}</definedName>
    <definedName name="fgdg" localSheetId="13" hidden="1">{"M1Print",#N/A,TRUE,"M1";"M2Print",#N/A,TRUE,"M2";"M1sPrint",#N/A,TRUE,"M1s";"M2aPrint",#N/A,TRUE,"M2a";"M4Print",#N/A,TRUE,"M4";"M5Print",#N/A,TRUE,"M5";"M6Print",#N/A,TRUE,"M6";"M6_1Print",#N/A,TRUE,"M6_1";"M6_2Print",#N/A,TRUE,"M6_2";"M7_1Print",#N/A,TRUE,"M7_1";"M7_2Print",#N/A,TRUE,"M7_2"}</definedName>
    <definedName name="fgdg" hidden="1">{"M1Print",#N/A,TRUE,"M1";"M2Print",#N/A,TRUE,"M2";"M1sPrint",#N/A,TRUE,"M1s";"M2aPrint",#N/A,TRUE,"M2a";"M4Print",#N/A,TRUE,"M4";"M5Print",#N/A,TRUE,"M5";"M6Print",#N/A,TRUE,"M6";"M6_1Print",#N/A,TRUE,"M6_1";"M6_2Print",#N/A,TRUE,"M6_2";"M7_1Print",#N/A,TRUE,"M7_1";"M7_2Print",#N/A,TRUE,"M7_2"}</definedName>
    <definedName name="fggh" localSheetId="13" hidden="1">{#N/A,#N/A,FALSE,"970301";#N/A,#N/A,FALSE,"970302";#N/A,#N/A,FALSE,"970303";#N/A,#N/A,FALSE,"970304";#N/A,#N/A,FALSE,"COM1";#N/A,#N/A,FALSE,"COM2"}</definedName>
    <definedName name="fggh" hidden="1">{#N/A,#N/A,FALSE,"970301";#N/A,#N/A,FALSE,"970302";#N/A,#N/A,FALSE,"970303";#N/A,#N/A,FALSE,"970304";#N/A,#N/A,FALSE,"COM1";#N/A,#N/A,FALSE,"COM2"}</definedName>
    <definedName name="fggh1" localSheetId="13" hidden="1">{#N/A,#N/A,FALSE,"970301";#N/A,#N/A,FALSE,"970302";#N/A,#N/A,FALSE,"970303";#N/A,#N/A,FALSE,"970304";#N/A,#N/A,FALSE,"COM1";#N/A,#N/A,FALSE,"COM2"}</definedName>
    <definedName name="fggh1" hidden="1">{#N/A,#N/A,FALSE,"970301";#N/A,#N/A,FALSE,"970302";#N/A,#N/A,FALSE,"970303";#N/A,#N/A,FALSE,"970304";#N/A,#N/A,FALSE,"COM1";#N/A,#N/A,FALSE,"COM2"}</definedName>
    <definedName name="fvb" localSheetId="11" hidden="1">{#N/A,#N/A,FALSE,"资产负债表";#N/A,#N/A,FALSE,"资产负债表"}</definedName>
    <definedName name="fvb" localSheetId="13" hidden="1">{#N/A,#N/A,FALSE,"资产负债表";#N/A,#N/A,FALSE,"资产负债表"}</definedName>
    <definedName name="fvb" hidden="1">{#N/A,#N/A,FALSE,"资产负债表";#N/A,#N/A,FALSE,"资产负债表"}</definedName>
    <definedName name="G9IJGF" localSheetId="11" hidden="1">{#N/A,#N/A,FALSE,"资产负债表";#N/A,#N/A,FALSE,"资产负债表"}</definedName>
    <definedName name="G9IJGF" localSheetId="13" hidden="1">{#N/A,#N/A,FALSE,"资产负债表";#N/A,#N/A,FALSE,"资产负债表"}</definedName>
    <definedName name="G9IJGF" hidden="1">{#N/A,#N/A,FALSE,"资产负债表";#N/A,#N/A,FALSE,"资产负债表"}</definedName>
    <definedName name="gggg" localSheetId="13" hidden="1">{#N/A,#N/A,FALSE,"OffAdvance";#N/A,#N/A,FALSE,"OffExpRprt";#N/A,#N/A,FALSE,"Travelling";#N/A,#N/A,FALSE,"Entertmnt";#N/A,#N/A,FALSE,"Promotion"}</definedName>
    <definedName name="gggg" hidden="1">{#N/A,#N/A,FALSE,"OffAdvance";#N/A,#N/A,FALSE,"OffExpRprt";#N/A,#N/A,FALSE,"Travelling";#N/A,#N/A,FALSE,"Entertmnt";#N/A,#N/A,FALSE,"Promotion"}</definedName>
    <definedName name="gggg1" localSheetId="13" hidden="1">{#N/A,#N/A,FALSE,"OffAdvance";#N/A,#N/A,FALSE,"OffExpRprt";#N/A,#N/A,FALSE,"Travelling";#N/A,#N/A,FALSE,"Entertmnt";#N/A,#N/A,FALSE,"Promotion"}</definedName>
    <definedName name="gggg1" hidden="1">{#N/A,#N/A,FALSE,"OffAdvance";#N/A,#N/A,FALSE,"OffExpRprt";#N/A,#N/A,FALSE,"Travelling";#N/A,#N/A,FALSE,"Entertmnt";#N/A,#N/A,FALSE,"Promotion"}</definedName>
    <definedName name="hadiah" localSheetId="11" hidden="1">{#N/A,#N/A,FALSE,"资产负债表";#N/A,#N/A,FALSE,"资产负债表"}</definedName>
    <definedName name="hadiah" localSheetId="13" hidden="1">{#N/A,#N/A,FALSE,"资产负债表";#N/A,#N/A,FALSE,"资产负债表"}</definedName>
    <definedName name="hadiah" hidden="1">{#N/A,#N/A,FALSE,"资产负债表";#N/A,#N/A,FALSE,"资产负债表"}</definedName>
    <definedName name="HdctTrnd" localSheetId="3" hidden="1">{#N/A,#N/A,TRUE,"CPRD";#N/A,#N/A,TRUE,"BCCPDR";#N/A,#N/A,TRUE,"EWRD";#N/A,#N/A,TRUE,"5100";#N/A,#N/A,TRUE,"5110"}</definedName>
    <definedName name="HdctTrnd" localSheetId="1" hidden="1">{#N/A,#N/A,TRUE,"CPRD";#N/A,#N/A,TRUE,"BCCPDR";#N/A,#N/A,TRUE,"EWRD";#N/A,#N/A,TRUE,"5100";#N/A,#N/A,TRUE,"5110"}</definedName>
    <definedName name="HdctTrnd" localSheetId="2" hidden="1">{#N/A,#N/A,TRUE,"CPRD";#N/A,#N/A,TRUE,"BCCPDR";#N/A,#N/A,TRUE,"EWRD";#N/A,#N/A,TRUE,"5100";#N/A,#N/A,TRUE,"5110"}</definedName>
    <definedName name="HdctTrnd" localSheetId="11" hidden="1">{#N/A,#N/A,TRUE,"CPRD";#N/A,#N/A,TRUE,"BCCPDR";#N/A,#N/A,TRUE,"EWRD";#N/A,#N/A,TRUE,"5100";#N/A,#N/A,TRUE,"5110"}</definedName>
    <definedName name="HdctTrnd" localSheetId="13" hidden="1">{#N/A,#N/A,TRUE,"CPRD";#N/A,#N/A,TRUE,"BCCPDR";#N/A,#N/A,TRUE,"EWRD";#N/A,#N/A,TRUE,"5100";#N/A,#N/A,TRUE,"5110"}</definedName>
    <definedName name="HdctTrnd" localSheetId="10" hidden="1">{#N/A,#N/A,TRUE,"CPRD";#N/A,#N/A,TRUE,"BCCPDR";#N/A,#N/A,TRUE,"EWRD";#N/A,#N/A,TRUE,"5100";#N/A,#N/A,TRUE,"5110"}</definedName>
    <definedName name="HdctTrnd" localSheetId="6" hidden="1">{#N/A,#N/A,TRUE,"CPRD";#N/A,#N/A,TRUE,"BCCPDR";#N/A,#N/A,TRUE,"EWRD";#N/A,#N/A,TRUE,"5100";#N/A,#N/A,TRUE,"5110"}</definedName>
    <definedName name="HdctTrnd" hidden="1">{#N/A,#N/A,TRUE,"CPRD";#N/A,#N/A,TRUE,"BCCPDR";#N/A,#N/A,TRUE,"EWRD";#N/A,#N/A,TRUE,"5100";#N/A,#N/A,TRUE,"5110"}</definedName>
    <definedName name="HiddenRows" hidden="1">#REF!</definedName>
    <definedName name="hod" localSheetId="13" hidden="1">{#N/A,#N/A,FALSE,"TS";#N/A,#N/A,FALSE,"Combo";#N/A,#N/A,FALSE,"FAIR";#N/A,#N/A,FALSE,"RBC";#N/A,#N/A,FALSE,"xxxx";#N/A,#N/A,FALSE,"A_D";#N/A,#N/A,FALSE,"WACC";#N/A,#N/A,FALSE,"DCF";#N/A,#N/A,FALSE,"LBO";#N/A,#N/A,FALSE,"AcqMults";#N/A,#N/A,FALSE,"CompMults"}</definedName>
    <definedName name="hod" hidden="1">{#N/A,#N/A,FALSE,"TS";#N/A,#N/A,FALSE,"Combo";#N/A,#N/A,FALSE,"FAIR";#N/A,#N/A,FALSE,"RBC";#N/A,#N/A,FALSE,"xxxx";#N/A,#N/A,FALSE,"A_D";#N/A,#N/A,FALSE,"WACC";#N/A,#N/A,FALSE,"DCF";#N/A,#N/A,FALSE,"LBO";#N/A,#N/A,FALSE,"AcqMults";#N/A,#N/A,FALSE,"CompMults"}</definedName>
    <definedName name="houy" localSheetId="13" hidden="1">{#N/A,#N/A,FALSE,"AD_Purchase";#N/A,#N/A,FALSE,"Credit";#N/A,#N/A,FALSE,"PF Acquisition";#N/A,#N/A,FALSE,"PF Offering"}</definedName>
    <definedName name="houy" hidden="1">{#N/A,#N/A,FALSE,"AD_Purchase";#N/A,#N/A,FALSE,"Credit";#N/A,#N/A,FALSE,"PF Acquisition";#N/A,#N/A,FALSE,"PF Offering"}</definedName>
    <definedName name="HTL_Cotrol1" localSheetId="11" hidden="1">{"'Sheet3'!$A$47:$M$47"}</definedName>
    <definedName name="HTL_Cotrol1" localSheetId="13" hidden="1">{"'Sheet3'!$A$47:$M$47"}</definedName>
    <definedName name="HTL_Cotrol1" hidden="1">{"'Sheet3'!$A$47:$M$47"}</definedName>
    <definedName name="HTML_CodePage" hidden="1">1252</definedName>
    <definedName name="HTML_Control" localSheetId="3" hidden="1">{"'Vxxe_times_J750 (2)'!$A$3:$E$14"}</definedName>
    <definedName name="HTML_Control" localSheetId="1" hidden="1">{"'Vxxe_times_J750 (2)'!$A$3:$E$14"}</definedName>
    <definedName name="HTML_Control" localSheetId="2" hidden="1">{"'Vxxe_times_J750 (2)'!$A$3:$E$14"}</definedName>
    <definedName name="HTML_Control" localSheetId="11" hidden="1">{"'Vxxe_times_J750 (2)'!$A$3:$E$14"}</definedName>
    <definedName name="HTML_Control" localSheetId="13" hidden="1">{"'Vxxe_times_J750 (2)'!$A$3:$E$14"}</definedName>
    <definedName name="HTML_Control" localSheetId="10" hidden="1">{"'Vxxe_times_J750 (2)'!$A$3:$E$14"}</definedName>
    <definedName name="HTML_Control" localSheetId="6" hidden="1">{"'Vxxe_times_J750 (2)'!$A$3:$E$14"}</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PathFileMac" hidden="1">"Macintosh HD:HomePageStuff:New_Home_Page:datafile:ctryprem.html"</definedName>
    <definedName name="HTML_Title" hidden="1">"virtexE_j750_wolf_comparison"</definedName>
    <definedName name="hueoa" localSheetId="11" hidden="1">{#N/A,#N/A,FALSE,"资产负债表";#N/A,#N/A,FALSE,"资产负债表"}</definedName>
    <definedName name="hueoa" localSheetId="13" hidden="1">{#N/A,#N/A,FALSE,"资产负债表";#N/A,#N/A,FALSE,"资产负债表"}</definedName>
    <definedName name="hueoa" hidden="1">{#N/A,#N/A,FALSE,"资产负债表";#N/A,#N/A,FALSE,"资产负债表"}</definedName>
    <definedName name="ieji" localSheetId="11" hidden="1">{#N/A,#N/A,FALSE,"970301";#N/A,#N/A,FALSE,"970302";#N/A,#N/A,FALSE,"970303";#N/A,#N/A,FALSE,"970304";#N/A,#N/A,FALSE,"COM1";#N/A,#N/A,FALSE,"COM2"}</definedName>
    <definedName name="ieji" localSheetId="13" hidden="1">{#N/A,#N/A,FALSE,"970301";#N/A,#N/A,FALSE,"970302";#N/A,#N/A,FALSE,"970303";#N/A,#N/A,FALSE,"970304";#N/A,#N/A,FALSE,"COM1";#N/A,#N/A,FALSE,"COM2"}</definedName>
    <definedName name="ieji" hidden="1">{#N/A,#N/A,FALSE,"970301";#N/A,#N/A,FALSE,"970302";#N/A,#N/A,FALSE,"970303";#N/A,#N/A,FALSE,"970304";#N/A,#N/A,FALSE,"COM1";#N/A,#N/A,FALSE,"COM2"}</definedName>
    <definedName name="iiiiii" localSheetId="13" hidden="1">{#N/A,#N/A,FALSE,"PERSONAL";#N/A,#N/A,FALSE,"explotación";#N/A,#N/A,FALSE,"generales"}</definedName>
    <definedName name="iiiiii" hidden="1">{#N/A,#N/A,FALSE,"PERSONAL";#N/A,#N/A,FALSE,"explotación";#N/A,#N/A,FALSE,"generales"}</definedName>
    <definedName name="inflList" hidden="1">"00000000000000000000000000000000000000000000000000000000000000000000000000000000000000000000000000000000000000000000000000000000000000000000000000000000000000000000000000000000000000000000000000000000"</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39036.4994560185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jdda" localSheetId="11" hidden="1">{"M4Print",#N/A,FALSE,"M4"}</definedName>
    <definedName name="jdda" localSheetId="13" hidden="1">{"M4Print",#N/A,FALSE,"M4"}</definedName>
    <definedName name="jdda" hidden="1">{"M4Print",#N/A,FALSE,"M4"}</definedName>
    <definedName name="jdfslsajdflasdkjpf" localSheetId="11" hidden="1">{#N/A,#N/A,FALSE,"OffAdvance";#N/A,#N/A,FALSE,"OffExpRprt";#N/A,#N/A,FALSE,"Entertmnt";#N/A,#N/A,FALSE,"Promotion";#N/A,#N/A,FALSE,"Travelling"}</definedName>
    <definedName name="jdfslsajdflasdkjpf" localSheetId="13" hidden="1">{#N/A,#N/A,FALSE,"OffAdvance";#N/A,#N/A,FALSE,"OffExpRprt";#N/A,#N/A,FALSE,"Entertmnt";#N/A,#N/A,FALSE,"Promotion";#N/A,#N/A,FALSE,"Travelling"}</definedName>
    <definedName name="jdfslsajdflasdkjpf" hidden="1">{#N/A,#N/A,FALSE,"OffAdvance";#N/A,#N/A,FALSE,"OffExpRprt";#N/A,#N/A,FALSE,"Entertmnt";#N/A,#N/A,FALSE,"Promotion";#N/A,#N/A,FALSE,"Travelling"}</definedName>
    <definedName name="jfgh" localSheetId="11" hidden="1">{"M1sPrint",#N/A,FALSE,"M1s"}</definedName>
    <definedName name="jfgh" localSheetId="13" hidden="1">{"M1sPrint",#N/A,FALSE,"M1s"}</definedName>
    <definedName name="jfgh" hidden="1">{"M1sPrint",#N/A,FALSE,"M1s"}</definedName>
    <definedName name="jgfhfg" localSheetId="11" hidden="1">{"M1sPrint",#N/A,FALSE,"M1s"}</definedName>
    <definedName name="jgfhfg" localSheetId="13" hidden="1">{"M1sPrint",#N/A,FALSE,"M1s"}</definedName>
    <definedName name="jgfhfg" hidden="1">{"M1sPrint",#N/A,FALSE,"M1s"}</definedName>
    <definedName name="jlj" localSheetId="11" hidden="1">{"M2aPrint",#N/A,FALSE,"M2a"}</definedName>
    <definedName name="jlj" localSheetId="13" hidden="1">{"M2aPrint",#N/A,FALSE,"M2a"}</definedName>
    <definedName name="jlj" hidden="1">{"M2aPrint",#N/A,FALSE,"M2a"}</definedName>
    <definedName name="jughn" localSheetId="11" hidden="1">{"M7_1Print",#N/A,TRUE,"M7_1";"M7_2Print",#N/A,TRUE,"M7_2"}</definedName>
    <definedName name="jughn" localSheetId="13" hidden="1">{"M7_1Print",#N/A,TRUE,"M7_1";"M7_2Print",#N/A,TRUE,"M7_2"}</definedName>
    <definedName name="jughn" hidden="1">{"M7_1Print",#N/A,TRUE,"M7_1";"M7_2Print",#N/A,TRUE,"M7_2"}</definedName>
    <definedName name="jytj" localSheetId="11" hidden="1">{"M7_1Print",#N/A,TRUE,"M7_1";"M7_2Print",#N/A,TRUE,"M7_2"}</definedName>
    <definedName name="jytj" localSheetId="13" hidden="1">{"M7_1Print",#N/A,TRUE,"M7_1";"M7_2Print",#N/A,TRUE,"M7_2"}</definedName>
    <definedName name="jytj" hidden="1">{"M7_1Print",#N/A,TRUE,"M7_1";"M7_2Print",#N/A,TRUE,"M7_2"}</definedName>
    <definedName name="K2_WBEVMODE" hidden="1">-1</definedName>
    <definedName name="klj" localSheetId="13" hidden="1">{#N/A,#N/A,FALSE,"OffAdvance";#N/A,#N/A,FALSE,"OffExpRprt";#N/A,#N/A,FALSE,"Travelling";#N/A,#N/A,FALSE,"Entertmnt";#N/A,#N/A,FALSE,"Promotion"}</definedName>
    <definedName name="klj" hidden="1">{#N/A,#N/A,FALSE,"OffAdvance";#N/A,#N/A,FALSE,"OffExpRprt";#N/A,#N/A,FALSE,"Travelling";#N/A,#N/A,FALSE,"Entertmnt";#N/A,#N/A,FALSE,"Promotion"}</definedName>
    <definedName name="kljik" localSheetId="11" hidden="1">{#N/A,#N/A,FALSE,"OffAdvance";#N/A,#N/A,FALSE,"OffExpRprt";#N/A,#N/A,FALSE,"Entertmnt";#N/A,#N/A,FALSE,"Promotion";#N/A,#N/A,FALSE,"Travelling"}</definedName>
    <definedName name="kljik" localSheetId="13" hidden="1">{#N/A,#N/A,FALSE,"OffAdvance";#N/A,#N/A,FALSE,"OffExpRprt";#N/A,#N/A,FALSE,"Entertmnt";#N/A,#N/A,FALSE,"Promotion";#N/A,#N/A,FALSE,"Travelling"}</definedName>
    <definedName name="kljik" hidden="1">{#N/A,#N/A,FALSE,"OffAdvance";#N/A,#N/A,FALSE,"OffExpRprt";#N/A,#N/A,FALSE,"Entertmnt";#N/A,#N/A,FALSE,"Promotion";#N/A,#N/A,FALSE,"Travelling"}</definedName>
    <definedName name="kmk" localSheetId="13" hidden="1">{#N/A,#N/A,FALSE,"Marketing";#N/A,#N/A,FALSE,"Selling";#N/A,#N/A,FALSE,"Promotional";#N/A,#N/A,FALSE,"Advertising"}</definedName>
    <definedName name="kmk" hidden="1">{#N/A,#N/A,FALSE,"Marketing";#N/A,#N/A,FALSE,"Selling";#N/A,#N/A,FALSE,"Promotional";#N/A,#N/A,FALSE,"Advertising"}</definedName>
    <definedName name="kuj" localSheetId="11" hidden="1">{"M6Print",#N/A,FALSE,"M6";"M6_1Print",#N/A,FALSE,"M6_1";"M6_2Print",#N/A,FALSE,"M6_2"}</definedName>
    <definedName name="kuj" localSheetId="13" hidden="1">{"M6Print",#N/A,FALSE,"M6";"M6_1Print",#N/A,FALSE,"M6_1";"M6_2Print",#N/A,FALSE,"M6_2"}</definedName>
    <definedName name="kuj" hidden="1">{"M6Print",#N/A,FALSE,"M6";"M6_1Print",#N/A,FALSE,"M6_1";"M6_2Print",#N/A,FALSE,"M6_2"}</definedName>
    <definedName name="lbo" localSheetId="13" hidden="1">{#N/A,#N/A,FALSE,"Summary";#N/A,#N/A,FALSE,"Projections";#N/A,#N/A,FALSE,"Mkt Mults";#N/A,#N/A,FALSE,"DCF";#N/A,#N/A,FALSE,"Accr Dil";#N/A,#N/A,FALSE,"PIC LBO";#N/A,#N/A,FALSE,"MULT10_4";#N/A,#N/A,FALSE,"CBI LBO"}</definedName>
    <definedName name="lbo" hidden="1">{#N/A,#N/A,FALSE,"Summary";#N/A,#N/A,FALSE,"Projections";#N/A,#N/A,FALSE,"Mkt Mults";#N/A,#N/A,FALSE,"DCF";#N/A,#N/A,FALSE,"Accr Dil";#N/A,#N/A,FALSE,"PIC LBO";#N/A,#N/A,FALSE,"MULT10_4";#N/A,#N/A,FALSE,"CBI LBO"}</definedName>
    <definedName name="ListOffset" hidden="1">1</definedName>
    <definedName name="lm" localSheetId="13" hidden="1">{#N/A,#N/A,FALSE,"970301";#N/A,#N/A,FALSE,"970302";#N/A,#N/A,FALSE,"970303";#N/A,#N/A,FALSE,"970304";#N/A,#N/A,FALSE,"COM1";#N/A,#N/A,FALSE,"COM2"}</definedName>
    <definedName name="lm" hidden="1">{#N/A,#N/A,FALSE,"970301";#N/A,#N/A,FALSE,"970302";#N/A,#N/A,FALSE,"970303";#N/A,#N/A,FALSE,"970304";#N/A,#N/A,FALSE,"COM1";#N/A,#N/A,FALSE,"COM2"}</definedName>
    <definedName name="lola" localSheetId="13" hidden="1">{#N/A,#N/A,FALSE,"PERSONAL";#N/A,#N/A,FALSE,"explotación";#N/A,#N/A,FALSE,"generales"}</definedName>
    <definedName name="lola" hidden="1">{#N/A,#N/A,FALSE,"PERSONAL";#N/A,#N/A,FALSE,"explotación";#N/A,#N/A,FALSE,"generales"}</definedName>
    <definedName name="lolal" localSheetId="13"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l"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 localSheetId="13" hidden="1">{#N/A,#N/A,FALSE,"voz corporativa";#N/A,#N/A,FALSE,"Transmisión de datos";#N/A,#N/A,FALSE,"Videoconferencia";#N/A,#N/A,FALSE,"Correo electrónico";#N/A,#N/A,FALSE,"Correo de voz";#N/A,#N/A,FALSE,"Megafax";#N/A,#N/A,FALSE,"Edi";#N/A,#N/A,FALSE,"Internet";#N/A,#N/A,FALSE,"VSAT";#N/A,#N/A,FALSE,"ing ult. milla"}</definedName>
    <definedName name="lolas" hidden="1">{#N/A,#N/A,FALSE,"voz corporativa";#N/A,#N/A,FALSE,"Transmisión de datos";#N/A,#N/A,FALSE,"Videoconferencia";#N/A,#N/A,FALSE,"Correo electrónico";#N/A,#N/A,FALSE,"Correo de voz";#N/A,#N/A,FALSE,"Megafax";#N/A,#N/A,FALSE,"Edi";#N/A,#N/A,FALSE,"Internet";#N/A,#N/A,FALSE,"VSAT";#N/A,#N/A,FALSE,"ing ult. milla"}</definedName>
    <definedName name="lolass" localSheetId="13"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s" localSheetId="13"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s"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tusGraphChart1" hidden="1">#REF!</definedName>
    <definedName name="lotusgraphchart1b" hidden="1">#REF!</definedName>
    <definedName name="lotusgraphchart1x" hidden="1">#REF!</definedName>
    <definedName name="lu" localSheetId="11" hidden="1">{"M1sPrint",#N/A,FALSE,"M1s"}</definedName>
    <definedName name="lu" localSheetId="13" hidden="1">{"M1sPrint",#N/A,FALSE,"M1s"}</definedName>
    <definedName name="lu" hidden="1">{"M1sPrint",#N/A,FALSE,"M1s"}</definedName>
    <definedName name="m" localSheetId="13" hidden="1">{#N/A,#N/A,FALSE,"Virgin Flightdeck"}</definedName>
    <definedName name="m" hidden="1">{#N/A,#N/A,FALSE,"Virgin Flightdeck"}</definedName>
    <definedName name="n" localSheetId="11" hidden="1">{"M2Print",#N/A,FALSE,"M2"}</definedName>
    <definedName name="n" localSheetId="13" hidden="1">{"M2Print",#N/A,FALSE,"M2"}</definedName>
    <definedName name="n" hidden="1">{"M2Print",#N/A,FALSE,"M2"}</definedName>
    <definedName name="nck"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gn" localSheetId="11" hidden="1">{"M1Print",#N/A,TRUE,"M1";"M2Print",#N/A,TRUE,"M2";"M1sPrint",#N/A,TRUE,"M1s";"M2aPrint",#N/A,TRUE,"M2a";"M4Print",#N/A,TRUE,"M4";"M5Print",#N/A,TRUE,"M5";"M6Print",#N/A,TRUE,"M6";"M6_1Print",#N/A,TRUE,"M6_1";"M6_2Print",#N/A,TRUE,"M6_2";"M7_1Print",#N/A,TRUE,"M7_1";"M7_2Print",#N/A,TRUE,"M7_2"}</definedName>
    <definedName name="ngn" localSheetId="13" hidden="1">{"M1Print",#N/A,TRUE,"M1";"M2Print",#N/A,TRUE,"M2";"M1sPrint",#N/A,TRUE,"M1s";"M2aPrint",#N/A,TRUE,"M2a";"M4Print",#N/A,TRUE,"M4";"M5Print",#N/A,TRUE,"M5";"M6Print",#N/A,TRUE,"M6";"M6_1Print",#N/A,TRUE,"M6_1";"M6_2Print",#N/A,TRUE,"M6_2";"M7_1Print",#N/A,TRUE,"M7_1";"M7_2Print",#N/A,TRUE,"M7_2"}</definedName>
    <definedName name="ngn" hidden="1">{"M1Print",#N/A,TRUE,"M1";"M2Print",#N/A,TRUE,"M2";"M1sPrint",#N/A,TRUE,"M1s";"M2aPrint",#N/A,TRUE,"M2a";"M4Print",#N/A,TRUE,"M4";"M5Print",#N/A,TRUE,"M5";"M6Print",#N/A,TRUE,"M6";"M6_1Print",#N/A,TRUE,"M6_1";"M6_2Print",#N/A,TRUE,"M6_2";"M7_1Print",#N/A,TRUE,"M7_1";"M7_2Print",#N/A,TRUE,"M7_2"}</definedName>
    <definedName name="nmm" localSheetId="13" hidden="1">{#N/A,#N/A,FALSE,"Marketing";#N/A,#N/A,FALSE,"Selling";#N/A,#N/A,FALSE,"Promotional";#N/A,#N/A,FALSE,"Advertising"}</definedName>
    <definedName name="nmm" hidden="1">{#N/A,#N/A,FALSE,"Marketing";#N/A,#N/A,FALSE,"Selling";#N/A,#N/A,FALSE,"Promotional";#N/A,#N/A,FALSE,"Advertising"}</definedName>
    <definedName name="notused" localSheetId="3" hidden="1">{#N/A,#N/A,TRUE,"CPRD";#N/A,#N/A,TRUE,"BCCPDR";#N/A,#N/A,TRUE,"EWRD";#N/A,#N/A,TRUE,"5100";#N/A,#N/A,TRUE,"5110"}</definedName>
    <definedName name="notused" localSheetId="1" hidden="1">{#N/A,#N/A,TRUE,"CPRD";#N/A,#N/A,TRUE,"BCCPDR";#N/A,#N/A,TRUE,"EWRD";#N/A,#N/A,TRUE,"5100";#N/A,#N/A,TRUE,"5110"}</definedName>
    <definedName name="notused" localSheetId="2" hidden="1">{#N/A,#N/A,TRUE,"CPRD";#N/A,#N/A,TRUE,"BCCPDR";#N/A,#N/A,TRUE,"EWRD";#N/A,#N/A,TRUE,"5100";#N/A,#N/A,TRUE,"5110"}</definedName>
    <definedName name="notused" localSheetId="11" hidden="1">{#N/A,#N/A,TRUE,"CPRD";#N/A,#N/A,TRUE,"BCCPDR";#N/A,#N/A,TRUE,"EWRD";#N/A,#N/A,TRUE,"5100";#N/A,#N/A,TRUE,"5110"}</definedName>
    <definedName name="notused" localSheetId="13" hidden="1">{#N/A,#N/A,TRUE,"CPRD";#N/A,#N/A,TRUE,"BCCPDR";#N/A,#N/A,TRUE,"EWRD";#N/A,#N/A,TRUE,"5100";#N/A,#N/A,TRUE,"5110"}</definedName>
    <definedName name="notused" localSheetId="10" hidden="1">{#N/A,#N/A,TRUE,"CPRD";#N/A,#N/A,TRUE,"BCCPDR";#N/A,#N/A,TRUE,"EWRD";#N/A,#N/A,TRUE,"5100";#N/A,#N/A,TRUE,"5110"}</definedName>
    <definedName name="notused" localSheetId="6" hidden="1">{#N/A,#N/A,TRUE,"CPRD";#N/A,#N/A,TRUE,"BCCPDR";#N/A,#N/A,TRUE,"EWRD";#N/A,#N/A,TRUE,"5100";#N/A,#N/A,TRUE,"5110"}</definedName>
    <definedName name="notused" hidden="1">{#N/A,#N/A,TRUE,"CPRD";#N/A,#N/A,TRUE,"BCCPDR";#N/A,#N/A,TRUE,"EWRD";#N/A,#N/A,TRUE,"5100";#N/A,#N/A,TRUE,"5110"}</definedName>
    <definedName name="ooiuy" localSheetId="13" hidden="1">{#N/A,#N/A,FALSE,"ABB HOLDING LTD"}</definedName>
    <definedName name="ooiuy" hidden="1">{#N/A,#N/A,FALSE,"ABB HOLDING LTD"}</definedName>
    <definedName name="OrderTable" hidden="1">#REF!</definedName>
    <definedName name="others" hidden="1">#REF!</definedName>
    <definedName name="Print_CSC_Report_2" localSheetId="13" hidden="1">{"CSC_1",#N/A,FALSE,"CSC Outputs";"CSC_2",#N/A,FALSE,"CSC Outputs"}</definedName>
    <definedName name="Print_CSC_Report_2" hidden="1">{"CSC_1",#N/A,FALSE,"CSC Outputs";"CSC_2",#N/A,FALSE,"CSC Outputs"}</definedName>
    <definedName name="print_CSC_Report_22" localSheetId="13" hidden="1">{"CSC_1",#N/A,FALSE,"CSC Outputs";"CSC_2",#N/A,FALSE,"CSC Outputs"}</definedName>
    <definedName name="print_CSC_Report_22" hidden="1">{"CSC_1",#N/A,FALSE,"CSC Outputs";"CSC_2",#N/A,FALSE,"CSC Outputs"}</definedName>
    <definedName name="Print_CSC_Report_3" localSheetId="13" hidden="1">{"CSC_1",#N/A,FALSE,"CSC Outputs";"CSC_2",#N/A,FALSE,"CSC Outputs"}</definedName>
    <definedName name="Print_CSC_Report_3" hidden="1">{"CSC_1",#N/A,FALSE,"CSC Outputs";"CSC_2",#N/A,FALSE,"CSC Outputs"}</definedName>
    <definedName name="ProdForm" hidden="1">#REF!</definedName>
    <definedName name="Product" hidden="1">#REF!</definedName>
    <definedName name="qwertyuiopasdfghjkl" localSheetId="3" hidden="1">{"M2aPrint",#N/A,FALSE,"M2a"}</definedName>
    <definedName name="qwertyuiopasdfghjkl" localSheetId="1" hidden="1">{"M2aPrint",#N/A,FALSE,"M2a"}</definedName>
    <definedName name="qwertyuiopasdfghjkl" localSheetId="2" hidden="1">{"M2aPrint",#N/A,FALSE,"M2a"}</definedName>
    <definedName name="qwertyuiopasdfghjkl" localSheetId="11" hidden="1">{"M2aPrint",#N/A,FALSE,"M2a"}</definedName>
    <definedName name="qwertyuiopasdfghjkl" localSheetId="13" hidden="1">{"M2aPrint",#N/A,FALSE,"M2a"}</definedName>
    <definedName name="qwertyuiopasdfghjkl" localSheetId="10" hidden="1">{"M2aPrint",#N/A,FALSE,"M2a"}</definedName>
    <definedName name="qwertyuiopasdfghjkl" localSheetId="6" hidden="1">{"M2aPrint",#N/A,FALSE,"M2a"}</definedName>
    <definedName name="qwertyuiopasdfghjkl" hidden="1">{"M2aPrint",#N/A,FALSE,"M2a"}</definedName>
    <definedName name="qwwertyuiop" localSheetId="3" hidden="1">{"M2Print",#N/A,FALSE,"M2"}</definedName>
    <definedName name="qwwertyuiop" localSheetId="1" hidden="1">{"M2Print",#N/A,FALSE,"M2"}</definedName>
    <definedName name="qwwertyuiop" localSheetId="2" hidden="1">{"M2Print",#N/A,FALSE,"M2"}</definedName>
    <definedName name="qwwertyuiop" localSheetId="11" hidden="1">{"M2Print",#N/A,FALSE,"M2"}</definedName>
    <definedName name="qwwertyuiop" localSheetId="13" hidden="1">{"M2Print",#N/A,FALSE,"M2"}</definedName>
    <definedName name="qwwertyuiop" localSheetId="10" hidden="1">{"M2Print",#N/A,FALSE,"M2"}</definedName>
    <definedName name="qwwertyuiop" localSheetId="6" hidden="1">{"M2Print",#N/A,FALSE,"M2"}</definedName>
    <definedName name="qwwertyuiop" hidden="1">{"M2Print",#N/A,FALSE,"M2"}</definedName>
    <definedName name="RCArea" hidden="1">#REF!</definedName>
    <definedName name="ReportPage1" localSheetId="13" hidden="1">{"Annual_Income",#N/A,FALSE,"Report Page";"Balance_Cash_Flow",#N/A,FALSE,"Report Page";"Quarterly_Income",#N/A,FALSE,"Report Page"}</definedName>
    <definedName name="ReportPage1" hidden="1">{"Annual_Income",#N/A,FALSE,"Report Page";"Balance_Cash_Flow",#N/A,FALSE,"Report Page";"Quarterly_Income",#N/A,FALSE,"Report Page"}</definedName>
    <definedName name="rfsd" localSheetId="13" hidden="1">{#N/A,#N/A,FALSE,"ABB HOLDING LTD"}</definedName>
    <definedName name="rfsd" hidden="1">{#N/A,#N/A,FALSE,"ABB HOLDING LTD"}</definedName>
    <definedName name="RJE" localSheetId="11" hidden="1">{"toptrial",#N/A,TRUE,"toptrial";"adjustment",#N/A,TRUE,"toptrial";"voucher",#N/A,TRUE,"toptrial"}</definedName>
    <definedName name="RJE" localSheetId="13" hidden="1">{"toptrial",#N/A,TRUE,"toptrial";"adjustment",#N/A,TRUE,"toptrial";"voucher",#N/A,TRUE,"toptrial"}</definedName>
    <definedName name="RJE" hidden="1">{"toptrial",#N/A,TRUE,"toptrial";"adjustment",#N/A,TRUE,"toptrial";"voucher",#N/A,TRUE,"toptrial"}</definedName>
    <definedName name="rweqrerqw" localSheetId="13" hidden="1">{"CSC_1",#N/A,FALSE,"CSC Outputs";"CSC_2",#N/A,FALSE,"CSC Outputs"}</definedName>
    <definedName name="rweqrerqw" hidden="1">{"CSC_1",#N/A,FALSE,"CSC Outputs";"CSC_2",#N/A,FALSE,"CSC Outputs"}</definedName>
    <definedName name="SAPBEXdnldView" hidden="1">"4D4WVRAZFXWLPKS3R52UJB0QG"</definedName>
    <definedName name="SAPBEXrevision" hidden="1">1</definedName>
    <definedName name="SAPBEXsysID" hidden="1">"PE4"</definedName>
    <definedName name="SAPBEXwbID" hidden="1">"3Q4R7W3VD66V3CXTGQHGIRCBE"</definedName>
    <definedName name="SAPFuncF4Help" localSheetId="13" hidden="1">Main.SAPF4Help()</definedName>
    <definedName name="SAPFuncF4Help" hidden="1">Main.SAPF4Help()</definedName>
    <definedName name="sdfs" localSheetId="11" hidden="1">{"M1sPrint",#N/A,FALSE,"M1s"}</definedName>
    <definedName name="sdfs" localSheetId="13" hidden="1">{"M1sPrint",#N/A,FALSE,"M1s"}</definedName>
    <definedName name="sdfs" hidden="1">{"M1sPrint",#N/A,FALSE,"M1s"}</definedName>
    <definedName name="Sheet1_BNE_MESSAGES" localSheetId="3" hidden="1">#REF!</definedName>
    <definedName name="Sheet1_BNE_MESSAGES" localSheetId="1" hidden="1">'K.00 Lead Sheet'!#REF!</definedName>
    <definedName name="Sheet1_BNE_MESSAGES" localSheetId="2" hidden="1">#REF!</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HOA" localSheetId="13" hidden="1">{#N/A,#N/A,FALSE,"Virgin Flightdeck"}</definedName>
    <definedName name="SHOA" hidden="1">{#N/A,#N/A,FALSE,"Virgin Flightdeck"}</definedName>
    <definedName name="Snow" localSheetId="13" hidden="1">{#N/A,#N/A,FALSE,"Virgin Flightdeck"}</definedName>
    <definedName name="Snow" hidden="1">{#N/A,#N/A,FALSE,"Virgin Flightdeck"}</definedName>
    <definedName name="solver_cvg" hidden="1">0.0001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pre" hidden="1">0.000001</definedName>
    <definedName name="solver_rel1" hidden="1">2</definedName>
    <definedName name="solver_rel2" hidden="1">2</definedName>
    <definedName name="solver_rhs1" hidden="1">0.09</definedName>
    <definedName name="solver_rhs2" hidden="1">-0.15</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0</definedName>
    <definedName name="SpecialPrice" hidden="1">#REF!</definedName>
    <definedName name="sssz" localSheetId="11" hidden="1">{#N/A,#N/A,FALSE,"资产负债表";#N/A,#N/A,FALSE,"资产负债表"}</definedName>
    <definedName name="sssz" localSheetId="13" hidden="1">{#N/A,#N/A,FALSE,"资产负债表";#N/A,#N/A,FALSE,"资产负债表"}</definedName>
    <definedName name="sssz" hidden="1">{#N/A,#N/A,FALSE,"资产负债表";#N/A,#N/A,FALSE,"资产负债表"}</definedName>
    <definedName name="ste" localSheetId="13" hidden="1">{#N/A,#N/A,FALSE,"Virgin Flightdeck"}</definedName>
    <definedName name="ste" hidden="1">{#N/A,#N/A,FALSE,"Virgin Flightdeck"}</definedName>
    <definedName name="Summary2" localSheetId="13" hidden="1">{#N/A,#N/A,FALSE,"FACTSHEETS";#N/A,#N/A,FALSE,"pump";#N/A,#N/A,FALSE,"filter"}</definedName>
    <definedName name="Summary2" hidden="1">{#N/A,#N/A,FALSE,"FACTSHEETS";#N/A,#N/A,FALSE,"pump";#N/A,#N/A,FALSE,"filter"}</definedName>
    <definedName name="summary3" localSheetId="13" hidden="1">{#N/A,#N/A,FALSE,"Virgin Flightdeck"}</definedName>
    <definedName name="summary3" hidden="1">{#N/A,#N/A,FALSE,"Virgin Flightdeck"}</definedName>
    <definedName name="tbl_ProdInfo" hidden="1">#REF!</definedName>
    <definedName name="terh" localSheetId="11" hidden="1">{#N/A,#N/A,FALSE,"OffAdvance";#N/A,#N/A,FALSE,"OffExpRprt";#N/A,#N/A,FALSE,"Entertmnt";#N/A,#N/A,FALSE,"Promotion";#N/A,#N/A,FALSE,"Travelling"}</definedName>
    <definedName name="terh" localSheetId="13" hidden="1">{#N/A,#N/A,FALSE,"OffAdvance";#N/A,#N/A,FALSE,"OffExpRprt";#N/A,#N/A,FALSE,"Entertmnt";#N/A,#N/A,FALSE,"Promotion";#N/A,#N/A,FALSE,"Travelling"}</definedName>
    <definedName name="terh" hidden="1">{#N/A,#N/A,FALSE,"OffAdvance";#N/A,#N/A,FALSE,"OffExpRprt";#N/A,#N/A,FALSE,"Entertmnt";#N/A,#N/A,FALSE,"Promotion";#N/A,#N/A,FALSE,"Travelling"}</definedName>
    <definedName name="TextRefCopyRangeCount" hidden="1">4</definedName>
    <definedName name="tfhg" localSheetId="11" hidden="1">{"M1Print",#N/A,FALSE,"M1"}</definedName>
    <definedName name="tfhg" localSheetId="13" hidden="1">{"M1Print",#N/A,FALSE,"M1"}</definedName>
    <definedName name="tfhg" hidden="1">{"M1Print",#N/A,FALSE,"M1"}</definedName>
    <definedName name="the" localSheetId="11" hidden="1">{#N/A,#N/A,FALSE,"Marketing";#N/A,#N/A,FALSE,"Selling";#N/A,#N/A,FALSE,"Promotional";#N/A,#N/A,FALSE,"Advertising"}</definedName>
    <definedName name="the" localSheetId="13" hidden="1">{#N/A,#N/A,FALSE,"Marketing";#N/A,#N/A,FALSE,"Selling";#N/A,#N/A,FALSE,"Promotional";#N/A,#N/A,FALSE,"Advertising"}</definedName>
    <definedName name="the" hidden="1">{#N/A,#N/A,FALSE,"Marketing";#N/A,#N/A,FALSE,"Selling";#N/A,#N/A,FALSE,"Promotional";#N/A,#N/A,FALSE,"Advertising"}</definedName>
    <definedName name="treeList" hidden="1">"00000000000000000000000000000000000000000000000000000000000000000000000000000000000000000000000000000000000000000000000000000000000000000000000000000000000000000000000000000000000000000000000000000000"</definedName>
    <definedName name="tta" localSheetId="13" hidden="1">{#N/A,#N/A,FALSE,"Virgin Flightdeck"}</definedName>
    <definedName name="tta" hidden="1">{#N/A,#N/A,FALSE,"Virgin Flightdeck"}</definedName>
    <definedName name="ufliuf" localSheetId="13" hidden="1">{#N/A,#N/A,FALSE,"Virgin Flightdeck"}</definedName>
    <definedName name="ufliuf" hidden="1">{#N/A,#N/A,FALSE,"Virgin Flightdeck"}</definedName>
    <definedName name="ulead" localSheetId="11" hidden="1">{#N/A,#N/A,FALSE,"970301";#N/A,#N/A,FALSE,"970302";#N/A,#N/A,FALSE,"970303";#N/A,#N/A,FALSE,"970304";#N/A,#N/A,FALSE,"COM1";#N/A,#N/A,FALSE,"COM2"}</definedName>
    <definedName name="ulead" localSheetId="13" hidden="1">{#N/A,#N/A,FALSE,"970301";#N/A,#N/A,FALSE,"970302";#N/A,#N/A,FALSE,"970303";#N/A,#N/A,FALSE,"970304";#N/A,#N/A,FALSE,"COM1";#N/A,#N/A,FALSE,"COM2"}</definedName>
    <definedName name="ulead" hidden="1">{#N/A,#N/A,FALSE,"970301";#N/A,#N/A,FALSE,"970302";#N/A,#N/A,FALSE,"970303";#N/A,#N/A,FALSE,"970304";#N/A,#N/A,FALSE,"COM1";#N/A,#N/A,FALSE,"COM2"}</definedName>
    <definedName name="uuuuuuuu" localSheetId="13" hidden="1">Main.SAPF4Help()</definedName>
    <definedName name="uuuuuuuu" hidden="1">Main.SAPF4Help()</definedName>
    <definedName name="uygh" localSheetId="11" hidden="1">{"M6Print",#N/A,FALSE,"M6";"M6_1Print",#N/A,FALSE,"M6_1";"M6_2Print",#N/A,FALSE,"M6_2"}</definedName>
    <definedName name="uygh" localSheetId="13" hidden="1">{"M6Print",#N/A,FALSE,"M6";"M6_1Print",#N/A,FALSE,"M6_1";"M6_2Print",#N/A,FALSE,"M6_2"}</definedName>
    <definedName name="uygh" hidden="1">{"M6Print",#N/A,FALSE,"M6";"M6_1Print",#N/A,FALSE,"M6_1";"M6_2Print",#N/A,FALSE,"M6_2"}</definedName>
    <definedName name="vhvkb" localSheetId="11" hidden="1">{#N/A,#N/A,FALSE,"资产负债表";#N/A,#N/A,FALSE,"资产负债表"}</definedName>
    <definedName name="vhvkb" localSheetId="13" hidden="1">{#N/A,#N/A,FALSE,"资产负债表";#N/A,#N/A,FALSE,"资产负债表"}</definedName>
    <definedName name="vhvkb" hidden="1">{#N/A,#N/A,FALSE,"资产负债表";#N/A,#N/A,FALSE,"资产负债表"}</definedName>
    <definedName name="wacc" localSheetId="13" hidden="1">{#N/A,#N/A,FALSE,"Virgin Flightdeck"}</definedName>
    <definedName name="wacc" hidden="1">{#N/A,#N/A,FALSE,"Virgin Flightdeck"}</definedName>
    <definedName name="WACC_new" localSheetId="13" hidden="1">{#N/A,#N/A,FALSE,"Virgin Flightdeck"}</definedName>
    <definedName name="WACC_new" hidden="1">{#N/A,#N/A,FALSE,"Virgin Flightdeck"}</definedName>
    <definedName name="wacc1" localSheetId="13" hidden="1">{#N/A,#N/A,FALSE,"voz corporativa";#N/A,#N/A,FALSE,"Transmisión de datos";#N/A,#N/A,FALSE,"Videoconferencia";#N/A,#N/A,FALSE,"Correo electrónico";#N/A,#N/A,FALSE,"Correo de voz";#N/A,#N/A,FALSE,"Megafax";#N/A,#N/A,FALSE,"Edi";#N/A,#N/A,FALSE,"Internet";#N/A,#N/A,FALSE,"VSAT";#N/A,#N/A,FALSE,"ing ult. milla"}</definedName>
    <definedName name="wacc1" hidden="1">{#N/A,#N/A,FALSE,"voz corporativa";#N/A,#N/A,FALSE,"Transmisión de datos";#N/A,#N/A,FALSE,"Videoconferencia";#N/A,#N/A,FALSE,"Correo electrónico";#N/A,#N/A,FALSE,"Correo de voz";#N/A,#N/A,FALSE,"Megafax";#N/A,#N/A,FALSE,"Edi";#N/A,#N/A,FALSE,"Internet";#N/A,#N/A,FALSE,"VSAT";#N/A,#N/A,FALSE,"ing ult. milla"}</definedName>
    <definedName name="WDEWED" hidden="1">#REF!</definedName>
    <definedName name="weqrerqwe" localSheetId="13" hidden="1">{"page 1",#N/A,FALSE,"A";"page 2",#N/A,FALSE,"A";"page 3",#N/A,FALSE,"A";"page 4",#N/A,FALSE,"A";"page 5",#N/A,FALSE,"A";"page 6",#N/A,FALSE,"A";"page 7",#N/A,FALSE,"A";"page 8",#N/A,FALSE,"A";"page 9",#N/A,FALSE,"A";"page 10",#N/A,FALSE,"A";"page 11",#N/A,FALSE,"A";"page 12",#N/A,FALSE,"A";"page 13",#N/A,FALSE,"A";"page 14",#N/A,FALSE,"A"}</definedName>
    <definedName name="weqrerqwe" hidden="1">{"page 1",#N/A,FALSE,"A";"page 2",#N/A,FALSE,"A";"page 3",#N/A,FALSE,"A";"page 4",#N/A,FALSE,"A";"page 5",#N/A,FALSE,"A";"page 6",#N/A,FALSE,"A";"page 7",#N/A,FALSE,"A";"page 8",#N/A,FALSE,"A";"page 9",#N/A,FALSE,"A";"page 10",#N/A,FALSE,"A";"page 11",#N/A,FALSE,"A";"page 12",#N/A,FALSE,"A";"page 13",#N/A,FALSE,"A";"page 14",#N/A,FALSE,"A"}</definedName>
    <definedName name="werwefasd" hidden="1">#REF!</definedName>
    <definedName name="whatisthis" localSheetId="13" hidden="1">{#N/A,#N/A,FALSE,"Summary";#N/A,#N/A,FALSE,"Projections";#N/A,#N/A,FALSE,"Mkt Mults";#N/A,#N/A,FALSE,"DCF";#N/A,#N/A,FALSE,"Accr Dil";#N/A,#N/A,FALSE,"PIC LBO";#N/A,#N/A,FALSE,"MULT10_4";#N/A,#N/A,FALSE,"CBI LBO"}</definedName>
    <definedName name="whatisthis" hidden="1">{#N/A,#N/A,FALSE,"Summary";#N/A,#N/A,FALSE,"Projections";#N/A,#N/A,FALSE,"Mkt Mults";#N/A,#N/A,FALSE,"DCF";#N/A,#N/A,FALSE,"Accr Dil";#N/A,#N/A,FALSE,"PIC LBO";#N/A,#N/A,FALSE,"MULT10_4";#N/A,#N/A,FALSE,"CBI LBO"}</definedName>
    <definedName name="whatisthissss" localSheetId="13" hidden="1">{#N/A,#N/A,FALSE,"IPO";#N/A,#N/A,FALSE,"DCF";#N/A,#N/A,FALSE,"LBO";#N/A,#N/A,FALSE,"MULT_VAL";#N/A,#N/A,FALSE,"Status Quo";#N/A,#N/A,FALSE,"Recap"}</definedName>
    <definedName name="whatisthissss" hidden="1">{#N/A,#N/A,FALSE,"IPO";#N/A,#N/A,FALSE,"DCF";#N/A,#N/A,FALSE,"LBO";#N/A,#N/A,FALSE,"MULT_VAL";#N/A,#N/A,FALSE,"Status Quo";#N/A,#N/A,FALSE,"Recap"}</definedName>
    <definedName name="whatisthisssss" localSheetId="13" hidden="1">{#N/A,#N/A,FALSE,"Summary";#N/A,#N/A,FALSE,"Projections";#N/A,#N/A,FALSE,"Mkt Mults";#N/A,#N/A,FALSE,"DCF";#N/A,#N/A,FALSE,"Accr Dil";#N/A,#N/A,FALSE,"PIC LBO";#N/A,#N/A,FALSE,"MULT10_4";#N/A,#N/A,FALSE,"CBI LBO"}</definedName>
    <definedName name="whatisthisssss" hidden="1">{#N/A,#N/A,FALSE,"Summary";#N/A,#N/A,FALSE,"Projections";#N/A,#N/A,FALSE,"Mkt Mults";#N/A,#N/A,FALSE,"DCF";#N/A,#N/A,FALSE,"Accr Dil";#N/A,#N/A,FALSE,"PIC LBO";#N/A,#N/A,FALSE,"MULT10_4";#N/A,#N/A,FALSE,"CBI LBO"}</definedName>
    <definedName name="wq" localSheetId="13" hidden="1">{#N/A,#N/A,FALSE,"OffAdvance";#N/A,#N/A,FALSE,"OffExpRprt";#N/A,#N/A,FALSE,"Entertmnt";#N/A,#N/A,FALSE,"Promotion";#N/A,#N/A,FALSE,"Travelling"}</definedName>
    <definedName name="wq" hidden="1">{#N/A,#N/A,FALSE,"OffAdvance";#N/A,#N/A,FALSE,"OffExpRprt";#N/A,#N/A,FALSE,"Entertmnt";#N/A,#N/A,FALSE,"Promotion";#N/A,#N/A,FALSE,"Travelling"}</definedName>
    <definedName name="wqererwerwq" localSheetId="13"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qererwerwq"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eqrqe"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eqrq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A." localSheetId="13" hidden="1">{"Overview",#N/A,TRUE,"Trading Levels";"Overview",#N/A,TRUE,"Overview";"Overview",#N/A,TRUE,"Classic Qwest";"Overview",#N/A,TRUE,"US WEST";"Overview",#N/A,TRUE,"Wireless";"Overview",#N/A,TRUE,"DEX";"Overview",#N/A,TRUE,"Cash Flow";"Overview",#N/A,TRUE,"Debt and Interest";"Overview",#N/A,TRUE,"Coverage";"Overview",#N/A,TRUE,"Wk Cap"}</definedName>
    <definedName name="wrn.A." hidden="1">{"Overview",#N/A,TRUE,"Trading Levels";"Overview",#N/A,TRUE,"Overview";"Overview",#N/A,TRUE,"Classic Qwest";"Overview",#N/A,TRUE,"US WEST";"Overview",#N/A,TRUE,"Wireless";"Overview",#N/A,TRUE,"DEX";"Overview",#N/A,TRUE,"Cash Flow";"Overview",#N/A,TRUE,"Debt and Interest";"Overview",#N/A,TRUE,"Coverage";"Overview",#N/A,TRUE,"Wk Cap"}</definedName>
    <definedName name="wrn.A_VALUATION." localSheetId="13" hidden="1">{#N/A,#N/A,FALSE,"A_D";#N/A,#N/A,FALSE,"WACC";#N/A,#N/A,FALSE,"DCF";#N/A,#N/A,FALSE,"A";#N/A,#N/A,FALSE,"LBO";#N/A,#N/A,FALSE,"C";#N/A,#N/A,FALSE,"impd";#N/A,#N/A,FALSE,"comps"}</definedName>
    <definedName name="wrn.A_VALUATION." hidden="1">{#N/A,#N/A,FALSE,"A_D";#N/A,#N/A,FALSE,"WACC";#N/A,#N/A,FALSE,"DCF";#N/A,#N/A,FALSE,"A";#N/A,#N/A,FALSE,"LBO";#N/A,#N/A,FALSE,"C";#N/A,#N/A,FALSE,"impd";#N/A,#N/A,FALSE,"comps"}</definedName>
    <definedName name="wrn.Accr_Dil." localSheetId="13" hidden="1">{#N/A,#N/A,FALSE,"Debt Accr";#N/A,#N/A,FALSE,"Stock Accr";#N/A,#N/A,FALSE,"Debt Stock Accr"}</definedName>
    <definedName name="wrn.Accr_Dil." hidden="1">{#N/A,#N/A,FALSE,"Debt Accr";#N/A,#N/A,FALSE,"Stock Accr";#N/A,#N/A,FALSE,"Debt Stock Accr"}</definedName>
    <definedName name="wrn.Aging._.and._.Trend._.Analysis." localSheetId="3" hidden="1">{#N/A,#N/A,FALSE,"Aging Summary";#N/A,#N/A,FALSE,"Ratio Analysis";#N/A,#N/A,FALSE,"Test 120 Day Accts";#N/A,#N/A,FALSE,"Tickmarks"}</definedName>
    <definedName name="wrn.Aging._.and._.Trend._.Analysis." localSheetId="1" hidden="1">{#N/A,#N/A,FALSE,"Aging Summary";#N/A,#N/A,FALSE,"Ratio Analysis";#N/A,#N/A,FALSE,"Test 120 Day Accts";#N/A,#N/A,FALSE,"Tickmarks"}</definedName>
    <definedName name="wrn.Aging._.and._.Trend._.Analysis." localSheetId="2" hidden="1">{#N/A,#N/A,FALSE,"Aging Summary";#N/A,#N/A,FALSE,"Ratio Analysis";#N/A,#N/A,FALSE,"Test 120 Day Accts";#N/A,#N/A,FALSE,"Tickmarks"}</definedName>
    <definedName name="wrn.Aging._.and._.Trend._.Analysis." localSheetId="11" hidden="1">{#N/A,#N/A,FALSE,"Aging Summary";#N/A,#N/A,FALSE,"Ratio Analysis";#N/A,#N/A,FALSE,"Test 120 Day Accts";#N/A,#N/A,FALSE,"Tickmarks"}</definedName>
    <definedName name="wrn.Aging._.and._.Trend._.Analysis." localSheetId="13" hidden="1">{#N/A,#N/A,FALSE,"Aging Summary";#N/A,#N/A,FALSE,"Ratio Analysis";#N/A,#N/A,FALSE,"Test 120 Day Accts";#N/A,#N/A,FALSE,"Tickmarks"}</definedName>
    <definedName name="wrn.Aging._.and._.Trend._.Analysis." localSheetId="10" hidden="1">{#N/A,#N/A,FALSE,"Aging Summary";#N/A,#N/A,FALSE,"Ratio Analysis";#N/A,#N/A,FALSE,"Test 120 Day Accts";#N/A,#N/A,FALSE,"Tickmarks"}</definedName>
    <definedName name="wrn.Aging._.and._.Trend._.Analysis." localSheetId="6"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3" hidden="1">{#N/A,#N/A,FALSE,"SUM";#N/A,#N/A,FALSE,"SK_TOT";#N/A,#N/A,FALSE,"YM";#N/A,#N/A,FALSE,"TSMC";#N/A,#N/A,FALSE,"ICW";#N/A,#N/A,FALSE,"Sheet1"}</definedName>
    <definedName name="wrn.ALL." localSheetId="1" hidden="1">{#N/A,#N/A,FALSE,"SUM";#N/A,#N/A,FALSE,"SK_TOT";#N/A,#N/A,FALSE,"YM";#N/A,#N/A,FALSE,"TSMC";#N/A,#N/A,FALSE,"ICW";#N/A,#N/A,FALSE,"Sheet1"}</definedName>
    <definedName name="wrn.ALL." localSheetId="2" hidden="1">{#N/A,#N/A,FALSE,"SUM";#N/A,#N/A,FALSE,"SK_TOT";#N/A,#N/A,FALSE,"YM";#N/A,#N/A,FALSE,"TSMC";#N/A,#N/A,FALSE,"ICW";#N/A,#N/A,FALSE,"Sheet1"}</definedName>
    <definedName name="wrn.ALL." localSheetId="11" hidden="1">{#N/A,#N/A,FALSE,"SUM";#N/A,#N/A,FALSE,"SK_TOT";#N/A,#N/A,FALSE,"YM";#N/A,#N/A,FALSE,"TSMC";#N/A,#N/A,FALSE,"ICW";#N/A,#N/A,FALSE,"Sheet1"}</definedName>
    <definedName name="wrn.ALL." localSheetId="13" hidden="1">{#N/A,#N/A,FALSE,"SUM";#N/A,#N/A,FALSE,"SK_TOT";#N/A,#N/A,FALSE,"YM";#N/A,#N/A,FALSE,"TSMC";#N/A,#N/A,FALSE,"ICW";#N/A,#N/A,FALSE,"Sheet1"}</definedName>
    <definedName name="wrn.ALL." localSheetId="10" hidden="1">{#N/A,#N/A,FALSE,"SUM";#N/A,#N/A,FALSE,"SK_TOT";#N/A,#N/A,FALSE,"YM";#N/A,#N/A,FALSE,"TSMC";#N/A,#N/A,FALSE,"ICW";#N/A,#N/A,FALSE,"Sheet1"}</definedName>
    <definedName name="wrn.ALL." localSheetId="6" hidden="1">{#N/A,#N/A,FALSE,"SUM";#N/A,#N/A,FALSE,"SK_TOT";#N/A,#N/A,FALSE,"YM";#N/A,#N/A,FALSE,"TSMC";#N/A,#N/A,FALSE,"ICW";#N/A,#N/A,FALSE,"Sheet1"}</definedName>
    <definedName name="wrn.ALL." hidden="1">{#N/A,#N/A,FALSE,"SUM";#N/A,#N/A,FALSE,"SK_TOT";#N/A,#N/A,FALSE,"YM";#N/A,#N/A,FALSE,"TSMC";#N/A,#N/A,FALSE,"ICW";#N/A,#N/A,FALSE,"Sheet1"}</definedName>
    <definedName name="wrn.all._.gulp._.sheets." localSheetId="13"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M._.Schedules." localSheetId="3" hidden="1">{"M1Print",#N/A,TRUE,"M1";"M2Print",#N/A,TRUE,"M2";"M1sPrint",#N/A,TRUE,"M1s";"M2aPrint",#N/A,TRUE,"M2a";"M4Print",#N/A,TRUE,"M4";"M5Print",#N/A,TRUE,"M5";"M6Print",#N/A,TRUE,"M6";"M6_1Print",#N/A,TRUE,"M6_1";"M6_2Print",#N/A,TRUE,"M6_2";"M7_1Print",#N/A,TRUE,"M7_1";"M7_2Print",#N/A,TRUE,"M7_2"}</definedName>
    <definedName name="wrn.All._.M._.Schedules." localSheetId="1" hidden="1">{"M1Print",#N/A,TRUE,"M1";"M2Print",#N/A,TRUE,"M2";"M1sPrint",#N/A,TRUE,"M1s";"M2aPrint",#N/A,TRUE,"M2a";"M4Print",#N/A,TRUE,"M4";"M5Print",#N/A,TRUE,"M5";"M6Print",#N/A,TRUE,"M6";"M6_1Print",#N/A,TRUE,"M6_1";"M6_2Print",#N/A,TRUE,"M6_2";"M7_1Print",#N/A,TRUE,"M7_1";"M7_2Print",#N/A,TRUE,"M7_2"}</definedName>
    <definedName name="wrn.All._.M._.Schedules." localSheetId="2" hidden="1">{"M1Print",#N/A,TRUE,"M1";"M2Print",#N/A,TRUE,"M2";"M1sPrint",#N/A,TRUE,"M1s";"M2aPrint",#N/A,TRUE,"M2a";"M4Print",#N/A,TRUE,"M4";"M5Print",#N/A,TRUE,"M5";"M6Print",#N/A,TRUE,"M6";"M6_1Print",#N/A,TRUE,"M6_1";"M6_2Print",#N/A,TRUE,"M6_2";"M7_1Print",#N/A,TRUE,"M7_1";"M7_2Print",#N/A,TRUE,"M7_2"}</definedName>
    <definedName name="wrn.All._.M._.Schedules." localSheetId="11" hidden="1">{"M1Print",#N/A,TRUE,"M1";"M2Print",#N/A,TRUE,"M2";"M1sPrint",#N/A,TRUE,"M1s";"M2aPrint",#N/A,TRUE,"M2a";"M4Print",#N/A,TRUE,"M4";"M5Print",#N/A,TRUE,"M5";"M6Print",#N/A,TRUE,"M6";"M6_1Print",#N/A,TRUE,"M6_1";"M6_2Print",#N/A,TRUE,"M6_2";"M7_1Print",#N/A,TRUE,"M7_1";"M7_2Print",#N/A,TRUE,"M7_2"}</definedName>
    <definedName name="wrn.All._.M._.Schedules." localSheetId="13" hidden="1">{"M1Print",#N/A,TRUE,"M1";"M2Print",#N/A,TRUE,"M2";"M1sPrint",#N/A,TRUE,"M1s";"M2aPrint",#N/A,TRUE,"M2a";"M4Print",#N/A,TRUE,"M4";"M5Print",#N/A,TRUE,"M5";"M6Print",#N/A,TRUE,"M6";"M6_1Print",#N/A,TRUE,"M6_1";"M6_2Print",#N/A,TRUE,"M6_2";"M7_1Print",#N/A,TRUE,"M7_1";"M7_2Print",#N/A,TRUE,"M7_2"}</definedName>
    <definedName name="wrn.All._.M._.Schedules." localSheetId="10" hidden="1">{"M1Print",#N/A,TRUE,"M1";"M2Print",#N/A,TRUE,"M2";"M1sPrint",#N/A,TRUE,"M1s";"M2aPrint",#N/A,TRUE,"M2a";"M4Print",#N/A,TRUE,"M4";"M5Print",#N/A,TRUE,"M5";"M6Print",#N/A,TRUE,"M6";"M6_1Print",#N/A,TRUE,"M6_1";"M6_2Print",#N/A,TRUE,"M6_2";"M7_1Print",#N/A,TRUE,"M7_1";"M7_2Print",#N/A,TRUE,"M7_2"}</definedName>
    <definedName name="wrn.All._.M._.Schedules." localSheetId="6" hidden="1">{"M1Print",#N/A,TRUE,"M1";"M2Print",#N/A,TRUE,"M2";"M1sPrint",#N/A,TRUE,"M1s";"M2aPrint",#N/A,TRUE,"M2a";"M4Print",#N/A,TRUE,"M4";"M5Print",#N/A,TRUE,"M5";"M6Print",#N/A,TRUE,"M6";"M6_1Print",#N/A,TRUE,"M6_1";"M6_2Print",#N/A,TRUE,"M6_2";"M7_1Print",#N/A,TRUE,"M7_1";"M7_2Print",#N/A,TRUE,"M7_2"}</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localSheetId="3" hidden="1">{"M1Print",#N/A,TRUE,"M1";"M2Print",#N/A,TRUE,"M2";"M1sPrint",#N/A,TRUE,"M1s";"M2aPrint",#N/A,TRUE,"M2a";"M4Print",#N/A,TRUE,"M4";"M5Print",#N/A,TRUE,"M5";"M6Print",#N/A,TRUE,"M6";"M6_1Print",#N/A,TRUE,"M6_1";"M6_2Print",#N/A,TRUE,"M6_2";"M7_1Print",#N/A,TRUE,"M7_1";"M7_2Print",#N/A,TRUE,"M7_2"}</definedName>
    <definedName name="wrn.all._.M._.Schedules.1" localSheetId="1" hidden="1">{"M1Print",#N/A,TRUE,"M1";"M2Print",#N/A,TRUE,"M2";"M1sPrint",#N/A,TRUE,"M1s";"M2aPrint",#N/A,TRUE,"M2a";"M4Print",#N/A,TRUE,"M4";"M5Print",#N/A,TRUE,"M5";"M6Print",#N/A,TRUE,"M6";"M6_1Print",#N/A,TRUE,"M6_1";"M6_2Print",#N/A,TRUE,"M6_2";"M7_1Print",#N/A,TRUE,"M7_1";"M7_2Print",#N/A,TRUE,"M7_2"}</definedName>
    <definedName name="wrn.all._.M._.Schedules.1" localSheetId="2" hidden="1">{"M1Print",#N/A,TRUE,"M1";"M2Print",#N/A,TRUE,"M2";"M1sPrint",#N/A,TRUE,"M1s";"M2aPrint",#N/A,TRUE,"M2a";"M4Print",#N/A,TRUE,"M4";"M5Print",#N/A,TRUE,"M5";"M6Print",#N/A,TRUE,"M6";"M6_1Print",#N/A,TRUE,"M6_1";"M6_2Print",#N/A,TRUE,"M6_2";"M7_1Print",#N/A,TRUE,"M7_1";"M7_2Print",#N/A,TRUE,"M7_2"}</definedName>
    <definedName name="wrn.all._.M._.Schedules.1" localSheetId="11" hidden="1">{"M1Print",#N/A,TRUE,"M1";"M2Print",#N/A,TRUE,"M2";"M1sPrint",#N/A,TRUE,"M1s";"M2aPrint",#N/A,TRUE,"M2a";"M4Print",#N/A,TRUE,"M4";"M5Print",#N/A,TRUE,"M5";"M6Print",#N/A,TRUE,"M6";"M6_1Print",#N/A,TRUE,"M6_1";"M6_2Print",#N/A,TRUE,"M6_2";"M7_1Print",#N/A,TRUE,"M7_1";"M7_2Print",#N/A,TRUE,"M7_2"}</definedName>
    <definedName name="wrn.all._.M._.Schedules.1" localSheetId="13" hidden="1">{"M1Print",#N/A,TRUE,"M1";"M2Print",#N/A,TRUE,"M2";"M1sPrint",#N/A,TRUE,"M1s";"M2aPrint",#N/A,TRUE,"M2a";"M4Print",#N/A,TRUE,"M4";"M5Print",#N/A,TRUE,"M5";"M6Print",#N/A,TRUE,"M6";"M6_1Print",#N/A,TRUE,"M6_1";"M6_2Print",#N/A,TRUE,"M6_2";"M7_1Print",#N/A,TRUE,"M7_1";"M7_2Print",#N/A,TRUE,"M7_2"}</definedName>
    <definedName name="wrn.all._.M._.Schedules.1" localSheetId="10" hidden="1">{"M1Print",#N/A,TRUE,"M1";"M2Print",#N/A,TRUE,"M2";"M1sPrint",#N/A,TRUE,"M1s";"M2aPrint",#N/A,TRUE,"M2a";"M4Print",#N/A,TRUE,"M4";"M5Print",#N/A,TRUE,"M5";"M6Print",#N/A,TRUE,"M6";"M6_1Print",#N/A,TRUE,"M6_1";"M6_2Print",#N/A,TRUE,"M6_2";"M7_1Print",#N/A,TRUE,"M7_1";"M7_2Print",#N/A,TRUE,"M7_2"}</definedName>
    <definedName name="wrn.all._.M._.Schedules.1" localSheetId="6"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PAGES." localSheetId="13" hidden="1">{#N/A,#N/A,FALSE,"puboff";#N/A,#N/A,FALSE,"financials";#N/A,#N/A,FALSE,"valuation";#N/A,#N/A,FALSE,"split"}</definedName>
    <definedName name="wrn.ALL._.PAGES." hidden="1">{#N/A,#N/A,FALSE,"puboff";#N/A,#N/A,FALSE,"financials";#N/A,#N/A,FALSE,"valuation";#N/A,#N/A,FALSE,"split"}</definedName>
    <definedName name="wrn.ALL._.SHEETS." localSheetId="13" hidden="1">{#N/A,#N/A,FALSE,"Adj Proj";#N/A,#N/A,FALSE,"Sheet1";#N/A,#N/A,FALSE,"LBO";#N/A,#N/A,FALSE,"LBOMER";#N/A,#N/A,FALSE,"WACC";#N/A,#N/A,FALSE,"DCF";#N/A,#N/A,FALSE,"DCFMER";#N/A,#N/A,FALSE,"Pooling";#N/A,#N/A,FALSE,"income";#N/A,#N/A,FALSE,"Offer"}</definedName>
    <definedName name="wrn.ALL._.SHEETS." hidden="1">{#N/A,#N/A,FALSE,"Adj Proj";#N/A,#N/A,FALSE,"Sheet1";#N/A,#N/A,FALSE,"LBO";#N/A,#N/A,FALSE,"LBOMER";#N/A,#N/A,FALSE,"WACC";#N/A,#N/A,FALSE,"DCF";#N/A,#N/A,FALSE,"DCFMER";#N/A,#N/A,FALSE,"Pooling";#N/A,#N/A,FALSE,"income";#N/A,#N/A,FALSE,"Offer"}</definedName>
    <definedName name="wrn.All._.Worksheets." localSheetId="13" hidden="1">{#N/A,#N/A,TRUE,"Cover Page";#N/A,#N/A,TRUE,"Summary Stats Annual";#N/A,#N/A,TRUE,"Unit Economics";#N/A,#N/A,TRUE,"Balance Sheet Annual";#N/A,#N/A,TRUE,"Cash Flow Annual";#N/A,#N/A,TRUE,"Income Statement Annual";#N/A,#N/A,TRUE,"CAPEX Annual";#N/A,#N/A,TRUE,"Headcount Summary Annual";#N/A,#N/A,TRUE,"Customer Build up";#N/A,#N/A,TRUE,"Cash Call";#N/A,#N/A,TRUE,"Summary Stats Month";#N/A,#N/A,TRUE,"Balance Sheet Month";#N/A,#N/A,TRUE,"Cash Flow Month";#N/A,#N/A,TRUE,"Income Statement Month";#N/A,#N/A,TRUE,"CAPEX Month";#N/A,#N/A,TRUE,"Headcount Summary Month";#N/A,#N/A,TRUE,"Assumptions";#N/A,#N/A,TRUE,"Headcount Inputs";#N/A,#N/A,TRUE,"Revenue &amp; Direct Expense";#N/A,#N/A,TRUE,"Indirect Expense";#N/A,#N/A,TRUE,"Markets";#N/A,#N/A,TRUE,"Colocation";#N/A,#N/A,TRUE,"Demographics";#N/A,#N/A,TRUE,"ILEC Rates";#N/A,#N/A,TRUE,"Amortization"}</definedName>
    <definedName name="wrn.All._.Worksheets." hidden="1">{#N/A,#N/A,TRUE,"Cover Page";#N/A,#N/A,TRUE,"Summary Stats Annual";#N/A,#N/A,TRUE,"Unit Economics";#N/A,#N/A,TRUE,"Balance Sheet Annual";#N/A,#N/A,TRUE,"Cash Flow Annual";#N/A,#N/A,TRUE,"Income Statement Annual";#N/A,#N/A,TRUE,"CAPEX Annual";#N/A,#N/A,TRUE,"Headcount Summary Annual";#N/A,#N/A,TRUE,"Customer Build up";#N/A,#N/A,TRUE,"Cash Call";#N/A,#N/A,TRUE,"Summary Stats Month";#N/A,#N/A,TRUE,"Balance Sheet Month";#N/A,#N/A,TRUE,"Cash Flow Month";#N/A,#N/A,TRUE,"Income Statement Month";#N/A,#N/A,TRUE,"CAPEX Month";#N/A,#N/A,TRUE,"Headcount Summary Month";#N/A,#N/A,TRUE,"Assumptions";#N/A,#N/A,TRUE,"Headcount Inputs";#N/A,#N/A,TRUE,"Revenue &amp; Direct Expense";#N/A,#N/A,TRUE,"Indirect Expense";#N/A,#N/A,TRUE,"Markets";#N/A,#N/A,TRUE,"Colocation";#N/A,#N/A,TRUE,"Demographics";#N/A,#N/A,TRUE,"ILEC Rates";#N/A,#N/A,TRUE,"Amortization"}</definedName>
    <definedName name="wrn.all._M._.Scheduleds。1" localSheetId="11" hidden="1">{"M1Print",#N/A,TRUE,"M1";"M2Print",#N/A,TRUE,"M2";"M1sPrint",#N/A,TRUE,"M1s";"M2aPrint",#N/A,TRUE,"M2a";"M4Print",#N/A,TRUE,"M4";"M5Print",#N/A,TRUE,"M5";"M6Print",#N/A,TRUE,"M6";"M6_1Print",#N/A,TRUE,"M6_1";"M6_2Print",#N/A,TRUE,"M6_2";"M7_1Print",#N/A,TRUE,"M7_1";"M7_2Print",#N/A,TRUE,"M7_2"}</definedName>
    <definedName name="wrn.all._M._.Scheduleds。1" localSheetId="13"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All_Models." localSheetId="13" hidden="1">{#N/A,#N/A,FALSE,"Summary";#N/A,#N/A,FALSE,"Projections";#N/A,#N/A,FALSE,"Mkt Mults";#N/A,#N/A,FALSE,"DCF";#N/A,#N/A,FALSE,"Accr Dil";#N/A,#N/A,FALSE,"PIC LBO";#N/A,#N/A,FALSE,"MULT10_4";#N/A,#N/A,FALSE,"CBI LBO"}</definedName>
    <definedName name="wrn.All_Models." hidden="1">{#N/A,#N/A,FALSE,"Summary";#N/A,#N/A,FALSE,"Projections";#N/A,#N/A,FALSE,"Mkt Mults";#N/A,#N/A,FALSE,"DCF";#N/A,#N/A,FALSE,"Accr Dil";#N/A,#N/A,FALSE,"PIC LBO";#N/A,#N/A,FALSE,"MULT10_4";#N/A,#N/A,FALSE,"CBI LBO"}</definedName>
    <definedName name="wrn.All_Sheets." localSheetId="13" hidden="1">{#N/A,#N/A,FALSE,"Projections";#N/A,#N/A,FALSE,"Contribution_Stock";#N/A,#N/A,FALSE,"PF_Combo_Stock";#N/A,#N/A,FALSE,"Projections";#N/A,#N/A,FALSE,"Contribution_Cash";#N/A,#N/A,FALSE,"PF_Combo_Cash";#N/A,#N/A,FALSE,"IPO_Cash"}</definedName>
    <definedName name="wrn.All_Sheets." hidden="1">{#N/A,#N/A,FALSE,"Projections";#N/A,#N/A,FALSE,"Contribution_Stock";#N/A,#N/A,FALSE,"PF_Combo_Stock";#N/A,#N/A,FALSE,"Projections";#N/A,#N/A,FALSE,"Contribution_Cash";#N/A,#N/A,FALSE,"PF_Combo_Cash";#N/A,#N/A,FALSE,"IPO_Cash"}</definedName>
    <definedName name="wrn.ALLbutPREMIUM." localSheetId="13"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 hidden="1">{#N/A,#N/A,FALSE,"Projections";#N/A,#N/A,FALSE,"AccrDil";#N/A,#N/A,FALSE,"PurchPriMult";#N/A,#N/A,FALSE,"Mults7_13";#N/A,#N/A,FALSE,"Mkt Mults";#N/A,#N/A,FALSE,"Acq Mults";#N/A,#N/A,FALSE,"StockPrices";#N/A,#N/A,FALSE,"Prem Paid";#N/A,#N/A,FALSE,"DCF";#N/A,#N/A,FALSE,"AUTO";#N/A,#N/A,FALSE,"Relative Trading";#N/A,#N/A,FALSE,"Mkt Val";#N/A,#N/A,FALSE,"Acq Val"}</definedName>
    <definedName name="wrn.AllModels." localSheetId="13" hidden="1">{#N/A,#N/A,FALSE,"AD_Purchase";#N/A,#N/A,FALSE,"Credit";#N/A,#N/A,FALSE,"PF Acquisition";#N/A,#N/A,FALSE,"PF Offering"}</definedName>
    <definedName name="wrn.AllModels." hidden="1">{#N/A,#N/A,FALSE,"AD_Purchase";#N/A,#N/A,FALSE,"Credit";#N/A,#N/A,FALSE,"PF Acquisition";#N/A,#N/A,FALSE,"PF Offering"}</definedName>
    <definedName name="wrn.ANALYSIS._.9507." localSheetId="13" hidden="1">{#N/A,#N/A,FALSE,"ABB HOLDING LTD"}</definedName>
    <definedName name="wrn.ANALYSIS._.9507." hidden="1">{#N/A,#N/A,FALSE,"ABB HOLDING LTD"}</definedName>
    <definedName name="WRN.ANALYSIS._.9511." localSheetId="13" hidden="1">{#N/A,#N/A,FALSE,"ABB HOLDING LTD"}</definedName>
    <definedName name="WRN.ANALYSIS._.9511." hidden="1">{#N/A,#N/A,FALSE,"ABB HOLDING LTD"}</definedName>
    <definedName name="wrn.Anixter." localSheetId="13" hidden="1">{#N/A,#N/A,FALSE,"Gao Jia Cheng, Jeffery";#N/A,#N/A,FALSE,"Dennis Pak - Feb to Mar 97";#N/A,#N/A,FALSE,"Dennis Pak - Jan 97";#N/A,#N/A,FALSE,"Dennis Pak - Jun to Dec 96"}</definedName>
    <definedName name="wrn.Anixter." hidden="1">{#N/A,#N/A,FALSE,"Gao Jia Cheng, Jeffery";#N/A,#N/A,FALSE,"Dennis Pak - Feb to Mar 97";#N/A,#N/A,FALSE,"Dennis Pak - Jan 97";#N/A,#N/A,FALSE,"Dennis Pak - Jun to Dec 96"}</definedName>
    <definedName name="wrn.Asia." localSheetId="1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basics." localSheetId="13" hidden="1">{#N/A,#N/A,FALSE,"TSUM";#N/A,#N/A,FALSE,"shares";#N/A,#N/A,FALSE,"earnout";#N/A,#N/A,FALSE,"Heaty";#N/A,#N/A,FALSE,"self-tend";#N/A,#N/A,FALSE,"self-sum"}</definedName>
    <definedName name="wrn.basics." hidden="1">{#N/A,#N/A,FALSE,"TSUM";#N/A,#N/A,FALSE,"shares";#N/A,#N/A,FALSE,"earnout";#N/A,#N/A,FALSE,"Heaty";#N/A,#N/A,FALSE,"self-tend";#N/A,#N/A,FALSE,"self-sum"}</definedName>
    <definedName name="wrn.Board._.Reports." localSheetId="3" hidden="1">{#N/A,#N/A,FALSE,"M1s Board";#N/A,#N/A,FALSE,"M3 Board";#N/A,#N/A,FALSE,"M6 Board";#N/A,#N/A,FALSE,"M7";#N/A,#N/A,FALSE,"M7B";#N/A,#N/A,FALSE,"M8";#N/A,#N/A,FALSE,"M8A Board";#N/A,#N/A,FALSE,"AF1 Board"}</definedName>
    <definedName name="wrn.Board._.Reports." localSheetId="1" hidden="1">{#N/A,#N/A,FALSE,"M1s Board";#N/A,#N/A,FALSE,"M3 Board";#N/A,#N/A,FALSE,"M6 Board";#N/A,#N/A,FALSE,"M7";#N/A,#N/A,FALSE,"M7B";#N/A,#N/A,FALSE,"M8";#N/A,#N/A,FALSE,"M8A Board";#N/A,#N/A,FALSE,"AF1 Board"}</definedName>
    <definedName name="wrn.Board._.Reports." localSheetId="2" hidden="1">{#N/A,#N/A,FALSE,"M1s Board";#N/A,#N/A,FALSE,"M3 Board";#N/A,#N/A,FALSE,"M6 Board";#N/A,#N/A,FALSE,"M7";#N/A,#N/A,FALSE,"M7B";#N/A,#N/A,FALSE,"M8";#N/A,#N/A,FALSE,"M8A Board";#N/A,#N/A,FALSE,"AF1 Board"}</definedName>
    <definedName name="wrn.Board._.Reports." localSheetId="11" hidden="1">{#N/A,#N/A,FALSE,"M1s Board";#N/A,#N/A,FALSE,"M3 Board";#N/A,#N/A,FALSE,"M6 Board";#N/A,#N/A,FALSE,"M7";#N/A,#N/A,FALSE,"M7B";#N/A,#N/A,FALSE,"M8";#N/A,#N/A,FALSE,"M8A Board";#N/A,#N/A,FALSE,"AF1 Board"}</definedName>
    <definedName name="wrn.Board._.Reports." localSheetId="13" hidden="1">{#N/A,#N/A,FALSE,"M1s Board";#N/A,#N/A,FALSE,"M3 Board";#N/A,#N/A,FALSE,"M6 Board";#N/A,#N/A,FALSE,"M7";#N/A,#N/A,FALSE,"M7B";#N/A,#N/A,FALSE,"M8";#N/A,#N/A,FALSE,"M8A Board";#N/A,#N/A,FALSE,"AF1 Board"}</definedName>
    <definedName name="wrn.Board._.Reports." localSheetId="10" hidden="1">{#N/A,#N/A,FALSE,"M1s Board";#N/A,#N/A,FALSE,"M3 Board";#N/A,#N/A,FALSE,"M6 Board";#N/A,#N/A,FALSE,"M7";#N/A,#N/A,FALSE,"M7B";#N/A,#N/A,FALSE,"M8";#N/A,#N/A,FALSE,"M8A Board";#N/A,#N/A,FALSE,"AF1 Board"}</definedName>
    <definedName name="wrn.Board._.Reports." localSheetId="6" hidden="1">{#N/A,#N/A,FALSE,"M1s Board";#N/A,#N/A,FALSE,"M3 Board";#N/A,#N/A,FALSE,"M6 Board";#N/A,#N/A,FALSE,"M7";#N/A,#N/A,FALSE,"M7B";#N/A,#N/A,FALSE,"M8";#N/A,#N/A,FALSE,"M8A Board";#N/A,#N/A,FALSE,"AF1 Board"}</definedName>
    <definedName name="wrn.Board._.Reports." hidden="1">{#N/A,#N/A,FALSE,"M1s Board";#N/A,#N/A,FALSE,"M3 Board";#N/A,#N/A,FALSE,"M6 Board";#N/A,#N/A,FALSE,"M7";#N/A,#N/A,FALSE,"M7B";#N/A,#N/A,FALSE,"M8";#N/A,#N/A,FALSE,"M8A Board";#N/A,#N/A,FALSE,"AF1 Board"}</definedName>
    <definedName name="wrn.budget." localSheetId="13" hidden="1">{#N/A,#N/A,FALSE,"SummByYr";#N/A,#N/A,FALSE,"DetailByYr";#N/A,#N/A,FALSE,"SummByQtr";#N/A,#N/A,FALSE,"SummByMon";#N/A,#N/A,FALSE,"DetailByQtr";#N/A,#N/A,FALSE,"DetailByMon";#N/A,#N/A,FALSE,"StationYTD";#N/A,#N/A,FALSE,"StationYr";#N/A,#N/A,FALSE,"StationMon";#N/A,#N/A,FALSE,"Actual97";#N/A,#N/A,FALSE,"Actual96";#N/A,#N/A,FALSE,"Actual95";#N/A,#N/A,FALSE,"Actual94"}</definedName>
    <definedName name="wrn.budget." hidden="1">{#N/A,#N/A,FALSE,"SummByYr";#N/A,#N/A,FALSE,"DetailByYr";#N/A,#N/A,FALSE,"SummByQtr";#N/A,#N/A,FALSE,"SummByMon";#N/A,#N/A,FALSE,"DetailByQtr";#N/A,#N/A,FALSE,"DetailByMon";#N/A,#N/A,FALSE,"StationYTD";#N/A,#N/A,FALSE,"StationYr";#N/A,#N/A,FALSE,"StationMon";#N/A,#N/A,FALSE,"Actual97";#N/A,#N/A,FALSE,"Actual96";#N/A,#N/A,FALSE,"Actual95";#N/A,#N/A,FALSE,"Actual94"}</definedName>
    <definedName name="wrn.bullshit1." localSheetId="13" hidden="1">{#N/A,#N/A,FALSE,"Sheet1";#N/A,#N/A,FALSE,"Summary";#N/A,#N/A,FALSE,"proj1";#N/A,#N/A,FALSE,"proj2"}</definedName>
    <definedName name="wrn.bullshit1." hidden="1">{#N/A,#N/A,FALSE,"Sheet1";#N/A,#N/A,FALSE,"Summary";#N/A,#N/A,FALSE,"proj1";#N/A,#N/A,FALSE,"proj2"}</definedName>
    <definedName name="wrn.contribution." localSheetId="13" hidden="1">{#N/A,#N/A,FALSE,"Contribution Analysis"}</definedName>
    <definedName name="wrn.contribution." hidden="1">{#N/A,#N/A,FALSE,"Contribution Analysis"}</definedName>
    <definedName name="wrn.Cover." localSheetId="13" hidden="1">{"coverall",#N/A,FALSE,"Definitions";"cover1",#N/A,FALSE,"Definitions";"cover2",#N/A,FALSE,"Definitions";"cover3",#N/A,FALSE,"Definitions";"cover4",#N/A,FALSE,"Definitions";"cover5",#N/A,FALSE,"Definitions";"blank",#N/A,FALSE,"Definitions"}</definedName>
    <definedName name="wrn.Cover." hidden="1">{"coverall",#N/A,FALSE,"Definitions";"cover1",#N/A,FALSE,"Definitions";"cover2",#N/A,FALSE,"Definitions";"cover3",#N/A,FALSE,"Definitions";"cover4",#N/A,FALSE,"Definitions";"cover5",#N/A,FALSE,"Definitions";"blank",#N/A,FALSE,"Definitions"}</definedName>
    <definedName name="wrn.csc." localSheetId="13" hidden="1">{"orixcsc",#N/A,FALSE,"ORIX CSC";"orixcsc2",#N/A,FALSE,"ORIX CSC"}</definedName>
    <definedName name="wrn.csc." hidden="1">{"orixcsc",#N/A,FALSE,"ORIX CSC";"orixcsc2",#N/A,FALSE,"ORIX CSC"}</definedName>
    <definedName name="wrn.csc2." localSheetId="13" hidden="1">{#N/A,#N/A,FALSE,"ORIX CSC"}</definedName>
    <definedName name="wrn.csc2." hidden="1">{#N/A,#N/A,FALSE,"ORIX CSC"}</definedName>
    <definedName name="wrn.Current_External." localSheetId="13" hidden="1">{"Current_View",#N/A,TRUE,"P&amp;L - External";#N/A,#N/A,TRUE,"Backlog";#N/A,#N/A,TRUE,"Revenue";#N/A,#N/A,TRUE,"Std Margin";#N/A,#N/A,TRUE,"Waterfall - External"}</definedName>
    <definedName name="wrn.Current_External." hidden="1">{"Current_View",#N/A,TRUE,"P&amp;L - External";#N/A,#N/A,TRUE,"Backlog";#N/A,#N/A,TRUE,"Revenue";#N/A,#N/A,TRUE,"Std Margin";#N/A,#N/A,TRUE,"Waterfall - External"}</definedName>
    <definedName name="wrn.Current_Internal." localSheetId="13" hidden="1">{"Current_View",#N/A,TRUE,"P&amp;L";#N/A,#N/A,TRUE,"Backlog";#N/A,#N/A,TRUE,"Revenue";#N/A,#N/A,TRUE,"Std Margin";#N/A,#N/A,TRUE,"Waterfall"}</definedName>
    <definedName name="wrn.Current_Internal." hidden="1">{"Current_View",#N/A,TRUE,"P&amp;L";#N/A,#N/A,TRUE,"Backlog";#N/A,#N/A,TRUE,"Revenue";#N/A,#N/A,TRUE,"Std Margin";#N/A,#N/A,TRUE,"Waterfall"}</definedName>
    <definedName name="wrn.dcf." localSheetId="13" hidden="1">{"mgmt forecast",#N/A,FALSE,"Mgmt Forecast";"dcf table",#N/A,FALSE,"Mgmt Forecast";"sensitivity",#N/A,FALSE,"Mgmt Forecast";"table inputs",#N/A,FALSE,"Mgmt Forecast";"calculations",#N/A,FALSE,"Mgmt Forecast"}</definedName>
    <definedName name="wrn.dcf." hidden="1">{"mgmt forecast",#N/A,FALSE,"Mgmt Forecast";"dcf table",#N/A,FALSE,"Mgmt Forecast";"sensitivity",#N/A,FALSE,"Mgmt Forecast";"table inputs",#N/A,FALSE,"Mgmt Forecast";"calculations",#N/A,FALSE,"Mgmt Forecast"}</definedName>
    <definedName name="wrn.Deposit._.By._.Day." localSheetId="11" hidden="1">{#N/A,#N/A,FALSE,"Deposits by day"}</definedName>
    <definedName name="wrn.Deposit._.By._.Day." localSheetId="13" hidden="1">{#N/A,#N/A,FALSE,"Deposits by day"}</definedName>
    <definedName name="wrn.Deposit._.By._.Day." localSheetId="10" hidden="1">{#N/A,#N/A,FALSE,"Deposits by day"}</definedName>
    <definedName name="wrn.Deposit._.By._.Day." localSheetId="6" hidden="1">{#N/A,#N/A,FALSE,"Deposits by day"}</definedName>
    <definedName name="wrn.Deposit._.By._.Day." hidden="1">{#N/A,#N/A,FALSE,"Deposits by day"}</definedName>
    <definedName name="wrn.Deptartment._.Expenses." localSheetId="3" hidden="1">{#N/A,#N/A,TRUE,"CPRD";#N/A,#N/A,TRUE,"BCCPDR";#N/A,#N/A,TRUE,"EWRD";#N/A,#N/A,TRUE,"5100";#N/A,#N/A,TRUE,"5110"}</definedName>
    <definedName name="wrn.Deptartment._.Expenses." localSheetId="1" hidden="1">{#N/A,#N/A,TRUE,"CPRD";#N/A,#N/A,TRUE,"BCCPDR";#N/A,#N/A,TRUE,"EWRD";#N/A,#N/A,TRUE,"5100";#N/A,#N/A,TRUE,"5110"}</definedName>
    <definedName name="wrn.Deptartment._.Expenses." localSheetId="2" hidden="1">{#N/A,#N/A,TRUE,"CPRD";#N/A,#N/A,TRUE,"BCCPDR";#N/A,#N/A,TRUE,"EWRD";#N/A,#N/A,TRUE,"5100";#N/A,#N/A,TRUE,"5110"}</definedName>
    <definedName name="wrn.Deptartment._.Expenses." localSheetId="11" hidden="1">{#N/A,#N/A,TRUE,"CPRD";#N/A,#N/A,TRUE,"BCCPDR";#N/A,#N/A,TRUE,"EWRD";#N/A,#N/A,TRUE,"5100";#N/A,#N/A,TRUE,"5110"}</definedName>
    <definedName name="wrn.Deptartment._.Expenses." localSheetId="13" hidden="1">{#N/A,#N/A,TRUE,"CPRD";#N/A,#N/A,TRUE,"BCCPDR";#N/A,#N/A,TRUE,"EWRD";#N/A,#N/A,TRUE,"5100";#N/A,#N/A,TRUE,"5110"}</definedName>
    <definedName name="wrn.Deptartment._.Expenses." localSheetId="10" hidden="1">{#N/A,#N/A,TRUE,"CPRD";#N/A,#N/A,TRUE,"BCCPDR";#N/A,#N/A,TRUE,"EWRD";#N/A,#N/A,TRUE,"5100";#N/A,#N/A,TRUE,"5110"}</definedName>
    <definedName name="wrn.Deptartment._.Expenses." localSheetId="6" hidden="1">{#N/A,#N/A,TRUE,"CPRD";#N/A,#N/A,TRUE,"BCCPDR";#N/A,#N/A,TRUE,"EWRD";#N/A,#N/A,TRUE,"5100";#N/A,#N/A,TRUE,"5110"}</definedName>
    <definedName name="wrn.Deptartment._.Expenses." hidden="1">{#N/A,#N/A,TRUE,"CPRD";#N/A,#N/A,TRUE,"BCCPDR";#N/A,#N/A,TRUE,"EWRD";#N/A,#N/A,TRUE,"5100";#N/A,#N/A,TRUE,"5110"}</definedName>
    <definedName name="wrn.Detail._.income._.and._.expense." localSheetId="13" hidden="1">{#N/A,#N/A,TRUE,"Assumptions";#N/A,#N/A,TRUE,"Revenue &amp; Direct Expense";#N/A,#N/A,TRUE,"Indirect Expense"}</definedName>
    <definedName name="wrn.Detail._.income._.and._.expense." hidden="1">{#N/A,#N/A,TRUE,"Assumptions";#N/A,#N/A,TRUE,"Revenue &amp; Direct Expense";#N/A,#N/A,TRUE,"Indirect Expense"}</definedName>
    <definedName name="wrn.dir." localSheetId="13" hidden="1">{#N/A,#N/A,FALSE,"Dir. Marketing_Summary";#N/A,#N/A,FALSE,"Infolink";#N/A,#N/A,FALSE,"Direct";#N/A,#N/A,FALSE,"Med_Marketing";#N/A,#N/A,FALSE,"Dimac_1";#N/A,#N/A,FALSE,"Dimac_2";#N/A,#N/A,FALSE,"Vantage";#N/A,#N/A,FALSE,"Tomahawk";#N/A,#N/A,FALSE,"BofA";#N/A,#N/A,FALSE,"Epsilon";#N/A,#N/A,FALSE,"Epsilon"}</definedName>
    <definedName name="wrn.dir." hidden="1">{#N/A,#N/A,FALSE,"Dir. Marketing_Summary";#N/A,#N/A,FALSE,"Infolink";#N/A,#N/A,FALSE,"Direct";#N/A,#N/A,FALSE,"Med_Marketing";#N/A,#N/A,FALSE,"Dimac_1";#N/A,#N/A,FALSE,"Dimac_2";#N/A,#N/A,FALSE,"Vantage";#N/A,#N/A,FALSE,"Tomahawk";#N/A,#N/A,FALSE,"BofA";#N/A,#N/A,FALSE,"Epsilon";#N/A,#N/A,FALSE,"Epsilon"}</definedName>
    <definedName name="wrn.Earnings._.Model."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RNST." localSheetId="11" hidden="1">{#N/A,#N/A,FALSE,"YTCHAN";#N/A,#N/A,FALSE,"TOMMY";#N/A,#N/A,FALSE,"REP.OFFICE";#N/A,#N/A,FALSE,"E&amp;Y_CONSULTANT";#N/A,#N/A,FALSE,"BT &amp; CIT"}</definedName>
    <definedName name="wrn.ERNST." localSheetId="13" hidden="1">{#N/A,#N/A,FALSE,"YTCHAN";#N/A,#N/A,FALSE,"TOMMY";#N/A,#N/A,FALSE,"REP.OFFICE";#N/A,#N/A,FALSE,"E&amp;Y_CONSULTANT";#N/A,#N/A,FALSE,"BT &amp; CIT"}</definedName>
    <definedName name="wrn.ERNST." hidden="1">{#N/A,#N/A,FALSE,"YTCHAN";#N/A,#N/A,FALSE,"TOMMY";#N/A,#N/A,FALSE,"REP.OFFICE";#N/A,#N/A,FALSE,"E&amp;Y_CONSULTANT";#N/A,#N/A,FALSE,"BT &amp; CIT"}</definedName>
    <definedName name="wrn.Europe." localSheetId="13"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localSheetId="13"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ternal." localSheetId="13" hidden="1">{"External_Annual_Income",#N/A,FALSE,"External";"External_Quarterly_Income",#N/A,FALSE,"External"}</definedName>
    <definedName name="wrn.External." hidden="1">{"External_Annual_Income",#N/A,FALSE,"External";"External_Quarterly_Income",#N/A,FALSE,"External"}</definedName>
    <definedName name="wrn.external.2" localSheetId="13" hidden="1">{"External_Annual_Income",#N/A,FALSE,"External";"External_Quarterly_Income",#N/A,FALSE,"External"}</definedName>
    <definedName name="wrn.external.2" hidden="1">{"External_Annual_Income",#N/A,FALSE,"External";"External_Quarterly_Income",#N/A,FALSE,"External"}</definedName>
    <definedName name="wrn.Filter." localSheetId="13" hidden="1">{#N/A,#N/A,FALSE,"Assump2";#N/A,#N/A,FALSE,"Income2";#N/A,#N/A,FALSE,"Balance2";#N/A,#N/A,FALSE,"DCF Filter";#N/A,#N/A,FALSE,"Trans Assump2";#N/A,#N/A,FALSE,"Combined Income2";#N/A,#N/A,FALSE,"Combined Balance2"}</definedName>
    <definedName name="wrn.Filter." hidden="1">{#N/A,#N/A,FALSE,"Assump2";#N/A,#N/A,FALSE,"Income2";#N/A,#N/A,FALSE,"Balance2";#N/A,#N/A,FALSE,"DCF Filter";#N/A,#N/A,FALSE,"Trans Assump2";#N/A,#N/A,FALSE,"Combined Income2";#N/A,#N/A,FALSE,"Combined Balance2"}</definedName>
    <definedName name="wrn.Financial._.Report." localSheetId="11"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_.Report." localSheetId="13"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s." localSheetId="13" hidden="1">{"Overview",#N/A,FALSE,"Overview";"Overview",#N/A,FALSE,"Classic Qwest"}</definedName>
    <definedName name="wrn.Financials." hidden="1">{"Overview",#N/A,FALSE,"Overview";"Overview",#N/A,FALSE,"Classic Qwest"}</definedName>
    <definedName name="wrn.first2." localSheetId="13" hidden="1">{#N/A,#N/A,FALSE,"sum-don";#N/A,#N/A,FALSE,"inc-don"}</definedName>
    <definedName name="wrn.first2." hidden="1">{#N/A,#N/A,FALSE,"sum-don";#N/A,#N/A,FALSE,"inc-don"}</definedName>
    <definedName name="wrn.first3." localSheetId="13" hidden="1">{#N/A,#N/A,FALSE,"Summary";#N/A,#N/A,FALSE,"proj1";#N/A,#N/A,FALSE,"proj2"}</definedName>
    <definedName name="wrn.first3." hidden="1">{#N/A,#N/A,FALSE,"Summary";#N/A,#N/A,FALSE,"proj1";#N/A,#N/A,FALSE,"proj2"}</definedName>
    <definedName name="wrn.first4." localSheetId="13" hidden="1">{#N/A,#N/A,FALSE,"Summary";#N/A,#N/A,FALSE,"proj1";#N/A,#N/A,FALSE,"proj2";#N/A,#N/A,FALSE,"DCF"}</definedName>
    <definedName name="wrn.first4." hidden="1">{#N/A,#N/A,FALSE,"Summary";#N/A,#N/A,FALSE,"proj1";#N/A,#N/A,FALSE,"proj2";#N/A,#N/A,FALSE,"DCF"}</definedName>
    <definedName name="wrn.form." localSheetId="11" hidden="1">{#N/A,#N/A,FALSE,"OffAdvance";#N/A,#N/A,FALSE,"OffExpRprt";#N/A,#N/A,FALSE,"Entertmnt";#N/A,#N/A,FALSE,"Promotion";#N/A,#N/A,FALSE,"Travelling"}</definedName>
    <definedName name="wrn.form." localSheetId="13" hidden="1">{#N/A,#N/A,FALSE,"OffAdvance";#N/A,#N/A,FALSE,"OffExpRprt";#N/A,#N/A,FALSE,"Entertmnt";#N/A,#N/A,FALSE,"Promotion";#N/A,#N/A,FALSE,"Travelling"}</definedName>
    <definedName name="wrn.form." hidden="1">{#N/A,#N/A,FALSE,"OffAdvance";#N/A,#N/A,FALSE,"OffExpRprt";#N/A,#N/A,FALSE,"Entertmnt";#N/A,#N/A,FALSE,"Promotion";#N/A,#N/A,FALSE,"Travelling"}</definedName>
    <definedName name="wrn.fy00_Q1Q2." localSheetId="13" hidden="1">{#N/A,#N/A,FALSE,"Sheet1"}</definedName>
    <definedName name="wrn.fy00_Q1Q2." hidden="1">{#N/A,#N/A,FALSE,"Sheet1"}</definedName>
    <definedName name="wrn.gastos." localSheetId="13" hidden="1">{#N/A,#N/A,FALSE,"PERSONAL";#N/A,#N/A,FALSE,"explotación";#N/A,#N/A,FALSE,"generales"}</definedName>
    <definedName name="wrn.gastos." hidden="1">{#N/A,#N/A,FALSE,"PERSONAL";#N/A,#N/A,FALSE,"explotación";#N/A,#N/A,FALSE,"generales"}</definedName>
    <definedName name="wrn.gb." localSheetId="11" hidden="1">{#N/A,#N/A,FALSE,"资产负债表";#N/A,#N/A,FALSE,"资产负债表"}</definedName>
    <definedName name="wrn.gb." localSheetId="13" hidden="1">{#N/A,#N/A,FALSE,"资产负债表";#N/A,#N/A,FALSE,"资产负债表"}</definedName>
    <definedName name="wrn.gb." hidden="1">{#N/A,#N/A,FALSE,"资产负债表";#N/A,#N/A,FALSE,"资产负债表"}</definedName>
    <definedName name="wrn.HEAT." localSheetId="13" hidden="1">{#N/A,#N/A,FALSE,"Heat";#N/A,#N/A,FALSE,"DCF";#N/A,#N/A,FALSE,"LBO";#N/A,#N/A,FALSE,"A";#N/A,#N/A,FALSE,"C";#N/A,#N/A,FALSE,"impd";#N/A,#N/A,FALSE,"Accr-Dilu"}</definedName>
    <definedName name="wrn.HEAT." hidden="1">{#N/A,#N/A,FALSE,"Heat";#N/A,#N/A,FALSE,"DCF";#N/A,#N/A,FALSE,"LBO";#N/A,#N/A,FALSE,"A";#N/A,#N/A,FALSE,"C";#N/A,#N/A,FALSE,"impd";#N/A,#N/A,FALSE,"Accr-Dilu"}</definedName>
    <definedName name="wrn.Hydraulic." localSheetId="13"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localSheetId="13" hidden="1">{#N/A,#N/A,FALSE,"HuscoCombined-Summ";#N/A,#N/A,FALSE,"HuscoCombined-Income";#N/A,#N/A,FALSE,"HuscoCombined-Offering";#N/A,#N/A,FALSE,"Husco-Income";#N/A,#N/A,FALSE,"TargetEngineer";#N/A,#N/A,FALSE,"TargetAcqCalc";#N/A,#N/A,FALSE,"Husco-Acq"}</definedName>
    <definedName name="wrn.Hydraulic2." hidden="1">{#N/A,#N/A,FALSE,"HuscoCombined-Summ";#N/A,#N/A,FALSE,"HuscoCombined-Income";#N/A,#N/A,FALSE,"HuscoCombined-Offering";#N/A,#N/A,FALSE,"Husco-Income";#N/A,#N/A,FALSE,"TargetEngineer";#N/A,#N/A,FALSE,"TargetAcqCalc";#N/A,#N/A,FALSE,"Husco-Acq"}</definedName>
    <definedName name="wrn.Income._.Statement." localSheetId="13" hidden="1">{#N/A,#N/A,FALSE,"Report Print"}</definedName>
    <definedName name="wrn.Income._.Statement." hidden="1">{#N/A,#N/A,FALSE,"Report Print"}</definedName>
    <definedName name="wrn.ingreso." localSheetId="13" hidden="1">{#N/A,#N/A,FALSE,"voz corporativa";#N/A,#N/A,FALSE,"Transmisión de datos";#N/A,#N/A,FALSE,"Videoconferencia";#N/A,#N/A,FALSE,"Correo electrónico";#N/A,#N/A,FALSE,"Correo de voz";#N/A,#N/A,FALSE,"Megafax";#N/A,#N/A,FALSE,"Edi";#N/A,#N/A,FALSE,"Internet";#N/A,#N/A,FALSE,"VSAT";#N/A,#N/A,FALSE,"ing ult. milla"}</definedName>
    <definedName name="wrn.ingreso." hidden="1">{#N/A,#N/A,FALSE,"voz corporativa";#N/A,#N/A,FALSE,"Transmisión de datos";#N/A,#N/A,FALSE,"Videoconferencia";#N/A,#N/A,FALSE,"Correo electrónico";#N/A,#N/A,FALSE,"Correo de voz";#N/A,#N/A,FALSE,"Megafax";#N/A,#N/A,FALSE,"Edi";#N/A,#N/A,FALSE,"Internet";#N/A,#N/A,FALSE,"VSAT";#N/A,#N/A,FALSE,"ing ult. milla"}</definedName>
    <definedName name="wrn.ingresos." localSheetId="13" hidden="1">{#N/A,#N/A,FALSE,"voz corporativa";#N/A,#N/A,FALSE,"Transmisión de datos";#N/A,#N/A,FALSE,"Videoconferencia";#N/A,#N/A,FALSE,"Correo electrónico";#N/A,#N/A,FALSE,"Correo de voz";#N/A,#N/A,FALSE,"Megafax";#N/A,#N/A,FALSE,"Edi";#N/A,#N/A,FALSE,"Internet";#N/A,#N/A,FALSE,"VSAT";#N/A,#N/A,FALSE,"ing ult. milla"}</definedName>
    <definedName name="wrn.ingresos." hidden="1">{#N/A,#N/A,FALSE,"voz corporativa";#N/A,#N/A,FALSE,"Transmisión de datos";#N/A,#N/A,FALSE,"Videoconferencia";#N/A,#N/A,FALSE,"Correo electrónico";#N/A,#N/A,FALSE,"Correo de voz";#N/A,#N/A,FALSE,"Megafax";#N/A,#N/A,FALSE,"Edi";#N/A,#N/A,FALSE,"Internet";#N/A,#N/A,FALSE,"VSAT";#N/A,#N/A,FALSE,"ing ult. milla"}</definedName>
    <definedName name="wrn.Input._.Data." localSheetId="11" hidden="1">{"Input_Fin",#N/A,FALSE,"By Code";"Input_Opt",#N/A,FALSE,"By Code"}</definedName>
    <definedName name="wrn.Input._.Data." localSheetId="13" hidden="1">{"Input_Fin",#N/A,FALSE,"By Code";"Input_Opt",#N/A,FALSE,"By Code"}</definedName>
    <definedName name="wrn.Input._.Data." hidden="1">{"Input_Fin",#N/A,FALSE,"By Code";"Input_Opt",#N/A,FALSE,"By Code"}</definedName>
    <definedName name="wrn.Inputs._.and._.detail._.calculations." localSheetId="13" hidden="1">{#N/A,#N/A,TRUE,"Revenue &amp; Direct Expense";#N/A,#N/A,TRUE,"Indirect Expense";#N/A,#N/A,TRUE,"Assumptions";#N/A,#N/A,TRUE,"Headcount Inputs";#N/A,#N/A,TRUE,"Markets";#N/A,#N/A,TRUE,"Colocation";#N/A,#N/A,TRUE,"Demographics";#N/A,#N/A,TRUE,"ILEC Rates"}</definedName>
    <definedName name="wrn.Inputs._.and._.detail._.calculations." hidden="1">{#N/A,#N/A,TRUE,"Revenue &amp; Direct Expense";#N/A,#N/A,TRUE,"Indirect Expense";#N/A,#N/A,TRUE,"Assumptions";#N/A,#N/A,TRUE,"Headcount Inputs";#N/A,#N/A,TRUE,"Markets";#N/A,#N/A,TRUE,"Colocation";#N/A,#N/A,TRUE,"Demographics";#N/A,#N/A,TRUE,"ILEC Rates"}</definedName>
    <definedName name="wrn.inventory._.aging." localSheetId="13" hidden="1">{#N/A,#N/A,FALSE,"PLEDGE";#N/A,#N/A,FALSE,"GLADE";#N/A,#N/A,FALSE,"GREEN BIRD";#N/A,#N/A,FALSE,"MR. MUSCLE";#N/A,#N/A,FALSE,"TOILET DUCK";#N/A,#N/A,FALSE,"Other Home Care";#N/A,#N/A,FALSE,"RED BIRD";#N/A,#N/A,FALSE,"SHANGHAI";#N/A,#N/A,FALSE,"RAID";#N/A,#N/A,FALSE,"OFF";#N/A,#N/A,FALSE,"SEAGULL";#N/A,#N/A,FALSE,"HALSA";#N/A,#N/A,FALSE,"SOFT SENSE";#N/A,#N/A,FALSE,"TOTAL"}</definedName>
    <definedName name="wrn.inventory._.aging." hidden="1">{#N/A,#N/A,FALSE,"PLEDGE";#N/A,#N/A,FALSE,"GLADE";#N/A,#N/A,FALSE,"GREEN BIRD";#N/A,#N/A,FALSE,"MR. MUSCLE";#N/A,#N/A,FALSE,"TOILET DUCK";#N/A,#N/A,FALSE,"Other Home Care";#N/A,#N/A,FALSE,"RED BIRD";#N/A,#N/A,FALSE,"SHANGHAI";#N/A,#N/A,FALSE,"RAID";#N/A,#N/A,FALSE,"OFF";#N/A,#N/A,FALSE,"SEAGULL";#N/A,#N/A,FALSE,"HALSA";#N/A,#N/A,FALSE,"SOFT SENSE";#N/A,#N/A,FALSE,"TOTAL"}</definedName>
    <definedName name="wrn.IPIX." localSheetId="13" hidden="1">{#N/A,#N/A,FALSE,"Report Print"}</definedName>
    <definedName name="wrn.IPIX." hidden="1">{#N/A,#N/A,FALSE,"Report Print"}</definedName>
    <definedName name="wrn.IPO._.Valuation." localSheetId="13" hidden="1">{"assumptions",#N/A,FALSE,"Scenario 1";"valuation",#N/A,FALSE,"Scenario 1"}</definedName>
    <definedName name="wrn.IPO._.Valuation." hidden="1">{"assumptions",#N/A,FALSE,"Scenario 1";"valuation",#N/A,FALSE,"Scenario 1"}</definedName>
    <definedName name="wrn.ipovalue." localSheetId="13" hidden="1">{#N/A,#N/A,FALSE,"puboff";#N/A,#N/A,FALSE,"valuation";#N/A,#N/A,FALSE,"finanalsis";#N/A,#N/A,FALSE,"split";#N/A,#N/A,FALSE,"ownership"}</definedName>
    <definedName name="wrn.ipovalue." hidden="1">{#N/A,#N/A,FALSE,"puboff";#N/A,#N/A,FALSE,"valuation";#N/A,#N/A,FALSE,"finanalsis";#N/A,#N/A,FALSE,"split";#N/A,#N/A,FALSE,"ownership"}</definedName>
    <definedName name="wrn.ISCG._.model." localSheetId="13" hidden="1">{#N/A,#N/A,FALSE,"Second";#N/A,#N/A,FALSE,"ownership";#N/A,#N/A,FALSE,"Valuation";#N/A,#N/A,FALSE,"Eqiv";#N/A,#N/A,FALSE,"Mults";#N/A,#N/A,FALSE,"ISCG Graphics"}</definedName>
    <definedName name="wrn.ISCG._.model." hidden="1">{#N/A,#N/A,FALSE,"Second";#N/A,#N/A,FALSE,"ownership";#N/A,#N/A,FALSE,"Valuation";#N/A,#N/A,FALSE,"Eqiv";#N/A,#N/A,FALSE,"Mults";#N/A,#N/A,FALSE,"ISCG Graphics"}</definedName>
    <definedName name="wrn.jan." localSheetId="11" hidden="1">{#N/A,#N/A,FALSE,"Jan"}</definedName>
    <definedName name="wrn.jan." localSheetId="13" hidden="1">{#N/A,#N/A,FALSE,"Jan"}</definedName>
    <definedName name="wrn.jan." localSheetId="10" hidden="1">{#N/A,#N/A,FALSE,"Jan"}</definedName>
    <definedName name="wrn.jan." localSheetId="6" hidden="1">{#N/A,#N/A,FALSE,"Jan"}</definedName>
    <definedName name="wrn.jan." hidden="1">{#N/A,#N/A,FALSE,"Jan"}</definedName>
    <definedName name="wrn.LBO._.Summary." localSheetId="13" hidden="1">{"LBO Summary",#N/A,FALSE,"Summary"}</definedName>
    <definedName name="wrn.LBO._.Summary." hidden="1">{"LBO Summary",#N/A,FALSE,"Summary"}</definedName>
    <definedName name="wrn.M1._.Operating._.Statement." localSheetId="3" hidden="1">{"M1Print",#N/A,FALSE,"M1"}</definedName>
    <definedName name="wrn.M1._.Operating._.Statement." localSheetId="1" hidden="1">{"M1Print",#N/A,FALSE,"M1"}</definedName>
    <definedName name="wrn.M1._.Operating._.Statement." localSheetId="2" hidden="1">{"M1Print",#N/A,FALSE,"M1"}</definedName>
    <definedName name="wrn.M1._.Operating._.Statement." localSheetId="11" hidden="1">{"M1Print",#N/A,FALSE,"M1"}</definedName>
    <definedName name="wrn.M1._.Operating._.Statement." localSheetId="13" hidden="1">{"M1Print",#N/A,FALSE,"M1"}</definedName>
    <definedName name="wrn.M1._.Operating._.Statement." localSheetId="10" hidden="1">{"M1Print",#N/A,FALSE,"M1"}</definedName>
    <definedName name="wrn.M1._.Operating._.Statement." localSheetId="6" hidden="1">{"M1Print",#N/A,FALSE,"M1"}</definedName>
    <definedName name="wrn.M1._.Operating._.Statement." hidden="1">{"M1Print",#N/A,FALSE,"M1"}</definedName>
    <definedName name="wrn.M1s._.Statistics." localSheetId="3" hidden="1">{"M1sPrint",#N/A,FALSE,"M1s"}</definedName>
    <definedName name="wrn.M1s._.Statistics." localSheetId="1" hidden="1">{"M1sPrint",#N/A,FALSE,"M1s"}</definedName>
    <definedName name="wrn.M1s._.Statistics." localSheetId="2" hidden="1">{"M1sPrint",#N/A,FALSE,"M1s"}</definedName>
    <definedName name="wrn.M1s._.Statistics." localSheetId="11" hidden="1">{"M1sPrint",#N/A,FALSE,"M1s"}</definedName>
    <definedName name="wrn.M1s._.Statistics." localSheetId="13" hidden="1">{"M1sPrint",#N/A,FALSE,"M1s"}</definedName>
    <definedName name="wrn.M1s._.Statistics." localSheetId="10" hidden="1">{"M1sPrint",#N/A,FALSE,"M1s"}</definedName>
    <definedName name="wrn.M1s._.Statistics." localSheetId="6" hidden="1">{"M1sPrint",#N/A,FALSE,"M1s"}</definedName>
    <definedName name="wrn.M1s._.Statistics." hidden="1">{"M1sPrint",#N/A,FALSE,"M1s"}</definedName>
    <definedName name="wrn.M2._.Balance._.Sheet." localSheetId="3" hidden="1">{"M2Print",#N/A,FALSE,"M2"}</definedName>
    <definedName name="wrn.M2._.Balance._.Sheet." localSheetId="1" hidden="1">{"M2Print",#N/A,FALSE,"M2"}</definedName>
    <definedName name="wrn.M2._.Balance._.Sheet." localSheetId="2" hidden="1">{"M2Print",#N/A,FALSE,"M2"}</definedName>
    <definedName name="wrn.M2._.Balance._.Sheet." localSheetId="11" hidden="1">{"M2Print",#N/A,FALSE,"M2"}</definedName>
    <definedName name="wrn.M2._.Balance._.Sheet." localSheetId="13" hidden="1">{"M2Print",#N/A,FALSE,"M2"}</definedName>
    <definedName name="wrn.M2._.Balance._.Sheet." localSheetId="10" hidden="1">{"M2Print",#N/A,FALSE,"M2"}</definedName>
    <definedName name="wrn.M2._.Balance._.Sheet." localSheetId="6" hidden="1">{"M2Print",#N/A,FALSE,"M2"}</definedName>
    <definedName name="wrn.M2._.Balance._.Sheet." hidden="1">{"M2Print",#N/A,FALSE,"M2"}</definedName>
    <definedName name="wrn.M2a._.Cashflow." localSheetId="3" hidden="1">{"M2aPrint",#N/A,FALSE,"M2a"}</definedName>
    <definedName name="wrn.M2a._.Cashflow." localSheetId="1" hidden="1">{"M2aPrint",#N/A,FALSE,"M2a"}</definedName>
    <definedName name="wrn.M2a._.Cashflow." localSheetId="2" hidden="1">{"M2aPrint",#N/A,FALSE,"M2a"}</definedName>
    <definedName name="wrn.M2a._.Cashflow." localSheetId="11" hidden="1">{"M2aPrint",#N/A,FALSE,"M2a"}</definedName>
    <definedName name="wrn.M2a._.Cashflow." localSheetId="13" hidden="1">{"M2aPrint",#N/A,FALSE,"M2a"}</definedName>
    <definedName name="wrn.M2a._.Cashflow." localSheetId="10" hidden="1">{"M2aPrint",#N/A,FALSE,"M2a"}</definedName>
    <definedName name="wrn.M2a._.Cashflow." localSheetId="6" hidden="1">{"M2aPrint",#N/A,FALSE,"M2a"}</definedName>
    <definedName name="wrn.M2a._.Cashflow." hidden="1">{"M2aPrint",#N/A,FALSE,"M2a"}</definedName>
    <definedName name="wrn.M4._.Inventories." localSheetId="3" hidden="1">{"M4Print",#N/A,FALSE,"M4"}</definedName>
    <definedName name="wrn.M4._.Inventories." localSheetId="1" hidden="1">{"M4Print",#N/A,FALSE,"M4"}</definedName>
    <definedName name="wrn.M4._.Inventories." localSheetId="2" hidden="1">{"M4Print",#N/A,FALSE,"M4"}</definedName>
    <definedName name="wrn.M4._.Inventories." localSheetId="11" hidden="1">{"M4Print",#N/A,FALSE,"M4"}</definedName>
    <definedName name="wrn.M4._.Inventories." localSheetId="13" hidden="1">{"M4Print",#N/A,FALSE,"M4"}</definedName>
    <definedName name="wrn.M4._.Inventories." localSheetId="10" hidden="1">{"M4Print",#N/A,FALSE,"M4"}</definedName>
    <definedName name="wrn.M4._.Inventories." localSheetId="6" hidden="1">{"M4Print",#N/A,FALSE,"M4"}</definedName>
    <definedName name="wrn.M4._.Inventories." hidden="1">{"M4Print",#N/A,FALSE,"M4"}</definedName>
    <definedName name="wrn.M5._.Flash._.and._.Forecast." localSheetId="3" hidden="1">{"M5Print",#N/A,FALSE,"M5"}</definedName>
    <definedName name="wrn.M5._.Flash._.and._.Forecast." localSheetId="1" hidden="1">{"M5Print",#N/A,FALSE,"M5"}</definedName>
    <definedName name="wrn.M5._.Flash._.and._.Forecast." localSheetId="2" hidden="1">{"M5Print",#N/A,FALSE,"M5"}</definedName>
    <definedName name="wrn.M5._.Flash._.and._.Forecast." localSheetId="11" hidden="1">{"M5Print",#N/A,FALSE,"M5"}</definedName>
    <definedName name="wrn.M5._.Flash._.and._.Forecast." localSheetId="13" hidden="1">{"M5Print",#N/A,FALSE,"M5"}</definedName>
    <definedName name="wrn.M5._.Flash._.and._.Forecast." localSheetId="10" hidden="1">{"M5Print",#N/A,FALSE,"M5"}</definedName>
    <definedName name="wrn.M5._.Flash._.and._.Forecast." localSheetId="6" hidden="1">{"M5Print",#N/A,FALSE,"M5"}</definedName>
    <definedName name="wrn.M5._.Flash._.and._.Forecast." hidden="1">{"M5Print",#N/A,FALSE,"M5"}</definedName>
    <definedName name="wrn.M6._.Management._.Summary." localSheetId="3" hidden="1">{"M6Print",#N/A,FALSE,"M6";"M6_1Print",#N/A,FALSE,"M6_1";"M6_2Print",#N/A,FALSE,"M6_2"}</definedName>
    <definedName name="wrn.M6._.Management._.Summary." localSheetId="1" hidden="1">{"M6Print",#N/A,FALSE,"M6";"M6_1Print",#N/A,FALSE,"M6_1";"M6_2Print",#N/A,FALSE,"M6_2"}</definedName>
    <definedName name="wrn.M6._.Management._.Summary." localSheetId="2" hidden="1">{"M6Print",#N/A,FALSE,"M6";"M6_1Print",#N/A,FALSE,"M6_1";"M6_2Print",#N/A,FALSE,"M6_2"}</definedName>
    <definedName name="wrn.M6._.Management._.Summary." localSheetId="11" hidden="1">{"M6Print",#N/A,FALSE,"M6";"M6_1Print",#N/A,FALSE,"M6_1";"M6_2Print",#N/A,FALSE,"M6_2"}</definedName>
    <definedName name="wrn.M6._.Management._.Summary." localSheetId="13" hidden="1">{"M6Print",#N/A,FALSE,"M6";"M6_1Print",#N/A,FALSE,"M6_1";"M6_2Print",#N/A,FALSE,"M6_2"}</definedName>
    <definedName name="wrn.M6._.Management._.Summary." localSheetId="10" hidden="1">{"M6Print",#N/A,FALSE,"M6";"M6_1Print",#N/A,FALSE,"M6_1";"M6_2Print",#N/A,FALSE,"M6_2"}</definedName>
    <definedName name="wrn.M6._.Management._.Summary." localSheetId="6" hidden="1">{"M6Print",#N/A,FALSE,"M6";"M6_1Print",#N/A,FALSE,"M6_1";"M6_2Print",#N/A,FALSE,"M6_2"}</definedName>
    <definedName name="wrn.M6._.Management._.Summary." hidden="1">{"M6Print",#N/A,FALSE,"M6";"M6_1Print",#N/A,FALSE,"M6_1";"M6_2Print",#N/A,FALSE,"M6_2"}</definedName>
    <definedName name="wrn.M7._.Financial._.Controllers._.report." localSheetId="3" hidden="1">{"M7_1Print",#N/A,TRUE,"M7_1";"M7_2Print",#N/A,TRUE,"M7_2"}</definedName>
    <definedName name="wrn.M7._.Financial._.Controllers._.report." localSheetId="1" hidden="1">{"M7_1Print",#N/A,TRUE,"M7_1";"M7_2Print",#N/A,TRUE,"M7_2"}</definedName>
    <definedName name="wrn.M7._.Financial._.Controllers._.report." localSheetId="2" hidden="1">{"M7_1Print",#N/A,TRUE,"M7_1";"M7_2Print",#N/A,TRUE,"M7_2"}</definedName>
    <definedName name="wrn.M7._.Financial._.Controllers._.report." localSheetId="11" hidden="1">{"M7_1Print",#N/A,TRUE,"M7_1";"M7_2Print",#N/A,TRUE,"M7_2"}</definedName>
    <definedName name="wrn.M7._.Financial._.Controllers._.report." localSheetId="13" hidden="1">{"M7_1Print",#N/A,TRUE,"M7_1";"M7_2Print",#N/A,TRUE,"M7_2"}</definedName>
    <definedName name="wrn.M7._.Financial._.Controllers._.report." localSheetId="10" hidden="1">{"M7_1Print",#N/A,TRUE,"M7_1";"M7_2Print",#N/A,TRUE,"M7_2"}</definedName>
    <definedName name="wrn.M7._.Financial._.Controllers._.report." localSheetId="6" hidden="1">{"M7_1Print",#N/A,TRUE,"M7_1";"M7_2Print",#N/A,TRUE,"M7_2"}</definedName>
    <definedName name="wrn.M7._.Financial._.Controllers._.report." hidden="1">{"M7_1Print",#N/A,TRUE,"M7_1";"M7_2Print",#N/A,TRUE,"M7_2"}</definedName>
    <definedName name="wrn.Maine." localSheetId="13" hidden="1">{"Assumptions",#N/A,TRUE,"Assumptions";"Income",#N/A,TRUE,"Income";"Balance",#N/A,TRUE,"Balance"}</definedName>
    <definedName name="wrn.Maine." hidden="1">{"Assumptions",#N/A,TRUE,"Assumptions";"Income",#N/A,TRUE,"Income";"Balance",#N/A,TRUE,"Balance"}</definedName>
    <definedName name="wrn.Maine2." localSheetId="13"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ster_Income." localSheetId="13" hidden="1">{"Annual_Income",#N/A,FALSE,"Master Model";"Quarterly_Income",#N/A,FALSE,"Master Model"}</definedName>
    <definedName name="wrn.Master_Income." hidden="1">{"Annual_Income",#N/A,FALSE,"Master Model";"Quarterly_Income",#N/A,FALSE,"Master Model"}</definedName>
    <definedName name="wrn.merge." localSheetId="13" hidden="1">{#N/A,#N/A,FALSE,"IPO";#N/A,#N/A,FALSE,"DCF";#N/A,#N/A,FALSE,"LBO";#N/A,#N/A,FALSE,"MULT_VAL";#N/A,#N/A,FALSE,"Status Quo";#N/A,#N/A,FALSE,"Recap"}</definedName>
    <definedName name="wrn.merge." hidden="1">{#N/A,#N/A,FALSE,"IPO";#N/A,#N/A,FALSE,"DCF";#N/A,#N/A,FALSE,"LBO";#N/A,#N/A,FALSE,"MULT_VAL";#N/A,#N/A,FALSE,"Status Quo";#N/A,#N/A,FALSE,"Recap"}</definedName>
    <definedName name="wrn.MONTH._.END._.SPREADS." localSheetId="13" hidden="1">{#N/A,#N/A,FALSE,"Verify at a Glance";#N/A,#N/A,FALSE,"CARMS VS. STAR";#N/A,#N/A,FALSE,"Intel-US";#N/A,#N/A,FALSE,"Intel-PR";#N/A,#N/A,FALSE,"Intel-MISC-6";#N/A,#N/A,FALSE,"Intel-DPA-7";#N/A,#N/A,FALSE,"Intel-IRE";#N/A,#N/A,FALSE,"Intel-HK";#N/A,#N/A,FALSE,"DAILY INPUT";#N/A,#N/A,FALSE,"P5 HK Cash List"}</definedName>
    <definedName name="wrn.MONTH._.END._.SPREADS." hidden="1">{#N/A,#N/A,FALSE,"Verify at a Glance";#N/A,#N/A,FALSE,"CARMS VS. STAR";#N/A,#N/A,FALSE,"Intel-US";#N/A,#N/A,FALSE,"Intel-PR";#N/A,#N/A,FALSE,"Intel-MISC-6";#N/A,#N/A,FALSE,"Intel-DPA-7";#N/A,#N/A,FALSE,"Intel-IRE";#N/A,#N/A,FALSE,"Intel-HK";#N/A,#N/A,FALSE,"DAILY INPUT";#N/A,#N/A,FALSE,"P5 HK Cash List"}</definedName>
    <definedName name="wrn.MONTHLY._.REVENUE._.REPORT." localSheetId="13" hidden="1">{#N/A,#N/A,FALSE,"REV RPT";#N/A,#N/A,FALSE,"AFF COMP";#N/A,#N/A,FALSE,"REP COMM";#N/A,#N/A,FALSE,"REVBYADV";#N/A,#N/A,FALSE,"DAYPART";#N/A,#N/A,FALSE,"FLASH"}</definedName>
    <definedName name="wrn.MONTHLY._.REVENUE._.REPORT." hidden="1">{#N/A,#N/A,FALSE,"REV RPT";#N/A,#N/A,FALSE,"AFF COMP";#N/A,#N/A,FALSE,"REP COMM";#N/A,#N/A,FALSE,"REVBYADV";#N/A,#N/A,FALSE,"DAYPART";#N/A,#N/A,FALSE,"FLASH"}</definedName>
    <definedName name="wrn.monthly._.review." localSheetId="13" hidden="1">{#N/A,#N/A,FALSE,"SUMMARY";#N/A,#N/A,FALSE,"MTD";#N/A,#N/A,FALSE,"YTD";#N/A,#N/A,FALSE,"Forecast"}</definedName>
    <definedName name="wrn.monthly._.review." hidden="1">{#N/A,#N/A,FALSE,"SUMMARY";#N/A,#N/A,FALSE,"MTD";#N/A,#N/A,FALSE,"YTD";#N/A,#N/A,FALSE,"Forecast"}</definedName>
    <definedName name="wrn.monthly._.to._.issue." localSheetId="13" hidden="1">{#N/A,#N/A,FALSE,"SUMMARY";#N/A,#N/A,FALSE,"MTD";#N/A,#N/A,FALSE,"YTD";#N/A,#N/A,FALSE,"Forecast";#N/A,#N/A,FALSE,"Debt Structure";#N/A,#N/A,FALSE,"RATINGS"}</definedName>
    <definedName name="wrn.monthly._.to._.issue." hidden="1">{#N/A,#N/A,FALSE,"SUMMARY";#N/A,#N/A,FALSE,"MTD";#N/A,#N/A,FALSE,"YTD";#N/A,#N/A,FALSE,"Forecast";#N/A,#N/A,FALSE,"Debt Structure";#N/A,#N/A,FALSE,"RATINGS"}</definedName>
    <definedName name="wrn.newest." localSheetId="13" hidden="1">{#N/A,#N/A,TRUE,"TS";#N/A,#N/A,TRUE,"Combo";#N/A,#N/A,TRUE,"FAIR";#N/A,#N/A,TRUE,"RBC";#N/A,#N/A,TRUE,"xxxx"}</definedName>
    <definedName name="wrn.newest." hidden="1">{#N/A,#N/A,TRUE,"TS";#N/A,#N/A,TRUE,"Combo";#N/A,#N/A,TRUE,"FAIR";#N/A,#N/A,TRUE,"RBC";#N/A,#N/A,TRUE,"xxxx"}</definedName>
    <definedName name="wrn.Office." localSheetId="11" hidden="1">{#N/A,#N/A,FALSE,"OffAdvance";#N/A,#N/A,FALSE,"OffExpRprt";#N/A,#N/A,FALSE,"Travelling";#N/A,#N/A,FALSE,"Entertmnt";#N/A,#N/A,FALSE,"Promotion"}</definedName>
    <definedName name="wrn.Office." localSheetId="13" hidden="1">{#N/A,#N/A,FALSE,"OffAdvance";#N/A,#N/A,FALSE,"OffExpRprt";#N/A,#N/A,FALSE,"Travelling";#N/A,#N/A,FALSE,"Entertmnt";#N/A,#N/A,FALSE,"Promotion"}</definedName>
    <definedName name="wrn.Office." hidden="1">{#N/A,#N/A,FALSE,"OffAdvance";#N/A,#N/A,FALSE,"OffExpRprt";#N/A,#N/A,FALSE,"Travelling";#N/A,#N/A,FALSE,"Entertmnt";#N/A,#N/A,FALSE,"Promotion"}</definedName>
    <definedName name="wrn.Operation._.Report." localSheetId="11"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peration._.Report." localSheetId="13"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utput." localSheetId="1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packer._.1." localSheetId="13"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E_External." localSheetId="13" hidden="1">{"PE_View",#N/A,TRUE,"P&amp;L - External";#N/A,#N/A,TRUE,"Backlog";#N/A,#N/A,TRUE,"Revenue";#N/A,#N/A,TRUE,"Std Margin";#N/A,#N/A,TRUE,"Waterfall - External"}</definedName>
    <definedName name="wrn.PE_External." hidden="1">{"PE_View",#N/A,TRUE,"P&amp;L - External";#N/A,#N/A,TRUE,"Backlog";#N/A,#N/A,TRUE,"Revenue";#N/A,#N/A,TRUE,"Std Margin";#N/A,#N/A,TRUE,"Waterfall - External"}</definedName>
    <definedName name="wrn.PE_Internal." localSheetId="13" hidden="1">{"PE_View",#N/A,TRUE,"P&amp;L";#N/A,#N/A,TRUE,"Backlog";#N/A,#N/A,TRUE,"Revenue";#N/A,#N/A,TRUE,"Std Margin";#N/A,#N/A,TRUE,"Waterfall"}</definedName>
    <definedName name="wrn.PE_Internal." hidden="1">{"PE_View",#N/A,TRUE,"P&amp;L";#N/A,#N/A,TRUE,"Backlog";#N/A,#N/A,TRUE,"Revenue";#N/A,#N/A,TRUE,"Std Margin";#N/A,#N/A,TRUE,"Waterfall"}</definedName>
    <definedName name="wrn.PE2_External." localSheetId="13" hidden="1">{"PE_View",#N/A,TRUE,"P&amp;L - External";#N/A,#N/A,TRUE,"Backlog";#N/A,#N/A,TRUE,"Revenue";#N/A,#N/A,TRUE,"Std Margin";#N/A,#N/A,TRUE,"Waterfall - External"}</definedName>
    <definedName name="wrn.PE2_External." hidden="1">{"PE_View",#N/A,TRUE,"P&amp;L - External";#N/A,#N/A,TRUE,"Backlog";#N/A,#N/A,TRUE,"Revenue";#N/A,#N/A,TRUE,"Std Margin";#N/A,#N/A,TRUE,"Waterfall - External"}</definedName>
    <definedName name="wrn.Print._.All._.Pages." localSheetId="13" hidden="1">{"LBO Summary",#N/A,FALSE,"Summary";"Income Statement",#N/A,FALSE,"Model";"Cash Flow",#N/A,FALSE,"Model";"Balance Sheet",#N/A,FALSE,"Model";"Working Capital",#N/A,FALSE,"Model";"Pro Forma Balance Sheets",#N/A,FALSE,"PFBS";"Debt Balances",#N/A,FALSE,"Model";"Fee Schedules",#N/A,FALSE,"Model"}</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standalone." localSheetId="13" hidden="1">{"standalone1",#N/A,FALSE,"DCFBase";"standalone2",#N/A,FALSE,"DCFBase"}</definedName>
    <definedName name="wrn.print._.standalone." hidden="1">{"standalone1",#N/A,FALSE,"DCFBase";"standalone2",#N/A,FALSE,"DCFBase"}</definedName>
    <definedName name="wrn.Print_CSC." localSheetId="13" hidden="1">{"CSC_1",#N/A,FALSE,"CSC Outputs";"CSC_2",#N/A,FALSE,"CSC Outputs"}</definedName>
    <definedName name="wrn.Print_CSC." hidden="1">{"CSC_1",#N/A,FALSE,"CSC Outputs";"CSC_2",#N/A,FALSE,"CSC Outputs"}</definedName>
    <definedName name="wrn.print_csc.2" localSheetId="13" hidden="1">{"CSC_1",#N/A,FALSE,"CSC Outputs";"CSC_2",#N/A,FALSE,"CSC Outputs"}</definedName>
    <definedName name="wrn.print_csc.2" hidden="1">{"CSC_1",#N/A,FALSE,"CSC Outputs";"CSC_2",#N/A,FALSE,"CSC Outputs"}</definedName>
    <definedName name="wrn.Print_CSC2" localSheetId="13" hidden="1">{"CSC_1",#N/A,FALSE,"CSC Outputs";"CSC_2",#N/A,FALSE,"CSC Outputs"}</definedName>
    <definedName name="wrn.Print_CSC2" hidden="1">{"CSC_1",#N/A,FALSE,"CSC Outputs";"CSC_2",#N/A,FALSE,"CSC Outputs"}</definedName>
    <definedName name="wrn.printall." localSheetId="13" hidden="1">{"projections1",#N/A,FALSE,"projections";"dcf2",#N/A,FALSE,"dcf";"dcf no profit sharing",#N/A,FALSE,"dcf no profit sharing";"avp1",#N/A,FALSE,"avp"}</definedName>
    <definedName name="wrn.printall." hidden="1">{"projections1",#N/A,FALSE,"projections";"dcf2",#N/A,FALSE,"dcf";"dcf no profit sharing",#N/A,FALSE,"dcf no profit sharing";"avp1",#N/A,FALSE,"avp"}</definedName>
    <definedName name="wrn.Pump." localSheetId="13" hidden="1">{#N/A,#N/A,FALSE,"Assump";#N/A,#N/A,FALSE,"Income";#N/A,#N/A,FALSE,"Balance";#N/A,#N/A,FALSE,"DCF Pump";#N/A,#N/A,FALSE,"Trans Assump";#N/A,#N/A,FALSE,"Combined Income";#N/A,#N/A,FALSE,"Combined Balance"}</definedName>
    <definedName name="wrn.Pump." hidden="1">{#N/A,#N/A,FALSE,"Assump";#N/A,#N/A,FALSE,"Income";#N/A,#N/A,FALSE,"Balance";#N/A,#N/A,FALSE,"DCF Pump";#N/A,#N/A,FALSE,"Trans Assump";#N/A,#N/A,FALSE,"Combined Income";#N/A,#N/A,FALSE,"Combined Balance"}</definedName>
    <definedName name="wrn.qtr._.review." localSheetId="13" hidden="1">{#N/A,#N/A,FALSE,"SUMMARY";#N/A,#N/A,FALSE,"MTD";#N/A,#N/A,FALSE,"QTD";#N/A,#N/A,FALSE,"YTD"}</definedName>
    <definedName name="wrn.qtr._.review." hidden="1">{#N/A,#N/A,FALSE,"SUMMARY";#N/A,#N/A,FALSE,"MTD";#N/A,#N/A,FALSE,"QTD";#N/A,#N/A,FALSE,"YTD"}</definedName>
    <definedName name="wrn.qtr._.to._.issue." localSheetId="13" hidden="1">{#N/A,#N/A,FALSE,"SUMMARY";#N/A,#N/A,FALSE,"MTD";#N/A,#N/A,FALSE,"QTD";#N/A,#N/A,FALSE,"YTD";#N/A,#N/A,FALSE,"Combined";#N/A,#N/A,FALSE,"Forecast";#N/A,#N/A,FALSE,"Debt Structure";#N/A,#N/A,FALSE,"RATINGS";#N/A,#N/A,FALSE,"HEADCOUNT"}</definedName>
    <definedName name="wrn.qtr._.to._.issue." hidden="1">{#N/A,#N/A,FALSE,"SUMMARY";#N/A,#N/A,FALSE,"MTD";#N/A,#N/A,FALSE,"QTD";#N/A,#N/A,FALSE,"YTD";#N/A,#N/A,FALSE,"Combined";#N/A,#N/A,FALSE,"Forecast";#N/A,#N/A,FALSE,"Debt Structure";#N/A,#N/A,FALSE,"RATINGS";#N/A,#N/A,FALSE,"HEADCOUNT"}</definedName>
    <definedName name="wrn.Radio." localSheetId="13" hidden="1">{#N/A,#N/A,FALSE,"Virgin Flightdeck"}</definedName>
    <definedName name="wrn.Radio." hidden="1">{#N/A,#N/A,FALSE,"Virgin Flightdeck"}</definedName>
    <definedName name="wrn.RELEVANTSHEETS." localSheetId="13" hidden="1">{#N/A,#N/A,FALSE,"AD_Purch";#N/A,#N/A,FALSE,"Projections";#N/A,#N/A,FALSE,"DCF";#N/A,#N/A,FALSE,"Mkt Val"}</definedName>
    <definedName name="wrn.RELEVANTSHEETS." hidden="1">{#N/A,#N/A,FALSE,"AD_Purch";#N/A,#N/A,FALSE,"Projections";#N/A,#N/A,FALSE,"DCF";#N/A,#N/A,FALSE,"Mkt Val"}</definedName>
    <definedName name="wrn.rep_page." localSheetId="13" hidden="1">{"Annual_Income",#N/A,FALSE,"Report Page";"Balance_Cash_Flow",#N/A,FALSE,"Report Page";"Quarterly_Income",#N/A,FALSE,"Report Page"}</definedName>
    <definedName name="wrn.rep_page." hidden="1">{"Annual_Income",#N/A,FALSE,"Report Page";"Balance_Cash_Flow",#N/A,FALSE,"Report Page";"Quarterly_Income",#N/A,FALSE,"Report Page"}</definedName>
    <definedName name="wrn.report." localSheetId="13" hidden="1">{#N/A,#N/A,FALSE,"Temp Staf_Summary";#N/A,#N/A,FALSE,"ATC Services";#N/A,#N/A,FALSE,"Brannon &amp; Tully";#N/A,#N/A,FALSE,"Debbie";#N/A,#N/A,FALSE,"Alternative";#N/A,#N/A,FALSE,"Mid-States";#N/A,#N/A,FALSE,"United Temp."}</definedName>
    <definedName name="wrn.report." hidden="1">{#N/A,#N/A,FALSE,"Temp Staf_Summary";#N/A,#N/A,FALSE,"ATC Services";#N/A,#N/A,FALSE,"Brannon &amp; Tully";#N/A,#N/A,FALSE,"Debbie";#N/A,#N/A,FALSE,"Alternative";#N/A,#N/A,FALSE,"Mid-States";#N/A,#N/A,FALSE,"United Temp."}</definedName>
    <definedName name="wrn.Report_Page." localSheetId="13" hidden="1">{"Annual_Income",#N/A,FALSE,"Report Page";"Balance_Cash_Flow",#N/A,FALSE,"Report Page";"Quarterly_Income",#N/A,FALSE,"Report Page"}</definedName>
    <definedName name="wrn.Report_Page." hidden="1">{"Annual_Income",#N/A,FALSE,"Report Page";"Balance_Cash_Flow",#N/A,FALSE,"Report Page";"Quarterly_Income",#N/A,FALSE,"Report Page"}</definedName>
    <definedName name="wrn.Sales." localSheetId="11" hidden="1">{#N/A,#N/A,FALSE,"Marketing";#N/A,#N/A,FALSE,"Selling";#N/A,#N/A,FALSE,"Promotional";#N/A,#N/A,FALSE,"Advertising"}</definedName>
    <definedName name="wrn.Sales." localSheetId="13" hidden="1">{#N/A,#N/A,FALSE,"Marketing";#N/A,#N/A,FALSE,"Selling";#N/A,#N/A,FALSE,"Promotional";#N/A,#N/A,FALSE,"Advertising"}</definedName>
    <definedName name="wrn.Sales." hidden="1">{#N/A,#N/A,FALSE,"Marketing";#N/A,#N/A,FALSE,"Selling";#N/A,#N/A,FALSE,"Promotional";#N/A,#N/A,FALSE,"Advertising"}</definedName>
    <definedName name="wrn.Schedule._.A." localSheetId="13" hidden="1">{#N/A,#N/A,FALSE,"ALLOFFSUM-A1"}</definedName>
    <definedName name="wrn.Schedule._.A." hidden="1">{#N/A,#N/A,FALSE,"ALLOFFSUM-A1"}</definedName>
    <definedName name="wrn.SKSCS1." localSheetId="13" hidden="1">{#N/A,#N/A,FALSE,"Antony Financials";#N/A,#N/A,FALSE,"Cowboy Financials";#N/A,#N/A,FALSE,"Combined";#N/A,#N/A,FALSE,"Valuematrix";#N/A,#N/A,FALSE,"DCFAntony";#N/A,#N/A,FALSE,"DCFCowboy";#N/A,#N/A,FALSE,"DCFCombined"}</definedName>
    <definedName name="wrn.SKSCS1." hidden="1">{#N/A,#N/A,FALSE,"Antony Financials";#N/A,#N/A,FALSE,"Cowboy Financials";#N/A,#N/A,FALSE,"Combined";#N/A,#N/A,FALSE,"Valuematrix";#N/A,#N/A,FALSE,"DCFAntony";#N/A,#N/A,FALSE,"DCFCowboy";#N/A,#N/A,FALSE,"DCFCombined"}</definedName>
    <definedName name="wrn.smithtj." localSheetId="13" hidden="1">{#N/A,#N/A,FALSE,"LIN CALVIN";#N/A,#N/A,FALSE,"KOO JOYCE";#N/A,#N/A,FALSE,"MAK PAUL";#N/A,#N/A,FALSE,"LAM BING";#N/A,#N/A,FALSE,"WU JOHN";#N/A,#N/A,FALSE,"DR SEET LIP CHAI";#N/A,#N/A,FALSE,"ZUDNECK ZENON";#N/A,#N/A,FALSE,"MENG JANE";#N/A,#N/A,FALSE,"T C CHENG";#N/A,#N/A,FALSE,"MARCHALL MA"}</definedName>
    <definedName name="wrn.smithtj." hidden="1">{#N/A,#N/A,FALSE,"LIN CALVIN";#N/A,#N/A,FALSE,"KOO JOYCE";#N/A,#N/A,FALSE,"MAK PAUL";#N/A,#N/A,FALSE,"LAM BING";#N/A,#N/A,FALSE,"WU JOHN";#N/A,#N/A,FALSE,"DR SEET LIP CHAI";#N/A,#N/A,FALSE,"ZUDNECK ZENON";#N/A,#N/A,FALSE,"MENG JANE";#N/A,#N/A,FALSE,"T C CHENG";#N/A,#N/A,FALSE,"MARCHALL MA"}</definedName>
    <definedName name="wrn.Standard." localSheetId="13" hidden="1">{"Financials",#N/A,FALSE,"Financials";"AVP",#N/A,FALSE,"AVP";"DCF",#N/A,FALSE,"DCF";"CSC",#N/A,FALSE,"CSC";"Deal_Comp",#N/A,FALSE,"DealComp"}</definedName>
    <definedName name="wrn.Standard." hidden="1">{"Financials",#N/A,FALSE,"Financials";"AVP",#N/A,FALSE,"AVP";"DCF",#N/A,FALSE,"DCF";"CSC",#N/A,FALSE,"CSC";"Deal_Comp",#N/A,FALSE,"DealComp"}</definedName>
    <definedName name="wrn.Summary._.Report._.by._.Month." localSheetId="13" hidden="1">{#N/A,#N/A,TRUE,"Cover Page";#N/A,#N/A,TRUE,"Summary Stats Month";#N/A,#N/A,TRUE,"Balance Sheet Month";#N/A,#N/A,TRUE,"Cash Flow Month";#N/A,#N/A,TRUE,"Income Statement Month";#N/A,#N/A,TRUE,"CAPEX Month";#N/A,#N/A,TRUE,"Headcount Summary Month";#N/A,#N/A,TRUE,"Assumptions"}</definedName>
    <definedName name="wrn.Summary._.Report._.by._.Month." hidden="1">{#N/A,#N/A,TRUE,"Cover Page";#N/A,#N/A,TRUE,"Summary Stats Month";#N/A,#N/A,TRUE,"Balance Sheet Month";#N/A,#N/A,TRUE,"Cash Flow Month";#N/A,#N/A,TRUE,"Income Statement Month";#N/A,#N/A,TRUE,"CAPEX Month";#N/A,#N/A,TRUE,"Headcount Summary Month";#N/A,#N/A,TRUE,"Assumptions"}</definedName>
    <definedName name="wrn.Summary._.Report._.by._.Year." localSheetId="13" hidden="1">{#N/A,#N/A,TRUE,"Cover Page";#N/A,#N/A,TRUE,"Summary Stats Annual";#N/A,#N/A,TRUE,"Balance Sheet Annual";#N/A,#N/A,TRUE,"Cash Flow Annual";#N/A,#N/A,TRUE,"Income Statement Annual";#N/A,#N/A,TRUE,"CAPEX Annual";#N/A,#N/A,TRUE,"Assumptions"}</definedName>
    <definedName name="wrn.Summary._.Report._.by._.Year." hidden="1">{#N/A,#N/A,TRUE,"Cover Page";#N/A,#N/A,TRUE,"Summary Stats Annual";#N/A,#N/A,TRUE,"Balance Sheet Annual";#N/A,#N/A,TRUE,"Cash Flow Annual";#N/A,#N/A,TRUE,"Income Statement Annual";#N/A,#N/A,TRUE,"CAPEX Annual";#N/A,#N/A,TRUE,"Assumptions"}</definedName>
    <definedName name="wrn.SummaryPgs." localSheetId="13" hidden="1">{#N/A,#N/A,FALSE,"CreditStat";#N/A,#N/A,FALSE,"SPbrkup";#N/A,#N/A,FALSE,"MerSPsyn";#N/A,#N/A,FALSE,"MerSPwKCsyn";#N/A,#N/A,FALSE,"MerSPwKCsyn (2)";#N/A,#N/A,FALSE,"CreditStat (2)"}</definedName>
    <definedName name="wrn.SummaryPgs." hidden="1">{#N/A,#N/A,FALSE,"CreditStat";#N/A,#N/A,FALSE,"SPbrkup";#N/A,#N/A,FALSE,"MerSPsyn";#N/A,#N/A,FALSE,"MerSPwKCsyn";#N/A,#N/A,FALSE,"MerSPwKCsyn (2)";#N/A,#N/A,FALSE,"CreditStat (2)"}</definedName>
    <definedName name="wrn.sunmicro." localSheetId="11" hidden="1">{#N/A,#N/A,FALSE,"FREEMAN";#N/A,#N/A,FALSE,"STEPHEN";#N/A,#N/A,FALSE,"VICTOR"}</definedName>
    <definedName name="wrn.sunmicro." localSheetId="13" hidden="1">{#N/A,#N/A,FALSE,"FREEMAN";#N/A,#N/A,FALSE,"STEPHEN";#N/A,#N/A,FALSE,"VICTOR"}</definedName>
    <definedName name="wrn.sunmicro." hidden="1">{#N/A,#N/A,FALSE,"FREEMAN";#N/A,#N/A,FALSE,"STEPHEN";#N/A,#N/A,FALSE,"VICTOR"}</definedName>
    <definedName name="wrn.tel2." localSheetId="13" hidden="1">{#N/A,#N/A,FALSE,"FS_Summary";#N/A,#N/A,FALSE,"Tel_Summary";#N/A,#N/A,FALSE,"Tomahawk";#N/A,#N/A,FALSE,"Medical Marketing";#N/A,#N/A,FALSE,"DIMAC";#N/A,#N/A,FALSE,"Epsilon";#N/A,#N/A,FALSE,"Direct";#N/A,#N/A,FALSE,"DIMAC(2)"}</definedName>
    <definedName name="wrn.tel2." hidden="1">{#N/A,#N/A,FALSE,"FS_Summary";#N/A,#N/A,FALSE,"Tel_Summary";#N/A,#N/A,FALSE,"Tomahawk";#N/A,#N/A,FALSE,"Medical Marketing";#N/A,#N/A,FALSE,"DIMAC";#N/A,#N/A,FALSE,"Epsilon";#N/A,#N/A,FALSE,"Direct";#N/A,#N/A,FALSE,"DIMAC(2)"}</definedName>
    <definedName name="wrn.telem." localSheetId="13" hidden="1">{#N/A,#N/A,FALSE,"FS_Summary";#N/A,#N/A,FALSE,"Tomahawk";#N/A,#N/A,FALSE,"Medical Marketing";#N/A,#N/A,FALSE,"Epsilon";#N/A,#N/A,FALSE,"DIMAC";#N/A,#N/A,FALSE,"Direct";#N/A,#N/A,FALSE,"DIMAC(2)"}</definedName>
    <definedName name="wrn.telem." hidden="1">{#N/A,#N/A,FALSE,"FS_Summary";#N/A,#N/A,FALSE,"Tomahawk";#N/A,#N/A,FALSE,"Medical Marketing";#N/A,#N/A,FALSE,"Epsilon";#N/A,#N/A,FALSE,"DIMAC";#N/A,#N/A,FALSE,"Direct";#N/A,#N/A,FALSE,"DIMAC(2)"}</definedName>
    <definedName name="wrn.test." localSheetId="13" hidden="1">{"test2",#N/A,TRUE,"Prices"}</definedName>
    <definedName name="wrn.test." hidden="1">{"test2",#N/A,TRUE,"Prices"}</definedName>
    <definedName name="wrn.TODO." localSheetId="13"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rn.TODO."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rn.TOOL." localSheetId="13"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pe" localSheetId="11" hidden="1">{"toptrial",#N/A,TRUE,"toptrial";"adjustment",#N/A,TRUE,"toptrial";"voucher",#N/A,TRUE,"toptrial"}</definedName>
    <definedName name="wrn.tope" localSheetId="13" hidden="1">{"toptrial",#N/A,TRUE,"toptrial";"adjustment",#N/A,TRUE,"toptrial";"voucher",#N/A,TRUE,"toptrial"}</definedName>
    <definedName name="wrn.tope" hidden="1">{"toptrial",#N/A,TRUE,"toptrial";"adjustment",#N/A,TRUE,"toptrial";"voucher",#N/A,TRUE,"toptrial"}</definedName>
    <definedName name="wrn.toptrial." localSheetId="11" hidden="1">{"toptrial",#N/A,TRUE,"toptrial";"adjustment",#N/A,TRUE,"toptrial";"voucher",#N/A,TRUE,"toptrial"}</definedName>
    <definedName name="wrn.toptrial." localSheetId="13" hidden="1">{"toptrial",#N/A,TRUE,"toptrial";"adjustment",#N/A,TRUE,"toptrial";"voucher",#N/A,TRUE,"toptrial"}</definedName>
    <definedName name="wrn.toptrial." hidden="1">{"toptrial",#N/A,TRUE,"toptrial";"adjustment",#N/A,TRUE,"toptrial";"voucher",#N/A,TRUE,"toptrial"}</definedName>
    <definedName name="wrn.Total." localSheetId="13" hidden="1">{#N/A,#N/A,FALSE,"Trans-Sum";#N/A,#N/A,FALSE,"Accr-Dilu2";#N/A,#N/A,FALSE,"Contribution";#N/A,#N/A,FALSE,"Combined";#N/A,#N/A,FALSE,"ASTF";#N/A,#N/A,FALSE,"BRA";#N/A,#N/A,FALSE,"Bra_C";#N/A,#N/A,FALSE,"AcqMults";#N/A,#N/A,FALSE,"CompMults";#N/A,#N/A,FALSE,"DCF";#N/A,#N/A,FALSE,"WACC";#N/A,#N/A,FALSE,"LBO";#N/A,#N/A,FALSE,"Summary";#N/A,#N/A,FALSE,"StructSum"}</definedName>
    <definedName name="wrn.Total." hidden="1">{#N/A,#N/A,FALSE,"Trans-Sum";#N/A,#N/A,FALSE,"Accr-Dilu2";#N/A,#N/A,FALSE,"Contribution";#N/A,#N/A,FALSE,"Combined";#N/A,#N/A,FALSE,"ASTF";#N/A,#N/A,FALSE,"BRA";#N/A,#N/A,FALSE,"Bra_C";#N/A,#N/A,FALSE,"AcqMults";#N/A,#N/A,FALSE,"CompMults";#N/A,#N/A,FALSE,"DCF";#N/A,#N/A,FALSE,"WACC";#N/A,#N/A,FALSE,"LBO";#N/A,#N/A,FALSE,"Summary";#N/A,#N/A,FALSE,"StructSum"}</definedName>
    <definedName name="wrn.TransPrcd_123." localSheetId="13" hidden="1">{#N/A,#N/A,TRUE,"TransPrcd 1";#N/A,#N/A,TRUE,"TransPrcd 2";#N/A,#N/A,TRUE,"TransPrcd 3"}</definedName>
    <definedName name="wrn.TransPrcd_123." hidden="1">{#N/A,#N/A,TRUE,"TransPrcd 1";#N/A,#N/A,TRUE,"TransPrcd 2";#N/A,#N/A,TRUE,"TransPrcd 3"}</definedName>
    <definedName name="wrn.Tweety." localSheetId="13" hidden="1">{#N/A,#N/A,FALSE,"A&amp;E";#N/A,#N/A,FALSE,"HighTop";#N/A,#N/A,FALSE,"JG";#N/A,#N/A,FALSE,"RI";#N/A,#N/A,FALSE,"woHT";#N/A,#N/A,FALSE,"woHT&amp;JG"}</definedName>
    <definedName name="wrn.Tweety." hidden="1">{#N/A,#N/A,FALSE,"A&amp;E";#N/A,#N/A,FALSE,"HighTop";#N/A,#N/A,FALSE,"JG";#N/A,#N/A,FALSE,"RI";#N/A,#N/A,FALSE,"woHT";#N/A,#N/A,FALSE,"woHT&amp;JG"}</definedName>
    <definedName name="wrn.Upper._.Case." localSheetId="13" hidden="1">{"presentation","onepurchase",FALSE,"Inputs and Calculations";"presentation","onepool",FALSE,"Inputs and Calculations";"presentation","twopool",FALSE,"Inputs and Calculations";"presentation","twopurchase",FALSE,"Inputs and Calculations";"presentation","threepurchase",FALSE,"Inputs and Calculations";"presentation","threepool",FALSE,"Inputs and Calculations";"presentation","fourpool",FALSE,"Inputs and Calculations";"presentation","fourpurchase",FALSE,"Inputs and Calculations";"presentation","fivepool",FALSE,"Inputs and Calculations";"presentation","fivepurchase",FALSE,"Inputs and Calculations";"presentation","sixpool",FALSE,"Inputs and Calculations";"presentation","sixpurchase",FALSE,"Inputs and Calculations";"presentation","sevenpool",FALSE,"Inputs and Calculations";"presentation","sevenpurchase",FALSE,"Inputs and Calculations";"presentation","eightpool",FALSE,"Inputs and Calculations";"presentation","eightpurchase",FALSE,"Inputs and Calculations";"presentation","ninepool",FALSE,"Inputs and Calculations";"presentation","ninepurchase",FALSE,"Inputs and Calculations";"presentation","tenpool",FALSE,"Inputs and Calculations";"presentation","tenpurchase",FALSE,"Inputs and Calculations"}</definedName>
    <definedName name="wrn.Upper._.Case." hidden="1">{"presentation","onepurchase",FALSE,"Inputs and Calculations";"presentation","onepool",FALSE,"Inputs and Calculations";"presentation","twopool",FALSE,"Inputs and Calculations";"presentation","twopurchase",FALSE,"Inputs and Calculations";"presentation","threepurchase",FALSE,"Inputs and Calculations";"presentation","threepool",FALSE,"Inputs and Calculations";"presentation","fourpool",FALSE,"Inputs and Calculations";"presentation","fourpurchase",FALSE,"Inputs and Calculations";"presentation","fivepool",FALSE,"Inputs and Calculations";"presentation","fivepurchase",FALSE,"Inputs and Calculations";"presentation","sixpool",FALSE,"Inputs and Calculations";"presentation","sixpurchase",FALSE,"Inputs and Calculations";"presentation","sevenpool",FALSE,"Inputs and Calculations";"presentation","sevenpurchase",FALSE,"Inputs and Calculations";"presentation","eightpool",FALSE,"Inputs and Calculations";"presentation","eightpurchase",FALSE,"Inputs and Calculations";"presentation","ninepool",FALSE,"Inputs and Calculations";"presentation","ninepurchase",FALSE,"Inputs and Calculations";"presentation","tenpool",FALSE,"Inputs and Calculations";"presentation","tenpurchase",FALSE,"Inputs and Calculations"}</definedName>
    <definedName name="wrn.VALUATION." localSheetId="13" hidden="1">{#N/A,#N/A,FALSE,"Pooling";#N/A,#N/A,FALSE,"income";#N/A,#N/A,FALSE,"valuation"}</definedName>
    <definedName name="wrn.VALUATION." hidden="1">{#N/A,#N/A,FALSE,"Pooling";#N/A,#N/A,FALSE,"income";#N/A,#N/A,FALSE,"valuation"}</definedName>
    <definedName name="wrn.Valuation._.Package._.1." localSheetId="13"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oucher9703." localSheetId="11" hidden="1">{#N/A,#N/A,FALSE,"970301";#N/A,#N/A,FALSE,"970302";#N/A,#N/A,FALSE,"970303";#N/A,#N/A,FALSE,"970304";#N/A,#N/A,FALSE,"COM1";#N/A,#N/A,FALSE,"COM2"}</definedName>
    <definedName name="wrn.voucher9703." localSheetId="13" hidden="1">{#N/A,#N/A,FALSE,"970301";#N/A,#N/A,FALSE,"970302";#N/A,#N/A,FALSE,"970303";#N/A,#N/A,FALSE,"970304";#N/A,#N/A,FALSE,"COM1";#N/A,#N/A,FALSE,"COM2"}</definedName>
    <definedName name="wrn.voucher9703." hidden="1">{#N/A,#N/A,FALSE,"970301";#N/A,#N/A,FALSE,"970302";#N/A,#N/A,FALSE,"970303";#N/A,#N/A,FALSE,"970304";#N/A,#N/A,FALSE,"COM1";#N/A,#N/A,FALSE,"COM2"}</definedName>
    <definedName name="wrn.whole._.document." localSheetId="13" hidden="1">{"page 1",#N/A,FALSE,"A";"page 2",#N/A,FALSE,"A";"page 3",#N/A,FALSE,"A";"page 4",#N/A,FALSE,"A";"page 5",#N/A,FALSE,"A";"page 6",#N/A,FALSE,"A";"page 7",#N/A,FALSE,"A";"page 8",#N/A,FALSE,"A";"page 9",#N/A,FALSE,"A";"page 10",#N/A,FALSE,"A";"page 11",#N/A,FALSE,"A";"page 12",#N/A,FALSE,"A";"page 13",#N/A,FALSE,"A";"page 14",#N/A,FALSE,"A"}</definedName>
    <definedName name="wrn.whole._.document." hidden="1">{"page 1",#N/A,FALSE,"A";"page 2",#N/A,FALSE,"A";"page 3",#N/A,FALSE,"A";"page 4",#N/A,FALSE,"A";"page 5",#N/A,FALSE,"A";"page 6",#N/A,FALSE,"A";"page 7",#N/A,FALSE,"A";"page 8",#N/A,FALSE,"A";"page 9",#N/A,FALSE,"A";"page 10",#N/A,FALSE,"A";"page 11",#N/A,FALSE,"A";"page 12",#N/A,FALSE,"A";"page 13",#N/A,FALSE,"A";"page 14",#N/A,FALSE,"A"}</definedName>
    <definedName name="wrn.WholeShabang." localSheetId="13"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icor." localSheetId="13" hidden="1">{#N/A,#N/A,FALSE,"FACTSHEETS";#N/A,#N/A,FALSE,"pump";#N/A,#N/A,FALSE,"filter"}</definedName>
    <definedName name="wrn.wicor." hidden="1">{#N/A,#N/A,FALSE,"FACTSHEETS";#N/A,#N/A,FALSE,"pump";#N/A,#N/A,FALSE,"filter"}</definedName>
    <definedName name="wrn.ytd." localSheetId="11" hidden="1">{#N/A,#N/A,FALSE,"YTD"}</definedName>
    <definedName name="wrn.ytd." localSheetId="13" hidden="1">{#N/A,#N/A,FALSE,"YTD"}</definedName>
    <definedName name="wrn.ytd." localSheetId="10" hidden="1">{#N/A,#N/A,FALSE,"YTD"}</definedName>
    <definedName name="wrn.ytd." localSheetId="6" hidden="1">{#N/A,#N/A,FALSE,"YTD"}</definedName>
    <definedName name="wrn.ytd." hidden="1">{#N/A,#N/A,FALSE,"YTD"}</definedName>
    <definedName name="wrn.채권채무조회서." localSheetId="13" hidden="1">{#N/A,#N/A,FALSE,"채권채무";#N/A,#N/A,FALSE,"control sheet"}</definedName>
    <definedName name="wrn.채권채무조회서." hidden="1">{#N/A,#N/A,FALSE,"채권채무";#N/A,#N/A,FALSE,"control sheet"}</definedName>
    <definedName name="wrn100.gb" localSheetId="11" hidden="1">{#N/A,#N/A,FALSE,"资产负债表";#N/A,#N/A,FALSE,"资产负债表"}</definedName>
    <definedName name="wrn100.gb" localSheetId="13" hidden="1">{#N/A,#N/A,FALSE,"资产负债表";#N/A,#N/A,FALSE,"资产负债表"}</definedName>
    <definedName name="wrn100.gb" hidden="1">{#N/A,#N/A,FALSE,"资产负债表";#N/A,#N/A,FALSE,"资产负债表"}</definedName>
    <definedName name="wrnn" localSheetId="13" hidden="1">{#N/A,#N/A,FALSE,"PERSONAL";#N/A,#N/A,FALSE,"explotación";#N/A,#N/A,FALSE,"generales"}</definedName>
    <definedName name="wrnn" hidden="1">{#N/A,#N/A,FALSE,"PERSONAL";#N/A,#N/A,FALSE,"explotación";#N/A,#N/A,FALSE,"generales"}</definedName>
    <definedName name="wrnn.all." localSheetId="3" hidden="1">{#N/A,#N/A,FALSE,"SUM";#N/A,#N/A,FALSE,"SK_TOT";#N/A,#N/A,FALSE,"YM";#N/A,#N/A,FALSE,"TSMC";#N/A,#N/A,FALSE,"ICW";#N/A,#N/A,FALSE,"Sheet1"}</definedName>
    <definedName name="wrnn.all." localSheetId="1" hidden="1">{#N/A,#N/A,FALSE,"SUM";#N/A,#N/A,FALSE,"SK_TOT";#N/A,#N/A,FALSE,"YM";#N/A,#N/A,FALSE,"TSMC";#N/A,#N/A,FALSE,"ICW";#N/A,#N/A,FALSE,"Sheet1"}</definedName>
    <definedName name="wrnn.all." localSheetId="2" hidden="1">{#N/A,#N/A,FALSE,"SUM";#N/A,#N/A,FALSE,"SK_TOT";#N/A,#N/A,FALSE,"YM";#N/A,#N/A,FALSE,"TSMC";#N/A,#N/A,FALSE,"ICW";#N/A,#N/A,FALSE,"Sheet1"}</definedName>
    <definedName name="wrnn.all." localSheetId="11" hidden="1">{#N/A,#N/A,FALSE,"SUM";#N/A,#N/A,FALSE,"SK_TOT";#N/A,#N/A,FALSE,"YM";#N/A,#N/A,FALSE,"TSMC";#N/A,#N/A,FALSE,"ICW";#N/A,#N/A,FALSE,"Sheet1"}</definedName>
    <definedName name="wrnn.all." localSheetId="13" hidden="1">{#N/A,#N/A,FALSE,"SUM";#N/A,#N/A,FALSE,"SK_TOT";#N/A,#N/A,FALSE,"YM";#N/A,#N/A,FALSE,"TSMC";#N/A,#N/A,FALSE,"ICW";#N/A,#N/A,FALSE,"Sheet1"}</definedName>
    <definedName name="wrnn.all." localSheetId="10" hidden="1">{#N/A,#N/A,FALSE,"SUM";#N/A,#N/A,FALSE,"SK_TOT";#N/A,#N/A,FALSE,"YM";#N/A,#N/A,FALSE,"TSMC";#N/A,#N/A,FALSE,"ICW";#N/A,#N/A,FALSE,"Sheet1"}</definedName>
    <definedName name="wrnn.all." localSheetId="6" hidden="1">{#N/A,#N/A,FALSE,"SUM";#N/A,#N/A,FALSE,"SK_TOT";#N/A,#N/A,FALSE,"YM";#N/A,#N/A,FALSE,"TSMC";#N/A,#N/A,FALSE,"ICW";#N/A,#N/A,FALSE,"Sheet1"}</definedName>
    <definedName name="wrnn.all." hidden="1">{#N/A,#N/A,FALSE,"SUM";#N/A,#N/A,FALSE,"SK_TOT";#N/A,#N/A,FALSE,"YM";#N/A,#N/A,FALSE,"TSMC";#N/A,#N/A,FALSE,"ICW";#N/A,#N/A,FALSE,"Sheet1"}</definedName>
    <definedName name="wro.fy00_Q1Q2." localSheetId="13" hidden="1">{#N/A,#N/A,FALSE,"Sheet1"}</definedName>
    <definedName name="wro.fy00_Q1Q2." hidden="1">{#N/A,#N/A,FALSE,"Sheet1"}</definedName>
    <definedName name="wtr" localSheetId="11" hidden="1">{#N/A,#N/A,FALSE,"资产负债表";#N/A,#N/A,FALSE,"资产负债表"}</definedName>
    <definedName name="wtr" localSheetId="13" hidden="1">{#N/A,#N/A,FALSE,"资产负债表";#N/A,#N/A,FALSE,"资产负债表"}</definedName>
    <definedName name="wtr" hidden="1">{#N/A,#N/A,FALSE,"资产负债表";#N/A,#N/A,FALSE,"资产负债表"}</definedName>
    <definedName name="wvu.Curr_View." localSheetId="13" hidden="1">{TRUE,TRUE,-2.75,-17,867,564.75,FALSE,FALSE,TRUE,TRUE,0,1,10,1,8,9,7,4,TRUE,TRUE,3,FALSE,1,TRUE,75,"Swvu.Curr_View.","ACwvu.Curr_View.",#N/A,FALSE,FALSE,0,0,0.6,0.5,2,"&amp;L&amp;""NationalSigBWithNoTM,Regular""&amp;28N&amp;R&amp;""Arial,Bold Italic""&amp;9CENTRAL TECHNOLOGY &amp; MANUFACTURING GROUP","&amp;L&amp;f  &amp;d  &amp;t&amp;C&amp;""Arial,Bold""&amp;9COMPANY CONFIDENTIAL&amp;RPage &amp;p",TRUE,FALSE,FALSE,FALSE,1,#N/A,1,3,"=R1C1:R70C25","=R1:R7","Rwvu.Curr_View.",#N/A,FALSE,FALSE,FALSE,1,600,600,FALSE,FALSE,TRUE,TRUE,TRUE}</definedName>
    <definedName name="wvu.Curr_View." hidden="1">{TRUE,TRUE,-2.75,-17,867,564.75,FALSE,FALSE,TRUE,TRUE,0,1,10,1,8,9,7,4,TRUE,TRUE,3,FALSE,1,TRUE,75,"Swvu.Curr_View.","ACwvu.Curr_View.",#N/A,FALSE,FALSE,0,0,0.6,0.5,2,"&amp;L&amp;""NationalSigBWithNoTM,Regular""&amp;28N&amp;R&amp;""Arial,Bold Italic""&amp;9CENTRAL TECHNOLOGY &amp; MANUFACTURING GROUP","&amp;L&amp;f  &amp;d  &amp;t&amp;C&amp;""Arial,Bold""&amp;9COMPANY CONFIDENTIAL&amp;RPage &amp;p",TRUE,FALSE,FALSE,FALSE,1,#N/A,1,3,"=R1C1:R70C25","=R1:R7","Rwvu.Curr_View.",#N/A,FALSE,FALSE,FALSE,1,600,600,FALSE,FALSE,TRUE,TRUE,TRUE}</definedName>
    <definedName name="wvu.P01_View." localSheetId="13" hidden="1">{TRUE,TRUE,-2.75,-17,867,564.75,FALSE,FALSE,TRUE,TRUE,0,1,10,1,8,4,7,4,TRUE,TRUE,3,FALSE,1,TRUE,75,"Swvu.P01_View.","ACwvu.P01_View.",#N/A,FALSE,FALSE,0,0,0.6,0.5,2,"&amp;L&amp;""NationalSigBWithNoTM,Regular""&amp;28N&amp;R&amp;""Arial,Bold Italic""&amp;9CENTRAL TECHNOLOGY &amp; MANUFACTURING GROUP","&amp;L&amp;f  &amp;d  &amp;t&amp;C&amp;""Arial,Bold""&amp;9COMPANY CONFIDENTIAL&amp;RPage &amp;p",TRUE,FALSE,FALSE,FALSE,1,#N/A,1,3,"=R1C1:R70C25","=R1:R7","Rwvu.P01_View.",#N/A,FALSE,FALSE,FALSE,1,600,600,FALSE,FALSE,TRUE,TRUE,TRUE}</definedName>
    <definedName name="wvu.P01_View." hidden="1">{TRUE,TRUE,-2.75,-17,867,564.75,FALSE,FALSE,TRUE,TRUE,0,1,10,1,8,4,7,4,TRUE,TRUE,3,FALSE,1,TRUE,75,"Swvu.P01_View.","ACwvu.P01_View.",#N/A,FALSE,FALSE,0,0,0.6,0.5,2,"&amp;L&amp;""NationalSigBWithNoTM,Regular""&amp;28N&amp;R&amp;""Arial,Bold Italic""&amp;9CENTRAL TECHNOLOGY &amp; MANUFACTURING GROUP","&amp;L&amp;f  &amp;d  &amp;t&amp;C&amp;""Arial,Bold""&amp;9COMPANY CONFIDENTIAL&amp;RPage &amp;p",TRUE,FALSE,FALSE,FALSE,1,#N/A,1,3,"=R1C1:R70C25","=R1:R7","Rwvu.P01_View.",#N/A,FALSE,FALSE,FALSE,1,600,600,FALSE,FALSE,TRUE,TRUE,TRUE}</definedName>
    <definedName name="xdsdgfdh" hidden="1">#REF!</definedName>
    <definedName name="XREF_COLUMN_1" hidden="1">#REF!</definedName>
    <definedName name="XREF_COLUMN_10" localSheetId="3" hidden="1">#REF!</definedName>
    <definedName name="XREF_COLUMN_10" localSheetId="1" hidden="1">'K.00 Lead Sheet'!#REF!</definedName>
    <definedName name="XREF_COLUMN_10" localSheetId="2" hidden="1">#REF!</definedName>
    <definedName name="XREF_COLUMN_10" hidden="1">#REF!</definedName>
    <definedName name="XREF_COLUMN_11" localSheetId="3" hidden="1">#REF!</definedName>
    <definedName name="XREF_COLUMN_11" localSheetId="1" hidden="1">'K.00 Lead Sheet'!#REF!</definedName>
    <definedName name="XREF_COLUMN_11" localSheetId="2" hidden="1">#REF!</definedName>
    <definedName name="XREF_COLUMN_11" hidden="1">#REF!</definedName>
    <definedName name="XREF_COLUMN_12" hidden="1">#REF!</definedName>
    <definedName name="XREF_COLUMN_19" localSheetId="3" hidden="1">#REF!</definedName>
    <definedName name="XREF_COLUMN_19" localSheetId="1" hidden="1">'K.00 Lead Sheet'!#REF!</definedName>
    <definedName name="XREF_COLUMN_19" localSheetId="2" hidden="1">#REF!</definedName>
    <definedName name="XREF_COLUMN_19" hidden="1">#REF!</definedName>
    <definedName name="XREF_COLUMN_2" localSheetId="3" hidden="1">#REF!</definedName>
    <definedName name="XREF_COLUMN_2" localSheetId="1" hidden="1">'K.00 Lead Sheet'!#REF!</definedName>
    <definedName name="XREF_COLUMN_2" localSheetId="2" hidden="1">#REF!</definedName>
    <definedName name="XREF_COLUMN_2" hidden="1">#REF!</definedName>
    <definedName name="XREF_COLUMN_20" localSheetId="3" hidden="1">#REF!</definedName>
    <definedName name="XREF_COLUMN_20" localSheetId="1" hidden="1">'K.00 Lead Sheet'!#REF!</definedName>
    <definedName name="XREF_COLUMN_20" localSheetId="2" hidden="1">#REF!</definedName>
    <definedName name="XREF_COLUMN_20" hidden="1">#REF!</definedName>
    <definedName name="XREF_COLUMN_21" hidden="1">#REF!</definedName>
    <definedName name="XREF_COLUMN_3" localSheetId="3" hidden="1">#REF!</definedName>
    <definedName name="XREF_COLUMN_3" localSheetId="1" hidden="1">'K.00 Lead Sheet'!#REF!</definedName>
    <definedName name="XREF_COLUMN_3" localSheetId="2" hidden="1">#REF!</definedName>
    <definedName name="XREF_COLUMN_3" hidden="1">#REF!</definedName>
    <definedName name="XREF_COLUMN_4" localSheetId="3" hidden="1">#REF!</definedName>
    <definedName name="XREF_COLUMN_4" localSheetId="1" hidden="1">'K.00 Lead Sheet'!#REF!</definedName>
    <definedName name="XREF_COLUMN_4" localSheetId="2" hidden="1">#REF!</definedName>
    <definedName name="XREF_COLUMN_4" hidden="1">#REF!</definedName>
    <definedName name="XREF_COLUMN_5" localSheetId="3" hidden="1">#REF!</definedName>
    <definedName name="XREF_COLUMN_5" localSheetId="1" hidden="1">'K.00 Lead Sheet'!#REF!</definedName>
    <definedName name="XREF_COLUMN_5" localSheetId="2" hidden="1">#REF!</definedName>
    <definedName name="XREF_COLUMN_5" hidden="1">#REF!</definedName>
    <definedName name="XREF_COLUMN_6" localSheetId="3" hidden="1">#REF!</definedName>
    <definedName name="XREF_COLUMN_6" localSheetId="1" hidden="1">'K.00 Lead Sheet'!#REF!</definedName>
    <definedName name="XREF_COLUMN_6" localSheetId="2" hidden="1">#REF!</definedName>
    <definedName name="XREF_COLUMN_6" hidden="1">#REF!</definedName>
    <definedName name="XREF_COLUMN_7" hidden="1">#REF!</definedName>
    <definedName name="XRefActiveRow" localSheetId="3" hidden="1">#REF!</definedName>
    <definedName name="XRefActiveRow" localSheetId="1" hidden="1">'K.00 Lead Sheet'!#REF!</definedName>
    <definedName name="XRefActiveRow" localSheetId="2" hidden="1">#REF!</definedName>
    <definedName name="XRefActiveRow" hidden="1">#REF!</definedName>
    <definedName name="XRefColumnsCount" hidden="1">2</definedName>
    <definedName name="XRefCopy1" localSheetId="3" hidden="1">#REF!</definedName>
    <definedName name="XRefCopy1" localSheetId="1" hidden="1">'K.00 Lead Sheet'!#REF!</definedName>
    <definedName name="XRefCopy1" localSheetId="2" hidden="1">#REF!</definedName>
    <definedName name="XRefCopy1" hidden="1">#REF!</definedName>
    <definedName name="XRefCopy10" hidden="1">#REF!</definedName>
    <definedName name="XRefCopy10Row" hidden="1">#REF!</definedName>
    <definedName name="XRefCopy11" localSheetId="3" hidden="1">#REF!</definedName>
    <definedName name="XRefCopy11" localSheetId="1" hidden="1">'K.00 Lead Sheet'!#REF!</definedName>
    <definedName name="XRefCopy11" localSheetId="2" hidden="1">#REF!</definedName>
    <definedName name="XRefCopy11" hidden="1">#REF!</definedName>
    <definedName name="XRefCopy11Row" localSheetId="3" hidden="1">#REF!</definedName>
    <definedName name="XRefCopy11Row" localSheetId="1" hidden="1">'K.00 Lead Sheet'!#REF!</definedName>
    <definedName name="XRefCopy11Row" localSheetId="2" hidden="1">#REF!</definedName>
    <definedName name="XRefCopy11Row" hidden="1">#REF!</definedName>
    <definedName name="XRefCopy12" hidden="1">#REF!</definedName>
    <definedName name="XRefCopy13" hidden="1">#REF!</definedName>
    <definedName name="XRefCopy13Row" localSheetId="3" hidden="1">#REF!</definedName>
    <definedName name="XRefCopy13Row" localSheetId="1" hidden="1">'K.00 Lead Sheet'!#REF!</definedName>
    <definedName name="XRefCopy13Row" localSheetId="2" hidden="1">#REF!</definedName>
    <definedName name="XRefCopy13Row" hidden="1">#REF!</definedName>
    <definedName name="XRefCopy14" localSheetId="3" hidden="1">#REF!</definedName>
    <definedName name="XRefCopy14" localSheetId="1" hidden="1">'K.00 Lead Sheet'!#REF!</definedName>
    <definedName name="XRefCopy14" localSheetId="2" hidden="1">#REF!</definedName>
    <definedName name="XRefCopy14" hidden="1">#REF!</definedName>
    <definedName name="XRefCopy15" hidden="1">#REF!</definedName>
    <definedName name="XRefCopy16" hidden="1">#REF!</definedName>
    <definedName name="XRefCopy16Row" localSheetId="3" hidden="1">#REF!</definedName>
    <definedName name="XRefCopy16Row" localSheetId="1" hidden="1">'K.00 Lead Sheet'!#REF!</definedName>
    <definedName name="XRefCopy16Row" localSheetId="2" hidden="1">#REF!</definedName>
    <definedName name="XRefCopy16Row" hidden="1">#REF!</definedName>
    <definedName name="XRefCopy17" hidden="1">#REF!</definedName>
    <definedName name="XRefCopy1Row" localSheetId="3" hidden="1">#REF!</definedName>
    <definedName name="XRefCopy1Row" localSheetId="1" hidden="1">'K.00 Lead Sheet'!#REF!</definedName>
    <definedName name="XRefCopy1Row" localSheetId="2"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5" hidden="1">#REF!</definedName>
    <definedName name="XRefPaste1Row" hidden="1">#REF!</definedName>
    <definedName name="XRefPaste2" localSheetId="3" hidden="1">#REF!</definedName>
    <definedName name="XRefPaste2" localSheetId="1" hidden="1">'K.00 Lead Sheet'!#REF!</definedName>
    <definedName name="XRefPaste2" localSheetId="2" hidden="1">#REF!</definedName>
    <definedName name="XRefPaste2" hidden="1">#REF!</definedName>
    <definedName name="XRefPaste24" localSheetId="3" hidden="1">#REF!</definedName>
    <definedName name="XRefPaste24" localSheetId="1" hidden="1">'K.00 Lead Sheet'!#REF!</definedName>
    <definedName name="XRefPaste24" localSheetId="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localSheetId="3" hidden="1">#REF!</definedName>
    <definedName name="XRefPaste2Row" localSheetId="1" hidden="1">'K.00 Lead Sheet'!#REF!</definedName>
    <definedName name="XRefPaste2Row" localSheetId="2" hidden="1">#REF!</definedName>
    <definedName name="XRefPaste2Row" hidden="1">#REF!</definedName>
    <definedName name="XRefPaste3" localSheetId="3" hidden="1">#REF!</definedName>
    <definedName name="XRefPaste3" localSheetId="1" hidden="1">'K.00 Lead Sheet'!#REF!</definedName>
    <definedName name="XRefPaste3" localSheetId="2"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localSheetId="3" hidden="1">#REF!</definedName>
    <definedName name="XRefPaste6Row" localSheetId="1" hidden="1">'K.00 Lead Sheet'!#REF!</definedName>
    <definedName name="XRefPaste6Row" localSheetId="2" hidden="1">#REF!</definedName>
    <definedName name="XRefPaste6Row" hidden="1">#REF!</definedName>
    <definedName name="XRefPaste7" localSheetId="3" hidden="1">#REF!</definedName>
    <definedName name="XRefPaste7" localSheetId="1" hidden="1">'K.00 Lead Sheet'!#REF!</definedName>
    <definedName name="XRefPaste7" localSheetId="2"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 localSheetId="13" hidden="1">{#N/A,#N/A,FALSE,"Virgin Flightdeck"}</definedName>
    <definedName name="xxx" hidden="1">{#N/A,#N/A,FALSE,"Virgin Flightdeck"}</definedName>
    <definedName name="XXXXXXXXXXXX" hidden="1">#REF!</definedName>
    <definedName name="xyz" hidden="1">#REF!</definedName>
    <definedName name="xzxsfd" localSheetId="3" hidden="1">{"M1Print",#N/A,FALSE,"M1"}</definedName>
    <definedName name="xzxsfd" localSheetId="1" hidden="1">{"M1Print",#N/A,FALSE,"M1"}</definedName>
    <definedName name="xzxsfd" localSheetId="2" hidden="1">{"M1Print",#N/A,FALSE,"M1"}</definedName>
    <definedName name="xzxsfd" localSheetId="11" hidden="1">{"M1Print",#N/A,FALSE,"M1"}</definedName>
    <definedName name="xzxsfd" localSheetId="13" hidden="1">{"M1Print",#N/A,FALSE,"M1"}</definedName>
    <definedName name="xzxsfd" localSheetId="10" hidden="1">{"M1Print",#N/A,FALSE,"M1"}</definedName>
    <definedName name="xzxsfd" localSheetId="6" hidden="1">{"M1Print",#N/A,FALSE,"M1"}</definedName>
    <definedName name="xzxsfd" hidden="1">{"M1Print",#N/A,FALSE,"M1"}</definedName>
    <definedName name="y" localSheetId="11" hidden="1">{#N/A,#N/A,FALSE,"970301";#N/A,#N/A,FALSE,"970302";#N/A,#N/A,FALSE,"970303";#N/A,#N/A,FALSE,"970304";#N/A,#N/A,FALSE,"COM1";#N/A,#N/A,FALSE,"COM2"}</definedName>
    <definedName name="y" localSheetId="13" hidden="1">{#N/A,#N/A,FALSE,"970301";#N/A,#N/A,FALSE,"970302";#N/A,#N/A,FALSE,"970303";#N/A,#N/A,FALSE,"970304";#N/A,#N/A,FALSE,"COM1";#N/A,#N/A,FALSE,"COM2"}</definedName>
    <definedName name="y" hidden="1">{#N/A,#N/A,FALSE,"970301";#N/A,#N/A,FALSE,"970302";#N/A,#N/A,FALSE,"970303";#N/A,#N/A,FALSE,"970304";#N/A,#N/A,FALSE,"COM1";#N/A,#N/A,FALSE,"COM2"}</definedName>
    <definedName name="yy" localSheetId="13" hidden="1">{#N/A,#N/A,FALSE,"ABB HOLDING LTD"}</definedName>
    <definedName name="yy" hidden="1">{#N/A,#N/A,FALSE,"ABB HOLDING LTD"}</definedName>
    <definedName name="Z_0C0235C9_3F84_11D5_81CA_0004ACE54E1F_.wvu.FilterData" hidden="1">#REF!</definedName>
    <definedName name="Z_0C0235C9_3F84_11D5_81CA_0004ACE54E1F_.wvu.PrintArea" hidden="1">#REF!</definedName>
    <definedName name="Z_0C0235C9_3F84_11D5_81CA_0004ACE54E1F_.wvu.PrintTitles" hidden="1">#REF!</definedName>
    <definedName name="Z_0C0235C9_3F84_11D5_81CA_0004ACE54E1F_.wvu.Rows" hidden="1">#REF!,#REF!,#REF!,#REF!,#REF!</definedName>
    <definedName name="Z_149AC9E3_10D6_11D2_BD3F_0060945C7103_.wvu.FilterData" hidden="1">#REF!</definedName>
    <definedName name="Z_1711050D_B2D8_42FB_A40D_E4BD90297684_.wvu.Cols" hidden="1">#REF!,#REF!,#REF!,#REF!,#REF!</definedName>
    <definedName name="Z_39BC5E81_0594_11D1_8C74_006097B34275_.wvu.FilterData" hidden="1">#REF!</definedName>
    <definedName name="Z_39BC5E82_0594_11D1_8C74_006097B34275_.wvu.FilterData" hidden="1">#REF!</definedName>
    <definedName name="Z_4B5573A2_25FD_11D1_8C74_006097B34275_.wvu.FilterData" hidden="1">#REF!</definedName>
    <definedName name="Z_4B5573A3_25FD_11D1_8C74_006097B34275_.wvu.FilterData" hidden="1">#REF!</definedName>
    <definedName name="Z_4C289101_0FD6_11D1_A510_006097B38048_.wvu.FilterData" hidden="1">#REF!</definedName>
    <definedName name="Z_4C854AA2_3991_11D1_8C74_006097B34275_.wvu.FilterData" hidden="1">#REF!</definedName>
    <definedName name="Z_4E9FC601_CB8F_11D0_8C74_006097B34275_.wvu.FilterData" hidden="1">#REF!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6E0ADC42_F22D_11D0_8C74_006097B34275_.wvu.FilterData" hidden="1">#REF!</definedName>
    <definedName name="Z_7E0A45E1_0993_11D1_8C74_006097B34275_.wvu.FilterData" hidden="1">#REF!</definedName>
    <definedName name="Z_82212322_246D_11D1_8C74_006097B34275_.wvu.FilterData" hidden="1">#REF!</definedName>
    <definedName name="Z_B8175DE2_E97C_11D0_8C74_006097B34275_.wvu.FilterData" hidden="1">#REF!</definedName>
    <definedName name="Z_CB0E8320_907C_11D8_8F9A_003018607B51_.wvu.Cols" hidden="1">#REF!</definedName>
    <definedName name="Z_DCA8D884_2605_11D1_A510_006097B38048_.wvu.FilterData" hidden="1">#REF!</definedName>
    <definedName name="Z_E2699901_D040_11D0_A510_006097B38048_.wvu.FilterData" hidden="1">#REF!</definedName>
    <definedName name="Z_E3C7B981_6570_11D9_9364_000D600563D5_.wvu.PrintArea" hidden="1">#REF!</definedName>
    <definedName name="Z_E3C7B981_6570_11D9_9364_000D600563D5_.wvu.PrintTitles" hidden="1">#REF!</definedName>
    <definedName name="Z_E738B51C_56AE_4F9F_8D8A_36AD6137B90D_.wvu.Cols" localSheetId="3" hidden="1">#REF!</definedName>
    <definedName name="Z_E738B51C_56AE_4F9F_8D8A_36AD6137B90D_.wvu.Cols" localSheetId="1" hidden="1">'K.00 Lead Sheet'!#REF!</definedName>
    <definedName name="Z_E738B51C_56AE_4F9F_8D8A_36AD6137B90D_.wvu.Cols" localSheetId="2" hidden="1">#REF!</definedName>
    <definedName name="Z_E738B51C_56AE_4F9F_8D8A_36AD6137B90D_.wvu.Cols" hidden="1">#REF!</definedName>
    <definedName name="Z_E738B51C_56AE_4F9F_8D8A_36AD6137B90D_.wvu.PrintArea" hidden="1">#REF!</definedName>
    <definedName name="Z_E738B51C_56AE_4F9F_8D8A_36AD6137B90D_.wvu.PrintTitles" localSheetId="3" hidden="1">#REF!,#REF!</definedName>
    <definedName name="Z_E738B51C_56AE_4F9F_8D8A_36AD6137B90D_.wvu.PrintTitles" localSheetId="1" hidden="1">'K.00 Lead Sheet'!#REF!,'K.00 Lead Sheet'!#REF!</definedName>
    <definedName name="Z_E738B51C_56AE_4F9F_8D8A_36AD6137B90D_.wvu.PrintTitles" localSheetId="2" hidden="1">#REF!,#REF!</definedName>
    <definedName name="Z_E738B51C_56AE_4F9F_8D8A_36AD6137B90D_.wvu.PrintTitles" hidden="1">#REF!,#REF!</definedName>
    <definedName name="Z_E738B51C_56AE_4F9F_8D8A_36AD6137B90D_.wvu.Rows" localSheetId="3" hidden="1">#REF!</definedName>
    <definedName name="Z_E738B51C_56AE_4F9F_8D8A_36AD6137B90D_.wvu.Rows" localSheetId="1" hidden="1">'K.00 Lead Sheet'!#REF!</definedName>
    <definedName name="Z_E738B51C_56AE_4F9F_8D8A_36AD6137B90D_.wvu.Rows" localSheetId="2" hidden="1">#REF!</definedName>
    <definedName name="Z_E738B51C_56AE_4F9F_8D8A_36AD6137B90D_.wvu.Rows" hidden="1">#REF!</definedName>
    <definedName name="zdry" localSheetId="11" hidden="1">{#N/A,#N/A,FALSE,"资产负债表";#N/A,#N/A,FALSE,"资产负债表"}</definedName>
    <definedName name="zdry" localSheetId="13" hidden="1">{#N/A,#N/A,FALSE,"资产负债表";#N/A,#N/A,FALSE,"资产负债表"}</definedName>
    <definedName name="zdry" hidden="1">{#N/A,#N/A,FALSE,"资产负债表";#N/A,#N/A,FALSE,"资产负债表"}</definedName>
    <definedName name="zerey" localSheetId="11" hidden="1">{#N/A,#N/A,FALSE,"资产负债表";#N/A,#N/A,FALSE,"资产负债表"}</definedName>
    <definedName name="zerey" localSheetId="13" hidden="1">{#N/A,#N/A,FALSE,"资产负债表";#N/A,#N/A,FALSE,"资产负债表"}</definedName>
    <definedName name="zerey" hidden="1">{#N/A,#N/A,FALSE,"资产负债表";#N/A,#N/A,FALSE,"资产负债表"}</definedName>
    <definedName name="zxc" localSheetId="13" hidden="1">{#N/A,#N/A,FALSE,"OffAdvance";#N/A,#N/A,FALSE,"OffExpRprt";#N/A,#N/A,FALSE,"Travelling";#N/A,#N/A,FALSE,"Entertmnt";#N/A,#N/A,FALSE,"Promotion"}</definedName>
    <definedName name="zxc" hidden="1">{#N/A,#N/A,FALSE,"OffAdvance";#N/A,#N/A,FALSE,"OffExpRprt";#N/A,#N/A,FALSE,"Travelling";#N/A,#N/A,FALSE,"Entertmnt";#N/A,#N/A,FALSE,"Promotion"}</definedName>
    <definedName name="ZZZZZZZZZZZZZ" hidden="1">#REF!</definedName>
    <definedName name="啊" localSheetId="11" hidden="1">{#N/A,#N/A,FALSE,"970301";#N/A,#N/A,FALSE,"970302";#N/A,#N/A,FALSE,"970303";#N/A,#N/A,FALSE,"970304";#N/A,#N/A,FALSE,"COM1";#N/A,#N/A,FALSE,"COM2"}</definedName>
    <definedName name="啊" localSheetId="13" hidden="1">{#N/A,#N/A,FALSE,"970301";#N/A,#N/A,FALSE,"970302";#N/A,#N/A,FALSE,"970303";#N/A,#N/A,FALSE,"970304";#N/A,#N/A,FALSE,"COM1";#N/A,#N/A,FALSE,"COM2"}</definedName>
    <definedName name="啊" hidden="1">{#N/A,#N/A,FALSE,"970301";#N/A,#N/A,FALSE,"970302";#N/A,#N/A,FALSE,"970303";#N/A,#N/A,FALSE,"970304";#N/A,#N/A,FALSE,"COM1";#N/A,#N/A,FALSE,"COM2"}</definedName>
    <definedName name="把" localSheetId="13" hidden="1">{#N/A,#N/A,FALSE,"Virgin Flightdeck"}</definedName>
    <definedName name="把" hidden="1">{#N/A,#N/A,FALSE,"Virgin Flightdeck"}</definedName>
    <definedName name="备用" localSheetId="11" hidden="1">{#N/A,#N/A,FALSE,"OffAdvance";#N/A,#N/A,FALSE,"OffExpRprt";#N/A,#N/A,FALSE,"Entertmnt";#N/A,#N/A,FALSE,"Promotion";#N/A,#N/A,FALSE,"Travelling"}</definedName>
    <definedName name="备用" localSheetId="13" hidden="1">{#N/A,#N/A,FALSE,"OffAdvance";#N/A,#N/A,FALSE,"OffExpRprt";#N/A,#N/A,FALSE,"Entertmnt";#N/A,#N/A,FALSE,"Promotion";#N/A,#N/A,FALSE,"Travelling"}</definedName>
    <definedName name="备用" hidden="1">{#N/A,#N/A,FALSE,"OffAdvance";#N/A,#N/A,FALSE,"OffExpRprt";#N/A,#N/A,FALSE,"Entertmnt";#N/A,#N/A,FALSE,"Promotion";#N/A,#N/A,FALSE,"Travelling"}</definedName>
    <definedName name="本循环科目" hidden="1">#REF!</definedName>
    <definedName name="借款" localSheetId="11" hidden="1">{#N/A,#N/A,FALSE,"970301";#N/A,#N/A,FALSE,"970302";#N/A,#N/A,FALSE,"970303";#N/A,#N/A,FALSE,"970304";#N/A,#N/A,FALSE,"COM1";#N/A,#N/A,FALSE,"COM2"}</definedName>
    <definedName name="借款" localSheetId="13" hidden="1">{#N/A,#N/A,FALSE,"970301";#N/A,#N/A,FALSE,"970302";#N/A,#N/A,FALSE,"970303";#N/A,#N/A,FALSE,"970304";#N/A,#N/A,FALSE,"COM1";#N/A,#N/A,FALSE,"COM2"}</definedName>
    <definedName name="借款" hidden="1">{#N/A,#N/A,FALSE,"970301";#N/A,#N/A,FALSE,"970302";#N/A,#N/A,FALSE,"970303";#N/A,#N/A,FALSE,"970304";#N/A,#N/A,FALSE,"COM1";#N/A,#N/A,FALSE,"COM2"}</definedName>
    <definedName name="苛" localSheetId="3" hidden="1">{"M1sPrint",#N/A,FALSE,"M1s"}</definedName>
    <definedName name="苛" localSheetId="1" hidden="1">{"M1sPrint",#N/A,FALSE,"M1s"}</definedName>
    <definedName name="苛" localSheetId="2" hidden="1">{"M1sPrint",#N/A,FALSE,"M1s"}</definedName>
    <definedName name="苛" localSheetId="11" hidden="1">{"M1sPrint",#N/A,FALSE,"M1s"}</definedName>
    <definedName name="苛" localSheetId="13" hidden="1">{"M1sPrint",#N/A,FALSE,"M1s"}</definedName>
    <definedName name="苛" localSheetId="10" hidden="1">{"M1sPrint",#N/A,FALSE,"M1s"}</definedName>
    <definedName name="苛" localSheetId="6" hidden="1">{"M1sPrint",#N/A,FALSE,"M1s"}</definedName>
    <definedName name="苛" hidden="1">{"M1sPrint",#N/A,FALSE,"M1s"}</definedName>
    <definedName name="试验" localSheetId="11" hidden="1">{#N/A,#N/A,FALSE,"OffAdvance";#N/A,#N/A,FALSE,"OffExpRprt";#N/A,#N/A,FALSE,"Travelling";#N/A,#N/A,FALSE,"Entertmnt";#N/A,#N/A,FALSE,"Promotion"}</definedName>
    <definedName name="试验" localSheetId="13" hidden="1">{#N/A,#N/A,FALSE,"OffAdvance";#N/A,#N/A,FALSE,"OffExpRprt";#N/A,#N/A,FALSE,"Travelling";#N/A,#N/A,FALSE,"Entertmnt";#N/A,#N/A,FALSE,"Promotion"}</definedName>
    <definedName name="试验" hidden="1">{#N/A,#N/A,FALSE,"OffAdvance";#N/A,#N/A,FALSE,"OffExpRprt";#N/A,#N/A,FALSE,"Travelling";#N/A,#N/A,FALSE,"Entertmnt";#N/A,#N/A,FALSE,"Promotion"}</definedName>
    <definedName name="已05" localSheetId="11" hidden="1">{"M1Print",#N/A,TRUE,"M1";"M2Print",#N/A,TRUE,"M2";"M1sPrint",#N/A,TRUE,"M1s";"M2aPrint",#N/A,TRUE,"M2a";"M4Print",#N/A,TRUE,"M4";"M5Print",#N/A,TRUE,"M5";"M6Print",#N/A,TRUE,"M6";"M6_1Print",#N/A,TRUE,"M6_1";"M6_2Print",#N/A,TRUE,"M6_2";"M7_1Print",#N/A,TRUE,"M7_1";"M7_2Print",#N/A,TRUE,"M7_2"}</definedName>
    <definedName name="已05" localSheetId="13" hidden="1">{"M1Print",#N/A,TRUE,"M1";"M2Print",#N/A,TRUE,"M2";"M1sPrint",#N/A,TRUE,"M1s";"M2aPrint",#N/A,TRUE,"M2a";"M4Print",#N/A,TRUE,"M4";"M5Print",#N/A,TRUE,"M5";"M6Print",#N/A,TRUE,"M6";"M6_1Print",#N/A,TRUE,"M6_1";"M6_2Print",#N/A,TRUE,"M6_2";"M7_1Print",#N/A,TRUE,"M7_1";"M7_2Print",#N/A,TRUE,"M7_2"}</definedName>
    <definedName name="已05" hidden="1">{"M1Print",#N/A,TRUE,"M1";"M2Print",#N/A,TRUE,"M2";"M1sPrint",#N/A,TRUE,"M1s";"M2aPrint",#N/A,TRUE,"M2a";"M4Print",#N/A,TRUE,"M4";"M5Print",#N/A,TRUE,"M5";"M6Print",#N/A,TRUE,"M6";"M6_1Print",#N/A,TRUE,"M6_1";"M6_2Print",#N/A,TRUE,"M6_2";"M7_1Print",#N/A,TRUE,"M7_1";"M7_2Print",#N/A,TRUE,"M7_2"}</definedName>
    <definedName name="应手款" localSheetId="11" hidden="1">{#N/A,#N/A,FALSE,"970301";#N/A,#N/A,FALSE,"970302";#N/A,#N/A,FALSE,"970303";#N/A,#N/A,FALSE,"970304";#N/A,#N/A,FALSE,"COM1";#N/A,#N/A,FALSE,"COM2"}</definedName>
    <definedName name="应手款" localSheetId="13" hidden="1">{#N/A,#N/A,FALSE,"970301";#N/A,#N/A,FALSE,"970302";#N/A,#N/A,FALSE,"970303";#N/A,#N/A,FALSE,"970304";#N/A,#N/A,FALSE,"COM1";#N/A,#N/A,FALSE,"COM2"}</definedName>
    <definedName name="应手款" hidden="1">{#N/A,#N/A,FALSE,"970301";#N/A,#N/A,FALSE,"970302";#N/A,#N/A,FALSE,"970303";#N/A,#N/A,FALSE,"970304";#N/A,#N/A,FALSE,"COM1";#N/A,#N/A,FALSE,"COM2"}</definedName>
    <definedName name="应手款1月" localSheetId="11" hidden="1">{#N/A,#N/A,FALSE,"Marketing";#N/A,#N/A,FALSE,"Selling";#N/A,#N/A,FALSE,"Promotional";#N/A,#N/A,FALSE,"Advertising"}</definedName>
    <definedName name="应手款1月" localSheetId="13" hidden="1">{#N/A,#N/A,FALSE,"Marketing";#N/A,#N/A,FALSE,"Selling";#N/A,#N/A,FALSE,"Promotional";#N/A,#N/A,FALSE,"Advertising"}</definedName>
    <definedName name="应手款1月" hidden="1">{#N/A,#N/A,FALSE,"Marketing";#N/A,#N/A,FALSE,"Selling";#N/A,#N/A,FALSE,"Promotional";#N/A,#N/A,FALSE,"Advertising"}</definedName>
    <definedName name="최재호"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<sst xmlns="http://schemas.openxmlformats.org/spreadsheetml/2006/main" count="591" uniqueCount="411">
  <si>
    <t>V6 SWP</t>
  </si>
  <si>
    <r>
      <rPr>
        <b/>
        <sz val="14"/>
        <color rgb="FF000000"/>
        <rFont val="微软雅黑"/>
        <charset val="134"/>
      </rPr>
      <t>该科目涉及</t>
    </r>
    <r>
      <rPr>
        <b/>
        <sz val="14"/>
        <color rgb="FF000000"/>
        <rFont val="Arial"/>
        <charset val="134"/>
      </rPr>
      <t>OSP</t>
    </r>
    <r>
      <rPr>
        <b/>
        <sz val="14"/>
        <color rgb="FF000000"/>
        <rFont val="微软雅黑"/>
        <charset val="134"/>
      </rPr>
      <t>底稿可参考此链接</t>
    </r>
  </si>
  <si>
    <t>OSP K1 SWP 固定资产及在建工程盘点 202YMMDD XYZ公司.xlsx</t>
  </si>
  <si>
    <t>OSP K1 SWP 固定资产权属检查 202YMMDD XYZ公司.xlsx</t>
  </si>
  <si>
    <t>K.00</t>
  </si>
  <si>
    <t>K.00 Lead Sheet</t>
  </si>
  <si>
    <r>
      <rPr>
        <b/>
        <sz val="10"/>
        <rFont val="微软雅黑"/>
        <charset val="134"/>
      </rPr>
      <t>程序页</t>
    </r>
  </si>
  <si>
    <r>
      <rPr>
        <b/>
        <sz val="10"/>
        <rFont val="微软雅黑"/>
        <charset val="134"/>
      </rPr>
      <t>执行</t>
    </r>
  </si>
  <si>
    <r>
      <rPr>
        <b/>
        <sz val="10"/>
        <rFont val="微软雅黑"/>
        <charset val="134"/>
      </rPr>
      <t>不执行的原因</t>
    </r>
  </si>
  <si>
    <r>
      <rPr>
        <b/>
        <sz val="10"/>
        <rFont val="微软雅黑"/>
        <charset val="134"/>
      </rPr>
      <t>注意事项</t>
    </r>
  </si>
  <si>
    <r>
      <rPr>
        <sz val="10"/>
        <color theme="1"/>
        <rFont val="微软雅黑"/>
        <charset val="134"/>
      </rPr>
      <t>获取和编制固定资产两期变动的引导表，并与试算平衡表和上年底稿核对一致。对固定资产变动建立预期并说明理由，对不符合预期的变动以及异常变动进行调查和分析。</t>
    </r>
  </si>
  <si>
    <t>K.01</t>
  </si>
  <si>
    <r>
      <rPr>
        <b/>
        <sz val="10"/>
        <rFont val="Arial"/>
        <charset val="134"/>
      </rPr>
      <t>K.01 Agree SL to GL</t>
    </r>
    <r>
      <rPr>
        <b/>
        <sz val="10"/>
        <rFont val="微软雅黑"/>
        <charset val="134"/>
      </rPr>
      <t>（认定：</t>
    </r>
    <r>
      <rPr>
        <b/>
        <sz val="10"/>
        <rFont val="Arial"/>
        <charset val="134"/>
      </rPr>
      <t>IS</t>
    </r>
    <r>
      <rPr>
        <b/>
        <sz val="10"/>
        <rFont val="微软雅黑"/>
        <charset val="134"/>
      </rPr>
      <t>：</t>
    </r>
    <r>
      <rPr>
        <b/>
        <sz val="10"/>
        <rFont val="Arial"/>
        <charset val="134"/>
      </rPr>
      <t>E</t>
    </r>
    <r>
      <rPr>
        <b/>
        <sz val="10"/>
        <rFont val="微软雅黑"/>
        <charset val="134"/>
      </rPr>
      <t>、</t>
    </r>
    <r>
      <rPr>
        <b/>
        <sz val="10"/>
        <rFont val="Arial"/>
        <charset val="134"/>
      </rPr>
      <t>V</t>
    </r>
    <r>
      <rPr>
        <b/>
        <sz val="10"/>
        <rFont val="微软雅黑"/>
        <charset val="134"/>
      </rPr>
      <t>、</t>
    </r>
    <r>
      <rPr>
        <b/>
        <sz val="10"/>
        <rFont val="Arial"/>
        <charset val="134"/>
      </rPr>
      <t>C</t>
    </r>
    <r>
      <rPr>
        <b/>
        <sz val="10"/>
        <rFont val="微软雅黑"/>
        <charset val="134"/>
      </rPr>
      <t>、</t>
    </r>
    <r>
      <rPr>
        <b/>
        <sz val="10"/>
        <rFont val="Arial"/>
        <charset val="134"/>
      </rPr>
      <t>M</t>
    </r>
    <r>
      <rPr>
        <b/>
        <sz val="10"/>
        <rFont val="微软雅黑"/>
        <charset val="134"/>
      </rPr>
      <t>）</t>
    </r>
  </si>
  <si>
    <r>
      <rPr>
        <sz val="10"/>
        <color theme="1"/>
        <rFont val="微软雅黑"/>
        <charset val="134"/>
      </rPr>
      <t>获取固定资产后推明细表，并将其与试算平衡表和固定资产清单核对一致。</t>
    </r>
  </si>
  <si>
    <t>K.01 Agree SL to GL</t>
  </si>
  <si>
    <t>K.02</t>
  </si>
  <si>
    <r>
      <rPr>
        <b/>
        <sz val="10"/>
        <color rgb="FF000000"/>
        <rFont val="Arial"/>
        <charset val="134"/>
      </rPr>
      <t xml:space="preserve">K.02.1 </t>
    </r>
    <r>
      <rPr>
        <b/>
        <sz val="10"/>
        <color rgb="FF000000"/>
        <rFont val="微软雅黑"/>
        <charset val="134"/>
      </rPr>
      <t>新增测试</t>
    </r>
    <r>
      <rPr>
        <b/>
        <sz val="10"/>
        <color rgb="FF000000"/>
        <rFont val="Microsoft YaHei"/>
        <charset val="134"/>
      </rPr>
      <t>（认定：</t>
    </r>
    <r>
      <rPr>
        <b/>
        <sz val="10"/>
        <color rgb="FF000000"/>
        <rFont val="Arial"/>
        <charset val="134"/>
      </rPr>
      <t>E</t>
    </r>
    <r>
      <rPr>
        <b/>
        <sz val="10"/>
        <color rgb="FF000000"/>
        <rFont val="Microsoft YaHei"/>
        <charset val="134"/>
      </rPr>
      <t>、</t>
    </r>
    <r>
      <rPr>
        <b/>
        <sz val="10"/>
        <color rgb="FF000000"/>
        <rFont val="Arial"/>
        <charset val="134"/>
      </rPr>
      <t>V</t>
    </r>
    <r>
      <rPr>
        <b/>
        <sz val="10"/>
        <color rgb="FF000000"/>
        <rFont val="Microsoft YaHei"/>
        <charset val="134"/>
      </rPr>
      <t>、</t>
    </r>
    <r>
      <rPr>
        <b/>
        <sz val="10"/>
        <color rgb="FF000000"/>
        <rFont val="Arial"/>
        <charset val="134"/>
      </rPr>
      <t>C</t>
    </r>
    <r>
      <rPr>
        <b/>
        <sz val="10"/>
        <color rgb="FF000000"/>
        <rFont val="Microsoft YaHei"/>
        <charset val="134"/>
      </rPr>
      <t>、</t>
    </r>
    <r>
      <rPr>
        <b/>
        <sz val="10"/>
        <color rgb="FF000000"/>
        <rFont val="Arial"/>
        <charset val="134"/>
      </rPr>
      <t>P&amp;D</t>
    </r>
    <r>
      <rPr>
        <b/>
        <sz val="10"/>
        <color rgb="FF000000"/>
        <rFont val="Microsoft YaHei"/>
        <charset val="134"/>
      </rPr>
      <t>）</t>
    </r>
  </si>
  <si>
    <r>
      <rPr>
        <sz val="10"/>
        <color theme="1"/>
        <rFont val="微软雅黑"/>
        <charset val="134"/>
      </rPr>
      <t>获取当期按类别划分的所有固定资产新增清单，并将该清单与固定资产后推核对一致，调查超过</t>
    </r>
    <r>
      <rPr>
        <sz val="10"/>
        <color theme="1"/>
        <rFont val="Arial"/>
        <charset val="134"/>
      </rPr>
      <t>SAD</t>
    </r>
    <r>
      <rPr>
        <sz val="10"/>
        <color theme="1"/>
        <rFont val="微软雅黑"/>
        <charset val="134"/>
      </rPr>
      <t>名义金额的差额。</t>
    </r>
  </si>
  <si>
    <r>
      <rPr>
        <b/>
        <u/>
        <sz val="10"/>
        <color theme="4"/>
        <rFont val="微软雅黑"/>
        <charset val="134"/>
      </rPr>
      <t>新增清单</t>
    </r>
  </si>
  <si>
    <r>
      <rPr>
        <sz val="10"/>
        <color rgb="FF000000"/>
        <rFont val="微软雅黑"/>
        <charset val="134"/>
      </rPr>
      <t>若在建工程为不重大账户未开底稿，则项目组需要在</t>
    </r>
    <r>
      <rPr>
        <sz val="10"/>
        <color rgb="FF000000"/>
        <rFont val="Arial"/>
        <charset val="134"/>
      </rPr>
      <t>K1 SWP</t>
    </r>
    <r>
      <rPr>
        <sz val="10"/>
        <color rgb="FF000000"/>
        <rFont val="微软雅黑"/>
        <charset val="134"/>
      </rPr>
      <t>中核对在建工程转入与转出金额是否一致，并按照</t>
    </r>
    <r>
      <rPr>
        <sz val="10"/>
        <color rgb="FF000000"/>
        <rFont val="Arial"/>
        <charset val="134"/>
      </rPr>
      <t>&lt;J.02.2 CIP transfer (ToD)&gt;</t>
    </r>
    <r>
      <rPr>
        <sz val="10"/>
        <color rgb="FF000000"/>
        <rFont val="Microsoft YaHei"/>
        <charset val="134"/>
      </rPr>
      <t>的测试属性执行该程序</t>
    </r>
    <r>
      <rPr>
        <sz val="10"/>
        <color rgb="FF000000"/>
        <rFont val="微软雅黑"/>
        <charset val="134"/>
      </rPr>
      <t>。</t>
    </r>
  </si>
  <si>
    <r>
      <rPr>
        <sz val="10"/>
        <color theme="1"/>
        <rFont val="微软雅黑"/>
        <charset val="134"/>
      </rPr>
      <t>对本年新增资产执行关键性样本测试和代表性样本测试（如需要）。</t>
    </r>
  </si>
  <si>
    <r>
      <rPr>
        <b/>
        <u/>
        <sz val="10"/>
        <color theme="4"/>
        <rFont val="Arial"/>
        <charset val="134"/>
      </rPr>
      <t xml:space="preserve">K.02.1 </t>
    </r>
    <r>
      <rPr>
        <b/>
        <u/>
        <sz val="10"/>
        <color theme="4"/>
        <rFont val="微软雅黑"/>
        <charset val="134"/>
      </rPr>
      <t>新增测试</t>
    </r>
  </si>
  <si>
    <t>K.02.1a 新增选样输出</t>
  </si>
  <si>
    <r>
      <rPr>
        <b/>
        <sz val="10"/>
        <color rgb="FF000000"/>
        <rFont val="Arial"/>
        <charset val="134"/>
      </rPr>
      <t xml:space="preserve">K.02.2 </t>
    </r>
    <r>
      <rPr>
        <b/>
        <sz val="10"/>
        <color rgb="FF000000"/>
        <rFont val="微软雅黑"/>
        <charset val="134"/>
      </rPr>
      <t>处置测试（认定：E、V、R&amp;O）</t>
    </r>
  </si>
  <si>
    <r>
      <rPr>
        <sz val="10"/>
        <color theme="1"/>
        <rFont val="微软雅黑"/>
        <charset val="134"/>
      </rPr>
      <t>获取当期按类别划分的所有固定资产处置清单，包括记录的处置的损益，并将该清单与固定资产后推核对一致，我们调查超过</t>
    </r>
    <r>
      <rPr>
        <sz val="10"/>
        <color theme="1"/>
        <rFont val="Arial"/>
        <charset val="134"/>
      </rPr>
      <t>SAD</t>
    </r>
    <r>
      <rPr>
        <sz val="10"/>
        <color theme="1"/>
        <rFont val="微软雅黑"/>
        <charset val="134"/>
      </rPr>
      <t>名义金额的差额。</t>
    </r>
  </si>
  <si>
    <r>
      <rPr>
        <b/>
        <u/>
        <sz val="10"/>
        <color theme="4"/>
        <rFont val="微软雅黑"/>
        <charset val="134"/>
      </rPr>
      <t>处置清单</t>
    </r>
  </si>
  <si>
    <t>对本年处置资产执行关键性样本测试和代表性样本测试（如需要）。</t>
  </si>
  <si>
    <r>
      <rPr>
        <b/>
        <u/>
        <sz val="10"/>
        <color theme="4"/>
        <rFont val="Arial"/>
        <charset val="134"/>
      </rPr>
      <t xml:space="preserve">K.02.2 </t>
    </r>
    <r>
      <rPr>
        <b/>
        <u/>
        <sz val="11"/>
        <color theme="4"/>
        <rFont val="微软雅黑"/>
        <charset val="134"/>
      </rPr>
      <t>处置测试</t>
    </r>
  </si>
  <si>
    <t>K.02.2a 处置选样输出</t>
  </si>
  <si>
    <t>K.03</t>
  </si>
  <si>
    <r>
      <rPr>
        <b/>
        <sz val="10"/>
        <rFont val="Arial"/>
        <charset val="134"/>
      </rPr>
      <t xml:space="preserve">K.03 </t>
    </r>
    <r>
      <rPr>
        <b/>
        <sz val="10"/>
        <rFont val="微软雅黑"/>
        <charset val="134"/>
      </rPr>
      <t>折旧测试（认定：</t>
    </r>
    <r>
      <rPr>
        <b/>
        <sz val="10"/>
        <rFont val="Arial"/>
        <charset val="134"/>
      </rPr>
      <t>IS:V</t>
    </r>
    <r>
      <rPr>
        <b/>
        <sz val="10"/>
        <rFont val="微软雅黑"/>
        <charset val="134"/>
      </rPr>
      <t>、</t>
    </r>
    <r>
      <rPr>
        <b/>
        <sz val="10"/>
        <rFont val="Arial"/>
        <charset val="134"/>
      </rPr>
      <t>O</t>
    </r>
    <r>
      <rPr>
        <b/>
        <sz val="10"/>
        <rFont val="微软雅黑"/>
        <charset val="134"/>
      </rPr>
      <t>、</t>
    </r>
    <r>
      <rPr>
        <b/>
        <sz val="10"/>
        <rFont val="Arial"/>
        <charset val="134"/>
      </rPr>
      <t>M</t>
    </r>
    <r>
      <rPr>
        <b/>
        <sz val="10"/>
        <rFont val="微软雅黑"/>
        <charset val="134"/>
      </rPr>
      <t>、</t>
    </r>
    <r>
      <rPr>
        <b/>
        <sz val="10"/>
        <rFont val="Arial"/>
        <charset val="134"/>
      </rPr>
      <t>P&amp;D</t>
    </r>
    <r>
      <rPr>
        <b/>
        <sz val="10"/>
        <rFont val="微软雅黑"/>
        <charset val="134"/>
      </rPr>
      <t>）</t>
    </r>
  </si>
  <si>
    <r>
      <rPr>
        <sz val="10"/>
        <color rgb="FF000000"/>
        <rFont val="微软雅黑"/>
        <charset val="134"/>
      </rPr>
      <t>执行实质性分析程序</t>
    </r>
    <r>
      <rPr>
        <sz val="10"/>
        <color rgb="FF000000"/>
        <rFont val="Arial"/>
        <charset val="134"/>
      </rPr>
      <t>(SAP)</t>
    </r>
    <r>
      <rPr>
        <sz val="10"/>
        <color rgb="FF000000"/>
        <rFont val="微软雅黑"/>
        <charset val="134"/>
      </rPr>
      <t>测试折旧费用，可参考264 GL 或K.03.1 SAP模板执行。如不执行，可直接执行K.03.2 折旧测试TOD。</t>
    </r>
  </si>
  <si>
    <t>K.03.1 SAP</t>
  </si>
  <si>
    <t>如选择执行详细测试，可使用该底稿记录。</t>
  </si>
  <si>
    <r>
      <rPr>
        <b/>
        <u/>
        <sz val="10"/>
        <color theme="4"/>
        <rFont val="Arial"/>
        <charset val="134"/>
      </rPr>
      <t xml:space="preserve">K.03.2 </t>
    </r>
    <r>
      <rPr>
        <b/>
        <u/>
        <sz val="10"/>
        <color theme="4"/>
        <rFont val="微软雅黑"/>
        <charset val="134"/>
      </rPr>
      <t>折旧测试</t>
    </r>
    <r>
      <rPr>
        <b/>
        <u/>
        <sz val="10"/>
        <color theme="4"/>
        <rFont val="Arial"/>
        <charset val="134"/>
      </rPr>
      <t>TOD</t>
    </r>
  </si>
  <si>
    <t>检查固定资产各项目的折旧政策是否符合有关规定，是否与上期一致，评价其合理性。若改变折旧政策，检查其依据是否充分。</t>
  </si>
  <si>
    <r>
      <rPr>
        <b/>
        <u/>
        <sz val="10"/>
        <color theme="4"/>
        <rFont val="Arial"/>
        <charset val="134"/>
      </rPr>
      <t xml:space="preserve">K.03.3 </t>
    </r>
    <r>
      <rPr>
        <b/>
        <u/>
        <sz val="10"/>
        <color theme="4"/>
        <rFont val="微软雅黑"/>
        <charset val="134"/>
      </rPr>
      <t>折旧政策复核</t>
    </r>
  </si>
  <si>
    <t>K.04</t>
  </si>
  <si>
    <r>
      <rPr>
        <b/>
        <sz val="10"/>
        <color rgb="FF000000"/>
        <rFont val="Arial"/>
        <charset val="134"/>
      </rPr>
      <t>K.04 固定资产的减值</t>
    </r>
    <r>
      <rPr>
        <b/>
        <sz val="10"/>
        <color rgb="FF000000"/>
        <rFont val="Microsoft YaHei"/>
        <charset val="134"/>
      </rPr>
      <t>（认定：BS：</t>
    </r>
    <r>
      <rPr>
        <b/>
        <sz val="10"/>
        <color rgb="FF000000"/>
        <rFont val="Arial"/>
        <charset val="134"/>
      </rPr>
      <t>V  IS：M</t>
    </r>
    <r>
      <rPr>
        <b/>
        <sz val="10"/>
        <color rgb="FF000000"/>
        <rFont val="Microsoft YaHei"/>
        <charset val="134"/>
      </rPr>
      <t>）</t>
    </r>
  </si>
  <si>
    <t>1.使用在审计过程中所获得的信息来确定管理层是否已识别适当的减值迹象；可使用PSP Canvas form K.04：识别减值迹象，也可使用 &lt;SWP减值迹象识别&gt; 对减值迹象进行评估，并根据指引要求获取相关支持性文件。
2.如有减值迹象的，评价管理层假设、未来现金流等减值评估的合理性，核实并测算减值金额。
3.检查是否存在转回固定资产减值准备的情况，确定减值准备在以后会计期间没有转回。</t>
  </si>
  <si>
    <t>项目组自行填写底稿索引</t>
  </si>
  <si>
    <r>
      <rPr>
        <b/>
        <sz val="14"/>
        <color rgb="FFFFFFFF"/>
        <rFont val="微软雅黑"/>
        <charset val="134"/>
      </rPr>
      <t xml:space="preserve">                                                                                                                             标准工作底稿</t>
    </r>
    <r>
      <rPr>
        <b/>
        <sz val="14"/>
        <color rgb="FFFFFFFF"/>
        <rFont val="Arial"/>
        <charset val="134"/>
      </rPr>
      <t xml:space="preserve">: K1 SWP </t>
    </r>
    <r>
      <rPr>
        <b/>
        <sz val="14"/>
        <color rgb="FFFFFFFF"/>
        <rFont val="微软雅黑"/>
        <charset val="134"/>
      </rPr>
      <t>不动产、厂房和设备及相关账户（</t>
    </r>
    <r>
      <rPr>
        <b/>
        <sz val="14"/>
        <color rgb="FFFFFFFF"/>
        <rFont val="Arial"/>
        <charset val="134"/>
      </rPr>
      <t>PPE</t>
    </r>
    <r>
      <rPr>
        <b/>
        <sz val="14"/>
        <color rgb="FFFFFFFF"/>
        <rFont val="微软雅黑"/>
        <charset val="134"/>
      </rPr>
      <t>）</t>
    </r>
  </si>
  <si>
    <r>
      <rPr>
        <b/>
        <sz val="12"/>
        <rFont val="微软雅黑"/>
        <charset val="134"/>
      </rPr>
      <t>客户名称</t>
    </r>
  </si>
  <si>
    <r>
      <rPr>
        <b/>
        <sz val="12"/>
        <color rgb="FF000000"/>
        <rFont val="微软雅黑"/>
        <charset val="134"/>
      </rPr>
      <t>此工作底稿需要与以下</t>
    </r>
    <r>
      <rPr>
        <b/>
        <sz val="12"/>
        <color rgb="FF000000"/>
        <rFont val="Arial"/>
        <charset val="134"/>
      </rPr>
      <t xml:space="preserve"> Canvas PSP guided workflow forms</t>
    </r>
    <r>
      <rPr>
        <b/>
        <sz val="12"/>
        <color rgb="FF000000"/>
        <rFont val="微软雅黑"/>
        <charset val="134"/>
      </rPr>
      <t xml:space="preserve">一起使用：
</t>
    </r>
    <r>
      <rPr>
        <b/>
        <sz val="12"/>
        <color rgb="FF000000"/>
        <rFont val="Arial"/>
        <charset val="134"/>
      </rPr>
      <t>•K.00 PPE</t>
    </r>
    <r>
      <rPr>
        <b/>
        <sz val="12"/>
        <color rgb="FF000000"/>
        <rFont val="微软雅黑"/>
        <charset val="134"/>
      </rPr>
      <t xml:space="preserve">引导表
</t>
    </r>
    <r>
      <rPr>
        <b/>
        <sz val="12"/>
        <color rgb="FF000000"/>
        <rFont val="Arial"/>
        <charset val="134"/>
      </rPr>
      <t xml:space="preserve">•K.01 </t>
    </r>
    <r>
      <rPr>
        <b/>
        <sz val="12"/>
        <color rgb="FF000000"/>
        <rFont val="微软雅黑"/>
        <charset val="134"/>
      </rPr>
      <t xml:space="preserve">将明细账与总账核对一致
</t>
    </r>
    <r>
      <rPr>
        <b/>
        <sz val="12"/>
        <color rgb="FF000000"/>
        <rFont val="Arial"/>
        <charset val="134"/>
      </rPr>
      <t xml:space="preserve">•K.02 </t>
    </r>
    <r>
      <rPr>
        <b/>
        <sz val="12"/>
        <color rgb="FF000000"/>
        <rFont val="微软雅黑"/>
        <charset val="134"/>
      </rPr>
      <t xml:space="preserve">增加和处置
</t>
    </r>
    <r>
      <rPr>
        <b/>
        <sz val="12"/>
        <color rgb="FF000000"/>
        <rFont val="Arial"/>
        <charset val="134"/>
      </rPr>
      <t xml:space="preserve">•K.03 </t>
    </r>
    <r>
      <rPr>
        <b/>
        <sz val="12"/>
        <color rgb="FF000000"/>
        <rFont val="微软雅黑"/>
        <charset val="134"/>
      </rPr>
      <t xml:space="preserve">折旧、损耗和摊销
</t>
    </r>
    <r>
      <rPr>
        <b/>
        <sz val="12"/>
        <color rgb="FF000000"/>
        <rFont val="Arial"/>
        <charset val="134"/>
      </rPr>
      <t xml:space="preserve">•K.04 </t>
    </r>
    <r>
      <rPr>
        <b/>
        <sz val="12"/>
        <color rgb="FF000000"/>
        <rFont val="微软雅黑"/>
        <charset val="134"/>
      </rPr>
      <t xml:space="preserve">固定资产减值
</t>
    </r>
    <r>
      <rPr>
        <b/>
        <sz val="12"/>
        <color rgb="FF000000"/>
        <rFont val="Arial"/>
        <charset val="134"/>
      </rPr>
      <t>•</t>
    </r>
    <r>
      <rPr>
        <b/>
        <sz val="12"/>
        <color rgb="FF000000"/>
        <rFont val="微软雅黑"/>
        <charset val="134"/>
      </rPr>
      <t>账户结论</t>
    </r>
  </si>
  <si>
    <r>
      <rPr>
        <b/>
        <sz val="12"/>
        <rFont val="微软雅黑"/>
        <charset val="134"/>
      </rPr>
      <t>期末</t>
    </r>
  </si>
  <si>
    <r>
      <rPr>
        <b/>
        <sz val="12"/>
        <rFont val="微软雅黑"/>
        <charset val="134"/>
      </rPr>
      <t>分析日期</t>
    </r>
  </si>
  <si>
    <r>
      <rPr>
        <b/>
        <sz val="12"/>
        <rFont val="微软雅黑"/>
        <charset val="134"/>
      </rPr>
      <t>可容忍误差（</t>
    </r>
    <r>
      <rPr>
        <b/>
        <sz val="12"/>
        <rFont val="Arial"/>
        <charset val="134"/>
      </rPr>
      <t>TE</t>
    </r>
    <r>
      <rPr>
        <b/>
        <sz val="12"/>
        <rFont val="微软雅黑"/>
        <charset val="134"/>
      </rPr>
      <t>）</t>
    </r>
  </si>
  <si>
    <r>
      <rPr>
        <b/>
        <sz val="12"/>
        <rFont val="微软雅黑"/>
        <charset val="134"/>
      </rPr>
      <t>名义金额（</t>
    </r>
    <r>
      <rPr>
        <b/>
        <sz val="12"/>
        <rFont val="Arial"/>
        <charset val="134"/>
      </rPr>
      <t>SAD</t>
    </r>
    <r>
      <rPr>
        <b/>
        <sz val="12"/>
        <rFont val="微软雅黑"/>
        <charset val="134"/>
      </rPr>
      <t>）</t>
    </r>
  </si>
  <si>
    <r>
      <rPr>
        <b/>
        <sz val="12"/>
        <rFont val="微软雅黑"/>
        <charset val="134"/>
      </rPr>
      <t>适用会计准则（</t>
    </r>
    <r>
      <rPr>
        <b/>
        <sz val="12"/>
        <rFont val="Arial"/>
        <charset val="134"/>
      </rPr>
      <t>GAAP</t>
    </r>
    <r>
      <rPr>
        <b/>
        <sz val="12"/>
        <rFont val="微软雅黑"/>
        <charset val="134"/>
      </rPr>
      <t>）</t>
    </r>
  </si>
  <si>
    <r>
      <rPr>
        <b/>
        <sz val="12"/>
        <rFont val="微软雅黑"/>
        <charset val="134"/>
      </rPr>
      <t>记账本位币</t>
    </r>
  </si>
  <si>
    <r>
      <rPr>
        <b/>
        <sz val="12"/>
        <color rgb="FF000000"/>
        <rFont val="Arial"/>
        <charset val="134"/>
      </rPr>
      <t xml:space="preserve">K.00 </t>
    </r>
    <r>
      <rPr>
        <b/>
        <sz val="12"/>
        <color rgb="FF000000"/>
        <rFont val="微软雅黑"/>
        <charset val="134"/>
      </rPr>
      <t>编制引导表并比较余额</t>
    </r>
  </si>
  <si>
    <t>返回汇总页</t>
  </si>
  <si>
    <t>Threshold(s)</t>
  </si>
  <si>
    <r>
      <rPr>
        <b/>
        <sz val="10"/>
        <rFont val="微软雅黑"/>
        <charset val="134"/>
      </rPr>
      <t>安永标记</t>
    </r>
  </si>
  <si>
    <r>
      <rPr>
        <b/>
        <sz val="10"/>
        <rFont val="微软雅黑"/>
        <charset val="134"/>
      </rPr>
      <t>认定</t>
    </r>
  </si>
  <si>
    <t>CRA</t>
  </si>
  <si>
    <r>
      <rPr>
        <b/>
        <sz val="10"/>
        <rFont val="微软雅黑"/>
        <charset val="134"/>
      </rPr>
      <t>各项认定</t>
    </r>
    <r>
      <rPr>
        <b/>
        <vertAlign val="superscript"/>
        <sz val="10"/>
        <color rgb="FFFF0000"/>
        <rFont val="Arial"/>
        <charset val="134"/>
      </rPr>
      <t>1</t>
    </r>
  </si>
  <si>
    <r>
      <rPr>
        <b/>
        <sz val="10"/>
        <rFont val="微软雅黑"/>
        <charset val="134"/>
      </rPr>
      <t>所有相关认定</t>
    </r>
    <r>
      <rPr>
        <b/>
        <sz val="10"/>
        <rFont val="Arial"/>
        <charset val="134"/>
      </rPr>
      <t xml:space="preserve"> </t>
    </r>
    <r>
      <rPr>
        <b/>
        <vertAlign val="superscript"/>
        <sz val="10"/>
        <color rgb="FFFF0000"/>
        <rFont val="Arial"/>
        <charset val="134"/>
      </rPr>
      <t>2</t>
    </r>
  </si>
  <si>
    <t>TB</t>
  </si>
  <si>
    <r>
      <rPr>
        <sz val="10"/>
        <color rgb="FF000000"/>
        <rFont val="微软雅黑"/>
        <charset val="134"/>
      </rPr>
      <t>已与科目余额表核对无误</t>
    </r>
  </si>
  <si>
    <r>
      <rPr>
        <sz val="10"/>
        <color rgb="FF000000"/>
        <rFont val="微软雅黑"/>
        <charset val="134"/>
      </rPr>
      <t>完整性（</t>
    </r>
    <r>
      <rPr>
        <sz val="10"/>
        <color rgb="FF000000"/>
        <rFont val="Arial"/>
        <charset val="134"/>
      </rPr>
      <t>C</t>
    </r>
    <r>
      <rPr>
        <sz val="10"/>
        <color rgb="FF000000"/>
        <rFont val="微软雅黑"/>
        <charset val="134"/>
      </rPr>
      <t>）</t>
    </r>
  </si>
  <si>
    <t>PY</t>
  </si>
  <si>
    <r>
      <rPr>
        <sz val="10"/>
        <color rgb="FF000000"/>
        <rFont val="微软雅黑"/>
        <charset val="134"/>
      </rPr>
      <t>与上年最终审定数核对一致</t>
    </r>
  </si>
  <si>
    <r>
      <rPr>
        <sz val="10"/>
        <color rgb="FF000000"/>
        <rFont val="微软雅黑"/>
        <charset val="134"/>
      </rPr>
      <t>存在性</t>
    </r>
    <r>
      <rPr>
        <sz val="10"/>
        <color rgb="FF000000"/>
        <rFont val="Arial"/>
        <charset val="134"/>
      </rPr>
      <t>/</t>
    </r>
    <r>
      <rPr>
        <sz val="10"/>
        <color rgb="FF000000"/>
        <rFont val="微软雅黑"/>
        <charset val="134"/>
      </rPr>
      <t>发生</t>
    </r>
    <r>
      <rPr>
        <sz val="10"/>
        <color rgb="FF000000"/>
        <rFont val="Arial"/>
        <charset val="134"/>
      </rPr>
      <t xml:space="preserve"> (E/O)</t>
    </r>
  </si>
  <si>
    <t>A3</t>
  </si>
  <si>
    <r>
      <rPr>
        <sz val="10"/>
        <rFont val="微软雅黑"/>
        <charset val="134"/>
      </rPr>
      <t>与未审数、审定数核对一致</t>
    </r>
  </si>
  <si>
    <r>
      <rPr>
        <sz val="10"/>
        <color rgb="FF000000"/>
        <rFont val="微软雅黑"/>
        <charset val="134"/>
      </rPr>
      <t>计价</t>
    </r>
    <r>
      <rPr>
        <sz val="10"/>
        <color rgb="FF000000"/>
        <rFont val="Arial"/>
        <charset val="134"/>
      </rPr>
      <t>/</t>
    </r>
    <r>
      <rPr>
        <sz val="10"/>
        <color rgb="FF000000"/>
        <rFont val="微软雅黑"/>
        <charset val="134"/>
      </rPr>
      <t>计量（</t>
    </r>
    <r>
      <rPr>
        <sz val="10"/>
        <color rgb="FF000000"/>
        <rFont val="Arial"/>
        <charset val="134"/>
      </rPr>
      <t>V/M</t>
    </r>
    <r>
      <rPr>
        <sz val="10"/>
        <color rgb="FF000000"/>
        <rFont val="微软雅黑"/>
        <charset val="134"/>
      </rPr>
      <t>）</t>
    </r>
  </si>
  <si>
    <t>A5</t>
  </si>
  <si>
    <r>
      <rPr>
        <sz val="10"/>
        <rFont val="微软雅黑"/>
        <charset val="134"/>
      </rPr>
      <t>与审计调整核对一致</t>
    </r>
  </si>
  <si>
    <r>
      <rPr>
        <sz val="10"/>
        <color rgb="FF000000"/>
        <rFont val="微软雅黑"/>
        <charset val="134"/>
      </rPr>
      <t>权利和义务（</t>
    </r>
    <r>
      <rPr>
        <sz val="10"/>
        <color rgb="FF000000"/>
        <rFont val="Arial"/>
        <charset val="134"/>
      </rPr>
      <t>R&amp;O</t>
    </r>
    <r>
      <rPr>
        <sz val="10"/>
        <color rgb="FF000000"/>
        <rFont val="微软雅黑"/>
        <charset val="134"/>
      </rPr>
      <t>）</t>
    </r>
  </si>
  <si>
    <t>FS</t>
  </si>
  <si>
    <r>
      <rPr>
        <sz val="10"/>
        <color rgb="FF000000"/>
        <rFont val="微软雅黑"/>
        <charset val="134"/>
      </rPr>
      <t>与</t>
    </r>
    <r>
      <rPr>
        <sz val="10"/>
        <color rgb="FF000000"/>
        <rFont val="Arial"/>
        <charset val="134"/>
      </rPr>
      <t>FS.0x</t>
    </r>
    <r>
      <rPr>
        <sz val="10"/>
        <color rgb="FF000000"/>
        <rFont val="微软雅黑"/>
        <charset val="134"/>
      </rPr>
      <t>与财务报表核对无误</t>
    </r>
  </si>
  <si>
    <r>
      <rPr>
        <sz val="10"/>
        <color rgb="FF000000"/>
        <rFont val="微软雅黑"/>
        <charset val="134"/>
      </rPr>
      <t>列报和披露（</t>
    </r>
    <r>
      <rPr>
        <sz val="10"/>
        <color rgb="FF000000"/>
        <rFont val="Arial"/>
        <charset val="134"/>
      </rPr>
      <t>P&amp;D</t>
    </r>
    <r>
      <rPr>
        <sz val="10"/>
        <color rgb="FF000000"/>
        <rFont val="微软雅黑"/>
        <charset val="134"/>
      </rPr>
      <t>）</t>
    </r>
  </si>
  <si>
    <t>w</t>
  </si>
  <si>
    <r>
      <rPr>
        <sz val="10"/>
        <color rgb="FF000000"/>
        <rFont val="微软雅黑"/>
        <charset val="134"/>
      </rPr>
      <t>低于</t>
    </r>
    <r>
      <rPr>
        <sz val="10"/>
        <color rgb="FF000000"/>
        <rFont val="Arial"/>
        <charset val="134"/>
      </rPr>
      <t>SAD</t>
    </r>
    <r>
      <rPr>
        <sz val="10"/>
        <color rgb="FF000000"/>
        <rFont val="微软雅黑"/>
        <charset val="134"/>
      </rPr>
      <t>的金额</t>
    </r>
    <r>
      <rPr>
        <sz val="10"/>
        <color rgb="FF000000"/>
        <rFont val="Arial"/>
        <charset val="134"/>
      </rPr>
      <t>——</t>
    </r>
    <r>
      <rPr>
        <sz val="10"/>
        <color rgb="FF000000"/>
        <rFont val="微软雅黑"/>
        <charset val="134"/>
      </rPr>
      <t>放弃进一步调查</t>
    </r>
  </si>
  <si>
    <r>
      <rPr>
        <b/>
        <i/>
        <sz val="9"/>
        <color rgb="FFFF0000"/>
        <rFont val="Arial"/>
        <charset val="134"/>
      </rPr>
      <t xml:space="preserve">1 </t>
    </r>
    <r>
      <rPr>
        <b/>
        <i/>
        <sz val="9"/>
        <color rgb="FFFF0000"/>
        <rFont val="微软雅黑"/>
        <charset val="134"/>
      </rPr>
      <t>各项认定的测试阈值，是根据</t>
    </r>
    <r>
      <rPr>
        <b/>
        <i/>
        <sz val="9"/>
        <color rgb="FFFF0000"/>
        <rFont val="Arial"/>
        <charset val="134"/>
      </rPr>
      <t xml:space="preserve">EY GAM SUBSTANTIVE DESIGN 2.2.1 </t>
    </r>
  </si>
  <si>
    <t>Rx</t>
  </si>
  <si>
    <r>
      <rPr>
        <sz val="10"/>
        <color rgb="FF000000"/>
        <rFont val="微软雅黑"/>
        <charset val="134"/>
      </rPr>
      <t>重新计算，无异常</t>
    </r>
  </si>
  <si>
    <r>
      <rPr>
        <b/>
        <i/>
        <sz val="9"/>
        <color rgb="FFFF0000"/>
        <rFont val="微软雅黑"/>
        <charset val="134"/>
      </rPr>
      <t>中的示例测试阈值（用占</t>
    </r>
    <r>
      <rPr>
        <b/>
        <i/>
        <sz val="9"/>
        <color rgb="FFFF0000"/>
        <rFont val="Arial"/>
        <charset val="134"/>
      </rPr>
      <t>TE</t>
    </r>
    <r>
      <rPr>
        <b/>
        <i/>
        <sz val="9"/>
        <color rgb="FFFF0000"/>
        <rFont val="微软雅黑"/>
        <charset val="134"/>
      </rPr>
      <t>的百分比表示）在相应风险等级（</t>
    </r>
    <r>
      <rPr>
        <b/>
        <i/>
        <sz val="9"/>
        <color rgb="FFFF0000"/>
        <rFont val="Arial"/>
        <charset val="134"/>
      </rPr>
      <t>CRA</t>
    </r>
    <r>
      <rPr>
        <b/>
        <i/>
        <sz val="9"/>
        <color rgb="FFFF0000"/>
        <rFont val="微软雅黑"/>
        <charset val="134"/>
      </rPr>
      <t>）区间的上限计算得出的。</t>
    </r>
  </si>
  <si>
    <t>m</t>
  </si>
  <si>
    <r>
      <rPr>
        <sz val="10"/>
        <color rgb="FF000000"/>
        <rFont val="微软雅黑"/>
        <charset val="134"/>
      </rPr>
      <t>余额</t>
    </r>
    <r>
      <rPr>
        <sz val="10"/>
        <color rgb="FF000000"/>
        <rFont val="Arial"/>
        <charset val="134"/>
      </rPr>
      <t>/</t>
    </r>
    <r>
      <rPr>
        <sz val="10"/>
        <color rgb="FF000000"/>
        <rFont val="微软雅黑"/>
        <charset val="134"/>
      </rPr>
      <t>活动不符合测试范围</t>
    </r>
    <r>
      <rPr>
        <sz val="10"/>
        <color rgb="FF000000"/>
        <rFont val="Arial"/>
        <charset val="134"/>
      </rPr>
      <t>–</t>
    </r>
    <r>
      <rPr>
        <sz val="10"/>
        <color rgb="FF000000"/>
        <rFont val="微软雅黑"/>
        <charset val="134"/>
      </rPr>
      <t>无需进一步调查</t>
    </r>
  </si>
  <si>
    <r>
      <rPr>
        <b/>
        <i/>
        <sz val="9"/>
        <color rgb="FFFF0000"/>
        <rFont val="微软雅黑"/>
        <charset val="134"/>
      </rPr>
      <t>除负债</t>
    </r>
    <r>
      <rPr>
        <b/>
        <i/>
        <sz val="9"/>
        <color rgb="FFFF0000"/>
        <rFont val="Arial"/>
        <charset val="134"/>
      </rPr>
      <t>/</t>
    </r>
    <r>
      <rPr>
        <b/>
        <i/>
        <sz val="9"/>
        <color rgb="FFFF0000"/>
        <rFont val="微软雅黑"/>
        <charset val="134"/>
      </rPr>
      <t>费用类别账户的完整性认定应当使用负债</t>
    </r>
    <r>
      <rPr>
        <b/>
        <i/>
        <sz val="9"/>
        <color rgb="FFFF0000"/>
        <rFont val="Arial"/>
        <charset val="134"/>
      </rPr>
      <t>/</t>
    </r>
    <r>
      <rPr>
        <b/>
        <i/>
        <sz val="9"/>
        <color rgb="FFFF0000"/>
        <rFont val="微软雅黑"/>
        <charset val="134"/>
      </rPr>
      <t>费用账户表之外，其他类别账户和认定均可使用资产</t>
    </r>
    <r>
      <rPr>
        <b/>
        <i/>
        <sz val="9"/>
        <color rgb="FFFF0000"/>
        <rFont val="Arial"/>
        <charset val="134"/>
      </rPr>
      <t>/</t>
    </r>
    <r>
      <rPr>
        <b/>
        <i/>
        <sz val="9"/>
        <color rgb="FFFF0000"/>
        <rFont val="微软雅黑"/>
        <charset val="134"/>
      </rPr>
      <t>收入账户表。</t>
    </r>
  </si>
  <si>
    <t>SL</t>
  </si>
  <si>
    <r>
      <rPr>
        <sz val="10"/>
        <color rgb="FF000000"/>
        <rFont val="微软雅黑"/>
        <charset val="134"/>
      </rPr>
      <t>已与明细账核对无误</t>
    </r>
  </si>
  <si>
    <r>
      <rPr>
        <b/>
        <i/>
        <sz val="9"/>
        <color rgb="FFFF0000"/>
        <rFont val="Arial"/>
        <charset val="134"/>
      </rPr>
      <t xml:space="preserve">2 </t>
    </r>
    <r>
      <rPr>
        <b/>
        <i/>
        <sz val="9"/>
        <color rgb="FFFF0000"/>
        <rFont val="微软雅黑"/>
        <charset val="134"/>
      </rPr>
      <t>所有相关认定的测试阈值，是所有有效认定对应之测试阈值的最小值。我们在</t>
    </r>
    <r>
      <rPr>
        <b/>
        <i/>
        <sz val="9"/>
        <color rgb="FFFF0000"/>
        <rFont val="Arial"/>
        <charset val="134"/>
      </rPr>
      <t xml:space="preserve"> </t>
    </r>
  </si>
  <si>
    <r>
      <rPr>
        <b/>
        <i/>
        <sz val="9"/>
        <color rgb="FFFF0000"/>
        <rFont val="Arial"/>
        <charset val="134"/>
      </rPr>
      <t>Lead</t>
    </r>
    <r>
      <rPr>
        <b/>
        <i/>
        <sz val="9"/>
        <color rgb="FFFF0000"/>
        <rFont val="微软雅黑"/>
        <charset val="134"/>
      </rPr>
      <t>中使用该测试阈值：（</t>
    </r>
    <r>
      <rPr>
        <b/>
        <i/>
        <sz val="9"/>
        <color rgb="FFFF0000"/>
        <rFont val="Arial"/>
        <charset val="134"/>
      </rPr>
      <t>a</t>
    </r>
    <r>
      <rPr>
        <b/>
        <i/>
        <sz val="9"/>
        <color rgb="FFFF0000"/>
        <rFont val="微软雅黑"/>
        <charset val="134"/>
      </rPr>
      <t>）作为选取总账账户进行测试的起点；（</t>
    </r>
    <r>
      <rPr>
        <b/>
        <i/>
        <sz val="9"/>
        <color rgb="FFFF0000"/>
        <rFont val="Arial"/>
        <charset val="134"/>
      </rPr>
      <t>b</t>
    </r>
    <r>
      <rPr>
        <b/>
        <i/>
        <sz val="9"/>
        <color rgb="FFFF0000"/>
        <rFont val="微软雅黑"/>
        <charset val="134"/>
      </rPr>
      <t>）作为（需要进一步调查的）金额波动范围的起点。</t>
    </r>
  </si>
  <si>
    <r>
      <rPr>
        <b/>
        <sz val="10"/>
        <rFont val="微软雅黑"/>
        <charset val="134"/>
      </rPr>
      <t>在下文中描述我们对固定资产在此期间的相关账户余额和相关波动的预期，以及我们对这些预期的依据和理由。</t>
    </r>
  </si>
  <si>
    <r>
      <rPr>
        <b/>
        <sz val="10"/>
        <color theme="1"/>
        <rFont val="微软雅黑"/>
        <charset val="134"/>
      </rPr>
      <t>账户变更</t>
    </r>
  </si>
  <si>
    <r>
      <rPr>
        <b/>
        <sz val="10"/>
        <color theme="1"/>
        <rFont val="微软雅黑"/>
        <charset val="134"/>
      </rPr>
      <t>预期及额外考虑</t>
    </r>
  </si>
  <si>
    <r>
      <rPr>
        <b/>
        <i/>
        <sz val="10"/>
        <color theme="1"/>
        <rFont val="微软雅黑"/>
        <charset val="134"/>
      </rPr>
      <t>新增</t>
    </r>
  </si>
  <si>
    <r>
      <rPr>
        <b/>
        <i/>
        <sz val="10"/>
        <color theme="1"/>
        <rFont val="微软雅黑"/>
        <charset val="134"/>
      </rPr>
      <t>减少</t>
    </r>
  </si>
  <si>
    <r>
      <rPr>
        <b/>
        <i/>
        <sz val="10"/>
        <color theme="1"/>
        <rFont val="微软雅黑"/>
        <charset val="134"/>
      </rPr>
      <t>在建工程转入（如适用）</t>
    </r>
  </si>
  <si>
    <r>
      <rPr>
        <b/>
        <i/>
        <sz val="10"/>
        <color theme="1"/>
        <rFont val="微软雅黑"/>
        <charset val="134"/>
      </rPr>
      <t>转让、外汇和其他调整</t>
    </r>
  </si>
  <si>
    <r>
      <rPr>
        <b/>
        <i/>
        <sz val="10"/>
        <color theme="1"/>
        <rFont val="微软雅黑"/>
        <charset val="134"/>
      </rPr>
      <t>折旧方法</t>
    </r>
  </si>
  <si>
    <r>
      <rPr>
        <b/>
        <i/>
        <sz val="10"/>
        <color theme="1"/>
        <rFont val="微软雅黑"/>
        <charset val="134"/>
      </rPr>
      <t>折旧费用</t>
    </r>
  </si>
  <si>
    <r>
      <rPr>
        <b/>
        <i/>
        <sz val="10"/>
        <color theme="1"/>
        <rFont val="微软雅黑"/>
        <charset val="134"/>
      </rPr>
      <t>使用寿命变化</t>
    </r>
  </si>
  <si>
    <r>
      <rPr>
        <b/>
        <sz val="10"/>
        <rFont val="微软雅黑"/>
        <charset val="134"/>
      </rPr>
      <t>波动范围</t>
    </r>
  </si>
  <si>
    <r>
      <rPr>
        <b/>
        <sz val="10"/>
        <rFont val="微软雅黑"/>
        <charset val="134"/>
      </rPr>
      <t>波动幅度</t>
    </r>
    <r>
      <rPr>
        <b/>
        <sz val="10"/>
        <rFont val="Arial"/>
        <charset val="134"/>
      </rPr>
      <t xml:space="preserve"> (%):</t>
    </r>
  </si>
  <si>
    <r>
      <rPr>
        <b/>
        <sz val="10"/>
        <rFont val="微软雅黑"/>
        <charset val="134"/>
      </rPr>
      <t>我们获取或编制了与上期对比的重大账户（固定资产）引导表。我们将本期余额与试算平衡表核对一致，并将上期余额与上期审定数核对一致</t>
    </r>
    <r>
      <rPr>
        <b/>
        <sz val="10"/>
        <color rgb="FFFF0000"/>
        <rFont val="微软雅黑"/>
        <charset val="134"/>
      </rPr>
      <t>（如适用）</t>
    </r>
    <r>
      <rPr>
        <b/>
        <sz val="10"/>
        <rFont val="微软雅黑"/>
        <charset val="134"/>
      </rPr>
      <t>。</t>
    </r>
  </si>
  <si>
    <r>
      <rPr>
        <b/>
        <sz val="10"/>
        <rFont val="微软雅黑"/>
        <charset val="134"/>
      </rPr>
      <t>我们将期末余额与上期余额进行对比。调查超出测试阈值（金额和百分比）的波动，以及代表异常或预期外变动或未发生预期中变动的波动，并确定其对我们计划实质性程序的影响</t>
    </r>
    <r>
      <rPr>
        <b/>
        <sz val="10"/>
        <color rgb="FFFF0000"/>
        <rFont val="Arial"/>
        <charset val="134"/>
      </rPr>
      <t xml:space="preserve"> (</t>
    </r>
    <r>
      <rPr>
        <b/>
        <sz val="10"/>
        <color rgb="FFFF0000"/>
        <rFont val="微软雅黑"/>
        <charset val="134"/>
      </rPr>
      <t>如有</t>
    </r>
    <r>
      <rPr>
        <b/>
        <sz val="10"/>
        <color rgb="FFFF0000"/>
        <rFont val="Arial"/>
        <charset val="134"/>
      </rPr>
      <t>)</t>
    </r>
    <r>
      <rPr>
        <b/>
        <sz val="10"/>
        <rFont val="微软雅黑"/>
        <charset val="134"/>
      </rPr>
      <t>。</t>
    </r>
  </si>
  <si>
    <t>|------- TB -------|</t>
  </si>
  <si>
    <t>|------- PY -------|</t>
  </si>
  <si>
    <t>本期和上期期末余额</t>
  </si>
  <si>
    <t>基于波动幅度判断，是否进一步调查？</t>
  </si>
  <si>
    <t>基于定性考虑判断，是否进一步调查？</t>
  </si>
  <si>
    <t>总账科目编码</t>
  </si>
  <si>
    <t>科目名称</t>
  </si>
  <si>
    <t>索引号</t>
  </si>
  <si>
    <t>期末账面数</t>
  </si>
  <si>
    <t>账表调整数</t>
  </si>
  <si>
    <t>期末未审数</t>
  </si>
  <si>
    <t>审计调整数</t>
  </si>
  <si>
    <t>期末审定数</t>
  </si>
  <si>
    <t>上期末审定数</t>
  </si>
  <si>
    <t>变动金额</t>
  </si>
  <si>
    <t>变动%</t>
  </si>
  <si>
    <t>Notes</t>
  </si>
  <si>
    <r>
      <rPr>
        <b/>
        <sz val="10"/>
        <rFont val="微软雅黑"/>
        <charset val="134"/>
      </rPr>
      <t>原值</t>
    </r>
  </si>
  <si>
    <t>[A]</t>
  </si>
  <si>
    <r>
      <rPr>
        <b/>
        <sz val="10"/>
        <rFont val="微软雅黑"/>
        <charset val="134"/>
      </rPr>
      <t>累计折旧</t>
    </r>
  </si>
  <si>
    <r>
      <rPr>
        <b/>
        <sz val="10"/>
        <rFont val="微软雅黑"/>
        <charset val="134"/>
      </rPr>
      <t>减值准备</t>
    </r>
  </si>
  <si>
    <r>
      <rPr>
        <b/>
        <sz val="10"/>
        <color rgb="FF000000"/>
        <rFont val="微软雅黑"/>
        <charset val="134"/>
      </rPr>
      <t>净值</t>
    </r>
  </si>
  <si>
    <t>check with A3</t>
  </si>
  <si>
    <t>Diff</t>
  </si>
  <si>
    <t>波动说明</t>
  </si>
  <si>
    <r>
      <rPr>
        <b/>
        <sz val="10"/>
        <color rgb="FF000000"/>
        <rFont val="Arial"/>
        <charset val="134"/>
      </rPr>
      <t>调整汇总表</t>
    </r>
    <r>
      <rPr>
        <b/>
        <i/>
        <sz val="10"/>
        <color rgb="FFFF0000"/>
        <rFont val="Arial"/>
        <charset val="134"/>
      </rPr>
      <t>（如不适用请删除）</t>
    </r>
  </si>
  <si>
    <r>
      <rPr>
        <sz val="10"/>
        <rFont val="微软雅黑"/>
        <charset val="134"/>
      </rPr>
      <t>调整类型</t>
    </r>
  </si>
  <si>
    <r>
      <rPr>
        <b/>
        <sz val="14"/>
        <color theme="0"/>
        <rFont val="微软雅黑"/>
        <charset val="134"/>
      </rPr>
      <t>标准工作底稿</t>
    </r>
    <r>
      <rPr>
        <b/>
        <sz val="14"/>
        <color theme="0"/>
        <rFont val="Arial"/>
        <charset val="134"/>
      </rPr>
      <t xml:space="preserve">: K1 SWP </t>
    </r>
    <r>
      <rPr>
        <b/>
        <sz val="14"/>
        <color theme="0"/>
        <rFont val="微软雅黑"/>
        <charset val="134"/>
      </rPr>
      <t>不动产、厂房和设备及相关账户（</t>
    </r>
    <r>
      <rPr>
        <b/>
        <sz val="14"/>
        <color theme="0"/>
        <rFont val="Arial"/>
        <charset val="134"/>
      </rPr>
      <t>PPE</t>
    </r>
    <r>
      <rPr>
        <b/>
        <sz val="14"/>
        <color theme="0"/>
        <rFont val="微软雅黑"/>
        <charset val="134"/>
      </rPr>
      <t>）</t>
    </r>
  </si>
  <si>
    <r>
      <rPr>
        <b/>
        <sz val="12"/>
        <color rgb="FF000000"/>
        <rFont val="Arial"/>
        <charset val="134"/>
      </rPr>
      <t xml:space="preserve">K.01 </t>
    </r>
    <r>
      <rPr>
        <b/>
        <sz val="12"/>
        <color rgb="FF000000"/>
        <rFont val="微软雅黑"/>
        <charset val="134"/>
      </rPr>
      <t>将明细账与总账核对一致</t>
    </r>
  </si>
  <si>
    <r>
      <rPr>
        <b/>
        <sz val="10"/>
        <rFont val="微软雅黑"/>
        <charset val="134"/>
      </rPr>
      <t>获取上期末至本期末（或中期，如适用）固定资产及相关新增、处置、转让和折旧的后推明细表。（原值、累计折旧、减值均为正数填列，本期减少以负数填列，账表调整、审计调整数据均直接链接至</t>
    </r>
    <r>
      <rPr>
        <b/>
        <sz val="10"/>
        <rFont val="Arial"/>
        <charset val="134"/>
      </rPr>
      <t>K.00 Lead</t>
    </r>
    <r>
      <rPr>
        <b/>
        <sz val="10"/>
        <rFont val="微软雅黑"/>
        <charset val="134"/>
      </rPr>
      <t>。）</t>
    </r>
  </si>
  <si>
    <r>
      <rPr>
        <b/>
        <sz val="10"/>
        <rFont val="微软雅黑"/>
        <charset val="134"/>
      </rPr>
      <t>我们将期初固定资产余额与上期审定数核对一致，将期末固定资产余额与固定资产明细账和试算表核对一致。我们调查了大于</t>
    </r>
    <r>
      <rPr>
        <b/>
        <sz val="10"/>
        <rFont val="Arial"/>
        <charset val="134"/>
      </rPr>
      <t>SAD</t>
    </r>
    <r>
      <rPr>
        <b/>
        <sz val="10"/>
        <rFont val="微软雅黑"/>
        <charset val="134"/>
      </rPr>
      <t>的差异。我们将利润表金额（如，折旧费用）与试算表核对一致</t>
    </r>
    <r>
      <rPr>
        <b/>
        <sz val="10"/>
        <color rgb="FFFF0000"/>
        <rFont val="微软雅黑"/>
        <charset val="134"/>
      </rPr>
      <t>（如适用）</t>
    </r>
    <r>
      <rPr>
        <b/>
        <sz val="10"/>
        <rFont val="微软雅黑"/>
        <charset val="134"/>
      </rPr>
      <t>。</t>
    </r>
  </si>
  <si>
    <r>
      <rPr>
        <b/>
        <sz val="10"/>
        <rFont val="微软雅黑"/>
        <charset val="134"/>
      </rPr>
      <t>我们选择了超过测试阈值的后推活动（如，新增、处置、固定资产转入、转移和折旧费用），以执行</t>
    </r>
    <r>
      <rPr>
        <b/>
        <sz val="10"/>
        <rFont val="Arial"/>
        <charset val="134"/>
      </rPr>
      <t>K.02</t>
    </r>
    <r>
      <rPr>
        <b/>
        <sz val="10"/>
        <rFont val="微软雅黑"/>
        <charset val="134"/>
      </rPr>
      <t>和</t>
    </r>
    <r>
      <rPr>
        <b/>
        <sz val="10"/>
        <rFont val="Arial"/>
        <charset val="134"/>
      </rPr>
      <t>K.03</t>
    </r>
    <r>
      <rPr>
        <b/>
        <sz val="10"/>
        <rFont val="微软雅黑"/>
        <charset val="134"/>
      </rPr>
      <t>的实质性程序。对于未包含在本程序表范围内的程序，我们交叉索引至完成该程序的单独程序表。我们评估了固定资产的转移和其他调整，以了解调整的性质，并确定是否需要执行额外程序。</t>
    </r>
  </si>
  <si>
    <t xml:space="preserve"> </t>
  </si>
  <si>
    <r>
      <rPr>
        <b/>
        <sz val="10"/>
        <color rgb="FFFF0000"/>
        <rFont val="微软雅黑"/>
        <charset val="134"/>
      </rPr>
      <t>表</t>
    </r>
    <r>
      <rPr>
        <b/>
        <sz val="10"/>
        <color rgb="FFFF0000"/>
        <rFont val="Arial"/>
        <charset val="134"/>
      </rPr>
      <t>1</t>
    </r>
  </si>
  <si>
    <t>|--------------------------- Rx ------------------------------|</t>
  </si>
  <si>
    <r>
      <rPr>
        <b/>
        <sz val="10"/>
        <rFont val="微软雅黑"/>
        <charset val="134"/>
      </rPr>
      <t>固定资产类别</t>
    </r>
  </si>
  <si>
    <r>
      <rPr>
        <b/>
        <sz val="10"/>
        <rFont val="微软雅黑"/>
        <charset val="134"/>
      </rPr>
      <t>【</t>
    </r>
    <r>
      <rPr>
        <b/>
        <sz val="10"/>
        <rFont val="Arial"/>
        <charset val="134"/>
      </rPr>
      <t>…</t>
    </r>
    <r>
      <rPr>
        <b/>
        <sz val="10"/>
        <rFont val="微软雅黑"/>
        <charset val="134"/>
      </rPr>
      <t>】</t>
    </r>
  </si>
  <si>
    <r>
      <rPr>
        <b/>
        <sz val="10"/>
        <rFont val="微软雅黑"/>
        <charset val="134"/>
      </rPr>
      <t>合计</t>
    </r>
  </si>
  <si>
    <r>
      <rPr>
        <sz val="10"/>
        <rFont val="微软雅黑"/>
        <charset val="134"/>
      </rPr>
      <t>账面数</t>
    </r>
  </si>
  <si>
    <r>
      <rPr>
        <sz val="10"/>
        <rFont val="微软雅黑"/>
        <charset val="134"/>
      </rPr>
      <t>账表调整</t>
    </r>
    <r>
      <rPr>
        <sz val="10"/>
        <rFont val="Arial"/>
        <charset val="134"/>
      </rPr>
      <t>/</t>
    </r>
    <r>
      <rPr>
        <sz val="10"/>
        <rFont val="微软雅黑"/>
        <charset val="134"/>
      </rPr>
      <t>审计调整</t>
    </r>
  </si>
  <si>
    <r>
      <rPr>
        <sz val="10"/>
        <rFont val="微软雅黑"/>
        <charset val="134"/>
      </rPr>
      <t>审定数</t>
    </r>
  </si>
  <si>
    <t>CHECK</t>
  </si>
  <si>
    <r>
      <rPr>
        <b/>
        <sz val="10"/>
        <rFont val="微软雅黑"/>
        <charset val="134"/>
      </rPr>
      <t>年初余额</t>
    </r>
  </si>
  <si>
    <r>
      <rPr>
        <sz val="10"/>
        <rFont val="微软雅黑"/>
        <charset val="134"/>
      </rPr>
      <t>购置</t>
    </r>
  </si>
  <si>
    <t>K.02.1</t>
  </si>
  <si>
    <r>
      <rPr>
        <sz val="10"/>
        <rFont val="微软雅黑"/>
        <charset val="134"/>
      </rPr>
      <t>在建工程转入</t>
    </r>
  </si>
  <si>
    <t>J1.02</t>
  </si>
  <si>
    <r>
      <rPr>
        <sz val="10"/>
        <rFont val="微软雅黑"/>
        <charset val="134"/>
      </rPr>
      <t>处置或报废</t>
    </r>
  </si>
  <si>
    <t>K.02.2</t>
  </si>
  <si>
    <r>
      <rPr>
        <sz val="10"/>
        <rFont val="微软雅黑"/>
        <charset val="134"/>
      </rPr>
      <t>内部重分类</t>
    </r>
  </si>
  <si>
    <t>[…]</t>
  </si>
  <si>
    <r>
      <rPr>
        <b/>
        <sz val="10"/>
        <rFont val="微软雅黑"/>
        <charset val="134"/>
      </rPr>
      <t>年末余额</t>
    </r>
  </si>
  <si>
    <r>
      <rPr>
        <sz val="10"/>
        <rFont val="微软雅黑"/>
        <charset val="134"/>
      </rPr>
      <t>计提</t>
    </r>
  </si>
  <si>
    <t>K.03.2</t>
  </si>
  <si>
    <r>
      <rPr>
        <b/>
        <sz val="10"/>
        <color rgb="FFFF0000"/>
        <rFont val="Arial"/>
        <charset val="134"/>
      </rPr>
      <t xml:space="preserve">&lt;K.03 </t>
    </r>
    <r>
      <rPr>
        <b/>
        <sz val="10"/>
        <color rgb="FFFF0000"/>
        <rFont val="宋体"/>
        <charset val="134"/>
      </rPr>
      <t>折旧测试</t>
    </r>
    <r>
      <rPr>
        <b/>
        <sz val="10"/>
        <color rgb="FFFF0000"/>
        <rFont val="Arial"/>
        <charset val="134"/>
      </rPr>
      <t>&gt;</t>
    </r>
  </si>
  <si>
    <r>
      <rPr>
        <b/>
        <sz val="10"/>
        <color rgb="FFFF0000"/>
        <rFont val="Arial"/>
        <charset val="134"/>
      </rPr>
      <t xml:space="preserve">SWP </t>
    </r>
    <r>
      <rPr>
        <b/>
        <sz val="10"/>
        <color rgb="FFFF0000"/>
        <rFont val="微软雅黑"/>
        <charset val="134"/>
      </rPr>
      <t>减值</t>
    </r>
  </si>
  <si>
    <r>
      <rPr>
        <b/>
        <sz val="10"/>
        <rFont val="微软雅黑"/>
        <charset val="134"/>
      </rPr>
      <t>净值</t>
    </r>
    <r>
      <rPr>
        <b/>
        <sz val="10"/>
        <rFont val="Arial"/>
        <charset val="134"/>
      </rPr>
      <t xml:space="preserve"> (NBV)</t>
    </r>
  </si>
  <si>
    <r>
      <rPr>
        <b/>
        <sz val="10"/>
        <rFont val="微软雅黑"/>
        <charset val="134"/>
      </rPr>
      <t>变动</t>
    </r>
  </si>
  <si>
    <r>
      <rPr>
        <sz val="10"/>
        <rFont val="微软雅黑"/>
        <charset val="134"/>
      </rPr>
      <t>原值变动金额</t>
    </r>
  </si>
  <si>
    <r>
      <rPr>
        <sz val="10"/>
        <rFont val="微软雅黑"/>
        <charset val="134"/>
      </rPr>
      <t>本年</t>
    </r>
    <r>
      <rPr>
        <sz val="10"/>
        <rFont val="Arial"/>
        <charset val="134"/>
      </rPr>
      <t>VS</t>
    </r>
    <r>
      <rPr>
        <sz val="10"/>
        <rFont val="微软雅黑"/>
        <charset val="134"/>
      </rPr>
      <t>上年</t>
    </r>
  </si>
  <si>
    <r>
      <rPr>
        <sz val="10"/>
        <rFont val="微软雅黑"/>
        <charset val="134"/>
      </rPr>
      <t>原值变动比例</t>
    </r>
  </si>
  <si>
    <t>%</t>
  </si>
  <si>
    <r>
      <rPr>
        <sz val="10"/>
        <rFont val="微软雅黑"/>
        <charset val="134"/>
      </rPr>
      <t>累计折旧变动金额</t>
    </r>
  </si>
  <si>
    <r>
      <rPr>
        <sz val="10"/>
        <rFont val="微软雅黑"/>
        <charset val="134"/>
      </rPr>
      <t>累计折旧变动比例</t>
    </r>
  </si>
  <si>
    <r>
      <rPr>
        <sz val="10"/>
        <rFont val="微软雅黑"/>
        <charset val="134"/>
      </rPr>
      <t>减值准备变动金额</t>
    </r>
  </si>
  <si>
    <r>
      <rPr>
        <sz val="10"/>
        <rFont val="微软雅黑"/>
        <charset val="134"/>
      </rPr>
      <t>减值准备变动比例</t>
    </r>
  </si>
  <si>
    <r>
      <rPr>
        <sz val="10"/>
        <rFont val="微软雅黑"/>
        <charset val="134"/>
      </rPr>
      <t>净值变动金额</t>
    </r>
  </si>
  <si>
    <r>
      <rPr>
        <sz val="10"/>
        <rFont val="微软雅黑"/>
        <charset val="134"/>
      </rPr>
      <t>净值变动比例</t>
    </r>
  </si>
  <si>
    <r>
      <rPr>
        <b/>
        <sz val="10"/>
        <color rgb="FFFF0000"/>
        <rFont val="Arial"/>
        <charset val="134"/>
      </rPr>
      <t>TB-</t>
    </r>
    <r>
      <rPr>
        <b/>
        <sz val="10"/>
        <color rgb="FFFF0000"/>
        <rFont val="微软雅黑"/>
        <charset val="134"/>
      </rPr>
      <t>原值</t>
    </r>
  </si>
  <si>
    <r>
      <rPr>
        <b/>
        <sz val="10"/>
        <color rgb="FFFF0000"/>
        <rFont val="微软雅黑"/>
        <charset val="134"/>
      </rPr>
      <t>差异</t>
    </r>
  </si>
  <si>
    <r>
      <rPr>
        <b/>
        <sz val="10"/>
        <color rgb="FFFF0000"/>
        <rFont val="Arial"/>
        <charset val="134"/>
      </rPr>
      <t>TB-</t>
    </r>
    <r>
      <rPr>
        <b/>
        <sz val="10"/>
        <color rgb="FFFF0000"/>
        <rFont val="微软雅黑"/>
        <charset val="134"/>
      </rPr>
      <t>累计折旧</t>
    </r>
  </si>
  <si>
    <r>
      <rPr>
        <b/>
        <sz val="10"/>
        <color rgb="FFFF0000"/>
        <rFont val="Arial"/>
        <charset val="134"/>
      </rPr>
      <t>TB-</t>
    </r>
    <r>
      <rPr>
        <b/>
        <sz val="10"/>
        <color rgb="FFFF0000"/>
        <rFont val="微软雅黑"/>
        <charset val="134"/>
      </rPr>
      <t>减值准备</t>
    </r>
  </si>
  <si>
    <r>
      <rPr>
        <b/>
        <sz val="10"/>
        <color rgb="FFFF0000"/>
        <rFont val="Arial"/>
        <charset val="134"/>
      </rPr>
      <t>TB-</t>
    </r>
    <r>
      <rPr>
        <b/>
        <sz val="10"/>
        <color rgb="FFFF0000"/>
        <rFont val="微软雅黑"/>
        <charset val="134"/>
      </rPr>
      <t>净值</t>
    </r>
  </si>
  <si>
    <r>
      <rPr>
        <b/>
        <sz val="10"/>
        <rFont val="微软雅黑"/>
        <charset val="134"/>
      </rPr>
      <t>获取期末的固定资产明细清单，我们将固定资产明细清单的金额与表</t>
    </r>
    <r>
      <rPr>
        <b/>
        <sz val="10"/>
        <rFont val="Arial"/>
        <charset val="134"/>
      </rPr>
      <t>1</t>
    </r>
    <r>
      <rPr>
        <b/>
        <sz val="10"/>
        <rFont val="微软雅黑"/>
        <charset val="134"/>
      </rPr>
      <t>金额进行核对，调查大于</t>
    </r>
    <r>
      <rPr>
        <b/>
        <sz val="10"/>
        <rFont val="Arial"/>
        <charset val="134"/>
      </rPr>
      <t>SAD</t>
    </r>
    <r>
      <rPr>
        <b/>
        <sz val="10"/>
        <rFont val="微软雅黑"/>
        <charset val="134"/>
      </rPr>
      <t>的差异。</t>
    </r>
  </si>
  <si>
    <r>
      <rPr>
        <b/>
        <sz val="10"/>
        <color rgb="FFFF0000"/>
        <rFont val="微软雅黑"/>
        <charset val="134"/>
      </rPr>
      <t>表</t>
    </r>
    <r>
      <rPr>
        <b/>
        <sz val="10"/>
        <color rgb="FFFF0000"/>
        <rFont val="Arial"/>
        <charset val="134"/>
      </rPr>
      <t>2</t>
    </r>
  </si>
  <si>
    <r>
      <rPr>
        <b/>
        <sz val="10"/>
        <color rgb="FFFF0000"/>
        <rFont val="微软雅黑"/>
        <charset val="134"/>
      </rPr>
      <t>表</t>
    </r>
    <r>
      <rPr>
        <b/>
        <sz val="10"/>
        <color rgb="FFFF0000"/>
        <rFont val="Arial"/>
        <charset val="134"/>
      </rPr>
      <t>3</t>
    </r>
  </si>
  <si>
    <r>
      <rPr>
        <b/>
        <sz val="10"/>
        <color theme="1"/>
        <rFont val="微软雅黑"/>
        <charset val="134"/>
      </rPr>
      <t>汇总</t>
    </r>
  </si>
  <si>
    <r>
      <rPr>
        <b/>
        <sz val="10"/>
        <color rgb="FFFF0000"/>
        <rFont val="微软雅黑"/>
        <charset val="134"/>
      </rPr>
      <t>表</t>
    </r>
    <r>
      <rPr>
        <b/>
        <sz val="10"/>
        <color rgb="FFFF0000"/>
        <rFont val="Arial"/>
        <charset val="134"/>
      </rPr>
      <t xml:space="preserve">2 check with </t>
    </r>
    <r>
      <rPr>
        <b/>
        <sz val="10"/>
        <color rgb="FFFF0000"/>
        <rFont val="微软雅黑"/>
        <charset val="134"/>
      </rPr>
      <t>表</t>
    </r>
    <r>
      <rPr>
        <b/>
        <sz val="10"/>
        <color rgb="FFFF0000"/>
        <rFont val="Arial"/>
        <charset val="134"/>
      </rPr>
      <t>1</t>
    </r>
  </si>
  <si>
    <r>
      <rPr>
        <b/>
        <sz val="10"/>
        <color theme="1"/>
        <rFont val="微软雅黑"/>
        <charset val="134"/>
      </rPr>
      <t>固定资产类别</t>
    </r>
  </si>
  <si>
    <r>
      <rPr>
        <b/>
        <sz val="10"/>
        <color theme="1"/>
        <rFont val="微软雅黑"/>
        <charset val="134"/>
      </rPr>
      <t>原值</t>
    </r>
  </si>
  <si>
    <r>
      <rPr>
        <b/>
        <sz val="10"/>
        <color theme="1"/>
        <rFont val="微软雅黑"/>
        <charset val="134"/>
      </rPr>
      <t>累计折旧</t>
    </r>
  </si>
  <si>
    <r>
      <rPr>
        <b/>
        <sz val="10"/>
        <color theme="1"/>
        <rFont val="微软雅黑"/>
        <charset val="134"/>
      </rPr>
      <t>减值准备</t>
    </r>
  </si>
  <si>
    <r>
      <rPr>
        <b/>
        <sz val="10"/>
        <color theme="1"/>
        <rFont val="微软雅黑"/>
        <charset val="134"/>
      </rPr>
      <t>净值</t>
    </r>
  </si>
  <si>
    <r>
      <rPr>
        <b/>
        <sz val="10"/>
        <color theme="1"/>
        <rFont val="微软雅黑"/>
        <charset val="134"/>
      </rPr>
      <t>合计</t>
    </r>
  </si>
  <si>
    <r>
      <rPr>
        <b/>
        <sz val="10"/>
        <color rgb="FFFF0000"/>
        <rFont val="Arial"/>
        <charset val="134"/>
      </rPr>
      <t>Notes</t>
    </r>
    <r>
      <rPr>
        <sz val="10"/>
        <color rgb="FF000000"/>
        <rFont val="Arial"/>
        <charset val="134"/>
      </rPr>
      <t xml:space="preserve">  </t>
    </r>
    <r>
      <rPr>
        <sz val="10"/>
        <color rgb="FF000000"/>
        <rFont val="微软雅黑"/>
        <charset val="134"/>
      </rPr>
      <t>请在此记录固定资产明细账和总账的差异，并详细记录对差异进行的核查程序。</t>
    </r>
  </si>
  <si>
    <t>将固定资产本年折旧与利润表相关科目金额核对。复核本期折旧是否正确，与利润表科目核对是否相符。</t>
  </si>
  <si>
    <t>表4</t>
  </si>
  <si>
    <r>
      <rPr>
        <b/>
        <sz val="10"/>
        <rFont val="微软雅黑"/>
        <charset val="134"/>
      </rPr>
      <t>折旧费用与利润表科目核对</t>
    </r>
  </si>
  <si>
    <r>
      <rPr>
        <b/>
        <sz val="10"/>
        <rFont val="微软雅黑"/>
        <charset val="134"/>
      </rPr>
      <t>账套名称</t>
    </r>
    <r>
      <rPr>
        <b/>
        <sz val="10"/>
        <rFont val="Arial"/>
        <charset val="134"/>
      </rPr>
      <t>/</t>
    </r>
    <r>
      <rPr>
        <b/>
        <sz val="10"/>
        <rFont val="微软雅黑"/>
        <charset val="134"/>
      </rPr>
      <t>账套编码</t>
    </r>
  </si>
  <si>
    <r>
      <rPr>
        <b/>
        <sz val="10"/>
        <rFont val="微软雅黑"/>
        <charset val="134"/>
      </rPr>
      <t>科目编码</t>
    </r>
  </si>
  <si>
    <r>
      <rPr>
        <b/>
        <sz val="10"/>
        <rFont val="微软雅黑"/>
        <charset val="134"/>
      </rPr>
      <t>交叉索引</t>
    </r>
  </si>
  <si>
    <r>
      <rPr>
        <b/>
        <sz val="10"/>
        <rFont val="微软雅黑"/>
        <charset val="134"/>
      </rPr>
      <t>科目名称</t>
    </r>
  </si>
  <si>
    <r>
      <rPr>
        <b/>
        <sz val="10"/>
        <rFont val="微软雅黑"/>
        <charset val="134"/>
      </rPr>
      <t>金额</t>
    </r>
  </si>
  <si>
    <r>
      <rPr>
        <sz val="10"/>
        <color theme="1"/>
        <rFont val="微软雅黑"/>
        <charset val="134"/>
      </rPr>
      <t>制造费用</t>
    </r>
  </si>
  <si>
    <r>
      <rPr>
        <sz val="10"/>
        <rFont val="微软雅黑"/>
        <charset val="134"/>
      </rPr>
      <t>销售费用</t>
    </r>
  </si>
  <si>
    <r>
      <rPr>
        <sz val="10"/>
        <rFont val="微软雅黑"/>
        <charset val="134"/>
      </rPr>
      <t>管理费用</t>
    </r>
  </si>
  <si>
    <r>
      <rPr>
        <sz val="10"/>
        <rFont val="微软雅黑"/>
        <charset val="134"/>
      </rPr>
      <t>研发费用</t>
    </r>
  </si>
  <si>
    <r>
      <rPr>
        <sz val="10"/>
        <rFont val="微软雅黑"/>
        <charset val="134"/>
      </rPr>
      <t>合计</t>
    </r>
  </si>
  <si>
    <t>K1</t>
  </si>
  <si>
    <r>
      <rPr>
        <sz val="10"/>
        <rFont val="微软雅黑"/>
        <charset val="134"/>
      </rPr>
      <t>累计折旧科目</t>
    </r>
    <r>
      <rPr>
        <sz val="10"/>
        <rFont val="Arial"/>
        <charset val="134"/>
      </rPr>
      <t>-</t>
    </r>
    <r>
      <rPr>
        <sz val="10"/>
        <rFont val="微软雅黑"/>
        <charset val="134"/>
      </rPr>
      <t>本年计提</t>
    </r>
  </si>
  <si>
    <r>
      <rPr>
        <sz val="10"/>
        <rFont val="微软雅黑"/>
        <charset val="134"/>
      </rPr>
      <t>差异</t>
    </r>
  </si>
  <si>
    <t>7054f053-bac2-4036-a572-53d350c3c8de</t>
  </si>
  <si>
    <t>1.项目组可以自定义固定资产清单表格，也可直接使用系统导出的固定资产清单，但必须确保必需字段（固定资产类别、编号、名称、开始入账日期、使用寿命、残值率、原值、累计折旧、净值）完整。可参考链接：</t>
  </si>
  <si>
    <r>
      <rPr>
        <b/>
        <sz val="14"/>
        <color rgb="FFFF0000"/>
        <rFont val="Arial"/>
        <charset val="134"/>
      </rPr>
      <t>2.获取期末的固定资产明细清单，将固定资产明细清单的金额与K.01 Agree SL to GL</t>
    </r>
    <r>
      <rPr>
        <sz val="14"/>
        <color rgb="FFFF0000"/>
        <rFont val="Arial"/>
        <charset val="134"/>
      </rPr>
      <t xml:space="preserve"> </t>
    </r>
    <r>
      <rPr>
        <b/>
        <sz val="14"/>
        <color rgb="FFFF0000"/>
        <rFont val="Arial"/>
        <charset val="134"/>
      </rPr>
      <t>表1的金额进行核对，核对结果详见K.01 Agree SL to GL 表2，并调查大于SAD的差异。</t>
    </r>
  </si>
  <si>
    <t>3.固定资产的类别：请使用被审计单位的台账，无需对资产的类别添加自己的重分类修改。</t>
  </si>
  <si>
    <t>4.如果折旧测试较难执行实质性分析程序或从实质性分析程序中获得的证据水平不足以得出审计结论，我们可在&lt;FA List&gt;中执行全量折旧测试，底稿形式可参考：</t>
  </si>
  <si>
    <r>
      <rPr>
        <b/>
        <sz val="14"/>
        <color rgb="FFFFFFFF"/>
        <rFont val="微软雅黑"/>
        <charset val="134"/>
      </rPr>
      <t>标准工作底稿</t>
    </r>
    <r>
      <rPr>
        <b/>
        <sz val="14"/>
        <color rgb="FFFFFFFF"/>
        <rFont val="Arial"/>
        <charset val="134"/>
      </rPr>
      <t xml:space="preserve">: K1 SWP </t>
    </r>
    <r>
      <rPr>
        <b/>
        <sz val="14"/>
        <color rgb="FFFFFFFF"/>
        <rFont val="微软雅黑"/>
        <charset val="134"/>
      </rPr>
      <t>不动产、厂房和设备及相关账户（</t>
    </r>
    <r>
      <rPr>
        <b/>
        <sz val="14"/>
        <color rgb="FFFFFFFF"/>
        <rFont val="Arial"/>
        <charset val="134"/>
      </rPr>
      <t>PPE</t>
    </r>
    <r>
      <rPr>
        <b/>
        <sz val="14"/>
        <color rgb="FFFFFFFF"/>
        <rFont val="微软雅黑"/>
        <charset val="134"/>
      </rPr>
      <t>）</t>
    </r>
  </si>
  <si>
    <r>
      <rPr>
        <b/>
        <sz val="12"/>
        <color rgb="FF000000"/>
        <rFont val="Arial"/>
        <charset val="134"/>
      </rPr>
      <t>K.02.1</t>
    </r>
    <r>
      <rPr>
        <b/>
        <sz val="12"/>
        <color rgb="FF000000"/>
        <rFont val="微软雅黑"/>
        <charset val="134"/>
      </rPr>
      <t>：详细测试</t>
    </r>
    <r>
      <rPr>
        <b/>
        <sz val="12"/>
        <color rgb="FF000000"/>
        <rFont val="Arial"/>
        <charset val="134"/>
      </rPr>
      <t xml:space="preserve"> (</t>
    </r>
    <r>
      <rPr>
        <b/>
        <sz val="12"/>
        <color rgb="FF000000"/>
        <rFont val="微软雅黑"/>
        <charset val="134"/>
      </rPr>
      <t>新增</t>
    </r>
    <r>
      <rPr>
        <b/>
        <sz val="12"/>
        <color rgb="FF000000"/>
        <rFont val="Arial"/>
        <charset val="134"/>
      </rPr>
      <t>)</t>
    </r>
  </si>
  <si>
    <r>
      <rPr>
        <b/>
        <sz val="10"/>
        <rFont val="微软雅黑"/>
        <charset val="134"/>
      </rPr>
      <t>记录我们的详细测试所涵盖的总体</t>
    </r>
    <r>
      <rPr>
        <b/>
        <i/>
        <sz val="10"/>
        <color rgb="FFFF0000"/>
        <rFont val="微软雅黑"/>
        <charset val="134"/>
      </rPr>
      <t>（指引：纳入充分的描述，以使经验丰富且之前与该项审计无关的审计师能够理解样本是如何选择的，例如，总体的分类或筛选。）</t>
    </r>
  </si>
  <si>
    <r>
      <rPr>
        <sz val="10"/>
        <rFont val="微软雅黑"/>
        <charset val="134"/>
      </rPr>
      <t>购置总金额</t>
    </r>
  </si>
  <si>
    <r>
      <rPr>
        <sz val="10"/>
        <color rgb="FF000000"/>
        <rFont val="Arial"/>
        <charset val="134"/>
      </rPr>
      <t>Breakdown</t>
    </r>
    <r>
      <rPr>
        <sz val="10"/>
        <color rgb="FF000000"/>
        <rFont val="微软雅黑"/>
        <charset val="134"/>
      </rPr>
      <t>中购置金额</t>
    </r>
  </si>
  <si>
    <r>
      <rPr>
        <b/>
        <sz val="10"/>
        <rFont val="微软雅黑"/>
        <charset val="134"/>
      </rPr>
      <t>差异是否需要进一步调查？</t>
    </r>
    <r>
      <rPr>
        <b/>
        <sz val="10"/>
        <rFont val="Arial"/>
        <charset val="134"/>
      </rPr>
      <t xml:space="preserve">     </t>
    </r>
  </si>
  <si>
    <r>
      <rPr>
        <sz val="10"/>
        <rFont val="微软雅黑"/>
        <charset val="134"/>
      </rPr>
      <t>减：测试的关键项目</t>
    </r>
  </si>
  <si>
    <r>
      <rPr>
        <sz val="10"/>
        <rFont val="微软雅黑"/>
        <charset val="134"/>
      </rPr>
      <t>进行代表性抽样的剩余总体</t>
    </r>
  </si>
  <si>
    <r>
      <rPr>
        <b/>
        <sz val="10"/>
        <color rgb="FF000000"/>
        <rFont val="微软雅黑"/>
        <charset val="134"/>
      </rPr>
      <t>在下方描述选择关键项目的理由</t>
    </r>
    <r>
      <rPr>
        <b/>
        <i/>
        <sz val="10"/>
        <color rgb="FFFF0000"/>
        <rFont val="微软雅黑"/>
        <charset val="134"/>
      </rPr>
      <t>（请参阅</t>
    </r>
    <r>
      <rPr>
        <b/>
        <i/>
        <sz val="10"/>
        <color rgb="FFFF0000"/>
        <rFont val="Arial"/>
        <charset val="134"/>
      </rPr>
      <t>Canvas</t>
    </r>
    <r>
      <rPr>
        <b/>
        <i/>
        <sz val="10"/>
        <color rgb="FFFF0000"/>
        <rFont val="微软雅黑"/>
        <charset val="134"/>
      </rPr>
      <t>指导工作流程的</t>
    </r>
    <r>
      <rPr>
        <b/>
        <i/>
        <sz val="10"/>
        <color rgb="FFFF0000"/>
        <rFont val="Arial"/>
        <charset val="134"/>
      </rPr>
      <t>“</t>
    </r>
    <r>
      <rPr>
        <b/>
        <i/>
        <sz val="10"/>
        <color rgb="FFFF0000"/>
        <rFont val="微软雅黑"/>
        <charset val="134"/>
      </rPr>
      <t>关键项目</t>
    </r>
    <r>
      <rPr>
        <b/>
        <i/>
        <sz val="10"/>
        <color rgb="FFFF0000"/>
        <rFont val="Arial"/>
        <charset val="134"/>
      </rPr>
      <t>”</t>
    </r>
    <r>
      <rPr>
        <b/>
        <i/>
        <sz val="10"/>
        <color rgb="FFFF0000"/>
        <rFont val="微软雅黑"/>
        <charset val="134"/>
      </rPr>
      <t>部分，包括信息图标）</t>
    </r>
  </si>
  <si>
    <r>
      <rPr>
        <b/>
        <sz val="10"/>
        <rFont val="Arial"/>
        <charset val="134"/>
      </rPr>
      <t xml:space="preserve">EY </t>
    </r>
    <r>
      <rPr>
        <b/>
        <sz val="10"/>
        <rFont val="微软雅黑"/>
        <charset val="134"/>
      </rPr>
      <t>测试属性解释</t>
    </r>
    <r>
      <rPr>
        <b/>
        <sz val="10"/>
        <rFont val="Arial"/>
        <charset val="134"/>
      </rPr>
      <t>:</t>
    </r>
  </si>
  <si>
    <r>
      <rPr>
        <i/>
        <sz val="10"/>
        <rFont val="微软雅黑"/>
        <charset val="134"/>
      </rPr>
      <t>对于每个被选中进行测试的项目，我们检查了相关的第三方证据以及相关的会计分录，并确定：</t>
    </r>
  </si>
  <si>
    <r>
      <rPr>
        <sz val="10"/>
        <rFont val="Arial"/>
        <charset val="134"/>
      </rPr>
      <t xml:space="preserve">1) </t>
    </r>
    <r>
      <rPr>
        <sz val="10"/>
        <rFont val="微软雅黑"/>
        <charset val="134"/>
      </rPr>
      <t>测试样本于恰当的日期被正确资本化为固定资产（即，不应该费用化）。</t>
    </r>
  </si>
  <si>
    <r>
      <rPr>
        <sz val="10"/>
        <rFont val="Arial"/>
        <charset val="134"/>
      </rPr>
      <t xml:space="preserve">2) </t>
    </r>
    <r>
      <rPr>
        <sz val="10"/>
        <rFont val="微软雅黑"/>
        <charset val="134"/>
      </rPr>
      <t>历史成本已根据适用的财务报告框架进行记录。</t>
    </r>
  </si>
  <si>
    <r>
      <rPr>
        <sz val="10"/>
        <color rgb="FF000000"/>
        <rFont val="Arial"/>
        <charset val="134"/>
      </rPr>
      <t xml:space="preserve">3) </t>
    </r>
    <r>
      <rPr>
        <sz val="10"/>
        <color rgb="FF000000"/>
        <rFont val="微软雅黑"/>
        <charset val="134"/>
      </rPr>
      <t>管理层对测试项目采用的使用寿命和折旧方法是适当的（符合实体的会计政策和适用的财务报告框架）。</t>
    </r>
  </si>
  <si>
    <r>
      <rPr>
        <sz val="10"/>
        <rFont val="Arial"/>
        <charset val="134"/>
      </rPr>
      <t xml:space="preserve">4) </t>
    </r>
    <r>
      <rPr>
        <sz val="10"/>
        <rFont val="微软雅黑"/>
        <charset val="134"/>
      </rPr>
      <t>该资产已被归入适当的固定资产类别。</t>
    </r>
  </si>
  <si>
    <t>|------- Rx -------|</t>
  </si>
  <si>
    <t>EY Works</t>
  </si>
  <si>
    <r>
      <rPr>
        <b/>
        <sz val="10"/>
        <rFont val="微软雅黑"/>
        <charset val="134"/>
      </rPr>
      <t>样本类型</t>
    </r>
  </si>
  <si>
    <r>
      <rPr>
        <b/>
        <sz val="10"/>
        <rFont val="微软雅黑"/>
        <charset val="134"/>
      </rPr>
      <t>总账账户代码</t>
    </r>
  </si>
  <si>
    <r>
      <rPr>
        <b/>
        <sz val="10"/>
        <rFont val="微软雅黑"/>
        <charset val="134"/>
      </rPr>
      <t>固定资产编号</t>
    </r>
  </si>
  <si>
    <r>
      <rPr>
        <b/>
        <sz val="10"/>
        <rFont val="微软雅黑"/>
        <charset val="134"/>
      </rPr>
      <t>固定资产名称</t>
    </r>
  </si>
  <si>
    <r>
      <rPr>
        <b/>
        <sz val="10"/>
        <rFont val="微软雅黑"/>
        <charset val="134"/>
      </rPr>
      <t>资产原价</t>
    </r>
  </si>
  <si>
    <r>
      <rPr>
        <b/>
        <sz val="10"/>
        <rFont val="微软雅黑"/>
        <charset val="134"/>
      </rPr>
      <t>资本化日期</t>
    </r>
  </si>
  <si>
    <r>
      <rPr>
        <b/>
        <sz val="10"/>
        <rFont val="Arial"/>
        <charset val="134"/>
      </rPr>
      <t xml:space="preserve"> </t>
    </r>
    <r>
      <rPr>
        <b/>
        <sz val="10"/>
        <rFont val="微软雅黑"/>
        <charset val="134"/>
      </rPr>
      <t>使用寿命</t>
    </r>
    <r>
      <rPr>
        <b/>
        <sz val="10"/>
        <rFont val="Arial"/>
        <charset val="134"/>
      </rPr>
      <t>(</t>
    </r>
    <r>
      <rPr>
        <b/>
        <sz val="10"/>
        <rFont val="微软雅黑"/>
        <charset val="134"/>
      </rPr>
      <t>月</t>
    </r>
    <r>
      <rPr>
        <b/>
        <sz val="10"/>
        <rFont val="Arial"/>
        <charset val="134"/>
      </rPr>
      <t>)</t>
    </r>
  </si>
  <si>
    <r>
      <rPr>
        <b/>
        <sz val="10"/>
        <rFont val="微软雅黑"/>
        <charset val="134"/>
      </rPr>
      <t>残值率</t>
    </r>
  </si>
  <si>
    <r>
      <rPr>
        <b/>
        <sz val="10"/>
        <rFont val="微软雅黑"/>
        <charset val="134"/>
      </rPr>
      <t>折旧方法</t>
    </r>
  </si>
  <si>
    <r>
      <rPr>
        <b/>
        <sz val="10"/>
        <rFont val="微软雅黑"/>
        <charset val="134"/>
      </rPr>
      <t>资产原价（通过审计证据</t>
    </r>
    <r>
      <rPr>
        <b/>
        <sz val="10"/>
        <rFont val="Arial"/>
        <charset val="134"/>
      </rPr>
      <t>/</t>
    </r>
    <r>
      <rPr>
        <b/>
        <sz val="10"/>
        <rFont val="微软雅黑"/>
        <charset val="134"/>
      </rPr>
      <t>支持性文件取得）</t>
    </r>
  </si>
  <si>
    <r>
      <rPr>
        <b/>
        <sz val="10"/>
        <rFont val="微软雅黑"/>
        <charset val="134"/>
      </rPr>
      <t>获得的证据</t>
    </r>
    <r>
      <rPr>
        <b/>
        <sz val="10"/>
        <rFont val="Arial"/>
        <charset val="134"/>
      </rPr>
      <t>/</t>
    </r>
    <r>
      <rPr>
        <b/>
        <sz val="10"/>
        <rFont val="微软雅黑"/>
        <charset val="134"/>
      </rPr>
      <t>支持的描述（例如，我们检查的控制权转移时点的单据</t>
    </r>
    <r>
      <rPr>
        <b/>
        <sz val="10"/>
        <rFont val="Arial"/>
        <charset val="134"/>
      </rPr>
      <t>/</t>
    </r>
    <r>
      <rPr>
        <b/>
        <sz val="10"/>
        <rFont val="微软雅黑"/>
        <charset val="134"/>
      </rPr>
      <t>销售发票</t>
    </r>
    <r>
      <rPr>
        <b/>
        <sz val="10"/>
        <rFont val="Arial"/>
        <charset val="134"/>
      </rPr>
      <t>/</t>
    </r>
    <r>
      <rPr>
        <b/>
        <sz val="10"/>
        <rFont val="微软雅黑"/>
        <charset val="134"/>
      </rPr>
      <t>合同</t>
    </r>
    <r>
      <rPr>
        <b/>
        <sz val="10"/>
        <rFont val="Arial"/>
        <charset val="134"/>
      </rPr>
      <t>/</t>
    </r>
    <r>
      <rPr>
        <b/>
        <sz val="10"/>
        <rFont val="微软雅黑"/>
        <charset val="134"/>
      </rPr>
      <t>订单等）</t>
    </r>
  </si>
  <si>
    <r>
      <rPr>
        <b/>
        <sz val="10"/>
        <rFont val="微软雅黑"/>
        <charset val="134"/>
      </rPr>
      <t>资产原价差异</t>
    </r>
  </si>
  <si>
    <r>
      <rPr>
        <b/>
        <sz val="10"/>
        <color rgb="FF000000"/>
        <rFont val="微软雅黑"/>
        <charset val="134"/>
      </rPr>
      <t>标记图例</t>
    </r>
    <r>
      <rPr>
        <b/>
        <sz val="10"/>
        <color rgb="FF000000"/>
        <rFont val="Arial"/>
        <charset val="134"/>
      </rPr>
      <t xml:space="preserve">: </t>
    </r>
    <r>
      <rPr>
        <sz val="10"/>
        <color rgb="FF000000"/>
        <rFont val="微软雅黑"/>
        <charset val="134"/>
      </rPr>
      <t>记录已识别的异常情况以及如何解决这些异常情况的详细信息，包括执行的其他实质性程序</t>
    </r>
    <r>
      <rPr>
        <b/>
        <i/>
        <sz val="10"/>
        <color rgb="FFFF0000"/>
        <rFont val="微软雅黑"/>
        <charset val="134"/>
      </rPr>
      <t>（指南：包括足够的描述，以使之前与审计无关的经验丰富的审计师能够理解执行的程序）。</t>
    </r>
  </si>
  <si>
    <r>
      <rPr>
        <b/>
        <sz val="14"/>
        <color rgb="FFFF0000"/>
        <rFont val="微软雅黑"/>
        <charset val="134"/>
      </rPr>
      <t>将此选项页替换为安永智能选样工作文件中的</t>
    </r>
    <r>
      <rPr>
        <b/>
        <sz val="14"/>
        <color rgb="FFFF0000"/>
        <rFont val="Arial"/>
        <charset val="134"/>
      </rPr>
      <t>“</t>
    </r>
    <r>
      <rPr>
        <b/>
        <sz val="14"/>
        <color rgb="FFFF0000"/>
        <rFont val="微软雅黑"/>
        <charset val="134"/>
      </rPr>
      <t>选样项目详细信息</t>
    </r>
    <r>
      <rPr>
        <b/>
        <sz val="14"/>
        <color rgb="FFFF0000"/>
        <rFont val="Arial"/>
        <charset val="134"/>
      </rPr>
      <t>”</t>
    </r>
  </si>
  <si>
    <r>
      <rPr>
        <b/>
        <sz val="14"/>
        <color rgb="FF000000"/>
        <rFont val="微软雅黑"/>
        <charset val="134"/>
      </rPr>
      <t>获取当期按类别划分的所有固定资产新增清单，并将该清单与固定资产后推核对一致。调查超过</t>
    </r>
    <r>
      <rPr>
        <b/>
        <sz val="14"/>
        <color rgb="FF000000"/>
        <rFont val="Arial"/>
        <charset val="134"/>
      </rPr>
      <t>SAD</t>
    </r>
    <r>
      <rPr>
        <b/>
        <sz val="14"/>
        <color rgb="FF000000"/>
        <rFont val="微软雅黑"/>
        <charset val="134"/>
      </rPr>
      <t>名义金额的差额（例如，新增清单和后推明细表之间未被解释的差额）。</t>
    </r>
    <r>
      <rPr>
        <b/>
        <sz val="14"/>
        <color rgb="FF000000"/>
        <rFont val="Arial"/>
        <charset val="134"/>
      </rPr>
      <t xml:space="preserve"> </t>
    </r>
  </si>
  <si>
    <r>
      <rPr>
        <b/>
        <sz val="14"/>
        <color rgb="FFFF0000"/>
        <rFont val="微软雅黑"/>
        <charset val="134"/>
      </rPr>
      <t>注：项目组可以自定义固定资产新增清单表格，也可直接使用系统导出的固定资产新增清单，但必须确保必需字段（固定资产类别、编号、名称、入账开始日期、原值、新增方式）完整。</t>
    </r>
  </si>
  <si>
    <r>
      <rPr>
        <b/>
        <sz val="12"/>
        <color rgb="FF000000"/>
        <rFont val="Arial"/>
        <charset val="134"/>
      </rPr>
      <t>K.02.2</t>
    </r>
    <r>
      <rPr>
        <b/>
        <sz val="12"/>
        <color rgb="FF000000"/>
        <rFont val="微软雅黑"/>
        <charset val="134"/>
      </rPr>
      <t>：详细测试</t>
    </r>
    <r>
      <rPr>
        <b/>
        <sz val="12"/>
        <color rgb="FF000000"/>
        <rFont val="Arial"/>
        <charset val="134"/>
      </rPr>
      <t xml:space="preserve"> (</t>
    </r>
    <r>
      <rPr>
        <b/>
        <sz val="12"/>
        <color rgb="FF000000"/>
        <rFont val="微软雅黑"/>
        <charset val="134"/>
      </rPr>
      <t>处置</t>
    </r>
    <r>
      <rPr>
        <b/>
        <sz val="12"/>
        <color rgb="FF000000"/>
        <rFont val="Arial"/>
        <charset val="134"/>
      </rPr>
      <t>/</t>
    </r>
    <r>
      <rPr>
        <b/>
        <sz val="12"/>
        <color rgb="FF000000"/>
        <rFont val="微软雅黑"/>
        <charset val="134"/>
      </rPr>
      <t>报废</t>
    </r>
    <r>
      <rPr>
        <b/>
        <sz val="12"/>
        <color rgb="FF000000"/>
        <rFont val="Arial"/>
        <charset val="134"/>
      </rPr>
      <t>)</t>
    </r>
  </si>
  <si>
    <r>
      <rPr>
        <b/>
        <sz val="10"/>
        <rFont val="微软雅黑"/>
        <charset val="134"/>
      </rPr>
      <t>账面净值</t>
    </r>
  </si>
  <si>
    <r>
      <rPr>
        <sz val="10"/>
        <rFont val="微软雅黑"/>
        <charset val="134"/>
      </rPr>
      <t>处置</t>
    </r>
    <r>
      <rPr>
        <sz val="10"/>
        <rFont val="Arial"/>
        <charset val="134"/>
      </rPr>
      <t>/</t>
    </r>
    <r>
      <rPr>
        <sz val="10"/>
        <rFont val="微软雅黑"/>
        <charset val="134"/>
      </rPr>
      <t>报废总金额</t>
    </r>
  </si>
  <si>
    <r>
      <rPr>
        <sz val="10"/>
        <rFont val="Arial"/>
        <charset val="134"/>
      </rPr>
      <t>Breakdown</t>
    </r>
    <r>
      <rPr>
        <sz val="10"/>
        <rFont val="微软雅黑"/>
        <charset val="134"/>
      </rPr>
      <t>中处置</t>
    </r>
    <r>
      <rPr>
        <sz val="10"/>
        <rFont val="Arial"/>
        <charset val="134"/>
      </rPr>
      <t>/</t>
    </r>
    <r>
      <rPr>
        <sz val="10"/>
        <rFont val="微软雅黑"/>
        <charset val="134"/>
      </rPr>
      <t>报废金额</t>
    </r>
  </si>
  <si>
    <r>
      <rPr>
        <sz val="10"/>
        <color rgb="FF000000"/>
        <rFont val="Arial"/>
        <charset val="134"/>
      </rPr>
      <t xml:space="preserve">1) </t>
    </r>
    <r>
      <rPr>
        <sz val="10"/>
        <color rgb="FF000000"/>
        <rFont val="微软雅黑"/>
        <charset val="134"/>
      </rPr>
      <t>测试样本（原值和累计折旧余额）已从固定资产明细账和总账中正确移除。</t>
    </r>
  </si>
  <si>
    <r>
      <rPr>
        <sz val="10"/>
        <rFont val="Arial"/>
        <charset val="134"/>
      </rPr>
      <t xml:space="preserve">2) </t>
    </r>
    <r>
      <rPr>
        <sz val="10"/>
        <rFont val="微软雅黑"/>
        <charset val="134"/>
      </rPr>
      <t>重新计算资产处置时点的账面净值，并计算处置损益。确认处置损益已按照适用的财务报告框架正确记录和分类。</t>
    </r>
  </si>
  <si>
    <r>
      <rPr>
        <sz val="10"/>
        <color rgb="FF000000"/>
        <rFont val="Arial"/>
        <charset val="134"/>
      </rPr>
      <t xml:space="preserve">3) </t>
    </r>
    <r>
      <rPr>
        <sz val="10"/>
        <color rgb="FF000000"/>
        <rFont val="微软雅黑"/>
        <charset val="134"/>
      </rPr>
      <t>如果适用，正确记录处置收入金额。如果资产被出售（即收到收益），则获得发票或付款证明等，并确认与日记账分录中记录的收益金额一致。</t>
    </r>
  </si>
  <si>
    <r>
      <rPr>
        <b/>
        <sz val="10"/>
        <rFont val="微软雅黑"/>
        <charset val="134"/>
      </rPr>
      <t>固定资产处置</t>
    </r>
    <r>
      <rPr>
        <b/>
        <sz val="10"/>
        <rFont val="Arial"/>
        <charset val="134"/>
      </rPr>
      <t>/</t>
    </r>
    <r>
      <rPr>
        <b/>
        <sz val="10"/>
        <rFont val="微软雅黑"/>
        <charset val="134"/>
      </rPr>
      <t>报废测试</t>
    </r>
  </si>
  <si>
    <r>
      <rPr>
        <b/>
        <sz val="10"/>
        <rFont val="微软雅黑"/>
        <charset val="134"/>
      </rPr>
      <t>样本序号</t>
    </r>
  </si>
  <si>
    <r>
      <rPr>
        <b/>
        <sz val="10"/>
        <rFont val="微软雅黑"/>
        <charset val="134"/>
      </rPr>
      <t>总账账户</t>
    </r>
  </si>
  <si>
    <r>
      <rPr>
        <b/>
        <sz val="10"/>
        <rFont val="微软雅黑"/>
        <charset val="134"/>
      </rPr>
      <t>处置</t>
    </r>
    <r>
      <rPr>
        <b/>
        <sz val="10"/>
        <rFont val="Arial"/>
        <charset val="134"/>
      </rPr>
      <t>/</t>
    </r>
    <r>
      <rPr>
        <b/>
        <sz val="10"/>
        <rFont val="微软雅黑"/>
        <charset val="134"/>
      </rPr>
      <t>报废日</t>
    </r>
  </si>
  <si>
    <r>
      <rPr>
        <b/>
        <sz val="10"/>
        <rFont val="微软雅黑"/>
        <charset val="134"/>
      </rPr>
      <t>净值</t>
    </r>
  </si>
  <si>
    <r>
      <rPr>
        <b/>
        <sz val="10"/>
        <rFont val="微软雅黑"/>
        <charset val="134"/>
      </rPr>
      <t>出售价格</t>
    </r>
  </si>
  <si>
    <r>
      <rPr>
        <b/>
        <sz val="10"/>
        <rFont val="微软雅黑"/>
        <charset val="134"/>
      </rPr>
      <t>处置交易凭证号</t>
    </r>
  </si>
  <si>
    <r>
      <rPr>
        <b/>
        <sz val="10"/>
        <rFont val="微软雅黑"/>
        <charset val="134"/>
      </rPr>
      <t>处置损益</t>
    </r>
  </si>
  <si>
    <r>
      <rPr>
        <b/>
        <sz val="10"/>
        <rFont val="微软雅黑"/>
        <charset val="134"/>
      </rPr>
      <t>出售价格（通过审计证据</t>
    </r>
    <r>
      <rPr>
        <b/>
        <sz val="10"/>
        <rFont val="Arial"/>
        <charset val="134"/>
      </rPr>
      <t>/</t>
    </r>
    <r>
      <rPr>
        <b/>
        <sz val="10"/>
        <rFont val="微软雅黑"/>
        <charset val="134"/>
      </rPr>
      <t>支持性文件取得）</t>
    </r>
  </si>
  <si>
    <r>
      <rPr>
        <b/>
        <sz val="10"/>
        <rFont val="微软雅黑"/>
        <charset val="134"/>
      </rPr>
      <t>出售价格差异</t>
    </r>
  </si>
  <si>
    <r>
      <rPr>
        <b/>
        <sz val="10"/>
        <rFont val="微软雅黑"/>
        <charset val="134"/>
      </rPr>
      <t>获得的证据</t>
    </r>
    <r>
      <rPr>
        <b/>
        <sz val="10"/>
        <rFont val="Arial"/>
        <charset val="134"/>
      </rPr>
      <t>/</t>
    </r>
    <r>
      <rPr>
        <b/>
        <sz val="10"/>
        <rFont val="微软雅黑"/>
        <charset val="134"/>
      </rPr>
      <t>支持的描述（例如，我们检查的具体销售发票</t>
    </r>
    <r>
      <rPr>
        <b/>
        <sz val="10"/>
        <rFont val="Arial"/>
        <charset val="134"/>
      </rPr>
      <t>/</t>
    </r>
    <r>
      <rPr>
        <b/>
        <sz val="10"/>
        <rFont val="微软雅黑"/>
        <charset val="134"/>
      </rPr>
      <t>合同</t>
    </r>
    <r>
      <rPr>
        <b/>
        <sz val="10"/>
        <rFont val="Arial"/>
        <charset val="134"/>
      </rPr>
      <t>/</t>
    </r>
    <r>
      <rPr>
        <b/>
        <sz val="10"/>
        <rFont val="微软雅黑"/>
        <charset val="134"/>
      </rPr>
      <t>订单</t>
    </r>
    <r>
      <rPr>
        <b/>
        <sz val="10"/>
        <rFont val="Arial"/>
        <charset val="134"/>
      </rPr>
      <t>/</t>
    </r>
    <r>
      <rPr>
        <b/>
        <sz val="10"/>
        <rFont val="微软雅黑"/>
        <charset val="134"/>
      </rPr>
      <t>审批文件等）</t>
    </r>
  </si>
  <si>
    <r>
      <rPr>
        <b/>
        <sz val="10"/>
        <color rgb="FF000000"/>
        <rFont val="微软雅黑"/>
        <charset val="134"/>
      </rPr>
      <t>标记图例</t>
    </r>
    <r>
      <rPr>
        <b/>
        <sz val="10"/>
        <color rgb="FF000000"/>
        <rFont val="Arial"/>
        <charset val="134"/>
      </rPr>
      <t xml:space="preserve">: </t>
    </r>
    <r>
      <rPr>
        <i/>
        <sz val="10"/>
        <color rgb="FF000000"/>
        <rFont val="微软雅黑"/>
        <charset val="134"/>
      </rPr>
      <t>记录已识别的异常情况以及如何解决这些异常情况的详细信息，包括执行的其他实质性程序</t>
    </r>
    <r>
      <rPr>
        <b/>
        <i/>
        <sz val="10"/>
        <color rgb="FFFF0000"/>
        <rFont val="微软雅黑"/>
        <charset val="134"/>
      </rPr>
      <t>（指南：包括足够的描述，以使之前与审计无关的经验丰富的审计师能够理解执行的程序）。</t>
    </r>
  </si>
  <si>
    <t>db9ce45c-b5c9-4e6d-be28-967b500f20b6</t>
  </si>
  <si>
    <t>{"Id":"2120100351","IsProject":false,"ProjectId":"2006602268","TempProjectName":"云端天风测试","TempType":2,"Upload":"上传","Download":"下载"}</t>
  </si>
  <si>
    <t>ABC7ZjPaxNBFMfvhf4Pw+IxLNndpGm8xTTRYKwhGxApPUzZl7hkdifszhqCCD1UikpPavUkRQqe/HUQi0X71+y2nvwXzDa7rcQpKAxMhbns4b3ZN/P48OY77/08PFpbXEDoQfpBSLvCJiPQriKtcVe3h5Ox6zv6HRoMO3gEgd7yRxGz7wGwAuIt0ApZmJYzjeFHhOQGO9roUYZJw8cbBFJvH5MQ5t1NF0jq1M4i9W7MRVrF3ukBk0/byeYhOt8ybAP+I3ArvBYAHjp07M+7unRcp5HPpnbTzI11SnJjNbc1fOYyF8KpbW397G/w6H1wuD478jwcTHppqhcmfL7EZhMCWVq/Z1rrdlYpA+4WnYAOAuw1XULqAQ3DLvRvUQfybdJVDwt/D3YF+jgilwVttrkNjLn+4PRQQjBXLA7m5SXFWRLnm3rR1A2U7H6M37xOPj89+fBCTD2XlzigzaICLRO0ieL9reNv72eghXAucTlbirM8zta0oO1aR4wslzl4DUPhlYnXRMmTV8nLt7My7t1eEVPJvBeYqVDLlWacafOPzcfJ3peT78/i7a9CcFd5hV1StKXqM84EWjjtkqJ9yWgXUUoTXdBasSD6R8JGpcJhbC0rxvIYG6g2CACQ3UaMouttIaVsVHlCbRiqt5JFullDxA3FDEhM3k1tlRVbWTPO2WTk4FG8I6Zh5vbL6pUti282EBHHl6fCplJhqQ2zlTfMz4+O3+3G+zvJ3oGY25rXRZn//bt6cWH9Fw==</t>
  </si>
  <si>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</si>
  <si>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</si>
  <si>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</si>
  <si>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</si>
  <si>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t>
  </si>
  <si>
    <t>ABC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t>
  </si>
  <si>
    <t>ABC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t>
  </si>
  <si>
    <t>AB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t>
  </si>
  <si>
    <t>AB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t>
  </si>
  <si>
    <t>AB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t>
  </si>
  <si>
    <t>AB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</si>
  <si>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</si>
  <si>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</si>
  <si>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</si>
  <si>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</si>
  <si>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</si>
  <si>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</si>
  <si>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</si>
  <si>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</si>
  <si>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</si>
  <si>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</si>
  <si>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</si>
  <si>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</si>
  <si>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</si>
  <si>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</si>
  <si>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</si>
  <si>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</si>
  <si>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</si>
  <si>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t>
  </si>
  <si>
    <t>ABC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t>
  </si>
  <si>
    <t>ABC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t>
  </si>
  <si>
    <t>ABC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t>
  </si>
  <si>
    <t>ABC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</si>
  <si>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</si>
  <si>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</si>
  <si>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</si>
  <si>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</si>
  <si>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</si>
  <si>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</si>
  <si>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</si>
  <si>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</si>
  <si>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</si>
  <si>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</si>
  <si>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</si>
  <si>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</si>
  <si>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</si>
  <si>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</si>
  <si>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</si>
  <si>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</si>
  <si>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</si>
  <si>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t>
  </si>
  <si>
    <t>ABC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t>
  </si>
  <si>
    <t>ABC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t>
  </si>
  <si>
    <t>ABC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t>
  </si>
  <si>
    <t>ABC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t>
  </si>
  <si>
    <t>ABC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t>
  </si>
  <si>
    <t>ABC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t>
  </si>
  <si>
    <t>ABC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t>
  </si>
  <si>
    <t>ABC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t>
  </si>
  <si>
    <t>ABC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t>
  </si>
  <si>
    <t>ABC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ar9+WtssADiO3wXfQ+gLKMvWtZu3OZ2CE8Y28OQhY9kYaxdJO8WbB0VUPInTk4gIXkS9iCLMd9M634Vttji/XQTBjCh8LqVNyjd/fs/zyRM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t>
  </si>
  <si>
    <t>AB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FgVCg9/mR+Aa1fu7uyMpm/PXtmLd45+Hj/+8i+zI/DJt2zt3OVLR09xJsGtcU6ntUvTyc3paOfCre3t89PJ7u7l8Y1XJ9fzzB5S9YiphUS9NpnevjR6Yzxdf2F8Y3R3e282XjT681/mb8Ta8cPz8KVcuzrZG23/7St9ePfsdP7rdmtXXz5Wmq/7yvqJE4OLhz49ftDd2Z/PDfamd8ePb3x+Oh7dvj55687xBz08G84fnvZHMw/PzAE8HHV7fuvG/ChfW/j2Xh7vTN4cX194n3X/9bon14eDg3s/7H/1xcGPHz34/tMnd86D/LOhT28t2Hm4ZefV7bwxOPjw84PPvlniylubC1Y+uWHlFa386MGvjPf2bt25OXtSy9n51IKdt6i9WrVHg9/f+eDgy58e/PrJ/vu/LGXo4ZlFJ/RZQ69u6OHg3M3peDy4cnGwNxm8dHE5O2+eXTD0pqFXOfT68MK5wdFX6eVcgS260j61aeGVmn1tfqn983v7Hy/nIozZ/8GhTz6FD+eFF9tDO69058H+1+/+dv+7B/e/Xdo12ObpRd+dzxh6pUNfe7T005b7//8R/ewzr/8B</t>
  </si>
  <si>
    <t>{"MD5":"27923415AE0CE62F312F09E44933EC68","FullPath":"C:\\SkyWind\\Files\\Template\\WPT\\EY底稿模板\\Skywind_K1_固定资产_202YMMDD_XYZ公司13.xlsx","Length":331163,"LastWriteTime":"2021-01-13T09:32:28.8886989+08:00"}</t>
  </si>
  <si>
    <t>db3de137-a293-427d-b80d-49214b5e369c</t>
  </si>
  <si>
    <t>ff8886bb-b7f7-4b80-9da7-330f78d808ae</t>
  </si>
  <si>
    <t>812bc61b-c1a1-45e1-acbf-14fb38652f5c</t>
  </si>
  <si>
    <t>22e1146d-3f08-44ae-9972-a8462b7634ae</t>
  </si>
  <si>
    <t>7d735d6a-b8ae-450d-83bf-85897cebe8f2</t>
  </si>
  <si>
    <t>cef6a48f-aedc-465b-90a1-6ce7e21344ce</t>
  </si>
  <si>
    <t>f307f2fc-7d80-47e9-a69c-a364be7ddce3</t>
  </si>
  <si>
    <t>62f8743e-f475-454c-aa64-7de88f167d36</t>
  </si>
  <si>
    <t>868be28c-4ccb-4d12-88c8-2ac58d4a87e1</t>
  </si>
  <si>
    <t>d870d3ee-974c-4add-8407-382393103c67</t>
  </si>
  <si>
    <t>4c471b99-3c1f-403a-92e9-2aff997562e3</t>
  </si>
  <si>
    <t>f0b24ebf-2605-42bb-9327-43f6f3e4f988</t>
  </si>
  <si>
    <t>5e0d88ff-f81b-4c71-b751-4fe3d67d3638</t>
  </si>
  <si>
    <t>b1c48724-31e4-44ef-bf76-cd7bf9515747</t>
  </si>
  <si>
    <t>aee71fbb-c147-4a47-9044-962071b084ea</t>
  </si>
  <si>
    <t>2bd38cb0-b2bb-4a37-a799-0cd63f7324dc</t>
  </si>
  <si>
    <t>f9c514b2-4170-416d-8c6d-0dda3e1c9010</t>
  </si>
  <si>
    <t>e4b6d84b-77c7-4fca-851d-222df4004de2</t>
  </si>
  <si>
    <t>80024c59-b33c-460d-830b-d926cc375dd1</t>
  </si>
  <si>
    <t>b7ef0efc-233a-4cf9-97fa-c7490e261bdc</t>
  </si>
  <si>
    <t>f3c09d79-bc68-45fb-a3ae-7717eae0e90a</t>
  </si>
  <si>
    <t>fb33c2b6-fdb9-46f1-bf50-723bd609c84b</t>
  </si>
  <si>
    <t>0b451ac0-c548-42ef-af37-e45dfc4fceb7</t>
  </si>
  <si>
    <t>29131286-86dd-4ca5-a3fe-35dbd415046d</t>
  </si>
  <si>
    <t>e3d2862d-8cf4-4f80-b314-3101ce237ec7</t>
  </si>
  <si>
    <t>a20da825-393d-49da-8b9b-f8c9dc7a6480</t>
  </si>
  <si>
    <t>5b87e5f2-ac8d-4069-9f7f-86d9ae7f2a00</t>
  </si>
  <si>
    <t>1fbba1be-cb67-48bc-a389-8d8679cbc22b</t>
  </si>
  <si>
    <t>af0ceacb-7fa9-4a30-844a-745ec76e725d</t>
  </si>
  <si>
    <t>a9ee7fb3-06be-4c49-9b63-fe206915a835</t>
  </si>
  <si>
    <t>7b270d42-6495-4f70-97c3-e5598cc0d713</t>
  </si>
  <si>
    <t>bcb15999-7125-4465-b550-38d64c74b23e</t>
  </si>
  <si>
    <t>b958d805-8684-4932-bba5-5c9b035fba25</t>
  </si>
  <si>
    <t>ee65204e-5251-439a-8864-66df421ce31b</t>
  </si>
  <si>
    <t>53f98fae-c222-4de9-b68c-98b4df1b2678</t>
  </si>
  <si>
    <t>2e195d21-01b6-49d4-bdef-b77e4ccb8b47</t>
  </si>
  <si>
    <t>c41a67ba-f421-45f2-8ab8-60a44d71ab90</t>
  </si>
  <si>
    <t>8cad2c60-27a8-4ead-b032-877b2fc9a3d1</t>
  </si>
  <si>
    <t>3104a45d-ee14-426e-9946-ec2b8ff41e9d</t>
  </si>
  <si>
    <t>eb3b84a3-2aca-456a-bc85-68ef54d39ef0</t>
  </si>
  <si>
    <t>ff7a1917-0999-4705-b34b-876fe45921d0</t>
  </si>
  <si>
    <t>0d33869b-734d-4627-9f23-748495b51f3a</t>
  </si>
  <si>
    <t>973c33d9-9e7c-44a8-b036-34e3ca60e724</t>
  </si>
  <si>
    <t>f6030921-fa70-4ac7-8322-eed82b59c275</t>
  </si>
  <si>
    <t>e5e626f9-1188-4aff-ab97-e58c0ca46d27</t>
  </si>
  <si>
    <t>0d02dc56-bb1d-46fb-93c9-358077888d28</t>
  </si>
  <si>
    <t>32ff551c-42fc-4a5c-b58b-21dfe0600e9e</t>
  </si>
  <si>
    <t>f423256b-65d3-4fa3-b3d7-5f95fa771105</t>
  </si>
  <si>
    <t>929e99f7-4528-4e41-bebc-bb95f7055c5b</t>
  </si>
  <si>
    <t>fde44ffb-5afe-4087-9dda-723f1caabed2</t>
  </si>
  <si>
    <t>5b1483c6-57ef-4c2d-b25b-7d514688f03d</t>
  </si>
  <si>
    <t>9f37ecc4-90b9-42a5-ad90-52b9d91a981f</t>
  </si>
  <si>
    <t>09dc284c-2fee-43c5-81c7-7b56e1255bd8</t>
  </si>
  <si>
    <t>5fcea81a-6b2a-4a2e-9e31-1da685fb0250</t>
  </si>
  <si>
    <t>2ab1e133-5462-4432-b9b2-81a4a94898cd</t>
  </si>
  <si>
    <t>3112b76f-f8be-4a6f-81c8-47469158b2c2</t>
  </si>
  <si>
    <t>ba76fe00-d8a2-4046-a268-1f8098d9287a</t>
  </si>
  <si>
    <t>07aa2aef-af3e-4f17-8258-b574abb247c3</t>
  </si>
  <si>
    <t>获取本期按资产类别划分的固定资产处置清单，包括记录的处置损益，并将该清单与固定资产后推核对一致。调查超过SAD名义金额的差额。</t>
  </si>
  <si>
    <t>我们考虑了实体经营的任何重大变化是否导致资产报废和/或处置，如果是，我们确保这些资产计入当期处置。</t>
  </si>
  <si>
    <t>注：项目组可以自定义固定资产处置清单表格，也可直接使用系统导出的固定资产处置清单，但必须确保必需字段（固定资产类别、编号、名称、原值、累计折旧、减值、净值、处置日期、减少方式）完整。</t>
  </si>
  <si>
    <r>
      <rPr>
        <b/>
        <sz val="12"/>
        <color rgb="FF000000"/>
        <rFont val="Arial"/>
        <charset val="134"/>
      </rPr>
      <t xml:space="preserve">K.03.1 </t>
    </r>
    <r>
      <rPr>
        <b/>
        <sz val="12"/>
        <color rgb="FF000000"/>
        <rFont val="微软雅黑"/>
        <charset val="134"/>
      </rPr>
      <t>实质性分析程序</t>
    </r>
  </si>
  <si>
    <t>可参考SAP示例：</t>
  </si>
  <si>
    <r>
      <rPr>
        <b/>
        <sz val="12"/>
        <color rgb="FF000000"/>
        <rFont val="Arial"/>
        <charset val="134"/>
      </rPr>
      <t>K.03.2</t>
    </r>
    <r>
      <rPr>
        <b/>
        <sz val="12"/>
        <color rgb="FF000000"/>
        <rFont val="微软雅黑"/>
        <charset val="134"/>
      </rPr>
      <t>：详细测试</t>
    </r>
    <r>
      <rPr>
        <b/>
        <sz val="12"/>
        <color rgb="FF000000"/>
        <rFont val="Arial"/>
        <charset val="134"/>
      </rPr>
      <t xml:space="preserve"> (</t>
    </r>
    <r>
      <rPr>
        <b/>
        <sz val="12"/>
        <color rgb="FF000000"/>
        <rFont val="微软雅黑"/>
        <charset val="134"/>
      </rPr>
      <t>折旧</t>
    </r>
    <r>
      <rPr>
        <b/>
        <sz val="12"/>
        <color rgb="FF000000"/>
        <rFont val="Arial"/>
        <charset val="134"/>
      </rPr>
      <t>)</t>
    </r>
  </si>
  <si>
    <r>
      <rPr>
        <sz val="10"/>
        <rFont val="微软雅黑"/>
        <charset val="134"/>
      </rPr>
      <t>折旧费用总体</t>
    </r>
  </si>
  <si>
    <r>
      <rPr>
        <sz val="10"/>
        <rFont val="Arial"/>
        <charset val="134"/>
      </rPr>
      <t>Breakdown</t>
    </r>
    <r>
      <rPr>
        <sz val="10"/>
        <rFont val="微软雅黑"/>
        <charset val="134"/>
      </rPr>
      <t>中折旧计提金额</t>
    </r>
  </si>
  <si>
    <t>/K.01</t>
  </si>
  <si>
    <r>
      <rPr>
        <b/>
        <sz val="10"/>
        <color theme="1"/>
        <rFont val="微软雅黑"/>
        <charset val="134"/>
      </rPr>
      <t>差异是否需要进一步调查？</t>
    </r>
    <r>
      <rPr>
        <b/>
        <sz val="10"/>
        <color theme="1"/>
        <rFont val="Arial"/>
        <charset val="134"/>
      </rPr>
      <t xml:space="preserve">     </t>
    </r>
  </si>
  <si>
    <r>
      <rPr>
        <sz val="10"/>
        <color rgb="FF000000"/>
        <rFont val="Arial"/>
        <charset val="134"/>
      </rPr>
      <t xml:space="preserve">1) </t>
    </r>
    <r>
      <rPr>
        <sz val="10"/>
        <color rgb="FF000000"/>
        <rFont val="微软雅黑"/>
        <charset val="134"/>
      </rPr>
      <t>管理层对测试项目采用的使用寿命和折旧率是适当的（符合实体的会计政策和适用的财务报告框架）。</t>
    </r>
  </si>
  <si>
    <r>
      <rPr>
        <sz val="10"/>
        <color rgb="FF000000"/>
        <rFont val="Arial"/>
        <charset val="134"/>
      </rPr>
      <t xml:space="preserve"> 2) </t>
    </r>
    <r>
      <rPr>
        <sz val="10"/>
        <color rgb="FF000000"/>
        <rFont val="微软雅黑"/>
        <charset val="134"/>
      </rPr>
      <t>该期间记录的折旧费用进行了适当的计算和分类与适用的财务报告框架一致。作为该程序的一部分，我们进行了调查，判断资产残值是否合理，如果不合理，则相应地调整使用寿命内的折旧成本。</t>
    </r>
  </si>
  <si>
    <r>
      <rPr>
        <b/>
        <sz val="10"/>
        <rFont val="微软雅黑"/>
        <charset val="134"/>
      </rPr>
      <t>样本数量</t>
    </r>
  </si>
  <si>
    <r>
      <rPr>
        <b/>
        <sz val="11"/>
        <color theme="1"/>
        <rFont val="微软雅黑"/>
        <charset val="134"/>
      </rPr>
      <t>可折旧金额
（考虑残值后金额）</t>
    </r>
  </si>
  <si>
    <r>
      <rPr>
        <b/>
        <sz val="10"/>
        <rFont val="微软雅黑"/>
        <charset val="134"/>
      </rPr>
      <t>资本开始折旧的日期
（即使用寿命开始时间）</t>
    </r>
  </si>
  <si>
    <r>
      <rPr>
        <b/>
        <sz val="10"/>
        <rFont val="微软雅黑"/>
        <charset val="134"/>
      </rPr>
      <t>本年应折旧月份</t>
    </r>
  </si>
  <si>
    <r>
      <rPr>
        <b/>
        <sz val="10"/>
        <rFont val="微软雅黑"/>
        <charset val="134"/>
      </rPr>
      <t>账面计提折旧费用</t>
    </r>
  </si>
  <si>
    <r>
      <rPr>
        <b/>
        <sz val="10"/>
        <rFont val="微软雅黑"/>
        <charset val="134"/>
      </rPr>
      <t>重新计算折旧费用
（自定义公式）</t>
    </r>
  </si>
  <si>
    <r>
      <rPr>
        <b/>
        <sz val="10"/>
        <rFont val="微软雅黑"/>
        <charset val="134"/>
      </rPr>
      <t>差异</t>
    </r>
  </si>
  <si>
    <r>
      <rPr>
        <b/>
        <sz val="10"/>
        <rFont val="微软雅黑"/>
        <charset val="134"/>
      </rPr>
      <t>获得的证据</t>
    </r>
    <r>
      <rPr>
        <b/>
        <sz val="10"/>
        <rFont val="Arial"/>
        <charset val="134"/>
      </rPr>
      <t>/</t>
    </r>
    <r>
      <rPr>
        <b/>
        <sz val="10"/>
        <rFont val="微软雅黑"/>
        <charset val="134"/>
      </rPr>
      <t>支持的描述</t>
    </r>
  </si>
  <si>
    <r>
      <rPr>
        <b/>
        <sz val="12"/>
        <color rgb="FF000000"/>
        <rFont val="Arial"/>
        <charset val="134"/>
      </rPr>
      <t xml:space="preserve">K.03.3 </t>
    </r>
    <r>
      <rPr>
        <b/>
        <sz val="12"/>
        <color rgb="FF000000"/>
        <rFont val="微软雅黑"/>
        <charset val="134"/>
      </rPr>
      <t>折旧政策复核</t>
    </r>
  </si>
  <si>
    <t>折旧政策复核</t>
  </si>
  <si>
    <r>
      <rPr>
        <sz val="10"/>
        <rFont val="微软雅黑"/>
        <charset val="134"/>
      </rPr>
      <t>公司折旧政策</t>
    </r>
  </si>
  <si>
    <r>
      <rPr>
        <sz val="10"/>
        <rFont val="微软雅黑"/>
        <charset val="134"/>
      </rPr>
      <t>年限平均法</t>
    </r>
  </si>
  <si>
    <r>
      <rPr>
        <sz val="10"/>
        <rFont val="微软雅黑"/>
        <charset val="134"/>
      </rPr>
      <t>折旧政策</t>
    </r>
  </si>
  <si>
    <r>
      <rPr>
        <sz val="10"/>
        <rFont val="微软雅黑"/>
        <charset val="134"/>
      </rPr>
      <t>使用寿命</t>
    </r>
  </si>
  <si>
    <r>
      <rPr>
        <sz val="10"/>
        <rFont val="微软雅黑"/>
        <charset val="134"/>
      </rPr>
      <t>残值率</t>
    </r>
  </si>
  <si>
    <r>
      <rPr>
        <sz val="10"/>
        <rFont val="微软雅黑"/>
        <charset val="134"/>
      </rPr>
      <t>年折旧率</t>
    </r>
  </si>
  <si>
    <r>
      <rPr>
        <sz val="10"/>
        <rFont val="微软雅黑"/>
        <charset val="134"/>
      </rPr>
      <t>差异说明</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</si>
</sst>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2">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2]* #,##0.00_);_([$€-2]* \(#,##0.00\);_([$€-2]* &quot;-&quot;??_)"/>
    <numFmt numFmtId="177" formatCode="_-* #,##0.0000000000_-;\-* #,##0.0000000000_-;_-* &quot;-&quot;??_-;_-@_-"/>
    <numFmt numFmtId="178" formatCode="0.0%"/>
    <numFmt numFmtId="179" formatCode="\¥#,##0;\-\¥#,##0"/>
    <numFmt numFmtId="180" formatCode="#,##0;\-#,##0;&quot;-&quot;"/>
    <numFmt numFmtId="181" formatCode="_(* #,##0.00_);_(* \(#,##0.00\);_(* &quot;-&quot;??_);_(@_)"/>
    <numFmt numFmtId="182" formatCode="&quot;$&quot;#,##0;[Red]&quot;$&quot;&quot;$&quot;&quot;$&quot;&quot;$&quot;&quot;$&quot;&quot;$&quot;&quot;$&quot;\-#,##0"/>
    <numFmt numFmtId="183" formatCode="_(* #,##0_);_(* \(#,##0\);_(* &quot;-&quot;_);_(@_)"/>
    <numFmt numFmtId="184" formatCode="_-* #,##0.00_-;\-* #,##0.00_-;_-* &quot;-&quot;??_-;_-@_-"/>
    <numFmt numFmtId="185" formatCode="* #,##0.00;[Red]\(#,##0.00\);&quot;-&quot;;\ @"/>
    <numFmt numFmtId="186" formatCode="#,##0;\(#,##0\)"/>
    <numFmt numFmtId="187" formatCode="#,##0.0_);\(#,##0.0\)"/>
    <numFmt numFmtId="188" formatCode="_-&quot;$&quot;* #,##0.00_-;\-&quot;$&quot;* #,##0.00_-;_-&quot;$&quot;* &quot;-&quot;??_-;_-@_-"/>
    <numFmt numFmtId="189" formatCode="_(&quot;$&quot;* #,##0.00_);_(&quot;$&quot;* \(#,##0.00\);_(&quot;$&quot;* &quot;-&quot;??_);_(@_)"/>
    <numFmt numFmtId="190" formatCode="&quot;$&quot;#,##0_);\(&quot;$&quot;#,##0\)"/>
    <numFmt numFmtId="191" formatCode="&quot;$&quot;#,##0.00_);\(&quot;$&quot;#,##0.00\)"/>
    <numFmt numFmtId="192" formatCode="\$#,##0.00;\(\$#,##0.00\)"/>
    <numFmt numFmtId="193" formatCode="\$#,##0;\(\$#,##0\)"/>
    <numFmt numFmtId="194" formatCode="_ [$€-2]* #,##0.00_ ;_ [$€-2]* \-#,##0.00_ ;_ [$€-2]* &quot;-&quot;??_ "/>
    <numFmt numFmtId="195" formatCode="[$-804]aaaa;@"/>
    <numFmt numFmtId="196" formatCode="_-* #,##0\ _k_r_-;\-* #,##0\ _k_r_-;_-* &quot;-&quot;\ _k_r_-;_-@_-"/>
    <numFmt numFmtId="197" formatCode="_-* #,##0.00\ _k_r_-;\-* #,##0.00\ _k_r_-;_-* &quot;-&quot;??\ _k_r_-;_-@_-"/>
    <numFmt numFmtId="198" formatCode="#,##0.00_);#,##0.00\)"/>
    <numFmt numFmtId="199" formatCode="0.00000&quot;  &quot;"/>
    <numFmt numFmtId="200" formatCode="_-* #,##0_-;\-* #,##0_-;_-* &quot;-&quot;_-;_-@_-"/>
    <numFmt numFmtId="201" formatCode="_([$€-2]* #,##0.00000_);_([$€-2]* \(#,##0.00000\);_([$€-2]* &quot;-&quot;??_)"/>
    <numFmt numFmtId="202" formatCode="_(\¥* #,##0.00_);_(\¥* \(#,##0.00\);_(\¥* &quot;-&quot;??_);_(@_)"/>
    <numFmt numFmtId="203" formatCode="_-&quot;$&quot;* #,##0_-;\-&quot;$&quot;* #,##0_-;_-&quot;$&quot;* &quot;-&quot;_-;_-@_-"/>
    <numFmt numFmtId="204" formatCode="&quot;\&quot;#,##0;[Red]&quot;\&quot;&quot;\&quot;\-#,##0"/>
    <numFmt numFmtId="205" formatCode="&quot;\&quot;#,##0.00;[Red]&quot;\&quot;&quot;\&quot;&quot;\&quot;&quot;\&quot;&quot;\&quot;&quot;\&quot;\-#,##0.00"/>
    <numFmt numFmtId="206" formatCode="&quot;\&quot;#,##0.00;[Red]&quot;\&quot;\-#,##0.00"/>
    <numFmt numFmtId="207" formatCode="&quot;\&quot;#,##0;[Red]&quot;\&quot;\-#,##0"/>
    <numFmt numFmtId="208"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9" formatCode="#,##0.00_ ;[Red]\-#,##0.00\ "/>
    <numFmt numFmtId="210" formatCode="_(* #,##0_);_(* \(#,##0\);_(* &quot;-&quot;??_);_(@_)"/>
    <numFmt numFmtId="211" formatCode="#,##0.00_ "/>
    <numFmt numFmtId="212" formatCode="#,##0;\(#,##0\);\-#,##0"/>
    <numFmt numFmtId="213" formatCode="yyyy\/mm\/dd"/>
  </numFmts>
  <fonts count="192">
    <font>
      <sz val="11"/>
      <color theme="1"/>
      <name val="宋体"/>
      <charset val="134"/>
      <scheme val="minor"/>
    </font>
    <font>
      <sz val="12"/>
      <color theme="1"/>
      <name val="Arial"/>
      <charset val="134"/>
    </font>
    <font>
      <sz val="10"/>
      <color theme="1"/>
      <name val="Arial"/>
      <charset val="134"/>
    </font>
    <font>
      <sz val="10"/>
      <name val="Arial"/>
      <charset val="134"/>
    </font>
    <font>
      <sz val="11"/>
      <color theme="1"/>
      <name val="Arial"/>
      <charset val="134"/>
    </font>
    <font>
      <sz val="10"/>
      <color rgb="FF000000"/>
      <name val="Arial"/>
      <charset val="134"/>
    </font>
    <font>
      <b/>
      <sz val="14"/>
      <color theme="0"/>
      <name val="Arial"/>
      <charset val="134"/>
    </font>
    <font>
      <b/>
      <sz val="14"/>
      <color rgb="FFFFFFFF"/>
      <name val="Arial"/>
      <charset val="134"/>
    </font>
    <font>
      <sz val="12"/>
      <color rgb="FF000000"/>
      <name val="Arial"/>
      <charset val="134"/>
    </font>
    <font>
      <b/>
      <sz val="12"/>
      <color rgb="FF000000"/>
      <name val="Arial"/>
      <charset val="134"/>
    </font>
    <font>
      <sz val="10"/>
      <color rgb="FFFFFFFF"/>
      <name val="Arial"/>
      <charset val="134"/>
    </font>
    <font>
      <u/>
      <sz val="10"/>
      <color rgb="FFFF0000"/>
      <name val="Arial"/>
      <charset val="134"/>
    </font>
    <font>
      <b/>
      <sz val="10"/>
      <name val="Arial"/>
      <charset val="134"/>
    </font>
    <font>
      <b/>
      <sz val="10"/>
      <color rgb="FF000000"/>
      <name val="Arial"/>
      <charset val="134"/>
    </font>
    <font>
      <b/>
      <sz val="10"/>
      <name val="微软雅黑"/>
      <charset val="134"/>
    </font>
    <font>
      <sz val="10"/>
      <name val="微软雅黑"/>
      <charset val="134"/>
    </font>
    <font>
      <b/>
      <sz val="10"/>
      <color rgb="FFFF0000"/>
      <name val="Arial"/>
      <charset val="134"/>
    </font>
    <font>
      <sz val="10"/>
      <color indexed="0"/>
      <name val="Arial"/>
      <charset val="134"/>
    </font>
    <font>
      <sz val="10"/>
      <color theme="4" tint="-0.249977111117893"/>
      <name val="Arial"/>
      <charset val="134"/>
    </font>
    <font>
      <i/>
      <sz val="10"/>
      <color theme="1"/>
      <name val="微软雅黑"/>
      <charset val="134"/>
    </font>
    <font>
      <sz val="10"/>
      <color indexed="0"/>
      <name val="微软雅黑"/>
      <charset val="134"/>
    </font>
    <font>
      <sz val="11"/>
      <color theme="1"/>
      <name val="宋体"/>
      <charset val="134"/>
    </font>
    <font>
      <sz val="10"/>
      <color indexed="8"/>
      <name val="Arial"/>
      <charset val="134"/>
    </font>
    <font>
      <b/>
      <sz val="10"/>
      <color indexed="8"/>
      <name val="Arial"/>
      <charset val="134"/>
    </font>
    <font>
      <b/>
      <sz val="10"/>
      <color rgb="FFFFFFFF"/>
      <name val="Arial"/>
      <charset val="134"/>
    </font>
    <font>
      <i/>
      <sz val="10"/>
      <name val="Arial"/>
      <charset val="134"/>
    </font>
    <font>
      <b/>
      <sz val="10"/>
      <color theme="1"/>
      <name val="Arial"/>
      <charset val="134"/>
    </font>
    <font>
      <i/>
      <sz val="10"/>
      <color theme="1"/>
      <name val="Arial"/>
      <charset val="134"/>
    </font>
    <font>
      <sz val="10"/>
      <color theme="0"/>
      <name val="Arial"/>
      <charset val="134"/>
    </font>
    <font>
      <b/>
      <sz val="11"/>
      <color theme="1"/>
      <name val="Arial"/>
      <charset val="134"/>
    </font>
    <font>
      <b/>
      <sz val="14"/>
      <name val="Arial"/>
      <charset val="134"/>
    </font>
    <font>
      <b/>
      <sz val="14"/>
      <color rgb="FFFF0000"/>
      <name val="微软雅黑"/>
      <charset val="134"/>
    </font>
    <font>
      <sz val="10"/>
      <color rgb="FFFF0000"/>
      <name val="Arial"/>
      <charset val="134"/>
    </font>
    <font>
      <b/>
      <sz val="14"/>
      <color rgb="FFFF0000"/>
      <name val="Arial"/>
      <charset val="134"/>
    </font>
    <font>
      <sz val="14"/>
      <color theme="1"/>
      <name val="Arial"/>
      <charset val="134"/>
    </font>
    <font>
      <sz val="14"/>
      <color rgb="FF000000"/>
      <name val="Arial"/>
      <charset val="134"/>
    </font>
    <font>
      <u/>
      <sz val="10"/>
      <color rgb="FF0563C1"/>
      <name val="Arial"/>
      <charset val="134"/>
    </font>
    <font>
      <i/>
      <sz val="10"/>
      <color rgb="FF000000"/>
      <name val="Arial"/>
      <charset val="134"/>
    </font>
    <font>
      <sz val="9"/>
      <color indexed="8"/>
      <name val="Arial"/>
      <charset val="134"/>
    </font>
    <font>
      <b/>
      <sz val="11"/>
      <color rgb="FFFF0000"/>
      <name val="Arial"/>
      <charset val="134"/>
    </font>
    <font>
      <b/>
      <sz val="9"/>
      <color rgb="FFFF0000"/>
      <name val="Arial"/>
      <charset val="134"/>
    </font>
    <font>
      <b/>
      <sz val="14"/>
      <color rgb="FF000000"/>
      <name val="Arial"/>
      <charset val="134"/>
    </font>
    <font>
      <b/>
      <sz val="10"/>
      <color theme="0"/>
      <name val="Arial"/>
      <charset val="134"/>
    </font>
    <font>
      <b/>
      <sz val="10"/>
      <color indexed="10"/>
      <name val="Arial"/>
      <charset val="134"/>
    </font>
    <font>
      <b/>
      <sz val="14"/>
      <color rgb="FFFFC000"/>
      <name val="Arial"/>
      <charset val="134"/>
    </font>
    <font>
      <b/>
      <sz val="10"/>
      <color rgb="FFFFC000"/>
      <name val="Arial"/>
      <charset val="134"/>
    </font>
    <font>
      <b/>
      <sz val="10"/>
      <color rgb="FF0000FF"/>
      <name val="Arial"/>
      <charset val="134"/>
    </font>
    <font>
      <sz val="14"/>
      <color rgb="FFFFFFFF"/>
      <name val="Arial"/>
      <charset val="134"/>
    </font>
    <font>
      <sz val="10"/>
      <color rgb="FF000000"/>
      <name val="微软雅黑"/>
      <charset val="134"/>
    </font>
    <font>
      <b/>
      <sz val="10"/>
      <color rgb="FFFF0000"/>
      <name val="微软雅黑"/>
      <charset val="134"/>
    </font>
    <font>
      <i/>
      <sz val="10"/>
      <name val="微软雅黑"/>
      <charset val="134"/>
    </font>
    <font>
      <b/>
      <sz val="12"/>
      <name val="Arial"/>
      <charset val="134"/>
    </font>
    <font>
      <b/>
      <strike/>
      <sz val="10"/>
      <color rgb="FF0000FF"/>
      <name val="Arial"/>
      <charset val="134"/>
    </font>
    <font>
      <b/>
      <i/>
      <sz val="9"/>
      <color rgb="FFFF0000"/>
      <name val="Arial"/>
      <charset val="134"/>
    </font>
    <font>
      <i/>
      <sz val="9"/>
      <color theme="4" tint="-0.249977111117893"/>
      <name val="Arial"/>
      <charset val="134"/>
    </font>
    <font>
      <b/>
      <i/>
      <sz val="10"/>
      <color theme="1"/>
      <name val="Arial"/>
      <charset val="134"/>
    </font>
    <font>
      <b/>
      <i/>
      <sz val="10"/>
      <color rgb="FFFF0000"/>
      <name val="Arial"/>
      <charset val="134"/>
    </font>
    <font>
      <sz val="14"/>
      <name val="Arial"/>
      <charset val="134"/>
    </font>
    <font>
      <i/>
      <sz val="10"/>
      <color rgb="FFFF0000"/>
      <name val="Arial"/>
      <charset val="134"/>
    </font>
    <font>
      <sz val="11"/>
      <color rgb="FF000000"/>
      <name val="Arial"/>
      <charset val="134"/>
    </font>
    <font>
      <b/>
      <sz val="11"/>
      <color rgb="FF000000"/>
      <name val="Arial"/>
      <charset val="134"/>
    </font>
    <font>
      <b/>
      <sz val="10"/>
      <color rgb="FF000000"/>
      <name val="微软雅黑"/>
      <charset val="134"/>
    </font>
    <font>
      <sz val="10"/>
      <color rgb="FF242424"/>
      <name val="Arial"/>
      <charset val="134"/>
    </font>
    <font>
      <b/>
      <sz val="16"/>
      <color rgb="FFFF0000"/>
      <name val="Arial"/>
      <charset val="134"/>
    </font>
    <font>
      <b/>
      <sz val="14"/>
      <color rgb="FF000000"/>
      <name val="微软雅黑"/>
      <charset val="134"/>
    </font>
    <font>
      <u/>
      <sz val="11"/>
      <color theme="4"/>
      <name val="Arial"/>
      <charset val="134"/>
    </font>
    <font>
      <b/>
      <u/>
      <sz val="10"/>
      <color theme="4"/>
      <name val="Arial"/>
      <charset val="134"/>
    </font>
    <font>
      <sz val="10"/>
      <color theme="1"/>
      <name val="微软雅黑"/>
      <charset val="134"/>
    </font>
    <font>
      <sz val="11"/>
      <color theme="1"/>
      <name val="宋体"/>
      <charset val="134"/>
      <scheme val="minor"/>
    </font>
    <font>
      <u/>
      <sz val="11"/>
      <color theme="10"/>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indexed="9"/>
      <name val="宋体"/>
      <charset val="134"/>
    </font>
    <font>
      <sz val="11"/>
      <color theme="1"/>
      <name val="宋体"/>
      <charset val="0"/>
      <scheme val="minor"/>
    </font>
    <font>
      <sz val="11"/>
      <color theme="0"/>
      <name val="宋体"/>
      <charset val="0"/>
      <scheme val="minor"/>
    </font>
    <font>
      <sz val="10"/>
      <name val="Helv"/>
      <charset val="134"/>
    </font>
    <font>
      <sz val="12"/>
      <name val="宋体"/>
      <charset val="134"/>
    </font>
    <font>
      <sz val="13"/>
      <name val="Tms Rmn"/>
      <charset val="134"/>
    </font>
    <font>
      <sz val="12"/>
      <color indexed="9"/>
      <name val="宋体"/>
      <charset val="134"/>
    </font>
    <font>
      <sz val="12"/>
      <color indexed="8"/>
      <name val="宋体"/>
      <charset val="134"/>
    </font>
    <font>
      <sz val="11"/>
      <color theme="0"/>
      <name val="宋体"/>
      <charset val="134"/>
      <scheme val="minor"/>
    </font>
    <font>
      <sz val="11"/>
      <color rgb="FF9C0006"/>
      <name val="宋体"/>
      <charset val="134"/>
      <scheme val="minor"/>
    </font>
    <font>
      <b/>
      <sz val="10"/>
      <name val="Helv"/>
      <charset val="134"/>
    </font>
    <font>
      <sz val="11"/>
      <color theme="1"/>
      <name val="宋体"/>
      <charset val="134"/>
      <scheme val="minor"/>
    </font>
    <font>
      <b/>
      <sz val="11"/>
      <color theme="0"/>
      <name val="宋体"/>
      <charset val="134"/>
    </font>
    <font>
      <b/>
      <sz val="11"/>
      <color theme="0"/>
      <name val="宋体"/>
      <charset val="134"/>
      <scheme val="minor"/>
    </font>
    <font>
      <b/>
      <sz val="13"/>
      <name val="Tms Rmn"/>
      <charset val="134"/>
    </font>
    <font>
      <sz val="11"/>
      <color indexed="8"/>
      <name val="宋体"/>
      <charset val="134"/>
    </font>
    <font>
      <sz val="10"/>
      <color theme="1"/>
      <name val="times new roman"/>
      <charset val="134"/>
    </font>
    <font>
      <sz val="10"/>
      <name val="宋体"/>
      <charset val="134"/>
    </font>
    <font>
      <sz val="11"/>
      <color theme="1"/>
      <name val="SimSun"/>
      <charset val="134"/>
    </font>
    <font>
      <sz val="11"/>
      <color rgb="FF000000"/>
      <name val="Calibri"/>
      <charset val="134"/>
    </font>
    <font>
      <sz val="12"/>
      <name val="Times New Roman"/>
      <charset val="134"/>
    </font>
    <font>
      <sz val="10"/>
      <color theme="1"/>
      <name val="Tahoma"/>
      <charset val="134"/>
    </font>
    <font>
      <sz val="10"/>
      <name val="Times New Roman"/>
      <charset val="134"/>
    </font>
    <font>
      <b/>
      <sz val="11"/>
      <color rgb="FFFF0000"/>
      <name val="宋体"/>
      <charset val="134"/>
    </font>
    <font>
      <sz val="9"/>
      <name val="Times New Roman"/>
      <charset val="134"/>
    </font>
    <font>
      <sz val="8"/>
      <name val="Arial"/>
      <charset val="134"/>
    </font>
    <font>
      <sz val="11"/>
      <color rgb="FF006100"/>
      <name val="宋体"/>
      <charset val="134"/>
    </font>
    <font>
      <sz val="11"/>
      <color rgb="FF006100"/>
      <name val="宋体"/>
      <charset val="134"/>
      <scheme val="minor"/>
    </font>
    <font>
      <b/>
      <sz val="12"/>
      <name val="Helv"/>
      <charset val="134"/>
    </font>
    <font>
      <b/>
      <sz val="10"/>
      <color theme="1"/>
      <name val="宋体"/>
      <charset val="134"/>
    </font>
    <font>
      <u/>
      <sz val="11"/>
      <color theme="10"/>
      <name val="宋体"/>
      <charset val="134"/>
      <scheme val="minor"/>
    </font>
    <font>
      <u/>
      <sz val="11"/>
      <color theme="10"/>
      <name val="宋体"/>
      <charset val="134"/>
    </font>
    <font>
      <u/>
      <sz val="10"/>
      <color theme="10"/>
      <name val="Arial"/>
      <charset val="134"/>
    </font>
    <font>
      <u/>
      <sz val="12"/>
      <color theme="10"/>
      <name val="Arial"/>
      <charset val="134"/>
    </font>
    <font>
      <u/>
      <sz val="10"/>
      <color indexed="12"/>
      <name val="宋体"/>
      <charset val="134"/>
    </font>
    <font>
      <u/>
      <sz val="10"/>
      <color theme="10"/>
      <name val="等线"/>
      <charset val="134"/>
    </font>
    <font>
      <b/>
      <sz val="11"/>
      <name val="Helv"/>
      <charset val="134"/>
    </font>
    <font>
      <sz val="11"/>
      <color rgb="FF9C5700"/>
      <name val="宋体"/>
      <charset val="134"/>
      <scheme val="minor"/>
    </font>
    <font>
      <sz val="10"/>
      <name val="SimSun"/>
      <charset val="134"/>
    </font>
    <font>
      <sz val="10"/>
      <name val="宋体"/>
      <charset val="134"/>
    </font>
    <font>
      <sz val="9"/>
      <color theme="1"/>
      <name val="Arial"/>
      <charset val="134"/>
    </font>
    <font>
      <sz val="8"/>
      <name val="EYInterstate Light"/>
      <charset val="134"/>
    </font>
    <font>
      <sz val="11"/>
      <color theme="1"/>
      <name val="宋体"/>
      <charset val="134"/>
    </font>
    <font>
      <sz val="11"/>
      <color indexed="8"/>
      <name val="Calibri"/>
      <charset val="134"/>
    </font>
    <font>
      <sz val="8"/>
      <name val="EYInterstate Light"/>
      <charset val="134"/>
    </font>
    <font>
      <sz val="12"/>
      <name val="Arial"/>
      <charset val="134"/>
    </font>
    <font>
      <sz val="10"/>
      <name val="Tahoma"/>
      <charset val="134"/>
    </font>
    <font>
      <sz val="11"/>
      <color indexed="8"/>
      <name val="宋体"/>
      <charset val="134"/>
      <scheme val="minor"/>
    </font>
    <font>
      <sz val="10"/>
      <color theme="1"/>
      <name val="Times New Roman"/>
      <charset val="134"/>
    </font>
    <font>
      <sz val="11"/>
      <color rgb="FF000000"/>
      <name val="宋体"/>
      <charset val="134"/>
      <scheme val="minor"/>
    </font>
    <font>
      <sz val="9"/>
      <color theme="1"/>
      <name val="Arial Unicode MS"/>
      <charset val="134"/>
    </font>
    <font>
      <sz val="12"/>
      <color theme="1"/>
      <name val="宋体"/>
      <charset val="134"/>
    </font>
    <font>
      <sz val="10"/>
      <color theme="1"/>
      <name val="SimSun"/>
      <charset val="134"/>
    </font>
    <font>
      <strike/>
      <sz val="10"/>
      <name val="Arial"/>
      <charset val="134"/>
    </font>
    <font>
      <sz val="10"/>
      <color indexed="8"/>
      <name val="MS Sans Serif"/>
      <charset val="134"/>
    </font>
    <font>
      <sz val="8"/>
      <color indexed="16"/>
      <name val="Century Schoolbook"/>
      <charset val="134"/>
    </font>
    <font>
      <b/>
      <sz val="10"/>
      <color indexed="39"/>
      <name val="Arial"/>
      <charset val="134"/>
    </font>
    <font>
      <b/>
      <sz val="12"/>
      <color indexed="8"/>
      <name val="Arial"/>
      <charset val="134"/>
    </font>
    <font>
      <sz val="10"/>
      <color indexed="39"/>
      <name val="Arial"/>
      <charset val="134"/>
    </font>
    <font>
      <sz val="19"/>
      <color indexed="48"/>
      <name val="Arial"/>
      <charset val="134"/>
    </font>
    <font>
      <sz val="10"/>
      <color indexed="10"/>
      <name val="Arial"/>
      <charset val="134"/>
    </font>
    <font>
      <b/>
      <i/>
      <sz val="10"/>
      <name val="Times New Roman"/>
      <charset val="134"/>
    </font>
    <font>
      <b/>
      <sz val="9"/>
      <name val="Times New Roman"/>
      <charset val="134"/>
    </font>
    <font>
      <sz val="11"/>
      <name val="明朝"/>
      <charset val="134"/>
    </font>
    <font>
      <sz val="10"/>
      <name val="Arial Narrow"/>
      <charset val="134"/>
    </font>
    <font>
      <sz val="14"/>
      <name val="柧挬"/>
      <charset val="134"/>
    </font>
    <font>
      <b/>
      <sz val="18"/>
      <color indexed="35"/>
      <name val="宋体"/>
      <charset val="134"/>
    </font>
    <font>
      <sz val="8"/>
      <name val="Century Schoolbook"/>
      <charset val="134"/>
    </font>
    <font>
      <b/>
      <sz val="18"/>
      <color indexed="62"/>
      <name val="宋体"/>
      <charset val="134"/>
    </font>
    <font>
      <sz val="11"/>
      <color indexed="26"/>
      <name val="宋体"/>
      <charset val="134"/>
    </font>
    <font>
      <sz val="11"/>
      <color indexed="20"/>
      <name val="宋体"/>
      <charset val="134"/>
    </font>
    <font>
      <sz val="12"/>
      <color indexed="16"/>
      <name val="宋体"/>
      <charset val="134"/>
    </font>
    <font>
      <sz val="10"/>
      <name val="宋体"/>
      <charset val="134"/>
      <scheme val="minor"/>
    </font>
    <font>
      <sz val="10"/>
      <color theme="1"/>
      <name val="等线"/>
      <charset val="134"/>
    </font>
    <font>
      <sz val="12"/>
      <color rgb="FF000000"/>
      <name val="Calibri"/>
      <charset val="134"/>
    </font>
    <font>
      <u/>
      <sz val="12"/>
      <color indexed="12"/>
      <name val="宋体"/>
      <charset val="134"/>
    </font>
    <font>
      <u/>
      <sz val="11"/>
      <color theme="10"/>
      <name val="SimSun"/>
      <charset val="134"/>
    </font>
    <font>
      <sz val="11"/>
      <color indexed="38"/>
      <name val="宋体"/>
      <charset val="134"/>
    </font>
    <font>
      <sz val="11"/>
      <color indexed="17"/>
      <name val="宋体"/>
      <charset val="134"/>
    </font>
    <font>
      <sz val="12"/>
      <color indexed="17"/>
      <name val="宋体"/>
      <charset val="134"/>
    </font>
    <font>
      <sz val="11"/>
      <color indexed="21"/>
      <name val="宋体"/>
      <charset val="134"/>
    </font>
    <font>
      <sz val="10"/>
      <name val="Geneva"/>
      <charset val="134"/>
    </font>
    <font>
      <sz val="12"/>
      <name val="新細明體"/>
      <charset val="134"/>
    </font>
    <font>
      <sz val="12"/>
      <name val="官帕眉"/>
      <charset val="134"/>
    </font>
    <font>
      <sz val="10"/>
      <name val="奔覆眉"/>
      <charset val="134"/>
    </font>
    <font>
      <b/>
      <sz val="12"/>
      <color indexed="8"/>
      <name val="宋体"/>
      <charset val="134"/>
    </font>
    <font>
      <sz val="12"/>
      <name val="柧挬"/>
      <charset val="134"/>
    </font>
    <font>
      <sz val="11"/>
      <name val="ＭＳ Ｐゴシック"/>
      <charset val="134"/>
    </font>
    <font>
      <sz val="12"/>
      <name val="바탕체"/>
      <charset val="134"/>
    </font>
    <font>
      <b/>
      <sz val="12"/>
      <color rgb="FF000000"/>
      <name val="微软雅黑"/>
      <charset val="134"/>
    </font>
    <font>
      <b/>
      <sz val="10"/>
      <color rgb="FF000000"/>
      <name val="Microsoft YaHei"/>
      <charset val="134"/>
    </font>
    <font>
      <b/>
      <i/>
      <sz val="10"/>
      <color theme="1"/>
      <name val="微软雅黑"/>
      <charset val="134"/>
    </font>
    <font>
      <b/>
      <sz val="10"/>
      <color theme="1"/>
      <name val="微软雅黑"/>
      <charset val="134"/>
    </font>
    <font>
      <b/>
      <i/>
      <sz val="9"/>
      <color rgb="FFFF0000"/>
      <name val="微软雅黑"/>
      <charset val="134"/>
    </font>
    <font>
      <b/>
      <sz val="12"/>
      <name val="微软雅黑"/>
      <charset val="134"/>
    </font>
    <font>
      <b/>
      <sz val="14"/>
      <color rgb="FFFFFFFF"/>
      <name val="微软雅黑"/>
      <charset val="134"/>
    </font>
    <font>
      <b/>
      <sz val="10"/>
      <color rgb="FFFF0000"/>
      <name val="宋体"/>
      <charset val="134"/>
    </font>
    <font>
      <i/>
      <sz val="10"/>
      <color rgb="FF000000"/>
      <name val="微软雅黑"/>
      <charset val="134"/>
    </font>
    <font>
      <b/>
      <i/>
      <sz val="10"/>
      <color rgb="FFFF0000"/>
      <name val="微软雅黑"/>
      <charset val="134"/>
    </font>
    <font>
      <b/>
      <sz val="14"/>
      <color theme="0"/>
      <name val="微软雅黑"/>
      <charset val="134"/>
    </font>
    <font>
      <b/>
      <u/>
      <sz val="10"/>
      <color theme="4"/>
      <name val="微软雅黑"/>
      <charset val="134"/>
    </font>
    <font>
      <b/>
      <sz val="11"/>
      <color theme="1"/>
      <name val="微软雅黑"/>
      <charset val="134"/>
    </font>
    <font>
      <sz val="10"/>
      <color rgb="FF000000"/>
      <name val="Microsoft YaHei"/>
      <charset val="134"/>
    </font>
    <font>
      <sz val="14"/>
      <color rgb="FFFF0000"/>
      <name val="Arial"/>
      <charset val="134"/>
    </font>
    <font>
      <b/>
      <vertAlign val="superscript"/>
      <sz val="10"/>
      <color rgb="FFFF0000"/>
      <name val="Arial"/>
      <charset val="134"/>
    </font>
    <font>
      <b/>
      <u/>
      <sz val="11"/>
      <color theme="4"/>
      <name val="微软雅黑"/>
      <charset val="134"/>
    </font>
  </fonts>
  <fills count="90">
    <fill>
      <patternFill patternType="none"/>
    </fill>
    <fill>
      <patternFill patternType="gray125"/>
    </fill>
    <fill>
      <patternFill patternType="solid">
        <fgColor theme="1"/>
        <bgColor indexed="64"/>
      </patternFill>
    </fill>
    <fill>
      <patternFill patternType="solid">
        <fgColor rgb="FF000000"/>
        <bgColor rgb="FF000000"/>
      </patternFill>
    </fill>
    <fill>
      <patternFill patternType="solid">
        <fgColor rgb="FF000099"/>
        <bgColor indexed="64"/>
      </patternFill>
    </fill>
    <fill>
      <patternFill patternType="solid">
        <fgColor theme="0" tint="-0.0499893185216834"/>
        <bgColor rgb="FF000000"/>
      </patternFill>
    </fill>
    <fill>
      <patternFill patternType="solid">
        <fgColor theme="0" tint="-0.349986266670736"/>
        <bgColor indexed="64"/>
      </patternFill>
    </fill>
    <fill>
      <patternFill patternType="solid">
        <fgColor theme="0"/>
        <bgColor indexed="64"/>
      </patternFill>
    </fill>
    <fill>
      <patternFill patternType="solid">
        <fgColor rgb="FF333399"/>
        <bgColor indexed="64"/>
      </patternFill>
    </fill>
    <fill>
      <patternFill patternType="solid">
        <fgColor rgb="FFA6A6A6"/>
        <bgColor indexed="64"/>
      </patternFill>
    </fill>
    <fill>
      <patternFill patternType="solid">
        <fgColor theme="0" tint="-0.349925229651784"/>
        <bgColor indexed="64"/>
      </patternFill>
    </fill>
    <fill>
      <patternFill patternType="solid">
        <fgColor theme="4" tint="0.799981688894314"/>
        <bgColor indexed="64"/>
      </patternFill>
    </fill>
    <fill>
      <patternFill patternType="solid">
        <fgColor rgb="FF333399"/>
        <bgColor rgb="FF000000"/>
      </patternFill>
    </fill>
    <fill>
      <patternFill patternType="solid">
        <fgColor rgb="FFF2F2F2"/>
        <bgColor rgb="FF000000"/>
      </patternFill>
    </fill>
    <fill>
      <patternFill patternType="solid">
        <fgColor rgb="FFFFFFFF"/>
        <bgColor rgb="FF000000"/>
      </patternFill>
    </fill>
    <fill>
      <patternFill patternType="solid">
        <fgColor theme="0" tint="-0.0499893185216834"/>
        <bgColor indexed="64"/>
      </patternFill>
    </fill>
    <fill>
      <patternFill patternType="solid">
        <fgColor theme="0" tint="-0.349986266670736"/>
        <bgColor rgb="FF000000"/>
      </patternFill>
    </fill>
    <fill>
      <patternFill patternType="solid">
        <fgColor rgb="FFA6A6A6"/>
        <bgColor rgb="FF000000"/>
      </patternFill>
    </fill>
    <fill>
      <patternFill patternType="solid">
        <fgColor rgb="FFDCE6F1"/>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indexed="43"/>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indexed="62"/>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indexed="2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indexed="47"/>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theme="4" tint="0.799310281685843"/>
        <bgColor indexed="64"/>
      </patternFill>
    </fill>
    <fill>
      <patternFill patternType="solid">
        <fgColor theme="9" tint="0.799310281685843"/>
        <bgColor indexed="64"/>
      </patternFill>
    </fill>
    <fill>
      <patternFill patternType="solid">
        <fgColor indexed="54"/>
        <bgColor indexed="64"/>
      </patternFill>
    </fill>
    <fill>
      <patternFill patternType="solid">
        <fgColor indexed="31"/>
        <bgColor indexed="64"/>
      </patternFill>
    </fill>
    <fill>
      <patternFill patternType="solid">
        <fgColor indexed="44"/>
        <bgColor indexed="64"/>
      </patternFill>
    </fill>
    <fill>
      <patternFill patternType="solid">
        <fgColor theme="4"/>
        <bgColor indexed="64"/>
      </patternFill>
    </fill>
    <fill>
      <patternFill patternType="solid">
        <fgColor indexed="25"/>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theme="5"/>
        <bgColor indexed="64"/>
      </patternFill>
    </fill>
    <fill>
      <patternFill patternType="solid">
        <fgColor indexed="42"/>
        <bgColor indexed="64"/>
      </patternFill>
    </fill>
    <fill>
      <patternFill patternType="solid">
        <fgColor theme="6"/>
        <bgColor indexed="64"/>
      </patternFill>
    </fill>
    <fill>
      <patternFill patternType="solid">
        <fgColor theme="7"/>
        <bgColor indexed="64"/>
      </patternFill>
    </fill>
    <fill>
      <patternFill patternType="solid">
        <fgColor indexed="49"/>
        <bgColor indexed="64"/>
      </patternFill>
    </fill>
    <fill>
      <patternFill patternType="solid">
        <fgColor indexed="27"/>
        <bgColor indexed="64"/>
      </patternFill>
    </fill>
    <fill>
      <patternFill patternType="solid">
        <fgColor theme="8"/>
        <bgColor indexed="64"/>
      </patternFill>
    </fill>
    <fill>
      <patternFill patternType="solid">
        <fgColor indexed="52"/>
        <bgColor indexed="64"/>
      </patternFill>
    </fill>
    <fill>
      <patternFill patternType="solid">
        <fgColor theme="9"/>
        <bgColor indexed="64"/>
      </patternFill>
    </fill>
    <fill>
      <patternFill patternType="solid">
        <fgColor rgb="FFFFC7CE"/>
        <bgColor indexed="64"/>
      </patternFill>
    </fill>
    <fill>
      <patternFill patternType="solid">
        <fgColor indexed="24"/>
        <bgColor indexed="64"/>
      </patternFill>
    </fill>
    <fill>
      <patternFill patternType="solid">
        <fgColor rgb="FFA5A5A5"/>
        <bgColor indexed="64"/>
      </patternFill>
    </fill>
    <fill>
      <patternFill patternType="solid">
        <fgColor indexed="13"/>
        <bgColor indexed="64"/>
      </patternFill>
    </fill>
    <fill>
      <patternFill patternType="solid">
        <fgColor indexed="56"/>
        <bgColor indexed="64"/>
      </patternFill>
    </fill>
    <fill>
      <patternFill patternType="solid">
        <fgColor rgb="FFC6EFCE"/>
        <bgColor indexed="64"/>
      </patternFill>
    </fill>
    <fill>
      <patternFill patternType="solid">
        <fgColor rgb="FF808080"/>
        <bgColor indexed="64"/>
      </patternFill>
    </fill>
    <fill>
      <patternFill patternType="solid">
        <fgColor rgb="FFFFEB9C"/>
        <bgColor indexed="64"/>
      </patternFill>
    </fill>
    <fill>
      <patternFill patternType="solid">
        <fgColor indexed="40"/>
        <bgColor indexed="64"/>
      </patternFill>
    </fill>
    <fill>
      <patternFill patternType="solid">
        <fgColor indexed="45"/>
        <bgColor indexed="64"/>
      </patternFill>
    </fill>
    <fill>
      <patternFill patternType="solid">
        <fgColor indexed="10"/>
        <bgColor indexed="64"/>
      </patternFill>
    </fill>
    <fill>
      <patternFill patternType="solid">
        <fgColor indexed="51"/>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48"/>
        <bgColor indexed="41"/>
      </patternFill>
    </fill>
    <fill>
      <patternFill patternType="solid">
        <fgColor indexed="41"/>
        <bgColor indexed="64"/>
      </patternFill>
    </fill>
    <fill>
      <patternFill patternType="solid">
        <fgColor indexed="15"/>
        <bgColor indexed="64"/>
      </patternFill>
    </fill>
    <fill>
      <patternFill patternType="solid">
        <fgColor indexed="18"/>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s>
  <borders count="59">
    <border>
      <left/>
      <right/>
      <top/>
      <bottom/>
      <diagonal/>
    </border>
    <border>
      <left style="thin">
        <color auto="1"/>
      </left>
      <right/>
      <top style="thin">
        <color auto="1"/>
      </top>
      <bottom style="thin">
        <color auto="1"/>
      </bottom>
      <diagonal/>
    </border>
    <border>
      <left/>
      <right/>
      <top style="thin">
        <color auto="1"/>
      </top>
      <bottom style="thin">
        <color rgb="FF000000"/>
      </bottom>
      <diagonal/>
    </border>
    <border>
      <left/>
      <right style="thin">
        <color auto="1"/>
      </right>
      <top style="thin">
        <color auto="1"/>
      </top>
      <bottom style="thin">
        <color rgb="FF000000"/>
      </bottom>
      <diagonal/>
    </border>
    <border>
      <left style="thin">
        <color auto="1"/>
      </left>
      <right/>
      <top style="thin">
        <color rgb="FF000000"/>
      </top>
      <bottom style="thin">
        <color auto="1"/>
      </bottom>
      <diagonal/>
    </border>
    <border>
      <left/>
      <right/>
      <top style="thin">
        <color rgb="FF000000"/>
      </top>
      <bottom style="thin">
        <color auto="1"/>
      </bottom>
      <diagonal/>
    </border>
    <border>
      <left/>
      <right style="thin">
        <color auto="1"/>
      </right>
      <top style="thin">
        <color rgb="FF000000"/>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top/>
      <bottom style="double">
        <color auto="1"/>
      </bottom>
      <diagonal/>
    </border>
    <border>
      <left style="thin">
        <color rgb="FF000000"/>
      </left>
      <right/>
      <top style="thin">
        <color rgb="FF000000"/>
      </top>
      <bottom/>
      <diagonal/>
    </border>
    <border>
      <left/>
      <right/>
      <top style="thin">
        <color rgb="FF000000"/>
      </top>
      <bottom/>
      <diagonal/>
    </border>
    <border>
      <left style="medium">
        <color auto="1"/>
      </left>
      <right style="medium">
        <color auto="1"/>
      </right>
      <top style="thin">
        <color rgb="FF000000"/>
      </top>
      <bottom/>
      <diagonal/>
    </border>
    <border>
      <left style="medium">
        <color auto="1"/>
      </left>
      <right style="thin">
        <color rgb="FF000000"/>
      </right>
      <top style="thin">
        <color rgb="FF000000"/>
      </top>
      <bottom/>
      <diagonal/>
    </border>
    <border>
      <left style="thin">
        <color rgb="FF000000"/>
      </left>
      <right/>
      <top style="thin">
        <color auto="1"/>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auto="1"/>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auto="1"/>
      </top>
      <bottom style="thin">
        <color auto="1"/>
      </bottom>
      <diagonal/>
    </border>
    <border>
      <left/>
      <right style="thin">
        <color rgb="FF000000"/>
      </right>
      <top style="thin">
        <color auto="1"/>
      </top>
      <bottom style="thin">
        <color auto="1"/>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auto="1"/>
      </bottom>
      <diagonal/>
    </border>
    <border>
      <left/>
      <right/>
      <top style="thin">
        <color auto="1"/>
      </top>
      <bottom style="double">
        <color auto="1"/>
      </bottom>
      <diagonal/>
    </border>
    <border>
      <left style="thin">
        <color rgb="FF000000"/>
      </left>
      <right style="thin">
        <color auto="1"/>
      </right>
      <top style="thin">
        <color auto="1"/>
      </top>
      <bottom/>
      <diagonal/>
    </border>
    <border>
      <left style="thin">
        <color rgb="FF000000"/>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double">
        <color indexed="8"/>
      </left>
      <right style="double">
        <color indexed="8"/>
      </right>
      <top style="double">
        <color indexed="8"/>
      </top>
      <bottom style="double">
        <color indexed="8"/>
      </bottom>
      <diagonal/>
    </border>
    <border>
      <left/>
      <right/>
      <top style="medium">
        <color auto="1"/>
      </top>
      <bottom style="medium">
        <color auto="1"/>
      </bottom>
      <diagonal/>
    </border>
    <border>
      <left/>
      <right/>
      <top/>
      <bottom style="medium">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hair">
        <color auto="1"/>
      </left>
      <right style="hair">
        <color auto="1"/>
      </right>
      <top style="hair">
        <color auto="1"/>
      </top>
      <bottom style="hair">
        <color auto="1"/>
      </bottom>
      <diagonal/>
    </border>
  </borders>
  <cellStyleXfs count="6669">
    <xf numFmtId="0" fontId="0" fillId="0" borderId="0"/>
    <xf numFmtId="43" fontId="68" fillId="0" borderId="0" applyFont="0" applyFill="0" applyBorder="0" applyAlignment="0" applyProtection="0">
      <alignment vertical="center"/>
    </xf>
    <xf numFmtId="44" fontId="68" fillId="0" borderId="0" applyFont="0" applyFill="0" applyBorder="0" applyAlignment="0" applyProtection="0">
      <alignment vertical="center"/>
    </xf>
    <xf numFmtId="9" fontId="0" fillId="0" borderId="0" applyFont="0" applyFill="0" applyBorder="0" applyAlignment="0" applyProtection="0"/>
    <xf numFmtId="41" fontId="68" fillId="0" borderId="0" applyFont="0" applyFill="0" applyBorder="0" applyAlignment="0" applyProtection="0">
      <alignment vertical="center"/>
    </xf>
    <xf numFmtId="42" fontId="68" fillId="0" borderId="0" applyFont="0" applyFill="0" applyBorder="0" applyAlignment="0" applyProtection="0">
      <alignment vertical="center"/>
    </xf>
    <xf numFmtId="0" fontId="69" fillId="0" borderId="0" applyNumberFormat="0" applyFill="0" applyBorder="0" applyAlignment="0" applyProtection="0"/>
    <xf numFmtId="0" fontId="70" fillId="0" borderId="0" applyNumberFormat="0" applyFill="0" applyBorder="0" applyAlignment="0" applyProtection="0">
      <alignment vertical="center"/>
    </xf>
    <xf numFmtId="0" fontId="68" fillId="19" borderId="45"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46" applyNumberFormat="0" applyFill="0" applyAlignment="0" applyProtection="0">
      <alignment vertical="center"/>
    </xf>
    <xf numFmtId="0" fontId="75" fillId="0" borderId="46" applyNumberFormat="0" applyFill="0" applyAlignment="0" applyProtection="0">
      <alignment vertical="center"/>
    </xf>
    <xf numFmtId="0" fontId="76" fillId="0" borderId="47" applyNumberFormat="0" applyFill="0" applyAlignment="0" applyProtection="0">
      <alignment vertical="center"/>
    </xf>
    <xf numFmtId="0" fontId="76" fillId="0" borderId="0" applyNumberFormat="0" applyFill="0" applyBorder="0" applyAlignment="0" applyProtection="0">
      <alignment vertical="center"/>
    </xf>
    <xf numFmtId="0" fontId="77" fillId="20" borderId="48" applyNumberFormat="0" applyAlignment="0" applyProtection="0">
      <alignment vertical="center"/>
    </xf>
    <xf numFmtId="0" fontId="78" fillId="21" borderId="49" applyNumberFormat="0" applyAlignment="0" applyProtection="0">
      <alignment vertical="center"/>
    </xf>
    <xf numFmtId="0" fontId="79" fillId="21" borderId="48" applyNumberFormat="0" applyAlignment="0" applyProtection="0">
      <alignment vertical="center"/>
    </xf>
    <xf numFmtId="0" fontId="80" fillId="22" borderId="50" applyNumberFormat="0" applyAlignment="0" applyProtection="0">
      <alignment vertical="center"/>
    </xf>
    <xf numFmtId="0" fontId="81" fillId="0" borderId="51" applyNumberFormat="0" applyFill="0" applyAlignment="0" applyProtection="0">
      <alignment vertical="center"/>
    </xf>
    <xf numFmtId="0" fontId="82" fillId="0" borderId="52" applyNumberFormat="0" applyFill="0" applyAlignment="0" applyProtection="0">
      <alignment vertical="center"/>
    </xf>
    <xf numFmtId="0" fontId="83" fillId="23" borderId="0" applyNumberFormat="0" applyBorder="0" applyAlignment="0" applyProtection="0">
      <alignment vertical="center"/>
    </xf>
    <xf numFmtId="0" fontId="84" fillId="24" borderId="0" applyNumberFormat="0" applyBorder="0" applyAlignment="0" applyProtection="0">
      <alignment vertical="center"/>
    </xf>
    <xf numFmtId="0" fontId="85" fillId="25" borderId="0" applyNumberFormat="0" applyBorder="0" applyAlignment="0" applyProtection="0">
      <alignment vertical="center"/>
    </xf>
    <xf numFmtId="0" fontId="86" fillId="26" borderId="0" applyNumberFormat="0" applyBorder="0" applyProtection="0"/>
    <xf numFmtId="0" fontId="87" fillId="27" borderId="0" applyNumberFormat="0" applyBorder="0" applyAlignment="0" applyProtection="0">
      <alignment vertical="center"/>
    </xf>
    <xf numFmtId="0" fontId="87" fillId="28" borderId="0" applyNumberFormat="0" applyBorder="0" applyAlignment="0" applyProtection="0">
      <alignment vertical="center"/>
    </xf>
    <xf numFmtId="0" fontId="88" fillId="29" borderId="0" applyNumberFormat="0" applyBorder="0" applyAlignment="0" applyProtection="0">
      <alignment vertical="center"/>
    </xf>
    <xf numFmtId="0" fontId="86" fillId="30" borderId="0" applyNumberFormat="0" applyBorder="0" applyProtection="0"/>
    <xf numFmtId="0" fontId="87" fillId="31" borderId="0" applyNumberFormat="0" applyBorder="0" applyAlignment="0" applyProtection="0">
      <alignment vertical="center"/>
    </xf>
    <xf numFmtId="0" fontId="87" fillId="32" borderId="0" applyNumberFormat="0" applyBorder="0" applyAlignment="0" applyProtection="0">
      <alignment vertical="center"/>
    </xf>
    <xf numFmtId="0" fontId="88" fillId="33" borderId="0" applyNumberFormat="0" applyBorder="0" applyAlignment="0" applyProtection="0">
      <alignment vertical="center"/>
    </xf>
    <xf numFmtId="0" fontId="86" fillId="30" borderId="0" applyNumberFormat="0" applyBorder="0" applyProtection="0"/>
    <xf numFmtId="0" fontId="87" fillId="34" borderId="0" applyNumberFormat="0" applyBorder="0" applyAlignment="0" applyProtection="0">
      <alignment vertical="center"/>
    </xf>
    <xf numFmtId="0" fontId="87" fillId="35" borderId="0" applyNumberFormat="0" applyBorder="0" applyAlignment="0" applyProtection="0">
      <alignment vertical="center"/>
    </xf>
    <xf numFmtId="0" fontId="88" fillId="36" borderId="0" applyNumberFormat="0" applyBorder="0" applyAlignment="0" applyProtection="0">
      <alignment vertical="center"/>
    </xf>
    <xf numFmtId="0" fontId="86" fillId="37" borderId="0" applyNumberFormat="0" applyBorder="0" applyProtection="0"/>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8" fillId="40" borderId="0" applyNumberFormat="0" applyBorder="0" applyAlignment="0" applyProtection="0">
      <alignment vertical="center"/>
    </xf>
    <xf numFmtId="0" fontId="86" fillId="26" borderId="0" applyNumberFormat="0" applyBorder="0" applyProtection="0"/>
    <xf numFmtId="0" fontId="87" fillId="41" borderId="0" applyNumberFormat="0" applyBorder="0" applyAlignment="0" applyProtection="0">
      <alignment vertical="center"/>
    </xf>
    <xf numFmtId="0" fontId="87" fillId="42" borderId="0" applyNumberFormat="0" applyBorder="0" applyAlignment="0" applyProtection="0">
      <alignment vertical="center"/>
    </xf>
    <xf numFmtId="0" fontId="88" fillId="43" borderId="0" applyNumberFormat="0" applyBorder="0" applyAlignment="0" applyProtection="0">
      <alignment vertical="center"/>
    </xf>
    <xf numFmtId="0" fontId="86" fillId="44" borderId="0" applyNumberFormat="0" applyBorder="0" applyProtection="0"/>
    <xf numFmtId="0" fontId="87" fillId="45" borderId="0" applyNumberFormat="0" applyBorder="0" applyAlignment="0" applyProtection="0">
      <alignment vertical="center"/>
    </xf>
    <xf numFmtId="0" fontId="87" fillId="46" borderId="0" applyNumberFormat="0" applyBorder="0" applyAlignment="0" applyProtection="0">
      <alignment vertical="center"/>
    </xf>
    <xf numFmtId="0" fontId="88" fillId="47" borderId="0" applyNumberFormat="0" applyBorder="0" applyAlignment="0" applyProtection="0">
      <alignment vertical="center"/>
    </xf>
    <xf numFmtId="0" fontId="3" fillId="0" borderId="0"/>
    <xf numFmtId="176" fontId="89" fillId="0" borderId="0">
      <protection locked="0"/>
    </xf>
    <xf numFmtId="177" fontId="90" fillId="0" borderId="0" applyFont="0" applyFill="0" applyBorder="0" applyAlignment="0" applyProtection="0"/>
    <xf numFmtId="178" fontId="91" fillId="0" borderId="0" applyFont="0" applyFill="0" applyBorder="0" applyAlignment="0" applyProtection="0"/>
    <xf numFmtId="10" fontId="91"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0" fontId="0" fillId="48" borderId="0" applyNumberFormat="0" applyBorder="0" applyProtection="0"/>
    <xf numFmtId="0" fontId="0" fillId="48" borderId="0" applyNumberFormat="0" applyBorder="0" applyProtection="0"/>
    <xf numFmtId="0" fontId="0" fillId="49" borderId="0" applyNumberFormat="0" applyBorder="0" applyProtection="0"/>
    <xf numFmtId="0" fontId="0" fillId="49" borderId="0" applyNumberFormat="0" applyBorder="0" applyProtection="0"/>
    <xf numFmtId="0" fontId="92" fillId="50" borderId="0" applyNumberFormat="0" applyBorder="0" applyAlignment="0" applyProtection="0"/>
    <xf numFmtId="0" fontId="93" fillId="51" borderId="0" applyNumberFormat="0" applyBorder="0" applyAlignment="0" applyProtection="0"/>
    <xf numFmtId="0" fontId="93" fillId="51" borderId="0" applyNumberFormat="0" applyBorder="0" applyAlignment="0" applyProtection="0"/>
    <xf numFmtId="0" fontId="92" fillId="52" borderId="0" applyNumberFormat="0" applyBorder="0" applyAlignment="0" applyProtection="0"/>
    <xf numFmtId="0" fontId="94" fillId="53" borderId="0" applyNumberFormat="0" applyBorder="0" applyAlignment="0" applyProtection="0">
      <alignment vertical="center"/>
    </xf>
    <xf numFmtId="0" fontId="92" fillId="54" borderId="0" applyNumberFormat="0" applyBorder="0" applyAlignment="0" applyProtection="0"/>
    <xf numFmtId="0" fontId="93" fillId="55" borderId="0" applyNumberFormat="0" applyBorder="0" applyAlignment="0" applyProtection="0"/>
    <xf numFmtId="0" fontId="93" fillId="56" borderId="0" applyNumberFormat="0" applyBorder="0" applyAlignment="0" applyProtection="0"/>
    <xf numFmtId="0" fontId="92" fillId="57" borderId="0" applyNumberFormat="0" applyBorder="0" applyAlignment="0" applyProtection="0"/>
    <xf numFmtId="0" fontId="94" fillId="58" borderId="0" applyNumberFormat="0" applyBorder="0" applyProtection="0"/>
    <xf numFmtId="0" fontId="94" fillId="58" borderId="0" applyNumberFormat="0" applyBorder="0" applyAlignment="0" applyProtection="0">
      <alignment vertical="center"/>
    </xf>
    <xf numFmtId="0" fontId="92" fillId="57" borderId="0" applyNumberFormat="0" applyBorder="0" applyAlignment="0" applyProtection="0"/>
    <xf numFmtId="0" fontId="93" fillId="55" borderId="0" applyNumberFormat="0" applyBorder="0" applyAlignment="0" applyProtection="0"/>
    <xf numFmtId="0" fontId="93" fillId="59" borderId="0" applyNumberFormat="0" applyBorder="0" applyAlignment="0" applyProtection="0"/>
    <xf numFmtId="0" fontId="92" fillId="56" borderId="0" applyNumberFormat="0" applyBorder="0" applyAlignment="0" applyProtection="0"/>
    <xf numFmtId="0" fontId="94" fillId="60" borderId="0" applyNumberFormat="0" applyBorder="0" applyAlignment="0" applyProtection="0">
      <alignment vertical="center"/>
    </xf>
    <xf numFmtId="0" fontId="92" fillId="50" borderId="0" applyNumberFormat="0" applyBorder="0" applyAlignment="0" applyProtection="0"/>
    <xf numFmtId="0" fontId="93" fillId="51" borderId="0" applyNumberFormat="0" applyBorder="0" applyAlignment="0" applyProtection="0"/>
    <xf numFmtId="0" fontId="93" fillId="56" borderId="0" applyNumberFormat="0" applyBorder="0" applyAlignment="0" applyProtection="0"/>
    <xf numFmtId="0" fontId="92" fillId="56" borderId="0" applyNumberFormat="0" applyBorder="0" applyAlignment="0" applyProtection="0"/>
    <xf numFmtId="0" fontId="94" fillId="61" borderId="0" applyNumberFormat="0" applyBorder="0" applyAlignment="0" applyProtection="0">
      <alignment vertical="center"/>
    </xf>
    <xf numFmtId="0" fontId="92" fillId="62" borderId="0" applyNumberFormat="0" applyBorder="0" applyAlignment="0" applyProtection="0"/>
    <xf numFmtId="0" fontId="93" fillId="63" borderId="0" applyNumberFormat="0" applyBorder="0" applyAlignment="0" applyProtection="0"/>
    <xf numFmtId="0" fontId="93" fillId="51" borderId="0" applyNumberFormat="0" applyBorder="0" applyAlignment="0" applyProtection="0"/>
    <xf numFmtId="0" fontId="92" fillId="52" borderId="0" applyNumberFormat="0" applyBorder="0" applyAlignment="0" applyProtection="0"/>
    <xf numFmtId="0" fontId="94" fillId="64" borderId="0" applyNumberFormat="0" applyBorder="0" applyAlignment="0" applyProtection="0">
      <alignment vertical="center"/>
    </xf>
    <xf numFmtId="0" fontId="92" fillId="65" borderId="0" applyNumberFormat="0" applyBorder="0" applyAlignment="0" applyProtection="0"/>
    <xf numFmtId="0" fontId="93" fillId="55" borderId="0" applyNumberFormat="0" applyBorder="0" applyAlignment="0" applyProtection="0"/>
    <xf numFmtId="0" fontId="93" fillId="44" borderId="0" applyNumberFormat="0" applyBorder="0" applyAlignment="0" applyProtection="0"/>
    <xf numFmtId="0" fontId="92" fillId="44" borderId="0" applyNumberFormat="0" applyBorder="0" applyAlignment="0" applyProtection="0"/>
    <xf numFmtId="0" fontId="94" fillId="66" borderId="0" applyNumberFormat="0" applyBorder="0" applyAlignment="0" applyProtection="0">
      <alignment vertical="center"/>
    </xf>
    <xf numFmtId="0" fontId="95" fillId="67" borderId="0" applyNumberFormat="0" applyBorder="0" applyProtection="0"/>
    <xf numFmtId="0" fontId="95" fillId="67" borderId="0" applyNumberFormat="0" applyBorder="0" applyProtection="0"/>
    <xf numFmtId="180" fontId="22" fillId="0" borderId="0" applyFill="0" applyBorder="0" applyAlignment="0"/>
    <xf numFmtId="0" fontId="96" fillId="0" borderId="0"/>
    <xf numFmtId="4" fontId="0" fillId="0" borderId="9">
      <alignment horizontal="right"/>
    </xf>
    <xf numFmtId="4" fontId="0" fillId="0" borderId="9">
      <alignment horizontal="right"/>
    </xf>
    <xf numFmtId="4" fontId="97" fillId="0" borderId="9">
      <alignment horizontal="right"/>
    </xf>
    <xf numFmtId="4" fontId="67" fillId="0" borderId="9">
      <alignment horizontal="right" vertical="center"/>
    </xf>
    <xf numFmtId="4" fontId="67" fillId="0" borderId="9">
      <alignment horizontal="right" vertical="center"/>
    </xf>
    <xf numFmtId="4" fontId="67" fillId="0" borderId="9">
      <alignment horizontal="right" vertical="center"/>
    </xf>
    <xf numFmtId="4" fontId="67" fillId="0" borderId="9">
      <alignment horizontal="right" vertical="center"/>
    </xf>
    <xf numFmtId="4" fontId="67" fillId="0" borderId="9">
      <alignment horizontal="right" vertical="center"/>
    </xf>
    <xf numFmtId="4" fontId="67" fillId="0" borderId="9">
      <alignment horizontal="right" vertical="center"/>
    </xf>
    <xf numFmtId="4" fontId="67" fillId="0" borderId="9">
      <alignment horizontal="right" vertical="center"/>
    </xf>
    <xf numFmtId="4" fontId="67" fillId="0" borderId="9">
      <alignment horizontal="right" vertical="center"/>
    </xf>
    <xf numFmtId="4" fontId="67" fillId="0" borderId="9">
      <alignment horizontal="right" vertical="center"/>
    </xf>
    <xf numFmtId="4" fontId="67" fillId="0" borderId="9">
      <alignment horizontal="right" vertical="center"/>
    </xf>
    <xf numFmtId="4" fontId="67" fillId="0" borderId="9">
      <alignment horizontal="right" vertical="center"/>
    </xf>
    <xf numFmtId="4" fontId="67" fillId="0" borderId="9">
      <alignment horizontal="right" vertical="center"/>
    </xf>
    <xf numFmtId="4" fontId="67" fillId="0" borderId="9">
      <alignment horizontal="right" vertical="center"/>
    </xf>
    <xf numFmtId="4" fontId="67" fillId="0" borderId="9">
      <alignment horizontal="right" vertical="center"/>
    </xf>
    <xf numFmtId="4" fontId="67" fillId="0" borderId="9">
      <alignment horizontal="right" vertical="center"/>
    </xf>
    <xf numFmtId="4" fontId="67" fillId="0" borderId="9">
      <alignment horizontal="right" vertical="center"/>
    </xf>
    <xf numFmtId="4" fontId="67" fillId="0" borderId="9">
      <alignment horizontal="right" vertical="center"/>
    </xf>
    <xf numFmtId="4" fontId="67" fillId="0" borderId="9">
      <alignment horizontal="right" vertical="center"/>
    </xf>
    <xf numFmtId="4" fontId="67" fillId="0" borderId="9">
      <alignment horizontal="right" vertical="center"/>
    </xf>
    <xf numFmtId="4" fontId="67" fillId="0" borderId="9">
      <alignment horizontal="right" vertical="center"/>
    </xf>
    <xf numFmtId="4" fontId="97" fillId="0" borderId="9">
      <alignment horizontal="right"/>
    </xf>
    <xf numFmtId="4" fontId="97" fillId="0" borderId="9">
      <alignment horizontal="right"/>
    </xf>
    <xf numFmtId="4" fontId="97" fillId="0" borderId="9">
      <alignment horizontal="right"/>
    </xf>
    <xf numFmtId="4" fontId="67" fillId="0" borderId="9">
      <alignment horizontal="right" vertical="center"/>
    </xf>
    <xf numFmtId="4" fontId="67" fillId="0" borderId="9">
      <alignment horizontal="right" vertical="center"/>
    </xf>
    <xf numFmtId="4" fontId="67" fillId="0" borderId="9">
      <alignment horizontal="right" vertical="center"/>
    </xf>
    <xf numFmtId="4" fontId="97" fillId="0" borderId="9">
      <alignment horizontal="right"/>
    </xf>
    <xf numFmtId="4" fontId="97" fillId="0" borderId="9">
      <alignment horizontal="right"/>
    </xf>
    <xf numFmtId="4" fontId="97" fillId="0" borderId="9">
      <alignment horizontal="right"/>
    </xf>
    <xf numFmtId="4" fontId="97" fillId="0" borderId="9">
      <alignment horizontal="right"/>
    </xf>
    <xf numFmtId="4" fontId="0" fillId="0" borderId="9">
      <alignment horizontal="right"/>
    </xf>
    <xf numFmtId="4" fontId="0" fillId="0" borderId="9">
      <alignment horizontal="right"/>
    </xf>
    <xf numFmtId="4" fontId="0" fillId="0" borderId="9">
      <alignment horizontal="right"/>
    </xf>
    <xf numFmtId="4" fontId="0" fillId="0" borderId="9">
      <alignment horizontal="right"/>
    </xf>
    <xf numFmtId="4" fontId="0" fillId="0" borderId="9">
      <alignment horizontal="right"/>
    </xf>
    <xf numFmtId="4" fontId="0" fillId="0" borderId="9">
      <alignment horizontal="right"/>
    </xf>
    <xf numFmtId="4" fontId="0" fillId="0" borderId="9">
      <alignment horizontal="right"/>
    </xf>
    <xf numFmtId="4" fontId="0" fillId="0" borderId="9">
      <alignment horizontal="right"/>
    </xf>
    <xf numFmtId="4" fontId="0" fillId="0" borderId="9">
      <alignment horizontal="right"/>
    </xf>
    <xf numFmtId="4" fontId="0" fillId="0" borderId="9">
      <alignment horizontal="right"/>
    </xf>
    <xf numFmtId="4" fontId="0" fillId="0" borderId="9">
      <alignment horizontal="right"/>
    </xf>
    <xf numFmtId="4" fontId="0" fillId="0" borderId="9">
      <alignment horizontal="right"/>
    </xf>
    <xf numFmtId="4" fontId="0" fillId="0" borderId="9">
      <alignment horizontal="right"/>
    </xf>
    <xf numFmtId="4" fontId="0" fillId="0" borderId="9">
      <alignment horizontal="right"/>
    </xf>
    <xf numFmtId="4" fontId="0" fillId="0" borderId="9">
      <alignment horizontal="right"/>
    </xf>
    <xf numFmtId="4" fontId="0" fillId="0" borderId="9">
      <alignment horizontal="right"/>
    </xf>
    <xf numFmtId="4" fontId="0" fillId="0" borderId="9">
      <alignment horizontal="right"/>
    </xf>
    <xf numFmtId="4" fontId="0" fillId="0" borderId="9">
      <alignment horizontal="right"/>
    </xf>
    <xf numFmtId="4" fontId="0" fillId="0" borderId="9">
      <alignment horizontal="right"/>
    </xf>
    <xf numFmtId="4" fontId="97" fillId="0" borderId="9">
      <alignment horizontal="right"/>
    </xf>
    <xf numFmtId="4" fontId="97" fillId="0" borderId="9">
      <alignment horizontal="right"/>
    </xf>
    <xf numFmtId="4" fontId="97" fillId="0" borderId="9">
      <alignment horizontal="right"/>
    </xf>
    <xf numFmtId="4" fontId="0" fillId="0" borderId="9">
      <alignment horizontal="right"/>
    </xf>
    <xf numFmtId="4" fontId="0" fillId="0" borderId="9">
      <alignment horizontal="right"/>
    </xf>
    <xf numFmtId="4" fontId="0" fillId="0" borderId="9">
      <alignment horizontal="right"/>
    </xf>
    <xf numFmtId="4" fontId="97" fillId="0" borderId="9">
      <alignment horizontal="right"/>
    </xf>
    <xf numFmtId="4" fontId="97" fillId="0" borderId="9">
      <alignment horizontal="right"/>
    </xf>
    <xf numFmtId="4" fontId="97" fillId="0" borderId="9">
      <alignment horizontal="right"/>
    </xf>
    <xf numFmtId="4" fontId="0" fillId="0" borderId="9">
      <alignment horizontal="right"/>
    </xf>
    <xf numFmtId="4" fontId="0" fillId="0" borderId="9">
      <alignment horizontal="right"/>
    </xf>
    <xf numFmtId="4" fontId="0" fillId="0" borderId="9">
      <alignment horizontal="right"/>
    </xf>
    <xf numFmtId="4" fontId="0" fillId="0" borderId="9">
      <alignment horizontal="right"/>
    </xf>
    <xf numFmtId="4" fontId="0" fillId="0" borderId="9">
      <alignment horizontal="right"/>
    </xf>
    <xf numFmtId="4" fontId="0" fillId="0" borderId="9">
      <alignment horizontal="right"/>
    </xf>
    <xf numFmtId="4" fontId="0" fillId="0" borderId="9">
      <alignment horizontal="right"/>
    </xf>
    <xf numFmtId="4" fontId="0" fillId="0" borderId="9">
      <alignment horizontal="right"/>
    </xf>
    <xf numFmtId="4" fontId="0" fillId="0" borderId="9">
      <alignment horizontal="right"/>
    </xf>
    <xf numFmtId="4" fontId="0" fillId="0" borderId="9">
      <alignment horizontal="right"/>
    </xf>
    <xf numFmtId="4" fontId="0" fillId="0" borderId="9">
      <alignment horizontal="right"/>
    </xf>
    <xf numFmtId="4" fontId="0" fillId="0" borderId="9">
      <alignment horizontal="right"/>
    </xf>
    <xf numFmtId="4" fontId="0" fillId="0" borderId="9">
      <alignment horizontal="right"/>
    </xf>
    <xf numFmtId="4" fontId="0" fillId="0" borderId="9">
      <alignment horizontal="right"/>
    </xf>
    <xf numFmtId="4" fontId="0" fillId="0" borderId="9">
      <alignment horizontal="right"/>
    </xf>
    <xf numFmtId="4" fontId="0" fillId="0" borderId="9">
      <alignment horizontal="right"/>
    </xf>
    <xf numFmtId="4" fontId="0" fillId="0" borderId="9">
      <alignment horizontal="right"/>
    </xf>
    <xf numFmtId="4" fontId="0" fillId="0" borderId="9">
      <alignment horizontal="right"/>
    </xf>
    <xf numFmtId="4" fontId="0" fillId="0" borderId="9">
      <alignment horizontal="right"/>
    </xf>
    <xf numFmtId="4" fontId="0" fillId="0" borderId="9">
      <alignment horizontal="right"/>
    </xf>
    <xf numFmtId="4" fontId="0" fillId="0" borderId="9">
      <alignment horizontal="right"/>
    </xf>
    <xf numFmtId="10" fontId="0" fillId="0" borderId="9" applyAlignment="0"/>
    <xf numFmtId="0" fontId="67" fillId="0" borderId="9">
      <alignment horizontal="right" vertical="center"/>
    </xf>
    <xf numFmtId="0" fontId="67" fillId="0" borderId="9">
      <alignment horizontal="right" vertical="center"/>
    </xf>
    <xf numFmtId="0" fontId="67" fillId="0" borderId="9">
      <alignment horizontal="right" vertical="center"/>
    </xf>
    <xf numFmtId="0" fontId="67" fillId="0" borderId="9">
      <alignment horizontal="right" vertical="center"/>
    </xf>
    <xf numFmtId="0" fontId="67" fillId="0" borderId="9">
      <alignment horizontal="right" vertical="center"/>
    </xf>
    <xf numFmtId="0" fontId="67" fillId="0" borderId="9">
      <alignment horizontal="right" vertical="center"/>
    </xf>
    <xf numFmtId="0" fontId="67" fillId="0" borderId="9">
      <alignment horizontal="right" vertical="center"/>
    </xf>
    <xf numFmtId="0" fontId="67" fillId="0" borderId="9">
      <alignment horizontal="right" vertical="center"/>
    </xf>
    <xf numFmtId="0" fontId="67" fillId="0" borderId="9">
      <alignment horizontal="right" vertical="center"/>
    </xf>
    <xf numFmtId="0" fontId="67" fillId="0" borderId="9">
      <alignment horizontal="right" vertical="center"/>
    </xf>
    <xf numFmtId="0" fontId="67" fillId="0" borderId="9">
      <alignment horizontal="right" vertical="center"/>
    </xf>
    <xf numFmtId="0" fontId="67" fillId="0" borderId="9">
      <alignment horizontal="right" vertical="center"/>
    </xf>
    <xf numFmtId="0" fontId="67" fillId="0" borderId="9">
      <alignment horizontal="right" vertical="center"/>
    </xf>
    <xf numFmtId="0" fontId="67" fillId="0" borderId="9">
      <alignment horizontal="right" vertical="center"/>
    </xf>
    <xf numFmtId="0" fontId="67" fillId="0" borderId="9">
      <alignment horizontal="right" vertical="center"/>
    </xf>
    <xf numFmtId="0" fontId="67" fillId="0" borderId="9">
      <alignment horizontal="right" vertical="center"/>
    </xf>
    <xf numFmtId="0" fontId="67" fillId="0" borderId="9">
      <alignment horizontal="right" vertical="center"/>
    </xf>
    <xf numFmtId="0" fontId="67" fillId="0" borderId="9">
      <alignment horizontal="right" vertical="center"/>
    </xf>
    <xf numFmtId="0" fontId="67" fillId="0" borderId="9">
      <alignment horizontal="right" vertical="center"/>
    </xf>
    <xf numFmtId="0" fontId="67" fillId="0" borderId="9">
      <alignment horizontal="right" vertical="center"/>
    </xf>
    <xf numFmtId="0" fontId="67" fillId="0" borderId="9">
      <alignment horizontal="right" vertical="center"/>
    </xf>
    <xf numFmtId="0" fontId="67" fillId="0" borderId="9">
      <alignment horizontal="right" vertical="center"/>
    </xf>
    <xf numFmtId="10" fontId="0" fillId="0" borderId="9" applyAlignment="0"/>
    <xf numFmtId="10" fontId="0" fillId="0" borderId="9" applyAlignment="0"/>
    <xf numFmtId="10" fontId="0" fillId="0" borderId="9" applyAlignment="0"/>
    <xf numFmtId="10" fontId="0" fillId="0" borderId="9" applyAlignment="0"/>
    <xf numFmtId="10" fontId="0" fillId="0" borderId="9" applyAlignment="0"/>
    <xf numFmtId="10" fontId="0" fillId="0" borderId="9" applyAlignment="0"/>
    <xf numFmtId="10" fontId="0" fillId="0" borderId="9" applyAlignment="0"/>
    <xf numFmtId="10" fontId="0" fillId="0" borderId="9" applyAlignment="0"/>
    <xf numFmtId="10" fontId="0" fillId="0" borderId="9" applyAlignment="0"/>
    <xf numFmtId="10" fontId="0" fillId="0" borderId="9" applyAlignment="0"/>
    <xf numFmtId="10" fontId="0" fillId="0" borderId="9" applyAlignment="0"/>
    <xf numFmtId="10" fontId="0" fillId="0" borderId="9" applyAlignment="0"/>
    <xf numFmtId="10" fontId="0" fillId="0" borderId="9" applyAlignment="0"/>
    <xf numFmtId="10" fontId="0" fillId="0" borderId="9" applyAlignment="0"/>
    <xf numFmtId="10" fontId="0" fillId="0" borderId="9" applyAlignment="0"/>
    <xf numFmtId="10" fontId="0" fillId="0" borderId="9" applyAlignment="0"/>
    <xf numFmtId="10" fontId="0" fillId="0" borderId="9" applyAlignment="0"/>
    <xf numFmtId="10" fontId="0" fillId="0" borderId="9" applyAlignment="0"/>
    <xf numFmtId="10" fontId="0" fillId="0" borderId="9" applyAlignment="0"/>
    <xf numFmtId="10" fontId="0" fillId="0" borderId="9" applyAlignment="0"/>
    <xf numFmtId="10" fontId="0" fillId="0" borderId="9" applyAlignment="0"/>
    <xf numFmtId="0" fontId="98" fillId="68" borderId="53" applyNumberFormat="0" applyAlignment="0" applyProtection="0"/>
    <xf numFmtId="0" fontId="99" fillId="69" borderId="50" applyNumberFormat="0" applyAlignment="0" applyProtection="0"/>
    <xf numFmtId="0" fontId="99" fillId="69" borderId="50" applyNumberFormat="0" applyAlignment="0" applyProtection="0"/>
    <xf numFmtId="0" fontId="98" fillId="68" borderId="53" applyNumberFormat="0" applyAlignment="0" applyProtection="0"/>
    <xf numFmtId="0" fontId="99" fillId="69" borderId="50" applyNumberFormat="0" applyAlignment="0" applyProtection="0"/>
    <xf numFmtId="0" fontId="100" fillId="0" borderId="16" applyNumberFormat="0" applyFill="0" applyProtection="0">
      <alignment horizontal="center"/>
    </xf>
    <xf numFmtId="181" fontId="0" fillId="0" borderId="0" applyFont="0" applyFill="0" applyBorder="0" applyAlignment="0" applyProtection="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3" fontId="0" fillId="0" borderId="0" applyFont="0" applyFill="0" applyBorder="0" applyAlignment="0" applyProtection="0"/>
    <xf numFmtId="41" fontId="97" fillId="0" borderId="0" applyFont="0" applyFill="0" applyBorder="0" applyAlignment="0" applyProtection="0"/>
    <xf numFmtId="41" fontId="97" fillId="0" borderId="0" applyFont="0" applyFill="0" applyBorder="0" applyAlignment="0" applyProtection="0"/>
    <xf numFmtId="41"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41" fontId="97" fillId="0" borderId="0" applyFont="0" applyFill="0" applyBorder="0" applyAlignment="0" applyProtection="0"/>
    <xf numFmtId="41" fontId="97"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97" fillId="0" borderId="0" applyFont="0" applyFill="0" applyBorder="0" applyAlignment="0" applyProtection="0"/>
    <xf numFmtId="41" fontId="97" fillId="0" borderId="0" applyFont="0" applyFill="0" applyBorder="0" applyAlignment="0" applyProtection="0"/>
    <xf numFmtId="41" fontId="0" fillId="0" borderId="0" applyFont="0" applyFill="0" applyBorder="0" applyAlignment="0" applyProtection="0"/>
    <xf numFmtId="41" fontId="97" fillId="0" borderId="0" applyFont="0" applyFill="0" applyBorder="0" applyAlignment="0" applyProtection="0"/>
    <xf numFmtId="41" fontId="97" fillId="0" borderId="0" applyFont="0" applyFill="0" applyBorder="0" applyAlignment="0" applyProtection="0"/>
    <xf numFmtId="41" fontId="97" fillId="0" borderId="0" applyFont="0" applyFill="0" applyBorder="0" applyAlignment="0" applyProtection="0"/>
    <xf numFmtId="41" fontId="97"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97" fillId="0" borderId="0" applyFont="0" applyFill="0" applyBorder="0" applyAlignment="0" applyProtection="0"/>
    <xf numFmtId="41" fontId="97" fillId="0" borderId="0" applyFont="0" applyFill="0" applyBorder="0" applyAlignment="0" applyProtection="0"/>
    <xf numFmtId="41" fontId="0" fillId="0" borderId="0" applyFont="0" applyFill="0" applyBorder="0" applyAlignment="0" applyProtection="0"/>
    <xf numFmtId="183" fontId="0" fillId="0" borderId="0" applyFont="0" applyFill="0" applyBorder="0" applyAlignment="0" applyProtection="0"/>
    <xf numFmtId="41" fontId="97" fillId="0" borderId="0" applyFont="0" applyFill="0" applyBorder="0" applyAlignment="0" applyProtection="0"/>
    <xf numFmtId="41" fontId="97" fillId="0" borderId="0" applyFont="0" applyFill="0" applyBorder="0" applyAlignment="0" applyProtection="0"/>
    <xf numFmtId="41" fontId="97" fillId="0" borderId="0" applyFont="0" applyFill="0" applyBorder="0" applyAlignment="0" applyProtection="0"/>
    <xf numFmtId="41" fontId="97"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97" fillId="0" borderId="0" applyFont="0" applyFill="0" applyBorder="0" applyAlignment="0" applyProtection="0"/>
    <xf numFmtId="41" fontId="97" fillId="0" borderId="0" applyFont="0" applyFill="0" applyBorder="0" applyAlignment="0" applyProtection="0"/>
    <xf numFmtId="41" fontId="0" fillId="0" borderId="0" applyFont="0" applyFill="0" applyBorder="0" applyAlignment="0" applyProtection="0"/>
    <xf numFmtId="183"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97" fillId="0" borderId="0" applyFont="0" applyFill="0" applyBorder="0" applyAlignment="0" applyProtection="0"/>
    <xf numFmtId="41" fontId="0" fillId="0" borderId="0" applyFont="0" applyFill="0" applyBorder="0" applyAlignment="0" applyProtection="0"/>
    <xf numFmtId="183"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97"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97" fillId="0" borderId="0" applyFont="0" applyFill="0" applyBorder="0" applyAlignment="0" applyProtection="0"/>
    <xf numFmtId="41" fontId="97" fillId="0" borderId="0" applyFont="0" applyFill="0" applyBorder="0" applyAlignment="0" applyProtection="0"/>
    <xf numFmtId="41" fontId="0" fillId="0" borderId="0" applyFont="0" applyFill="0" applyBorder="0" applyAlignment="0" applyProtection="0"/>
    <xf numFmtId="183" fontId="0" fillId="0" borderId="0" applyFont="0" applyFill="0" applyBorder="0" applyAlignment="0" applyProtection="0"/>
    <xf numFmtId="41" fontId="97" fillId="0" borderId="0" applyFont="0" applyFill="0" applyBorder="0" applyAlignment="0" applyProtection="0"/>
    <xf numFmtId="41" fontId="97" fillId="0" borderId="0" applyFont="0" applyFill="0" applyBorder="0" applyAlignment="0" applyProtection="0"/>
    <xf numFmtId="41" fontId="97" fillId="0" borderId="0" applyFont="0" applyFill="0" applyBorder="0" applyAlignment="0" applyProtection="0"/>
    <xf numFmtId="41" fontId="97" fillId="0" borderId="0" applyFont="0" applyFill="0" applyBorder="0" applyAlignment="0" applyProtection="0"/>
    <xf numFmtId="41" fontId="97" fillId="0" borderId="0" applyFont="0" applyFill="0" applyBorder="0" applyAlignment="0" applyProtection="0"/>
    <xf numFmtId="41" fontId="97" fillId="0" borderId="0" applyFont="0" applyFill="0" applyBorder="0" applyAlignment="0" applyProtection="0"/>
    <xf numFmtId="41" fontId="97" fillId="0" borderId="0" applyFont="0" applyFill="0" applyBorder="0" applyAlignment="0" applyProtection="0"/>
    <xf numFmtId="41" fontId="97"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97" fillId="0" borderId="0" applyFont="0" applyFill="0" applyBorder="0" applyAlignment="0" applyProtection="0"/>
    <xf numFmtId="41" fontId="97" fillId="0" borderId="0" applyFont="0" applyFill="0" applyBorder="0" applyAlignment="0" applyProtection="0"/>
    <xf numFmtId="41" fontId="0" fillId="0" borderId="0" applyFont="0" applyFill="0" applyBorder="0" applyAlignment="0" applyProtection="0"/>
    <xf numFmtId="183" fontId="0" fillId="0" borderId="0" applyFont="0" applyFill="0" applyBorder="0" applyAlignment="0" applyProtection="0"/>
    <xf numFmtId="41" fontId="97" fillId="0" borderId="0" applyFont="0" applyFill="0" applyBorder="0" applyAlignment="0" applyProtection="0"/>
    <xf numFmtId="41" fontId="97" fillId="0" borderId="0" applyFont="0" applyFill="0" applyBorder="0" applyAlignment="0" applyProtection="0"/>
    <xf numFmtId="41" fontId="97" fillId="0" borderId="0" applyFont="0" applyFill="0" applyBorder="0" applyAlignment="0" applyProtection="0"/>
    <xf numFmtId="41" fontId="97"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97" fillId="0" borderId="0" applyFont="0" applyFill="0" applyBorder="0" applyAlignment="0" applyProtection="0"/>
    <xf numFmtId="41" fontId="97" fillId="0" borderId="0" applyFont="0" applyFill="0" applyBorder="0" applyAlignment="0" applyProtection="0"/>
    <xf numFmtId="41" fontId="0" fillId="0" borderId="0" applyFont="0" applyFill="0" applyBorder="0" applyAlignment="0" applyProtection="0"/>
    <xf numFmtId="183"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97" fillId="0" borderId="0" applyFont="0" applyFill="0" applyBorder="0" applyAlignment="0" applyProtection="0"/>
    <xf numFmtId="41" fontId="0" fillId="0" borderId="0" applyFont="0" applyFill="0" applyBorder="0" applyAlignment="0" applyProtection="0"/>
    <xf numFmtId="41" fontId="97" fillId="0" borderId="0" applyFont="0" applyFill="0" applyBorder="0" applyAlignment="0" applyProtection="0"/>
    <xf numFmtId="41" fontId="97"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97" fillId="0" borderId="0" applyFont="0" applyFill="0" applyBorder="0" applyAlignment="0" applyProtection="0"/>
    <xf numFmtId="41" fontId="97" fillId="0" borderId="0" applyFont="0" applyFill="0" applyBorder="0" applyAlignment="0" applyProtection="0"/>
    <xf numFmtId="41"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41" fontId="101" fillId="0" borderId="0" applyFont="0" applyFill="0" applyBorder="0" applyAlignment="0" applyProtection="0"/>
    <xf numFmtId="41" fontId="101"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101" fillId="0" borderId="0" applyFont="0" applyFill="0" applyBorder="0" applyAlignment="0" applyProtection="0"/>
    <xf numFmtId="41" fontId="101" fillId="0" borderId="0" applyFont="0" applyFill="0" applyBorder="0" applyAlignment="0" applyProtection="0"/>
    <xf numFmtId="41" fontId="0" fillId="0" borderId="0" applyFont="0" applyFill="0" applyBorder="0" applyAlignment="0" applyProtection="0"/>
    <xf numFmtId="183"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101" fillId="0" borderId="0" applyFont="0" applyFill="0" applyBorder="0" applyAlignment="0" applyProtection="0"/>
    <xf numFmtId="41" fontId="0" fillId="0" borderId="0" applyFont="0" applyFill="0" applyBorder="0" applyAlignment="0" applyProtection="0"/>
    <xf numFmtId="41" fontId="97" fillId="0" borderId="0" applyFont="0" applyFill="0" applyBorder="0" applyAlignment="0" applyProtection="0"/>
    <xf numFmtId="41" fontId="97"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101" fillId="0" borderId="0" applyFont="0" applyFill="0" applyBorder="0" applyAlignment="0" applyProtection="0"/>
    <xf numFmtId="41" fontId="101" fillId="0" borderId="0" applyFont="0" applyFill="0" applyBorder="0" applyAlignment="0" applyProtection="0"/>
    <xf numFmtId="41"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101" fillId="0" borderId="0" applyFont="0" applyFill="0" applyBorder="0" applyAlignment="0" applyProtection="0"/>
    <xf numFmtId="41" fontId="0" fillId="0" borderId="0" applyFont="0" applyFill="0" applyBorder="0" applyAlignment="0" applyProtection="0"/>
    <xf numFmtId="183"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97"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101" fillId="0" borderId="0" applyFont="0" applyFill="0" applyBorder="0" applyAlignment="0" applyProtection="0"/>
    <xf numFmtId="41" fontId="101" fillId="0" borderId="0" applyFont="0" applyFill="0" applyBorder="0" applyAlignment="0" applyProtection="0"/>
    <xf numFmtId="41" fontId="0" fillId="0" borderId="0" applyFont="0" applyFill="0" applyBorder="0" applyAlignment="0" applyProtection="0"/>
    <xf numFmtId="183"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101" fillId="0" borderId="0" applyFont="0" applyFill="0" applyBorder="0" applyAlignment="0" applyProtection="0"/>
    <xf numFmtId="41" fontId="0" fillId="0" borderId="0" applyFont="0" applyFill="0" applyBorder="0" applyAlignment="0" applyProtection="0"/>
    <xf numFmtId="41" fontId="97" fillId="0" borderId="0" applyFont="0" applyFill="0" applyBorder="0" applyAlignment="0" applyProtection="0"/>
    <xf numFmtId="41" fontId="97"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101" fillId="0" borderId="0" applyFont="0" applyFill="0" applyBorder="0" applyAlignment="0" applyProtection="0"/>
    <xf numFmtId="41" fontId="101" fillId="0" borderId="0" applyFont="0" applyFill="0" applyBorder="0" applyAlignment="0" applyProtection="0"/>
    <xf numFmtId="41"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97" fillId="0" borderId="0" applyFont="0" applyFill="0" applyBorder="0" applyAlignment="0" applyProtection="0"/>
    <xf numFmtId="41" fontId="0" fillId="0" borderId="0" applyFont="0" applyFill="0" applyBorder="0" applyAlignment="0" applyProtection="0"/>
    <xf numFmtId="183"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97"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97" fillId="0" borderId="0" applyFont="0" applyFill="0" applyBorder="0" applyAlignment="0" applyProtection="0"/>
    <xf numFmtId="41" fontId="97" fillId="0" borderId="0" applyFont="0" applyFill="0" applyBorder="0" applyAlignment="0" applyProtection="0"/>
    <xf numFmtId="41"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183"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97" fillId="0" borderId="0" applyFont="0" applyFill="0" applyBorder="0" applyAlignment="0" applyProtection="0"/>
    <xf numFmtId="41" fontId="0" fillId="0" borderId="0" applyFont="0" applyFill="0" applyBorder="0" applyAlignment="0" applyProtection="0"/>
    <xf numFmtId="183"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97" fillId="0" borderId="0" applyFont="0" applyFill="0" applyBorder="0" applyAlignment="0" applyProtection="0"/>
    <xf numFmtId="41" fontId="0" fillId="0" borderId="0" applyFont="0" applyFill="0" applyBorder="0" applyAlignment="0" applyProtection="0"/>
    <xf numFmtId="183"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97" fillId="0" borderId="0" applyFont="0" applyFill="0" applyBorder="0" applyAlignment="0" applyProtection="0"/>
    <xf numFmtId="41" fontId="97" fillId="0" borderId="0" applyFont="0" applyFill="0" applyBorder="0" applyAlignment="0" applyProtection="0"/>
    <xf numFmtId="41"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97" fillId="0" borderId="0" applyFont="0" applyFill="0" applyBorder="0" applyAlignment="0" applyProtection="0"/>
    <xf numFmtId="41" fontId="0" fillId="0" borderId="0" applyFont="0" applyFill="0" applyBorder="0" applyAlignment="0" applyProtection="0"/>
    <xf numFmtId="183"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97" fillId="0" borderId="0" applyFont="0" applyFill="0" applyBorder="0" applyAlignment="0" applyProtection="0"/>
    <xf numFmtId="41" fontId="0" fillId="0" borderId="0" applyFont="0" applyFill="0" applyBorder="0" applyAlignment="0" applyProtection="0"/>
    <xf numFmtId="183"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97"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97" fillId="0" borderId="0" applyFont="0" applyFill="0" applyBorder="0" applyAlignment="0" applyProtection="0"/>
    <xf numFmtId="41" fontId="97" fillId="0" borderId="0" applyFont="0" applyFill="0" applyBorder="0" applyAlignment="0" applyProtection="0"/>
    <xf numFmtId="41"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183"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97" fillId="0" borderId="0" applyFont="0" applyFill="0" applyBorder="0" applyAlignment="0" applyProtection="0"/>
    <xf numFmtId="41"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97" fillId="0" borderId="0" applyFont="0" applyFill="0" applyBorder="0" applyAlignment="0" applyProtection="0"/>
    <xf numFmtId="41" fontId="0" fillId="0" borderId="0" applyFont="0" applyFill="0" applyBorder="0" applyAlignment="0" applyProtection="0"/>
    <xf numFmtId="183" fontId="101" fillId="0" borderId="0" applyFont="0" applyFill="0" applyBorder="0" applyAlignment="0" applyProtection="0"/>
    <xf numFmtId="41" fontId="101" fillId="0" borderId="0" applyFont="0" applyFill="0" applyBorder="0" applyAlignment="0" applyProtection="0"/>
    <xf numFmtId="41" fontId="101" fillId="0" borderId="0" applyFont="0" applyFill="0" applyBorder="0" applyAlignment="0" applyProtection="0"/>
    <xf numFmtId="41" fontId="97"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183" fontId="0" fillId="0" borderId="0" applyFont="0" applyFill="0" applyBorder="0" applyAlignment="0" applyProtection="0"/>
    <xf numFmtId="183" fontId="90" fillId="0" borderId="0" applyFont="0" applyFill="0" applyBorder="0" applyAlignment="0" applyProtection="0"/>
    <xf numFmtId="41" fontId="90" fillId="0" borderId="0" applyFont="0" applyFill="0" applyBorder="0" applyAlignment="0" applyProtection="0"/>
    <xf numFmtId="41" fontId="90" fillId="0" borderId="0" applyFont="0" applyFill="0" applyBorder="0" applyAlignment="0" applyProtection="0"/>
    <xf numFmtId="41" fontId="90" fillId="0" borderId="0" applyFont="0" applyFill="0" applyBorder="0" applyAlignment="0" applyProtection="0"/>
    <xf numFmtId="41" fontId="90" fillId="0" borderId="0" applyFont="0" applyFill="0" applyBorder="0" applyAlignment="0" applyProtection="0"/>
    <xf numFmtId="41" fontId="90" fillId="0" borderId="0" applyFont="0" applyFill="0" applyBorder="0" applyAlignment="0" applyProtection="0"/>
    <xf numFmtId="41" fontId="90" fillId="0" borderId="0" applyFont="0" applyFill="0" applyBorder="0" applyAlignment="0" applyProtection="0"/>
    <xf numFmtId="41" fontId="90" fillId="0" borderId="0" applyFont="0" applyFill="0" applyBorder="0" applyAlignment="0" applyProtection="0"/>
    <xf numFmtId="41" fontId="90" fillId="0" borderId="0" applyFont="0" applyFill="0" applyBorder="0" applyAlignment="0" applyProtection="0"/>
    <xf numFmtId="41" fontId="90" fillId="0" borderId="0" applyFont="0" applyFill="0" applyBorder="0" applyAlignment="0" applyProtection="0"/>
    <xf numFmtId="41" fontId="90" fillId="0" borderId="0" applyFont="0" applyFill="0" applyBorder="0" applyAlignment="0" applyProtection="0"/>
    <xf numFmtId="41" fontId="90" fillId="0" borderId="0" applyFont="0" applyFill="0" applyBorder="0" applyAlignment="0" applyProtection="0"/>
    <xf numFmtId="41" fontId="90" fillId="0" borderId="0" applyFont="0" applyFill="0" applyBorder="0" applyAlignment="0" applyProtection="0"/>
    <xf numFmtId="41" fontId="90" fillId="0" borderId="0" applyFont="0" applyFill="0" applyBorder="0" applyAlignment="0" applyProtection="0"/>
    <xf numFmtId="41" fontId="90" fillId="0" borderId="0" applyFont="0" applyFill="0" applyBorder="0" applyAlignment="0" applyProtection="0"/>
    <xf numFmtId="41" fontId="90" fillId="0" borderId="0" applyFont="0" applyFill="0" applyBorder="0" applyAlignment="0" applyProtection="0"/>
    <xf numFmtId="41" fontId="90" fillId="0" borderId="0" applyFont="0" applyFill="0" applyBorder="0" applyAlignment="0" applyProtection="0"/>
    <xf numFmtId="41" fontId="90" fillId="0" borderId="0" applyFont="0" applyFill="0" applyBorder="0" applyAlignment="0" applyProtection="0"/>
    <xf numFmtId="41" fontId="90" fillId="0" borderId="0" applyFont="0" applyFill="0" applyBorder="0" applyAlignment="0" applyProtection="0"/>
    <xf numFmtId="41" fontId="90" fillId="0" borderId="0" applyFont="0" applyFill="0" applyBorder="0" applyAlignment="0" applyProtection="0"/>
    <xf numFmtId="41" fontId="90" fillId="0" borderId="0" applyFont="0" applyFill="0" applyBorder="0" applyAlignment="0" applyProtection="0"/>
    <xf numFmtId="183" fontId="0" fillId="0" borderId="0" applyFont="0" applyFill="0" applyBorder="0" applyAlignment="0" applyProtection="0"/>
    <xf numFmtId="41" fontId="90" fillId="0" borderId="0" applyFont="0" applyFill="0" applyBorder="0" applyAlignment="0" applyProtection="0"/>
    <xf numFmtId="41" fontId="9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90" fillId="0" borderId="0" applyFont="0" applyFill="0" applyBorder="0" applyAlignment="0" applyProtection="0"/>
    <xf numFmtId="41" fontId="90" fillId="0" borderId="0" applyFont="0" applyFill="0" applyBorder="0" applyAlignment="0" applyProtection="0"/>
    <xf numFmtId="41" fontId="0" fillId="0" borderId="0" applyFont="0" applyFill="0" applyBorder="0" applyAlignment="0" applyProtection="0"/>
    <xf numFmtId="41" fontId="90" fillId="0" borderId="0" applyFont="0" applyFill="0" applyBorder="0" applyAlignment="0" applyProtection="0"/>
    <xf numFmtId="41" fontId="90" fillId="0" borderId="0" applyFont="0" applyFill="0" applyBorder="0" applyAlignment="0" applyProtection="0"/>
    <xf numFmtId="41" fontId="90" fillId="0" borderId="0" applyFont="0" applyFill="0" applyBorder="0" applyAlignment="0" applyProtection="0"/>
    <xf numFmtId="41" fontId="9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90" fillId="0" borderId="0" applyFont="0" applyFill="0" applyBorder="0" applyAlignment="0" applyProtection="0"/>
    <xf numFmtId="41" fontId="90" fillId="0" borderId="0" applyFont="0" applyFill="0" applyBorder="0" applyAlignment="0" applyProtection="0"/>
    <xf numFmtId="4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0"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97"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97" fillId="0" borderId="0" applyFont="0" applyFill="0" applyBorder="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97"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97" fillId="0" borderId="0" applyFont="0" applyFill="0" applyBorder="0" applyProtection="0"/>
    <xf numFmtId="43"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184" fontId="3" fillId="0" borderId="0" applyFont="0" applyFill="0" applyBorder="0" applyAlignment="0" applyProtection="0"/>
    <xf numFmtId="43" fontId="97" fillId="0" borderId="0" applyFont="0" applyFill="0" applyBorder="0" applyProtection="0"/>
    <xf numFmtId="43" fontId="97" fillId="0" borderId="0" applyFont="0" applyFill="0" applyBorder="0" applyProtection="0"/>
    <xf numFmtId="184" fontId="3" fillId="0" borderId="0" applyFont="0" applyFill="0" applyBorder="0" applyAlignment="0" applyProtection="0"/>
    <xf numFmtId="43" fontId="97" fillId="0" borderId="0" applyFont="0" applyFill="0" applyBorder="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102" fillId="0" borderId="0" applyFont="0" applyFill="0" applyBorder="0" applyAlignment="0" applyProtection="0"/>
    <xf numFmtId="43" fontId="0" fillId="0" borderId="0" applyFont="0" applyFill="0" applyBorder="0" applyAlignment="0" applyProtection="0"/>
    <xf numFmtId="43" fontId="102" fillId="0" borderId="0" applyFont="0" applyFill="0" applyBorder="0" applyAlignment="0" applyProtection="0"/>
    <xf numFmtId="43" fontId="97" fillId="0" borderId="0" applyFont="0" applyFill="0" applyBorder="0" applyProtection="0"/>
    <xf numFmtId="43"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5" fontId="103" fillId="0" borderId="0" applyFont="0" applyFill="0" applyBorder="0" applyProtection="0"/>
    <xf numFmtId="43"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103" fillId="0" borderId="0" applyFont="0" applyFill="0" applyBorder="0" applyProtection="0"/>
    <xf numFmtId="43"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3" fillId="0" borderId="0" applyFont="0" applyFill="0" applyBorder="0" applyAlignment="0" applyProtection="0"/>
    <xf numFmtId="43" fontId="0" fillId="0" borderId="0" applyFont="0" applyFill="0" applyBorder="0" applyAlignment="0" applyProtection="0"/>
    <xf numFmtId="43" fontId="3" fillId="0" borderId="0" applyFont="0" applyFill="0" applyBorder="0" applyAlignment="0" applyProtection="0"/>
    <xf numFmtId="43" fontId="103" fillId="0" borderId="0" applyFont="0" applyFill="0" applyBorder="0" applyProtection="0"/>
    <xf numFmtId="43"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3" fillId="0" borderId="0" applyFont="0" applyFill="0" applyBorder="0" applyAlignment="0" applyProtection="0"/>
    <xf numFmtId="183"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183"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181"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81" fontId="104" fillId="0" borderId="0" applyFont="0" applyFill="0" applyBorder="0" applyAlignment="0" applyProtection="0"/>
    <xf numFmtId="181" fontId="3" fillId="0" borderId="0" applyFont="0" applyFill="0" applyBorder="0" applyAlignment="0" applyProtection="0"/>
    <xf numFmtId="41" fontId="0" fillId="0" borderId="0" applyFont="0" applyFill="0" applyBorder="0" applyAlignment="0" applyProtection="0"/>
    <xf numFmtId="43" fontId="3" fillId="0" borderId="0" applyFont="0" applyFill="0" applyBorder="0" applyAlignment="0" applyProtection="0"/>
    <xf numFmtId="41" fontId="0" fillId="0" borderId="0" applyFont="0" applyFill="0" applyBorder="0" applyAlignment="0" applyProtection="0"/>
    <xf numFmtId="41" fontId="101" fillId="0" borderId="0" applyFont="0" applyFill="0" applyBorder="0" applyAlignment="0" applyProtection="0"/>
    <xf numFmtId="41" fontId="101" fillId="0" borderId="0" applyFont="0" applyFill="0" applyBorder="0" applyAlignment="0" applyProtection="0"/>
    <xf numFmtId="183" fontId="0" fillId="0" borderId="0" applyFont="0" applyFill="0" applyBorder="0" applyAlignment="0" applyProtection="0"/>
    <xf numFmtId="41" fontId="0" fillId="0" borderId="0" applyFont="0" applyFill="0" applyBorder="0" applyAlignment="0" applyProtection="0"/>
    <xf numFmtId="183" fontId="0" fillId="0" borderId="0" applyFont="0" applyFill="0" applyBorder="0" applyAlignment="0" applyProtection="0"/>
    <xf numFmtId="181" fontId="0" fillId="0" borderId="0" applyFont="0" applyAlignment="0" applyProtection="0"/>
    <xf numFmtId="181" fontId="0" fillId="0" borderId="0" applyFont="0" applyAlignment="0" applyProtection="0"/>
    <xf numFmtId="43" fontId="0" fillId="0" borderId="0" applyFont="0" applyAlignment="0" applyProtection="0"/>
    <xf numFmtId="43" fontId="0" fillId="0" borderId="0" applyFont="0" applyAlignment="0" applyProtection="0"/>
    <xf numFmtId="43" fontId="0" fillId="0" borderId="0" applyFont="0" applyAlignment="0" applyProtection="0"/>
    <xf numFmtId="43" fontId="0" fillId="0" borderId="0" applyFont="0" applyAlignment="0" applyProtection="0"/>
    <xf numFmtId="41" fontId="101" fillId="0" borderId="0" applyFont="0" applyFill="0" applyBorder="0" applyAlignment="0" applyProtection="0"/>
    <xf numFmtId="43" fontId="0" fillId="0" borderId="0" applyFont="0" applyAlignment="0" applyProtection="0"/>
    <xf numFmtId="181" fontId="0" fillId="0" borderId="0" applyFont="0" applyAlignment="0" applyProtection="0"/>
    <xf numFmtId="43" fontId="0" fillId="0" borderId="0" applyFont="0" applyAlignment="0" applyProtection="0"/>
    <xf numFmtId="43" fontId="0" fillId="0" borderId="0" applyFont="0" applyAlignment="0" applyProtection="0"/>
    <xf numFmtId="181" fontId="0" fillId="0" borderId="0" applyFont="0" applyAlignment="0" applyProtection="0"/>
    <xf numFmtId="43" fontId="0" fillId="0" borderId="0" applyFont="0" applyAlignment="0" applyProtection="0"/>
    <xf numFmtId="43" fontId="0" fillId="0" borderId="0" applyFont="0" applyAlignment="0" applyProtection="0"/>
    <xf numFmtId="183"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101" fillId="0" borderId="0" applyFont="0" applyFill="0" applyBorder="0" applyAlignment="0" applyProtection="0"/>
    <xf numFmtId="41" fontId="101" fillId="0" borderId="0" applyFont="0" applyFill="0" applyBorder="0" applyAlignment="0" applyProtection="0"/>
    <xf numFmtId="41" fontId="0" fillId="0" borderId="0" applyFont="0" applyFill="0" applyBorder="0" applyAlignment="0" applyProtection="0"/>
    <xf numFmtId="181" fontId="105" fillId="0" borderId="0" applyFont="0" applyAlignment="0" applyProtection="0"/>
    <xf numFmtId="181" fontId="0" fillId="0" borderId="0" applyFont="0" applyAlignment="0" applyProtection="0"/>
    <xf numFmtId="181" fontId="0" fillId="0" borderId="0" applyFont="0" applyAlignment="0" applyProtection="0"/>
    <xf numFmtId="43" fontId="0" fillId="0" borderId="0" applyFont="0" applyAlignment="0" applyProtection="0"/>
    <xf numFmtId="43" fontId="0" fillId="0" borderId="0" applyFont="0" applyAlignment="0" applyProtection="0"/>
    <xf numFmtId="43" fontId="0" fillId="0" borderId="0" applyFont="0" applyAlignment="0" applyProtection="0"/>
    <xf numFmtId="43" fontId="0" fillId="0" borderId="0" applyFont="0" applyAlignment="0" applyProtection="0"/>
    <xf numFmtId="41" fontId="101" fillId="0" borderId="0" applyFont="0" applyFill="0" applyBorder="0" applyAlignment="0" applyProtection="0"/>
    <xf numFmtId="43" fontId="0" fillId="0" borderId="0" applyFont="0" applyAlignment="0" applyProtection="0"/>
    <xf numFmtId="181" fontId="0" fillId="0" borderId="0" applyFont="0" applyAlignment="0" applyProtection="0"/>
    <xf numFmtId="43" fontId="0" fillId="0" borderId="0" applyFont="0" applyAlignment="0" applyProtection="0"/>
    <xf numFmtId="43" fontId="0" fillId="0" borderId="0" applyFont="0" applyAlignment="0" applyProtection="0"/>
    <xf numFmtId="41" fontId="97" fillId="0" borderId="0" applyFont="0" applyFill="0" applyBorder="0" applyAlignment="0" applyProtection="0"/>
    <xf numFmtId="43" fontId="0" fillId="0" borderId="0" applyFont="0" applyAlignment="0" applyProtection="0"/>
    <xf numFmtId="181" fontId="0" fillId="0" borderId="0" applyFont="0" applyAlignment="0" applyProtection="0"/>
    <xf numFmtId="43" fontId="0" fillId="0" borderId="0" applyFont="0" applyAlignment="0" applyProtection="0"/>
    <xf numFmtId="43" fontId="0" fillId="0" borderId="0" applyFont="0" applyAlignment="0" applyProtection="0"/>
    <xf numFmtId="183"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183"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101" fillId="0" borderId="0" applyFont="0" applyFill="0" applyBorder="0" applyAlignment="0" applyProtection="0"/>
    <xf numFmtId="41" fontId="101" fillId="0" borderId="0" applyFont="0" applyFill="0" applyBorder="0" applyAlignment="0" applyProtection="0"/>
    <xf numFmtId="181" fontId="105" fillId="0" borderId="0" applyFont="0" applyAlignment="0" applyProtection="0"/>
    <xf numFmtId="181"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1" fontId="101" fillId="0" borderId="0" applyFont="0" applyFill="0" applyBorder="0" applyAlignment="0" applyProtection="0"/>
    <xf numFmtId="41" fontId="101" fillId="0" borderId="0" applyFont="0" applyFill="0" applyBorder="0" applyAlignment="0" applyProtection="0"/>
    <xf numFmtId="181" fontId="0" fillId="0" borderId="0" applyFont="0" applyAlignment="0" applyProtection="0"/>
    <xf numFmtId="41" fontId="101" fillId="0" borderId="0" applyFont="0" applyFill="0" applyBorder="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43" fontId="0" fillId="0" borderId="0" applyFont="0" applyAlignment="0" applyProtection="0"/>
    <xf numFmtId="43" fontId="0" fillId="0" borderId="0" applyFont="0" applyAlignment="0" applyProtection="0"/>
    <xf numFmtId="43" fontId="0" fillId="0" borderId="0" applyFont="0" applyAlignment="0" applyProtection="0"/>
    <xf numFmtId="43" fontId="0" fillId="0" borderId="0" applyFont="0" applyAlignment="0" applyProtection="0"/>
    <xf numFmtId="181" fontId="0" fillId="0" borderId="0" applyFont="0" applyAlignment="0" applyProtection="0"/>
    <xf numFmtId="43" fontId="0" fillId="0" borderId="0" applyFont="0" applyAlignment="0" applyProtection="0"/>
    <xf numFmtId="43" fontId="0" fillId="0" borderId="0" applyFont="0" applyAlignment="0" applyProtection="0"/>
    <xf numFmtId="43" fontId="0" fillId="0" borderId="0" applyFont="0" applyAlignment="0" applyProtection="0"/>
    <xf numFmtId="43" fontId="0" fillId="0" borderId="0" applyFont="0" applyAlignment="0" applyProtection="0"/>
    <xf numFmtId="181" fontId="105" fillId="0" borderId="0" applyFont="0" applyAlignment="0" applyProtection="0"/>
    <xf numFmtId="181" fontId="0" fillId="0" borderId="0" applyFont="0" applyAlignment="0" applyProtection="0"/>
    <xf numFmtId="43" fontId="0" fillId="0" borderId="0" applyFont="0" applyAlignment="0" applyProtection="0"/>
    <xf numFmtId="43" fontId="0" fillId="0" borderId="0" applyFont="0" applyAlignment="0" applyProtection="0"/>
    <xf numFmtId="43" fontId="0" fillId="0" borderId="0" applyFont="0" applyAlignment="0" applyProtection="0"/>
    <xf numFmtId="43" fontId="0" fillId="0" borderId="0" applyFont="0" applyAlignment="0" applyProtection="0"/>
    <xf numFmtId="41" fontId="101" fillId="0" borderId="0" applyFont="0" applyFill="0" applyBorder="0" applyAlignment="0" applyProtection="0"/>
    <xf numFmtId="41" fontId="101" fillId="0" borderId="0" applyFont="0" applyFill="0" applyBorder="0" applyAlignment="0" applyProtection="0"/>
    <xf numFmtId="41" fontId="101" fillId="0" borderId="0" applyFont="0" applyFill="0" applyBorder="0" applyAlignment="0" applyProtection="0"/>
    <xf numFmtId="43" fontId="0" fillId="0" borderId="0" applyFont="0" applyAlignment="0" applyProtection="0"/>
    <xf numFmtId="41" fontId="101" fillId="0" borderId="0" applyFont="0" applyFill="0" applyBorder="0" applyAlignment="0" applyProtection="0"/>
    <xf numFmtId="181" fontId="105"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43" fontId="0" fillId="0" borderId="0" applyFont="0" applyAlignment="0" applyProtection="0"/>
    <xf numFmtId="43" fontId="0" fillId="0" borderId="0" applyFont="0" applyAlignment="0" applyProtection="0"/>
    <xf numFmtId="43" fontId="0" fillId="0" borderId="0" applyFont="0" applyAlignment="0" applyProtection="0"/>
    <xf numFmtId="43" fontId="0" fillId="0" borderId="0" applyFont="0" applyAlignment="0" applyProtection="0"/>
    <xf numFmtId="181" fontId="0" fillId="0" borderId="0" applyFont="0" applyAlignment="0" applyProtection="0"/>
    <xf numFmtId="43" fontId="0" fillId="0" borderId="0" applyFont="0" applyAlignment="0" applyProtection="0"/>
    <xf numFmtId="43" fontId="0" fillId="0" borderId="0" applyFont="0" applyAlignment="0" applyProtection="0"/>
    <xf numFmtId="43" fontId="0" fillId="0" borderId="0" applyFont="0" applyAlignment="0" applyProtection="0"/>
    <xf numFmtId="43" fontId="0" fillId="0" borderId="0" applyFont="0" applyAlignment="0" applyProtection="0"/>
    <xf numFmtId="41" fontId="97" fillId="0" borderId="0" applyFont="0" applyFill="0" applyBorder="0" applyAlignment="0" applyProtection="0"/>
    <xf numFmtId="43" fontId="0" fillId="0" borderId="0" applyFont="0" applyAlignment="0" applyProtection="0"/>
    <xf numFmtId="181" fontId="105" fillId="0" borderId="0" applyFont="0" applyAlignment="0" applyProtection="0"/>
    <xf numFmtId="181" fontId="0" fillId="0" borderId="0" applyFont="0" applyAlignment="0" applyProtection="0"/>
    <xf numFmtId="181" fontId="0" fillId="0" borderId="0" applyFont="0" applyAlignment="0" applyProtection="0"/>
    <xf numFmtId="43" fontId="0" fillId="0" borderId="0" applyFont="0" applyAlignment="0" applyProtection="0"/>
    <xf numFmtId="43" fontId="0" fillId="0" borderId="0" applyFont="0" applyAlignment="0" applyProtection="0"/>
    <xf numFmtId="43" fontId="0" fillId="0" borderId="0" applyFont="0" applyAlignment="0" applyProtection="0"/>
    <xf numFmtId="43" fontId="0" fillId="0" borderId="0" applyFont="0" applyAlignment="0" applyProtection="0"/>
    <xf numFmtId="181" fontId="0" fillId="0" borderId="0" applyFont="0" applyAlignment="0" applyProtection="0"/>
    <xf numFmtId="43" fontId="0" fillId="0" borderId="0" applyFont="0" applyAlignment="0" applyProtection="0"/>
    <xf numFmtId="43" fontId="0" fillId="0" borderId="0" applyFont="0" applyAlignment="0" applyProtection="0"/>
    <xf numFmtId="181" fontId="0" fillId="0" borderId="0" applyFont="0" applyAlignment="0" applyProtection="0"/>
    <xf numFmtId="43" fontId="0" fillId="0" borderId="0" applyFont="0" applyAlignment="0" applyProtection="0"/>
    <xf numFmtId="43" fontId="0" fillId="0" borderId="0" applyFont="0" applyAlignment="0" applyProtection="0"/>
    <xf numFmtId="183"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181"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81" fontId="105" fillId="0" borderId="0" applyFont="0" applyAlignment="0" applyProtection="0"/>
    <xf numFmtId="181" fontId="3" fillId="0" borderId="0" applyFont="0" applyFill="0" applyBorder="0" applyAlignment="0" applyProtection="0"/>
    <xf numFmtId="181" fontId="0" fillId="0" borderId="0" applyFont="0" applyAlignment="0" applyProtection="0"/>
    <xf numFmtId="181" fontId="0" fillId="0" borderId="0" applyFont="0" applyAlignment="0" applyProtection="0"/>
    <xf numFmtId="43" fontId="0" fillId="0" borderId="0" applyFont="0" applyAlignment="0" applyProtection="0"/>
    <xf numFmtId="43" fontId="0" fillId="0" borderId="0" applyFont="0" applyAlignment="0" applyProtection="0"/>
    <xf numFmtId="43" fontId="0" fillId="0" borderId="0" applyFont="0" applyAlignment="0" applyProtection="0"/>
    <xf numFmtId="43" fontId="0" fillId="0" borderId="0" applyFont="0" applyAlignment="0" applyProtection="0"/>
    <xf numFmtId="43" fontId="3" fillId="0" borderId="0" applyFont="0" applyFill="0" applyBorder="0" applyAlignment="0" applyProtection="0"/>
    <xf numFmtId="43" fontId="0" fillId="0" borderId="0" applyFont="0" applyAlignment="0" applyProtection="0"/>
    <xf numFmtId="181" fontId="0" fillId="0" borderId="0" applyFont="0" applyAlignment="0" applyProtection="0"/>
    <xf numFmtId="43" fontId="0" fillId="0" borderId="0" applyFont="0" applyAlignment="0" applyProtection="0"/>
    <xf numFmtId="43" fontId="0" fillId="0" borderId="0" applyFont="0" applyAlignment="0" applyProtection="0"/>
    <xf numFmtId="41" fontId="97" fillId="0" borderId="0" applyFont="0" applyFill="0" applyBorder="0" applyAlignment="0" applyProtection="0"/>
    <xf numFmtId="43" fontId="0" fillId="0" borderId="0" applyFont="0" applyAlignment="0" applyProtection="0"/>
    <xf numFmtId="181" fontId="0" fillId="0" borderId="0" applyFont="0" applyAlignment="0" applyProtection="0"/>
    <xf numFmtId="43" fontId="0" fillId="0" borderId="0" applyFont="0" applyAlignment="0" applyProtection="0"/>
    <xf numFmtId="43" fontId="0" fillId="0" borderId="0" applyFont="0" applyAlignment="0" applyProtection="0"/>
    <xf numFmtId="183"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181"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81" fontId="105" fillId="0" borderId="0" applyFont="0" applyAlignment="0" applyProtection="0"/>
    <xf numFmtId="181" fontId="0" fillId="0" borderId="0" applyFont="0" applyAlignment="0" applyProtection="0"/>
    <xf numFmtId="181" fontId="0" fillId="0" borderId="0" applyFont="0" applyAlignment="0" applyProtection="0"/>
    <xf numFmtId="43" fontId="0" fillId="0" borderId="0" applyFont="0" applyAlignment="0" applyProtection="0"/>
    <xf numFmtId="43" fontId="0" fillId="0" borderId="0" applyFont="0" applyAlignment="0" applyProtection="0"/>
    <xf numFmtId="43" fontId="0" fillId="0" borderId="0" applyFont="0" applyAlignment="0" applyProtection="0"/>
    <xf numFmtId="43" fontId="0" fillId="0" borderId="0" applyFont="0" applyAlignment="0" applyProtection="0"/>
    <xf numFmtId="41" fontId="101" fillId="0" borderId="0" applyFont="0" applyFill="0" applyBorder="0" applyAlignment="0" applyProtection="0"/>
    <xf numFmtId="43" fontId="0" fillId="0" borderId="0" applyFont="0" applyAlignment="0" applyProtection="0"/>
    <xf numFmtId="181" fontId="3" fillId="0" borderId="0" applyFont="0" applyFill="0" applyBorder="0" applyAlignment="0" applyProtection="0"/>
    <xf numFmtId="43" fontId="3" fillId="0" borderId="0" applyFont="0" applyFill="0" applyBorder="0" applyAlignment="0" applyProtection="0"/>
    <xf numFmtId="181" fontId="3" fillId="0" borderId="0" applyFont="0" applyFill="0" applyBorder="0" applyAlignment="0" applyProtection="0"/>
    <xf numFmtId="43" fontId="3" fillId="0" borderId="0" applyFont="0" applyFill="0" applyBorder="0" applyAlignment="0" applyProtection="0"/>
    <xf numFmtId="183"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181" fontId="3" fillId="0" borderId="0" applyFont="0" applyFill="0" applyBorder="0" applyAlignment="0" applyProtection="0"/>
    <xf numFmtId="43" fontId="3" fillId="0" borderId="0" applyFont="0" applyFill="0" applyBorder="0" applyAlignment="0" applyProtection="0"/>
    <xf numFmtId="181" fontId="105" fillId="0" borderId="0" applyFont="0" applyAlignment="0" applyProtection="0"/>
    <xf numFmtId="181" fontId="0"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Alignment="0"/>
    <xf numFmtId="43" fontId="0" fillId="0" borderId="0" applyAlignment="0"/>
    <xf numFmtId="43" fontId="0" fillId="0" borderId="0" applyAlignment="0"/>
    <xf numFmtId="181" fontId="0" fillId="0" borderId="0" applyAlignment="0"/>
    <xf numFmtId="43" fontId="0" fillId="0" borderId="0" applyAlignment="0"/>
    <xf numFmtId="43" fontId="0" fillId="0" borderId="0" applyAlignment="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3"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181" fontId="0" fillId="0" borderId="0" applyAlignment="0"/>
    <xf numFmtId="43" fontId="0" fillId="0" borderId="0" applyAlignment="0"/>
    <xf numFmtId="43" fontId="0" fillId="0" borderId="0" applyAlignment="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1" fontId="97" fillId="0" borderId="0" applyFont="0" applyFill="0" applyBorder="0" applyAlignment="0" applyProtection="0"/>
    <xf numFmtId="43" fontId="0" fillId="0" borderId="0" applyFont="0" applyFill="0" applyBorder="0" applyAlignment="0" applyProtection="0"/>
    <xf numFmtId="181" fontId="0" fillId="0" borderId="0" applyAlignment="0"/>
    <xf numFmtId="43" fontId="0" fillId="0" borderId="0" applyAlignment="0"/>
    <xf numFmtId="43" fontId="0" fillId="0" borderId="0" applyAlignment="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0" fillId="0" borderId="0" applyFont="0" applyFill="0" applyBorder="0" applyAlignment="0" applyProtection="0"/>
    <xf numFmtId="181" fontId="105" fillId="0" borderId="0" applyAlignment="0"/>
    <xf numFmtId="181" fontId="0" fillId="0" borderId="0" applyFont="0" applyFill="0" applyBorder="0" applyAlignment="0" applyProtection="0"/>
    <xf numFmtId="181" fontId="0" fillId="0" borderId="0" applyFont="0" applyFill="0" applyBorder="0" applyAlignment="0" applyProtection="0"/>
    <xf numFmtId="181" fontId="0" fillId="0" borderId="0" applyAlignment="0"/>
    <xf numFmtId="43" fontId="0" fillId="0" borderId="0" applyAlignment="0"/>
    <xf numFmtId="43" fontId="0" fillId="0" borderId="0" applyAlignment="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Alignment="0"/>
    <xf numFmtId="43" fontId="0" fillId="0" borderId="0" applyAlignment="0"/>
    <xf numFmtId="43" fontId="0" fillId="0" borderId="0" applyAlignment="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3"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183"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183"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1" fontId="97"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181" fontId="0" fillId="0" borderId="0" applyAlignment="0"/>
    <xf numFmtId="43" fontId="0" fillId="0" borderId="0" applyAlignment="0"/>
    <xf numFmtId="43" fontId="0" fillId="0" borderId="0" applyAlignment="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Alignment="0"/>
    <xf numFmtId="43" fontId="0" fillId="0" borderId="0" applyAlignment="0"/>
    <xf numFmtId="43" fontId="0" fillId="0" borderId="0" applyAlignment="0"/>
    <xf numFmtId="183"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105" fillId="0" borderId="0" applyAlignment="0"/>
    <xf numFmtId="183" fontId="0" fillId="0" borderId="0" applyFont="0" applyFill="0" applyBorder="0" applyAlignment="0" applyProtection="0"/>
    <xf numFmtId="43" fontId="104" fillId="0" borderId="0" applyFont="0" applyFill="0" applyBorder="0" applyAlignment="0" applyProtection="0"/>
    <xf numFmtId="183" fontId="0" fillId="0" borderId="0" applyFont="0" applyFill="0" applyBorder="0" applyAlignment="0" applyProtection="0"/>
    <xf numFmtId="181" fontId="0" fillId="0" borderId="0" applyAlignment="0"/>
    <xf numFmtId="43" fontId="0" fillId="0" borderId="0" applyAlignment="0"/>
    <xf numFmtId="43" fontId="0" fillId="0" borderId="0" applyAlignment="0"/>
    <xf numFmtId="181" fontId="0" fillId="0" borderId="0" applyAlignment="0"/>
    <xf numFmtId="43" fontId="0" fillId="0" borderId="0" applyAlignment="0"/>
    <xf numFmtId="43" fontId="0" fillId="0" borderId="0" applyAlignment="0"/>
    <xf numFmtId="183"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3" fontId="3" fillId="0" borderId="0" applyFont="0" applyFill="0" applyBorder="0" applyAlignment="0" applyProtection="0"/>
    <xf numFmtId="41" fontId="0" fillId="0" borderId="0" applyFont="0" applyFill="0" applyBorder="0" applyAlignment="0" applyProtection="0"/>
    <xf numFmtId="181" fontId="0" fillId="0" borderId="0" applyAlignment="0"/>
    <xf numFmtId="43" fontId="0" fillId="0" borderId="0" applyAlignment="0"/>
    <xf numFmtId="43" fontId="0" fillId="0" borderId="0" applyAlignment="0"/>
    <xf numFmtId="43" fontId="3" fillId="0" borderId="0" applyFont="0" applyFill="0" applyBorder="0" applyAlignment="0" applyProtection="0"/>
    <xf numFmtId="43" fontId="0" fillId="0" borderId="0" applyAlignment="0"/>
    <xf numFmtId="181" fontId="0" fillId="0" borderId="0" applyAlignment="0"/>
    <xf numFmtId="43" fontId="0" fillId="0" borderId="0" applyAlignment="0"/>
    <xf numFmtId="43" fontId="0" fillId="0" borderId="0" applyAlignment="0"/>
    <xf numFmtId="41" fontId="97" fillId="0" borderId="0" applyFont="0" applyFill="0" applyBorder="0" applyAlignment="0" applyProtection="0"/>
    <xf numFmtId="43" fontId="0" fillId="0" borderId="0" applyAlignment="0"/>
    <xf numFmtId="181" fontId="3" fillId="0" borderId="0" applyFont="0" applyFill="0" applyBorder="0" applyAlignment="0" applyProtection="0"/>
    <xf numFmtId="43" fontId="3" fillId="0" borderId="0" applyFont="0" applyFill="0" applyBorder="0" applyAlignment="0" applyProtection="0"/>
    <xf numFmtId="183"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1" fontId="0" fillId="0" borderId="0" applyFont="0" applyFill="0" applyBorder="0" applyAlignment="0" applyProtection="0"/>
    <xf numFmtId="181" fontId="105" fillId="0" borderId="0" applyAlignment="0"/>
    <xf numFmtId="183" fontId="101" fillId="0" borderId="0" applyFont="0" applyFill="0" applyBorder="0" applyAlignment="0" applyProtection="0"/>
    <xf numFmtId="181" fontId="0" fillId="0" borderId="0" applyAlignment="0"/>
    <xf numFmtId="43" fontId="0" fillId="0" borderId="0" applyAlignment="0"/>
    <xf numFmtId="43" fontId="0" fillId="0" borderId="0" applyAlignment="0"/>
    <xf numFmtId="181" fontId="0" fillId="0" borderId="0" applyAlignment="0"/>
    <xf numFmtId="43" fontId="0" fillId="0" borderId="0" applyAlignment="0"/>
    <xf numFmtId="43" fontId="0" fillId="0" borderId="0" applyAlignment="0"/>
    <xf numFmtId="181" fontId="0" fillId="0" borderId="0" applyFont="0" applyFill="0" applyBorder="0" applyProtection="0"/>
    <xf numFmtId="43" fontId="0" fillId="0" borderId="0" applyFont="0" applyFill="0" applyBorder="0" applyProtection="0"/>
    <xf numFmtId="43" fontId="0" fillId="0" borderId="0" applyFont="0" applyFill="0" applyBorder="0" applyProtection="0"/>
    <xf numFmtId="41" fontId="97" fillId="0" borderId="0" applyFont="0" applyFill="0" applyBorder="0" applyAlignment="0" applyProtection="0"/>
    <xf numFmtId="41" fontId="97" fillId="0" borderId="0" applyFont="0" applyFill="0" applyBorder="0" applyAlignment="0" applyProtection="0"/>
    <xf numFmtId="41" fontId="101" fillId="0" borderId="0" applyFont="0" applyFill="0" applyBorder="0" applyAlignment="0" applyProtection="0"/>
    <xf numFmtId="41" fontId="101" fillId="0" borderId="0" applyFont="0" applyFill="0" applyBorder="0" applyAlignment="0" applyProtection="0"/>
    <xf numFmtId="41" fontId="97"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85" fontId="90"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0"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3" fontId="3" fillId="0" borderId="0" applyFont="0" applyFill="0" applyBorder="0" applyAlignment="0" applyProtection="0"/>
    <xf numFmtId="41" fontId="0" fillId="0" borderId="0" applyFont="0" applyFill="0" applyBorder="0" applyAlignment="0" applyProtection="0"/>
    <xf numFmtId="181" fontId="105" fillId="0" borderId="0" applyAlignment="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1" fontId="0" fillId="0" borderId="0" applyFont="0" applyFill="0" applyBorder="0" applyProtection="0"/>
    <xf numFmtId="43" fontId="0" fillId="0" borderId="0" applyFont="0" applyFill="0" applyBorder="0" applyProtection="0"/>
    <xf numFmtId="43" fontId="0" fillId="0" borderId="0" applyFont="0" applyFill="0" applyBorder="0" applyProtection="0"/>
    <xf numFmtId="183"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3" fontId="97"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41" fontId="3" fillId="0" borderId="0" applyFont="0" applyFill="0" applyBorder="0" applyAlignment="0" applyProtection="0"/>
    <xf numFmtId="43" fontId="0" fillId="0" borderId="0" applyFont="0" applyFill="0" applyBorder="0" applyProtection="0"/>
    <xf numFmtId="43" fontId="0" fillId="0" borderId="0" applyFont="0" applyFill="0" applyBorder="0" applyProtection="0"/>
    <xf numFmtId="41" fontId="3" fillId="0" borderId="0" applyFont="0" applyFill="0" applyBorder="0" applyAlignment="0" applyProtection="0"/>
    <xf numFmtId="41" fontId="3" fillId="0" borderId="0" applyFont="0" applyFill="0" applyBorder="0" applyAlignment="0" applyProtection="0"/>
    <xf numFmtId="43" fontId="0" fillId="0" borderId="0" applyFont="0" applyFill="0" applyBorder="0" applyProtection="0"/>
    <xf numFmtId="181" fontId="0" fillId="0" borderId="0" applyFont="0" applyFill="0" applyBorder="0" applyProtection="0"/>
    <xf numFmtId="43" fontId="0" fillId="0" borderId="0" applyFont="0" applyFill="0" applyBorder="0" applyProtection="0"/>
    <xf numFmtId="43" fontId="0" fillId="0" borderId="0" applyFont="0" applyFill="0" applyBorder="0" applyProtection="0"/>
    <xf numFmtId="43" fontId="97" fillId="0" borderId="0" applyFont="0" applyFill="0" applyBorder="0" applyAlignment="0" applyProtection="0"/>
    <xf numFmtId="43" fontId="0" fillId="0" borderId="0" applyFont="0" applyFill="0" applyBorder="0" applyProtection="0"/>
    <xf numFmtId="183"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3" fontId="97"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3" fontId="103" fillId="0" borderId="0" applyFont="0" applyFill="0" applyBorder="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3"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183" fontId="3"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3"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3" fontId="97"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185" fontId="9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97" fillId="0" borderId="0" applyFont="0" applyFill="0" applyBorder="0" applyAlignment="0" applyProtection="0"/>
    <xf numFmtId="43" fontId="0" fillId="0" borderId="0" applyFont="0" applyFill="0" applyBorder="0" applyAlignment="0" applyProtection="0"/>
    <xf numFmtId="183"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3" fontId="97" fillId="0" borderId="0" applyFont="0" applyFill="0" applyBorder="0" applyProtection="0"/>
    <xf numFmtId="43" fontId="0" fillId="0" borderId="0" applyFont="0" applyFill="0" applyBorder="0" applyAlignment="0" applyProtection="0"/>
    <xf numFmtId="43" fontId="0"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Protection="0"/>
    <xf numFmtId="43" fontId="0" fillId="0" borderId="0" applyFont="0" applyFill="0" applyBorder="0" applyProtection="0"/>
    <xf numFmtId="43" fontId="0" fillId="0" borderId="0" applyFont="0" applyFill="0" applyBorder="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90" fillId="0" borderId="0" applyFont="0" applyFill="0" applyBorder="0" applyAlignment="0" applyProtection="0"/>
    <xf numFmtId="43" fontId="9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Protection="0"/>
    <xf numFmtId="43" fontId="0" fillId="0" borderId="0" applyFont="0" applyFill="0" applyBorder="0" applyProtection="0"/>
    <xf numFmtId="43" fontId="0" fillId="0" borderId="0" applyFont="0" applyFill="0" applyBorder="0" applyProtection="0"/>
    <xf numFmtId="43" fontId="97" fillId="0" borderId="0" applyFont="0" applyFill="0" applyBorder="0" applyAlignment="0" applyProtection="0"/>
    <xf numFmtId="43" fontId="0" fillId="0" borderId="0" applyFont="0" applyFill="0" applyBorder="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97" fillId="0" borderId="0" applyFont="0" applyFill="0" applyBorder="0" applyAlignment="0" applyProtection="0"/>
    <xf numFmtId="43" fontId="0"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Protection="0"/>
    <xf numFmtId="43" fontId="0" fillId="0" borderId="0" applyFont="0" applyFill="0" applyBorder="0" applyProtection="0"/>
    <xf numFmtId="43" fontId="0" fillId="0" borderId="0" applyFont="0" applyFill="0" applyBorder="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3" fillId="0" borderId="0" applyFont="0" applyFill="0" applyBorder="0" applyAlignment="0" applyProtection="0"/>
    <xf numFmtId="43" fontId="0"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7" fillId="0" borderId="0" applyFont="0" applyFill="0" applyBorder="0" applyProtection="0"/>
    <xf numFmtId="43"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97"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3" fillId="0" borderId="0" applyFont="0" applyFill="0" applyBorder="0" applyAlignment="0" applyProtection="0"/>
    <xf numFmtId="43" fontId="0"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181" fontId="0" fillId="0" borderId="0" applyFont="0" applyFill="0" applyBorder="0" applyAlignment="0" applyProtection="0"/>
    <xf numFmtId="181" fontId="0" fillId="0" borderId="0" applyFont="0" applyFill="0" applyBorder="0" applyAlignment="0" applyProtection="0"/>
    <xf numFmtId="181" fontId="90" fillId="0" borderId="0" applyFont="0" applyFill="0" applyBorder="0" applyAlignment="0" applyProtection="0"/>
    <xf numFmtId="43" fontId="90" fillId="0" borderId="0" applyFont="0" applyFill="0" applyBorder="0" applyAlignment="0" applyProtection="0"/>
    <xf numFmtId="43" fontId="90" fillId="0" borderId="0" applyFont="0" applyFill="0" applyBorder="0" applyAlignment="0" applyProtection="0"/>
    <xf numFmtId="43" fontId="90" fillId="0" borderId="0" applyFont="0" applyFill="0" applyBorder="0" applyAlignment="0" applyProtection="0"/>
    <xf numFmtId="43" fontId="90" fillId="0" borderId="0" applyFont="0" applyFill="0" applyBorder="0" applyAlignment="0" applyProtection="0"/>
    <xf numFmtId="43" fontId="90" fillId="0" borderId="0" applyFont="0" applyFill="0" applyBorder="0" applyAlignment="0" applyProtection="0"/>
    <xf numFmtId="43" fontId="90" fillId="0" borderId="0" applyFont="0" applyFill="0" applyBorder="0" applyAlignment="0" applyProtection="0"/>
    <xf numFmtId="43" fontId="90" fillId="0" borderId="0" applyFont="0" applyFill="0" applyBorder="0" applyAlignment="0" applyProtection="0"/>
    <xf numFmtId="43" fontId="90" fillId="0" borderId="0" applyFont="0" applyFill="0" applyBorder="0" applyAlignment="0" applyProtection="0"/>
    <xf numFmtId="43" fontId="90" fillId="0" borderId="0" applyFont="0" applyFill="0" applyBorder="0" applyAlignment="0" applyProtection="0"/>
    <xf numFmtId="43" fontId="90" fillId="0" borderId="0" applyFont="0" applyFill="0" applyBorder="0" applyAlignment="0" applyProtection="0"/>
    <xf numFmtId="181" fontId="0" fillId="0" borderId="0" applyFont="0" applyFill="0" applyBorder="0" applyAlignment="0" applyProtection="0"/>
    <xf numFmtId="43" fontId="90" fillId="0" borderId="0" applyFont="0" applyFill="0" applyBorder="0" applyAlignment="0" applyProtection="0"/>
    <xf numFmtId="43" fontId="9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90" fillId="0" borderId="0" applyFont="0" applyFill="0" applyBorder="0" applyAlignment="0" applyProtection="0"/>
    <xf numFmtId="43" fontId="90" fillId="0" borderId="0" applyFont="0" applyFill="0" applyBorder="0" applyAlignment="0" applyProtection="0"/>
    <xf numFmtId="43" fontId="0" fillId="0" borderId="0" applyFont="0" applyFill="0" applyBorder="0" applyAlignment="0" applyProtection="0"/>
    <xf numFmtId="43" fontId="90" fillId="0" borderId="0" applyFont="0" applyFill="0" applyBorder="0" applyAlignment="0" applyProtection="0"/>
    <xf numFmtId="43" fontId="90" fillId="0" borderId="0" applyFont="0" applyFill="0" applyBorder="0" applyAlignment="0" applyProtection="0"/>
    <xf numFmtId="43" fontId="90" fillId="0" borderId="0" applyFont="0" applyFill="0" applyBorder="0" applyAlignment="0" applyProtection="0"/>
    <xf numFmtId="43" fontId="9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90" fillId="0" borderId="0" applyFont="0" applyFill="0" applyBorder="0" applyAlignment="0" applyProtection="0"/>
    <xf numFmtId="43" fontId="9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181" fontId="90" fillId="0" borderId="0" applyFont="0" applyFill="0" applyBorder="0" applyAlignment="0" applyProtection="0"/>
    <xf numFmtId="43" fontId="9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106" fillId="0" borderId="0" applyFont="0" applyFill="0" applyBorder="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90" fillId="0" borderId="0" applyFont="0" applyFill="0" applyBorder="0" applyAlignment="0" applyProtection="0"/>
    <xf numFmtId="43" fontId="90" fillId="0" borderId="0" applyFont="0" applyFill="0" applyBorder="0" applyAlignment="0" applyProtection="0"/>
    <xf numFmtId="43" fontId="0" fillId="0" borderId="0" applyFont="0" applyFill="0" applyBorder="0" applyAlignment="0" applyProtection="0"/>
    <xf numFmtId="181" fontId="90" fillId="0" borderId="0" applyFont="0" applyFill="0" applyBorder="0" applyAlignment="0" applyProtection="0"/>
    <xf numFmtId="43" fontId="9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90" fillId="0" borderId="0" applyFont="0" applyFill="0" applyBorder="0" applyAlignment="0" applyProtection="0"/>
    <xf numFmtId="43" fontId="0" fillId="0" borderId="0" applyFont="0" applyFill="0" applyBorder="0" applyAlignment="0" applyProtection="0"/>
    <xf numFmtId="43" fontId="2" fillId="0" borderId="0" applyFont="0" applyFill="0" applyBorder="0" applyAlignment="0" applyProtection="0"/>
    <xf numFmtId="43" fontId="0" fillId="0" borderId="0" applyFont="0" applyFill="0" applyBorder="0" applyAlignment="0" applyProtection="0"/>
    <xf numFmtId="43" fontId="2" fillId="0" borderId="0" applyFont="0" applyFill="0" applyBorder="0" applyAlignment="0" applyProtection="0"/>
    <xf numFmtId="43" fontId="90" fillId="0" borderId="0" applyFont="0" applyFill="0" applyBorder="0" applyAlignment="0" applyProtection="0"/>
    <xf numFmtId="43" fontId="90" fillId="0" borderId="0" applyFont="0" applyFill="0" applyBorder="0" applyAlignment="0" applyProtection="0"/>
    <xf numFmtId="43" fontId="0" fillId="0" borderId="0" applyFont="0" applyFill="0" applyBorder="0" applyAlignment="0" applyProtection="0"/>
    <xf numFmtId="43" fontId="106" fillId="0" borderId="0" applyFont="0" applyFill="0" applyBorder="0" applyAlignment="0" applyProtection="0"/>
    <xf numFmtId="43" fontId="106"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97"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97" fillId="0" borderId="0" applyFont="0" applyFill="0" applyBorder="0" applyAlignment="0" applyProtection="0"/>
    <xf numFmtId="43" fontId="0" fillId="0" borderId="0" applyFont="0" applyFill="0" applyBorder="0" applyAlignment="0" applyProtection="0"/>
    <xf numFmtId="181" fontId="0" fillId="0" borderId="0" applyFont="0" applyFill="0" applyBorder="0" applyProtection="0"/>
    <xf numFmtId="43" fontId="0" fillId="0" borderId="0" applyFont="0" applyFill="0" applyBorder="0" applyProtection="0"/>
    <xf numFmtId="43" fontId="0" fillId="0" borderId="0" applyFont="0" applyFill="0" applyBorder="0" applyProtection="0"/>
    <xf numFmtId="43" fontId="97" fillId="0" borderId="0" applyFont="0" applyFill="0" applyBorder="0" applyProtection="0"/>
    <xf numFmtId="43" fontId="0" fillId="0" borderId="0" applyFont="0" applyFill="0" applyBorder="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107" fillId="0" borderId="0" applyFont="0" applyFill="0" applyBorder="0" applyAlignment="0" applyProtection="0"/>
    <xf numFmtId="43" fontId="0" fillId="0" borderId="0" applyFont="0" applyFill="0" applyBorder="0" applyAlignment="0" applyProtection="0"/>
    <xf numFmtId="43" fontId="107" fillId="0" borderId="0" applyFont="0" applyFill="0" applyBorder="0" applyAlignment="0" applyProtection="0"/>
    <xf numFmtId="43" fontId="107" fillId="0" borderId="0" applyFont="0" applyFill="0" applyBorder="0" applyAlignment="0" applyProtection="0"/>
    <xf numFmtId="43" fontId="10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97" fillId="0" borderId="0" applyFont="0" applyFill="0" applyBorder="0" applyAlignment="0" applyProtection="0"/>
    <xf numFmtId="43" fontId="0"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97"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97"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97"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97" fillId="0" borderId="0" applyFont="0" applyFill="0" applyBorder="0" applyAlignment="0" applyProtection="0"/>
    <xf numFmtId="43" fontId="0" fillId="0" borderId="0" applyFont="0" applyFill="0" applyBorder="0" applyAlignment="0" applyProtection="0"/>
    <xf numFmtId="181" fontId="0" fillId="0" borderId="0" applyFont="0" applyFill="0" applyBorder="0" applyProtection="0"/>
    <xf numFmtId="43" fontId="0" fillId="0" borderId="0" applyFont="0" applyFill="0" applyBorder="0" applyProtection="0"/>
    <xf numFmtId="43" fontId="0" fillId="0" borderId="0" applyFont="0" applyFill="0" applyBorder="0" applyProtection="0"/>
    <xf numFmtId="43" fontId="97" fillId="0" borderId="0" applyFont="0" applyFill="0" applyBorder="0" applyProtection="0"/>
    <xf numFmtId="43" fontId="0" fillId="0" borderId="0" applyFont="0" applyFill="0" applyBorder="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183"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183"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97" fillId="0" borderId="0" applyFont="0" applyFill="0" applyBorder="0" applyProtection="0"/>
    <xf numFmtId="43"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97" fillId="0" borderId="0" applyFont="0" applyFill="0" applyBorder="0" applyProtection="0"/>
    <xf numFmtId="43" fontId="0" fillId="0" borderId="0" applyFont="0" applyFill="0" applyBorder="0" applyAlignment="0" applyProtection="0"/>
    <xf numFmtId="186" fontId="108" fillId="0" borderId="0"/>
    <xf numFmtId="37" fontId="91" fillId="0" borderId="0" applyFont="0" applyFill="0" applyBorder="0" applyAlignment="0" applyProtection="0"/>
    <xf numFmtId="187" fontId="91" fillId="0" borderId="0" applyFont="0" applyFill="0" applyBorder="0" applyAlignment="0" applyProtection="0"/>
    <xf numFmtId="39" fontId="91" fillId="0" borderId="0" applyFont="0" applyFill="0" applyBorder="0" applyAlignment="0" applyProtection="0"/>
    <xf numFmtId="0" fontId="109" fillId="0" borderId="0" applyAlignment="0"/>
    <xf numFmtId="188" fontId="108" fillId="0" borderId="0" applyFont="0" applyFill="0" applyBorder="0" applyAlignment="0" applyProtection="0"/>
    <xf numFmtId="189" fontId="3" fillId="0" borderId="0" applyFont="0" applyFill="0" applyBorder="0" applyAlignment="0" applyProtection="0"/>
    <xf numFmtId="188" fontId="108" fillId="0" borderId="0" applyFont="0" applyFill="0" applyBorder="0" applyAlignment="0" applyProtection="0"/>
    <xf numFmtId="189" fontId="0"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107" fillId="0" borderId="0" applyFont="0" applyFill="0" applyBorder="0" applyAlignment="0" applyProtection="0"/>
    <xf numFmtId="189" fontId="22" fillId="0" borderId="0" applyFont="0" applyFill="0" applyBorder="0" applyAlignment="0" applyProtection="0">
      <alignment vertical="top"/>
    </xf>
    <xf numFmtId="190" fontId="91" fillId="0" borderId="0" applyFont="0" applyFill="0" applyBorder="0" applyAlignment="0" applyProtection="0"/>
    <xf numFmtId="191" fontId="91" fillId="0" borderId="0" applyFont="0" applyFill="0" applyBorder="0" applyAlignment="0" applyProtection="0"/>
    <xf numFmtId="192" fontId="108" fillId="0" borderId="0"/>
    <xf numFmtId="0" fontId="0" fillId="0" borderId="9" applyAlignment="0"/>
    <xf numFmtId="0" fontId="0" fillId="0" borderId="9" applyAlignment="0"/>
    <xf numFmtId="0" fontId="0" fillId="0" borderId="9" applyAlignment="0"/>
    <xf numFmtId="0" fontId="0" fillId="0" borderId="9" applyAlignment="0"/>
    <xf numFmtId="0" fontId="0" fillId="0" borderId="9" applyAlignment="0"/>
    <xf numFmtId="0" fontId="0" fillId="0" borderId="9" applyAlignment="0"/>
    <xf numFmtId="0" fontId="0" fillId="0" borderId="9" applyAlignment="0"/>
    <xf numFmtId="0" fontId="0" fillId="0" borderId="9" applyAlignment="0"/>
    <xf numFmtId="0" fontId="0" fillId="0" borderId="9" applyAlignment="0"/>
    <xf numFmtId="0" fontId="0" fillId="0" borderId="9" applyAlignment="0"/>
    <xf numFmtId="0" fontId="0" fillId="0" borderId="9" applyAlignment="0"/>
    <xf numFmtId="0" fontId="0" fillId="0" borderId="9" applyAlignment="0"/>
    <xf numFmtId="0" fontId="97" fillId="0" borderId="9" applyAlignment="0"/>
    <xf numFmtId="0" fontId="97" fillId="0" borderId="9" applyAlignment="0"/>
    <xf numFmtId="0" fontId="97" fillId="0" borderId="9" applyAlignment="0"/>
    <xf numFmtId="0" fontId="0" fillId="0" borderId="9" applyAlignment="0"/>
    <xf numFmtId="0" fontId="0" fillId="0" borderId="9" applyAlignment="0"/>
    <xf numFmtId="0" fontId="0" fillId="0" borderId="9" applyAlignment="0"/>
    <xf numFmtId="0" fontId="97" fillId="0" borderId="9" applyAlignment="0"/>
    <xf numFmtId="0" fontId="97" fillId="0" borderId="9" applyAlignment="0"/>
    <xf numFmtId="0" fontId="97" fillId="0" borderId="9" applyAlignment="0"/>
    <xf numFmtId="0" fontId="97" fillId="0" borderId="9" applyAlignment="0"/>
    <xf numFmtId="0" fontId="0" fillId="0" borderId="9" applyAlignment="0"/>
    <xf numFmtId="0" fontId="0" fillId="0" borderId="9" applyAlignment="0"/>
    <xf numFmtId="0" fontId="0" fillId="0" borderId="9" applyAlignment="0"/>
    <xf numFmtId="0" fontId="0" fillId="0" borderId="9" applyAlignment="0"/>
    <xf numFmtId="0" fontId="0" fillId="0" borderId="9" applyAlignment="0"/>
    <xf numFmtId="0" fontId="0" fillId="0" borderId="9" applyAlignment="0"/>
    <xf numFmtId="0" fontId="0" fillId="0" borderId="9" applyAlignment="0"/>
    <xf numFmtId="0" fontId="0" fillId="0" borderId="9" applyAlignment="0"/>
    <xf numFmtId="0" fontId="97" fillId="0" borderId="9" applyAlignment="0"/>
    <xf numFmtId="0" fontId="97" fillId="0" borderId="9" applyAlignment="0"/>
    <xf numFmtId="0" fontId="97" fillId="0" borderId="9" applyAlignment="0"/>
    <xf numFmtId="0" fontId="0" fillId="0" borderId="9" applyAlignment="0"/>
    <xf numFmtId="0" fontId="0" fillId="0" borderId="9" applyAlignment="0"/>
    <xf numFmtId="0" fontId="0" fillId="0" borderId="9" applyAlignment="0"/>
    <xf numFmtId="0" fontId="97" fillId="0" borderId="9" applyAlignment="0"/>
    <xf numFmtId="0" fontId="97" fillId="0" borderId="9" applyAlignment="0"/>
    <xf numFmtId="0" fontId="97" fillId="0" borderId="9" applyAlignment="0"/>
    <xf numFmtId="0" fontId="97" fillId="0" borderId="9" applyAlignment="0"/>
    <xf numFmtId="0" fontId="0" fillId="0" borderId="9" applyAlignment="0"/>
    <xf numFmtId="0" fontId="0" fillId="0" borderId="9" applyAlignment="0"/>
    <xf numFmtId="0" fontId="0" fillId="0" borderId="9" applyAlignment="0"/>
    <xf numFmtId="0" fontId="0" fillId="0" borderId="9" applyAlignment="0"/>
    <xf numFmtId="0" fontId="0" fillId="0" borderId="9" applyAlignment="0"/>
    <xf numFmtId="0" fontId="0" fillId="0" borderId="9" applyAlignment="0"/>
    <xf numFmtId="0" fontId="0" fillId="0" borderId="9" applyAlignment="0"/>
    <xf numFmtId="0" fontId="0" fillId="0" borderId="9" applyAlignment="0"/>
    <xf numFmtId="0" fontId="0" fillId="0" borderId="9" applyAlignment="0"/>
    <xf numFmtId="0" fontId="0" fillId="0" borderId="9" applyAlignment="0"/>
    <xf numFmtId="0" fontId="97" fillId="0" borderId="9" applyAlignment="0"/>
    <xf numFmtId="0" fontId="97" fillId="0" borderId="9" applyAlignment="0"/>
    <xf numFmtId="0" fontId="97" fillId="0" borderId="9" applyAlignment="0"/>
    <xf numFmtId="0" fontId="0" fillId="0" borderId="9" applyAlignment="0"/>
    <xf numFmtId="0" fontId="0" fillId="0" borderId="9" applyAlignment="0"/>
    <xf numFmtId="0" fontId="0" fillId="0" borderId="9" applyAlignment="0"/>
    <xf numFmtId="0" fontId="97" fillId="0" borderId="9" applyAlignment="0"/>
    <xf numFmtId="0" fontId="97" fillId="0" borderId="9" applyAlignment="0"/>
    <xf numFmtId="0" fontId="97" fillId="0" borderId="9" applyAlignment="0"/>
    <xf numFmtId="0" fontId="97" fillId="0" borderId="9" applyAlignment="0"/>
    <xf numFmtId="0" fontId="0" fillId="0" borderId="9" applyAlignment="0"/>
    <xf numFmtId="0" fontId="0" fillId="0" borderId="9" applyAlignment="0"/>
    <xf numFmtId="0" fontId="0" fillId="0" borderId="9" applyAlignment="0"/>
    <xf numFmtId="0" fontId="0" fillId="0" borderId="9" applyAlignment="0"/>
    <xf numFmtId="0" fontId="0" fillId="0" borderId="9" applyAlignment="0"/>
    <xf numFmtId="0" fontId="0" fillId="0" borderId="9" applyAlignment="0"/>
    <xf numFmtId="0" fontId="0" fillId="0" borderId="9" applyAlignment="0"/>
    <xf numFmtId="0" fontId="0" fillId="0" borderId="9" applyAlignment="0"/>
    <xf numFmtId="0" fontId="97" fillId="0" borderId="9" applyAlignment="0"/>
    <xf numFmtId="0" fontId="97" fillId="0" borderId="9" applyAlignment="0"/>
    <xf numFmtId="0" fontId="97" fillId="0" borderId="9" applyAlignment="0"/>
    <xf numFmtId="0" fontId="0" fillId="0" borderId="9" applyAlignment="0"/>
    <xf numFmtId="0" fontId="0" fillId="0" borderId="9" applyAlignment="0"/>
    <xf numFmtId="0" fontId="0" fillId="0" borderId="9" applyAlignment="0"/>
    <xf numFmtId="0" fontId="97" fillId="0" borderId="9" applyAlignment="0"/>
    <xf numFmtId="0" fontId="97" fillId="0" borderId="9" applyAlignment="0"/>
    <xf numFmtId="0" fontId="97" fillId="0" borderId="9" applyAlignment="0"/>
    <xf numFmtId="0" fontId="97" fillId="0" borderId="9" applyAlignment="0"/>
    <xf numFmtId="0" fontId="0" fillId="0" borderId="9" applyAlignment="0"/>
    <xf numFmtId="0" fontId="0" fillId="0" borderId="9" applyAlignment="0"/>
    <xf numFmtId="0" fontId="0" fillId="0" borderId="9" applyAlignment="0"/>
    <xf numFmtId="0" fontId="0" fillId="0" borderId="9" applyAlignment="0"/>
    <xf numFmtId="0" fontId="0" fillId="0" borderId="9" applyAlignment="0"/>
    <xf numFmtId="0" fontId="0" fillId="0" borderId="9" applyAlignment="0"/>
    <xf numFmtId="0" fontId="0" fillId="0" borderId="9" applyAlignment="0"/>
    <xf numFmtId="0" fontId="0" fillId="0" borderId="9" applyAlignment="0"/>
    <xf numFmtId="0" fontId="0" fillId="0" borderId="9" applyAlignment="0"/>
    <xf numFmtId="0" fontId="0" fillId="0" borderId="9" applyAlignment="0"/>
    <xf numFmtId="0" fontId="0" fillId="0" borderId="9" applyAlignment="0"/>
    <xf numFmtId="0" fontId="0" fillId="0" borderId="9" applyAlignment="0"/>
    <xf numFmtId="0" fontId="0" fillId="0" borderId="9" applyAlignment="0"/>
    <xf numFmtId="0" fontId="0" fillId="0" borderId="9" applyAlignment="0"/>
    <xf numFmtId="0" fontId="0" fillId="0" borderId="9" applyAlignment="0"/>
    <xf numFmtId="0" fontId="0" fillId="0" borderId="9" applyAlignment="0"/>
    <xf numFmtId="0" fontId="0" fillId="0" borderId="9" applyAlignment="0"/>
    <xf numFmtId="0" fontId="0" fillId="0" borderId="9" applyAlignment="0"/>
    <xf numFmtId="0" fontId="0" fillId="0" borderId="9" applyAlignment="0"/>
    <xf numFmtId="0" fontId="0" fillId="0" borderId="9" applyAlignment="0"/>
    <xf numFmtId="0" fontId="0" fillId="0" borderId="9" applyAlignment="0"/>
    <xf numFmtId="0" fontId="0" fillId="0" borderId="9" applyAlignment="0"/>
    <xf numFmtId="0" fontId="0" fillId="0" borderId="9" applyAlignment="0"/>
    <xf numFmtId="0" fontId="0" fillId="0" borderId="9" applyAlignment="0"/>
    <xf numFmtId="0" fontId="0" fillId="0" borderId="9" applyAlignment="0"/>
    <xf numFmtId="0" fontId="0" fillId="0" borderId="9" applyAlignment="0"/>
    <xf numFmtId="0" fontId="0" fillId="0" borderId="9" applyAlignment="0"/>
    <xf numFmtId="0" fontId="0" fillId="0" borderId="9" applyAlignment="0"/>
    <xf numFmtId="0" fontId="0" fillId="0" borderId="9" applyAlignment="0"/>
    <xf numFmtId="0" fontId="0" fillId="0" borderId="9" applyAlignment="0"/>
    <xf numFmtId="0" fontId="0" fillId="0" borderId="9" applyAlignment="0"/>
    <xf numFmtId="0" fontId="0" fillId="0" borderId="9" applyAlignment="0"/>
    <xf numFmtId="0" fontId="0" fillId="0" borderId="9" applyAlignment="0"/>
    <xf numFmtId="0" fontId="0" fillId="0" borderId="9" applyAlignment="0"/>
    <xf numFmtId="0" fontId="0" fillId="0" borderId="9" applyAlignment="0"/>
    <xf numFmtId="0" fontId="0" fillId="0" borderId="9" applyAlignment="0"/>
    <xf numFmtId="0" fontId="0" fillId="0" borderId="9" applyAlignment="0"/>
    <xf numFmtId="0" fontId="0" fillId="0" borderId="9" applyAlignment="0"/>
    <xf numFmtId="0" fontId="0" fillId="0" borderId="9" applyAlignment="0"/>
    <xf numFmtId="0" fontId="0" fillId="0" borderId="9" applyAlignment="0"/>
    <xf numFmtId="0" fontId="0" fillId="0" borderId="9" applyAlignment="0"/>
    <xf numFmtId="0" fontId="0" fillId="0" borderId="9" applyAlignment="0"/>
    <xf numFmtId="193" fontId="108" fillId="0" borderId="0"/>
    <xf numFmtId="0" fontId="110" fillId="0" borderId="0">
      <alignment horizontal="left"/>
    </xf>
    <xf numFmtId="0" fontId="111" fillId="70" borderId="9"/>
    <xf numFmtId="0" fontId="111" fillId="70" borderId="9"/>
    <xf numFmtId="0" fontId="111" fillId="70" borderId="9"/>
    <xf numFmtId="0" fontId="111" fillId="70" borderId="9"/>
    <xf numFmtId="0" fontId="111" fillId="70" borderId="9"/>
    <xf numFmtId="0" fontId="111" fillId="70" borderId="9"/>
    <xf numFmtId="0" fontId="111" fillId="70" borderId="9"/>
    <xf numFmtId="0" fontId="111" fillId="70" borderId="9"/>
    <xf numFmtId="0" fontId="111" fillId="70" borderId="9"/>
    <xf numFmtId="0" fontId="111" fillId="70" borderId="9"/>
    <xf numFmtId="0" fontId="111" fillId="70" borderId="9"/>
    <xf numFmtId="0" fontId="111" fillId="70" borderId="9"/>
    <xf numFmtId="0" fontId="111" fillId="70" borderId="9"/>
    <xf numFmtId="0" fontId="111" fillId="70" borderId="9"/>
    <xf numFmtId="0" fontId="111" fillId="70" borderId="9"/>
    <xf numFmtId="0" fontId="111" fillId="70" borderId="9"/>
    <xf numFmtId="0" fontId="111" fillId="70" borderId="9"/>
    <xf numFmtId="0" fontId="111" fillId="70" borderId="9"/>
    <xf numFmtId="0" fontId="111" fillId="70" borderId="9"/>
    <xf numFmtId="0" fontId="111" fillId="70" borderId="9"/>
    <xf numFmtId="0" fontId="111" fillId="70" borderId="9"/>
    <xf numFmtId="0" fontId="111" fillId="70" borderId="9"/>
    <xf numFmtId="0" fontId="111" fillId="70" borderId="9"/>
    <xf numFmtId="0" fontId="111" fillId="70" borderId="9"/>
    <xf numFmtId="0" fontId="111" fillId="70" borderId="9"/>
    <xf numFmtId="0" fontId="111" fillId="70" borderId="9"/>
    <xf numFmtId="0" fontId="111" fillId="70" borderId="9"/>
    <xf numFmtId="0" fontId="111" fillId="70" borderId="9"/>
    <xf numFmtId="0" fontId="111" fillId="70" borderId="9"/>
    <xf numFmtId="0" fontId="111" fillId="70" borderId="9"/>
    <xf numFmtId="0" fontId="111" fillId="70" borderId="9"/>
    <xf numFmtId="0" fontId="111" fillId="70" borderId="9"/>
    <xf numFmtId="194" fontId="103" fillId="0" borderId="0" applyFont="0" applyFill="0" applyBorder="0" applyAlignment="0" applyProtection="0"/>
    <xf numFmtId="194" fontId="103" fillId="0" borderId="0" applyFont="0" applyFill="0" applyBorder="0" applyAlignment="0" applyProtection="0"/>
    <xf numFmtId="194" fontId="103" fillId="0" borderId="0" applyFont="0" applyFill="0" applyBorder="0" applyAlignment="0" applyProtection="0"/>
    <xf numFmtId="194" fontId="103" fillId="0" borderId="0" applyFont="0" applyFill="0" applyBorder="0" applyAlignment="0" applyProtection="0"/>
    <xf numFmtId="0" fontId="67" fillId="0" borderId="9" applyAlignment="0"/>
    <xf numFmtId="0" fontId="67" fillId="0" borderId="9" applyAlignment="0"/>
    <xf numFmtId="0" fontId="67" fillId="0" borderId="9" applyAlignment="0"/>
    <xf numFmtId="0" fontId="67" fillId="0" borderId="9" applyAlignment="0"/>
    <xf numFmtId="0" fontId="67" fillId="0" borderId="9" applyAlignment="0"/>
    <xf numFmtId="0" fontId="67" fillId="0" borderId="9" applyAlignment="0"/>
    <xf numFmtId="0" fontId="67" fillId="0" borderId="9" applyAlignment="0"/>
    <xf numFmtId="0" fontId="67" fillId="0" borderId="9" applyAlignment="0"/>
    <xf numFmtId="0" fontId="67" fillId="0" borderId="9" applyAlignment="0"/>
    <xf numFmtId="0" fontId="67" fillId="0" borderId="9" applyAlignment="0"/>
    <xf numFmtId="0" fontId="67" fillId="0" borderId="9" applyAlignment="0"/>
    <xf numFmtId="0" fontId="67" fillId="0" borderId="9" applyAlignment="0"/>
    <xf numFmtId="0" fontId="67" fillId="0" borderId="9" applyAlignment="0"/>
    <xf numFmtId="0" fontId="67" fillId="0" borderId="9" applyAlignment="0"/>
    <xf numFmtId="0" fontId="67" fillId="0" borderId="9" applyAlignment="0"/>
    <xf numFmtId="0" fontId="67" fillId="0" borderId="9" applyAlignment="0"/>
    <xf numFmtId="0" fontId="67" fillId="0" borderId="9" applyAlignment="0"/>
    <xf numFmtId="0" fontId="67" fillId="0" borderId="9" applyAlignment="0"/>
    <xf numFmtId="0" fontId="67" fillId="0" borderId="9" applyAlignment="0"/>
    <xf numFmtId="0" fontId="67" fillId="0" borderId="9" applyAlignment="0"/>
    <xf numFmtId="0" fontId="67" fillId="0" borderId="9" applyAlignment="0"/>
    <xf numFmtId="0" fontId="67" fillId="0" borderId="9" applyAlignment="0"/>
    <xf numFmtId="0" fontId="112" fillId="71" borderId="0" applyNumberFormat="0" applyBorder="0" applyAlignment="0" applyProtection="0"/>
    <xf numFmtId="0" fontId="113" fillId="72" borderId="0" applyNumberFormat="0" applyBorder="0" applyAlignment="0" applyProtection="0"/>
    <xf numFmtId="0" fontId="113" fillId="72" borderId="0" applyNumberFormat="0" applyBorder="0" applyAlignment="0" applyProtection="0"/>
    <xf numFmtId="0" fontId="112" fillId="71" borderId="0" applyNumberFormat="0" applyBorder="0" applyAlignment="0" applyProtection="0"/>
    <xf numFmtId="0" fontId="113" fillId="72" borderId="0" applyNumberFormat="0" applyBorder="0" applyAlignment="0" applyProtection="0"/>
    <xf numFmtId="0" fontId="113" fillId="72" borderId="0" applyNumberFormat="0" applyBorder="0" applyProtection="0"/>
    <xf numFmtId="0" fontId="113" fillId="72" borderId="0" applyNumberFormat="0" applyBorder="0" applyProtection="0"/>
    <xf numFmtId="0" fontId="111" fillId="56" borderId="0" applyNumberFormat="0" applyBorder="0" applyAlignment="0" applyProtection="0"/>
    <xf numFmtId="0" fontId="114" fillId="0" borderId="0">
      <alignment horizontal="left"/>
    </xf>
    <xf numFmtId="0" fontId="51" fillId="0" borderId="54" applyNumberFormat="0" applyProtection="0"/>
    <xf numFmtId="0" fontId="51" fillId="0" borderId="54" applyNumberFormat="0" applyProtection="0"/>
    <xf numFmtId="0" fontId="51" fillId="0" borderId="54" applyNumberFormat="0" applyProtection="0"/>
    <xf numFmtId="0" fontId="51" fillId="0" borderId="54" applyNumberFormat="0" applyProtection="0"/>
    <xf numFmtId="0" fontId="51" fillId="0" borderId="54" applyNumberFormat="0" applyProtection="0"/>
    <xf numFmtId="0" fontId="51" fillId="0" borderId="54" applyNumberFormat="0" applyProtection="0"/>
    <xf numFmtId="0" fontId="51" fillId="0" borderId="54" applyNumberFormat="0" applyProtection="0"/>
    <xf numFmtId="0" fontId="51" fillId="0" borderId="54" applyNumberFormat="0" applyProtection="0"/>
    <xf numFmtId="0" fontId="51" fillId="0" borderId="54" applyNumberFormat="0" applyProtection="0"/>
    <xf numFmtId="0" fontId="51" fillId="0" borderId="54" applyNumberFormat="0" applyProtection="0"/>
    <xf numFmtId="0" fontId="51" fillId="0" borderId="54" applyNumberFormat="0" applyProtection="0"/>
    <xf numFmtId="0" fontId="51" fillId="0" borderId="54" applyNumberFormat="0" applyProtection="0"/>
    <xf numFmtId="0" fontId="51" fillId="0" borderId="54" applyNumberFormat="0" applyProtection="0"/>
    <xf numFmtId="0" fontId="51" fillId="0" borderId="54" applyNumberFormat="0" applyProtection="0"/>
    <xf numFmtId="0" fontId="51" fillId="0" borderId="54" applyNumberFormat="0" applyProtection="0"/>
    <xf numFmtId="0" fontId="51" fillId="0" borderId="54" applyNumberFormat="0" applyProtection="0"/>
    <xf numFmtId="0" fontId="51" fillId="0" borderId="54" applyNumberFormat="0" applyProtection="0"/>
    <xf numFmtId="0" fontId="51" fillId="0" borderId="54" applyNumberFormat="0" applyProtection="0"/>
    <xf numFmtId="0" fontId="51" fillId="0" borderId="54" applyNumberFormat="0" applyProtection="0"/>
    <xf numFmtId="0" fontId="51" fillId="0" borderId="54" applyNumberFormat="0" applyProtection="0"/>
    <xf numFmtId="0" fontId="51" fillId="0" borderId="54" applyNumberFormat="0" applyProtection="0"/>
    <xf numFmtId="0" fontId="51" fillId="0" borderId="54" applyNumberFormat="0" applyProtection="0"/>
    <xf numFmtId="0" fontId="51" fillId="0" borderId="54" applyNumberFormat="0" applyProtection="0"/>
    <xf numFmtId="0" fontId="51" fillId="0" borderId="54" applyNumberFormat="0" applyProtection="0"/>
    <xf numFmtId="0" fontId="51" fillId="0" borderId="54" applyNumberFormat="0" applyProtection="0"/>
    <xf numFmtId="0" fontId="51" fillId="0" borderId="54" applyNumberFormat="0" applyProtection="0"/>
    <xf numFmtId="0" fontId="51" fillId="0" borderId="54" applyNumberFormat="0" applyProtection="0"/>
    <xf numFmtId="0" fontId="51" fillId="0" borderId="54" applyNumberFormat="0" applyProtection="0"/>
    <xf numFmtId="0" fontId="51" fillId="0" borderId="54" applyNumberFormat="0" applyProtection="0"/>
    <xf numFmtId="0" fontId="51" fillId="0" borderId="54" applyNumberFormat="0" applyProtection="0"/>
    <xf numFmtId="0" fontId="51" fillId="0" borderId="54" applyNumberFormat="0" applyProtection="0"/>
    <xf numFmtId="0" fontId="51" fillId="0" borderId="54" applyNumberFormat="0" applyProtection="0"/>
    <xf numFmtId="0" fontId="51" fillId="0" borderId="54" applyNumberFormat="0" applyProtection="0"/>
    <xf numFmtId="0" fontId="51" fillId="0" borderId="54" applyNumberFormat="0" applyProtection="0"/>
    <xf numFmtId="0" fontId="51" fillId="0" borderId="54" applyNumberFormat="0" applyProtection="0"/>
    <xf numFmtId="0" fontId="51" fillId="0" borderId="54" applyNumberFormat="0" applyProtection="0"/>
    <xf numFmtId="0" fontId="51" fillId="0" borderId="54" applyNumberFormat="0" applyProtection="0"/>
    <xf numFmtId="0" fontId="51" fillId="0" borderId="54" applyNumberFormat="0" applyProtection="0"/>
    <xf numFmtId="0" fontId="51" fillId="0" borderId="54" applyNumberFormat="0" applyProtection="0"/>
    <xf numFmtId="0" fontId="51" fillId="0" borderId="54" applyNumberFormat="0" applyProtection="0"/>
    <xf numFmtId="0" fontId="51" fillId="0" borderId="7">
      <alignment horizontal="left" vertical="center"/>
    </xf>
    <xf numFmtId="0" fontId="51" fillId="0" borderId="7">
      <alignment horizontal="left" vertical="center"/>
    </xf>
    <xf numFmtId="0" fontId="51" fillId="0" borderId="7">
      <alignment horizontal="left" vertical="center"/>
    </xf>
    <xf numFmtId="0" fontId="51" fillId="0" borderId="7">
      <alignment horizontal="left" vertical="center"/>
    </xf>
    <xf numFmtId="0" fontId="51" fillId="0" borderId="7">
      <alignment horizontal="left" vertical="center"/>
    </xf>
    <xf numFmtId="0" fontId="51" fillId="0" borderId="7">
      <alignment horizontal="left" vertical="center"/>
    </xf>
    <xf numFmtId="0" fontId="51" fillId="0" borderId="7">
      <alignment horizontal="left" vertical="center"/>
    </xf>
    <xf numFmtId="0" fontId="51" fillId="0" borderId="7">
      <alignment horizontal="left" vertical="center"/>
    </xf>
    <xf numFmtId="0" fontId="51" fillId="0" borderId="7">
      <alignment horizontal="left" vertical="center"/>
    </xf>
    <xf numFmtId="0" fontId="51" fillId="0" borderId="7">
      <alignment horizontal="left" vertical="center"/>
    </xf>
    <xf numFmtId="0" fontId="51" fillId="0" borderId="7">
      <alignment horizontal="left" vertical="center"/>
    </xf>
    <xf numFmtId="0" fontId="51" fillId="0" borderId="7">
      <alignment horizontal="left" vertical="center"/>
    </xf>
    <xf numFmtId="0" fontId="115" fillId="73" borderId="9">
      <alignment horizontal="center" vertical="center"/>
    </xf>
    <xf numFmtId="0" fontId="115" fillId="73" borderId="9">
      <alignment horizontal="center" vertical="center"/>
    </xf>
    <xf numFmtId="0" fontId="115" fillId="73" borderId="9">
      <alignment horizontal="center" vertical="center"/>
    </xf>
    <xf numFmtId="0" fontId="115" fillId="73" borderId="9">
      <alignment horizontal="center" vertical="center"/>
    </xf>
    <xf numFmtId="0" fontId="115" fillId="73" borderId="9">
      <alignment horizontal="center" vertical="center"/>
    </xf>
    <xf numFmtId="0" fontId="115" fillId="73" borderId="9">
      <alignment horizontal="center" vertical="center"/>
    </xf>
    <xf numFmtId="0" fontId="115" fillId="73" borderId="9">
      <alignment horizontal="center" vertical="center"/>
    </xf>
    <xf numFmtId="0" fontId="115" fillId="73" borderId="9">
      <alignment horizontal="center" vertical="center"/>
    </xf>
    <xf numFmtId="0" fontId="115" fillId="73" borderId="9">
      <alignment horizontal="center" vertical="center"/>
    </xf>
    <xf numFmtId="0" fontId="115" fillId="73" borderId="9">
      <alignment horizontal="center" vertical="center"/>
    </xf>
    <xf numFmtId="0" fontId="115" fillId="73" borderId="9">
      <alignment horizontal="center" vertical="center"/>
    </xf>
    <xf numFmtId="0" fontId="115" fillId="73" borderId="9">
      <alignment horizontal="center" vertical="center"/>
    </xf>
    <xf numFmtId="0" fontId="115" fillId="73" borderId="9">
      <alignment horizontal="center" vertical="center"/>
    </xf>
    <xf numFmtId="0" fontId="115" fillId="73" borderId="9">
      <alignment horizontal="center" vertical="center"/>
    </xf>
    <xf numFmtId="0" fontId="115" fillId="73" borderId="9">
      <alignment horizontal="center" vertical="center"/>
    </xf>
    <xf numFmtId="0" fontId="115" fillId="73" borderId="9">
      <alignment horizontal="center" vertical="center"/>
    </xf>
    <xf numFmtId="0" fontId="115" fillId="73" borderId="9">
      <alignment horizontal="center" vertical="center"/>
    </xf>
    <xf numFmtId="0" fontId="115" fillId="73" borderId="9">
      <alignment horizontal="center" vertical="center"/>
    </xf>
    <xf numFmtId="0" fontId="115" fillId="73" borderId="9">
      <alignment horizontal="center" vertical="center"/>
    </xf>
    <xf numFmtId="0" fontId="115" fillId="73" borderId="9">
      <alignment horizontal="center" vertical="center"/>
    </xf>
    <xf numFmtId="0" fontId="115" fillId="73" borderId="9">
      <alignment horizontal="center" vertical="center"/>
    </xf>
    <xf numFmtId="0" fontId="115" fillId="73" borderId="9">
      <alignment horizontal="center" vertical="center"/>
    </xf>
    <xf numFmtId="0" fontId="69" fillId="0" borderId="0" applyNumberFormat="0" applyFill="0" applyBorder="0" applyAlignment="0" applyProtection="0"/>
    <xf numFmtId="0" fontId="116" fillId="0" borderId="0" applyNumberFormat="0" applyFill="0" applyBorder="0" applyAlignment="0" applyProtection="0"/>
    <xf numFmtId="0" fontId="117"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Protection="0"/>
    <xf numFmtId="0" fontId="118" fillId="0" borderId="0" applyNumberFormat="0" applyFill="0" applyBorder="0" applyAlignment="0" applyProtection="0"/>
    <xf numFmtId="0" fontId="118" fillId="0" borderId="0" applyNumberFormat="0" applyFill="0" applyBorder="0" applyAlignment="0" applyProtection="0">
      <alignment vertical="top"/>
      <protection locked="0"/>
    </xf>
    <xf numFmtId="0" fontId="117" fillId="0" borderId="0" applyNumberFormat="0" applyFill="0" applyBorder="0" applyAlignment="0" applyProtection="0"/>
    <xf numFmtId="0" fontId="118" fillId="0" borderId="0" applyNumberFormat="0" applyFill="0" applyBorder="0" applyAlignment="0" applyProtection="0">
      <alignment vertical="top"/>
      <protection locked="0"/>
    </xf>
    <xf numFmtId="0" fontId="116" fillId="0" borderId="0" applyNumberFormat="0" applyFill="0" applyBorder="0" applyAlignment="0" applyProtection="0"/>
    <xf numFmtId="0" fontId="116" fillId="0" borderId="0" applyNumberFormat="0" applyFill="0" applyBorder="0" applyAlignment="0" applyProtection="0"/>
    <xf numFmtId="0" fontId="117" fillId="0" borderId="0" applyNumberFormat="0" applyFill="0" applyBorder="0" applyAlignment="0" applyProtection="0"/>
    <xf numFmtId="0" fontId="119" fillId="0" borderId="0" applyNumberFormat="0" applyFill="0" applyBorder="0" applyAlignment="0" applyProtection="0"/>
    <xf numFmtId="0" fontId="118" fillId="0" borderId="0" applyNumberFormat="0" applyFill="0" applyBorder="0" applyAlignment="0" applyProtection="0"/>
    <xf numFmtId="0" fontId="119" fillId="0" borderId="0" applyNumberFormat="0" applyFill="0" applyBorder="0" applyAlignment="0" applyProtection="0"/>
    <xf numFmtId="0" fontId="118" fillId="0" borderId="0" applyNumberFormat="0" applyFill="0" applyBorder="0" applyAlignment="0" applyProtection="0"/>
    <xf numFmtId="0" fontId="69" fillId="0" borderId="0" applyNumberFormat="0" applyFill="0" applyBorder="0" applyAlignment="0" applyProtection="0"/>
    <xf numFmtId="0" fontId="120" fillId="0" borderId="0" applyNumberFormat="0" applyFill="0" applyBorder="0">
      <protection locked="0"/>
    </xf>
    <xf numFmtId="0" fontId="69" fillId="0" borderId="0" applyNumberFormat="0" applyFill="0" applyBorder="0" applyAlignment="0" applyProtection="0"/>
    <xf numFmtId="0" fontId="118" fillId="0" borderId="0" applyNumberFormat="0" applyFill="0" applyBorder="0" applyAlignment="0" applyProtection="0"/>
    <xf numFmtId="0" fontId="120" fillId="0" borderId="0" applyNumberFormat="0" applyFill="0" applyBorder="0">
      <protection locked="0"/>
    </xf>
    <xf numFmtId="0" fontId="116" fillId="0" borderId="0" applyNumberFormat="0" applyFill="0" applyBorder="0" applyAlignment="0" applyProtection="0"/>
    <xf numFmtId="0" fontId="117" fillId="0" borderId="0" applyNumberFormat="0" applyFill="0" applyBorder="0" applyAlignment="0" applyProtection="0"/>
    <xf numFmtId="0" fontId="116" fillId="0" borderId="0" applyNumberFormat="0" applyFill="0" applyBorder="0" applyAlignment="0" applyProtection="0"/>
    <xf numFmtId="0" fontId="117" fillId="0" borderId="0" applyNumberFormat="0" applyFill="0" applyBorder="0" applyAlignment="0" applyProtection="0"/>
    <xf numFmtId="0" fontId="117" fillId="0" borderId="0" applyNumberFormat="0" applyFill="0" applyBorder="0" applyAlignment="0" applyProtection="0"/>
    <xf numFmtId="0" fontId="116" fillId="0" borderId="0" applyNumberFormat="0" applyFill="0" applyBorder="0" applyAlignment="0" applyProtection="0"/>
    <xf numFmtId="0" fontId="121" fillId="0" borderId="0" applyNumberFormat="0" applyFill="0" applyBorder="0" applyProtection="0"/>
    <xf numFmtId="0" fontId="116" fillId="0" borderId="0" applyNumberFormat="0" applyFill="0" applyBorder="0" applyAlignment="0" applyProtection="0"/>
    <xf numFmtId="0" fontId="121" fillId="0" borderId="0" applyNumberFormat="0" applyFill="0" applyBorder="0" applyProtection="0"/>
    <xf numFmtId="0" fontId="116" fillId="0" borderId="0" applyNumberFormat="0" applyFill="0" applyBorder="0" applyProtection="0"/>
    <xf numFmtId="0" fontId="116" fillId="0" borderId="0" applyNumberFormat="0" applyFill="0" applyBorder="0" applyProtection="0"/>
    <xf numFmtId="0" fontId="120" fillId="0" borderId="0" applyNumberFormat="0" applyFill="0" applyBorder="0">
      <protection locked="0"/>
    </xf>
    <xf numFmtId="0" fontId="69" fillId="0" borderId="0" applyNumberFormat="0" applyFill="0" applyBorder="0" applyAlignment="0" applyProtection="0"/>
    <xf numFmtId="0" fontId="69" fillId="0" borderId="0" applyNumberFormat="0" applyFill="0" applyBorder="0" applyAlignment="0" applyProtection="0"/>
    <xf numFmtId="0" fontId="111" fillId="55" borderId="9" applyNumberFormat="0" applyBorder="0" applyAlignment="0" applyProtection="0"/>
    <xf numFmtId="0" fontId="111" fillId="55" borderId="9" applyNumberFormat="0" applyBorder="0" applyAlignment="0" applyProtection="0"/>
    <xf numFmtId="0" fontId="111" fillId="55" borderId="9" applyNumberFormat="0" applyBorder="0" applyAlignment="0" applyProtection="0"/>
    <xf numFmtId="0" fontId="111" fillId="55" borderId="9" applyNumberFormat="0" applyBorder="0" applyAlignment="0" applyProtection="0"/>
    <xf numFmtId="0" fontId="111" fillId="55" borderId="9" applyNumberFormat="0" applyBorder="0" applyAlignment="0" applyProtection="0"/>
    <xf numFmtId="0" fontId="111" fillId="55" borderId="9" applyNumberFormat="0" applyBorder="0" applyAlignment="0" applyProtection="0"/>
    <xf numFmtId="0" fontId="111" fillId="55" borderId="9" applyNumberFormat="0" applyBorder="0" applyAlignment="0" applyProtection="0"/>
    <xf numFmtId="0" fontId="111" fillId="55" borderId="9" applyNumberFormat="0" applyBorder="0" applyAlignment="0" applyProtection="0"/>
    <xf numFmtId="0" fontId="111" fillId="55" borderId="9" applyNumberFormat="0" applyBorder="0" applyAlignment="0" applyProtection="0"/>
    <xf numFmtId="0" fontId="111" fillId="55" borderId="9" applyNumberFormat="0" applyBorder="0" applyAlignment="0" applyProtection="0"/>
    <xf numFmtId="0" fontId="111" fillId="55" borderId="9" applyNumberFormat="0" applyBorder="0" applyAlignment="0" applyProtection="0"/>
    <xf numFmtId="0" fontId="111" fillId="55" borderId="9" applyNumberFormat="0" applyBorder="0" applyAlignment="0" applyProtection="0"/>
    <xf numFmtId="0" fontId="111" fillId="55" borderId="9" applyNumberFormat="0" applyBorder="0" applyAlignment="0" applyProtection="0"/>
    <xf numFmtId="0" fontId="111" fillId="55" borderId="9" applyNumberFormat="0" applyBorder="0" applyAlignment="0" applyProtection="0"/>
    <xf numFmtId="0" fontId="111" fillId="55" borderId="9" applyNumberFormat="0" applyBorder="0" applyAlignment="0" applyProtection="0"/>
    <xf numFmtId="0" fontId="111" fillId="55" borderId="9" applyNumberFormat="0" applyBorder="0" applyAlignment="0" applyProtection="0"/>
    <xf numFmtId="0" fontId="111" fillId="55" borderId="9" applyNumberFormat="0" applyBorder="0" applyAlignment="0" applyProtection="0"/>
    <xf numFmtId="0" fontId="111" fillId="55" borderId="9" applyNumberFormat="0" applyBorder="0" applyAlignment="0" applyProtection="0"/>
    <xf numFmtId="0" fontId="111" fillId="55" borderId="9" applyNumberFormat="0" applyBorder="0" applyAlignment="0" applyProtection="0"/>
    <xf numFmtId="0" fontId="111" fillId="55" borderId="9" applyNumberFormat="0" applyBorder="0" applyAlignment="0" applyProtection="0"/>
    <xf numFmtId="0" fontId="111" fillId="55" borderId="9" applyNumberFormat="0" applyBorder="0" applyAlignment="0" applyProtection="0"/>
    <xf numFmtId="0" fontId="111" fillId="55" borderId="9" applyNumberFormat="0" applyBorder="0" applyAlignment="0" applyProtection="0"/>
    <xf numFmtId="0" fontId="111" fillId="55" borderId="9" applyNumberFormat="0" applyBorder="0" applyAlignment="0" applyProtection="0"/>
    <xf numFmtId="0" fontId="111" fillId="55" borderId="9" applyNumberFormat="0" applyBorder="0" applyAlignment="0" applyProtection="0"/>
    <xf numFmtId="0" fontId="111" fillId="55" borderId="9" applyNumberFormat="0" applyBorder="0" applyAlignment="0" applyProtection="0"/>
    <xf numFmtId="0" fontId="111" fillId="55" borderId="9" applyNumberFormat="0" applyBorder="0" applyAlignment="0" applyProtection="0"/>
    <xf numFmtId="0" fontId="111" fillId="55" borderId="9" applyNumberFormat="0" applyBorder="0" applyAlignment="0" applyProtection="0"/>
    <xf numFmtId="0" fontId="111" fillId="55" borderId="9" applyNumberFormat="0" applyBorder="0" applyAlignment="0" applyProtection="0"/>
    <xf numFmtId="0" fontId="111" fillId="55" borderId="9" applyNumberFormat="0" applyBorder="0" applyAlignment="0" applyProtection="0"/>
    <xf numFmtId="0" fontId="111" fillId="55" borderId="9" applyNumberFormat="0" applyBorder="0" applyAlignment="0" applyProtection="0"/>
    <xf numFmtId="0" fontId="111" fillId="55" borderId="9" applyNumberFormat="0" applyBorder="0" applyAlignment="0" applyProtection="0"/>
    <xf numFmtId="0" fontId="111" fillId="55" borderId="9" applyNumberFormat="0" applyBorder="0" applyAlignment="0" applyProtection="0"/>
    <xf numFmtId="0" fontId="122" fillId="0" borderId="55"/>
    <xf numFmtId="0" fontId="122" fillId="0" borderId="55"/>
    <xf numFmtId="0" fontId="122" fillId="0" borderId="55"/>
    <xf numFmtId="0" fontId="123" fillId="74" borderId="0" applyNumberFormat="0" applyBorder="0" applyProtection="0"/>
    <xf numFmtId="178" fontId="90" fillId="0" borderId="0"/>
    <xf numFmtId="0" fontId="0" fillId="0" borderId="0" applyAlignment="0"/>
    <xf numFmtId="0" fontId="3" fillId="0" borderId="0"/>
    <xf numFmtId="0" fontId="3" fillId="0" borderId="0"/>
    <xf numFmtId="0" fontId="0" fillId="0" borderId="0"/>
    <xf numFmtId="0" fontId="0" fillId="0" borderId="0"/>
    <xf numFmtId="0" fontId="3" fillId="0" borderId="0"/>
    <xf numFmtId="0" fontId="124" fillId="0" borderId="0"/>
    <xf numFmtId="0" fontId="0" fillId="0" borderId="0"/>
    <xf numFmtId="0" fontId="0" fillId="0" borderId="0"/>
    <xf numFmtId="0" fontId="0" fillId="0" borderId="0" applyAlignment="0"/>
    <xf numFmtId="0" fontId="0" fillId="0" borderId="0"/>
    <xf numFmtId="0" fontId="97" fillId="0" borderId="0" applyAlignment="0"/>
    <xf numFmtId="0" fontId="0" fillId="0" borderId="0"/>
    <xf numFmtId="0" fontId="0" fillId="0" borderId="0"/>
    <xf numFmtId="0" fontId="0" fillId="0" borderId="0" applyAlignment="0"/>
    <xf numFmtId="0" fontId="0" fillId="0" borderId="0" applyAlignment="0"/>
    <xf numFmtId="0" fontId="0" fillId="0" borderId="0" applyAlignment="0"/>
    <xf numFmtId="0" fontId="0" fillId="0" borderId="0"/>
    <xf numFmtId="0" fontId="97" fillId="0" borderId="0"/>
    <xf numFmtId="0" fontId="97" fillId="0" borderId="0" applyAlignment="0"/>
    <xf numFmtId="0" fontId="97" fillId="0" borderId="0"/>
    <xf numFmtId="0" fontId="0" fillId="0" borderId="0" applyAlignment="0"/>
    <xf numFmtId="0" fontId="0" fillId="0" borderId="0"/>
    <xf numFmtId="0" fontId="0" fillId="0" borderId="0"/>
    <xf numFmtId="0" fontId="97" fillId="0" borderId="0"/>
    <xf numFmtId="0" fontId="0" fillId="0" borderId="0"/>
    <xf numFmtId="0" fontId="0" fillId="0" borderId="0"/>
    <xf numFmtId="0" fontId="97" fillId="0" borderId="0"/>
    <xf numFmtId="0" fontId="0" fillId="0" borderId="0"/>
    <xf numFmtId="0" fontId="0" fillId="0" borderId="0"/>
    <xf numFmtId="0" fontId="0" fillId="0" borderId="0"/>
    <xf numFmtId="0" fontId="97" fillId="0" borderId="0"/>
    <xf numFmtId="0" fontId="0" fillId="0" borderId="0"/>
    <xf numFmtId="0" fontId="97" fillId="0" borderId="0"/>
    <xf numFmtId="0" fontId="0" fillId="0" borderId="0"/>
    <xf numFmtId="0" fontId="97" fillId="0" borderId="0"/>
    <xf numFmtId="0" fontId="0" fillId="0" borderId="0"/>
    <xf numFmtId="0" fontId="104" fillId="0" borderId="0"/>
    <xf numFmtId="0" fontId="0" fillId="0" borderId="0"/>
    <xf numFmtId="0" fontId="0" fillId="0" borderId="0"/>
    <xf numFmtId="0" fontId="0" fillId="0" borderId="0" applyAlignment="0"/>
    <xf numFmtId="0" fontId="97" fillId="0" borderId="0" applyAlignment="0"/>
    <xf numFmtId="0" fontId="0" fillId="0" borderId="0" applyAlignment="0"/>
    <xf numFmtId="0" fontId="0" fillId="0" borderId="0" applyAlignment="0"/>
    <xf numFmtId="0" fontId="97" fillId="0" borderId="0" applyAlignment="0"/>
    <xf numFmtId="0" fontId="0" fillId="0" borderId="0" applyAlignment="0"/>
    <xf numFmtId="0" fontId="0" fillId="0" borderId="0"/>
    <xf numFmtId="0" fontId="0" fillId="0" borderId="0"/>
    <xf numFmtId="0" fontId="0" fillId="0" borderId="0"/>
    <xf numFmtId="0" fontId="0" fillId="0" borderId="0"/>
    <xf numFmtId="0" fontId="97" fillId="0" borderId="0"/>
    <xf numFmtId="0" fontId="0" fillId="0" borderId="0"/>
    <xf numFmtId="0" fontId="0" fillId="0" borderId="0"/>
    <xf numFmtId="0" fontId="0" fillId="0" borderId="0"/>
    <xf numFmtId="0" fontId="0" fillId="0" borderId="0"/>
    <xf numFmtId="0" fontId="0" fillId="0" borderId="0"/>
    <xf numFmtId="0" fontId="97"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97" fillId="0" borderId="0"/>
    <xf numFmtId="0" fontId="97" fillId="0" borderId="0"/>
    <xf numFmtId="0" fontId="0" fillId="0" borderId="0"/>
    <xf numFmtId="0" fontId="0" fillId="0" borderId="0">
      <alignment vertical="center"/>
    </xf>
    <xf numFmtId="0" fontId="0" fillId="0" borderId="0">
      <alignment vertical="center"/>
    </xf>
    <xf numFmtId="0" fontId="97"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97" fillId="0" borderId="0"/>
    <xf numFmtId="0" fontId="0" fillId="0" borderId="0"/>
    <xf numFmtId="0" fontId="0" fillId="0" borderId="0"/>
    <xf numFmtId="0" fontId="0" fillId="0" borderId="0"/>
    <xf numFmtId="0" fontId="97"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97" fillId="0" borderId="0"/>
    <xf numFmtId="0" fontId="0" fillId="0" borderId="0"/>
    <xf numFmtId="0" fontId="0" fillId="0" borderId="0"/>
    <xf numFmtId="0" fontId="0" fillId="0" borderId="0"/>
    <xf numFmtId="0" fontId="0" fillId="0" borderId="0"/>
    <xf numFmtId="0" fontId="97" fillId="0" borderId="0"/>
    <xf numFmtId="0" fontId="0" fillId="0" borderId="0"/>
    <xf numFmtId="0" fontId="0" fillId="0" borderId="0"/>
    <xf numFmtId="0" fontId="0" fillId="0" borderId="0"/>
    <xf numFmtId="0" fontId="0" fillId="0" borderId="0"/>
    <xf numFmtId="0" fontId="0" fillId="0" borderId="0"/>
    <xf numFmtId="0" fontId="104" fillId="0" borderId="0"/>
    <xf numFmtId="0" fontId="0" fillId="0" borderId="0"/>
    <xf numFmtId="0" fontId="0" fillId="0" borderId="0"/>
    <xf numFmtId="0" fontId="97" fillId="0" borderId="0"/>
    <xf numFmtId="0" fontId="0" fillId="0" borderId="0"/>
    <xf numFmtId="0" fontId="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97" fillId="0" borderId="0"/>
    <xf numFmtId="0" fontId="0" fillId="0" borderId="0"/>
    <xf numFmtId="0" fontId="0" fillId="0" borderId="0"/>
    <xf numFmtId="0" fontId="0" fillId="0" borderId="0"/>
    <xf numFmtId="0" fontId="0" fillId="0" borderId="0"/>
    <xf numFmtId="0" fontId="0" fillId="0" borderId="0"/>
    <xf numFmtId="0" fontId="97"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97" fillId="0" borderId="0"/>
    <xf numFmtId="0" fontId="0" fillId="0" borderId="0"/>
    <xf numFmtId="0" fontId="0" fillId="0" borderId="0"/>
    <xf numFmtId="0" fontId="0" fillId="0" borderId="0"/>
    <xf numFmtId="0" fontId="0" fillId="0" borderId="0"/>
    <xf numFmtId="0" fontId="0" fillId="0" borderId="0"/>
    <xf numFmtId="0" fontId="97" fillId="0" borderId="0"/>
    <xf numFmtId="0" fontId="0" fillId="0" borderId="0"/>
    <xf numFmtId="0" fontId="0" fillId="0" borderId="0"/>
    <xf numFmtId="0" fontId="0" fillId="0" borderId="0"/>
    <xf numFmtId="0" fontId="0" fillId="0" borderId="0"/>
    <xf numFmtId="0" fontId="0" fillId="0" borderId="0"/>
    <xf numFmtId="0" fontId="125" fillId="0" borderId="0"/>
    <xf numFmtId="0" fontId="0" fillId="0" borderId="0"/>
    <xf numFmtId="0" fontId="0" fillId="0" borderId="0"/>
    <xf numFmtId="0" fontId="0" fillId="0" borderId="0"/>
    <xf numFmtId="0" fontId="97" fillId="0" borderId="0"/>
    <xf numFmtId="0" fontId="0" fillId="0" borderId="0"/>
    <xf numFmtId="0" fontId="103" fillId="0" borderId="0"/>
    <xf numFmtId="0" fontId="125" fillId="0" borderId="0"/>
    <xf numFmtId="0" fontId="97" fillId="0" borderId="0"/>
    <xf numFmtId="0" fontId="0" fillId="0" borderId="0"/>
    <xf numFmtId="0" fontId="97" fillId="0" borderId="0">
      <alignment vertical="center"/>
    </xf>
    <xf numFmtId="0" fontId="103" fillId="0" borderId="0"/>
    <xf numFmtId="0" fontId="0" fillId="0" borderId="0"/>
    <xf numFmtId="0" fontId="0" fillId="0" borderId="0"/>
    <xf numFmtId="0" fontId="103" fillId="0" borderId="0"/>
    <xf numFmtId="0" fontId="0" fillId="0" borderId="0"/>
    <xf numFmtId="0" fontId="0" fillId="0" borderId="0"/>
    <xf numFmtId="0" fontId="0" fillId="0" borderId="0"/>
    <xf numFmtId="0" fontId="97" fillId="0" borderId="0"/>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126" fillId="0" borderId="0"/>
    <xf numFmtId="0" fontId="0" fillId="0" borderId="0"/>
    <xf numFmtId="0" fontId="0" fillId="0" borderId="0"/>
    <xf numFmtId="0" fontId="0" fillId="0" borderId="0"/>
    <xf numFmtId="0" fontId="0" fillId="0" borderId="0"/>
    <xf numFmtId="0" fontId="0" fillId="0" borderId="0"/>
    <xf numFmtId="0" fontId="0" fillId="0" borderId="0"/>
    <xf numFmtId="0" fontId="97" fillId="0" borderId="0"/>
    <xf numFmtId="0" fontId="0" fillId="0" borderId="0"/>
    <xf numFmtId="0" fontId="0" fillId="0" borderId="0"/>
    <xf numFmtId="0" fontId="0" fillId="0" borderId="0"/>
    <xf numFmtId="0" fontId="97" fillId="0" borderId="0"/>
    <xf numFmtId="0" fontId="0" fillId="0" borderId="0"/>
    <xf numFmtId="0" fontId="0" fillId="0" borderId="0"/>
    <xf numFmtId="0" fontId="127" fillId="0" borderId="0">
      <alignment vertical="center"/>
    </xf>
    <xf numFmtId="0" fontId="103" fillId="0" borderId="0"/>
    <xf numFmtId="0" fontId="3" fillId="0" borderId="0"/>
    <xf numFmtId="0" fontId="3" fillId="0" borderId="0"/>
    <xf numFmtId="0" fontId="103" fillId="0" borderId="0"/>
    <xf numFmtId="0" fontId="97" fillId="0" borderId="0"/>
    <xf numFmtId="0" fontId="4" fillId="0" borderId="0"/>
    <xf numFmtId="0" fontId="128" fillId="0" borderId="0"/>
    <xf numFmtId="0" fontId="129" fillId="0" borderId="0"/>
    <xf numFmtId="0" fontId="3" fillId="0" borderId="0"/>
    <xf numFmtId="0" fontId="3" fillId="0" borderId="0"/>
    <xf numFmtId="0" fontId="127" fillId="0" borderId="0">
      <alignment vertical="center"/>
    </xf>
    <xf numFmtId="0" fontId="0" fillId="0" borderId="0" applyAlignment="0"/>
    <xf numFmtId="0" fontId="4" fillId="0" borderId="0"/>
    <xf numFmtId="0" fontId="127" fillId="0" borderId="0">
      <alignment vertical="center"/>
    </xf>
    <xf numFmtId="0" fontId="4" fillId="0" borderId="0"/>
    <xf numFmtId="0" fontId="0" fillId="0" borderId="0" applyAlignment="0"/>
    <xf numFmtId="0" fontId="0" fillId="0" borderId="0" applyAlignment="0"/>
    <xf numFmtId="0" fontId="130" fillId="0" borderId="0">
      <alignment vertical="center"/>
    </xf>
    <xf numFmtId="0" fontId="0" fillId="0" borderId="0" applyAlignment="0"/>
    <xf numFmtId="0" fontId="131" fillId="0" borderId="0"/>
    <xf numFmtId="0" fontId="3" fillId="0" borderId="0"/>
    <xf numFmtId="0" fontId="131" fillId="0" borderId="0"/>
    <xf numFmtId="0" fontId="130" fillId="0" borderId="0">
      <alignment vertical="center"/>
    </xf>
    <xf numFmtId="0" fontId="3" fillId="0" borderId="0"/>
    <xf numFmtId="0" fontId="127" fillId="0" borderId="0">
      <alignment vertical="center"/>
    </xf>
    <xf numFmtId="0" fontId="127" fillId="0" borderId="0">
      <alignment vertical="center"/>
    </xf>
    <xf numFmtId="0" fontId="130" fillId="0" borderId="0">
      <alignment vertical="center"/>
    </xf>
    <xf numFmtId="0" fontId="2" fillId="0" borderId="0"/>
    <xf numFmtId="0" fontId="130" fillId="0" borderId="0">
      <alignment vertical="center"/>
    </xf>
    <xf numFmtId="0" fontId="124" fillId="0" borderId="0"/>
    <xf numFmtId="0" fontId="107" fillId="0" borderId="0"/>
    <xf numFmtId="0" fontId="105" fillId="0" borderId="0" applyAlignment="0"/>
    <xf numFmtId="0" fontId="132" fillId="0" borderId="0"/>
    <xf numFmtId="0" fontId="124" fillId="0" borderId="0"/>
    <xf numFmtId="0" fontId="0" fillId="0" borderId="0"/>
    <xf numFmtId="0" fontId="0" fillId="0" borderId="0"/>
    <xf numFmtId="0" fontId="0" fillId="0" borderId="0"/>
    <xf numFmtId="0" fontId="0" fillId="0" borderId="0"/>
    <xf numFmtId="0" fontId="0" fillId="0" borderId="0"/>
    <xf numFmtId="0" fontId="0" fillId="0" borderId="0"/>
    <xf numFmtId="0" fontId="97" fillId="0" borderId="0"/>
    <xf numFmtId="0" fontId="0" fillId="0" borderId="0"/>
    <xf numFmtId="0" fontId="0" fillId="0" borderId="0"/>
    <xf numFmtId="0" fontId="0" fillId="0" borderId="0"/>
    <xf numFmtId="0" fontId="0" fillId="0" borderId="0"/>
    <xf numFmtId="0" fontId="97" fillId="0" borderId="0"/>
    <xf numFmtId="0" fontId="0" fillId="0" borderId="0"/>
    <xf numFmtId="0" fontId="0" fillId="0" borderId="0"/>
    <xf numFmtId="0" fontId="0" fillId="0" borderId="0"/>
    <xf numFmtId="0" fontId="97" fillId="0" borderId="0"/>
    <xf numFmtId="0" fontId="0" fillId="0" borderId="0"/>
    <xf numFmtId="0" fontId="0" fillId="0" borderId="0"/>
    <xf numFmtId="0" fontId="0" fillId="0" borderId="0"/>
    <xf numFmtId="0" fontId="0" fillId="0" borderId="0"/>
    <xf numFmtId="0" fontId="97" fillId="0" borderId="0"/>
    <xf numFmtId="0" fontId="0" fillId="0" borderId="0"/>
    <xf numFmtId="0" fontId="0" fillId="0" borderId="0"/>
    <xf numFmtId="0" fontId="0" fillId="0" borderId="0"/>
    <xf numFmtId="0" fontId="97" fillId="0" borderId="0"/>
    <xf numFmtId="0" fontId="0" fillId="0" borderId="0"/>
    <xf numFmtId="0" fontId="0" fillId="0" borderId="0"/>
    <xf numFmtId="0" fontId="0" fillId="0" borderId="0"/>
    <xf numFmtId="0" fontId="0" fillId="0" borderId="0"/>
    <xf numFmtId="0" fontId="0" fillId="0" borderId="0"/>
    <xf numFmtId="0" fontId="97" fillId="0" borderId="0"/>
    <xf numFmtId="0" fontId="0" fillId="0" borderId="0"/>
    <xf numFmtId="0" fontId="0" fillId="0" borderId="0"/>
    <xf numFmtId="0" fontId="0" fillId="0" borderId="0"/>
    <xf numFmtId="0" fontId="97" fillId="0" borderId="0"/>
    <xf numFmtId="0" fontId="0" fillId="0" borderId="0"/>
    <xf numFmtId="0" fontId="0" fillId="0" borderId="0"/>
    <xf numFmtId="0" fontId="106" fillId="0" borderId="0"/>
    <xf numFmtId="0" fontId="97" fillId="0" borderId="0"/>
    <xf numFmtId="0" fontId="106" fillId="0" borderId="0"/>
    <xf numFmtId="0" fontId="97" fillId="0" borderId="0"/>
    <xf numFmtId="0" fontId="0" fillId="0" borderId="0"/>
    <xf numFmtId="0" fontId="0" fillId="0" borderId="0"/>
    <xf numFmtId="0" fontId="97" fillId="0" borderId="0"/>
    <xf numFmtId="0" fontId="0" fillId="0" borderId="0"/>
    <xf numFmtId="0" fontId="0" fillId="0" borderId="0"/>
    <xf numFmtId="0" fontId="97" fillId="0" borderId="0"/>
    <xf numFmtId="0" fontId="0" fillId="0" borderId="0"/>
    <xf numFmtId="0" fontId="0" fillId="0" borderId="0"/>
    <xf numFmtId="0" fontId="97" fillId="0" borderId="0"/>
    <xf numFmtId="0" fontId="0" fillId="0" borderId="0"/>
    <xf numFmtId="0" fontId="133" fillId="0" borderId="0"/>
    <xf numFmtId="0" fontId="0" fillId="0" borderId="0"/>
    <xf numFmtId="0" fontId="133" fillId="0" borderId="0"/>
    <xf numFmtId="0" fontId="133" fillId="0" borderId="0"/>
    <xf numFmtId="0" fontId="97" fillId="0" borderId="0"/>
    <xf numFmtId="0" fontId="0" fillId="0" borderId="0"/>
    <xf numFmtId="0" fontId="2" fillId="0" borderId="0"/>
    <xf numFmtId="0" fontId="0" fillId="0" borderId="0"/>
    <xf numFmtId="0" fontId="0" fillId="0" borderId="0"/>
    <xf numFmtId="0" fontId="0" fillId="0" borderId="0"/>
    <xf numFmtId="0" fontId="0" fillId="0" borderId="0"/>
    <xf numFmtId="0" fontId="0" fillId="0" borderId="0"/>
    <xf numFmtId="0" fontId="2" fillId="0" borderId="0"/>
    <xf numFmtId="0" fontId="0" fillId="0" borderId="0"/>
    <xf numFmtId="195" fontId="134" fillId="0" borderId="0" applyAlignment="0">
      <protection locked="0"/>
    </xf>
    <xf numFmtId="195" fontId="134" fillId="0" borderId="0" applyAlignment="0">
      <protection locked="0"/>
    </xf>
    <xf numFmtId="0" fontId="97" fillId="0" borderId="0"/>
    <xf numFmtId="0" fontId="0" fillId="0" borderId="0"/>
    <xf numFmtId="0" fontId="0" fillId="0" borderId="0"/>
    <xf numFmtId="0" fontId="3" fillId="0" borderId="0"/>
    <xf numFmtId="0" fontId="128" fillId="0" borderId="0"/>
    <xf numFmtId="0" fontId="0" fillId="0" borderId="0" applyAlignment="0"/>
    <xf numFmtId="0" fontId="0" fillId="0" borderId="0" applyAlignment="0"/>
    <xf numFmtId="0" fontId="0" fillId="0" borderId="0" applyAlignment="0"/>
    <xf numFmtId="0" fontId="127" fillId="0" borderId="0">
      <alignment vertical="center"/>
    </xf>
    <xf numFmtId="0" fontId="0" fillId="0" borderId="0" applyAlignment="0"/>
    <xf numFmtId="0" fontId="103" fillId="0" borderId="0"/>
    <xf numFmtId="0" fontId="128" fillId="0" borderId="0"/>
    <xf numFmtId="0" fontId="127" fillId="0" borderId="0">
      <alignment vertical="center"/>
    </xf>
    <xf numFmtId="0" fontId="103" fillId="0" borderId="0"/>
    <xf numFmtId="0" fontId="103" fillId="0" borderId="0"/>
    <xf numFmtId="0" fontId="128" fillId="0" borderId="0"/>
    <xf numFmtId="0" fontId="103" fillId="0" borderId="0"/>
    <xf numFmtId="0" fontId="103" fillId="0" borderId="0"/>
    <xf numFmtId="0" fontId="0" fillId="0" borderId="0"/>
    <xf numFmtId="0" fontId="0" fillId="0" borderId="0"/>
    <xf numFmtId="0" fontId="0" fillId="0" borderId="0"/>
    <xf numFmtId="0" fontId="0" fillId="0" borderId="0"/>
    <xf numFmtId="0" fontId="105" fillId="0" borderId="0" applyAlignment="0"/>
    <xf numFmtId="0" fontId="0" fillId="0" borderId="0"/>
    <xf numFmtId="0" fontId="0" fillId="0" borderId="0"/>
    <xf numFmtId="0" fontId="97" fillId="0" borderId="0"/>
    <xf numFmtId="0" fontId="0" fillId="0" borderId="0"/>
    <xf numFmtId="0" fontId="2" fillId="0" borderId="0"/>
    <xf numFmtId="0" fontId="0" fillId="0" borderId="0" applyAlignment="0"/>
    <xf numFmtId="0" fontId="0" fillId="0" borderId="0" applyAlignment="0"/>
    <xf numFmtId="0" fontId="129" fillId="0" borderId="0"/>
    <xf numFmtId="0" fontId="0" fillId="0" borderId="0" applyAlignment="0"/>
    <xf numFmtId="176" fontId="89" fillId="0" borderId="0">
      <protection locked="0"/>
    </xf>
    <xf numFmtId="0" fontId="0" fillId="0" borderId="0" applyAlignment="0"/>
    <xf numFmtId="0" fontId="0" fillId="0" borderId="0" applyAlignment="0"/>
    <xf numFmtId="0" fontId="0" fillId="0" borderId="0" applyAlignment="0"/>
    <xf numFmtId="0" fontId="0" fillId="0" borderId="0" applyAlignment="0"/>
    <xf numFmtId="0" fontId="0" fillId="0" borderId="0" applyAlignment="0"/>
    <xf numFmtId="0" fontId="0" fillId="0" borderId="0" applyAlignment="0"/>
    <xf numFmtId="0" fontId="97" fillId="0" borderId="0" applyAlignment="0"/>
    <xf numFmtId="0" fontId="0" fillId="0" borderId="0" applyAlignment="0"/>
    <xf numFmtId="0" fontId="0" fillId="0" borderId="0"/>
    <xf numFmtId="0" fontId="0" fillId="0" borderId="0"/>
    <xf numFmtId="0" fontId="0" fillId="0" borderId="0"/>
    <xf numFmtId="0" fontId="103" fillId="0" borderId="0"/>
    <xf numFmtId="0" fontId="0" fillId="0" borderId="0"/>
    <xf numFmtId="0" fontId="0" fillId="0" borderId="0" applyAlignment="0"/>
    <xf numFmtId="0" fontId="0" fillId="0" borderId="0" applyAlignment="0"/>
    <xf numFmtId="0" fontId="0" fillId="0" borderId="0" applyAlignment="0"/>
    <xf numFmtId="0" fontId="103" fillId="0" borderId="0"/>
    <xf numFmtId="0" fontId="0" fillId="0" borderId="0" applyAlignment="0"/>
    <xf numFmtId="0" fontId="3" fillId="0" borderId="0">
      <alignment vertical="top"/>
    </xf>
    <xf numFmtId="0" fontId="103" fillId="0" borderId="0"/>
    <xf numFmtId="0" fontId="3" fillId="0" borderId="0">
      <alignment vertical="top"/>
    </xf>
    <xf numFmtId="0" fontId="2" fillId="0" borderId="0"/>
    <xf numFmtId="0" fontId="97" fillId="0" borderId="0" applyAlignment="0"/>
    <xf numFmtId="0" fontId="105" fillId="0" borderId="0" applyAlignment="0"/>
    <xf numFmtId="0" fontId="0" fillId="0" borderId="0" applyAlignment="0"/>
    <xf numFmtId="0" fontId="2" fillId="0" borderId="0" applyAlignment="0"/>
    <xf numFmtId="0" fontId="2" fillId="0" borderId="0" applyAlignment="0"/>
    <xf numFmtId="0" fontId="97" fillId="0" borderId="0" applyAlignment="0"/>
    <xf numFmtId="0" fontId="133" fillId="0" borderId="0"/>
    <xf numFmtId="0" fontId="0" fillId="0" borderId="0" applyAlignment="0"/>
    <xf numFmtId="0" fontId="133" fillId="0" borderId="0"/>
    <xf numFmtId="0" fontId="97" fillId="0" borderId="0" applyAlignment="0"/>
    <xf numFmtId="0" fontId="0" fillId="0" borderId="0" applyAlignment="0"/>
    <xf numFmtId="0" fontId="0" fillId="0" borderId="0">
      <alignment vertical="center"/>
    </xf>
    <xf numFmtId="0" fontId="135" fillId="0" borderId="0"/>
    <xf numFmtId="0" fontId="0" fillId="0" borderId="0">
      <alignment vertical="center"/>
    </xf>
    <xf numFmtId="0" fontId="135" fillId="0" borderId="0"/>
    <xf numFmtId="0" fontId="97" fillId="0" borderId="0"/>
    <xf numFmtId="0" fontId="0" fillId="0" borderId="0">
      <alignment vertical="center"/>
    </xf>
    <xf numFmtId="0" fontId="0" fillId="0" borderId="0" applyAlignment="0"/>
    <xf numFmtId="0" fontId="4" fillId="0" borderId="0"/>
    <xf numFmtId="0" fontId="0" fillId="0" borderId="0" applyAlignment="0"/>
    <xf numFmtId="0" fontId="4" fillId="0" borderId="0"/>
    <xf numFmtId="0" fontId="97" fillId="0" borderId="0" applyAlignment="0"/>
    <xf numFmtId="0" fontId="0" fillId="0" borderId="0" applyAlignment="0"/>
    <xf numFmtId="0" fontId="0" fillId="0" borderId="0"/>
    <xf numFmtId="0" fontId="103" fillId="0" borderId="0"/>
    <xf numFmtId="0" fontId="103" fillId="0" borderId="0"/>
    <xf numFmtId="0" fontId="0" fillId="0" borderId="0"/>
    <xf numFmtId="0" fontId="0" fillId="0" borderId="0"/>
    <xf numFmtId="0" fontId="0" fillId="0" borderId="0"/>
    <xf numFmtId="0" fontId="0" fillId="0" borderId="0"/>
    <xf numFmtId="0" fontId="0" fillId="0" borderId="0"/>
    <xf numFmtId="0" fontId="0" fillId="0" borderId="0"/>
    <xf numFmtId="0" fontId="105" fillId="0" borderId="0" applyAlignment="0"/>
    <xf numFmtId="0" fontId="136" fillId="0" borderId="0"/>
    <xf numFmtId="0" fontId="0" fillId="0" borderId="0"/>
    <xf numFmtId="0" fontId="0" fillId="0" borderId="0"/>
    <xf numFmtId="0" fontId="0" fillId="0" borderId="0"/>
    <xf numFmtId="0" fontId="0" fillId="0" borderId="0"/>
    <xf numFmtId="0" fontId="2" fillId="0" borderId="0"/>
    <xf numFmtId="176" fontId="89" fillId="0" borderId="0">
      <protection locked="0"/>
    </xf>
    <xf numFmtId="0" fontId="137" fillId="0" borderId="0" applyAlignment="0"/>
    <xf numFmtId="0" fontId="137" fillId="0" borderId="0" applyAlignment="0"/>
    <xf numFmtId="0" fontId="97" fillId="0" borderId="0"/>
    <xf numFmtId="0" fontId="124" fillId="0" borderId="0"/>
    <xf numFmtId="0" fontId="0" fillId="0" borderId="0"/>
    <xf numFmtId="0" fontId="0" fillId="0" borderId="0"/>
    <xf numFmtId="0" fontId="0" fillId="0" borderId="0"/>
    <xf numFmtId="176" fontId="89" fillId="0" borderId="0">
      <protection locked="0"/>
    </xf>
    <xf numFmtId="0" fontId="0" fillId="0" borderId="0"/>
    <xf numFmtId="0" fontId="0" fillId="0" borderId="0"/>
    <xf numFmtId="0" fontId="103" fillId="0" borderId="0"/>
    <xf numFmtId="0" fontId="0" fillId="0" borderId="0"/>
    <xf numFmtId="0" fontId="103" fillId="0" borderId="0"/>
    <xf numFmtId="0" fontId="0" fillId="0" borderId="0"/>
    <xf numFmtId="0" fontId="0" fillId="0" borderId="0"/>
    <xf numFmtId="0" fontId="0" fillId="0" borderId="0"/>
    <xf numFmtId="0" fontId="103" fillId="0" borderId="0"/>
    <xf numFmtId="0" fontId="0" fillId="0" borderId="0"/>
    <xf numFmtId="0" fontId="0" fillId="0" borderId="0"/>
    <xf numFmtId="0" fontId="0" fillId="0" borderId="0"/>
    <xf numFmtId="0" fontId="0" fillId="0" borderId="0"/>
    <xf numFmtId="0" fontId="103" fillId="0" borderId="0"/>
    <xf numFmtId="0" fontId="0" fillId="0" borderId="0"/>
    <xf numFmtId="0" fontId="105" fillId="0" borderId="0"/>
    <xf numFmtId="0" fontId="103" fillId="0" borderId="0"/>
    <xf numFmtId="0" fontId="105" fillId="0" borderId="0"/>
    <xf numFmtId="0" fontId="97" fillId="0" borderId="0">
      <alignment vertical="center"/>
    </xf>
    <xf numFmtId="0" fontId="0" fillId="0" borderId="0"/>
    <xf numFmtId="0" fontId="0" fillId="0" borderId="0"/>
    <xf numFmtId="0" fontId="0" fillId="0" borderId="0"/>
    <xf numFmtId="0" fontId="97" fillId="0" borderId="0"/>
    <xf numFmtId="0" fontId="0" fillId="0" borderId="0"/>
    <xf numFmtId="0" fontId="138" fillId="0" borderId="0"/>
    <xf numFmtId="0" fontId="0" fillId="0" borderId="0"/>
    <xf numFmtId="0" fontId="0" fillId="0" borderId="0"/>
    <xf numFmtId="0" fontId="0" fillId="0" borderId="0"/>
    <xf numFmtId="0" fontId="103" fillId="0" borderId="0"/>
    <xf numFmtId="0" fontId="0" fillId="0" borderId="0"/>
    <xf numFmtId="0" fontId="0" fillId="0" borderId="0"/>
    <xf numFmtId="0" fontId="2" fillId="0" borderId="0"/>
    <xf numFmtId="0" fontId="0" fillId="0" borderId="0"/>
    <xf numFmtId="0" fontId="3" fillId="0" borderId="0"/>
    <xf numFmtId="0" fontId="128" fillId="0" borderId="0"/>
    <xf numFmtId="195" fontId="0" fillId="0" borderId="0">
      <protection locked="0"/>
    </xf>
    <xf numFmtId="195" fontId="0" fillId="0" borderId="0">
      <protection locked="0"/>
    </xf>
    <xf numFmtId="0" fontId="107" fillId="0" borderId="0"/>
    <xf numFmtId="0" fontId="101" fillId="0" borderId="0" applyAlignment="0">
      <protection locked="0"/>
    </xf>
    <xf numFmtId="0" fontId="103" fillId="0" borderId="0"/>
    <xf numFmtId="0" fontId="101" fillId="0" borderId="0" applyAlignment="0">
      <protection locked="0"/>
    </xf>
    <xf numFmtId="0" fontId="103" fillId="0" borderId="0"/>
    <xf numFmtId="0" fontId="90" fillId="0" borderId="0"/>
    <xf numFmtId="0" fontId="90" fillId="0" borderId="0"/>
    <xf numFmtId="0" fontId="3" fillId="0" borderId="0"/>
    <xf numFmtId="0" fontId="0" fillId="0" borderId="0"/>
    <xf numFmtId="0" fontId="90" fillId="0" borderId="0"/>
    <xf numFmtId="0" fontId="0" fillId="0" borderId="0"/>
    <xf numFmtId="0" fontId="0" fillId="0" borderId="0"/>
    <xf numFmtId="0" fontId="102" fillId="0" borderId="0"/>
    <xf numFmtId="176" fontId="108" fillId="0" borderId="0">
      <protection locked="0"/>
    </xf>
    <xf numFmtId="0" fontId="3" fillId="0" borderId="0"/>
    <xf numFmtId="0" fontId="128" fillId="0" borderId="0"/>
    <xf numFmtId="9" fontId="0" fillId="0" borderId="0" applyAlignment="0"/>
    <xf numFmtId="9" fontId="0" fillId="0" borderId="0" applyAlignment="0"/>
    <xf numFmtId="9" fontId="0" fillId="0" borderId="0" applyAlignment="0"/>
    <xf numFmtId="0" fontId="128" fillId="0" borderId="0"/>
    <xf numFmtId="9" fontId="0" fillId="0" borderId="0" applyAlignment="0"/>
    <xf numFmtId="0" fontId="97" fillId="0" borderId="0"/>
    <xf numFmtId="0" fontId="101" fillId="0" borderId="0" applyAlignment="0">
      <protection locked="0"/>
    </xf>
    <xf numFmtId="0" fontId="101" fillId="0" borderId="0" applyAlignment="0">
      <protection locked="0"/>
    </xf>
    <xf numFmtId="0" fontId="3" fillId="0" borderId="0"/>
    <xf numFmtId="0" fontId="0" fillId="0" borderId="0"/>
    <xf numFmtId="0" fontId="0" fillId="0" borderId="0"/>
    <xf numFmtId="0" fontId="0" fillId="0" borderId="0"/>
    <xf numFmtId="0" fontId="97" fillId="0" borderId="0"/>
    <xf numFmtId="0" fontId="0" fillId="0" borderId="0"/>
    <xf numFmtId="0" fontId="133" fillId="0" borderId="0"/>
    <xf numFmtId="9" fontId="105" fillId="0" borderId="0" applyAlignment="0"/>
    <xf numFmtId="0" fontId="0" fillId="0" borderId="0"/>
    <xf numFmtId="0" fontId="2" fillId="0" borderId="0"/>
    <xf numFmtId="0" fontId="103" fillId="0" borderId="0"/>
    <xf numFmtId="0" fontId="0" fillId="0" borderId="0"/>
    <xf numFmtId="0" fontId="0" fillId="0" borderId="0"/>
    <xf numFmtId="0" fontId="97" fillId="0" borderId="0"/>
    <xf numFmtId="0" fontId="0" fillId="0" borderId="0"/>
    <xf numFmtId="0" fontId="0" fillId="0" borderId="0"/>
    <xf numFmtId="0" fontId="0" fillId="0" borderId="0"/>
    <xf numFmtId="0" fontId="0" fillId="0" borderId="0"/>
    <xf numFmtId="0" fontId="105" fillId="0" borderId="0"/>
    <xf numFmtId="0" fontId="0" fillId="0" borderId="0"/>
    <xf numFmtId="0" fontId="0" fillId="0" borderId="0"/>
    <xf numFmtId="0" fontId="0" fillId="0" borderId="0"/>
    <xf numFmtId="0" fontId="0" fillId="0" borderId="0"/>
    <xf numFmtId="0" fontId="97" fillId="0" borderId="0"/>
    <xf numFmtId="0" fontId="97" fillId="0" borderId="0"/>
    <xf numFmtId="0" fontId="97" fillId="0" borderId="0"/>
    <xf numFmtId="0" fontId="0" fillId="0" borderId="0"/>
    <xf numFmtId="0" fontId="97" fillId="0" borderId="0"/>
    <xf numFmtId="0" fontId="105" fillId="0" borderId="0"/>
    <xf numFmtId="0" fontId="0" fillId="0" borderId="0"/>
    <xf numFmtId="0" fontId="103" fillId="0" borderId="0"/>
    <xf numFmtId="0" fontId="0" fillId="0" borderId="0"/>
    <xf numFmtId="0" fontId="0" fillId="0" borderId="0"/>
    <xf numFmtId="0" fontId="0" fillId="0" borderId="0"/>
    <xf numFmtId="0" fontId="0" fillId="0" borderId="0"/>
    <xf numFmtId="0" fontId="0" fillId="0" borderId="0"/>
    <xf numFmtId="0" fontId="0" fillId="0" borderId="0"/>
    <xf numFmtId="0" fontId="105" fillId="0" borderId="0"/>
    <xf numFmtId="0" fontId="0" fillId="0" borderId="0"/>
    <xf numFmtId="0" fontId="0" fillId="0" borderId="0"/>
    <xf numFmtId="0" fontId="0" fillId="0" borderId="0"/>
    <xf numFmtId="0" fontId="0" fillId="0" borderId="0"/>
    <xf numFmtId="0" fontId="103" fillId="0" borderId="0"/>
    <xf numFmtId="0" fontId="103" fillId="0" borderId="0"/>
    <xf numFmtId="0" fontId="103" fillId="0" borderId="0"/>
    <xf numFmtId="0" fontId="0" fillId="0" borderId="0"/>
    <xf numFmtId="0" fontId="105" fillId="0" borderId="0"/>
    <xf numFmtId="0" fontId="0" fillId="0" borderId="0"/>
    <xf numFmtId="0" fontId="0" fillId="0" borderId="0"/>
    <xf numFmtId="0" fontId="0" fillId="0" borderId="0"/>
    <xf numFmtId="0" fontId="97" fillId="0" borderId="0"/>
    <xf numFmtId="0" fontId="0" fillId="0" borderId="0"/>
    <xf numFmtId="0" fontId="0" fillId="0" borderId="0"/>
    <xf numFmtId="0" fontId="0" fillId="0" borderId="0"/>
    <xf numFmtId="181" fontId="129" fillId="0" borderId="0" applyAlignment="0"/>
    <xf numFmtId="43" fontId="129" fillId="0" borderId="0" applyAlignment="0"/>
    <xf numFmtId="181" fontId="129" fillId="0" borderId="0" applyAlignment="0"/>
    <xf numFmtId="43" fontId="129" fillId="0" borderId="0" applyAlignment="0"/>
    <xf numFmtId="0" fontId="2" fillId="0" borderId="0"/>
    <xf numFmtId="0" fontId="0" fillId="0" borderId="0"/>
    <xf numFmtId="0" fontId="2" fillId="0" borderId="0"/>
    <xf numFmtId="0" fontId="2" fillId="0" borderId="0"/>
    <xf numFmtId="0" fontId="105" fillId="0" borderId="0"/>
    <xf numFmtId="0" fontId="103" fillId="0" borderId="0"/>
    <xf numFmtId="0" fontId="0" fillId="0" borderId="0"/>
    <xf numFmtId="0" fontId="103" fillId="0" borderId="0"/>
    <xf numFmtId="0" fontId="0" fillId="0" borderId="0"/>
    <xf numFmtId="0" fontId="0" fillId="0" borderId="0"/>
    <xf numFmtId="0" fontId="103" fillId="0" borderId="0"/>
    <xf numFmtId="0" fontId="0" fillId="0" borderId="0"/>
    <xf numFmtId="0" fontId="0" fillId="0" borderId="0"/>
    <xf numFmtId="0" fontId="0" fillId="0" borderId="0"/>
    <xf numFmtId="0" fontId="0" fillId="0" borderId="0"/>
    <xf numFmtId="0" fontId="103" fillId="0" borderId="0"/>
    <xf numFmtId="0" fontId="0" fillId="0" borderId="0"/>
    <xf numFmtId="0" fontId="107" fillId="0" borderId="0"/>
    <xf numFmtId="0" fontId="97" fillId="0" borderId="0">
      <alignment vertical="center"/>
    </xf>
    <xf numFmtId="0" fontId="107" fillId="0" borderId="0"/>
    <xf numFmtId="0" fontId="107" fillId="0" borderId="0"/>
    <xf numFmtId="0" fontId="128" fillId="0" borderId="0"/>
    <xf numFmtId="0" fontId="0" fillId="0" borderId="0">
      <alignment vertical="center"/>
    </xf>
    <xf numFmtId="0" fontId="97" fillId="0" borderId="0">
      <alignment vertical="center"/>
    </xf>
    <xf numFmtId="0" fontId="0" fillId="0" borderId="0">
      <alignment vertical="center"/>
    </xf>
    <xf numFmtId="0" fontId="0" fillId="0" borderId="0">
      <alignment vertical="center"/>
    </xf>
    <xf numFmtId="0" fontId="128" fillId="0" borderId="0"/>
    <xf numFmtId="0" fontId="0" fillId="0" borderId="0">
      <alignment vertical="center"/>
    </xf>
    <xf numFmtId="0" fontId="139" fillId="0" borderId="0"/>
    <xf numFmtId="0" fontId="140" fillId="0" borderId="0"/>
    <xf numFmtId="10" fontId="3" fillId="0" borderId="0" applyFont="0" applyFill="0" applyBorder="0" applyAlignment="0" applyProtection="0"/>
    <xf numFmtId="9" fontId="0" fillId="0" borderId="0" applyFont="0" applyFill="0" applyBorder="0" applyAlignment="0" applyProtection="0"/>
    <xf numFmtId="178" fontId="0" fillId="0" borderId="0" applyFont="0" applyFill="0" applyBorder="0" applyAlignment="0" applyProtection="0"/>
    <xf numFmtId="9" fontId="0" fillId="0" borderId="0" applyAlignment="0"/>
    <xf numFmtId="9" fontId="0" fillId="0" borderId="0" applyAlignment="0"/>
    <xf numFmtId="178" fontId="0" fillId="0" borderId="0" applyFont="0" applyFill="0" applyBorder="0" applyAlignment="0" applyProtection="0"/>
    <xf numFmtId="178" fontId="0" fillId="0" borderId="0" applyFont="0" applyFill="0" applyBorder="0" applyAlignment="0" applyProtection="0"/>
    <xf numFmtId="9" fontId="0" fillId="0" borderId="0" applyFont="0" applyFill="0" applyBorder="0" applyAlignment="0" applyProtection="0"/>
    <xf numFmtId="178" fontId="0" fillId="0" borderId="0" applyFont="0" applyFill="0" applyBorder="0" applyAlignment="0" applyProtection="0"/>
    <xf numFmtId="9" fontId="0" fillId="0" borderId="0" applyFont="0" applyFill="0" applyBorder="0" applyAlignment="0" applyProtection="0"/>
    <xf numFmtId="178" fontId="97" fillId="0" borderId="0" applyFont="0" applyFill="0" applyBorder="0" applyAlignment="0" applyProtection="0"/>
    <xf numFmtId="178" fontId="0" fillId="0" borderId="0" applyFont="0" applyFill="0" applyBorder="0" applyAlignment="0" applyProtection="0"/>
    <xf numFmtId="9" fontId="3" fillId="0" borderId="0" applyFont="0" applyFill="0" applyBorder="0" applyAlignment="0" applyProtection="0"/>
    <xf numFmtId="178" fontId="0" fillId="0" borderId="0" applyFont="0" applyFill="0" applyBorder="0" applyAlignment="0" applyProtection="0"/>
    <xf numFmtId="178" fontId="0" fillId="0" borderId="0" applyFont="0" applyFill="0" applyBorder="0" applyAlignment="0" applyProtection="0"/>
    <xf numFmtId="178" fontId="0" fillId="0" borderId="0" applyFont="0" applyFill="0" applyBorder="0" applyAlignment="0" applyProtection="0"/>
    <xf numFmtId="178" fontId="0" fillId="0" borderId="0" applyFont="0" applyFill="0" applyBorder="0" applyAlignment="0" applyProtection="0"/>
    <xf numFmtId="9" fontId="90" fillId="0" borderId="0" applyFont="0" applyFill="0" applyBorder="0" applyAlignment="0" applyProtection="0"/>
    <xf numFmtId="9" fontId="3" fillId="0" borderId="0" applyFont="0" applyFill="0" applyBorder="0" applyAlignment="0" applyProtection="0"/>
    <xf numFmtId="9" fontId="97" fillId="0" borderId="0" applyFont="0" applyFill="0" applyBorder="0" applyAlignment="0" applyProtection="0"/>
    <xf numFmtId="9" fontId="0" fillId="0" borderId="0" applyFont="0" applyFill="0" applyBorder="0" applyProtection="0"/>
    <xf numFmtId="9" fontId="0" fillId="0" borderId="0" applyFont="0" applyFill="0" applyBorder="0" applyProtection="0"/>
    <xf numFmtId="9" fontId="0" fillId="0" borderId="0" applyFont="0" applyFill="0" applyBorder="0" applyProtection="0"/>
    <xf numFmtId="178" fontId="97" fillId="0" borderId="0" applyFont="0" applyFill="0" applyBorder="0" applyAlignment="0" applyProtection="0"/>
    <xf numFmtId="9" fontId="0" fillId="0" borderId="0" applyFont="0" applyFill="0" applyBorder="0" applyProtection="0"/>
    <xf numFmtId="178" fontId="0" fillId="0" borderId="0" applyFont="0" applyFill="0" applyBorder="0" applyAlignment="0" applyProtection="0"/>
    <xf numFmtId="178" fontId="0" fillId="0" borderId="0" applyFont="0" applyFill="0" applyBorder="0" applyAlignment="0" applyProtection="0"/>
    <xf numFmtId="178" fontId="0" fillId="0" borderId="0" applyFont="0" applyFill="0" applyBorder="0" applyAlignment="0" applyProtection="0"/>
    <xf numFmtId="178"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97" fillId="0" borderId="0" applyFont="0" applyFill="0" applyBorder="0" applyAlignment="0" applyProtection="0"/>
    <xf numFmtId="9" fontId="0" fillId="0" borderId="0" applyFont="0" applyFill="0" applyBorder="0" applyAlignment="0" applyProtection="0"/>
    <xf numFmtId="9" fontId="105" fillId="0" borderId="0" applyAlignment="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97" fillId="0" borderId="0" applyFont="0" applyFill="0" applyBorder="0" applyAlignment="0" applyProtection="0"/>
    <xf numFmtId="9" fontId="0" fillId="0" borderId="0" applyFont="0" applyFill="0" applyBorder="0" applyAlignment="0" applyProtection="0"/>
    <xf numFmtId="9" fontId="2" fillId="0" borderId="0" applyFont="0" applyFill="0" applyBorder="0" applyAlignment="0" applyProtection="0"/>
    <xf numFmtId="9" fontId="97" fillId="0" borderId="0" applyFont="0" applyFill="0" applyBorder="0" applyAlignment="0" applyProtection="0"/>
    <xf numFmtId="9" fontId="2"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3" fillId="0" borderId="0" applyFont="0" applyFill="0" applyBorder="0" applyAlignment="0" applyProtection="0"/>
    <xf numFmtId="9" fontId="0" fillId="0" borderId="0" applyFont="0" applyFill="0" applyBorder="0" applyAlignment="0" applyProtection="0"/>
    <xf numFmtId="9" fontId="0" fillId="0" borderId="0" applyFont="0" applyFill="0" applyBorder="0" applyProtection="0"/>
    <xf numFmtId="9" fontId="0" fillId="0" borderId="0" applyFont="0" applyFill="0" applyBorder="0" applyProtection="0"/>
    <xf numFmtId="9" fontId="0" fillId="0" borderId="0" applyFont="0" applyFill="0" applyBorder="0" applyAlignment="0" applyProtection="0"/>
    <xf numFmtId="9" fontId="0" fillId="0" borderId="0" applyFont="0" applyFill="0" applyBorder="0" applyProtection="0"/>
    <xf numFmtId="178" fontId="0" fillId="0" borderId="0" applyFont="0" applyFill="0" applyBorder="0" applyAlignment="0" applyProtection="0"/>
    <xf numFmtId="9" fontId="0" fillId="0" borderId="0" applyFont="0" applyFill="0" applyBorder="0" applyProtection="0"/>
    <xf numFmtId="178" fontId="0" fillId="0" borderId="0" applyFont="0" applyFill="0" applyBorder="0" applyAlignment="0" applyProtection="0"/>
    <xf numFmtId="9" fontId="97" fillId="0" borderId="0" applyFont="0" applyFill="0" applyBorder="0" applyProtection="0"/>
    <xf numFmtId="9" fontId="0" fillId="0" borderId="0" applyFont="0" applyFill="0" applyBorder="0" applyProtection="0"/>
    <xf numFmtId="9" fontId="0" fillId="0" borderId="0" applyFont="0" applyFill="0" applyBorder="0" applyProtection="0"/>
    <xf numFmtId="9" fontId="97" fillId="0" borderId="0" applyFont="0" applyFill="0" applyBorder="0" applyProtection="0"/>
    <xf numFmtId="9" fontId="0" fillId="0" borderId="0" applyFont="0" applyFill="0" applyBorder="0" applyProtection="0"/>
    <xf numFmtId="9" fontId="0" fillId="0" borderId="0" applyFont="0" applyFill="0" applyBorder="0" applyProtection="0"/>
    <xf numFmtId="9" fontId="97" fillId="0" borderId="0" applyFont="0" applyFill="0" applyBorder="0" applyProtection="0"/>
    <xf numFmtId="9" fontId="0" fillId="0" borderId="0" applyFont="0" applyFill="0" applyBorder="0" applyProtection="0"/>
    <xf numFmtId="9" fontId="0" fillId="0" borderId="0" applyFont="0" applyFill="0" applyBorder="0" applyProtection="0"/>
    <xf numFmtId="9" fontId="97" fillId="0" borderId="0" applyFont="0" applyFill="0" applyBorder="0" applyProtection="0"/>
    <xf numFmtId="9" fontId="0" fillId="0" borderId="0" applyFont="0" applyFill="0" applyBorder="0" applyProtection="0"/>
    <xf numFmtId="0" fontId="111" fillId="56" borderId="9"/>
    <xf numFmtId="0" fontId="111" fillId="56" borderId="9"/>
    <xf numFmtId="0" fontId="111" fillId="56" borderId="9"/>
    <xf numFmtId="0" fontId="111" fillId="56" borderId="9"/>
    <xf numFmtId="0" fontId="111" fillId="56" borderId="9"/>
    <xf numFmtId="0" fontId="111" fillId="56" borderId="9"/>
    <xf numFmtId="0" fontId="111" fillId="56" borderId="9"/>
    <xf numFmtId="0" fontId="111" fillId="56" borderId="9"/>
    <xf numFmtId="0" fontId="111" fillId="56" borderId="9"/>
    <xf numFmtId="0" fontId="111" fillId="56" borderId="9"/>
    <xf numFmtId="0" fontId="111" fillId="56" borderId="9"/>
    <xf numFmtId="0" fontId="111" fillId="56" borderId="9"/>
    <xf numFmtId="0" fontId="111" fillId="56" borderId="9"/>
    <xf numFmtId="0" fontId="111" fillId="56" borderId="9"/>
    <xf numFmtId="0" fontId="111" fillId="56" borderId="9"/>
    <xf numFmtId="0" fontId="111" fillId="56" borderId="9"/>
    <xf numFmtId="0" fontId="111" fillId="56" borderId="9"/>
    <xf numFmtId="0" fontId="111" fillId="56" borderId="9"/>
    <xf numFmtId="0" fontId="111" fillId="56" borderId="9"/>
    <xf numFmtId="0" fontId="111" fillId="56" borderId="9"/>
    <xf numFmtId="0" fontId="111" fillId="56" borderId="9"/>
    <xf numFmtId="0" fontId="111" fillId="56" borderId="9"/>
    <xf numFmtId="0" fontId="111" fillId="56" borderId="9"/>
    <xf numFmtId="0" fontId="111" fillId="56" borderId="9"/>
    <xf numFmtId="0" fontId="111" fillId="56" borderId="9"/>
    <xf numFmtId="0" fontId="111" fillId="56" borderId="9"/>
    <xf numFmtId="0" fontId="111" fillId="56" borderId="9"/>
    <xf numFmtId="0" fontId="111" fillId="56" borderId="9"/>
    <xf numFmtId="0" fontId="111" fillId="56" borderId="9"/>
    <xf numFmtId="0" fontId="111" fillId="56" borderId="9"/>
    <xf numFmtId="0" fontId="111" fillId="56" borderId="9"/>
    <xf numFmtId="0" fontId="111" fillId="56" borderId="9"/>
    <xf numFmtId="4" fontId="110" fillId="0" borderId="0">
      <alignment horizontal="right"/>
    </xf>
    <xf numFmtId="4" fontId="141" fillId="0" borderId="0">
      <alignment horizontal="right"/>
    </xf>
    <xf numFmtId="183" fontId="108" fillId="0" borderId="0" applyFont="0" applyFill="0" applyBorder="0" applyAlignment="0" applyProtection="0"/>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23"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142" fillId="26" borderId="56" applyNumberFormat="0" applyProtection="0">
      <alignment vertical="center"/>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center"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26" borderId="56" applyNumberFormat="0" applyProtection="0">
      <alignment horizontal="left" vertical="top" indent="1"/>
    </xf>
    <xf numFmtId="0" fontId="23" fillId="75" borderId="0" applyNumberFormat="0" applyProtection="0">
      <alignment horizontal="left" vertical="center" indent="1"/>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76"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3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7"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78"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65"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79"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0"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1"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2" fillId="82" borderId="56" applyNumberFormat="0" applyProtection="0">
      <alignment horizontal="right" vertical="center"/>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3" fillId="83" borderId="57" applyNumberFormat="0" applyProtection="0">
      <alignment horizontal="left" vertical="center" indent="1"/>
    </xf>
    <xf numFmtId="0" fontId="22" fillId="84" borderId="0" applyNumberFormat="0" applyProtection="0">
      <alignment horizontal="left" vertical="center" indent="1"/>
    </xf>
    <xf numFmtId="0" fontId="143" fillId="50" borderId="0" applyNumberFormat="0" applyProtection="0">
      <alignment horizontal="left" vertical="center" indent="1"/>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75" borderId="56" applyNumberFormat="0" applyProtection="0">
      <alignment horizontal="right" vertical="center"/>
    </xf>
    <xf numFmtId="0" fontId="22" fillId="84" borderId="0" applyNumberFormat="0" applyProtection="0">
      <alignment horizontal="left" vertical="center" indent="1"/>
    </xf>
    <xf numFmtId="0" fontId="22" fillId="75" borderId="0"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center"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50" borderId="56" applyNumberFormat="0" applyProtection="0">
      <alignment horizontal="left" vertical="top"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center"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75" borderId="56" applyNumberFormat="0" applyProtection="0">
      <alignment horizontal="left" vertical="top"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center"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52" borderId="56" applyNumberFormat="0" applyProtection="0">
      <alignment horizontal="left" vertical="top"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center"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3" fillId="84" borderId="56" applyNumberFormat="0" applyProtection="0">
      <alignment horizontal="left" vertical="top" indent="1"/>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22"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144" fillId="55" borderId="56" applyNumberFormat="0" applyProtection="0">
      <alignment vertical="center"/>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center"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55" borderId="56" applyNumberFormat="0" applyProtection="0">
      <alignment horizontal="left" vertical="top" indent="1"/>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22"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144" fillId="84" borderId="56" applyNumberFormat="0" applyProtection="0">
      <alignment horizontal="right" vertical="center"/>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center"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22" fillId="75" borderId="56" applyNumberFormat="0" applyProtection="0">
      <alignment horizontal="left" vertical="top" indent="1"/>
    </xf>
    <xf numFmtId="0" fontId="145" fillId="85" borderId="0" applyNumberFormat="0" applyProtection="0">
      <alignment horizontal="left" vertical="center" indent="1"/>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6" fillId="84" borderId="56" applyNumberFormat="0" applyProtection="0">
      <alignment horizontal="right" vertical="center"/>
    </xf>
    <xf numFmtId="0" fontId="147" fillId="0" borderId="0">
      <alignment horizontal="left"/>
    </xf>
    <xf numFmtId="181" fontId="111" fillId="0" borderId="58"/>
    <xf numFmtId="43" fontId="111" fillId="0" borderId="58"/>
    <xf numFmtId="43" fontId="111" fillId="0" borderId="58"/>
    <xf numFmtId="43" fontId="111" fillId="0" borderId="58"/>
    <xf numFmtId="43" fontId="111" fillId="0" borderId="58"/>
    <xf numFmtId="43" fontId="111" fillId="0" borderId="58"/>
    <xf numFmtId="43" fontId="111" fillId="0" borderId="58"/>
    <xf numFmtId="43" fontId="111" fillId="0" borderId="58"/>
    <xf numFmtId="43" fontId="111" fillId="0" borderId="58"/>
    <xf numFmtId="43" fontId="111" fillId="0" borderId="58"/>
    <xf numFmtId="43" fontId="111" fillId="0" borderId="58"/>
    <xf numFmtId="43" fontId="111" fillId="0" borderId="58"/>
    <xf numFmtId="43" fontId="111" fillId="0" borderId="58"/>
    <xf numFmtId="43" fontId="111" fillId="0" borderId="58"/>
    <xf numFmtId="43" fontId="111" fillId="0" borderId="58"/>
    <xf numFmtId="43" fontId="111" fillId="0" borderId="58"/>
    <xf numFmtId="43" fontId="111" fillId="0" borderId="58"/>
    <xf numFmtId="0" fontId="22" fillId="0" borderId="0">
      <alignment vertical="top"/>
    </xf>
    <xf numFmtId="0" fontId="122" fillId="0" borderId="0"/>
    <xf numFmtId="0" fontId="148" fillId="0" borderId="0">
      <alignment horizontal="center"/>
    </xf>
    <xf numFmtId="196" fontId="3" fillId="0" borderId="0" applyFont="0" applyFill="0" applyBorder="0" applyAlignment="0" applyProtection="0"/>
    <xf numFmtId="197" fontId="3" fillId="0" borderId="0" applyFont="0" applyFill="0" applyBorder="0" applyAlignment="0" applyProtection="0"/>
    <xf numFmtId="198" fontId="90" fillId="0" borderId="0" applyFont="0" applyFill="0" applyBorder="0" applyAlignment="0" applyProtection="0"/>
    <xf numFmtId="199" fontId="90" fillId="0" borderId="0" applyFont="0" applyFill="0" applyBorder="0" applyAlignment="0" applyProtection="0"/>
    <xf numFmtId="9" fontId="149" fillId="0" borderId="0" applyFont="0" applyFill="0" applyBorder="0" applyAlignment="0" applyProtection="0"/>
    <xf numFmtId="0" fontId="106" fillId="0" borderId="0"/>
    <xf numFmtId="0" fontId="150" fillId="0" borderId="0"/>
    <xf numFmtId="200" fontId="106" fillId="0" borderId="0" applyFont="0" applyFill="0" applyBorder="0" applyAlignment="0" applyProtection="0"/>
    <xf numFmtId="184" fontId="106" fillId="0" borderId="0" applyFont="0" applyFill="0" applyBorder="0" applyAlignment="0" applyProtection="0"/>
    <xf numFmtId="183" fontId="3" fillId="0" borderId="0" applyFont="0" applyFill="0" applyBorder="0" applyAlignment="0" applyProtection="0"/>
    <xf numFmtId="9" fontId="106" fillId="0" borderId="0" applyFont="0" applyFill="0" applyBorder="0" applyAlignment="0" applyProtection="0"/>
    <xf numFmtId="9" fontId="90" fillId="0" borderId="0" applyFont="0" applyFill="0" applyBorder="0" applyAlignment="0" applyProtection="0"/>
    <xf numFmtId="9" fontId="129" fillId="0" borderId="0" applyAlignment="0"/>
    <xf numFmtId="9" fontId="129" fillId="0" borderId="0" applyAlignment="0"/>
    <xf numFmtId="9" fontId="90" fillId="0" borderId="0" applyFont="0" applyFill="0" applyBorder="0" applyAlignment="0" applyProtection="0"/>
    <xf numFmtId="9" fontId="3" fillId="0" borderId="0" applyFont="0" applyFill="0" applyBorder="0" applyAlignment="0" applyProtection="0"/>
    <xf numFmtId="9" fontId="90" fillId="0" borderId="0" applyFont="0" applyFill="0" applyBorder="0" applyAlignment="0" applyProtection="0"/>
    <xf numFmtId="9" fontId="0" fillId="0" borderId="0" applyFont="0" applyFill="0" applyBorder="0" applyAlignment="0" applyProtection="0"/>
    <xf numFmtId="9" fontId="103" fillId="0" borderId="0" applyFont="0" applyFill="0" applyBorder="0" applyProtection="0"/>
    <xf numFmtId="9" fontId="0" fillId="0" borderId="0" applyFont="0" applyFill="0" applyBorder="0" applyAlignment="0" applyProtection="0"/>
    <xf numFmtId="9" fontId="0" fillId="0" borderId="0" applyFont="0" applyFill="0" applyBorder="0" applyAlignment="0" applyProtection="0"/>
    <xf numFmtId="9" fontId="103" fillId="0" borderId="0" applyFont="0" applyFill="0" applyBorder="0" applyProtection="0"/>
    <xf numFmtId="9" fontId="0" fillId="0" borderId="0" applyFont="0" applyFill="0" applyBorder="0" applyAlignment="0" applyProtection="0"/>
    <xf numFmtId="9" fontId="103" fillId="0" borderId="0" applyFont="0" applyFill="0" applyBorder="0" applyProtection="0"/>
    <xf numFmtId="9" fontId="90" fillId="0" borderId="0" applyFont="0" applyFill="0" applyBorder="0" applyAlignment="0" applyProtection="0"/>
    <xf numFmtId="9" fontId="103" fillId="0" borderId="0" applyFont="0" applyFill="0" applyBorder="0" applyProtection="0"/>
    <xf numFmtId="9" fontId="103" fillId="0" borderId="0" applyFont="0" applyFill="0" applyBorder="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97" fillId="0" borderId="0" applyFont="0" applyFill="0" applyBorder="0" applyAlignment="0" applyProtection="0"/>
    <xf numFmtId="9" fontId="0" fillId="0" borderId="0" applyFont="0" applyFill="0" applyBorder="0" applyAlignment="0" applyProtection="0"/>
    <xf numFmtId="9" fontId="97" fillId="0" borderId="0" applyFont="0" applyFill="0" applyBorder="0" applyAlignment="0" applyProtection="0"/>
    <xf numFmtId="9" fontId="97" fillId="0" borderId="0" applyFont="0" applyFill="0" applyBorder="0" applyProtection="0"/>
    <xf numFmtId="9" fontId="103" fillId="0" borderId="0" applyFont="0" applyFill="0" applyBorder="0" applyProtection="0"/>
    <xf numFmtId="9" fontId="97"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103" fillId="0" borderId="0" applyFont="0" applyFill="0" applyBorder="0" applyProtection="0"/>
    <xf numFmtId="9" fontId="97" fillId="0" borderId="0" applyFont="0" applyFill="0" applyBorder="0" applyAlignment="0" applyProtection="0"/>
    <xf numFmtId="9" fontId="0" fillId="0" borderId="0" applyFont="0" applyFill="0" applyBorder="0" applyAlignment="0" applyProtection="0"/>
    <xf numFmtId="0" fontId="151" fillId="0" borderId="0" applyFont="0" applyFill="0" applyBorder="0" applyAlignment="0" applyProtection="0"/>
    <xf numFmtId="0" fontId="151" fillId="0" borderId="0" applyFont="0" applyFill="0" applyBorder="0" applyAlignment="0" applyProtection="0"/>
    <xf numFmtId="0" fontId="152" fillId="0" borderId="0" applyNumberFormat="0" applyFill="0" applyBorder="0" applyProtection="0"/>
    <xf numFmtId="4" fontId="153" fillId="0" borderId="0">
      <alignment horizontal="right"/>
    </xf>
    <xf numFmtId="0" fontId="154" fillId="0" borderId="0" applyNumberFormat="0" applyFill="0" applyBorder="0" applyAlignment="0" applyProtection="0"/>
    <xf numFmtId="0" fontId="155" fillId="78" borderId="0" applyNumberFormat="0" applyBorder="0" applyProtection="0"/>
    <xf numFmtId="0" fontId="156" fillId="76" borderId="0" applyNumberFormat="0" applyBorder="0" applyProtection="0"/>
    <xf numFmtId="0" fontId="156" fillId="76" borderId="0" applyNumberFormat="0" applyBorder="0" applyProtection="0"/>
    <xf numFmtId="0" fontId="157" fillId="76" borderId="0" applyNumberFormat="0" applyBorder="0" applyAlignment="0" applyProtection="0"/>
    <xf numFmtId="0" fontId="156" fillId="76" borderId="0" applyNumberFormat="0" applyBorder="0" applyProtection="0"/>
    <xf numFmtId="0" fontId="156" fillId="76" borderId="0" applyNumberFormat="0" applyBorder="0" applyProtection="0"/>
    <xf numFmtId="0" fontId="156" fillId="76" borderId="0" applyNumberFormat="0" applyBorder="0" applyProtection="0"/>
    <xf numFmtId="0" fontId="156" fillId="76" borderId="0" applyNumberFormat="0" applyBorder="0" applyProtection="0"/>
    <xf numFmtId="0" fontId="156" fillId="76" borderId="0" applyNumberFormat="0" applyBorder="0" applyProtection="0"/>
    <xf numFmtId="0" fontId="156" fillId="76" borderId="0" applyNumberFormat="0" applyBorder="0" applyProtection="0"/>
    <xf numFmtId="0" fontId="156" fillId="76" borderId="0" applyNumberFormat="0" applyBorder="0" applyProtection="0"/>
    <xf numFmtId="0" fontId="155" fillId="78" borderId="0" applyNumberFormat="0" applyBorder="0" applyProtection="0"/>
    <xf numFmtId="0" fontId="155" fillId="78" borderId="0" applyNumberFormat="0" applyBorder="0" applyProtection="0"/>
    <xf numFmtId="0" fontId="86" fillId="70" borderId="0" applyNumberFormat="0" applyBorder="0" applyProtection="0"/>
    <xf numFmtId="0" fontId="156" fillId="76" borderId="0" applyNumberFormat="0" applyBorder="0" applyProtection="0"/>
    <xf numFmtId="0" fontId="155" fillId="78" borderId="0" applyNumberFormat="0" applyBorder="0" applyProtection="0"/>
    <xf numFmtId="0" fontId="155" fillId="78" borderId="0" applyNumberFormat="0" applyBorder="0" applyProtection="0"/>
    <xf numFmtId="0" fontId="86" fillId="70" borderId="0" applyNumberFormat="0" applyBorder="0" applyProtection="0"/>
    <xf numFmtId="0" fontId="155" fillId="78" borderId="0" applyNumberFormat="0" applyBorder="0" applyProtection="0"/>
    <xf numFmtId="0" fontId="155" fillId="78" borderId="0" applyNumberFormat="0" applyBorder="0" applyProtection="0"/>
    <xf numFmtId="0" fontId="155" fillId="78" borderId="0" applyNumberFormat="0" applyBorder="0" applyProtection="0"/>
    <xf numFmtId="0" fontId="156" fillId="76" borderId="0" applyNumberFormat="0" applyBorder="0" applyProtection="0"/>
    <xf numFmtId="0" fontId="155" fillId="78" borderId="0" applyNumberFormat="0" applyBorder="0" applyProtection="0"/>
    <xf numFmtId="0" fontId="155" fillId="78" borderId="0" applyNumberFormat="0" applyBorder="0" applyProtection="0"/>
    <xf numFmtId="0" fontId="155" fillId="78" borderId="0" applyNumberFormat="0" applyBorder="0" applyProtection="0"/>
    <xf numFmtId="0" fontId="155" fillId="78" borderId="0" applyNumberFormat="0" applyBorder="0" applyProtection="0"/>
    <xf numFmtId="0" fontId="0" fillId="0" borderId="0"/>
    <xf numFmtId="0" fontId="0" fillId="0" borderId="0"/>
    <xf numFmtId="0" fontId="0" fillId="0" borderId="0"/>
    <xf numFmtId="0" fontId="0" fillId="0" borderId="0"/>
    <xf numFmtId="0" fontId="0" fillId="0" borderId="0"/>
    <xf numFmtId="0" fontId="97" fillId="0" borderId="0"/>
    <xf numFmtId="0" fontId="0" fillId="0" borderId="0"/>
    <xf numFmtId="0" fontId="97" fillId="0" borderId="0">
      <alignment vertical="center"/>
    </xf>
    <xf numFmtId="0" fontId="0" fillId="0" borderId="0"/>
    <xf numFmtId="0" fontId="0" fillId="0" borderId="0"/>
    <xf numFmtId="0" fontId="0" fillId="0" borderId="0"/>
    <xf numFmtId="0" fontId="103" fillId="0" borderId="0"/>
    <xf numFmtId="0" fontId="97" fillId="0" borderId="0"/>
    <xf numFmtId="0" fontId="97" fillId="0" borderId="0"/>
    <xf numFmtId="0" fontId="97" fillId="0" borderId="0"/>
    <xf numFmtId="0" fontId="97" fillId="0" borderId="0"/>
    <xf numFmtId="0" fontId="0" fillId="0" borderId="0"/>
    <xf numFmtId="0" fontId="90" fillId="0" borderId="0"/>
    <xf numFmtId="201" fontId="158" fillId="0" borderId="0"/>
    <xf numFmtId="0" fontId="90" fillId="0" borderId="0"/>
    <xf numFmtId="0" fontId="103" fillId="0" borderId="0"/>
    <xf numFmtId="0" fontId="0" fillId="0" borderId="0"/>
    <xf numFmtId="0" fontId="0" fillId="0" borderId="0"/>
    <xf numFmtId="0" fontId="0" fillId="0" borderId="0"/>
    <xf numFmtId="0" fontId="0" fillId="0" borderId="0"/>
    <xf numFmtId="0" fontId="0" fillId="0" borderId="0"/>
    <xf numFmtId="0" fontId="129" fillId="0" borderId="0">
      <protection locked="0"/>
    </xf>
    <xf numFmtId="0" fontId="0" fillId="0" borderId="0"/>
    <xf numFmtId="0" fontId="129" fillId="0" borderId="0">
      <protection locked="0"/>
    </xf>
    <xf numFmtId="0" fontId="129" fillId="0" borderId="0">
      <protection locked="0"/>
    </xf>
    <xf numFmtId="0" fontId="103" fillId="0" borderId="0"/>
    <xf numFmtId="0" fontId="90" fillId="0" borderId="0"/>
    <xf numFmtId="0" fontId="3" fillId="0" borderId="0">
      <protection locked="0"/>
    </xf>
    <xf numFmtId="0" fontId="0" fillId="0" borderId="0"/>
    <xf numFmtId="0" fontId="0" fillId="0" borderId="0"/>
    <xf numFmtId="0" fontId="0" fillId="0" borderId="0"/>
    <xf numFmtId="0" fontId="90" fillId="0" borderId="0"/>
    <xf numFmtId="0" fontId="0" fillId="0" borderId="0"/>
    <xf numFmtId="0" fontId="90" fillId="0" borderId="0"/>
    <xf numFmtId="0" fontId="90" fillId="0" borderId="0"/>
    <xf numFmtId="0" fontId="3" fillId="0" borderId="0">
      <protection locked="0"/>
    </xf>
    <xf numFmtId="0" fontId="0" fillId="0" borderId="0">
      <alignment vertical="center"/>
    </xf>
    <xf numFmtId="0" fontId="0" fillId="0" borderId="0">
      <alignment vertical="center"/>
    </xf>
    <xf numFmtId="0" fontId="0" fillId="0" borderId="0">
      <alignment vertical="center"/>
    </xf>
    <xf numFmtId="0" fontId="103"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103" fillId="0" borderId="0"/>
    <xf numFmtId="0" fontId="129" fillId="0" borderId="0">
      <protection locked="0"/>
    </xf>
    <xf numFmtId="0" fontId="90" fillId="0" borderId="0">
      <alignment vertical="top"/>
    </xf>
    <xf numFmtId="0" fontId="129" fillId="0" borderId="0">
      <protection locked="0"/>
    </xf>
    <xf numFmtId="176" fontId="3" fillId="0" borderId="0"/>
    <xf numFmtId="0" fontId="159" fillId="0" borderId="0">
      <alignment vertical="center"/>
    </xf>
    <xf numFmtId="0" fontId="159" fillId="0" borderId="0">
      <alignment vertical="center"/>
    </xf>
    <xf numFmtId="201" fontId="103" fillId="0" borderId="0"/>
    <xf numFmtId="0" fontId="159" fillId="0" borderId="0">
      <alignment vertical="center"/>
    </xf>
    <xf numFmtId="0" fontId="159" fillId="0" borderId="0">
      <alignment vertical="center"/>
    </xf>
    <xf numFmtId="0" fontId="90" fillId="0" borderId="0"/>
    <xf numFmtId="0" fontId="137" fillId="0" borderId="0"/>
    <xf numFmtId="0" fontId="137" fillId="0" borderId="0"/>
    <xf numFmtId="0" fontId="90" fillId="0" borderId="0"/>
    <xf numFmtId="201" fontId="103" fillId="0" borderId="0"/>
    <xf numFmtId="201" fontId="103" fillId="0" borderId="0"/>
    <xf numFmtId="0" fontId="104" fillId="0" borderId="0"/>
    <xf numFmtId="0" fontId="90" fillId="0" borderId="0"/>
    <xf numFmtId="0" fontId="0" fillId="0" borderId="0">
      <alignment vertical="center"/>
      <protection locked="0"/>
    </xf>
    <xf numFmtId="0" fontId="103" fillId="0" borderId="0"/>
    <xf numFmtId="0" fontId="0" fillId="0" borderId="0"/>
    <xf numFmtId="0" fontId="0" fillId="0" borderId="0"/>
    <xf numFmtId="0" fontId="0" fillId="0" borderId="0"/>
    <xf numFmtId="0" fontId="0" fillId="0" borderId="0"/>
    <xf numFmtId="0" fontId="103" fillId="0" borderId="0"/>
    <xf numFmtId="0" fontId="0" fillId="0" borderId="0"/>
    <xf numFmtId="0" fontId="97" fillId="0" borderId="0">
      <alignment vertical="center"/>
      <protection locked="0"/>
    </xf>
    <xf numFmtId="0" fontId="0" fillId="0" borderId="0"/>
    <xf numFmtId="0" fontId="0" fillId="0" borderId="0"/>
    <xf numFmtId="0" fontId="103" fillId="0" borderId="0"/>
    <xf numFmtId="0" fontId="0" fillId="0" borderId="0"/>
    <xf numFmtId="0" fontId="103" fillId="0" borderId="0"/>
    <xf numFmtId="0" fontId="103" fillId="0" borderId="0"/>
    <xf numFmtId="0" fontId="103" fillId="0" borderId="0"/>
    <xf numFmtId="0" fontId="105" fillId="0" borderId="0"/>
    <xf numFmtId="0" fontId="0" fillId="0" borderId="0"/>
    <xf numFmtId="0" fontId="137" fillId="0" borderId="0"/>
    <xf numFmtId="0" fontId="137" fillId="0" borderId="0"/>
    <xf numFmtId="0" fontId="103" fillId="0" borderId="0"/>
    <xf numFmtId="0" fontId="3" fillId="0" borderId="0">
      <protection locked="0"/>
    </xf>
    <xf numFmtId="0" fontId="0" fillId="0" borderId="0"/>
    <xf numFmtId="0" fontId="0" fillId="0" borderId="0"/>
    <xf numFmtId="0" fontId="103" fillId="0" borderId="0"/>
    <xf numFmtId="0" fontId="0" fillId="0" borderId="0"/>
    <xf numFmtId="0" fontId="0" fillId="0" borderId="0" applyAlignment="0"/>
    <xf numFmtId="0" fontId="0" fillId="0" borderId="0" applyAlignment="0"/>
    <xf numFmtId="0" fontId="0" fillId="0" borderId="0" applyAlignment="0"/>
    <xf numFmtId="0" fontId="3" fillId="0" borderId="0">
      <protection locked="0"/>
    </xf>
    <xf numFmtId="0" fontId="0" fillId="0" borderId="0" applyAlignment="0"/>
    <xf numFmtId="0" fontId="3" fillId="0" borderId="0">
      <protection locked="0"/>
    </xf>
    <xf numFmtId="0" fontId="0" fillId="0" borderId="0">
      <alignment vertical="center"/>
      <protection locked="0"/>
    </xf>
    <xf numFmtId="0" fontId="0" fillId="0" borderId="0">
      <alignment vertical="center"/>
      <protection locked="0"/>
    </xf>
    <xf numFmtId="0" fontId="0" fillId="0" borderId="0">
      <alignment vertical="center"/>
      <protection locked="0"/>
    </xf>
    <xf numFmtId="0" fontId="0" fillId="0" borderId="0">
      <alignment vertical="center"/>
      <protection locked="0"/>
    </xf>
    <xf numFmtId="0" fontId="0" fillId="0" borderId="0">
      <alignment vertical="center"/>
      <protection locked="0"/>
    </xf>
    <xf numFmtId="0" fontId="160" fillId="0" borderId="0"/>
    <xf numFmtId="0" fontId="103" fillId="0" borderId="0"/>
    <xf numFmtId="0" fontId="0" fillId="0" borderId="0"/>
    <xf numFmtId="0" fontId="103" fillId="0" borderId="0"/>
    <xf numFmtId="0" fontId="90" fillId="0" borderId="0"/>
    <xf numFmtId="0" fontId="0" fillId="0" borderId="0"/>
    <xf numFmtId="0" fontId="0" fillId="0" borderId="0"/>
    <xf numFmtId="0" fontId="103" fillId="0" borderId="0"/>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xf numFmtId="0" fontId="97" fillId="0" borderId="0">
      <alignment vertical="center"/>
    </xf>
    <xf numFmtId="0" fontId="0" fillId="0" borderId="0"/>
    <xf numFmtId="0" fontId="103" fillId="0" borderId="0"/>
    <xf numFmtId="0" fontId="97" fillId="0" borderId="0"/>
    <xf numFmtId="0" fontId="90" fillId="0" borderId="0"/>
    <xf numFmtId="0" fontId="0" fillId="0" borderId="0"/>
    <xf numFmtId="0" fontId="0" fillId="0" borderId="0"/>
    <xf numFmtId="0" fontId="0" fillId="0" borderId="0"/>
    <xf numFmtId="0" fontId="90" fillId="0" borderId="0"/>
    <xf numFmtId="0" fontId="0" fillId="0" borderId="0"/>
    <xf numFmtId="0" fontId="103" fillId="0" borderId="0"/>
    <xf numFmtId="0" fontId="90" fillId="0" borderId="0">
      <alignment vertical="center"/>
    </xf>
    <xf numFmtId="0" fontId="0" fillId="0" borderId="0"/>
    <xf numFmtId="0" fontId="0" fillId="0" borderId="0"/>
    <xf numFmtId="0" fontId="103" fillId="0" borderId="0"/>
    <xf numFmtId="0" fontId="0" fillId="0" borderId="0"/>
    <xf numFmtId="0" fontId="0" fillId="0" borderId="0"/>
    <xf numFmtId="0" fontId="0" fillId="0" borderId="0"/>
    <xf numFmtId="0" fontId="103" fillId="0" borderId="0"/>
    <xf numFmtId="0" fontId="0" fillId="0" borderId="0"/>
    <xf numFmtId="0" fontId="97" fillId="0" borderId="0">
      <alignment vertical="center"/>
    </xf>
    <xf numFmtId="0" fontId="103" fillId="0" borderId="0"/>
    <xf numFmtId="0" fontId="0" fillId="0" borderId="0"/>
    <xf numFmtId="0" fontId="0" fillId="0" borderId="0"/>
    <xf numFmtId="0" fontId="0" fillId="0" borderId="0"/>
    <xf numFmtId="0" fontId="103" fillId="0" borderId="0"/>
    <xf numFmtId="0" fontId="0" fillId="0" borderId="0"/>
    <xf numFmtId="0" fontId="103"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97" fillId="0" borderId="0"/>
    <xf numFmtId="0" fontId="0" fillId="0" borderId="0"/>
    <xf numFmtId="0" fontId="103" fillId="0" borderId="0"/>
    <xf numFmtId="0" fontId="90" fillId="0" borderId="0">
      <alignment vertical="center"/>
    </xf>
    <xf numFmtId="0" fontId="161" fillId="0" borderId="0" applyNumberFormat="0" applyFill="0" applyBorder="0">
      <protection locked="0"/>
    </xf>
    <xf numFmtId="0" fontId="69" fillId="0" borderId="0" applyNumberFormat="0" applyFill="0" applyBorder="0" applyAlignment="0" applyProtection="0"/>
    <xf numFmtId="0" fontId="161" fillId="0" borderId="0" applyNumberFormat="0" applyFill="0" applyBorder="0">
      <protection locked="0"/>
    </xf>
    <xf numFmtId="0" fontId="116" fillId="0" borderId="0" applyNumberFormat="0" applyFill="0" applyBorder="0" applyAlignment="0" applyProtection="0"/>
    <xf numFmtId="0" fontId="118" fillId="0" borderId="0" applyNumberFormat="0" applyFill="0" applyBorder="0" applyAlignment="0" applyProtection="0"/>
    <xf numFmtId="0" fontId="116" fillId="0" borderId="0" applyNumberFormat="0" applyFill="0" applyBorder="0" applyAlignment="0" applyProtection="0"/>
    <xf numFmtId="0" fontId="161" fillId="0" borderId="0" applyNumberFormat="0" applyFill="0" applyBorder="0">
      <protection locked="0"/>
    </xf>
    <xf numFmtId="0" fontId="118" fillId="0" borderId="0" applyNumberFormat="0" applyFill="0" applyBorder="0" applyAlignment="0" applyProtection="0"/>
    <xf numFmtId="0" fontId="118" fillId="0" borderId="0" applyNumberFormat="0" applyFill="0" applyBorder="0" applyAlignment="0" applyProtection="0"/>
    <xf numFmtId="0" fontId="116" fillId="0" borderId="0" applyNumberFormat="0" applyFill="0" applyBorder="0" applyProtection="0"/>
    <xf numFmtId="0" fontId="162" fillId="0" borderId="0" applyNumberFormat="0" applyFill="0" applyBorder="0" applyAlignment="0" applyProtection="0"/>
    <xf numFmtId="0" fontId="161" fillId="0" borderId="0" applyNumberFormat="0" applyFill="0" applyBorder="0">
      <protection locked="0"/>
    </xf>
    <xf numFmtId="0" fontId="161" fillId="0" borderId="0" applyNumberFormat="0" applyFill="0" applyBorder="0">
      <protection locked="0"/>
    </xf>
    <xf numFmtId="0" fontId="69" fillId="0" borderId="0" applyNumberFormat="0" applyFill="0" applyBorder="0" applyAlignment="0" applyProtection="0">
      <alignment vertical="center"/>
    </xf>
    <xf numFmtId="0" fontId="120" fillId="0" borderId="0" applyNumberFormat="0" applyFill="0" applyBorder="0">
      <protection locked="0"/>
    </xf>
    <xf numFmtId="0" fontId="69" fillId="0" borderId="0" applyNumberFormat="0" applyFill="0" applyBorder="0" applyAlignment="0" applyProtection="0"/>
    <xf numFmtId="0" fontId="116"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163" fillId="71" borderId="0" applyNumberFormat="0" applyBorder="0" applyProtection="0"/>
    <xf numFmtId="0" fontId="164" fillId="59" borderId="0" applyNumberFormat="0" applyBorder="0" applyProtection="0"/>
    <xf numFmtId="0" fontId="164" fillId="71" borderId="0" applyNumberFormat="0" applyBorder="0" applyProtection="0"/>
    <xf numFmtId="0" fontId="164" fillId="71" borderId="0" applyNumberFormat="0" applyBorder="0" applyProtection="0"/>
    <xf numFmtId="0" fontId="164" fillId="71" borderId="0" applyNumberFormat="0" applyBorder="0" applyProtection="0"/>
    <xf numFmtId="0" fontId="164" fillId="59" borderId="0" applyNumberFormat="0" applyBorder="0" applyProtection="0"/>
    <xf numFmtId="0" fontId="165" fillId="59" borderId="0" applyNumberFormat="0" applyBorder="0" applyAlignment="0" applyProtection="0"/>
    <xf numFmtId="0" fontId="164" fillId="59" borderId="0" applyNumberFormat="0" applyBorder="0" applyProtection="0"/>
    <xf numFmtId="0" fontId="164" fillId="59" borderId="0" applyNumberFormat="0" applyBorder="0" applyProtection="0"/>
    <xf numFmtId="0" fontId="164" fillId="59" borderId="0" applyNumberFormat="0" applyBorder="0" applyProtection="0"/>
    <xf numFmtId="0" fontId="164" fillId="59" borderId="0" applyNumberFormat="0" applyBorder="0" applyProtection="0"/>
    <xf numFmtId="0" fontId="164" fillId="59" borderId="0" applyNumberFormat="0" applyBorder="0" applyProtection="0"/>
    <xf numFmtId="0" fontId="164" fillId="59" borderId="0" applyNumberFormat="0" applyBorder="0" applyProtection="0"/>
    <xf numFmtId="0" fontId="164" fillId="59" borderId="0" applyNumberFormat="0" applyBorder="0" applyProtection="0"/>
    <xf numFmtId="0" fontId="164" fillId="71" borderId="0" applyNumberFormat="0" applyBorder="0" applyProtection="0"/>
    <xf numFmtId="0" fontId="163" fillId="71" borderId="0" applyNumberFormat="0" applyBorder="0" applyProtection="0"/>
    <xf numFmtId="0" fontId="164" fillId="59" borderId="0" applyNumberFormat="0" applyBorder="0" applyProtection="0"/>
    <xf numFmtId="0" fontId="163" fillId="71" borderId="0" applyNumberFormat="0" applyBorder="0" applyProtection="0"/>
    <xf numFmtId="0" fontId="164" fillId="71" borderId="0" applyNumberFormat="0" applyBorder="0" applyProtection="0"/>
    <xf numFmtId="0" fontId="163" fillId="71" borderId="0" applyNumberFormat="0" applyBorder="0" applyProtection="0"/>
    <xf numFmtId="0" fontId="163" fillId="71" borderId="0" applyNumberFormat="0" applyBorder="0" applyProtection="0"/>
    <xf numFmtId="0" fontId="166" fillId="86" borderId="0" applyNumberFormat="0" applyBorder="0" applyProtection="0"/>
    <xf numFmtId="0" fontId="163" fillId="71" borderId="0" applyNumberFormat="0" applyBorder="0" applyProtection="0"/>
    <xf numFmtId="0" fontId="166" fillId="86" borderId="0" applyNumberFormat="0" applyBorder="0" applyProtection="0"/>
    <xf numFmtId="0" fontId="163" fillId="71" borderId="0" applyNumberFormat="0" applyBorder="0" applyProtection="0"/>
    <xf numFmtId="0" fontId="163" fillId="71" borderId="0" applyNumberFormat="0" applyBorder="0" applyProtection="0"/>
    <xf numFmtId="0" fontId="164" fillId="59" borderId="0" applyNumberFormat="0" applyBorder="0" applyProtection="0"/>
    <xf numFmtId="0" fontId="164" fillId="71" borderId="0" applyNumberFormat="0" applyBorder="0" applyProtection="0"/>
    <xf numFmtId="0" fontId="164" fillId="71" borderId="0" applyNumberFormat="0" applyBorder="0" applyProtection="0"/>
    <xf numFmtId="0" fontId="163" fillId="71" borderId="0" applyNumberFormat="0" applyBorder="0" applyProtection="0"/>
    <xf numFmtId="0" fontId="163" fillId="71" borderId="0" applyNumberFormat="0" applyBorder="0" applyProtection="0"/>
    <xf numFmtId="0" fontId="164" fillId="71" borderId="0" applyNumberFormat="0" applyBorder="0" applyProtection="0"/>
    <xf numFmtId="0" fontId="163" fillId="71" borderId="0" applyNumberFormat="0" applyBorder="0" applyProtection="0"/>
    <xf numFmtId="0" fontId="164" fillId="71" borderId="0" applyNumberFormat="0" applyBorder="0" applyProtection="0"/>
    <xf numFmtId="0" fontId="163" fillId="71" borderId="0" applyNumberFormat="0" applyBorder="0" applyProtection="0"/>
    <xf numFmtId="0" fontId="163" fillId="71" borderId="0" applyNumberFormat="0" applyBorder="0" applyProtection="0"/>
    <xf numFmtId="0" fontId="166" fillId="86" borderId="0" applyNumberFormat="0" applyBorder="0" applyProtection="0"/>
    <xf numFmtId="0" fontId="163" fillId="71" borderId="0" applyNumberFormat="0" applyBorder="0" applyProtection="0"/>
    <xf numFmtId="0" fontId="166" fillId="86" borderId="0" applyNumberFormat="0" applyBorder="0" applyProtection="0"/>
    <xf numFmtId="0" fontId="164" fillId="71" borderId="0" applyNumberFormat="0" applyBorder="0" applyProtection="0"/>
    <xf numFmtId="4" fontId="167" fillId="0" borderId="0" applyFont="0" applyFill="0" applyBorder="0" applyAlignment="0" applyProtection="0"/>
    <xf numFmtId="183" fontId="3" fillId="0" borderId="0" applyFont="0" applyFill="0" applyBorder="0" applyAlignment="0" applyProtection="0"/>
    <xf numFmtId="202" fontId="97" fillId="0" borderId="0" applyFont="0" applyFill="0" applyBorder="0" applyProtection="0"/>
    <xf numFmtId="202" fontId="97" fillId="0" borderId="0" applyFont="0" applyFill="0" applyBorder="0" applyProtection="0"/>
    <xf numFmtId="203" fontId="168" fillId="0" borderId="0" applyFont="0" applyFill="0" applyBorder="0" applyAlignment="0" applyProtection="0"/>
    <xf numFmtId="188" fontId="168" fillId="0" borderId="0" applyFont="0" applyFill="0" applyBorder="0" applyAlignment="0" applyProtection="0"/>
    <xf numFmtId="204" fontId="3" fillId="0" borderId="0" applyFont="0" applyFill="0" applyBorder="0" applyAlignment="0" applyProtection="0"/>
    <xf numFmtId="205" fontId="3" fillId="0" borderId="0" applyFont="0" applyFill="0" applyBorder="0" applyAlignment="0" applyProtection="0"/>
    <xf numFmtId="206" fontId="169" fillId="0" borderId="0" applyFont="0" applyFill="0" applyBorder="0" applyAlignment="0" applyProtection="0"/>
    <xf numFmtId="207" fontId="169" fillId="0" borderId="0" applyFont="0" applyFill="0" applyBorder="0" applyAlignment="0" applyProtection="0"/>
    <xf numFmtId="203" fontId="106" fillId="0" borderId="0" applyFont="0" applyFill="0" applyBorder="0" applyAlignment="0" applyProtection="0"/>
    <xf numFmtId="188" fontId="106" fillId="0" borderId="0" applyFont="0" applyFill="0" applyBorder="0" applyAlignment="0" applyProtection="0"/>
    <xf numFmtId="0" fontId="108" fillId="0" borderId="0"/>
    <xf numFmtId="183" fontId="108" fillId="0" borderId="0" applyFont="0" applyFill="0" applyBorder="0" applyAlignment="0" applyProtection="0"/>
    <xf numFmtId="181" fontId="108" fillId="0" borderId="0" applyFont="0" applyFill="0" applyBorder="0" applyAlignment="0" applyProtection="0"/>
    <xf numFmtId="183" fontId="90" fillId="0" borderId="0" applyFont="0" applyFill="0" applyBorder="0" applyAlignment="0" applyProtection="0"/>
    <xf numFmtId="181" fontId="9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103" fillId="0" borderId="0" applyFont="0" applyFill="0" applyBorder="0" applyProtection="0"/>
    <xf numFmtId="43" fontId="103" fillId="0" borderId="0" applyFont="0" applyFill="0" applyBorder="0" applyProtection="0"/>
    <xf numFmtId="43" fontId="97" fillId="0" borderId="0" applyFont="0" applyFill="0" applyBorder="0" applyAlignment="0" applyProtection="0"/>
    <xf numFmtId="43" fontId="97" fillId="0" borderId="0" applyFont="0" applyFill="0" applyBorder="0" applyAlignment="0" applyProtection="0"/>
    <xf numFmtId="43" fontId="0" fillId="0" borderId="0" applyFont="0" applyFill="0" applyBorder="0" applyAlignment="0" applyProtection="0"/>
    <xf numFmtId="181" fontId="104" fillId="0" borderId="0" applyFont="0" applyFill="0" applyBorder="0" applyAlignment="0" applyProtection="0"/>
    <xf numFmtId="181" fontId="90" fillId="0" borderId="0" applyFont="0" applyFill="0" applyBorder="0" applyAlignment="0" applyProtection="0"/>
    <xf numFmtId="0" fontId="0" fillId="0" borderId="0" applyFont="0" applyFill="0" applyBorder="0" applyProtection="0"/>
    <xf numFmtId="181" fontId="129" fillId="0" borderId="0" applyFont="0" applyAlignment="0" applyProtection="0"/>
    <xf numFmtId="181" fontId="0" fillId="0" borderId="0" applyFont="0" applyProtection="0"/>
    <xf numFmtId="43" fontId="0" fillId="0" borderId="0" applyFont="0" applyProtection="0"/>
    <xf numFmtId="43" fontId="0" fillId="0" borderId="0" applyFont="0" applyProtection="0"/>
    <xf numFmtId="43" fontId="129" fillId="0" borderId="0" applyFont="0" applyAlignment="0" applyProtection="0"/>
    <xf numFmtId="43" fontId="0" fillId="0" borderId="0" applyFont="0" applyProtection="0"/>
    <xf numFmtId="43" fontId="90" fillId="0" borderId="0" applyFont="0" applyFill="0" applyBorder="0" applyAlignment="0" applyProtection="0"/>
    <xf numFmtId="43" fontId="90" fillId="0" borderId="0" applyFont="0" applyFill="0" applyBorder="0" applyAlignment="0" applyProtection="0"/>
    <xf numFmtId="43" fontId="129" fillId="0" borderId="0" applyFont="0" applyAlignment="0" applyProtection="0"/>
    <xf numFmtId="43" fontId="129" fillId="0" borderId="0" applyFont="0" applyAlignment="0" applyProtection="0"/>
    <xf numFmtId="43" fontId="90" fillId="0" borderId="0" applyFont="0" applyFill="0" applyBorder="0" applyAlignment="0" applyProtection="0"/>
    <xf numFmtId="43" fontId="90" fillId="0" borderId="0" applyFont="0" applyFill="0" applyBorder="0" applyAlignment="0" applyProtection="0"/>
    <xf numFmtId="181" fontId="0" fillId="0" borderId="0" applyFont="0" applyFill="0" applyBorder="0" applyProtection="0"/>
    <xf numFmtId="43" fontId="0" fillId="0" borderId="0" applyFont="0" applyFill="0" applyBorder="0" applyProtection="0"/>
    <xf numFmtId="43" fontId="0" fillId="0" borderId="0" applyFont="0" applyFill="0" applyBorder="0" applyProtection="0"/>
    <xf numFmtId="43" fontId="3" fillId="0" borderId="0" applyFont="0" applyFill="0" applyBorder="0" applyAlignment="0" applyProtection="0"/>
    <xf numFmtId="43" fontId="0" fillId="0" borderId="0" applyFont="0" applyFill="0" applyBorder="0" applyProtection="0"/>
    <xf numFmtId="181" fontId="0" fillId="0" borderId="0" applyFont="0" applyProtection="0"/>
    <xf numFmtId="43" fontId="0" fillId="0" borderId="0" applyFont="0" applyProtection="0"/>
    <xf numFmtId="43" fontId="0" fillId="0" borderId="0" applyFont="0" applyProtection="0"/>
    <xf numFmtId="43" fontId="90" fillId="0" borderId="0" applyFont="0" applyFill="0" applyBorder="0" applyAlignment="0" applyProtection="0"/>
    <xf numFmtId="43" fontId="0" fillId="0" borderId="0" applyFont="0" applyProtection="0"/>
    <xf numFmtId="181"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97" fillId="0" borderId="0" applyFont="0" applyFill="0" applyBorder="0" applyProtection="0"/>
    <xf numFmtId="0" fontId="0" fillId="0" borderId="0" applyFont="0" applyFill="0" applyBorder="0" applyProtection="0"/>
    <xf numFmtId="0" fontId="0" fillId="0" borderId="0" applyFont="0" applyFill="0" applyBorder="0" applyProtection="0"/>
    <xf numFmtId="43" fontId="90" fillId="0" borderId="0" applyFont="0" applyFill="0" applyBorder="0" applyAlignment="0" applyProtection="0"/>
    <xf numFmtId="43" fontId="90" fillId="0" borderId="0" applyFont="0" applyFill="0" applyBorder="0" applyAlignment="0" applyProtection="0"/>
    <xf numFmtId="0" fontId="0" fillId="0" borderId="0" applyFont="0" applyFill="0" applyBorder="0" applyProtection="0"/>
    <xf numFmtId="181" fontId="0" fillId="0" borderId="0" applyFont="0" applyFill="0" applyBorder="0" applyProtection="0"/>
    <xf numFmtId="181" fontId="0" fillId="0" borderId="0" applyFont="0" applyProtection="0"/>
    <xf numFmtId="43" fontId="0" fillId="0" borderId="0" applyFont="0" applyProtection="0"/>
    <xf numFmtId="43" fontId="0" fillId="0" borderId="0" applyFont="0" applyProtection="0"/>
    <xf numFmtId="43" fontId="90" fillId="0" borderId="0" applyFont="0" applyFill="0" applyBorder="0" applyAlignment="0" applyProtection="0"/>
    <xf numFmtId="43" fontId="0" fillId="0" borderId="0" applyFont="0" applyProtection="0"/>
    <xf numFmtId="181" fontId="0" fillId="0" borderId="0" applyFont="0" applyProtection="0"/>
    <xf numFmtId="43" fontId="0" fillId="0" borderId="0" applyFont="0" applyProtection="0"/>
    <xf numFmtId="43" fontId="0" fillId="0" borderId="0" applyFont="0" applyProtection="0"/>
    <xf numFmtId="43" fontId="3" fillId="0" borderId="0" applyFont="0" applyFill="0" applyBorder="0" applyAlignment="0" applyProtection="0"/>
    <xf numFmtId="43" fontId="0" fillId="0" borderId="0" applyFont="0" applyProtection="0"/>
    <xf numFmtId="43" fontId="0" fillId="0" borderId="0" applyFont="0" applyFill="0" applyBorder="0" applyProtection="0"/>
    <xf numFmtId="43" fontId="0" fillId="0" borderId="0" applyFont="0" applyFill="0" applyBorder="0" applyProtection="0"/>
    <xf numFmtId="43" fontId="90" fillId="0" borderId="0" applyFont="0" applyFill="0" applyBorder="0" applyAlignment="0" applyProtection="0"/>
    <xf numFmtId="43" fontId="90" fillId="0" borderId="0" applyFont="0" applyFill="0" applyBorder="0" applyAlignment="0" applyProtection="0"/>
    <xf numFmtId="43" fontId="0" fillId="0" borderId="0" applyFont="0" applyFill="0" applyBorder="0" applyProtection="0"/>
    <xf numFmtId="181" fontId="129" fillId="0" borderId="0" applyAlignment="0"/>
    <xf numFmtId="43" fontId="129" fillId="0" borderId="0" applyAlignment="0"/>
    <xf numFmtId="43" fontId="129" fillId="0" borderId="0" applyAlignment="0"/>
    <xf numFmtId="43" fontId="90" fillId="0" borderId="0" applyFont="0" applyFill="0" applyBorder="0" applyAlignment="0" applyProtection="0"/>
    <xf numFmtId="181" fontId="129" fillId="0" borderId="0" applyAlignment="0"/>
    <xf numFmtId="43" fontId="129" fillId="0" borderId="0" applyAlignment="0"/>
    <xf numFmtId="43" fontId="129" fillId="0" borderId="0" applyAlignment="0"/>
    <xf numFmtId="43" fontId="3" fillId="0" borderId="0" applyFont="0" applyFill="0" applyBorder="0" applyAlignment="0" applyProtection="0"/>
    <xf numFmtId="181" fontId="3" fillId="0" borderId="0" applyFont="0" applyFill="0" applyBorder="0" applyAlignment="0" applyProtection="0"/>
    <xf numFmtId="43" fontId="3" fillId="0" borderId="0" applyFont="0" applyFill="0" applyBorder="0" applyAlignment="0" applyProtection="0"/>
    <xf numFmtId="43" fontId="90" fillId="0" borderId="0" applyFont="0" applyFill="0" applyBorder="0" applyAlignment="0" applyProtection="0"/>
    <xf numFmtId="43" fontId="90" fillId="0" borderId="0" applyFont="0" applyFill="0" applyBorder="0" applyAlignment="0" applyProtection="0"/>
    <xf numFmtId="181" fontId="105" fillId="0" borderId="0" applyFont="0" applyProtection="0"/>
    <xf numFmtId="181" fontId="103" fillId="0" borderId="0" applyFont="0" applyFill="0" applyBorder="0" applyAlignment="0" applyProtection="0"/>
    <xf numFmtId="181" fontId="103" fillId="0" borderId="0" applyFont="0" applyFill="0" applyBorder="0" applyAlignment="0" applyProtection="0"/>
    <xf numFmtId="181" fontId="0" fillId="0" borderId="0" applyFont="0" applyProtection="0"/>
    <xf numFmtId="43" fontId="103" fillId="0" borderId="0" applyFont="0" applyFill="0" applyBorder="0" applyAlignment="0" applyProtection="0"/>
    <xf numFmtId="43" fontId="103" fillId="0" borderId="0" applyFont="0" applyFill="0" applyBorder="0" applyAlignment="0" applyProtection="0"/>
    <xf numFmtId="43" fontId="103" fillId="0" borderId="0" applyFont="0" applyFill="0" applyBorder="0" applyAlignment="0" applyProtection="0"/>
    <xf numFmtId="43" fontId="103" fillId="0" borderId="0" applyFont="0" applyFill="0" applyBorder="0" applyAlignment="0" applyProtection="0"/>
    <xf numFmtId="43" fontId="103" fillId="0" borderId="0" applyFont="0" applyFill="0" applyBorder="0" applyAlignment="0" applyProtection="0"/>
    <xf numFmtId="43" fontId="103" fillId="0" borderId="0" applyFont="0" applyFill="0" applyBorder="0" applyAlignment="0" applyProtection="0"/>
    <xf numFmtId="43" fontId="0" fillId="0" borderId="0" applyFont="0" applyProtection="0"/>
    <xf numFmtId="43" fontId="0" fillId="0" borderId="0" applyFont="0" applyProtection="0"/>
    <xf numFmtId="43" fontId="103" fillId="0" borderId="0" applyFont="0" applyFill="0" applyBorder="0" applyAlignment="0" applyProtection="0"/>
    <xf numFmtId="43" fontId="103" fillId="0" borderId="0" applyFont="0" applyFill="0" applyBorder="0" applyAlignment="0" applyProtection="0"/>
    <xf numFmtId="43" fontId="0" fillId="0" borderId="0" applyFont="0" applyProtection="0"/>
    <xf numFmtId="43" fontId="103" fillId="0" borderId="0" applyFont="0" applyFill="0" applyBorder="0" applyAlignment="0" applyProtection="0"/>
    <xf numFmtId="43" fontId="103" fillId="0" borderId="0" applyFont="0" applyFill="0" applyBorder="0" applyAlignment="0" applyProtection="0"/>
    <xf numFmtId="43" fontId="103" fillId="0" borderId="0" applyFont="0" applyFill="0" applyBorder="0" applyAlignment="0" applyProtection="0"/>
    <xf numFmtId="43" fontId="103" fillId="0" borderId="0" applyFont="0" applyFill="0" applyBorder="0" applyAlignment="0" applyProtection="0"/>
    <xf numFmtId="43" fontId="103" fillId="0" borderId="0" applyFont="0" applyFill="0" applyBorder="0" applyAlignment="0" applyProtection="0"/>
    <xf numFmtId="43" fontId="103" fillId="0" borderId="0" applyFont="0" applyFill="0" applyBorder="0" applyAlignment="0" applyProtection="0"/>
    <xf numFmtId="43" fontId="103" fillId="0" borderId="0" applyFont="0" applyFill="0" applyBorder="0" applyAlignment="0" applyProtection="0"/>
    <xf numFmtId="43" fontId="103" fillId="0" borderId="0" applyFont="0" applyFill="0" applyBorder="0" applyAlignment="0" applyProtection="0"/>
    <xf numFmtId="43" fontId="103" fillId="0" borderId="0" applyFont="0" applyFill="0" applyBorder="0" applyAlignment="0" applyProtection="0"/>
    <xf numFmtId="43" fontId="103" fillId="0" borderId="0" applyFont="0" applyFill="0" applyBorder="0" applyAlignment="0" applyProtection="0"/>
    <xf numFmtId="181" fontId="0" fillId="0" borderId="0" applyFont="0" applyProtection="0"/>
    <xf numFmtId="43" fontId="103" fillId="0" borderId="0" applyFont="0" applyFill="0" applyBorder="0" applyAlignment="0" applyProtection="0"/>
    <xf numFmtId="43" fontId="103" fillId="0" borderId="0" applyFont="0" applyFill="0" applyBorder="0" applyAlignment="0" applyProtection="0"/>
    <xf numFmtId="43" fontId="103" fillId="0" borderId="0" applyFont="0" applyFill="0" applyBorder="0" applyAlignment="0" applyProtection="0"/>
    <xf numFmtId="43" fontId="103" fillId="0" borderId="0" applyFont="0" applyFill="0" applyBorder="0" applyAlignment="0" applyProtection="0"/>
    <xf numFmtId="43" fontId="103" fillId="0" borderId="0" applyFont="0" applyFill="0" applyBorder="0" applyAlignment="0" applyProtection="0"/>
    <xf numFmtId="43" fontId="103"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0" fillId="0" borderId="0" applyFont="0" applyProtection="0"/>
    <xf numFmtId="43" fontId="0" fillId="0" borderId="0" applyFont="0" applyProtection="0"/>
    <xf numFmtId="43" fontId="103" fillId="0" borderId="0" applyFont="0" applyFill="0" applyBorder="0" applyAlignment="0" applyProtection="0"/>
    <xf numFmtId="43" fontId="103" fillId="0" borderId="0" applyFont="0" applyFill="0" applyBorder="0" applyAlignment="0" applyProtection="0"/>
    <xf numFmtId="43" fontId="0" fillId="0" borderId="0" applyFont="0" applyProtection="0"/>
    <xf numFmtId="181" fontId="0" fillId="0" borderId="0" applyFont="0" applyFill="0" applyBorder="0" applyProtection="0"/>
    <xf numFmtId="43" fontId="103" fillId="0" borderId="0" applyFont="0" applyFill="0" applyBorder="0" applyAlignment="0" applyProtection="0"/>
    <xf numFmtId="43" fontId="103" fillId="0" borderId="0" applyFont="0" applyFill="0" applyBorder="0" applyAlignment="0" applyProtection="0"/>
    <xf numFmtId="43" fontId="97" fillId="0" borderId="0" applyFont="0" applyFill="0" applyBorder="0" applyProtection="0"/>
    <xf numFmtId="43" fontId="97" fillId="0" borderId="0" applyFont="0" applyFill="0" applyBorder="0" applyProtection="0"/>
    <xf numFmtId="43" fontId="97" fillId="0" borderId="0" applyFont="0" applyFill="0" applyBorder="0" applyProtection="0"/>
    <xf numFmtId="43" fontId="97" fillId="0" borderId="0" applyFont="0" applyFill="0" applyBorder="0" applyProtection="0"/>
    <xf numFmtId="43" fontId="0" fillId="0" borderId="0" applyFont="0" applyFill="0" applyBorder="0" applyProtection="0"/>
    <xf numFmtId="43" fontId="0" fillId="0" borderId="0" applyFont="0" applyFill="0" applyBorder="0" applyProtection="0"/>
    <xf numFmtId="43" fontId="103" fillId="0" borderId="0" applyFont="0" applyFill="0" applyBorder="0" applyAlignment="0" applyProtection="0"/>
    <xf numFmtId="43" fontId="103" fillId="0" borderId="0" applyFont="0" applyFill="0" applyBorder="0" applyAlignment="0" applyProtection="0"/>
    <xf numFmtId="43" fontId="0" fillId="0" borderId="0" applyFont="0" applyFill="0" applyBorder="0" applyProtection="0"/>
    <xf numFmtId="43" fontId="103" fillId="0" borderId="0" applyFont="0" applyFill="0" applyBorder="0" applyAlignment="0" applyProtection="0"/>
    <xf numFmtId="43" fontId="103" fillId="0" borderId="0" applyFont="0" applyFill="0" applyBorder="0" applyAlignment="0" applyProtection="0"/>
    <xf numFmtId="43" fontId="103" fillId="0" borderId="0" applyFont="0" applyFill="0" applyBorder="0" applyAlignment="0" applyProtection="0"/>
    <xf numFmtId="43" fontId="103" fillId="0" borderId="0" applyFont="0" applyFill="0" applyBorder="0" applyAlignment="0" applyProtection="0"/>
    <xf numFmtId="43" fontId="103" fillId="0" borderId="0" applyFont="0" applyFill="0" applyBorder="0" applyAlignment="0" applyProtection="0"/>
    <xf numFmtId="43" fontId="103"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0" fillId="0" borderId="0" applyFont="0" applyProtection="0"/>
    <xf numFmtId="181" fontId="0" fillId="0" borderId="0" applyFont="0" applyProtection="0"/>
    <xf numFmtId="43" fontId="0" fillId="0" borderId="0" applyFont="0" applyProtection="0"/>
    <xf numFmtId="43" fontId="0" fillId="0" borderId="0" applyFont="0" applyProtection="0"/>
    <xf numFmtId="43" fontId="90" fillId="0" borderId="0" applyFont="0" applyFill="0" applyBorder="0" applyAlignment="0" applyProtection="0"/>
    <xf numFmtId="43" fontId="0" fillId="0" borderId="0" applyFont="0" applyProtection="0"/>
    <xf numFmtId="43" fontId="0" fillId="0" borderId="0" applyFont="0" applyProtection="0"/>
    <xf numFmtId="43" fontId="0" fillId="0" borderId="0" applyFont="0" applyProtection="0"/>
    <xf numFmtId="43" fontId="90" fillId="0" borderId="0" applyFont="0" applyFill="0" applyBorder="0" applyAlignment="0" applyProtection="0"/>
    <xf numFmtId="43" fontId="90" fillId="0" borderId="0" applyFont="0" applyFill="0" applyBorder="0" applyAlignment="0" applyProtection="0"/>
    <xf numFmtId="43" fontId="0" fillId="0" borderId="0" applyFont="0" applyProtection="0"/>
    <xf numFmtId="181" fontId="0" fillId="0" borderId="0" applyFont="0" applyProtection="0"/>
    <xf numFmtId="43" fontId="0" fillId="0" borderId="0" applyFont="0" applyProtection="0"/>
    <xf numFmtId="43" fontId="0" fillId="0" borderId="0" applyFont="0" applyProtection="0"/>
    <xf numFmtId="43" fontId="90" fillId="0" borderId="0" applyFont="0" applyFill="0" applyBorder="0" applyAlignment="0" applyProtection="0"/>
    <xf numFmtId="43" fontId="0" fillId="0" borderId="0" applyFont="0" applyProtection="0"/>
    <xf numFmtId="181" fontId="0" fillId="0" borderId="0" applyFont="0" applyProtection="0"/>
    <xf numFmtId="43" fontId="0" fillId="0" borderId="0" applyFont="0" applyProtection="0"/>
    <xf numFmtId="43" fontId="0" fillId="0" borderId="0" applyFont="0" applyProtection="0"/>
    <xf numFmtId="43" fontId="97" fillId="0" borderId="0" applyFont="0" applyFill="0" applyBorder="0" applyProtection="0"/>
    <xf numFmtId="43" fontId="0" fillId="0" borderId="0" applyFont="0" applyProtection="0"/>
    <xf numFmtId="43" fontId="90" fillId="0" borderId="0" applyFont="0" applyFill="0" applyBorder="0" applyAlignment="0" applyProtection="0"/>
    <xf numFmtId="43" fontId="90" fillId="0" borderId="0" applyFont="0" applyFill="0" applyBorder="0" applyAlignment="0" applyProtection="0"/>
    <xf numFmtId="181" fontId="105" fillId="0" borderId="0" applyFont="0" applyProtection="0"/>
    <xf numFmtId="181" fontId="0" fillId="0" borderId="0" applyFont="0" applyProtection="0"/>
    <xf numFmtId="181" fontId="0" fillId="0" borderId="0" applyFont="0" applyProtection="0"/>
    <xf numFmtId="43" fontId="0" fillId="0" borderId="0" applyFont="0" applyProtection="0"/>
    <xf numFmtId="43" fontId="0" fillId="0" borderId="0" applyFont="0" applyProtection="0"/>
    <xf numFmtId="43" fontId="90" fillId="0" borderId="0" applyFont="0" applyFill="0" applyBorder="0" applyAlignment="0" applyProtection="0"/>
    <xf numFmtId="43" fontId="0" fillId="0" borderId="0" applyFont="0" applyProtection="0"/>
    <xf numFmtId="43" fontId="0" fillId="0" borderId="0" applyFont="0" applyProtection="0"/>
    <xf numFmtId="43" fontId="0" fillId="0" borderId="0" applyFont="0" applyProtection="0"/>
    <xf numFmtId="43" fontId="90" fillId="0" borderId="0" applyFont="0" applyFill="0" applyBorder="0" applyAlignment="0" applyProtection="0"/>
    <xf numFmtId="43" fontId="90" fillId="0" borderId="0" applyFont="0" applyFill="0" applyBorder="0" applyAlignment="0" applyProtection="0"/>
    <xf numFmtId="43" fontId="0" fillId="0" borderId="0" applyFont="0" applyProtection="0"/>
    <xf numFmtId="181" fontId="0" fillId="0" borderId="0" applyFont="0" applyProtection="0"/>
    <xf numFmtId="43" fontId="0" fillId="0" borderId="0" applyFont="0" applyProtection="0"/>
    <xf numFmtId="43" fontId="0" fillId="0" borderId="0" applyFont="0" applyProtection="0"/>
    <xf numFmtId="43" fontId="90" fillId="0" borderId="0" applyFont="0" applyFill="0" applyBorder="0" applyAlignment="0" applyProtection="0"/>
    <xf numFmtId="43" fontId="0" fillId="0" borderId="0" applyFont="0" applyProtection="0"/>
    <xf numFmtId="181" fontId="0" fillId="0" borderId="0" applyFont="0" applyProtection="0"/>
    <xf numFmtId="43" fontId="0" fillId="0" borderId="0" applyFont="0" applyProtection="0"/>
    <xf numFmtId="43" fontId="0" fillId="0" borderId="0" applyFont="0" applyProtection="0"/>
    <xf numFmtId="43" fontId="97" fillId="0" borderId="0" applyFont="0" applyFill="0" applyBorder="0" applyProtection="0"/>
    <xf numFmtId="43" fontId="0" fillId="0" borderId="0" applyFont="0" applyProtection="0"/>
    <xf numFmtId="43" fontId="90" fillId="0" borderId="0" applyFont="0" applyFill="0" applyBorder="0" applyAlignment="0" applyProtection="0"/>
    <xf numFmtId="43" fontId="90" fillId="0" borderId="0" applyFont="0" applyFill="0" applyBorder="0" applyAlignment="0" applyProtection="0"/>
    <xf numFmtId="181" fontId="105" fillId="0" borderId="0" applyFont="0" applyProtection="0"/>
    <xf numFmtId="181" fontId="90" fillId="0" borderId="0" applyFont="0" applyFill="0" applyBorder="0" applyAlignment="0" applyProtection="0"/>
    <xf numFmtId="181" fontId="0" fillId="0" borderId="0" applyFont="0" applyProtection="0"/>
    <xf numFmtId="43" fontId="90" fillId="0" borderId="0" applyFont="0" applyFill="0" applyBorder="0" applyAlignment="0" applyProtection="0"/>
    <xf numFmtId="43" fontId="90" fillId="0" borderId="0" applyFont="0" applyFill="0" applyBorder="0" applyAlignment="0" applyProtection="0"/>
    <xf numFmtId="43" fontId="90" fillId="0" borderId="0" applyFont="0" applyFill="0" applyBorder="0" applyAlignment="0" applyProtection="0"/>
    <xf numFmtId="43" fontId="90" fillId="0" borderId="0" applyFont="0" applyFill="0" applyBorder="0" applyAlignment="0" applyProtection="0"/>
    <xf numFmtId="43" fontId="90" fillId="0" borderId="0" applyFont="0" applyFill="0" applyBorder="0" applyAlignment="0" applyProtection="0"/>
    <xf numFmtId="43" fontId="90" fillId="0" borderId="0" applyFont="0" applyFill="0" applyBorder="0" applyAlignment="0" applyProtection="0"/>
    <xf numFmtId="43" fontId="0" fillId="0" borderId="0" applyFont="0" applyProtection="0"/>
    <xf numFmtId="43" fontId="0" fillId="0" borderId="0" applyFont="0" applyProtection="0"/>
    <xf numFmtId="43" fontId="90" fillId="0" borderId="0" applyFont="0" applyFill="0" applyBorder="0" applyAlignment="0" applyProtection="0"/>
    <xf numFmtId="43" fontId="90" fillId="0" borderId="0" applyFont="0" applyFill="0" applyBorder="0" applyAlignment="0" applyProtection="0"/>
    <xf numFmtId="43" fontId="0" fillId="0" borderId="0" applyFont="0" applyProtection="0"/>
    <xf numFmtId="181" fontId="0" fillId="0" borderId="0" applyFont="0" applyProtection="0"/>
    <xf numFmtId="43" fontId="90" fillId="0" borderId="0" applyFont="0" applyFill="0" applyBorder="0" applyAlignment="0" applyProtection="0"/>
    <xf numFmtId="43" fontId="90" fillId="0" borderId="0" applyFont="0" applyFill="0" applyBorder="0" applyAlignment="0" applyProtection="0"/>
    <xf numFmtId="43" fontId="0" fillId="0" borderId="0" applyFont="0" applyProtection="0"/>
    <xf numFmtId="43" fontId="0" fillId="0" borderId="0" applyFont="0" applyProtection="0"/>
    <xf numFmtId="43" fontId="90" fillId="0" borderId="0" applyFont="0" applyFill="0" applyBorder="0" applyAlignment="0" applyProtection="0"/>
    <xf numFmtId="43" fontId="90" fillId="0" borderId="0" applyFont="0" applyFill="0" applyBorder="0" applyAlignment="0" applyProtection="0"/>
    <xf numFmtId="43" fontId="0" fillId="0" borderId="0" applyFont="0" applyProtection="0"/>
    <xf numFmtId="43" fontId="90" fillId="0" borderId="0" applyFont="0" applyFill="0" applyBorder="0" applyAlignment="0" applyProtection="0"/>
    <xf numFmtId="43" fontId="90" fillId="0" borderId="0" applyFont="0" applyFill="0" applyBorder="0" applyAlignment="0" applyProtection="0"/>
    <xf numFmtId="43" fontId="103" fillId="0" borderId="0" applyFont="0" applyFill="0" applyBorder="0" applyProtection="0"/>
    <xf numFmtId="43" fontId="103" fillId="0" borderId="0" applyFont="0" applyFill="0" applyBorder="0" applyProtection="0"/>
    <xf numFmtId="43" fontId="90" fillId="0" borderId="0" applyFont="0" applyFill="0" applyBorder="0" applyAlignment="0" applyProtection="0"/>
    <xf numFmtId="43" fontId="9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97"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97"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0"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0" fillId="0" borderId="0" applyFont="0" applyFill="0" applyBorder="0" applyAlignment="0" applyProtection="0"/>
    <xf numFmtId="181" fontId="0"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0" fillId="0" borderId="0" applyFont="0" applyFill="0" applyBorder="0" applyAlignment="0" applyProtection="0"/>
    <xf numFmtId="183" fontId="90" fillId="0" borderId="0" applyFont="0" applyFill="0" applyBorder="0" applyAlignment="0" applyProtection="0"/>
    <xf numFmtId="183" fontId="90" fillId="0" borderId="0" applyFont="0" applyFill="0" applyBorder="0" applyAlignment="0" applyProtection="0"/>
    <xf numFmtId="41" fontId="90" fillId="0" borderId="0" applyFont="0" applyFill="0" applyBorder="0" applyAlignment="0" applyProtection="0"/>
    <xf numFmtId="41" fontId="90" fillId="0" borderId="0" applyFont="0" applyFill="0" applyBorder="0" applyAlignment="0" applyProtection="0"/>
    <xf numFmtId="41" fontId="90" fillId="0" borderId="0" applyFont="0" applyFill="0" applyBorder="0" applyAlignment="0" applyProtection="0"/>
    <xf numFmtId="41" fontId="90" fillId="0" borderId="0" applyFont="0" applyFill="0" applyBorder="0" applyAlignment="0" applyProtection="0"/>
    <xf numFmtId="41" fontId="90" fillId="0" borderId="0" applyFont="0" applyFill="0" applyBorder="0" applyAlignment="0" applyProtection="0"/>
    <xf numFmtId="41" fontId="90" fillId="0" borderId="0" applyFont="0" applyFill="0" applyBorder="0" applyAlignment="0" applyProtection="0"/>
    <xf numFmtId="41" fontId="90" fillId="0" borderId="0" applyFont="0" applyFill="0" applyBorder="0" applyAlignment="0" applyProtection="0"/>
    <xf numFmtId="41" fontId="90" fillId="0" borderId="0" applyFont="0" applyFill="0" applyBorder="0" applyAlignment="0" applyProtection="0"/>
    <xf numFmtId="41" fontId="90" fillId="0" borderId="0" applyFont="0" applyFill="0" applyBorder="0" applyAlignment="0" applyProtection="0"/>
    <xf numFmtId="41" fontId="90" fillId="0" borderId="0" applyFont="0" applyFill="0" applyBorder="0" applyAlignment="0" applyProtection="0"/>
    <xf numFmtId="41" fontId="90" fillId="0" borderId="0" applyFont="0" applyFill="0" applyBorder="0" applyAlignment="0" applyProtection="0"/>
    <xf numFmtId="41" fontId="90" fillId="0" borderId="0" applyFont="0" applyFill="0" applyBorder="0" applyAlignment="0" applyProtection="0"/>
    <xf numFmtId="41" fontId="90" fillId="0" borderId="0" applyFont="0" applyFill="0" applyBorder="0" applyAlignment="0" applyProtection="0"/>
    <xf numFmtId="41" fontId="90" fillId="0" borderId="0" applyFont="0" applyFill="0" applyBorder="0" applyAlignment="0" applyProtection="0"/>
    <xf numFmtId="41" fontId="90" fillId="0" borderId="0" applyFont="0" applyFill="0" applyBorder="0" applyAlignment="0" applyProtection="0"/>
    <xf numFmtId="41" fontId="90" fillId="0" borderId="0" applyFont="0" applyFill="0" applyBorder="0" applyAlignment="0" applyProtection="0"/>
    <xf numFmtId="41" fontId="90" fillId="0" borderId="0" applyFont="0" applyFill="0" applyBorder="0" applyAlignment="0" applyProtection="0"/>
    <xf numFmtId="41" fontId="90" fillId="0" borderId="0" applyFont="0" applyFill="0" applyBorder="0" applyAlignment="0" applyProtection="0"/>
    <xf numFmtId="41" fontId="90" fillId="0" borderId="0" applyFont="0" applyFill="0" applyBorder="0" applyAlignment="0" applyProtection="0"/>
    <xf numFmtId="41" fontId="90" fillId="0" borderId="0" applyFont="0" applyFill="0" applyBorder="0" applyAlignment="0" applyProtection="0"/>
    <xf numFmtId="41" fontId="90" fillId="0" borderId="0" applyFont="0" applyFill="0" applyBorder="0" applyAlignment="0" applyProtection="0"/>
    <xf numFmtId="41" fontId="90" fillId="0" borderId="0" applyFont="0" applyFill="0" applyBorder="0" applyAlignment="0" applyProtection="0"/>
    <xf numFmtId="41" fontId="90" fillId="0" borderId="0" applyFont="0" applyFill="0" applyBorder="0" applyAlignment="0" applyProtection="0"/>
    <xf numFmtId="41" fontId="90" fillId="0" borderId="0" applyFont="0" applyFill="0" applyBorder="0" applyAlignment="0" applyProtection="0"/>
    <xf numFmtId="41" fontId="90" fillId="0" borderId="0" applyFont="0" applyFill="0" applyBorder="0" applyAlignment="0" applyProtection="0"/>
    <xf numFmtId="41" fontId="90" fillId="0" borderId="0" applyFont="0" applyFill="0" applyBorder="0" applyAlignment="0" applyProtection="0"/>
    <xf numFmtId="41" fontId="90" fillId="0" borderId="0" applyFont="0" applyFill="0" applyBorder="0" applyAlignment="0" applyProtection="0"/>
    <xf numFmtId="41" fontId="90" fillId="0" borderId="0" applyFont="0" applyFill="0" applyBorder="0" applyAlignment="0" applyProtection="0"/>
    <xf numFmtId="41" fontId="90" fillId="0" borderId="0" applyFont="0" applyFill="0" applyBorder="0" applyAlignment="0" applyProtection="0"/>
    <xf numFmtId="41" fontId="90" fillId="0" borderId="0" applyFont="0" applyFill="0" applyBorder="0" applyAlignment="0" applyProtection="0"/>
    <xf numFmtId="0" fontId="170" fillId="0" borderId="0"/>
    <xf numFmtId="0" fontId="171" fillId="87" borderId="0" applyNumberFormat="0" applyBorder="0" applyAlignment="0" applyProtection="0"/>
    <xf numFmtId="0" fontId="171" fillId="88" borderId="0" applyNumberFormat="0" applyBorder="0" applyAlignment="0" applyProtection="0"/>
    <xf numFmtId="0" fontId="171" fillId="89" borderId="0" applyNumberFormat="0" applyBorder="0" applyAlignment="0" applyProtection="0"/>
    <xf numFmtId="189" fontId="3" fillId="0" borderId="0" applyFont="0" applyFill="0" applyBorder="0" applyAlignment="0" applyProtection="0"/>
    <xf numFmtId="208" fontId="167" fillId="0" borderId="0" applyFont="0" applyFill="0" applyBorder="0" applyAlignment="0" applyProtection="0"/>
    <xf numFmtId="0" fontId="106"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90" fillId="0" borderId="0"/>
    <xf numFmtId="0" fontId="172" fillId="0" borderId="0"/>
    <xf numFmtId="40" fontId="151" fillId="0" borderId="0" applyFont="0" applyFill="0" applyBorder="0" applyAlignment="0" applyProtection="0"/>
    <xf numFmtId="38" fontId="151" fillId="0" borderId="0" applyFont="0" applyFill="0" applyBorder="0" applyAlignment="0" applyProtection="0"/>
    <xf numFmtId="0" fontId="3" fillId="0" borderId="9" applyNumberFormat="0"/>
    <xf numFmtId="0" fontId="3" fillId="0" borderId="9" applyNumberFormat="0"/>
    <xf numFmtId="0" fontId="3" fillId="0" borderId="9" applyNumberFormat="0"/>
    <xf numFmtId="0" fontId="3" fillId="0" borderId="9" applyNumberFormat="0"/>
    <xf numFmtId="0" fontId="3" fillId="0" borderId="9" applyNumberFormat="0"/>
    <xf numFmtId="0" fontId="3" fillId="0" borderId="9" applyNumberFormat="0"/>
    <xf numFmtId="0" fontId="3" fillId="0" borderId="9" applyNumberFormat="0"/>
    <xf numFmtId="0" fontId="3" fillId="0" borderId="9" applyNumberFormat="0"/>
    <xf numFmtId="0" fontId="3" fillId="0" borderId="9" applyNumberFormat="0"/>
    <xf numFmtId="0" fontId="3" fillId="0" borderId="9" applyNumberFormat="0"/>
    <xf numFmtId="0" fontId="3" fillId="0" borderId="9" applyNumberFormat="0"/>
    <xf numFmtId="0" fontId="3" fillId="0" borderId="9" applyNumberFormat="0"/>
    <xf numFmtId="0" fontId="3" fillId="0" borderId="9" applyNumberFormat="0"/>
    <xf numFmtId="0" fontId="3" fillId="0" borderId="9" applyNumberFormat="0"/>
    <xf numFmtId="0" fontId="3" fillId="0" borderId="9" applyNumberFormat="0"/>
    <xf numFmtId="0" fontId="3" fillId="0" borderId="9" applyNumberFormat="0"/>
    <xf numFmtId="0" fontId="3" fillId="0" borderId="9" applyNumberFormat="0"/>
    <xf numFmtId="0" fontId="3" fillId="0" borderId="9" applyNumberFormat="0"/>
    <xf numFmtId="0" fontId="3" fillId="0" borderId="9" applyNumberFormat="0"/>
    <xf numFmtId="0" fontId="3" fillId="0" borderId="9" applyNumberFormat="0"/>
    <xf numFmtId="0" fontId="3" fillId="0" borderId="9" applyNumberFormat="0"/>
    <xf numFmtId="0" fontId="3" fillId="0" borderId="9" applyNumberFormat="0"/>
    <xf numFmtId="0" fontId="3" fillId="0" borderId="9" applyNumberFormat="0"/>
    <xf numFmtId="0" fontId="3" fillId="0" borderId="9" applyNumberFormat="0"/>
    <xf numFmtId="0" fontId="3" fillId="0" borderId="9" applyNumberFormat="0"/>
    <xf numFmtId="0" fontId="3" fillId="0" borderId="9" applyNumberFormat="0"/>
    <xf numFmtId="0" fontId="3" fillId="0" borderId="9" applyNumberFormat="0"/>
    <xf numFmtId="0" fontId="3" fillId="0" borderId="9" applyNumberFormat="0"/>
    <xf numFmtId="0" fontId="3" fillId="0" borderId="9" applyNumberFormat="0"/>
    <xf numFmtId="0" fontId="3" fillId="0" borderId="9" applyNumberFormat="0"/>
    <xf numFmtId="0" fontId="3" fillId="0" borderId="9" applyNumberFormat="0"/>
    <xf numFmtId="0" fontId="3" fillId="0" borderId="9" applyNumberFormat="0"/>
    <xf numFmtId="38" fontId="173" fillId="0" borderId="0" applyFont="0" applyFill="0" applyBorder="0" applyAlignment="0" applyProtection="0"/>
    <xf numFmtId="40" fontId="173" fillId="0" borderId="0" applyFont="0" applyFill="0" applyBorder="0" applyAlignment="0" applyProtection="0"/>
    <xf numFmtId="0" fontId="173" fillId="0" borderId="0" applyFont="0" applyFill="0" applyBorder="0" applyAlignment="0" applyProtection="0"/>
    <xf numFmtId="0" fontId="173" fillId="0" borderId="0" applyFont="0" applyFill="0" applyBorder="0" applyAlignment="0" applyProtection="0"/>
    <xf numFmtId="0" fontId="174" fillId="0" borderId="0"/>
  </cellStyleXfs>
  <cellXfs count="680">
    <xf numFmtId="0" fontId="0" fillId="0" borderId="0" xfId="0"/>
    <xf numFmtId="0" fontId="1" fillId="0" borderId="0" xfId="0" applyFont="1"/>
    <xf numFmtId="0" fontId="2" fillId="0" borderId="0" xfId="6143" applyFont="1" applyProtection="1">
      <protection locked="0"/>
    </xf>
    <xf numFmtId="0" fontId="3" fillId="0" borderId="0" xfId="0" applyFont="1" applyAlignment="1" applyProtection="1">
      <alignment vertical="center"/>
      <protection locked="0"/>
    </xf>
    <xf numFmtId="0" fontId="4" fillId="0" borderId="0" xfId="0" applyFont="1"/>
    <xf numFmtId="0" fontId="5" fillId="0" borderId="0" xfId="6079" applyFont="1"/>
    <xf numFmtId="0" fontId="6" fillId="2" borderId="1" xfId="6079" applyFont="1" applyFill="1" applyBorder="1" applyAlignment="1" applyProtection="1">
      <alignment horizontal="centerContinuous" vertical="center"/>
      <protection locked="0"/>
    </xf>
    <xf numFmtId="0" fontId="7" fillId="3" borderId="2" xfId="6079" applyFont="1" applyFill="1" applyBorder="1" applyAlignment="1">
      <alignment horizontal="centerContinuous" vertical="center"/>
    </xf>
    <xf numFmtId="0" fontId="7" fillId="3" borderId="3" xfId="6079" applyFont="1" applyFill="1" applyBorder="1" applyAlignment="1">
      <alignment horizontal="centerContinuous" vertical="center"/>
    </xf>
    <xf numFmtId="0" fontId="4" fillId="4" borderId="0" xfId="6079" applyFont="1" applyFill="1"/>
    <xf numFmtId="0" fontId="8" fillId="0" borderId="0" xfId="6079" applyFont="1" applyAlignment="1">
      <alignment vertical="center"/>
    </xf>
    <xf numFmtId="0" fontId="9" fillId="5" borderId="4" xfId="6079" applyFont="1" applyFill="1" applyBorder="1" applyAlignment="1">
      <alignment vertical="center"/>
    </xf>
    <xf numFmtId="0" fontId="9" fillId="5" borderId="5" xfId="6079" applyFont="1" applyFill="1" applyBorder="1" applyAlignment="1">
      <alignment vertical="center"/>
    </xf>
    <xf numFmtId="0" fontId="9" fillId="5" borderId="6" xfId="6079" applyFont="1" applyFill="1" applyBorder="1" applyAlignment="1">
      <alignment vertical="center"/>
    </xf>
    <xf numFmtId="0" fontId="1" fillId="4" borderId="0" xfId="6079" applyFont="1" applyFill="1" applyAlignment="1">
      <alignment vertical="center"/>
    </xf>
    <xf numFmtId="0" fontId="10" fillId="0" borderId="0" xfId="6079" applyFont="1"/>
    <xf numFmtId="0" fontId="3" fillId="0" borderId="0" xfId="6079" applyFont="1"/>
    <xf numFmtId="0" fontId="4" fillId="0" borderId="0" xfId="6079" applyFont="1"/>
    <xf numFmtId="0" fontId="11" fillId="6" borderId="0" xfId="6" applyFont="1" applyFill="1" applyAlignment="1">
      <alignment vertical="center"/>
    </xf>
    <xf numFmtId="0" fontId="12" fillId="0" borderId="0" xfId="6079" applyFont="1" applyAlignment="1" applyProtection="1">
      <alignment vertical="center" wrapText="1"/>
      <protection locked="0"/>
    </xf>
    <xf numFmtId="0" fontId="13" fillId="0" borderId="0" xfId="6079" applyFont="1" applyAlignment="1">
      <alignment vertical="center"/>
    </xf>
    <xf numFmtId="0" fontId="14" fillId="0" borderId="0" xfId="6143" applyFont="1" applyAlignment="1" applyProtection="1">
      <alignment vertical="top"/>
      <protection locked="0"/>
    </xf>
    <xf numFmtId="0" fontId="12" fillId="0" borderId="0" xfId="2125" applyFont="1" applyAlignment="1" applyProtection="1">
      <alignment horizontal="center" vertical="center"/>
      <protection locked="0"/>
    </xf>
    <xf numFmtId="0" fontId="15" fillId="0" borderId="0" xfId="6143" applyFont="1" applyAlignment="1" applyProtection="1">
      <alignment vertical="top"/>
      <protection locked="0"/>
    </xf>
    <xf numFmtId="10" fontId="3" fillId="0" borderId="0" xfId="0" applyNumberFormat="1" applyFont="1" applyAlignment="1" applyProtection="1">
      <alignment vertical="center"/>
      <protection locked="0"/>
    </xf>
    <xf numFmtId="181" fontId="3" fillId="0" borderId="0" xfId="6328" applyFont="1" applyFill="1" applyAlignment="1" applyProtection="1">
      <alignment vertical="center"/>
      <protection locked="0"/>
    </xf>
    <xf numFmtId="181" fontId="12" fillId="0" borderId="0" xfId="6328" applyFont="1" applyFill="1" applyAlignment="1" applyProtection="1">
      <alignment vertical="center"/>
      <protection locked="0"/>
    </xf>
    <xf numFmtId="181" fontId="16" fillId="0" borderId="0" xfId="6328" applyFont="1" applyFill="1" applyAlignment="1" applyProtection="1">
      <alignment horizontal="center" vertical="center"/>
      <protection locked="0"/>
    </xf>
    <xf numFmtId="0" fontId="16" fillId="0" borderId="0" xfId="0" applyFont="1" applyAlignment="1" applyProtection="1">
      <alignment vertical="center"/>
      <protection locked="0"/>
    </xf>
    <xf numFmtId="0" fontId="3" fillId="0" borderId="1" xfId="0" applyFont="1" applyBorder="1" applyAlignment="1" applyProtection="1">
      <alignment horizontal="center" vertical="center"/>
      <protection locked="0"/>
    </xf>
    <xf numFmtId="0" fontId="3" fillId="0" borderId="7" xfId="0" applyFont="1" applyBorder="1" applyAlignment="1" applyProtection="1">
      <alignment horizontal="center" vertical="center"/>
      <protection locked="0"/>
    </xf>
    <xf numFmtId="0" fontId="3" fillId="0" borderId="8" xfId="0" applyFont="1" applyBorder="1" applyAlignment="1" applyProtection="1">
      <alignment horizontal="center" vertical="center"/>
      <protection locked="0"/>
    </xf>
    <xf numFmtId="0" fontId="12" fillId="0" borderId="9" xfId="0" applyFont="1" applyBorder="1" applyAlignment="1" applyProtection="1">
      <alignment vertical="center"/>
      <protection locked="0"/>
    </xf>
    <xf numFmtId="14" fontId="3" fillId="0" borderId="9" xfId="0" applyNumberFormat="1" applyFont="1" applyBorder="1" applyAlignment="1" applyProtection="1">
      <alignment horizontal="center" vertical="center"/>
      <protection locked="0"/>
    </xf>
    <xf numFmtId="0" fontId="12" fillId="0" borderId="9" xfId="0" applyFont="1" applyBorder="1" applyAlignment="1" applyProtection="1">
      <alignment horizontal="center" vertical="center"/>
      <protection locked="0"/>
    </xf>
    <xf numFmtId="0" fontId="3" fillId="0" borderId="9" xfId="0" applyFont="1" applyBorder="1" applyAlignment="1" applyProtection="1">
      <alignment horizontal="center" vertical="center"/>
      <protection locked="0"/>
    </xf>
    <xf numFmtId="0" fontId="3" fillId="6" borderId="9" xfId="0" applyFont="1" applyFill="1" applyBorder="1" applyAlignment="1" applyProtection="1">
      <alignment horizontal="center" vertical="center"/>
      <protection locked="0"/>
    </xf>
    <xf numFmtId="0" fontId="3" fillId="0" borderId="9" xfId="2345" applyFont="1" applyBorder="1" applyAlignment="1" applyProtection="1">
      <alignment horizontal="center" vertical="center"/>
      <protection locked="0"/>
    </xf>
    <xf numFmtId="0" fontId="3" fillId="0" borderId="9" xfId="0" applyFont="1" applyBorder="1" applyAlignment="1" applyProtection="1">
      <alignment horizontal="left" vertical="center"/>
      <protection locked="0"/>
    </xf>
    <xf numFmtId="10" fontId="3" fillId="0" borderId="9" xfId="0" applyNumberFormat="1" applyFont="1" applyBorder="1" applyAlignment="1" applyProtection="1">
      <alignment horizontal="right" vertical="center" shrinkToFit="1"/>
      <protection locked="0"/>
    </xf>
    <xf numFmtId="9" fontId="3" fillId="0" borderId="9" xfId="3" applyFont="1" applyBorder="1" applyAlignment="1" applyProtection="1">
      <alignment horizontal="center" vertical="center"/>
      <protection locked="0"/>
    </xf>
    <xf numFmtId="181" fontId="17" fillId="0" borderId="9" xfId="2345" applyNumberFormat="1" applyFont="1" applyBorder="1" applyAlignment="1" applyProtection="1">
      <alignment vertical="center"/>
      <protection locked="0"/>
    </xf>
    <xf numFmtId="0" fontId="17" fillId="7" borderId="9" xfId="2345" applyFont="1" applyFill="1" applyBorder="1" applyAlignment="1" applyProtection="1">
      <alignment horizontal="center" vertical="center"/>
      <protection locked="0"/>
    </xf>
    <xf numFmtId="10" fontId="3" fillId="0" borderId="9" xfId="0" applyNumberFormat="1" applyFont="1" applyBorder="1" applyAlignment="1" applyProtection="1">
      <alignment horizontal="center" vertical="center"/>
      <protection locked="0"/>
    </xf>
    <xf numFmtId="0" fontId="15" fillId="0" borderId="0" xfId="2344" applyFont="1" applyAlignment="1" applyProtection="1">
      <alignment vertical="center"/>
      <protection locked="0"/>
    </xf>
    <xf numFmtId="0" fontId="16" fillId="0" borderId="0" xfId="0" applyFont="1" applyProtection="1">
      <protection locked="0"/>
    </xf>
    <xf numFmtId="0" fontId="18" fillId="0" borderId="0" xfId="6143" applyFont="1" applyAlignment="1" applyProtection="1">
      <alignment vertical="top"/>
      <protection locked="0"/>
    </xf>
    <xf numFmtId="0" fontId="19" fillId="0" borderId="1" xfId="6143" applyFont="1" applyBorder="1" applyAlignment="1" applyProtection="1">
      <alignment horizontal="left" vertical="center" wrapText="1"/>
      <protection locked="0"/>
    </xf>
    <xf numFmtId="0" fontId="19" fillId="0" borderId="7" xfId="6143" applyFont="1" applyBorder="1" applyAlignment="1" applyProtection="1">
      <alignment horizontal="left" vertical="center" wrapText="1"/>
      <protection locked="0"/>
    </xf>
    <xf numFmtId="0" fontId="19" fillId="0" borderId="8" xfId="6143" applyFont="1" applyBorder="1" applyAlignment="1" applyProtection="1">
      <alignment horizontal="left" vertical="center" wrapText="1"/>
      <protection locked="0"/>
    </xf>
    <xf numFmtId="0" fontId="20" fillId="0" borderId="0" xfId="2344" applyFont="1" applyAlignment="1" applyProtection="1">
      <alignment vertical="center"/>
      <protection locked="0"/>
    </xf>
    <xf numFmtId="0" fontId="14" fillId="0" borderId="0" xfId="2125" applyFont="1" applyAlignment="1" applyProtection="1">
      <alignment horizontal="center" vertical="center"/>
      <protection locked="0"/>
    </xf>
    <xf numFmtId="0" fontId="21" fillId="0" borderId="0" xfId="0" applyFont="1"/>
    <xf numFmtId="0" fontId="22" fillId="0" borderId="0" xfId="2443" applyFont="1" applyAlignment="1">
      <alignment vertical="center"/>
    </xf>
    <xf numFmtId="0" fontId="2" fillId="0" borderId="0" xfId="0" applyFont="1"/>
    <xf numFmtId="0" fontId="22" fillId="0" borderId="0" xfId="2443" applyFont="1" applyAlignment="1">
      <alignment vertical="center" wrapText="1"/>
    </xf>
    <xf numFmtId="0" fontId="23" fillId="0" borderId="0" xfId="2443" applyFont="1" applyAlignment="1">
      <alignment vertical="center"/>
    </xf>
    <xf numFmtId="0" fontId="16" fillId="0" borderId="0" xfId="0" applyFont="1" applyAlignment="1">
      <alignment vertical="center"/>
    </xf>
    <xf numFmtId="0" fontId="3" fillId="0" borderId="0" xfId="0" applyFont="1" applyAlignment="1">
      <alignment vertical="center"/>
    </xf>
    <xf numFmtId="14" fontId="3" fillId="0" borderId="0" xfId="0" applyNumberFormat="1" applyFont="1" applyAlignment="1">
      <alignment vertical="center"/>
    </xf>
    <xf numFmtId="10" fontId="3" fillId="0" borderId="0" xfId="0" applyNumberFormat="1" applyFont="1" applyAlignment="1">
      <alignment vertical="center"/>
    </xf>
    <xf numFmtId="0" fontId="24" fillId="3" borderId="2" xfId="6079" applyFont="1" applyFill="1" applyBorder="1" applyAlignment="1">
      <alignment horizontal="centerContinuous" vertical="center"/>
    </xf>
    <xf numFmtId="0" fontId="4" fillId="8" borderId="0" xfId="6079" applyFont="1" applyFill="1" applyAlignment="1" applyProtection="1">
      <alignment vertical="center"/>
      <protection locked="0"/>
    </xf>
    <xf numFmtId="0" fontId="5" fillId="0" borderId="0" xfId="6079" applyFont="1" applyAlignment="1">
      <alignment vertical="center"/>
    </xf>
    <xf numFmtId="0" fontId="13" fillId="5" borderId="5" xfId="6079" applyFont="1" applyFill="1" applyBorder="1" applyAlignment="1">
      <alignment vertical="center"/>
    </xf>
    <xf numFmtId="0" fontId="5" fillId="0" borderId="0" xfId="0" applyFont="1" applyAlignment="1">
      <alignment vertical="center"/>
    </xf>
    <xf numFmtId="0" fontId="12" fillId="0" borderId="0" xfId="0" applyFont="1" applyAlignment="1">
      <alignment horizontal="left" vertical="center" wrapText="1"/>
    </xf>
    <xf numFmtId="0" fontId="2" fillId="8" borderId="0" xfId="6079" applyFont="1" applyFill="1" applyAlignment="1" applyProtection="1">
      <alignment vertical="center"/>
      <protection locked="0"/>
    </xf>
    <xf numFmtId="0" fontId="12" fillId="7" borderId="0" xfId="0" applyFont="1" applyFill="1" applyAlignment="1">
      <alignment vertical="center" wrapText="1"/>
    </xf>
    <xf numFmtId="0" fontId="16" fillId="0" borderId="0" xfId="2443" applyFont="1" applyAlignment="1">
      <alignment vertical="center"/>
    </xf>
    <xf numFmtId="0" fontId="25" fillId="0" borderId="10" xfId="2663" applyFont="1" applyBorder="1" applyAlignment="1" applyProtection="1">
      <alignment horizontal="left" vertical="center" wrapText="1"/>
      <protection locked="0"/>
    </xf>
    <xf numFmtId="0" fontId="25" fillId="0" borderId="11" xfId="2663" applyFont="1" applyBorder="1" applyAlignment="1" applyProtection="1">
      <alignment horizontal="left" vertical="center" wrapText="1"/>
      <protection locked="0"/>
    </xf>
    <xf numFmtId="0" fontId="25" fillId="0" borderId="12" xfId="2663" applyFont="1" applyBorder="1" applyAlignment="1" applyProtection="1">
      <alignment horizontal="left" vertical="center" wrapText="1"/>
      <protection locked="0"/>
    </xf>
    <xf numFmtId="0" fontId="22" fillId="0" borderId="0" xfId="2443" applyFont="1" applyAlignment="1">
      <alignment horizontal="center" vertical="center"/>
    </xf>
    <xf numFmtId="0" fontId="25" fillId="0" borderId="13" xfId="2663" applyFont="1" applyBorder="1" applyAlignment="1" applyProtection="1">
      <alignment horizontal="left" vertical="center" wrapText="1"/>
      <protection locked="0"/>
    </xf>
    <xf numFmtId="0" fontId="25" fillId="0" borderId="0" xfId="2663" applyFont="1" applyAlignment="1" applyProtection="1">
      <alignment horizontal="left" vertical="center" wrapText="1"/>
      <protection locked="0"/>
    </xf>
    <xf numFmtId="0" fontId="25" fillId="0" borderId="14" xfId="2663" applyFont="1" applyBorder="1" applyAlignment="1" applyProtection="1">
      <alignment horizontal="left" vertical="center" wrapText="1"/>
      <protection locked="0"/>
    </xf>
    <xf numFmtId="0" fontId="25" fillId="0" borderId="15" xfId="2663" applyFont="1" applyBorder="1" applyAlignment="1" applyProtection="1">
      <alignment horizontal="left" vertical="center" wrapText="1"/>
      <protection locked="0"/>
    </xf>
    <xf numFmtId="0" fontId="25" fillId="0" borderId="16" xfId="2663" applyFont="1" applyBorder="1" applyAlignment="1" applyProtection="1">
      <alignment horizontal="left" vertical="center" wrapText="1"/>
      <protection locked="0"/>
    </xf>
    <xf numFmtId="0" fontId="25" fillId="0" borderId="17" xfId="2663" applyFont="1" applyBorder="1" applyAlignment="1" applyProtection="1">
      <alignment horizontal="left" vertical="center" wrapText="1"/>
      <protection locked="0"/>
    </xf>
    <xf numFmtId="209" fontId="22" fillId="0" borderId="0" xfId="2443" applyNumberFormat="1" applyFont="1" applyAlignment="1">
      <alignment vertical="center"/>
    </xf>
    <xf numFmtId="0" fontId="3" fillId="0" borderId="0" xfId="6252" applyFont="1" applyFill="1" applyBorder="1" applyAlignment="1" applyProtection="1">
      <alignment horizontal="left" vertical="center"/>
      <protection locked="0"/>
    </xf>
    <xf numFmtId="0" fontId="2" fillId="0" borderId="0" xfId="6079" applyFont="1" applyAlignment="1" applyProtection="1">
      <alignment vertical="center"/>
      <protection locked="0"/>
    </xf>
    <xf numFmtId="181" fontId="2" fillId="0" borderId="0" xfId="228" applyFont="1" applyFill="1" applyAlignment="1" applyProtection="1">
      <alignment horizontal="right" vertical="center" shrinkToFit="1"/>
      <protection locked="0"/>
    </xf>
    <xf numFmtId="0" fontId="3" fillId="0" borderId="0" xfId="0" applyFont="1" applyAlignment="1">
      <alignment horizontal="left" vertical="center"/>
    </xf>
    <xf numFmtId="181" fontId="2" fillId="0" borderId="0" xfId="6313" applyNumberFormat="1" applyFont="1" applyFill="1" applyAlignment="1" applyProtection="1">
      <alignment horizontal="right" vertical="center" shrinkToFit="1"/>
      <protection locked="0"/>
    </xf>
    <xf numFmtId="0" fontId="16" fillId="0" borderId="0" xfId="6079" applyFont="1" applyAlignment="1" applyProtection="1">
      <alignment horizontal="left" vertical="center"/>
      <protection locked="0"/>
    </xf>
    <xf numFmtId="0" fontId="3" fillId="0" borderId="11" xfId="6252" applyFont="1" applyFill="1" applyBorder="1" applyAlignment="1" applyProtection="1">
      <alignment horizontal="left" vertical="center"/>
      <protection locked="0"/>
    </xf>
    <xf numFmtId="0" fontId="2" fillId="0" borderId="11" xfId="6079" applyFont="1" applyBorder="1" applyAlignment="1" applyProtection="1">
      <alignment vertical="center"/>
      <protection locked="0"/>
    </xf>
    <xf numFmtId="181" fontId="2" fillId="0" borderId="11" xfId="6313" applyNumberFormat="1" applyFont="1" applyFill="1" applyBorder="1" applyAlignment="1" applyProtection="1">
      <alignment horizontal="right" vertical="center" shrinkToFit="1"/>
      <protection locked="0"/>
    </xf>
    <xf numFmtId="0" fontId="26" fillId="0" borderId="0" xfId="6079" applyFont="1" applyAlignment="1" applyProtection="1">
      <alignment horizontal="left" vertical="center"/>
      <protection locked="0"/>
    </xf>
    <xf numFmtId="0" fontId="3" fillId="0" borderId="9" xfId="6079" applyFont="1" applyBorder="1" applyAlignment="1" applyProtection="1">
      <alignment horizontal="center" vertical="center"/>
      <protection locked="0"/>
    </xf>
    <xf numFmtId="0" fontId="2" fillId="0" borderId="0" xfId="6079" applyFont="1" applyAlignment="1" applyProtection="1">
      <alignment horizontal="center" vertical="center"/>
      <protection locked="0"/>
    </xf>
    <xf numFmtId="0" fontId="27" fillId="0" borderId="0" xfId="6079" applyFont="1" applyAlignment="1" applyProtection="1">
      <alignment horizontal="left" vertical="center" wrapText="1"/>
      <protection locked="0"/>
    </xf>
    <xf numFmtId="210" fontId="27" fillId="0" borderId="0" xfId="6313" applyNumberFormat="1" applyFont="1" applyFill="1" applyAlignment="1" applyProtection="1">
      <alignment horizontal="left" vertical="center" wrapText="1"/>
      <protection locked="0"/>
    </xf>
    <xf numFmtId="0" fontId="3" fillId="0" borderId="0" xfId="6079" applyFont="1" applyAlignment="1" applyProtection="1">
      <alignment vertical="center"/>
      <protection locked="0"/>
    </xf>
    <xf numFmtId="0" fontId="12" fillId="0" borderId="11" xfId="6079" applyFont="1" applyBorder="1" applyAlignment="1" applyProtection="1">
      <alignment vertical="center" wrapText="1"/>
      <protection locked="0"/>
    </xf>
    <xf numFmtId="181" fontId="3" fillId="0" borderId="11" xfId="6313" applyNumberFormat="1" applyFont="1" applyFill="1" applyBorder="1" applyAlignment="1" applyProtection="1">
      <alignment horizontal="right" vertical="center" shrinkToFit="1"/>
      <protection locked="0"/>
    </xf>
    <xf numFmtId="41" fontId="28" fillId="0" borderId="0" xfId="6079" applyNumberFormat="1" applyFont="1" applyAlignment="1" applyProtection="1">
      <alignment horizontal="center" vertical="center"/>
      <protection locked="0"/>
    </xf>
    <xf numFmtId="0" fontId="26" fillId="0" borderId="0" xfId="6079" applyFont="1" applyAlignment="1" applyProtection="1">
      <alignment vertical="center"/>
      <protection locked="0"/>
    </xf>
    <xf numFmtId="210" fontId="3" fillId="0" borderId="0" xfId="6313" applyNumberFormat="1" applyFont="1" applyFill="1" applyBorder="1" applyAlignment="1" applyProtection="1">
      <alignment vertical="center" wrapText="1"/>
      <protection locked="0"/>
    </xf>
    <xf numFmtId="0" fontId="16" fillId="0" borderId="0" xfId="0" applyFont="1" applyAlignment="1">
      <alignment horizontal="center" vertical="center"/>
    </xf>
    <xf numFmtId="0" fontId="26" fillId="0" borderId="0" xfId="0" applyFont="1"/>
    <xf numFmtId="0" fontId="16" fillId="0" borderId="0" xfId="0" applyFont="1" applyAlignment="1">
      <alignment horizontal="center"/>
    </xf>
    <xf numFmtId="0" fontId="12" fillId="6" borderId="10" xfId="0" applyFont="1" applyFill="1" applyBorder="1" applyAlignment="1" applyProtection="1">
      <alignment vertical="center"/>
      <protection locked="0"/>
    </xf>
    <xf numFmtId="0" fontId="12" fillId="6" borderId="11" xfId="0" applyFont="1" applyFill="1" applyBorder="1" applyAlignment="1" applyProtection="1">
      <alignment vertical="center"/>
      <protection locked="0"/>
    </xf>
    <xf numFmtId="0" fontId="12" fillId="6" borderId="12" xfId="0" applyFont="1" applyFill="1" applyBorder="1" applyAlignment="1" applyProtection="1">
      <alignment vertical="center"/>
      <protection locked="0"/>
    </xf>
    <xf numFmtId="0" fontId="25" fillId="0" borderId="10" xfId="0" applyFont="1" applyBorder="1" applyAlignment="1">
      <alignment horizontal="left" vertical="center" wrapText="1"/>
    </xf>
    <xf numFmtId="0" fontId="25" fillId="0" borderId="11" xfId="0" applyFont="1" applyBorder="1" applyAlignment="1">
      <alignment horizontal="left" vertical="center" wrapText="1"/>
    </xf>
    <xf numFmtId="0" fontId="25" fillId="0" borderId="12" xfId="0" applyFont="1" applyBorder="1" applyAlignment="1">
      <alignment horizontal="left" vertical="center" wrapText="1"/>
    </xf>
    <xf numFmtId="0" fontId="22" fillId="0" borderId="0" xfId="2443" applyFont="1" applyAlignment="1">
      <alignment horizontal="center" vertical="center" wrapText="1"/>
    </xf>
    <xf numFmtId="0" fontId="2" fillId="8" borderId="0" xfId="6079" applyFont="1" applyFill="1" applyAlignment="1" applyProtection="1">
      <alignment vertical="center" wrapText="1"/>
      <protection locked="0"/>
    </xf>
    <xf numFmtId="0" fontId="5" fillId="0" borderId="13" xfId="0" applyFont="1" applyBorder="1" applyAlignment="1" applyProtection="1">
      <alignment horizontal="left" vertical="center" wrapText="1"/>
      <protection locked="0"/>
    </xf>
    <xf numFmtId="0" fontId="3" fillId="0" borderId="0" xfId="0" applyFont="1" applyAlignment="1" applyProtection="1">
      <alignment horizontal="left" vertical="center" wrapText="1"/>
      <protection locked="0"/>
    </xf>
    <xf numFmtId="0" fontId="3" fillId="0" borderId="14" xfId="0" applyFont="1" applyBorder="1" applyAlignment="1" applyProtection="1">
      <alignment horizontal="left" vertical="center" wrapText="1"/>
      <protection locked="0"/>
    </xf>
    <xf numFmtId="0" fontId="5" fillId="0" borderId="15" xfId="0" applyFont="1" applyBorder="1" applyAlignment="1" applyProtection="1">
      <alignment horizontal="left" vertical="top" wrapText="1"/>
      <protection locked="0"/>
    </xf>
    <xf numFmtId="0" fontId="2" fillId="0" borderId="16" xfId="0" applyFont="1" applyBorder="1" applyAlignment="1" applyProtection="1">
      <alignment horizontal="left" vertical="top" wrapText="1"/>
      <protection locked="0"/>
    </xf>
    <xf numFmtId="0" fontId="2" fillId="0" borderId="17" xfId="0" applyFont="1" applyBorder="1" applyAlignment="1" applyProtection="1">
      <alignment horizontal="left" vertical="top" wrapText="1"/>
      <protection locked="0"/>
    </xf>
    <xf numFmtId="0" fontId="3" fillId="0" borderId="0" xfId="2321" applyAlignment="1">
      <alignment vertical="center"/>
    </xf>
    <xf numFmtId="0" fontId="16" fillId="0" borderId="0" xfId="6079" applyFont="1" applyAlignment="1" applyProtection="1">
      <alignment horizontal="center" vertical="center"/>
      <protection locked="0"/>
    </xf>
    <xf numFmtId="0" fontId="16" fillId="6" borderId="1" xfId="0" applyFont="1" applyFill="1" applyBorder="1" applyAlignment="1">
      <alignment horizontal="center" vertical="center"/>
    </xf>
    <xf numFmtId="0" fontId="16" fillId="6" borderId="8" xfId="0" applyFont="1" applyFill="1" applyBorder="1" applyAlignment="1">
      <alignment horizontal="center" vertical="center"/>
    </xf>
    <xf numFmtId="0" fontId="24" fillId="0" borderId="0" xfId="2443" applyFont="1" applyAlignment="1">
      <alignment vertical="center"/>
    </xf>
    <xf numFmtId="0" fontId="12" fillId="9" borderId="9" xfId="0" applyFont="1" applyFill="1" applyBorder="1" applyAlignment="1">
      <alignment horizontal="center" vertical="center" wrapText="1"/>
    </xf>
    <xf numFmtId="0" fontId="12" fillId="10" borderId="9" xfId="0" applyFont="1" applyFill="1" applyBorder="1" applyAlignment="1">
      <alignment horizontal="center" vertical="center" wrapText="1"/>
    </xf>
    <xf numFmtId="0" fontId="12" fillId="6" borderId="9" xfId="0" applyFont="1" applyFill="1" applyBorder="1" applyAlignment="1">
      <alignment horizontal="center" vertical="center" wrapText="1"/>
    </xf>
    <xf numFmtId="0" fontId="29" fillId="6" borderId="9" xfId="0" applyFont="1" applyFill="1" applyBorder="1" applyAlignment="1">
      <alignment horizontal="center" vertical="center" wrapText="1"/>
    </xf>
    <xf numFmtId="211" fontId="12" fillId="9" borderId="9" xfId="0" applyNumberFormat="1" applyFont="1" applyFill="1" applyBorder="1" applyAlignment="1">
      <alignment horizontal="center" vertical="center" wrapText="1"/>
    </xf>
    <xf numFmtId="0" fontId="29" fillId="8" borderId="0" xfId="6079" applyFont="1" applyFill="1" applyAlignment="1" applyProtection="1">
      <alignment vertical="center"/>
      <protection locked="0"/>
    </xf>
    <xf numFmtId="0" fontId="10" fillId="0" borderId="0" xfId="2443" applyFont="1" applyAlignment="1">
      <alignment vertical="center"/>
    </xf>
    <xf numFmtId="0" fontId="3" fillId="0" borderId="9" xfId="0" applyFont="1" applyBorder="1" applyAlignment="1">
      <alignment horizontal="center" vertical="center" shrinkToFit="1"/>
    </xf>
    <xf numFmtId="0" fontId="3" fillId="0" borderId="9" xfId="0" applyFont="1" applyBorder="1" applyAlignment="1">
      <alignment horizontal="left" vertical="center" shrinkToFit="1"/>
    </xf>
    <xf numFmtId="181" fontId="3" fillId="0" borderId="9" xfId="0" applyNumberFormat="1" applyFont="1" applyBorder="1" applyAlignment="1">
      <alignment horizontal="right" vertical="center" shrinkToFit="1"/>
    </xf>
    <xf numFmtId="14" fontId="3" fillId="0" borderId="9" xfId="0" applyNumberFormat="1" applyFont="1" applyBorder="1" applyAlignment="1">
      <alignment horizontal="left" vertical="center" shrinkToFit="1"/>
    </xf>
    <xf numFmtId="0" fontId="3" fillId="0" borderId="9" xfId="0" applyFont="1" applyBorder="1" applyAlignment="1">
      <alignment horizontal="right" vertical="center" shrinkToFit="1"/>
    </xf>
    <xf numFmtId="181" fontId="3" fillId="0" borderId="9" xfId="228" applyFont="1" applyBorder="1" applyAlignment="1">
      <alignment horizontal="right" vertical="center" shrinkToFit="1"/>
    </xf>
    <xf numFmtId="0" fontId="3" fillId="0" borderId="9" xfId="228" applyNumberFormat="1" applyFont="1" applyBorder="1" applyAlignment="1">
      <alignment horizontal="left" vertical="center" shrinkToFit="1"/>
    </xf>
    <xf numFmtId="49" fontId="3" fillId="0" borderId="0" xfId="0" applyNumberFormat="1" applyFont="1" applyAlignment="1">
      <alignment horizontal="left" vertical="center" shrinkToFit="1"/>
    </xf>
    <xf numFmtId="14" fontId="3" fillId="0" borderId="0" xfId="0" applyNumberFormat="1" applyFont="1" applyAlignment="1">
      <alignment horizontal="left" vertical="center" shrinkToFit="1"/>
    </xf>
    <xf numFmtId="0" fontId="3" fillId="0" borderId="0" xfId="0" applyFont="1" applyAlignment="1">
      <alignment vertical="center" shrinkToFit="1"/>
    </xf>
    <xf numFmtId="10" fontId="3" fillId="0" borderId="0" xfId="0" applyNumberFormat="1" applyFont="1" applyAlignment="1">
      <alignment horizontal="right" vertical="center" shrinkToFit="1"/>
    </xf>
    <xf numFmtId="181" fontId="3" fillId="0" borderId="0" xfId="0" applyNumberFormat="1" applyFont="1" applyAlignment="1">
      <alignment horizontal="right" vertical="center" shrinkToFit="1"/>
    </xf>
    <xf numFmtId="0" fontId="1" fillId="0" borderId="0" xfId="6079" applyFont="1" applyAlignment="1">
      <alignment vertical="center"/>
    </xf>
    <xf numFmtId="0" fontId="14" fillId="0" borderId="0" xfId="2311" applyFont="1">
      <alignment vertical="center"/>
    </xf>
    <xf numFmtId="0" fontId="3" fillId="7" borderId="1" xfId="6079" applyFont="1" applyFill="1" applyBorder="1" applyAlignment="1" applyProtection="1">
      <alignment horizontal="left" vertical="center" wrapText="1"/>
      <protection locked="0"/>
    </xf>
    <xf numFmtId="0" fontId="3" fillId="7" borderId="7" xfId="6079" applyFont="1" applyFill="1" applyBorder="1" applyAlignment="1" applyProtection="1">
      <alignment horizontal="left" vertical="center" wrapText="1"/>
      <protection locked="0"/>
    </xf>
    <xf numFmtId="0" fontId="3" fillId="7" borderId="8" xfId="6079" applyFont="1" applyFill="1" applyBorder="1" applyAlignment="1" applyProtection="1">
      <alignment horizontal="left" vertical="center" wrapText="1"/>
      <protection locked="0"/>
    </xf>
    <xf numFmtId="0" fontId="3" fillId="0" borderId="10" xfId="6079" applyFont="1" applyBorder="1" applyAlignment="1">
      <alignment horizontal="left" vertical="center" wrapText="1"/>
    </xf>
    <xf numFmtId="0" fontId="3" fillId="0" borderId="11" xfId="6079" applyFont="1" applyBorder="1" applyAlignment="1">
      <alignment horizontal="left" vertical="center" wrapText="1"/>
    </xf>
    <xf numFmtId="0" fontId="3" fillId="0" borderId="12" xfId="6079" applyFont="1" applyBorder="1" applyAlignment="1">
      <alignment horizontal="left" vertical="center" wrapText="1"/>
    </xf>
    <xf numFmtId="0" fontId="3" fillId="0" borderId="13" xfId="6079" applyFont="1" applyBorder="1" applyAlignment="1">
      <alignment horizontal="left" vertical="center" wrapText="1"/>
    </xf>
    <xf numFmtId="0" fontId="3" fillId="0" borderId="0" xfId="6079" applyFont="1" applyAlignment="1">
      <alignment horizontal="left" vertical="center" wrapText="1"/>
    </xf>
    <xf numFmtId="0" fontId="3" fillId="0" borderId="14" xfId="6079" applyFont="1" applyBorder="1" applyAlignment="1">
      <alignment horizontal="left" vertical="center" wrapText="1"/>
    </xf>
    <xf numFmtId="0" fontId="3" fillId="0" borderId="15" xfId="6079" applyFont="1" applyBorder="1" applyAlignment="1">
      <alignment horizontal="left" vertical="center" wrapText="1"/>
    </xf>
    <xf numFmtId="0" fontId="3" fillId="0" borderId="16" xfId="6079" applyFont="1" applyBorder="1" applyAlignment="1">
      <alignment horizontal="left" vertical="center" wrapText="1"/>
    </xf>
    <xf numFmtId="0" fontId="3" fillId="0" borderId="17" xfId="6079" applyFont="1" applyBorder="1" applyAlignment="1">
      <alignment horizontal="left" vertical="center" wrapText="1"/>
    </xf>
    <xf numFmtId="0" fontId="3" fillId="0" borderId="0" xfId="2142" applyFont="1" applyAlignment="1">
      <alignment vertical="center"/>
    </xf>
    <xf numFmtId="0" fontId="30" fillId="0" borderId="0" xfId="2321" applyFont="1" applyAlignment="1">
      <alignment vertical="center"/>
    </xf>
    <xf numFmtId="0" fontId="31" fillId="0" borderId="0" xfId="0" applyFont="1" applyAlignment="1">
      <alignment vertical="center"/>
    </xf>
    <xf numFmtId="0" fontId="32" fillId="0" borderId="0" xfId="0" applyFont="1" applyAlignment="1">
      <alignment vertical="center"/>
    </xf>
    <xf numFmtId="0" fontId="30" fillId="0" borderId="0" xfId="2142" applyFont="1" applyAlignment="1">
      <alignment vertical="center"/>
    </xf>
    <xf numFmtId="0" fontId="33" fillId="11" borderId="0" xfId="0" applyFont="1" applyFill="1" applyAlignment="1">
      <alignment vertical="center"/>
    </xf>
    <xf numFmtId="0" fontId="31" fillId="11" borderId="0" xfId="0" applyFont="1" applyFill="1" applyAlignment="1">
      <alignment vertical="center"/>
    </xf>
    <xf numFmtId="0" fontId="16" fillId="11" borderId="0" xfId="0" applyFont="1" applyFill="1" applyAlignment="1">
      <alignment vertical="center"/>
    </xf>
    <xf numFmtId="0" fontId="32" fillId="11" borderId="0" xfId="2142" applyFont="1" applyFill="1" applyAlignment="1">
      <alignment vertical="center"/>
    </xf>
    <xf numFmtId="49" fontId="0" fillId="0" borderId="0" xfId="0" applyNumberFormat="1"/>
    <xf numFmtId="0" fontId="34" fillId="0" borderId="0" xfId="0" applyFont="1"/>
    <xf numFmtId="0" fontId="35" fillId="12" borderId="0" xfId="0" applyFont="1" applyFill="1" applyAlignment="1">
      <alignment vertical="center"/>
    </xf>
    <xf numFmtId="0" fontId="5" fillId="12" borderId="0" xfId="0" applyFont="1" applyFill="1" applyAlignment="1">
      <alignment vertical="center"/>
    </xf>
    <xf numFmtId="0" fontId="2" fillId="7" borderId="0" xfId="0" applyFont="1" applyFill="1"/>
    <xf numFmtId="0" fontId="5" fillId="7" borderId="0" xfId="0" applyFont="1" applyFill="1" applyAlignment="1">
      <alignment vertical="center"/>
    </xf>
    <xf numFmtId="0" fontId="7" fillId="3" borderId="1" xfId="0" applyFont="1" applyFill="1" applyBorder="1" applyAlignment="1">
      <alignment horizontal="center" vertical="center"/>
    </xf>
    <xf numFmtId="0" fontId="7" fillId="3" borderId="7" xfId="0" applyFont="1" applyFill="1" applyBorder="1" applyAlignment="1">
      <alignment horizontal="center" vertical="center"/>
    </xf>
    <xf numFmtId="0" fontId="7" fillId="3" borderId="8" xfId="0" applyFont="1" applyFill="1" applyBorder="1" applyAlignment="1">
      <alignment horizontal="center" vertical="center"/>
    </xf>
    <xf numFmtId="0" fontId="9" fillId="13" borderId="1" xfId="0" applyFont="1" applyFill="1" applyBorder="1" applyAlignment="1">
      <alignment vertical="center"/>
    </xf>
    <xf numFmtId="0" fontId="13" fillId="13" borderId="7" xfId="0" applyFont="1" applyFill="1" applyBorder="1" applyAlignment="1">
      <alignment vertical="center" wrapText="1"/>
    </xf>
    <xf numFmtId="0" fontId="13" fillId="13" borderId="8" xfId="0" applyFont="1" applyFill="1" applyBorder="1" applyAlignment="1">
      <alignment vertical="center" wrapText="1"/>
    </xf>
    <xf numFmtId="0" fontId="16" fillId="7" borderId="0" xfId="0" applyFont="1" applyFill="1" applyAlignment="1">
      <alignment vertical="center"/>
    </xf>
    <xf numFmtId="0" fontId="36" fillId="0" borderId="0" xfId="0" applyFont="1" applyAlignment="1">
      <alignment vertical="center"/>
    </xf>
    <xf numFmtId="0" fontId="36" fillId="0" borderId="0" xfId="0" applyFont="1" applyAlignment="1">
      <alignment horizontal="right" vertical="center"/>
    </xf>
    <xf numFmtId="0" fontId="3" fillId="0" borderId="0" xfId="2178" applyFont="1" applyAlignment="1" applyProtection="1">
      <alignment horizontal="left" vertical="center" wrapText="1"/>
      <protection locked="0"/>
    </xf>
    <xf numFmtId="0" fontId="36" fillId="0" borderId="0" xfId="0" applyFont="1" applyAlignment="1">
      <alignment horizontal="left" vertical="center"/>
    </xf>
    <xf numFmtId="0" fontId="37" fillId="0" borderId="0" xfId="0" applyFont="1" applyAlignment="1">
      <alignment horizontal="left" vertical="center" wrapText="1"/>
    </xf>
    <xf numFmtId="0" fontId="13" fillId="0" borderId="0" xfId="0" applyFont="1" applyAlignment="1">
      <alignment horizontal="center" vertical="center"/>
    </xf>
    <xf numFmtId="0" fontId="5" fillId="0" borderId="0" xfId="0" applyFont="1" applyAlignment="1">
      <alignment horizontal="left" vertical="center"/>
    </xf>
    <xf numFmtId="0" fontId="12" fillId="0" borderId="16" xfId="0" applyFont="1" applyBorder="1" applyAlignment="1">
      <alignment horizontal="center" vertical="center" wrapText="1"/>
    </xf>
    <xf numFmtId="181" fontId="5" fillId="14" borderId="0" xfId="228" applyFont="1" applyFill="1" applyAlignment="1">
      <alignment horizontal="right" vertical="center" shrinkToFit="1"/>
    </xf>
    <xf numFmtId="0" fontId="16" fillId="0" borderId="0" xfId="0" applyFont="1" applyAlignment="1">
      <alignment horizontal="left" vertical="center"/>
    </xf>
    <xf numFmtId="181" fontId="5" fillId="0" borderId="0" xfId="228" applyFont="1" applyAlignment="1">
      <alignment horizontal="right" vertical="center" shrinkToFit="1"/>
    </xf>
    <xf numFmtId="0" fontId="3" fillId="0" borderId="11" xfId="0" applyFont="1" applyBorder="1" applyAlignment="1">
      <alignment horizontal="left" vertical="center"/>
    </xf>
    <xf numFmtId="0" fontId="5" fillId="0" borderId="11" xfId="0" applyFont="1" applyBorder="1" applyAlignment="1">
      <alignment vertical="center"/>
    </xf>
    <xf numFmtId="181" fontId="5" fillId="0" borderId="11" xfId="228" applyFont="1" applyBorder="1" applyAlignment="1">
      <alignment horizontal="right" vertical="center" shrinkToFit="1"/>
    </xf>
    <xf numFmtId="0" fontId="12" fillId="0" borderId="0" xfId="2063" applyFont="1" applyFill="1" applyAlignment="1" applyProtection="1">
      <alignment horizontal="left" vertical="center"/>
      <protection locked="0"/>
    </xf>
    <xf numFmtId="0" fontId="3" fillId="0" borderId="9" xfId="0" applyFont="1" applyBorder="1" applyAlignment="1">
      <alignment horizontal="center" vertical="center"/>
    </xf>
    <xf numFmtId="181" fontId="5" fillId="0" borderId="0" xfId="228" applyFont="1" applyBorder="1" applyAlignment="1">
      <alignment vertical="center"/>
    </xf>
    <xf numFmtId="0" fontId="12" fillId="0" borderId="0" xfId="0" applyFont="1" applyAlignment="1">
      <alignment vertical="center" wrapText="1"/>
    </xf>
    <xf numFmtId="0" fontId="12" fillId="0" borderId="11" xfId="0" applyFont="1" applyBorder="1" applyAlignment="1">
      <alignment vertical="center" wrapText="1"/>
    </xf>
    <xf numFmtId="181" fontId="3" fillId="0" borderId="11" xfId="0" applyNumberFormat="1" applyFont="1" applyBorder="1" applyAlignment="1">
      <alignment horizontal="right" vertical="center" shrinkToFit="1"/>
    </xf>
    <xf numFmtId="181" fontId="22" fillId="0" borderId="0" xfId="228" applyFont="1" applyBorder="1" applyAlignment="1">
      <alignment vertical="center"/>
    </xf>
    <xf numFmtId="181" fontId="22" fillId="0" borderId="0" xfId="2443" applyNumberFormat="1" applyFont="1" applyAlignment="1">
      <alignment vertical="center"/>
    </xf>
    <xf numFmtId="0" fontId="16" fillId="7" borderId="0" xfId="0" applyFont="1" applyFill="1" applyAlignment="1">
      <alignment horizontal="center" vertical="center"/>
    </xf>
    <xf numFmtId="0" fontId="22" fillId="7" borderId="0" xfId="2443" applyFont="1" applyFill="1" applyAlignment="1">
      <alignment vertical="center"/>
    </xf>
    <xf numFmtId="0" fontId="3" fillId="0" borderId="0" xfId="2443" applyFont="1" applyAlignment="1">
      <alignment horizontal="left" vertical="center" wrapText="1"/>
    </xf>
    <xf numFmtId="0" fontId="16" fillId="7" borderId="0" xfId="0" applyFont="1" applyFill="1"/>
    <xf numFmtId="0" fontId="25" fillId="0" borderId="10" xfId="0" applyFont="1" applyBorder="1" applyAlignment="1">
      <alignment vertical="center"/>
    </xf>
    <xf numFmtId="0" fontId="32" fillId="0" borderId="11" xfId="0" applyFont="1" applyBorder="1" applyAlignment="1" applyProtection="1">
      <alignment vertical="center"/>
      <protection locked="0"/>
    </xf>
    <xf numFmtId="0" fontId="32" fillId="0" borderId="12" xfId="0" applyFont="1" applyBorder="1" applyAlignment="1" applyProtection="1">
      <alignment vertical="center"/>
      <protection locked="0"/>
    </xf>
    <xf numFmtId="0" fontId="5" fillId="0" borderId="13" xfId="0" applyFont="1" applyBorder="1" applyAlignment="1" applyProtection="1">
      <alignment horizontal="left" vertical="center" wrapText="1" indent="2"/>
      <protection locked="0"/>
    </xf>
    <xf numFmtId="0" fontId="3" fillId="0" borderId="0" xfId="0" applyFont="1" applyAlignment="1" applyProtection="1">
      <alignment horizontal="left" vertical="center" wrapText="1" indent="2"/>
      <protection locked="0"/>
    </xf>
    <xf numFmtId="0" fontId="3" fillId="0" borderId="14" xfId="0" applyFont="1" applyBorder="1" applyAlignment="1" applyProtection="1">
      <alignment horizontal="left" vertical="center" wrapText="1" indent="2"/>
      <protection locked="0"/>
    </xf>
    <xf numFmtId="0" fontId="3" fillId="0" borderId="13" xfId="0" applyFont="1" applyBorder="1" applyAlignment="1" applyProtection="1">
      <alignment horizontal="left" vertical="center" wrapText="1" indent="2"/>
      <protection locked="0"/>
    </xf>
    <xf numFmtId="0" fontId="5" fillId="0" borderId="15" xfId="0" applyFont="1" applyBorder="1" applyAlignment="1" applyProtection="1">
      <alignment horizontal="left" vertical="center" wrapText="1" indent="2"/>
      <protection locked="0"/>
    </xf>
    <xf numFmtId="0" fontId="3" fillId="0" borderId="16" xfId="0" applyFont="1" applyBorder="1" applyAlignment="1" applyProtection="1">
      <alignment horizontal="left" vertical="center" wrapText="1" indent="2"/>
      <protection locked="0"/>
    </xf>
    <xf numFmtId="0" fontId="3" fillId="0" borderId="17" xfId="0" applyFont="1" applyBorder="1" applyAlignment="1" applyProtection="1">
      <alignment horizontal="left" vertical="center" wrapText="1" indent="2"/>
      <protection locked="0"/>
    </xf>
    <xf numFmtId="0" fontId="12" fillId="0" borderId="0" xfId="0" applyFont="1" applyAlignment="1">
      <alignment vertical="center"/>
    </xf>
    <xf numFmtId="181" fontId="16" fillId="0" borderId="0" xfId="228" applyFont="1" applyFill="1" applyBorder="1" applyAlignment="1">
      <alignment horizontal="center" vertical="center"/>
    </xf>
    <xf numFmtId="181" fontId="3" fillId="0" borderId="0" xfId="228" applyFont="1" applyFill="1" applyBorder="1" applyAlignment="1">
      <alignment vertical="center"/>
    </xf>
    <xf numFmtId="0" fontId="16" fillId="6" borderId="7" xfId="0" applyFont="1" applyFill="1" applyBorder="1" applyAlignment="1">
      <alignment horizontal="center" vertical="center"/>
    </xf>
    <xf numFmtId="0" fontId="12" fillId="10" borderId="18" xfId="0" applyFont="1" applyFill="1" applyBorder="1" applyAlignment="1">
      <alignment horizontal="center" vertical="center" wrapText="1"/>
    </xf>
    <xf numFmtId="0" fontId="12" fillId="0" borderId="9" xfId="0" applyFont="1" applyBorder="1" applyAlignment="1">
      <alignment horizontal="center" vertical="center" shrinkToFit="1"/>
    </xf>
    <xf numFmtId="0" fontId="2" fillId="0" borderId="9" xfId="2166" applyFont="1" applyBorder="1" applyAlignment="1">
      <alignment horizontal="left" vertical="center" shrinkToFit="1"/>
    </xf>
    <xf numFmtId="181" fontId="3" fillId="0" borderId="9" xfId="803" applyFont="1" applyFill="1" applyBorder="1" applyAlignment="1">
      <alignment horizontal="right" vertical="center" shrinkToFit="1"/>
    </xf>
    <xf numFmtId="181" fontId="3" fillId="0" borderId="9" xfId="228" applyFont="1" applyFill="1" applyBorder="1" applyAlignment="1">
      <alignment horizontal="right" vertical="center" shrinkToFit="1"/>
    </xf>
    <xf numFmtId="0" fontId="3" fillId="0" borderId="9" xfId="228" applyNumberFormat="1" applyFont="1" applyFill="1" applyBorder="1" applyAlignment="1">
      <alignment horizontal="left" vertical="center" shrinkToFit="1"/>
    </xf>
    <xf numFmtId="49" fontId="3" fillId="0" borderId="9" xfId="0" applyNumberFormat="1" applyFont="1" applyBorder="1" applyAlignment="1">
      <alignment horizontal="left" vertical="center" shrinkToFit="1"/>
    </xf>
    <xf numFmtId="14" fontId="2" fillId="0" borderId="0" xfId="0" applyNumberFormat="1" applyFont="1"/>
    <xf numFmtId="212" fontId="25" fillId="7" borderId="10" xfId="2663" applyNumberFormat="1" applyFont="1" applyFill="1" applyBorder="1" applyAlignment="1" applyProtection="1">
      <alignment horizontal="left" vertical="center" wrapText="1"/>
      <protection locked="0"/>
    </xf>
    <xf numFmtId="212" fontId="25" fillId="7" borderId="11" xfId="2663" applyNumberFormat="1" applyFont="1" applyFill="1" applyBorder="1" applyAlignment="1" applyProtection="1">
      <alignment horizontal="left" vertical="center" wrapText="1"/>
      <protection locked="0"/>
    </xf>
    <xf numFmtId="212" fontId="25" fillId="7" borderId="12" xfId="2663" applyNumberFormat="1" applyFont="1" applyFill="1" applyBorder="1" applyAlignment="1" applyProtection="1">
      <alignment horizontal="left" vertical="center" wrapText="1"/>
      <protection locked="0"/>
    </xf>
    <xf numFmtId="212" fontId="25" fillId="7" borderId="13" xfId="2663" applyNumberFormat="1" applyFont="1" applyFill="1" applyBorder="1" applyAlignment="1" applyProtection="1">
      <alignment horizontal="left" vertical="center" wrapText="1"/>
      <protection locked="0"/>
    </xf>
    <xf numFmtId="212" fontId="25" fillId="7" borderId="0" xfId="2663" applyNumberFormat="1" applyFont="1" applyFill="1" applyAlignment="1" applyProtection="1">
      <alignment horizontal="left" vertical="center" wrapText="1"/>
      <protection locked="0"/>
    </xf>
    <xf numFmtId="212" fontId="25" fillId="7" borderId="14" xfId="2663" applyNumberFormat="1" applyFont="1" applyFill="1" applyBorder="1" applyAlignment="1" applyProtection="1">
      <alignment horizontal="left" vertical="center" wrapText="1"/>
      <protection locked="0"/>
    </xf>
    <xf numFmtId="212" fontId="25" fillId="7" borderId="15" xfId="2663" applyNumberFormat="1" applyFont="1" applyFill="1" applyBorder="1" applyAlignment="1" applyProtection="1">
      <alignment horizontal="left" vertical="center" wrapText="1"/>
      <protection locked="0"/>
    </xf>
    <xf numFmtId="212" fontId="25" fillId="7" borderId="16" xfId="2663" applyNumberFormat="1" applyFont="1" applyFill="1" applyBorder="1" applyAlignment="1" applyProtection="1">
      <alignment horizontal="left" vertical="center" wrapText="1"/>
      <protection locked="0"/>
    </xf>
    <xf numFmtId="212" fontId="25" fillId="7" borderId="17" xfId="2663" applyNumberFormat="1" applyFont="1" applyFill="1" applyBorder="1" applyAlignment="1" applyProtection="1">
      <alignment horizontal="left" vertical="center" wrapText="1"/>
      <protection locked="0"/>
    </xf>
    <xf numFmtId="0" fontId="2" fillId="8" borderId="16" xfId="6079" applyFont="1" applyFill="1" applyBorder="1" applyAlignment="1" applyProtection="1">
      <alignment vertical="center"/>
      <protection locked="0"/>
    </xf>
    <xf numFmtId="0" fontId="38" fillId="0" borderId="0" xfId="2443" applyFont="1" applyAlignment="1">
      <alignment vertical="center"/>
    </xf>
    <xf numFmtId="0" fontId="39" fillId="0" borderId="0" xfId="0" applyFont="1"/>
    <xf numFmtId="0" fontId="12" fillId="7" borderId="0" xfId="2142" applyFont="1" applyFill="1" applyAlignment="1">
      <alignment vertical="center"/>
    </xf>
    <xf numFmtId="0" fontId="3" fillId="7" borderId="0" xfId="2142" applyFont="1" applyFill="1" applyAlignment="1">
      <alignment vertical="center"/>
    </xf>
    <xf numFmtId="0" fontId="2" fillId="8" borderId="0" xfId="2310" applyFont="1" applyFill="1" applyAlignment="1" applyProtection="1">
      <alignment vertical="center"/>
      <protection locked="0"/>
    </xf>
    <xf numFmtId="0" fontId="40" fillId="0" borderId="0" xfId="2443" applyFont="1" applyAlignment="1">
      <alignment vertical="center"/>
    </xf>
    <xf numFmtId="49" fontId="41" fillId="0" borderId="0" xfId="6072" applyNumberFormat="1" applyFont="1" applyAlignment="1">
      <alignment vertical="top"/>
    </xf>
    <xf numFmtId="0" fontId="12" fillId="0" borderId="0" xfId="2142" applyFont="1" applyAlignment="1">
      <alignment horizontal="left" shrinkToFit="1"/>
    </xf>
    <xf numFmtId="0" fontId="32" fillId="11" borderId="0" xfId="0" applyFont="1" applyFill="1" applyAlignment="1">
      <alignment vertical="center"/>
    </xf>
    <xf numFmtId="0" fontId="34" fillId="0" borderId="0" xfId="0" applyFont="1" applyAlignment="1">
      <alignment wrapText="1"/>
    </xf>
    <xf numFmtId="0" fontId="3" fillId="7" borderId="0" xfId="2443" applyFont="1" applyFill="1" applyAlignment="1">
      <alignment vertical="center"/>
    </xf>
    <xf numFmtId="0" fontId="2" fillId="0" borderId="0" xfId="2310" applyFont="1" applyAlignment="1" applyProtection="1">
      <alignment vertical="center"/>
      <protection locked="0"/>
    </xf>
    <xf numFmtId="0" fontId="3" fillId="7" borderId="0" xfId="0" applyFont="1" applyFill="1" applyAlignment="1">
      <alignment vertical="center"/>
    </xf>
    <xf numFmtId="0" fontId="13" fillId="13" borderId="7" xfId="0" applyFont="1" applyFill="1" applyBorder="1" applyAlignment="1">
      <alignment vertical="center"/>
    </xf>
    <xf numFmtId="0" fontId="13" fillId="13" borderId="8" xfId="0" applyFont="1" applyFill="1" applyBorder="1" applyAlignment="1">
      <alignment vertical="center"/>
    </xf>
    <xf numFmtId="0" fontId="13" fillId="0" borderId="0" xfId="0" applyFont="1" applyAlignment="1">
      <alignment vertical="center" wrapText="1"/>
    </xf>
    <xf numFmtId="0" fontId="12" fillId="0" borderId="0" xfId="2063" applyFont="1" applyAlignment="1" applyProtection="1">
      <alignment horizontal="left" vertical="center"/>
      <protection locked="0"/>
    </xf>
    <xf numFmtId="0" fontId="16" fillId="0" borderId="11" xfId="0" applyFont="1" applyBorder="1" applyAlignment="1">
      <alignment horizontal="left" vertical="center"/>
    </xf>
    <xf numFmtId="0" fontId="10" fillId="0" borderId="0" xfId="0" applyFont="1" applyAlignment="1">
      <alignment horizontal="center" vertical="center"/>
    </xf>
    <xf numFmtId="0" fontId="13" fillId="0" borderId="0" xfId="0" applyFont="1" applyAlignment="1">
      <alignment vertical="center"/>
    </xf>
    <xf numFmtId="0" fontId="12" fillId="7" borderId="0" xfId="0" applyFont="1" applyFill="1" applyAlignment="1">
      <alignment horizontal="center" vertical="center"/>
    </xf>
    <xf numFmtId="0" fontId="12" fillId="7" borderId="0" xfId="0" applyFont="1" applyFill="1" applyAlignment="1">
      <alignment horizontal="center"/>
    </xf>
    <xf numFmtId="0" fontId="12" fillId="6" borderId="10" xfId="0" applyFont="1" applyFill="1" applyBorder="1" applyAlignment="1" applyProtection="1">
      <alignment horizontal="left" vertical="center"/>
      <protection locked="0"/>
    </xf>
    <xf numFmtId="0" fontId="12" fillId="6" borderId="11" xfId="0" applyFont="1" applyFill="1" applyBorder="1" applyAlignment="1" applyProtection="1">
      <alignment horizontal="left" vertical="center"/>
      <protection locked="0"/>
    </xf>
    <xf numFmtId="0" fontId="12" fillId="6" borderId="12" xfId="0" applyFont="1" applyFill="1" applyBorder="1" applyAlignment="1" applyProtection="1">
      <alignment horizontal="left" vertical="center"/>
      <protection locked="0"/>
    </xf>
    <xf numFmtId="0" fontId="25" fillId="0" borderId="13" xfId="0" applyFont="1" applyBorder="1" applyAlignment="1">
      <alignment vertical="center"/>
    </xf>
    <xf numFmtId="0" fontId="25" fillId="0" borderId="0" xfId="0" applyFont="1" applyAlignment="1">
      <alignment vertical="center"/>
    </xf>
    <xf numFmtId="0" fontId="25" fillId="0" borderId="14" xfId="0" applyFont="1" applyBorder="1" applyAlignment="1">
      <alignment vertical="center"/>
    </xf>
    <xf numFmtId="0" fontId="3" fillId="0" borderId="13" xfId="0" applyFont="1" applyBorder="1" applyAlignment="1" applyProtection="1">
      <alignment vertical="center"/>
      <protection locked="0"/>
    </xf>
    <xf numFmtId="0" fontId="3" fillId="0" borderId="14" xfId="0" applyFont="1" applyBorder="1" applyAlignment="1" applyProtection="1">
      <alignment vertical="center"/>
      <protection locked="0"/>
    </xf>
    <xf numFmtId="0" fontId="3" fillId="0" borderId="0" xfId="0" applyFont="1" applyAlignment="1" applyProtection="1">
      <alignment vertical="center" wrapText="1"/>
      <protection locked="0"/>
    </xf>
    <xf numFmtId="0" fontId="3" fillId="0" borderId="14" xfId="0" applyFont="1" applyBorder="1" applyAlignment="1" applyProtection="1">
      <alignment vertical="center" wrapText="1"/>
      <protection locked="0"/>
    </xf>
    <xf numFmtId="0" fontId="3" fillId="0" borderId="15" xfId="0" applyFont="1" applyBorder="1" applyAlignment="1" applyProtection="1">
      <alignment vertical="center"/>
      <protection locked="0"/>
    </xf>
    <xf numFmtId="0" fontId="3" fillId="0" borderId="16" xfId="0" applyFont="1" applyBorder="1" applyAlignment="1" applyProtection="1">
      <alignment vertical="center"/>
      <protection locked="0"/>
    </xf>
    <xf numFmtId="0" fontId="3" fillId="0" borderId="17" xfId="0" applyFont="1" applyBorder="1" applyAlignment="1" applyProtection="1">
      <alignment vertical="center"/>
      <protection locked="0"/>
    </xf>
    <xf numFmtId="0" fontId="16" fillId="0" borderId="0" xfId="2310" applyFont="1" applyAlignment="1" applyProtection="1">
      <alignment horizontal="center" vertical="center"/>
      <protection locked="0"/>
    </xf>
    <xf numFmtId="10" fontId="3" fillId="0" borderId="9" xfId="0" applyNumberFormat="1" applyFont="1" applyBorder="1" applyAlignment="1">
      <alignment horizontal="right" vertical="center" shrinkToFit="1"/>
    </xf>
    <xf numFmtId="181" fontId="3" fillId="0" borderId="9" xfId="1613" applyFont="1" applyFill="1" applyBorder="1" applyAlignment="1" applyProtection="1">
      <alignment horizontal="right" vertical="center" shrinkToFit="1"/>
      <protection locked="0"/>
    </xf>
    <xf numFmtId="0" fontId="12" fillId="7" borderId="0" xfId="2443" applyFont="1" applyFill="1" applyAlignment="1">
      <alignment horizontal="right" vertical="center"/>
    </xf>
    <xf numFmtId="0" fontId="3" fillId="0" borderId="0" xfId="2142" applyFont="1" applyAlignment="1" applyProtection="1">
      <alignment vertical="center" wrapText="1"/>
      <protection locked="0"/>
    </xf>
    <xf numFmtId="0" fontId="3" fillId="0" borderId="0" xfId="2443" applyFont="1" applyAlignment="1">
      <alignment vertical="center"/>
    </xf>
    <xf numFmtId="0" fontId="2" fillId="0" borderId="0" xfId="2142" applyFont="1" applyAlignment="1">
      <alignment vertical="center"/>
    </xf>
    <xf numFmtId="0" fontId="42" fillId="0" borderId="0" xfId="2142" applyFont="1" applyAlignment="1">
      <alignment vertical="center"/>
    </xf>
    <xf numFmtId="0" fontId="43" fillId="0" borderId="0" xfId="2142" applyFont="1" applyAlignment="1">
      <alignment vertical="center"/>
    </xf>
    <xf numFmtId="0" fontId="3" fillId="0" borderId="0" xfId="2311" applyFont="1" applyAlignment="1">
      <alignment horizontal="left" vertical="center"/>
    </xf>
    <xf numFmtId="0" fontId="12" fillId="0" borderId="0" xfId="2311" applyFont="1" applyAlignment="1">
      <alignment horizontal="right" vertical="center"/>
    </xf>
    <xf numFmtId="181" fontId="12" fillId="0" borderId="0" xfId="228" applyFont="1" applyFill="1" applyBorder="1" applyAlignment="1">
      <alignment vertical="center" wrapText="1"/>
    </xf>
    <xf numFmtId="0" fontId="12" fillId="0" borderId="0" xfId="2311" applyFont="1" applyAlignment="1">
      <alignment vertical="center" wrapText="1"/>
    </xf>
    <xf numFmtId="49" fontId="2" fillId="0" borderId="0" xfId="2142" applyNumberFormat="1" applyFont="1" applyAlignment="1">
      <alignment vertical="center"/>
    </xf>
    <xf numFmtId="0" fontId="4" fillId="8" borderId="0" xfId="0" applyFont="1" applyFill="1" applyAlignment="1" applyProtection="1">
      <alignment vertical="center"/>
      <protection locked="0"/>
    </xf>
    <xf numFmtId="0" fontId="16" fillId="0" borderId="0" xfId="2142" applyFont="1" applyAlignment="1">
      <alignment vertical="center"/>
    </xf>
    <xf numFmtId="0" fontId="33" fillId="0" borderId="0" xfId="0" applyFont="1" applyAlignment="1">
      <alignment vertical="center"/>
    </xf>
    <xf numFmtId="0" fontId="33" fillId="0" borderId="0" xfId="0" applyFont="1" applyAlignment="1">
      <alignment vertical="top"/>
    </xf>
    <xf numFmtId="0" fontId="16" fillId="0" borderId="0" xfId="0" applyFont="1" applyAlignment="1">
      <alignment vertical="top"/>
    </xf>
    <xf numFmtId="0" fontId="33" fillId="0" borderId="0" xfId="0" applyFont="1" applyAlignment="1">
      <alignment horizontal="left" vertical="center"/>
    </xf>
    <xf numFmtId="0" fontId="33" fillId="0" borderId="0" xfId="0" applyFont="1" applyAlignment="1">
      <alignment horizontal="left" vertical="top" wrapText="1"/>
    </xf>
    <xf numFmtId="0" fontId="16" fillId="0" borderId="0" xfId="0" applyFont="1" applyAlignment="1">
      <alignment horizontal="left" vertical="top" wrapText="1"/>
    </xf>
    <xf numFmtId="0" fontId="32" fillId="0" borderId="0" xfId="2142" applyFont="1" applyAlignment="1">
      <alignment vertical="center"/>
    </xf>
    <xf numFmtId="49" fontId="16" fillId="0" borderId="0" xfId="0" applyNumberFormat="1" applyFont="1" applyAlignment="1">
      <alignment vertical="center"/>
    </xf>
    <xf numFmtId="0" fontId="2" fillId="8" borderId="0" xfId="0" applyFont="1" applyFill="1" applyAlignment="1" applyProtection="1">
      <alignment vertical="center"/>
      <protection locked="0"/>
    </xf>
    <xf numFmtId="0" fontId="2" fillId="0" borderId="0" xfId="0" applyFont="1" applyAlignment="1" applyProtection="1">
      <alignment vertical="center"/>
      <protection locked="0"/>
    </xf>
    <xf numFmtId="0" fontId="4" fillId="0" borderId="0" xfId="0" applyFont="1" applyAlignment="1" applyProtection="1">
      <alignment vertical="center"/>
      <protection locked="0"/>
    </xf>
    <xf numFmtId="0" fontId="3" fillId="0" borderId="0" xfId="0" applyFont="1" applyAlignment="1">
      <alignment horizontal="center" vertical="center"/>
    </xf>
    <xf numFmtId="181" fontId="2" fillId="0" borderId="0" xfId="228" applyFont="1" applyFill="1" applyBorder="1" applyAlignment="1">
      <alignment vertical="center"/>
    </xf>
    <xf numFmtId="0" fontId="2" fillId="0" borderId="0" xfId="0" applyFont="1" applyAlignment="1">
      <alignment vertical="center"/>
    </xf>
    <xf numFmtId="0" fontId="2" fillId="7" borderId="0" xfId="2142" applyFont="1" applyFill="1" applyAlignment="1">
      <alignment vertical="center"/>
    </xf>
    <xf numFmtId="0" fontId="16" fillId="0" borderId="0" xfId="2142" applyFont="1" applyAlignment="1" applyProtection="1">
      <alignment vertical="center"/>
      <protection locked="0"/>
    </xf>
    <xf numFmtId="0" fontId="2" fillId="0" borderId="0" xfId="2142" applyFont="1" applyAlignment="1" applyProtection="1">
      <alignment vertical="center"/>
      <protection locked="0"/>
    </xf>
    <xf numFmtId="181" fontId="2" fillId="0" borderId="0" xfId="228" applyFont="1" applyAlignment="1" applyProtection="1">
      <alignment vertical="center"/>
      <protection locked="0"/>
    </xf>
    <xf numFmtId="181" fontId="2" fillId="0" borderId="0" xfId="2142" applyNumberFormat="1" applyFont="1" applyAlignment="1" applyProtection="1">
      <alignment vertical="center"/>
      <protection locked="0"/>
    </xf>
    <xf numFmtId="0" fontId="6" fillId="2" borderId="1" xfId="0" applyFont="1" applyFill="1" applyBorder="1" applyAlignment="1" applyProtection="1">
      <alignment horizontal="centerContinuous" vertical="center"/>
      <protection locked="0"/>
    </xf>
    <xf numFmtId="0" fontId="6" fillId="2" borderId="7" xfId="0" applyFont="1" applyFill="1" applyBorder="1" applyAlignment="1" applyProtection="1">
      <alignment horizontal="centerContinuous" vertical="center"/>
      <protection locked="0"/>
    </xf>
    <xf numFmtId="0" fontId="44" fillId="2" borderId="7" xfId="0" applyFont="1" applyFill="1" applyBorder="1" applyAlignment="1" applyProtection="1">
      <alignment horizontal="centerContinuous" vertical="center"/>
      <protection locked="0"/>
    </xf>
    <xf numFmtId="0" fontId="45" fillId="2" borderId="7" xfId="0" applyFont="1" applyFill="1" applyBorder="1" applyAlignment="1" applyProtection="1">
      <alignment horizontal="centerContinuous" vertical="center"/>
      <protection locked="0"/>
    </xf>
    <xf numFmtId="0" fontId="2" fillId="2" borderId="7" xfId="0" applyFont="1" applyFill="1" applyBorder="1" applyAlignment="1" applyProtection="1">
      <alignment horizontal="centerContinuous" vertical="center"/>
      <protection locked="0"/>
    </xf>
    <xf numFmtId="0" fontId="3" fillId="2" borderId="7" xfId="0" applyFont="1" applyFill="1" applyBorder="1" applyAlignment="1" applyProtection="1">
      <alignment horizontal="centerContinuous" vertical="center"/>
      <protection locked="0"/>
    </xf>
    <xf numFmtId="0" fontId="3" fillId="2" borderId="8" xfId="0" applyFont="1" applyFill="1" applyBorder="1" applyAlignment="1" applyProtection="1">
      <alignment horizontal="centerContinuous" vertical="center"/>
      <protection locked="0"/>
    </xf>
    <xf numFmtId="0" fontId="9" fillId="15" borderId="15" xfId="0" applyFont="1" applyFill="1" applyBorder="1" applyAlignment="1" applyProtection="1">
      <alignment vertical="center"/>
      <protection locked="0"/>
    </xf>
    <xf numFmtId="0" fontId="9" fillId="15" borderId="16" xfId="0" applyFont="1" applyFill="1" applyBorder="1" applyAlignment="1" applyProtection="1">
      <alignment vertical="center"/>
      <protection locked="0"/>
    </xf>
    <xf numFmtId="0" fontId="9" fillId="15" borderId="16" xfId="0" applyFont="1" applyFill="1" applyBorder="1" applyAlignment="1" applyProtection="1">
      <alignment vertical="center" wrapText="1"/>
      <protection locked="0"/>
    </xf>
    <xf numFmtId="0" fontId="9" fillId="15" borderId="16" xfId="0" applyFont="1" applyFill="1" applyBorder="1" applyAlignment="1" applyProtection="1">
      <alignment horizontal="left" vertical="center" wrapText="1"/>
      <protection locked="0"/>
    </xf>
    <xf numFmtId="0" fontId="13" fillId="15" borderId="16" xfId="0" applyFont="1" applyFill="1" applyBorder="1" applyAlignment="1" applyProtection="1">
      <alignment vertical="center" wrapText="1"/>
      <protection locked="0"/>
    </xf>
    <xf numFmtId="0" fontId="9" fillId="15" borderId="17" xfId="0" applyFont="1" applyFill="1" applyBorder="1" applyAlignment="1" applyProtection="1">
      <alignment vertical="center" wrapText="1"/>
      <protection locked="0"/>
    </xf>
    <xf numFmtId="0" fontId="9" fillId="0" borderId="0" xfId="0" applyFont="1" applyAlignment="1" applyProtection="1">
      <alignment horizontal="left" vertical="center" wrapText="1"/>
      <protection locked="0"/>
    </xf>
    <xf numFmtId="0" fontId="2" fillId="0" borderId="0" xfId="2142" applyFont="1" applyAlignment="1">
      <alignment vertical="center" wrapText="1"/>
    </xf>
    <xf numFmtId="181" fontId="2" fillId="0" borderId="0" xfId="0" applyNumberFormat="1" applyFont="1" applyAlignment="1">
      <alignment vertical="center"/>
    </xf>
    <xf numFmtId="0" fontId="2" fillId="0" borderId="0" xfId="0" applyFont="1" applyAlignment="1">
      <alignment horizontal="left" vertical="center"/>
    </xf>
    <xf numFmtId="0" fontId="12" fillId="0" borderId="0" xfId="2142" applyFont="1" applyAlignment="1">
      <alignment vertical="center"/>
    </xf>
    <xf numFmtId="0" fontId="12" fillId="0" borderId="0" xfId="0" applyFont="1" applyAlignment="1">
      <alignment horizontal="center" vertical="center"/>
    </xf>
    <xf numFmtId="0" fontId="12" fillId="0" borderId="10" xfId="0" applyFont="1" applyBorder="1" applyAlignment="1">
      <alignment vertical="center"/>
    </xf>
    <xf numFmtId="0" fontId="12" fillId="0" borderId="12" xfId="0" applyFont="1" applyBorder="1" applyAlignment="1">
      <alignment horizontal="left" vertical="center"/>
    </xf>
    <xf numFmtId="0" fontId="12" fillId="0" borderId="9" xfId="0" applyFont="1" applyBorder="1" applyAlignment="1">
      <alignment horizontal="center" vertical="center"/>
    </xf>
    <xf numFmtId="0" fontId="12" fillId="0" borderId="1" xfId="0" applyFont="1" applyBorder="1" applyAlignment="1">
      <alignment horizontal="center" vertical="center"/>
    </xf>
    <xf numFmtId="0" fontId="12" fillId="0" borderId="7" xfId="0" applyFont="1" applyBorder="1" applyAlignment="1">
      <alignment horizontal="center" vertical="center"/>
    </xf>
    <xf numFmtId="0" fontId="12" fillId="0" borderId="8" xfId="0" applyFont="1" applyBorder="1" applyAlignment="1">
      <alignment horizontal="center" vertical="center"/>
    </xf>
    <xf numFmtId="0" fontId="12" fillId="0" borderId="19" xfId="0" applyFont="1" applyBorder="1" applyAlignment="1">
      <alignment vertical="center"/>
    </xf>
    <xf numFmtId="0" fontId="26" fillId="0" borderId="0" xfId="2142" applyFont="1" applyAlignment="1">
      <alignment vertical="center"/>
    </xf>
    <xf numFmtId="0" fontId="29" fillId="8" borderId="0" xfId="0" applyFont="1" applyFill="1" applyAlignment="1" applyProtection="1">
      <alignment vertical="center"/>
      <protection locked="0"/>
    </xf>
    <xf numFmtId="0" fontId="3" fillId="0" borderId="15" xfId="0" applyFont="1" applyBorder="1" applyAlignment="1">
      <alignment vertical="center"/>
    </xf>
    <xf numFmtId="0" fontId="3" fillId="0" borderId="17" xfId="0" applyFont="1" applyBorder="1" applyAlignment="1">
      <alignment horizontal="left"/>
    </xf>
    <xf numFmtId="0" fontId="3" fillId="0" borderId="9" xfId="0" applyFont="1" applyBorder="1" applyAlignment="1">
      <alignment horizontal="center" vertical="center" wrapText="1"/>
    </xf>
    <xf numFmtId="0" fontId="3" fillId="10" borderId="9" xfId="0" applyFont="1" applyFill="1" applyBorder="1" applyAlignment="1">
      <alignment horizontal="center" vertical="center"/>
    </xf>
    <xf numFmtId="0" fontId="16" fillId="0" borderId="18" xfId="0" applyFont="1" applyBorder="1" applyAlignment="1">
      <alignment horizontal="center" vertical="top"/>
    </xf>
    <xf numFmtId="0" fontId="3" fillId="0" borderId="19" xfId="0" applyFont="1" applyBorder="1" applyAlignment="1">
      <alignment vertical="center" wrapText="1"/>
    </xf>
    <xf numFmtId="213" fontId="12" fillId="0" borderId="9" xfId="0" applyNumberFormat="1" applyFont="1" applyBorder="1" applyAlignment="1">
      <alignment horizontal="left" vertical="center" wrapText="1"/>
    </xf>
    <xf numFmtId="0" fontId="46" fillId="0" borderId="9" xfId="0" applyFont="1" applyBorder="1" applyAlignment="1">
      <alignment horizontal="center" vertical="center" wrapText="1"/>
    </xf>
    <xf numFmtId="43" fontId="3" fillId="0" borderId="9" xfId="228" applyNumberFormat="1" applyFont="1" applyFill="1" applyBorder="1" applyAlignment="1">
      <alignment horizontal="right" vertical="center" shrinkToFit="1"/>
    </xf>
    <xf numFmtId="43" fontId="16" fillId="0" borderId="9" xfId="228" applyNumberFormat="1" applyFont="1" applyFill="1" applyBorder="1" applyAlignment="1">
      <alignment horizontal="right" vertical="center"/>
    </xf>
    <xf numFmtId="0" fontId="12" fillId="0" borderId="20" xfId="0" applyFont="1" applyBorder="1" applyAlignment="1">
      <alignment vertical="center" wrapText="1"/>
    </xf>
    <xf numFmtId="0" fontId="3" fillId="0" borderId="9" xfId="0" applyFont="1" applyBorder="1" applyAlignment="1">
      <alignment horizontal="left" vertical="center"/>
    </xf>
    <xf numFmtId="0" fontId="16" fillId="0" borderId="9" xfId="0" applyFont="1" applyBorder="1" applyAlignment="1">
      <alignment horizontal="center" vertical="center" wrapText="1"/>
    </xf>
    <xf numFmtId="43" fontId="16" fillId="0" borderId="9" xfId="0" applyNumberFormat="1" applyFont="1" applyBorder="1" applyAlignment="1">
      <alignment horizontal="right" vertical="center"/>
    </xf>
    <xf numFmtId="0" fontId="16" fillId="0" borderId="9" xfId="0" applyFont="1" applyBorder="1" applyAlignment="1">
      <alignment horizontal="center" vertical="center"/>
    </xf>
    <xf numFmtId="0" fontId="12" fillId="0" borderId="20" xfId="0" applyFont="1" applyBorder="1" applyAlignment="1">
      <alignment horizontal="center" vertical="center" wrapText="1"/>
    </xf>
    <xf numFmtId="0" fontId="3" fillId="0" borderId="9" xfId="0" applyFont="1" applyBorder="1" applyAlignment="1">
      <alignment horizontal="left" vertical="center" wrapText="1"/>
    </xf>
    <xf numFmtId="0" fontId="12" fillId="0" borderId="18" xfId="0" applyFont="1" applyBorder="1" applyAlignment="1">
      <alignment vertical="center" wrapText="1"/>
    </xf>
    <xf numFmtId="0" fontId="12" fillId="0" borderId="9" xfId="0" applyFont="1" applyBorder="1" applyAlignment="1">
      <alignment horizontal="left" vertical="center" wrapText="1"/>
    </xf>
    <xf numFmtId="0" fontId="16" fillId="0" borderId="9" xfId="2346" applyFont="1" applyBorder="1" applyAlignment="1" applyProtection="1">
      <alignment horizontal="center" vertical="center"/>
      <protection locked="0"/>
    </xf>
    <xf numFmtId="43" fontId="12" fillId="0" borderId="9" xfId="228" applyNumberFormat="1" applyFont="1" applyFill="1" applyBorder="1" applyAlignment="1">
      <alignment horizontal="right" vertical="center" shrinkToFit="1"/>
    </xf>
    <xf numFmtId="0" fontId="12" fillId="0" borderId="19" xfId="0" applyFont="1" applyBorder="1" applyAlignment="1">
      <alignment vertical="center" wrapText="1"/>
    </xf>
    <xf numFmtId="43" fontId="3" fillId="0" borderId="9" xfId="228" applyNumberFormat="1" applyFont="1" applyFill="1" applyBorder="1" applyAlignment="1" applyProtection="1">
      <alignment horizontal="right" vertical="center" shrinkToFit="1"/>
    </xf>
    <xf numFmtId="0" fontId="3" fillId="0" borderId="8" xfId="0" applyFont="1" applyBorder="1" applyAlignment="1">
      <alignment horizontal="left" vertical="center"/>
    </xf>
    <xf numFmtId="0" fontId="12" fillId="0" borderId="19" xfId="0" applyFont="1" applyBorder="1" applyAlignment="1">
      <alignment horizontal="center" vertical="center" wrapText="1"/>
    </xf>
    <xf numFmtId="43" fontId="3" fillId="0" borderId="19" xfId="228" applyNumberFormat="1" applyFont="1" applyFill="1" applyBorder="1" applyAlignment="1">
      <alignment horizontal="right" vertical="center" shrinkToFit="1"/>
    </xf>
    <xf numFmtId="0" fontId="12" fillId="0" borderId="8" xfId="0" applyFont="1" applyBorder="1" applyAlignment="1">
      <alignment horizontal="left" vertical="center" wrapText="1"/>
    </xf>
    <xf numFmtId="43" fontId="12" fillId="0" borderId="1" xfId="228" applyNumberFormat="1" applyFont="1" applyFill="1" applyBorder="1" applyAlignment="1" applyProtection="1">
      <alignment horizontal="right" vertical="center" shrinkToFit="1"/>
    </xf>
    <xf numFmtId="43" fontId="12" fillId="0" borderId="9" xfId="228" applyNumberFormat="1" applyFont="1" applyFill="1" applyBorder="1" applyAlignment="1" applyProtection="1">
      <alignment horizontal="right" vertical="center" shrinkToFit="1"/>
    </xf>
    <xf numFmtId="43" fontId="12" fillId="0" borderId="8" xfId="228" applyNumberFormat="1" applyFont="1" applyFill="1" applyBorder="1" applyAlignment="1" applyProtection="1">
      <alignment horizontal="right" vertical="center" shrinkToFit="1"/>
    </xf>
    <xf numFmtId="10" fontId="3" fillId="0" borderId="9" xfId="3" applyNumberFormat="1" applyFont="1" applyFill="1" applyBorder="1" applyAlignment="1">
      <alignment vertical="center" shrinkToFit="1"/>
    </xf>
    <xf numFmtId="181" fontId="3" fillId="0" borderId="9" xfId="228" applyFont="1" applyFill="1" applyBorder="1" applyAlignment="1">
      <alignment vertical="center" shrinkToFit="1"/>
    </xf>
    <xf numFmtId="0" fontId="12" fillId="0" borderId="18" xfId="0" applyFont="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left" vertical="center" shrinkToFit="1"/>
    </xf>
    <xf numFmtId="0" fontId="3" fillId="0" borderId="0" xfId="0" applyFont="1" applyAlignment="1">
      <alignment horizontal="center" vertical="center" shrinkToFit="1"/>
    </xf>
    <xf numFmtId="10" fontId="3" fillId="0" borderId="0" xfId="3" applyNumberFormat="1" applyFont="1" applyFill="1" applyBorder="1" applyAlignment="1">
      <alignment vertical="center" shrinkToFit="1"/>
    </xf>
    <xf numFmtId="181" fontId="3" fillId="0" borderId="0" xfId="228" applyFont="1" applyFill="1" applyBorder="1" applyAlignment="1">
      <alignment vertical="center" shrinkToFit="1"/>
    </xf>
    <xf numFmtId="0" fontId="16" fillId="0" borderId="0" xfId="2143" applyFont="1" applyAlignment="1">
      <alignment vertical="center"/>
    </xf>
    <xf numFmtId="43" fontId="16" fillId="0" borderId="0" xfId="6325" applyFont="1" applyFill="1" applyBorder="1" applyAlignment="1" applyProtection="1">
      <alignment horizontal="left" vertical="center"/>
      <protection locked="0"/>
    </xf>
    <xf numFmtId="43" fontId="16" fillId="0" borderId="0" xfId="1379" applyNumberFormat="1" applyFont="1" applyFill="1" applyBorder="1" applyAlignment="1" applyProtection="1">
      <alignment horizontal="right" vertical="center" shrinkToFit="1"/>
      <protection locked="0"/>
    </xf>
    <xf numFmtId="43" fontId="3" fillId="0" borderId="0" xfId="228" applyNumberFormat="1" applyFont="1" applyFill="1" applyBorder="1" applyAlignment="1">
      <alignment horizontal="right" vertical="center" shrinkToFit="1"/>
    </xf>
    <xf numFmtId="43" fontId="3" fillId="0" borderId="0" xfId="1379" applyNumberFormat="1" applyFont="1" applyFill="1" applyBorder="1" applyAlignment="1" applyProtection="1">
      <alignment horizontal="right" vertical="center" shrinkToFit="1"/>
      <protection locked="0"/>
    </xf>
    <xf numFmtId="43" fontId="2" fillId="0" borderId="0" xfId="2143" applyNumberFormat="1" applyFont="1" applyAlignment="1">
      <alignment horizontal="right" vertical="center"/>
    </xf>
    <xf numFmtId="0" fontId="2" fillId="0" borderId="0" xfId="2143" applyFont="1" applyAlignment="1">
      <alignment vertical="center"/>
    </xf>
    <xf numFmtId="43" fontId="16" fillId="0" borderId="0" xfId="6316" applyFont="1" applyFill="1" applyBorder="1" applyAlignment="1">
      <alignment vertical="center"/>
    </xf>
    <xf numFmtId="43" fontId="2" fillId="0" borderId="0" xfId="1533" applyFont="1" applyFill="1" applyBorder="1" applyAlignment="1" applyProtection="1">
      <alignment horizontal="right" vertical="center" shrinkToFit="1"/>
      <protection locked="0"/>
    </xf>
    <xf numFmtId="43" fontId="16" fillId="0" borderId="0" xfId="6316" applyFont="1" applyFill="1" applyBorder="1" applyAlignment="1" applyProtection="1">
      <alignment horizontal="right" vertical="center" shrinkToFit="1"/>
      <protection locked="0"/>
    </xf>
    <xf numFmtId="43" fontId="3" fillId="0" borderId="0" xfId="6316" applyFont="1" applyFill="1" applyBorder="1" applyAlignment="1" applyProtection="1">
      <alignment horizontal="right" vertical="center" shrinkToFit="1"/>
      <protection locked="0"/>
    </xf>
    <xf numFmtId="43" fontId="3" fillId="0" borderId="0" xfId="6316" applyFont="1" applyFill="1" applyBorder="1" applyAlignment="1">
      <alignment horizontal="right" vertical="center"/>
    </xf>
    <xf numFmtId="43" fontId="3" fillId="0" borderId="0" xfId="6316" applyFont="1" applyFill="1" applyBorder="1" applyAlignment="1">
      <alignment vertical="center"/>
    </xf>
    <xf numFmtId="43" fontId="2" fillId="0" borderId="0" xfId="6316" applyFont="1" applyFill="1" applyBorder="1" applyAlignment="1">
      <alignment vertical="center"/>
    </xf>
    <xf numFmtId="181" fontId="16" fillId="0" borderId="0" xfId="228" applyFont="1" applyFill="1" applyBorder="1" applyAlignment="1">
      <alignment vertical="center"/>
    </xf>
    <xf numFmtId="181" fontId="16" fillId="0" borderId="0" xfId="228" applyFont="1" applyFill="1" applyBorder="1" applyAlignment="1" applyProtection="1">
      <alignment horizontal="left" vertical="center"/>
      <protection locked="0"/>
    </xf>
    <xf numFmtId="181" fontId="2" fillId="0" borderId="0" xfId="1528" applyFont="1" applyFill="1" applyBorder="1" applyAlignment="1" applyProtection="1">
      <alignment horizontal="right" vertical="center" shrinkToFit="1"/>
      <protection locked="0"/>
    </xf>
    <xf numFmtId="181" fontId="16" fillId="0" borderId="0" xfId="228" applyFont="1" applyFill="1" applyBorder="1" applyAlignment="1" applyProtection="1">
      <alignment horizontal="right" vertical="center" shrinkToFit="1"/>
      <protection locked="0"/>
    </xf>
    <xf numFmtId="181" fontId="3" fillId="0" borderId="0" xfId="228" applyFont="1" applyFill="1" applyBorder="1" applyAlignment="1" applyProtection="1">
      <alignment horizontal="right" vertical="center" shrinkToFit="1"/>
      <protection locked="0"/>
    </xf>
    <xf numFmtId="0" fontId="16" fillId="0" borderId="0" xfId="2142" applyFont="1" applyAlignment="1">
      <alignment horizontal="left" vertical="center"/>
    </xf>
    <xf numFmtId="0" fontId="26" fillId="0" borderId="10" xfId="2142" applyFont="1" applyBorder="1" applyAlignment="1">
      <alignment vertical="center"/>
    </xf>
    <xf numFmtId="0" fontId="26" fillId="0" borderId="11" xfId="2142" applyFont="1" applyBorder="1" applyAlignment="1">
      <alignment vertical="center"/>
    </xf>
    <xf numFmtId="0" fontId="26" fillId="0" borderId="11" xfId="2142" applyFont="1" applyBorder="1" applyAlignment="1">
      <alignment horizontal="center" vertical="center"/>
    </xf>
    <xf numFmtId="0" fontId="26" fillId="0" borderId="12" xfId="2142" applyFont="1" applyBorder="1" applyAlignment="1">
      <alignment vertical="center"/>
    </xf>
    <xf numFmtId="0" fontId="16" fillId="0" borderId="1" xfId="0" applyFont="1" applyBorder="1" applyAlignment="1" applyProtection="1">
      <alignment horizontal="center" vertical="center"/>
      <protection locked="0"/>
    </xf>
    <xf numFmtId="0" fontId="16" fillId="0" borderId="7" xfId="0" applyFont="1" applyBorder="1" applyAlignment="1" applyProtection="1">
      <alignment horizontal="center" vertical="center"/>
      <protection locked="0"/>
    </xf>
    <xf numFmtId="0" fontId="16" fillId="0" borderId="8" xfId="0" applyFont="1" applyBorder="1" applyAlignment="1" applyProtection="1">
      <alignment horizontal="center" vertical="center"/>
      <protection locked="0"/>
    </xf>
    <xf numFmtId="0" fontId="10" fillId="0" borderId="0" xfId="2142" applyFont="1" applyAlignment="1">
      <alignment vertical="center"/>
    </xf>
    <xf numFmtId="0" fontId="26" fillId="0" borderId="9" xfId="2142" applyFont="1" applyBorder="1" applyAlignment="1">
      <alignment horizontal="center" vertical="center"/>
    </xf>
    <xf numFmtId="0" fontId="26" fillId="0" borderId="9" xfId="0" applyFont="1" applyBorder="1" applyAlignment="1">
      <alignment horizontal="center" vertical="center"/>
    </xf>
    <xf numFmtId="0" fontId="2" fillId="0" borderId="0" xfId="0" applyFont="1" applyAlignment="1">
      <alignment horizontal="center" vertical="center"/>
    </xf>
    <xf numFmtId="0" fontId="5" fillId="0" borderId="9" xfId="228" applyNumberFormat="1" applyFont="1" applyFill="1" applyBorder="1" applyAlignment="1" applyProtection="1">
      <alignment vertical="center"/>
      <protection locked="0"/>
    </xf>
    <xf numFmtId="181" fontId="5" fillId="0" borderId="9" xfId="228" applyFont="1" applyFill="1" applyBorder="1" applyAlignment="1" applyProtection="1">
      <alignment horizontal="right" vertical="center" shrinkToFit="1"/>
      <protection locked="0"/>
    </xf>
    <xf numFmtId="181" fontId="2" fillId="0" borderId="9" xfId="228" applyFont="1" applyBorder="1" applyAlignment="1">
      <alignment horizontal="right" vertical="center" shrinkToFit="1"/>
    </xf>
    <xf numFmtId="181" fontId="2" fillId="0" borderId="9" xfId="228" applyFont="1" applyFill="1" applyBorder="1" applyAlignment="1">
      <alignment horizontal="right" vertical="center" shrinkToFit="1"/>
    </xf>
    <xf numFmtId="0" fontId="16" fillId="7" borderId="0" xfId="2142" applyFont="1" applyFill="1" applyAlignment="1">
      <alignment vertical="center"/>
    </xf>
    <xf numFmtId="181" fontId="2" fillId="7" borderId="9" xfId="228" applyFont="1" applyFill="1" applyBorder="1" applyAlignment="1">
      <alignment horizontal="right" vertical="center" shrinkToFit="1"/>
    </xf>
    <xf numFmtId="0" fontId="47" fillId="0" borderId="0" xfId="2142" applyFont="1" applyAlignment="1">
      <alignment vertical="center"/>
    </xf>
    <xf numFmtId="0" fontId="16" fillId="0" borderId="0" xfId="2142" applyFont="1" applyAlignment="1">
      <alignment horizontal="left" shrinkToFit="1"/>
    </xf>
    <xf numFmtId="0" fontId="26" fillId="0" borderId="9" xfId="2142" applyFont="1" applyBorder="1" applyAlignment="1">
      <alignment vertical="center"/>
    </xf>
    <xf numFmtId="181" fontId="26" fillId="0" borderId="9" xfId="228" applyFont="1" applyBorder="1" applyAlignment="1">
      <alignment horizontal="right" vertical="center" shrinkToFit="1"/>
    </xf>
    <xf numFmtId="0" fontId="26" fillId="0" borderId="0" xfId="0" applyFont="1" applyAlignment="1">
      <alignment vertical="center"/>
    </xf>
    <xf numFmtId="0" fontId="16" fillId="0" borderId="0" xfId="2346" applyFont="1" applyAlignment="1" applyProtection="1">
      <alignment horizontal="center" vertical="top"/>
      <protection locked="0"/>
    </xf>
    <xf numFmtId="0" fontId="43" fillId="0" borderId="0" xfId="6236" applyFont="1" applyAlignment="1"/>
    <xf numFmtId="0" fontId="3" fillId="0" borderId="0" xfId="228" applyNumberFormat="1" applyFont="1" applyFill="1" applyBorder="1" applyAlignment="1" applyProtection="1">
      <alignment horizontal="left" vertical="center"/>
      <protection locked="0"/>
    </xf>
    <xf numFmtId="181" fontId="3" fillId="0" borderId="0" xfId="228" applyFont="1" applyFill="1" applyBorder="1" applyAlignment="1" applyProtection="1">
      <alignment horizontal="right" vertical="center"/>
      <protection locked="0"/>
    </xf>
    <xf numFmtId="181" fontId="16" fillId="0" borderId="0" xfId="228" applyFont="1" applyFill="1" applyBorder="1" applyAlignment="1" applyProtection="1">
      <alignment horizontal="right" vertical="center"/>
      <protection locked="0"/>
    </xf>
    <xf numFmtId="181" fontId="3" fillId="0" borderId="0" xfId="228" applyFont="1" applyBorder="1" applyAlignment="1">
      <alignment horizontal="right" vertical="center"/>
    </xf>
    <xf numFmtId="181" fontId="16" fillId="0" borderId="0" xfId="228" applyFont="1" applyFill="1" applyAlignment="1" applyProtection="1">
      <alignment horizontal="right" vertical="center"/>
      <protection locked="0"/>
    </xf>
    <xf numFmtId="0" fontId="12" fillId="0" borderId="0" xfId="2125" applyFont="1" applyAlignment="1">
      <alignment horizontal="left" vertical="center"/>
    </xf>
    <xf numFmtId="14" fontId="12" fillId="0" borderId="0" xfId="2125" applyNumberFormat="1" applyFont="1" applyAlignment="1">
      <alignment horizontal="center" vertical="center"/>
    </xf>
    <xf numFmtId="212" fontId="25" fillId="0" borderId="0" xfId="2663" applyNumberFormat="1" applyFont="1" applyAlignment="1" applyProtection="1">
      <alignment horizontal="left" vertical="center" wrapText="1"/>
      <protection locked="0"/>
    </xf>
    <xf numFmtId="0" fontId="14" fillId="0" borderId="0" xfId="0" applyFont="1" applyAlignment="1">
      <alignment horizontal="left" vertical="top"/>
    </xf>
    <xf numFmtId="0" fontId="48" fillId="0" borderId="0" xfId="0" applyFont="1" applyAlignment="1">
      <alignment vertical="center"/>
    </xf>
    <xf numFmtId="181" fontId="3" fillId="0" borderId="0" xfId="6524" applyFont="1" applyAlignment="1">
      <alignment vertical="center"/>
    </xf>
    <xf numFmtId="181" fontId="3" fillId="0" borderId="0" xfId="6524" applyFont="1" applyFill="1" applyAlignment="1">
      <alignment vertical="center"/>
    </xf>
    <xf numFmtId="0" fontId="49" fillId="0" borderId="0" xfId="2142" applyFont="1" applyAlignment="1">
      <alignment horizontal="left" vertical="center"/>
    </xf>
    <xf numFmtId="0" fontId="12" fillId="0" borderId="11" xfId="0" applyFont="1" applyBorder="1" applyAlignment="1">
      <alignment vertical="center"/>
    </xf>
    <xf numFmtId="0" fontId="16" fillId="0" borderId="11" xfId="0" applyFont="1" applyBorder="1" applyAlignment="1">
      <alignment vertical="center"/>
    </xf>
    <xf numFmtId="0" fontId="3" fillId="0" borderId="11" xfId="0" applyFont="1" applyBorder="1" applyAlignment="1">
      <alignment vertical="center"/>
    </xf>
    <xf numFmtId="0" fontId="3" fillId="0" borderId="12" xfId="0" applyFont="1" applyBorder="1" applyAlignment="1">
      <alignment vertical="center"/>
    </xf>
    <xf numFmtId="0" fontId="12" fillId="0" borderId="13" xfId="0" applyFont="1" applyBorder="1" applyAlignment="1">
      <alignment vertical="center"/>
    </xf>
    <xf numFmtId="0" fontId="3" fillId="0" borderId="14" xfId="0" applyFont="1" applyBorder="1" applyAlignment="1">
      <alignment vertical="center"/>
    </xf>
    <xf numFmtId="0" fontId="3" fillId="0" borderId="13" xfId="0" applyFont="1" applyBorder="1" applyAlignment="1">
      <alignment horizontal="left" vertical="center"/>
    </xf>
    <xf numFmtId="0" fontId="16" fillId="0" borderId="0" xfId="0" applyFont="1" applyAlignment="1">
      <alignment horizontal="left" vertical="top"/>
    </xf>
    <xf numFmtId="0" fontId="3" fillId="0" borderId="13" xfId="0" applyFont="1" applyBorder="1" applyAlignment="1">
      <alignment vertical="center"/>
    </xf>
    <xf numFmtId="181" fontId="3" fillId="0" borderId="16" xfId="6524" applyFont="1" applyBorder="1" applyAlignment="1">
      <alignment horizontal="right" vertical="center" shrinkToFit="1"/>
    </xf>
    <xf numFmtId="0" fontId="16" fillId="0" borderId="13" xfId="0" applyFont="1" applyBorder="1" applyAlignment="1">
      <alignment vertical="center"/>
    </xf>
    <xf numFmtId="181" fontId="3" fillId="0" borderId="0" xfId="6524" applyFont="1" applyBorder="1" applyAlignment="1">
      <alignment horizontal="right" vertical="center" shrinkToFit="1"/>
    </xf>
    <xf numFmtId="181" fontId="3" fillId="0" borderId="21" xfId="6524" applyFont="1" applyBorder="1" applyAlignment="1">
      <alignment horizontal="right" vertical="center" shrinkToFit="1"/>
    </xf>
    <xf numFmtId="0" fontId="3" fillId="0" borderId="16" xfId="0" applyFont="1" applyBorder="1" applyAlignment="1">
      <alignment vertical="center"/>
    </xf>
    <xf numFmtId="14" fontId="3" fillId="0" borderId="17" xfId="0" applyNumberFormat="1" applyFont="1" applyBorder="1" applyAlignment="1">
      <alignment vertical="center"/>
    </xf>
    <xf numFmtId="0" fontId="12" fillId="0" borderId="0" xfId="2344" applyFont="1" applyAlignment="1">
      <alignment vertical="center"/>
    </xf>
    <xf numFmtId="181" fontId="3" fillId="0" borderId="0" xfId="6524" applyFont="1" applyAlignment="1">
      <alignment horizontal="right" vertical="center" shrinkToFit="1"/>
    </xf>
    <xf numFmtId="0" fontId="40" fillId="0" borderId="0" xfId="0" applyFont="1" applyAlignment="1">
      <alignment horizontal="center" vertical="center"/>
    </xf>
    <xf numFmtId="0" fontId="12" fillId="0" borderId="0" xfId="2125" applyFont="1" applyAlignment="1">
      <alignment horizontal="center" vertical="center"/>
    </xf>
    <xf numFmtId="0" fontId="50" fillId="0" borderId="10" xfId="0" applyFont="1" applyBorder="1" applyAlignment="1">
      <alignment horizontal="left" vertical="center" wrapText="1"/>
    </xf>
    <xf numFmtId="0" fontId="50" fillId="0" borderId="11" xfId="0" applyFont="1" applyBorder="1" applyAlignment="1">
      <alignment horizontal="left" vertical="center" wrapText="1"/>
    </xf>
    <xf numFmtId="0" fontId="50" fillId="0" borderId="12" xfId="0" applyFont="1" applyBorder="1" applyAlignment="1">
      <alignment horizontal="left" vertical="center" wrapText="1"/>
    </xf>
    <xf numFmtId="0" fontId="50" fillId="0" borderId="13" xfId="0" applyFont="1" applyBorder="1" applyAlignment="1">
      <alignment horizontal="left" vertical="center" wrapText="1"/>
    </xf>
    <xf numFmtId="0" fontId="50" fillId="0" borderId="0" xfId="0" applyFont="1" applyAlignment="1">
      <alignment horizontal="left" vertical="center" wrapText="1"/>
    </xf>
    <xf numFmtId="0" fontId="50" fillId="0" borderId="14" xfId="0" applyFont="1" applyBorder="1" applyAlignment="1">
      <alignment horizontal="left" vertical="center" wrapText="1"/>
    </xf>
    <xf numFmtId="0" fontId="50" fillId="0" borderId="15" xfId="0" applyFont="1" applyBorder="1" applyAlignment="1">
      <alignment horizontal="left" vertical="center" wrapText="1"/>
    </xf>
    <xf numFmtId="0" fontId="50" fillId="0" borderId="16" xfId="0" applyFont="1" applyBorder="1" applyAlignment="1">
      <alignment horizontal="left" vertical="center" wrapText="1"/>
    </xf>
    <xf numFmtId="0" fontId="50" fillId="0" borderId="17" xfId="0" applyFont="1" applyBorder="1" applyAlignment="1">
      <alignment horizontal="left" vertical="center" wrapText="1"/>
    </xf>
    <xf numFmtId="0" fontId="2" fillId="0" borderId="0" xfId="2142" applyFont="1" applyAlignment="1" applyProtection="1">
      <alignment horizontal="left" vertical="center"/>
      <protection locked="0"/>
    </xf>
    <xf numFmtId="0" fontId="2" fillId="7" borderId="0" xfId="0" applyFont="1" applyFill="1" applyAlignment="1">
      <alignment vertical="center"/>
    </xf>
    <xf numFmtId="0" fontId="2" fillId="7" borderId="0" xfId="0" applyFont="1" applyFill="1" applyAlignment="1">
      <alignment horizontal="left" vertical="center"/>
    </xf>
    <xf numFmtId="10" fontId="2" fillId="7" borderId="0" xfId="0" applyNumberFormat="1" applyFont="1" applyFill="1" applyAlignment="1">
      <alignment vertical="center"/>
    </xf>
    <xf numFmtId="49" fontId="10" fillId="7" borderId="0" xfId="0" applyNumberFormat="1" applyFont="1" applyFill="1" applyAlignment="1">
      <alignment vertical="center"/>
    </xf>
    <xf numFmtId="0" fontId="2" fillId="0" borderId="0" xfId="2311" applyFont="1" applyProtection="1">
      <alignment vertical="center"/>
      <protection locked="0"/>
    </xf>
    <xf numFmtId="0" fontId="2" fillId="0" borderId="0" xfId="0" applyFont="1" applyAlignment="1" applyProtection="1">
      <alignment horizontal="left" vertical="center"/>
      <protection locked="0"/>
    </xf>
    <xf numFmtId="0" fontId="2" fillId="0" borderId="0" xfId="2310" applyFont="1" applyAlignment="1" applyProtection="1">
      <alignment horizontal="left" vertical="center"/>
      <protection locked="0"/>
    </xf>
    <xf numFmtId="0" fontId="7" fillId="2" borderId="22" xfId="0" applyFont="1" applyFill="1" applyBorder="1" applyAlignment="1" applyProtection="1">
      <alignment horizontal="left" vertical="center"/>
      <protection locked="0"/>
    </xf>
    <xf numFmtId="0" fontId="34" fillId="2" borderId="23" xfId="0" applyFont="1" applyFill="1" applyBorder="1" applyAlignment="1" applyProtection="1">
      <alignment horizontal="centerContinuous" vertical="center"/>
      <protection locked="0"/>
    </xf>
    <xf numFmtId="0" fontId="44" fillId="3" borderId="24" xfId="0" applyFont="1" applyFill="1" applyBorder="1" applyAlignment="1" applyProtection="1">
      <alignment horizontal="centerContinuous" vertical="center"/>
      <protection locked="0"/>
    </xf>
    <xf numFmtId="0" fontId="45" fillId="3" borderId="24" xfId="0" applyFont="1" applyFill="1" applyBorder="1" applyAlignment="1" applyProtection="1">
      <alignment horizontal="centerContinuous" vertical="center"/>
      <protection locked="0"/>
    </xf>
    <xf numFmtId="0" fontId="44" fillId="3" borderId="25" xfId="0" applyFont="1" applyFill="1" applyBorder="1" applyAlignment="1" applyProtection="1">
      <alignment horizontal="centerContinuous" vertical="center"/>
      <protection locked="0"/>
    </xf>
    <xf numFmtId="0" fontId="51" fillId="15" borderId="26" xfId="0" applyFont="1" applyFill="1" applyBorder="1" applyAlignment="1">
      <alignment horizontal="left" vertical="center"/>
    </xf>
    <xf numFmtId="0" fontId="51" fillId="15" borderId="19" xfId="2335" applyFont="1" applyFill="1" applyBorder="1" applyAlignment="1" applyProtection="1">
      <alignment horizontal="right" vertical="center"/>
      <protection locked="0"/>
    </xf>
    <xf numFmtId="0" fontId="9" fillId="15" borderId="22" xfId="0" applyFont="1" applyFill="1" applyBorder="1" applyAlignment="1">
      <alignment horizontal="left" vertical="center" wrapText="1" indent="16"/>
    </xf>
    <xf numFmtId="0" fontId="9" fillId="15" borderId="23" xfId="0" applyFont="1" applyFill="1" applyBorder="1" applyAlignment="1">
      <alignment horizontal="left" vertical="center" wrapText="1" indent="16"/>
    </xf>
    <xf numFmtId="0" fontId="9" fillId="15" borderId="27" xfId="0" applyFont="1" applyFill="1" applyBorder="1" applyAlignment="1">
      <alignment horizontal="left" vertical="center" wrapText="1" indent="16"/>
    </xf>
    <xf numFmtId="0" fontId="51" fillId="15" borderId="28" xfId="0" applyFont="1" applyFill="1" applyBorder="1" applyAlignment="1">
      <alignment horizontal="left" vertical="center"/>
    </xf>
    <xf numFmtId="14" fontId="51" fillId="15" borderId="20" xfId="2335" applyNumberFormat="1" applyFont="1" applyFill="1" applyBorder="1" applyAlignment="1" applyProtection="1">
      <alignment horizontal="right" vertical="center"/>
      <protection locked="0"/>
    </xf>
    <xf numFmtId="0" fontId="9" fillId="15" borderId="28" xfId="0" applyFont="1" applyFill="1" applyBorder="1" applyAlignment="1">
      <alignment horizontal="left" vertical="center" wrapText="1" indent="16"/>
    </xf>
    <xf numFmtId="0" fontId="9" fillId="15" borderId="0" xfId="0" applyFont="1" applyFill="1" applyAlignment="1">
      <alignment horizontal="left" vertical="center" wrapText="1" indent="16"/>
    </xf>
    <xf numFmtId="0" fontId="9" fillId="15" borderId="29" xfId="0" applyFont="1" applyFill="1" applyBorder="1" applyAlignment="1">
      <alignment horizontal="left" vertical="center" wrapText="1" indent="16"/>
    </xf>
    <xf numFmtId="181" fontId="51" fillId="15" borderId="20" xfId="228" applyFont="1" applyFill="1" applyBorder="1" applyAlignment="1" applyProtection="1">
      <alignment horizontal="right" vertical="center" shrinkToFit="1"/>
      <protection locked="0"/>
    </xf>
    <xf numFmtId="0" fontId="51" fillId="15" borderId="30" xfId="0" applyFont="1" applyFill="1" applyBorder="1" applyAlignment="1">
      <alignment horizontal="left" vertical="center"/>
    </xf>
    <xf numFmtId="0" fontId="51" fillId="15" borderId="20" xfId="791" applyNumberFormat="1" applyFont="1" applyFill="1" applyBorder="1" applyAlignment="1" applyProtection="1">
      <alignment horizontal="right" vertical="center"/>
      <protection locked="0"/>
    </xf>
    <xf numFmtId="0" fontId="51" fillId="15" borderId="20" xfId="2335" applyFont="1" applyFill="1" applyBorder="1" applyAlignment="1" applyProtection="1">
      <alignment horizontal="right" vertical="center"/>
      <protection locked="0"/>
    </xf>
    <xf numFmtId="0" fontId="9" fillId="15" borderId="31" xfId="0" applyFont="1" applyFill="1" applyBorder="1" applyAlignment="1" applyProtection="1">
      <alignment vertical="center"/>
      <protection locked="0"/>
    </xf>
    <xf numFmtId="0" fontId="9" fillId="15" borderId="32" xfId="0" applyFont="1" applyFill="1" applyBorder="1" applyAlignment="1" applyProtection="1">
      <alignment vertical="center" wrapText="1"/>
      <protection locked="0"/>
    </xf>
    <xf numFmtId="0" fontId="13" fillId="15" borderId="32" xfId="0" applyFont="1" applyFill="1" applyBorder="1" applyAlignment="1" applyProtection="1">
      <alignment vertical="center" wrapText="1"/>
      <protection locked="0"/>
    </xf>
    <xf numFmtId="0" fontId="9" fillId="15" borderId="33" xfId="0" applyFont="1" applyFill="1" applyBorder="1" applyAlignment="1" applyProtection="1">
      <alignment vertical="center" wrapText="1"/>
      <protection locked="0"/>
    </xf>
    <xf numFmtId="0" fontId="12" fillId="6" borderId="1" xfId="0" applyFont="1" applyFill="1" applyBorder="1" applyAlignment="1">
      <alignment horizontal="center" vertical="center"/>
    </xf>
    <xf numFmtId="0" fontId="12" fillId="6" borderId="8" xfId="0" applyFont="1" applyFill="1" applyBorder="1" applyAlignment="1">
      <alignment horizontal="centerContinuous" vertical="center"/>
    </xf>
    <xf numFmtId="0" fontId="12" fillId="16" borderId="1" xfId="0" applyFont="1" applyFill="1" applyBorder="1" applyAlignment="1">
      <alignment horizontal="center" vertical="center"/>
    </xf>
    <xf numFmtId="0" fontId="12" fillId="16" borderId="7" xfId="0" applyFont="1" applyFill="1" applyBorder="1" applyAlignment="1">
      <alignment horizontal="center" vertical="center"/>
    </xf>
    <xf numFmtId="0" fontId="12" fillId="16" borderId="32" xfId="0" applyFont="1" applyFill="1" applyBorder="1" applyAlignment="1">
      <alignment horizontal="center" vertical="center"/>
    </xf>
    <xf numFmtId="0" fontId="12" fillId="16" borderId="8" xfId="0" applyFont="1" applyFill="1" applyBorder="1" applyAlignment="1">
      <alignment horizontal="center" vertical="center"/>
    </xf>
    <xf numFmtId="0" fontId="12" fillId="6" borderId="9" xfId="0" applyFont="1" applyFill="1" applyBorder="1" applyAlignment="1">
      <alignment horizontal="center" vertical="center"/>
    </xf>
    <xf numFmtId="0" fontId="5" fillId="0" borderId="1" xfId="0" applyFont="1" applyBorder="1" applyAlignment="1">
      <alignment vertical="center"/>
    </xf>
    <xf numFmtId="0" fontId="5" fillId="0" borderId="16" xfId="0" applyFont="1" applyBorder="1" applyAlignment="1">
      <alignment vertical="center"/>
    </xf>
    <xf numFmtId="0" fontId="5" fillId="0" borderId="17" xfId="0" applyFont="1" applyBorder="1" applyAlignment="1">
      <alignment vertical="center"/>
    </xf>
    <xf numFmtId="0" fontId="5" fillId="0" borderId="9" xfId="0" applyFont="1" applyBorder="1" applyAlignment="1">
      <alignment horizontal="center" vertical="center"/>
    </xf>
    <xf numFmtId="0" fontId="5" fillId="7" borderId="9" xfId="0" applyFont="1" applyFill="1" applyBorder="1" applyAlignment="1" applyProtection="1">
      <alignment horizontal="center" vertical="center"/>
      <protection locked="0"/>
    </xf>
    <xf numFmtId="181" fontId="5" fillId="7" borderId="18" xfId="228" applyFont="1" applyFill="1" applyBorder="1" applyAlignment="1" applyProtection="1">
      <alignment horizontal="right" vertical="center" shrinkToFit="1"/>
      <protection locked="0"/>
    </xf>
    <xf numFmtId="181" fontId="2" fillId="7" borderId="20" xfId="228" applyFont="1" applyFill="1" applyBorder="1" applyAlignment="1" applyProtection="1">
      <alignment horizontal="right" vertical="center" shrinkToFit="1"/>
      <protection locked="0"/>
    </xf>
    <xf numFmtId="0" fontId="46" fillId="0" borderId="9" xfId="0" applyFont="1" applyBorder="1" applyAlignment="1">
      <alignment horizontal="center" vertical="center"/>
    </xf>
    <xf numFmtId="0" fontId="5" fillId="0" borderId="7" xfId="0" applyFont="1" applyBorder="1" applyAlignment="1">
      <alignment vertical="center"/>
    </xf>
    <xf numFmtId="0" fontId="5" fillId="0" borderId="8" xfId="0" applyFont="1" applyBorder="1" applyAlignment="1">
      <alignment vertical="center"/>
    </xf>
    <xf numFmtId="0" fontId="5" fillId="14" borderId="1" xfId="0" applyFont="1" applyFill="1" applyBorder="1" applyAlignment="1" applyProtection="1">
      <alignment horizontal="center" vertical="center"/>
      <protection locked="0"/>
    </xf>
    <xf numFmtId="181" fontId="5" fillId="7" borderId="9" xfId="228" applyFont="1" applyFill="1" applyBorder="1" applyAlignment="1" applyProtection="1">
      <alignment horizontal="right" vertical="center" shrinkToFit="1"/>
      <protection locked="0"/>
    </xf>
    <xf numFmtId="210" fontId="2" fillId="7" borderId="20" xfId="228" applyNumberFormat="1" applyFont="1" applyFill="1" applyBorder="1" applyAlignment="1" applyProtection="1">
      <alignment vertical="top"/>
      <protection locked="0"/>
    </xf>
    <xf numFmtId="0" fontId="3" fillId="0" borderId="1" xfId="0" applyFont="1" applyBorder="1" applyAlignment="1">
      <alignment vertical="center"/>
    </xf>
    <xf numFmtId="0" fontId="5" fillId="0" borderId="23" xfId="0" applyFont="1" applyBorder="1" applyAlignment="1">
      <alignment vertical="center"/>
    </xf>
    <xf numFmtId="0" fontId="5" fillId="0" borderId="32" xfId="0" applyFont="1" applyBorder="1" applyAlignment="1">
      <alignment vertical="center"/>
    </xf>
    <xf numFmtId="0" fontId="5" fillId="0" borderId="9" xfId="0" applyFont="1" applyBorder="1" applyAlignment="1">
      <alignment horizontal="center" vertical="center" wrapText="1"/>
    </xf>
    <xf numFmtId="210" fontId="2" fillId="7" borderId="18" xfId="228" applyNumberFormat="1" applyFont="1" applyFill="1" applyBorder="1" applyAlignment="1" applyProtection="1">
      <alignment vertical="top"/>
      <protection locked="0"/>
    </xf>
    <xf numFmtId="0" fontId="52" fillId="0" borderId="9" xfId="0" applyFont="1" applyBorder="1" applyAlignment="1">
      <alignment horizontal="center" vertical="center"/>
    </xf>
    <xf numFmtId="0" fontId="53" fillId="0" borderId="11" xfId="0" applyFont="1" applyBorder="1" applyAlignment="1">
      <alignment horizontal="left" vertical="center" wrapText="1"/>
    </xf>
    <xf numFmtId="0" fontId="53" fillId="0" borderId="0" xfId="0" applyFont="1" applyAlignment="1">
      <alignment horizontal="left" vertical="center"/>
    </xf>
    <xf numFmtId="0" fontId="53" fillId="0" borderId="0" xfId="0" applyFont="1" applyAlignment="1">
      <alignment horizontal="left" vertical="center" wrapText="1"/>
    </xf>
    <xf numFmtId="0" fontId="54" fillId="0" borderId="0" xfId="0" applyFont="1" applyAlignment="1">
      <alignment horizontal="left" vertical="center" wrapText="1"/>
    </xf>
    <xf numFmtId="0" fontId="54" fillId="0" borderId="0" xfId="0" applyFont="1" applyAlignment="1">
      <alignment horizontal="left" vertical="center"/>
    </xf>
    <xf numFmtId="0" fontId="16" fillId="0" borderId="34" xfId="0" applyFont="1" applyBorder="1" applyAlignment="1">
      <alignment horizontal="center" vertical="center"/>
    </xf>
    <xf numFmtId="0" fontId="5" fillId="0" borderId="35" xfId="0" applyFont="1" applyBorder="1" applyAlignment="1">
      <alignment vertical="center"/>
    </xf>
    <xf numFmtId="0" fontId="5" fillId="0" borderId="36" xfId="0" applyFont="1" applyBorder="1" applyAlignment="1">
      <alignment vertical="center"/>
    </xf>
    <xf numFmtId="0" fontId="37" fillId="0" borderId="0" xfId="0" applyFont="1" applyAlignment="1" applyProtection="1">
      <alignment horizontal="left" vertical="center" wrapText="1"/>
      <protection locked="0"/>
    </xf>
    <xf numFmtId="0" fontId="13" fillId="0" borderId="0" xfId="0" applyFont="1" applyAlignment="1" applyProtection="1">
      <alignment horizontal="center" vertical="center"/>
      <protection locked="0"/>
    </xf>
    <xf numFmtId="0" fontId="2" fillId="0" borderId="0" xfId="0" applyFont="1" applyAlignment="1" applyProtection="1">
      <alignment horizontal="center" vertical="center" wrapText="1"/>
      <protection locked="0"/>
    </xf>
    <xf numFmtId="0" fontId="12" fillId="6" borderId="9" xfId="0" applyFont="1" applyFill="1" applyBorder="1" applyAlignment="1">
      <alignment horizontal="left" vertical="center"/>
    </xf>
    <xf numFmtId="0" fontId="26" fillId="6" borderId="9" xfId="0" applyFont="1" applyFill="1" applyBorder="1" applyAlignment="1" applyProtection="1">
      <alignment horizontal="center" vertical="center"/>
      <protection locked="0"/>
    </xf>
    <xf numFmtId="0" fontId="55" fillId="0" borderId="9" xfId="0" applyFont="1" applyBorder="1" applyAlignment="1" applyProtection="1">
      <alignment horizontal="left" vertical="center"/>
      <protection locked="0"/>
    </xf>
    <xf numFmtId="0" fontId="3" fillId="0" borderId="9" xfId="0" applyFont="1" applyBorder="1" applyAlignment="1" applyProtection="1">
      <alignment horizontal="left" vertical="center" wrapText="1"/>
      <protection locked="0"/>
    </xf>
    <xf numFmtId="0" fontId="55" fillId="0" borderId="9" xfId="0" applyFont="1" applyBorder="1" applyAlignment="1" applyProtection="1">
      <alignment horizontal="left" vertical="center" wrapText="1"/>
      <protection locked="0"/>
    </xf>
    <xf numFmtId="0" fontId="5" fillId="0" borderId="0" xfId="0" applyFont="1" applyAlignment="1" applyProtection="1">
      <alignment horizontal="left" vertical="center"/>
      <protection locked="0"/>
    </xf>
    <xf numFmtId="0" fontId="56" fillId="0" borderId="0" xfId="0" applyFont="1" applyAlignment="1" applyProtection="1">
      <alignment vertical="center" wrapText="1"/>
      <protection locked="0"/>
    </xf>
    <xf numFmtId="0" fontId="16" fillId="0" borderId="0" xfId="0" applyFont="1" applyAlignment="1" applyProtection="1">
      <alignment horizontal="left" vertical="center" wrapText="1"/>
      <protection locked="0"/>
    </xf>
    <xf numFmtId="0" fontId="3" fillId="0" borderId="0" xfId="2121" applyAlignment="1" applyProtection="1">
      <alignment vertical="center"/>
      <protection locked="0"/>
    </xf>
    <xf numFmtId="0" fontId="2" fillId="7" borderId="0" xfId="0" applyFont="1" applyFill="1" applyAlignment="1" applyProtection="1">
      <alignment vertical="center"/>
      <protection locked="0"/>
    </xf>
    <xf numFmtId="0" fontId="32" fillId="0" borderId="0" xfId="0" applyFont="1" applyAlignment="1" applyProtection="1">
      <alignment vertical="center"/>
      <protection locked="0"/>
    </xf>
    <xf numFmtId="0" fontId="12" fillId="6" borderId="1" xfId="0" applyFont="1" applyFill="1" applyBorder="1" applyAlignment="1">
      <alignment horizontal="centerContinuous" vertical="center"/>
    </xf>
    <xf numFmtId="210" fontId="3" fillId="0" borderId="0" xfId="228" applyNumberFormat="1" applyFont="1" applyFill="1" applyBorder="1" applyAlignment="1" applyProtection="1">
      <alignment vertical="center" wrapText="1"/>
      <protection locked="0"/>
    </xf>
    <xf numFmtId="0" fontId="3" fillId="0" borderId="0" xfId="2340" applyFont="1" applyAlignment="1" applyProtection="1">
      <alignment horizontal="center" vertical="center" wrapText="1"/>
      <protection locked="0"/>
    </xf>
    <xf numFmtId="0" fontId="12" fillId="6" borderId="9" xfId="2335" applyFont="1" applyFill="1" applyBorder="1" applyAlignment="1">
      <alignment horizontal="left" vertical="center"/>
    </xf>
    <xf numFmtId="210" fontId="3" fillId="0" borderId="9" xfId="228" applyNumberFormat="1" applyFont="1" applyFill="1" applyBorder="1" applyAlignment="1" applyProtection="1">
      <alignment horizontal="center" vertical="center" wrapText="1"/>
      <protection locked="0"/>
    </xf>
    <xf numFmtId="9" fontId="3" fillId="0" borderId="0" xfId="2340" applyNumberFormat="1" applyFont="1" applyAlignment="1" applyProtection="1">
      <alignment vertical="center" wrapText="1"/>
      <protection locked="0"/>
    </xf>
    <xf numFmtId="9" fontId="3" fillId="0" borderId="9" xfId="2335" applyNumberFormat="1" applyBorder="1" applyAlignment="1" applyProtection="1">
      <alignment horizontal="right" vertical="center" wrapText="1"/>
      <protection locked="0"/>
    </xf>
    <xf numFmtId="9" fontId="3" fillId="0" borderId="0" xfId="2340" applyNumberFormat="1" applyFont="1" applyAlignment="1" applyProtection="1">
      <alignment horizontal="left" vertical="center" wrapText="1"/>
      <protection locked="0"/>
    </xf>
    <xf numFmtId="0" fontId="32" fillId="0" borderId="0" xfId="0" applyFont="1" applyAlignment="1" applyProtection="1">
      <alignment horizontal="left" vertical="center"/>
      <protection locked="0"/>
    </xf>
    <xf numFmtId="17" fontId="57" fillId="0" borderId="0" xfId="0" applyNumberFormat="1" applyFont="1" applyAlignment="1">
      <alignment horizontal="center" vertical="center"/>
    </xf>
    <xf numFmtId="0" fontId="30" fillId="0" borderId="0" xfId="0" applyFont="1" applyAlignment="1">
      <alignment vertical="center"/>
    </xf>
    <xf numFmtId="0" fontId="30" fillId="0" borderId="0" xfId="2322" applyFont="1" applyAlignment="1">
      <alignment vertical="center" wrapText="1"/>
    </xf>
    <xf numFmtId="0" fontId="34" fillId="0" borderId="0" xfId="0" applyFont="1" applyAlignment="1">
      <alignment vertical="center"/>
    </xf>
    <xf numFmtId="0" fontId="2" fillId="7" borderId="0" xfId="0" applyFont="1" applyFill="1" applyAlignment="1">
      <alignment horizontal="center" vertical="center"/>
    </xf>
    <xf numFmtId="0" fontId="14" fillId="0" borderId="0" xfId="2310" applyFont="1" applyAlignment="1">
      <alignment vertical="center"/>
    </xf>
    <xf numFmtId="0" fontId="4" fillId="0" borderId="0" xfId="2310" applyFont="1" applyAlignment="1" applyProtection="1">
      <alignment vertical="center"/>
      <protection locked="0"/>
    </xf>
    <xf numFmtId="0" fontId="2" fillId="8" borderId="0" xfId="2310" applyFont="1" applyFill="1" applyAlignment="1" applyProtection="1">
      <alignment horizontal="left" vertical="center"/>
      <protection locked="0"/>
    </xf>
    <xf numFmtId="0" fontId="32" fillId="0" borderId="0" xfId="2310" applyFont="1" applyAlignment="1" applyProtection="1">
      <alignment horizontal="left" vertical="center"/>
      <protection locked="0"/>
    </xf>
    <xf numFmtId="0" fontId="12" fillId="0" borderId="0" xfId="2310" applyFont="1" applyAlignment="1">
      <alignment vertical="center"/>
    </xf>
    <xf numFmtId="0" fontId="5" fillId="0" borderId="0" xfId="0" applyFont="1"/>
    <xf numFmtId="0" fontId="58" fillId="0" borderId="0" xfId="0" applyFont="1" applyAlignment="1" applyProtection="1">
      <alignment vertical="center"/>
      <protection locked="0"/>
    </xf>
    <xf numFmtId="0" fontId="12" fillId="0" borderId="0" xfId="2197" applyFont="1" applyAlignment="1">
      <alignment vertical="center"/>
    </xf>
    <xf numFmtId="0" fontId="59" fillId="0" borderId="0" xfId="0" applyFont="1" applyAlignment="1">
      <alignment vertical="center"/>
    </xf>
    <xf numFmtId="0" fontId="46" fillId="0" borderId="0" xfId="0" applyFont="1" applyAlignment="1">
      <alignment horizontal="center" vertical="center"/>
    </xf>
    <xf numFmtId="0" fontId="60" fillId="0" borderId="0" xfId="0" applyFont="1" applyAlignment="1">
      <alignment vertical="center"/>
    </xf>
    <xf numFmtId="0" fontId="60" fillId="14" borderId="0" xfId="0" applyFont="1" applyFill="1" applyAlignment="1">
      <alignment vertical="center"/>
    </xf>
    <xf numFmtId="0" fontId="13" fillId="17" borderId="1" xfId="0" applyFont="1" applyFill="1" applyBorder="1" applyAlignment="1">
      <alignment horizontal="center" vertical="center"/>
    </xf>
    <xf numFmtId="0" fontId="13" fillId="17" borderId="7" xfId="0" applyFont="1" applyFill="1" applyBorder="1" applyAlignment="1">
      <alignment horizontal="center" vertical="center"/>
    </xf>
    <xf numFmtId="0" fontId="13" fillId="17" borderId="8" xfId="0" applyFont="1" applyFill="1" applyBorder="1" applyAlignment="1">
      <alignment horizontal="center" vertical="center"/>
    </xf>
    <xf numFmtId="0" fontId="59" fillId="14" borderId="0" xfId="0" applyFont="1" applyFill="1" applyAlignment="1">
      <alignment vertical="center"/>
    </xf>
    <xf numFmtId="0" fontId="12" fillId="17" borderId="37" xfId="0" applyFont="1" applyFill="1" applyBorder="1" applyAlignment="1">
      <alignment horizontal="center" vertical="center" wrapText="1"/>
    </xf>
    <xf numFmtId="14" fontId="12" fillId="17" borderId="38" xfId="0" applyNumberFormat="1" applyFont="1" applyFill="1" applyBorder="1" applyAlignment="1">
      <alignment horizontal="center" vertical="center"/>
    </xf>
    <xf numFmtId="14" fontId="12" fillId="17" borderId="7" xfId="0" applyNumberFormat="1" applyFont="1" applyFill="1" applyBorder="1" applyAlignment="1">
      <alignment horizontal="center" vertical="center"/>
    </xf>
    <xf numFmtId="14" fontId="12" fillId="17" borderId="8" xfId="0" applyNumberFormat="1" applyFont="1" applyFill="1" applyBorder="1" applyAlignment="1">
      <alignment horizontal="center" vertical="center"/>
    </xf>
    <xf numFmtId="14" fontId="12" fillId="17" borderId="9" xfId="0" applyNumberFormat="1" applyFont="1" applyFill="1" applyBorder="1" applyAlignment="1">
      <alignment horizontal="center" vertical="center"/>
    </xf>
    <xf numFmtId="0" fontId="14" fillId="17" borderId="1" xfId="0" applyFont="1" applyFill="1" applyBorder="1" applyAlignment="1">
      <alignment horizontal="center" vertical="center"/>
    </xf>
    <xf numFmtId="0" fontId="14" fillId="17" borderId="39" xfId="0" applyFont="1" applyFill="1" applyBorder="1" applyAlignment="1">
      <alignment horizontal="center" vertical="center"/>
    </xf>
    <xf numFmtId="0" fontId="16" fillId="17" borderId="37" xfId="0" applyFont="1" applyFill="1" applyBorder="1" applyAlignment="1">
      <alignment vertical="center"/>
    </xf>
    <xf numFmtId="0" fontId="61" fillId="17" borderId="37" xfId="0" applyFont="1" applyFill="1" applyBorder="1" applyAlignment="1">
      <alignment horizontal="center" vertical="center" wrapText="1"/>
    </xf>
    <xf numFmtId="0" fontId="14" fillId="17" borderId="40" xfId="0" applyFont="1" applyFill="1" applyBorder="1" applyAlignment="1">
      <alignment horizontal="center" vertical="center" wrapText="1"/>
    </xf>
    <xf numFmtId="0" fontId="13" fillId="17" borderId="9" xfId="0" applyFont="1" applyFill="1" applyBorder="1" applyAlignment="1">
      <alignment horizontal="center" vertical="center" wrapText="1"/>
    </xf>
    <xf numFmtId="0" fontId="12" fillId="17" borderId="9" xfId="0" applyFont="1" applyFill="1" applyBorder="1" applyAlignment="1">
      <alignment horizontal="center" vertical="center"/>
    </xf>
    <xf numFmtId="0" fontId="14" fillId="17" borderId="9" xfId="0" applyFont="1" applyFill="1" applyBorder="1" applyAlignment="1">
      <alignment horizontal="center" vertical="center"/>
    </xf>
    <xf numFmtId="0" fontId="16" fillId="17" borderId="40" xfId="0" applyFont="1" applyFill="1" applyBorder="1" applyAlignment="1">
      <alignment horizontal="center" vertical="center" wrapText="1"/>
    </xf>
    <xf numFmtId="0" fontId="61" fillId="17" borderId="41" xfId="0" applyFont="1" applyFill="1" applyBorder="1" applyAlignment="1">
      <alignment horizontal="center" vertical="center" wrapText="1"/>
    </xf>
    <xf numFmtId="0" fontId="3" fillId="7" borderId="0" xfId="0" applyFont="1" applyFill="1" applyAlignment="1" applyProtection="1">
      <alignment horizontal="left" vertical="center"/>
      <protection locked="0"/>
    </xf>
    <xf numFmtId="0" fontId="12" fillId="0" borderId="0" xfId="0" applyFont="1" applyAlignment="1">
      <alignment horizontal="left" vertical="center"/>
    </xf>
    <xf numFmtId="181" fontId="5" fillId="0" borderId="0" xfId="0" applyNumberFormat="1" applyFont="1" applyAlignment="1">
      <alignment horizontal="right" vertical="center" shrinkToFit="1"/>
    </xf>
    <xf numFmtId="181" fontId="3" fillId="0" borderId="0" xfId="1552" applyNumberFormat="1" applyFont="1" applyFill="1" applyAlignment="1" applyProtection="1">
      <alignment horizontal="right" vertical="center" shrinkToFit="1"/>
      <protection locked="0"/>
    </xf>
    <xf numFmtId="10" fontId="5" fillId="0" borderId="0" xfId="3" applyNumberFormat="1" applyFont="1" applyAlignment="1">
      <alignment horizontal="center" vertical="center" wrapText="1"/>
    </xf>
    <xf numFmtId="0" fontId="3" fillId="0" borderId="0" xfId="6079" applyFont="1" applyAlignment="1" applyProtection="1">
      <alignment horizontal="left" vertical="center"/>
      <protection locked="0"/>
    </xf>
    <xf numFmtId="0" fontId="3" fillId="0" borderId="0" xfId="2310" applyFont="1" applyAlignment="1" applyProtection="1">
      <alignment horizontal="left" vertical="center"/>
      <protection locked="0"/>
    </xf>
    <xf numFmtId="0" fontId="5" fillId="12" borderId="0" xfId="0" applyFont="1" applyFill="1" applyAlignment="1">
      <alignment horizontal="left" vertical="center"/>
    </xf>
    <xf numFmtId="0" fontId="16" fillId="0" borderId="0" xfId="0" applyFont="1" applyAlignment="1">
      <alignment horizontal="left" vertical="center" wrapText="1"/>
    </xf>
    <xf numFmtId="0" fontId="5" fillId="7" borderId="0" xfId="0" applyFont="1" applyFill="1" applyAlignment="1" applyProtection="1">
      <alignment horizontal="left" vertical="center"/>
      <protection locked="0"/>
    </xf>
    <xf numFmtId="0" fontId="13" fillId="0" borderId="0" xfId="0" applyFont="1" applyAlignment="1">
      <alignment horizontal="left" vertical="center"/>
    </xf>
    <xf numFmtId="0" fontId="16" fillId="0" borderId="0" xfId="0" applyFont="1" applyAlignment="1">
      <alignment horizontal="right" vertical="center"/>
    </xf>
    <xf numFmtId="181" fontId="5" fillId="0" borderId="0" xfId="0" applyNumberFormat="1" applyFont="1" applyAlignment="1">
      <alignment horizontal="right" vertical="center"/>
    </xf>
    <xf numFmtId="181" fontId="5" fillId="0" borderId="0" xfId="228" applyFont="1" applyAlignment="1">
      <alignment horizontal="right" vertical="center"/>
    </xf>
    <xf numFmtId="181" fontId="3" fillId="0" borderId="0" xfId="1552" applyNumberFormat="1" applyFont="1" applyFill="1" applyAlignment="1" applyProtection="1">
      <alignment horizontal="right" vertical="center"/>
      <protection locked="0"/>
    </xf>
    <xf numFmtId="181" fontId="13" fillId="0" borderId="0" xfId="228" applyFont="1" applyAlignment="1">
      <alignment horizontal="right" vertical="center" wrapText="1"/>
    </xf>
    <xf numFmtId="0" fontId="13" fillId="0" borderId="0" xfId="0" applyFont="1" applyAlignment="1">
      <alignment horizontal="left" vertical="center" wrapText="1"/>
    </xf>
    <xf numFmtId="0" fontId="62" fillId="0" borderId="0" xfId="6079" applyFont="1" applyAlignment="1" applyProtection="1">
      <alignment horizontal="center" vertical="center"/>
      <protection locked="0"/>
    </xf>
    <xf numFmtId="0" fontId="62" fillId="0" borderId="0" xfId="2310" applyFont="1" applyAlignment="1" applyProtection="1">
      <alignment horizontal="left" vertical="center"/>
      <protection locked="0"/>
    </xf>
    <xf numFmtId="181" fontId="13" fillId="0" borderId="42" xfId="0" applyNumberFormat="1" applyFont="1" applyBorder="1" applyAlignment="1">
      <alignment horizontal="right" vertical="center" shrinkToFit="1"/>
    </xf>
    <xf numFmtId="10" fontId="13" fillId="0" borderId="42" xfId="3" applyNumberFormat="1" applyFont="1" applyFill="1" applyBorder="1" applyAlignment="1">
      <alignment horizontal="center" vertical="center"/>
    </xf>
    <xf numFmtId="181" fontId="13" fillId="0" borderId="0" xfId="0" applyNumberFormat="1" applyFont="1" applyAlignment="1">
      <alignment horizontal="right" vertical="center"/>
    </xf>
    <xf numFmtId="10" fontId="5" fillId="0" borderId="0" xfId="3" applyNumberFormat="1" applyFont="1" applyFill="1" applyBorder="1" applyAlignment="1">
      <alignment horizontal="center" vertical="center"/>
    </xf>
    <xf numFmtId="0" fontId="13" fillId="0" borderId="0" xfId="0" applyFont="1" applyAlignment="1">
      <alignment horizontal="right" vertical="center"/>
    </xf>
    <xf numFmtId="0" fontId="3" fillId="0" borderId="0" xfId="0" applyFont="1" applyAlignment="1">
      <alignment horizontal="right" vertical="center"/>
    </xf>
    <xf numFmtId="181" fontId="5" fillId="0" borderId="0" xfId="228" applyFont="1" applyAlignment="1">
      <alignment horizontal="right"/>
    </xf>
    <xf numFmtId="0" fontId="49" fillId="0" borderId="0" xfId="0" applyFont="1" applyAlignment="1">
      <alignment horizontal="left" vertical="center"/>
    </xf>
    <xf numFmtId="0" fontId="28" fillId="0" borderId="0" xfId="2197" applyFont="1" applyAlignment="1">
      <alignment vertical="center"/>
    </xf>
    <xf numFmtId="0" fontId="56" fillId="0" borderId="9" xfId="0" applyFont="1" applyBorder="1" applyAlignment="1">
      <alignment horizontal="left" vertical="center" wrapText="1"/>
    </xf>
    <xf numFmtId="0" fontId="5" fillId="0" borderId="10" xfId="0" applyFont="1" applyBorder="1" applyAlignment="1">
      <alignment vertical="center" wrapText="1"/>
    </xf>
    <xf numFmtId="0" fontId="5" fillId="0" borderId="11" xfId="0" applyFont="1" applyBorder="1" applyAlignment="1">
      <alignment horizontal="left" vertical="center" wrapText="1"/>
    </xf>
    <xf numFmtId="0" fontId="5" fillId="0" borderId="12" xfId="0" applyFont="1" applyBorder="1" applyAlignment="1">
      <alignment horizontal="left" vertical="center" wrapText="1"/>
    </xf>
    <xf numFmtId="0" fontId="5" fillId="0" borderId="13" xfId="0" applyFont="1" applyBorder="1" applyAlignment="1">
      <alignment vertical="center" wrapText="1"/>
    </xf>
    <xf numFmtId="0" fontId="5" fillId="0" borderId="0" xfId="0" applyFont="1" applyAlignment="1">
      <alignment horizontal="left" vertical="center" wrapText="1"/>
    </xf>
    <xf numFmtId="0" fontId="5" fillId="0" borderId="14" xfId="0" applyFont="1" applyBorder="1" applyAlignment="1">
      <alignment horizontal="left" vertical="center" wrapText="1"/>
    </xf>
    <xf numFmtId="0" fontId="5" fillId="0" borderId="15" xfId="0" applyFont="1" applyBorder="1" applyAlignment="1">
      <alignment vertical="center" wrapText="1"/>
    </xf>
    <xf numFmtId="0" fontId="5" fillId="0" borderId="16" xfId="0" applyFont="1" applyBorder="1" applyAlignment="1">
      <alignment horizontal="left" vertical="center" wrapText="1"/>
    </xf>
    <xf numFmtId="0" fontId="5" fillId="0" borderId="17" xfId="0" applyFont="1" applyBorder="1" applyAlignment="1">
      <alignment horizontal="left" vertical="center" wrapText="1"/>
    </xf>
    <xf numFmtId="212" fontId="12" fillId="0" borderId="0" xfId="2663" applyNumberFormat="1" applyFont="1" applyAlignment="1" applyProtection="1">
      <alignment horizontal="right" vertical="center"/>
      <protection locked="0"/>
    </xf>
    <xf numFmtId="212" fontId="12" fillId="0" borderId="0" xfId="2663" applyNumberFormat="1" applyFont="1" applyAlignment="1" applyProtection="1">
      <alignment vertical="center" wrapText="1"/>
      <protection locked="0"/>
    </xf>
    <xf numFmtId="0" fontId="2" fillId="0" borderId="0" xfId="0" applyFont="1" applyAlignment="1">
      <alignment horizontal="center"/>
    </xf>
    <xf numFmtId="0" fontId="63" fillId="0" borderId="0" xfId="0" applyFont="1"/>
    <xf numFmtId="0" fontId="2" fillId="0" borderId="0" xfId="6085" applyFont="1"/>
    <xf numFmtId="0" fontId="2" fillId="0" borderId="0" xfId="6085" applyFont="1" applyAlignment="1">
      <alignment horizontal="left" vertical="center"/>
    </xf>
    <xf numFmtId="0" fontId="41" fillId="0" borderId="0" xfId="0" applyFont="1"/>
    <xf numFmtId="0" fontId="64" fillId="0" borderId="0" xfId="0" applyFont="1" applyAlignment="1">
      <alignment vertical="center"/>
    </xf>
    <xf numFmtId="0" fontId="64" fillId="0" borderId="0" xfId="0" applyFont="1"/>
    <xf numFmtId="0" fontId="65" fillId="0" borderId="0" xfId="2048" applyFont="1"/>
    <xf numFmtId="0" fontId="26" fillId="11" borderId="9" xfId="6078" applyFont="1" applyFill="1" applyBorder="1" applyAlignment="1">
      <alignment horizontal="center" vertical="center"/>
    </xf>
    <xf numFmtId="0" fontId="12" fillId="11" borderId="9" xfId="0" applyFont="1" applyFill="1" applyBorder="1" applyAlignment="1">
      <alignment horizontal="left" vertical="center"/>
    </xf>
    <xf numFmtId="0" fontId="12" fillId="11" borderId="9" xfId="2398" applyFont="1" applyFill="1" applyBorder="1" applyAlignment="1">
      <alignment horizontal="center" vertical="center" wrapText="1"/>
    </xf>
    <xf numFmtId="0" fontId="12" fillId="18" borderId="9" xfId="0" applyFont="1" applyFill="1" applyBorder="1" applyAlignment="1" applyProtection="1">
      <alignment horizontal="center" vertical="center" wrapText="1"/>
      <protection locked="0"/>
    </xf>
    <xf numFmtId="0" fontId="2" fillId="0" borderId="9" xfId="0" applyFont="1" applyBorder="1" applyAlignment="1">
      <alignment horizontal="center" vertical="center"/>
    </xf>
    <xf numFmtId="0" fontId="2" fillId="0" borderId="9" xfId="0" applyFont="1" applyBorder="1" applyAlignment="1">
      <alignment horizontal="left" vertical="center" wrapText="1"/>
    </xf>
    <xf numFmtId="0" fontId="66" fillId="0" borderId="9" xfId="2048" applyFont="1" applyBorder="1" applyAlignment="1">
      <alignment horizontal="center" vertical="center"/>
    </xf>
    <xf numFmtId="0" fontId="2" fillId="0" borderId="9" xfId="6087" applyFont="1" applyBorder="1" applyAlignment="1" applyProtection="1">
      <alignment horizontal="center" vertical="center"/>
      <protection locked="0"/>
    </xf>
    <xf numFmtId="0" fontId="2" fillId="0" borderId="34" xfId="0" applyFont="1" applyBorder="1" applyAlignment="1" applyProtection="1">
      <alignment horizontal="left" vertical="center"/>
      <protection locked="0"/>
    </xf>
    <xf numFmtId="0" fontId="2" fillId="0" borderId="9" xfId="0" applyFont="1" applyBorder="1"/>
    <xf numFmtId="0" fontId="2" fillId="0" borderId="9" xfId="2142" applyFont="1" applyBorder="1" applyAlignment="1">
      <alignment horizontal="left" vertical="center" wrapText="1"/>
    </xf>
    <xf numFmtId="0" fontId="13" fillId="11" borderId="9" xfId="0" applyFont="1" applyFill="1" applyBorder="1" applyAlignment="1">
      <alignment horizontal="left" vertical="center"/>
    </xf>
    <xf numFmtId="0" fontId="2" fillId="0" borderId="1" xfId="2142" applyFont="1" applyBorder="1" applyAlignment="1">
      <alignment horizontal="left" vertical="center" wrapText="1"/>
    </xf>
    <xf numFmtId="0" fontId="2" fillId="0" borderId="7" xfId="2142" applyFont="1" applyBorder="1" applyAlignment="1">
      <alignment horizontal="left" vertical="center" wrapText="1"/>
    </xf>
    <xf numFmtId="0" fontId="2" fillId="0" borderId="8" xfId="2142" applyFont="1" applyBorder="1" applyAlignment="1">
      <alignment horizontal="left" vertical="center" wrapText="1"/>
    </xf>
    <xf numFmtId="0" fontId="2" fillId="0" borderId="19" xfId="6087" applyFont="1" applyBorder="1" applyAlignment="1" applyProtection="1">
      <alignment horizontal="center" vertical="center"/>
      <protection locked="0"/>
    </xf>
    <xf numFmtId="0" fontId="2" fillId="0" borderId="9" xfId="0" applyFont="1" applyBorder="1" applyAlignment="1" applyProtection="1">
      <alignment horizontal="left" vertical="center"/>
      <protection locked="0"/>
    </xf>
    <xf numFmtId="0" fontId="5" fillId="0" borderId="19" xfId="0" applyFont="1" applyBorder="1" applyAlignment="1">
      <alignment horizontal="left" vertical="center" wrapText="1"/>
    </xf>
    <xf numFmtId="0" fontId="5" fillId="0" borderId="19" xfId="0" applyFont="1" applyBorder="1" applyAlignment="1">
      <alignment horizontal="center" vertical="center"/>
    </xf>
    <xf numFmtId="0" fontId="2" fillId="0" borderId="10" xfId="2142" applyFont="1" applyBorder="1" applyAlignment="1">
      <alignment horizontal="left" vertical="center" wrapText="1"/>
    </xf>
    <xf numFmtId="0" fontId="2" fillId="0" borderId="11" xfId="2142" applyFont="1" applyBorder="1" applyAlignment="1">
      <alignment horizontal="left" vertical="center" wrapText="1"/>
    </xf>
    <xf numFmtId="0" fontId="2" fillId="0" borderId="12" xfId="2142" applyFont="1" applyBorder="1" applyAlignment="1">
      <alignment horizontal="left" vertical="center" wrapText="1"/>
    </xf>
    <xf numFmtId="0" fontId="66" fillId="0" borderId="9" xfId="6" applyFont="1" applyBorder="1" applyAlignment="1">
      <alignment horizontal="center" vertical="center"/>
    </xf>
    <xf numFmtId="0" fontId="2" fillId="0" borderId="19" xfId="0" applyFont="1" applyBorder="1" applyAlignment="1" applyProtection="1">
      <alignment horizontal="left" vertical="center"/>
      <protection locked="0"/>
    </xf>
    <xf numFmtId="0" fontId="5" fillId="0" borderId="20" xfId="0" applyFont="1" applyBorder="1" applyAlignment="1">
      <alignment horizontal="left" vertical="center" wrapText="1"/>
    </xf>
    <xf numFmtId="0" fontId="5" fillId="0" borderId="18" xfId="0" applyFont="1" applyBorder="1" applyAlignment="1">
      <alignment horizontal="center" vertical="center"/>
    </xf>
    <xf numFmtId="0" fontId="2" fillId="0" borderId="15" xfId="2142" applyFont="1" applyBorder="1" applyAlignment="1">
      <alignment horizontal="left" vertical="center" wrapText="1"/>
    </xf>
    <xf numFmtId="0" fontId="2" fillId="0" borderId="16" xfId="2142" applyFont="1" applyBorder="1" applyAlignment="1">
      <alignment horizontal="left" vertical="center" wrapText="1"/>
    </xf>
    <xf numFmtId="0" fontId="2" fillId="0" borderId="17" xfId="2142" applyFont="1" applyBorder="1" applyAlignment="1">
      <alignment horizontal="left" vertical="center" wrapText="1"/>
    </xf>
    <xf numFmtId="0" fontId="2" fillId="0" borderId="18" xfId="6087" applyFont="1" applyBorder="1" applyAlignment="1" applyProtection="1">
      <alignment horizontal="center" vertical="center"/>
      <protection locked="0"/>
    </xf>
    <xf numFmtId="0" fontId="2" fillId="0" borderId="18" xfId="0" applyFont="1" applyBorder="1" applyAlignment="1" applyProtection="1">
      <alignment horizontal="left" vertical="center"/>
      <protection locked="0"/>
    </xf>
    <xf numFmtId="0" fontId="5" fillId="0" borderId="18" xfId="0" applyFont="1" applyBorder="1" applyAlignment="1">
      <alignment horizontal="left" vertical="center" wrapText="1"/>
    </xf>
    <xf numFmtId="0" fontId="67" fillId="0" borderId="10" xfId="2142" applyFont="1" applyBorder="1" applyAlignment="1">
      <alignment horizontal="left" vertical="center" wrapText="1"/>
    </xf>
    <xf numFmtId="0" fontId="2" fillId="0" borderId="19" xfId="0" applyFont="1" applyBorder="1" applyAlignment="1">
      <alignment horizontal="center"/>
    </xf>
    <xf numFmtId="0" fontId="2" fillId="0" borderId="18" xfId="0" applyFont="1" applyBorder="1" applyAlignment="1">
      <alignment horizontal="center"/>
    </xf>
    <xf numFmtId="0" fontId="22" fillId="0" borderId="9" xfId="2443" applyFont="1" applyBorder="1" applyAlignment="1">
      <alignment horizontal="center" vertical="center"/>
    </xf>
    <xf numFmtId="0" fontId="5" fillId="0" borderId="19" xfId="0" applyFont="1" applyBorder="1" applyAlignment="1">
      <alignment vertical="center" wrapText="1"/>
    </xf>
    <xf numFmtId="0" fontId="2" fillId="0" borderId="43" xfId="0" applyFont="1" applyBorder="1"/>
    <xf numFmtId="0" fontId="5" fillId="0" borderId="9" xfId="2321" applyFont="1" applyBorder="1" applyAlignment="1">
      <alignment horizontal="left" vertical="center" wrapText="1"/>
    </xf>
    <xf numFmtId="0" fontId="3" fillId="0" borderId="9" xfId="2321" applyBorder="1" applyAlignment="1">
      <alignment horizontal="left" vertical="center" wrapText="1"/>
    </xf>
    <xf numFmtId="0" fontId="2" fillId="0" borderId="30" xfId="0" applyFont="1" applyBorder="1"/>
    <xf numFmtId="0" fontId="48" fillId="0" borderId="1" xfId="0" applyFont="1" applyBorder="1" applyAlignment="1">
      <alignment horizontal="left" vertical="center" wrapText="1"/>
    </xf>
    <xf numFmtId="0" fontId="48" fillId="0" borderId="7" xfId="0" applyFont="1" applyBorder="1" applyAlignment="1">
      <alignment horizontal="left" vertical="center" wrapText="1"/>
    </xf>
    <xf numFmtId="0" fontId="48" fillId="0" borderId="8" xfId="0" applyFont="1" applyBorder="1" applyAlignment="1">
      <alignment horizontal="left" vertical="center" wrapText="1"/>
    </xf>
    <xf numFmtId="0" fontId="2" fillId="0" borderId="44" xfId="0" applyFont="1" applyBorder="1"/>
    <xf numFmtId="0" fontId="26" fillId="11" borderId="19" xfId="6078" applyFont="1" applyFill="1" applyBorder="1" applyAlignment="1">
      <alignment horizontal="center" vertical="center"/>
    </xf>
    <xf numFmtId="0" fontId="12" fillId="11" borderId="19" xfId="2398" applyFont="1" applyFill="1" applyBorder="1" applyAlignment="1">
      <alignment horizontal="center" vertical="center" wrapText="1"/>
    </xf>
    <xf numFmtId="0" fontId="12" fillId="18" borderId="19" xfId="0" applyFont="1" applyFill="1" applyBorder="1" applyAlignment="1" applyProtection="1">
      <alignment horizontal="center" vertical="center" wrapText="1"/>
      <protection locked="0"/>
    </xf>
    <xf numFmtId="0" fontId="22" fillId="0" borderId="34" xfId="2443" applyFont="1" applyBorder="1" applyAlignment="1">
      <alignment horizontal="center" vertical="center"/>
    </xf>
    <xf numFmtId="0" fontId="2" fillId="0" borderId="34" xfId="6087" applyFont="1" applyBorder="1" applyAlignment="1" applyProtection="1">
      <alignment horizontal="center" vertical="center"/>
      <protection locked="0"/>
    </xf>
    <xf numFmtId="0" fontId="2" fillId="0" borderId="34" xfId="0" applyFont="1" applyBorder="1"/>
    <xf numFmtId="0" fontId="66" fillId="0" borderId="9" xfId="2048" applyFont="1" applyBorder="1" applyAlignment="1" quotePrefix="1">
      <alignment horizontal="center" vertical="center"/>
    </xf>
    <xf numFmtId="0" fontId="66" fillId="0" borderId="9" xfId="6" applyFont="1" applyBorder="1" applyAlignment="1" quotePrefix="1">
      <alignment horizontal="center" vertical="center"/>
    </xf>
  </cellXfs>
  <cellStyles count="666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_x000a_mouse.drv=lm" xfId="49"/>
    <cellStyle name="?鹎%U龡&amp;H?_x0008__x001c__x001c_?_x0007__x0001__x0001_" xfId="50"/>
    <cellStyle name="0%" xfId="51"/>
    <cellStyle name="0.0%" xfId="52"/>
    <cellStyle name="0.00%" xfId="53"/>
    <cellStyle name="00" xfId="54"/>
    <cellStyle name="00 2" xfId="55"/>
    <cellStyle name="00 3" xfId="56"/>
    <cellStyle name="20% - Accent1 2" xfId="57"/>
    <cellStyle name="20% - Accent1 2 2" xfId="58"/>
    <cellStyle name="20% - Accent6 2" xfId="59"/>
    <cellStyle name="20% - Accent6 2 2" xfId="60"/>
    <cellStyle name="Accent1" xfId="61"/>
    <cellStyle name="Accent1 - 20%" xfId="62"/>
    <cellStyle name="Accent1 - 40%" xfId="63"/>
    <cellStyle name="Accent1 - 60%" xfId="64"/>
    <cellStyle name="Accent1_RESULTS" xfId="65"/>
    <cellStyle name="Accent2" xfId="66"/>
    <cellStyle name="Accent2 - 20%" xfId="67"/>
    <cellStyle name="Accent2 - 40%" xfId="68"/>
    <cellStyle name="Accent2 - 60%" xfId="69"/>
    <cellStyle name="Accent2 2" xfId="70"/>
    <cellStyle name="Accent2_RESULTS" xfId="71"/>
    <cellStyle name="Accent3" xfId="72"/>
    <cellStyle name="Accent3 - 20%" xfId="73"/>
    <cellStyle name="Accent3 - 40%" xfId="74"/>
    <cellStyle name="Accent3 - 60%" xfId="75"/>
    <cellStyle name="Accent3_RESULTS" xfId="76"/>
    <cellStyle name="Accent4" xfId="77"/>
    <cellStyle name="Accent4 - 20%" xfId="78"/>
    <cellStyle name="Accent4 - 40%" xfId="79"/>
    <cellStyle name="Accent4 - 60%" xfId="80"/>
    <cellStyle name="Accent4_RESULTS" xfId="81"/>
    <cellStyle name="Accent5" xfId="82"/>
    <cellStyle name="Accent5 - 20%" xfId="83"/>
    <cellStyle name="Accent5 - 40%" xfId="84"/>
    <cellStyle name="Accent5 - 60%" xfId="85"/>
    <cellStyle name="Accent5_RESULTS" xfId="86"/>
    <cellStyle name="Accent6" xfId="87"/>
    <cellStyle name="Accent6 - 20%" xfId="88"/>
    <cellStyle name="Accent6 - 40%" xfId="89"/>
    <cellStyle name="Accent6 - 60%" xfId="90"/>
    <cellStyle name="Accent6_RESULTS" xfId="91"/>
    <cellStyle name="Bad 2" xfId="92"/>
    <cellStyle name="Bad 3" xfId="93"/>
    <cellStyle name="Calc Currency (0)" xfId="94"/>
    <cellStyle name="category" xfId="95"/>
    <cellStyle name="cellStyleNum" xfId="96"/>
    <cellStyle name="cellStyleNum 2" xfId="97"/>
    <cellStyle name="cellStyleNum 2 10" xfId="98"/>
    <cellStyle name="cellStyleNum 2 2" xfId="99"/>
    <cellStyle name="cellStyleNum 2 2 2" xfId="100"/>
    <cellStyle name="cellStyleNum 2 2 2 2" xfId="101"/>
    <cellStyle name="cellStyleNum 2 2 2 2 2" xfId="102"/>
    <cellStyle name="cellStyleNum 2 2 2 2 3" xfId="103"/>
    <cellStyle name="cellStyleNum 2 2 2 3" xfId="104"/>
    <cellStyle name="cellStyleNum 2 2 2 3 2" xfId="105"/>
    <cellStyle name="cellStyleNum 2 2 2 3 3" xfId="106"/>
    <cellStyle name="cellStyleNum 2 2 2 4" xfId="107"/>
    <cellStyle name="cellStyleNum 2 2 2 5" xfId="108"/>
    <cellStyle name="cellStyleNum 2 2 2 6" xfId="109"/>
    <cellStyle name="cellStyleNum 2 2 2 7" xfId="110"/>
    <cellStyle name="cellStyleNum 2 2 3" xfId="111"/>
    <cellStyle name="cellStyleNum 2 2 3 2" xfId="112"/>
    <cellStyle name="cellStyleNum 2 2 3 2 2" xfId="113"/>
    <cellStyle name="cellStyleNum 2 2 3 2 3" xfId="114"/>
    <cellStyle name="cellStyleNum 2 2 3 3" xfId="115"/>
    <cellStyle name="cellStyleNum 2 2 3 4" xfId="116"/>
    <cellStyle name="cellStyleNum 2 2 3 5" xfId="117"/>
    <cellStyle name="cellStyleNum 2 2 3 6" xfId="118"/>
    <cellStyle name="cellStyleNum 2 2 4" xfId="119"/>
    <cellStyle name="cellStyleNum 2 2 4 2" xfId="120"/>
    <cellStyle name="cellStyleNum 2 2 4 3" xfId="121"/>
    <cellStyle name="cellStyleNum 2 2 5" xfId="122"/>
    <cellStyle name="cellStyleNum 2 2 5 2" xfId="123"/>
    <cellStyle name="cellStyleNum 2 2 5 3" xfId="124"/>
    <cellStyle name="cellStyleNum 2 2 6" xfId="125"/>
    <cellStyle name="cellStyleNum 2 2 7" xfId="126"/>
    <cellStyle name="cellStyleNum 2 2 8" xfId="127"/>
    <cellStyle name="cellStyleNum 2 2 9" xfId="128"/>
    <cellStyle name="cellStyleNum 2 3" xfId="129"/>
    <cellStyle name="cellStyleNum 2 3 2" xfId="130"/>
    <cellStyle name="cellStyleNum 2 3 2 2" xfId="131"/>
    <cellStyle name="cellStyleNum 2 3 2 3" xfId="132"/>
    <cellStyle name="cellStyleNum 2 3 3" xfId="133"/>
    <cellStyle name="cellStyleNum 2 3 3 2" xfId="134"/>
    <cellStyle name="cellStyleNum 2 3 3 3" xfId="135"/>
    <cellStyle name="cellStyleNum 2 3 4" xfId="136"/>
    <cellStyle name="cellStyleNum 2 3 5" xfId="137"/>
    <cellStyle name="cellStyleNum 2 3 6" xfId="138"/>
    <cellStyle name="cellStyleNum 2 3 7" xfId="139"/>
    <cellStyle name="cellStyleNum 2 4" xfId="140"/>
    <cellStyle name="cellStyleNum 2 4 2" xfId="141"/>
    <cellStyle name="cellStyleNum 2 4 2 2" xfId="142"/>
    <cellStyle name="cellStyleNum 2 4 2 3" xfId="143"/>
    <cellStyle name="cellStyleNum 2 4 3" xfId="144"/>
    <cellStyle name="cellStyleNum 2 4 4" xfId="145"/>
    <cellStyle name="cellStyleNum 2 4 5" xfId="146"/>
    <cellStyle name="cellStyleNum 2 4 6" xfId="147"/>
    <cellStyle name="cellStyleNum 2 5" xfId="148"/>
    <cellStyle name="cellStyleNum 2 5 2" xfId="149"/>
    <cellStyle name="cellStyleNum 2 5 3" xfId="150"/>
    <cellStyle name="cellStyleNum 2 6" xfId="151"/>
    <cellStyle name="cellStyleNum 2 6 2" xfId="152"/>
    <cellStyle name="cellStyleNum 2 6 3" xfId="153"/>
    <cellStyle name="cellStyleNum 2 7" xfId="154"/>
    <cellStyle name="cellStyleNum 2 8" xfId="155"/>
    <cellStyle name="cellStyleNum 2 9" xfId="156"/>
    <cellStyle name="cellStyleNum 3" xfId="157"/>
    <cellStyle name="cellStyleNum 3 2" xfId="158"/>
    <cellStyle name="cellStyleNum 3 2 2" xfId="159"/>
    <cellStyle name="cellStyleNum 3 2 3" xfId="160"/>
    <cellStyle name="cellStyleNum 3 3" xfId="161"/>
    <cellStyle name="cellStyleNum 3 3 2" xfId="162"/>
    <cellStyle name="cellStyleNum 3 3 3" xfId="163"/>
    <cellStyle name="cellStyleNum 3 4" xfId="164"/>
    <cellStyle name="cellStyleNum 3 5" xfId="165"/>
    <cellStyle name="cellStyleNum 3 6" xfId="166"/>
    <cellStyle name="cellStyleNum 3 7" xfId="167"/>
    <cellStyle name="cellStyleNum 4" xfId="168"/>
    <cellStyle name="cellStyleNum 4 2" xfId="169"/>
    <cellStyle name="cellStyleNum 4 3" xfId="170"/>
    <cellStyle name="cellStyleNum 5" xfId="171"/>
    <cellStyle name="cellStyleNum 5 2" xfId="172"/>
    <cellStyle name="cellStyleNum 5 3" xfId="173"/>
    <cellStyle name="cellStyleNum 6" xfId="174"/>
    <cellStyle name="cellStyleNum 7" xfId="175"/>
    <cellStyle name="cellStyleNum 8" xfId="176"/>
    <cellStyle name="cellStyleNum 9" xfId="177"/>
    <cellStyle name="cellStylePer" xfId="178"/>
    <cellStyle name="cellStylePer 2" xfId="179"/>
    <cellStyle name="cellStylePer 2 2" xfId="180"/>
    <cellStyle name="cellStylePer 2 2 2" xfId="181"/>
    <cellStyle name="cellStylePer 2 2 2 2" xfId="182"/>
    <cellStyle name="cellStylePer 2 2 2 3" xfId="183"/>
    <cellStyle name="cellStylePer 2 2 3" xfId="184"/>
    <cellStyle name="cellStylePer 2 2 3 2" xfId="185"/>
    <cellStyle name="cellStylePer 2 2 3 3" xfId="186"/>
    <cellStyle name="cellStylePer 2 2 4" xfId="187"/>
    <cellStyle name="cellStylePer 2 2 5" xfId="188"/>
    <cellStyle name="cellStylePer 2 2 6" xfId="189"/>
    <cellStyle name="cellStylePer 2 2 7" xfId="190"/>
    <cellStyle name="cellStylePer 2 3" xfId="191"/>
    <cellStyle name="cellStylePer 2 3 2" xfId="192"/>
    <cellStyle name="cellStylePer 2 3 3" xfId="193"/>
    <cellStyle name="cellStylePer 2 4" xfId="194"/>
    <cellStyle name="cellStylePer 2 4 2" xfId="195"/>
    <cellStyle name="cellStylePer 2 4 3" xfId="196"/>
    <cellStyle name="cellStylePer 2 5" xfId="197"/>
    <cellStyle name="cellStylePer 2 6" xfId="198"/>
    <cellStyle name="cellStylePer 2 7" xfId="199"/>
    <cellStyle name="cellStylePer 2 8" xfId="200"/>
    <cellStyle name="cellStylePer 3" xfId="201"/>
    <cellStyle name="cellStylePer 3 2" xfId="202"/>
    <cellStyle name="cellStylePer 3 2 2" xfId="203"/>
    <cellStyle name="cellStylePer 3 2 3" xfId="204"/>
    <cellStyle name="cellStylePer 3 3" xfId="205"/>
    <cellStyle name="cellStylePer 3 3 2" xfId="206"/>
    <cellStyle name="cellStylePer 3 3 3" xfId="207"/>
    <cellStyle name="cellStylePer 3 4" xfId="208"/>
    <cellStyle name="cellStylePer 3 5" xfId="209"/>
    <cellStyle name="cellStylePer 3 6" xfId="210"/>
    <cellStyle name="cellStylePer 3 7" xfId="211"/>
    <cellStyle name="cellStylePer 4" xfId="212"/>
    <cellStyle name="cellStylePer 4 2" xfId="213"/>
    <cellStyle name="cellStylePer 4 3" xfId="214"/>
    <cellStyle name="cellStylePer 5" xfId="215"/>
    <cellStyle name="cellStylePer 5 2" xfId="216"/>
    <cellStyle name="cellStylePer 5 3" xfId="217"/>
    <cellStyle name="cellStylePer 6" xfId="218"/>
    <cellStyle name="cellStylePer 7" xfId="219"/>
    <cellStyle name="cellStylePer 8" xfId="220"/>
    <cellStyle name="cellStylePer 9" xfId="221"/>
    <cellStyle name="Check Cell 2" xfId="222"/>
    <cellStyle name="Check Cell 2 2" xfId="223"/>
    <cellStyle name="Check Cell 2 2 2" xfId="224"/>
    <cellStyle name="Check Cell 2 2 3" xfId="225"/>
    <cellStyle name="Check Cell 2 3" xfId="226"/>
    <cellStyle name="Col Heads" xfId="227"/>
    <cellStyle name="Comma" xfId="228"/>
    <cellStyle name="Comma  - Style1" xfId="229"/>
    <cellStyle name="Comma  - Style2" xfId="230"/>
    <cellStyle name="Comma  - Style3" xfId="231"/>
    <cellStyle name="Comma  - Style4" xfId="232"/>
    <cellStyle name="Comma  - Style5" xfId="233"/>
    <cellStyle name="Comma  - Style6" xfId="234"/>
    <cellStyle name="Comma  - Style7" xfId="235"/>
    <cellStyle name="Comma  - Style8" xfId="236"/>
    <cellStyle name="Comma [0] 2" xfId="237"/>
    <cellStyle name="Comma [0] 2 10" xfId="238"/>
    <cellStyle name="Comma [0] 2 10 2" xfId="239"/>
    <cellStyle name="Comma [0] 2 11" xfId="240"/>
    <cellStyle name="Comma [0] 2 2" xfId="241"/>
    <cellStyle name="Comma [0] 2 2 2" xfId="242"/>
    <cellStyle name="Comma [0] 2 2 2 2" xfId="243"/>
    <cellStyle name="Comma [0] 2 2 2 2 2" xfId="244"/>
    <cellStyle name="Comma [0] 2 2 2 2 2 2" xfId="245"/>
    <cellStyle name="Comma [0] 2 2 2 2 2 2 2" xfId="246"/>
    <cellStyle name="Comma [0] 2 2 2 2 2 2 2 2" xfId="247"/>
    <cellStyle name="Comma [0] 2 2 2 2 2 2 3" xfId="248"/>
    <cellStyle name="Comma [0] 2 2 2 2 2 2 3 2" xfId="249"/>
    <cellStyle name="Comma [0] 2 2 2 2 2 2 4" xfId="250"/>
    <cellStyle name="Comma [0] 2 2 2 2 2 2 4 2" xfId="251"/>
    <cellStyle name="Comma [0] 2 2 2 2 2 2 5" xfId="252"/>
    <cellStyle name="Comma [0] 2 2 2 2 2 3" xfId="253"/>
    <cellStyle name="Comma [0] 2 2 2 2 2 3 2" xfId="254"/>
    <cellStyle name="Comma [0] 2 2 2 2 2 4" xfId="255"/>
    <cellStyle name="Comma [0] 2 2 2 2 2 4 2" xfId="256"/>
    <cellStyle name="Comma [0] 2 2 2 2 2 5" xfId="257"/>
    <cellStyle name="Comma [0] 2 2 2 2 2 5 2" xfId="258"/>
    <cellStyle name="Comma [0] 2 2 2 2 2 6" xfId="259"/>
    <cellStyle name="Comma [0] 2 2 2 2 2 6 2" xfId="260"/>
    <cellStyle name="Comma [0] 2 2 2 2 2 7" xfId="261"/>
    <cellStyle name="Comma [0] 2 2 2 2 3" xfId="262"/>
    <cellStyle name="Comma [0] 2 2 2 2 3 2" xfId="263"/>
    <cellStyle name="Comma [0] 2 2 2 2 3 2 2" xfId="264"/>
    <cellStyle name="Comma [0] 2 2 2 2 3 3" xfId="265"/>
    <cellStyle name="Comma [0] 2 2 2 2 3 3 2" xfId="266"/>
    <cellStyle name="Comma [0] 2 2 2 2 3 4" xfId="267"/>
    <cellStyle name="Comma [0] 2 2 2 2 3 4 2" xfId="268"/>
    <cellStyle name="Comma [0] 2 2 2 2 3 5" xfId="269"/>
    <cellStyle name="Comma [0] 2 2 2 2 3 5 2" xfId="270"/>
    <cellStyle name="Comma [0] 2 2 2 2 3 6" xfId="271"/>
    <cellStyle name="Comma [0] 2 2 2 2 4" xfId="272"/>
    <cellStyle name="Comma [0] 2 2 2 2 4 2" xfId="273"/>
    <cellStyle name="Comma [0] 2 2 2 2 4 2 2" xfId="274"/>
    <cellStyle name="Comma [0] 2 2 2 2 4 3" xfId="275"/>
    <cellStyle name="Comma [0] 2 2 2 2 4 4" xfId="276"/>
    <cellStyle name="Comma [0] 2 2 2 2 5" xfId="277"/>
    <cellStyle name="Comma [0] 2 2 2 2 5 2" xfId="278"/>
    <cellStyle name="Comma [0] 2 2 2 2 5 2 2" xfId="279"/>
    <cellStyle name="Comma [0] 2 2 2 2 5 3" xfId="280"/>
    <cellStyle name="Comma [0] 2 2 2 2 5 4" xfId="281"/>
    <cellStyle name="Comma [0] 2 2 2 2 6" xfId="282"/>
    <cellStyle name="Comma [0] 2 2 2 2 6 2" xfId="283"/>
    <cellStyle name="Comma [0] 2 2 2 2 7" xfId="284"/>
    <cellStyle name="Comma [0] 2 2 2 2 7 2" xfId="285"/>
    <cellStyle name="Comma [0] 2 2 2 2 8" xfId="286"/>
    <cellStyle name="Comma [0] 2 2 2 3" xfId="287"/>
    <cellStyle name="Comma [0] 2 2 2 3 2" xfId="288"/>
    <cellStyle name="Comma [0] 2 2 2 3 2 2" xfId="289"/>
    <cellStyle name="Comma [0] 2 2 2 3 2 2 2" xfId="290"/>
    <cellStyle name="Comma [0] 2 2 2 3 2 3" xfId="291"/>
    <cellStyle name="Comma [0] 2 2 2 3 3" xfId="292"/>
    <cellStyle name="Comma [0] 2 2 2 3 3 2" xfId="293"/>
    <cellStyle name="Comma [0] 2 2 2 3 4" xfId="294"/>
    <cellStyle name="Comma [0] 2 2 2 3 4 2" xfId="295"/>
    <cellStyle name="Comma [0] 2 2 2 3 5" xfId="296"/>
    <cellStyle name="Comma [0] 2 2 2 3 5 2" xfId="297"/>
    <cellStyle name="Comma [0] 2 2 2 3 6" xfId="298"/>
    <cellStyle name="Comma [0] 2 2 2 3 6 2" xfId="299"/>
    <cellStyle name="Comma [0] 2 2 2 3 7" xfId="300"/>
    <cellStyle name="Comma [0] 2 2 2 4" xfId="301"/>
    <cellStyle name="Comma [0] 2 2 2 4 2" xfId="302"/>
    <cellStyle name="Comma [0] 2 2 2 4 2 2" xfId="303"/>
    <cellStyle name="Comma [0] 2 2 2 4 3" xfId="304"/>
    <cellStyle name="Comma [0] 2 2 2 4 3 2" xfId="305"/>
    <cellStyle name="Comma [0] 2 2 2 4 4" xfId="306"/>
    <cellStyle name="Comma [0] 2 2 2 4 4 2" xfId="307"/>
    <cellStyle name="Comma [0] 2 2 2 4 5" xfId="308"/>
    <cellStyle name="Comma [0] 2 2 2 4 5 2" xfId="309"/>
    <cellStyle name="Comma [0] 2 2 2 4 6" xfId="310"/>
    <cellStyle name="Comma [0] 2 2 2 5" xfId="311"/>
    <cellStyle name="Comma [0] 2 2 2 5 2" xfId="312"/>
    <cellStyle name="Comma [0] 2 2 2 5 2 2" xfId="313"/>
    <cellStyle name="Comma [0] 2 2 2 5 3" xfId="314"/>
    <cellStyle name="Comma [0] 2 2 2 5 4" xfId="315"/>
    <cellStyle name="Comma [0] 2 2 2 6" xfId="316"/>
    <cellStyle name="Comma [0] 2 2 2 6 2" xfId="317"/>
    <cellStyle name="Comma [0] 2 2 2 7" xfId="318"/>
    <cellStyle name="Comma [0] 2 2 2 7 2" xfId="319"/>
    <cellStyle name="Comma [0] 2 2 2 8" xfId="320"/>
    <cellStyle name="Comma [0] 2 2 2 8 2" xfId="321"/>
    <cellStyle name="Comma [0] 2 2 2 9" xfId="322"/>
    <cellStyle name="Comma [0] 2 2 3" xfId="323"/>
    <cellStyle name="Comma [0] 2 2 3 2" xfId="324"/>
    <cellStyle name="Comma [0] 2 2 3 2 2" xfId="325"/>
    <cellStyle name="Comma [0] 2 2 3 2 2 2" xfId="326"/>
    <cellStyle name="Comma [0] 2 2 3 2 3" xfId="327"/>
    <cellStyle name="Comma [0] 2 2 3 2 3 2" xfId="328"/>
    <cellStyle name="Comma [0] 2 2 3 2 4" xfId="329"/>
    <cellStyle name="Comma [0] 2 2 3 2 4 2" xfId="330"/>
    <cellStyle name="Comma [0] 2 2 3 2 5" xfId="331"/>
    <cellStyle name="Comma [0] 2 2 3 3" xfId="332"/>
    <cellStyle name="Comma [0] 2 2 3 3 2" xfId="333"/>
    <cellStyle name="Comma [0] 2 2 3 3 2 2" xfId="334"/>
    <cellStyle name="Comma [0] 2 2 3 3 3" xfId="335"/>
    <cellStyle name="Comma [0] 2 2 3 3 4" xfId="336"/>
    <cellStyle name="Comma [0] 2 2 3 4" xfId="337"/>
    <cellStyle name="Comma [0] 2 2 3 4 2" xfId="338"/>
    <cellStyle name="Comma [0] 2 2 3 5" xfId="339"/>
    <cellStyle name="Comma [0] 2 2 3 5 2" xfId="340"/>
    <cellStyle name="Comma [0] 2 2 3 6" xfId="341"/>
    <cellStyle name="Comma [0] 2 2 3 6 2" xfId="342"/>
    <cellStyle name="Comma [0] 2 2 3 7" xfId="343"/>
    <cellStyle name="Comma [0] 2 2 4" xfId="344"/>
    <cellStyle name="Comma [0] 2 2 4 2" xfId="345"/>
    <cellStyle name="Comma [0] 2 2 4 2 2" xfId="346"/>
    <cellStyle name="Comma [0] 2 2 4 2 2 2" xfId="347"/>
    <cellStyle name="Comma [0] 2 2 4 2 3" xfId="348"/>
    <cellStyle name="Comma [0] 2 2 4 2 4" xfId="349"/>
    <cellStyle name="Comma [0] 2 2 4 3" xfId="350"/>
    <cellStyle name="Comma [0] 2 2 4 3 2" xfId="351"/>
    <cellStyle name="Comma [0] 2 2 4 3 2 2" xfId="352"/>
    <cellStyle name="Comma [0] 2 2 4 3 3" xfId="353"/>
    <cellStyle name="Comma [0] 2 2 4 3 4" xfId="354"/>
    <cellStyle name="Comma [0] 2 2 4 4" xfId="355"/>
    <cellStyle name="Comma [0] 2 2 4 4 2" xfId="356"/>
    <cellStyle name="Comma [0] 2 2 4 5" xfId="357"/>
    <cellStyle name="Comma [0] 2 2 4 5 2" xfId="358"/>
    <cellStyle name="Comma [0] 2 2 4 6" xfId="359"/>
    <cellStyle name="Comma [0] 2 2 5" xfId="360"/>
    <cellStyle name="Comma [0] 2 2 5 2" xfId="361"/>
    <cellStyle name="Comma [0] 2 2 5 2 2" xfId="362"/>
    <cellStyle name="Comma [0] 2 2 5 3" xfId="363"/>
    <cellStyle name="Comma [0] 2 2 5 4" xfId="364"/>
    <cellStyle name="Comma [0] 2 2 6" xfId="365"/>
    <cellStyle name="Comma [0] 2 2 6 2" xfId="366"/>
    <cellStyle name="Comma [0] 2 2 7" xfId="367"/>
    <cellStyle name="Comma [0] 2 2 7 2" xfId="368"/>
    <cellStyle name="Comma [0] 2 2 8" xfId="369"/>
    <cellStyle name="Comma [0] 2 2 8 2" xfId="370"/>
    <cellStyle name="Comma [0] 2 2 9" xfId="371"/>
    <cellStyle name="Comma [0] 2 3" xfId="372"/>
    <cellStyle name="Comma [0] 2 3 2" xfId="373"/>
    <cellStyle name="Comma [0] 2 3 2 2" xfId="374"/>
    <cellStyle name="Comma [0] 2 3 2 2 2" xfId="375"/>
    <cellStyle name="Comma [0] 2 3 2 2 2 2" xfId="376"/>
    <cellStyle name="Comma [0] 2 3 2 2 3" xfId="377"/>
    <cellStyle name="Comma [0] 2 3 2 2 4" xfId="378"/>
    <cellStyle name="Comma [0] 2 3 2 3" xfId="379"/>
    <cellStyle name="Comma [0] 2 3 2 3 2" xfId="380"/>
    <cellStyle name="Comma [0] 2 3 2 3 2 2" xfId="381"/>
    <cellStyle name="Comma [0] 2 3 2 3 3" xfId="382"/>
    <cellStyle name="Comma [0] 2 3 2 3 4" xfId="383"/>
    <cellStyle name="Comma [0] 2 3 2 4" xfId="384"/>
    <cellStyle name="Comma [0] 2 3 2 4 2" xfId="385"/>
    <cellStyle name="Comma [0] 2 3 2 5" xfId="386"/>
    <cellStyle name="Comma [0] 2 3 2 5 2" xfId="387"/>
    <cellStyle name="Comma [0] 2 3 2 6" xfId="388"/>
    <cellStyle name="Comma [0] 2 3 3" xfId="389"/>
    <cellStyle name="Comma [0] 2 3 3 2" xfId="390"/>
    <cellStyle name="Comma [0] 2 3 3 2 2" xfId="391"/>
    <cellStyle name="Comma [0] 2 3 3 2 3" xfId="392"/>
    <cellStyle name="Comma [0] 2 3 3 3" xfId="393"/>
    <cellStyle name="Comma [0] 2 3 3 3 2" xfId="394"/>
    <cellStyle name="Comma [0] 2 3 3 3 3" xfId="395"/>
    <cellStyle name="Comma [0] 2 3 3 4" xfId="396"/>
    <cellStyle name="Comma [0] 2 3 3 4 2" xfId="397"/>
    <cellStyle name="Comma [0] 2 3 3 5" xfId="398"/>
    <cellStyle name="Comma [0] 2 3 3 6" xfId="399"/>
    <cellStyle name="Comma [0] 2 3 4" xfId="400"/>
    <cellStyle name="Comma [0] 2 3 4 2" xfId="401"/>
    <cellStyle name="Comma [0] 2 3 4 2 2" xfId="402"/>
    <cellStyle name="Comma [0] 2 3 4 3" xfId="403"/>
    <cellStyle name="Comma [0] 2 3 4 4" xfId="404"/>
    <cellStyle name="Comma [0] 2 3 5" xfId="405"/>
    <cellStyle name="Comma [0] 2 3 5 2" xfId="406"/>
    <cellStyle name="Comma [0] 2 3 5 3" xfId="407"/>
    <cellStyle name="Comma [0] 2 3 6" xfId="408"/>
    <cellStyle name="Comma [0] 2 3 6 2" xfId="409"/>
    <cellStyle name="Comma [0] 2 3 7" xfId="410"/>
    <cellStyle name="Comma [0] 2 3 7 2" xfId="411"/>
    <cellStyle name="Comma [0] 2 3 8" xfId="412"/>
    <cellStyle name="Comma [0] 2 4" xfId="413"/>
    <cellStyle name="Comma [0] 2 4 2" xfId="414"/>
    <cellStyle name="Comma [0] 2 4 2 2" xfId="415"/>
    <cellStyle name="Comma [0] 2 4 2 2 2" xfId="416"/>
    <cellStyle name="Comma [0] 2 4 2 2 3" xfId="417"/>
    <cellStyle name="Comma [0] 2 4 2 3" xfId="418"/>
    <cellStyle name="Comma [0] 2 4 2 3 2" xfId="419"/>
    <cellStyle name="Comma [0] 2 4 2 4" xfId="420"/>
    <cellStyle name="Comma [0] 2 4 2 5" xfId="421"/>
    <cellStyle name="Comma [0] 2 4 3" xfId="422"/>
    <cellStyle name="Comma [0] 2 4 3 2" xfId="423"/>
    <cellStyle name="Comma [0] 2 4 3 2 2" xfId="424"/>
    <cellStyle name="Comma [0] 2 4 3 3" xfId="425"/>
    <cellStyle name="Comma [0] 2 4 3 4" xfId="426"/>
    <cellStyle name="Comma [0] 2 4 4" xfId="427"/>
    <cellStyle name="Comma [0] 2 4 4 2" xfId="428"/>
    <cellStyle name="Comma [0] 2 4 4 2 2" xfId="429"/>
    <cellStyle name="Comma [0] 2 4 4 3" xfId="430"/>
    <cellStyle name="Comma [0] 2 4 4 4" xfId="431"/>
    <cellStyle name="Comma [0] 2 4 5" xfId="432"/>
    <cellStyle name="Comma [0] 2 4 5 2" xfId="433"/>
    <cellStyle name="Comma [0] 2 4 6" xfId="434"/>
    <cellStyle name="Comma [0] 2 4 6 2" xfId="435"/>
    <cellStyle name="Comma [0] 2 4 7" xfId="436"/>
    <cellStyle name="Comma [0] 2 5" xfId="437"/>
    <cellStyle name="Comma [0] 2 5 2" xfId="438"/>
    <cellStyle name="Comma [0] 2 5 2 2" xfId="439"/>
    <cellStyle name="Comma [0] 2 5 2 3" xfId="440"/>
    <cellStyle name="Comma [0] 2 5 3" xfId="441"/>
    <cellStyle name="Comma [0] 2 5 3 2" xfId="442"/>
    <cellStyle name="Comma [0] 2 5 3 3" xfId="443"/>
    <cellStyle name="Comma [0] 2 5 4" xfId="444"/>
    <cellStyle name="Comma [0] 2 5 4 2" xfId="445"/>
    <cellStyle name="Comma [0] 2 5 5" xfId="446"/>
    <cellStyle name="Comma [0] 2 5 6" xfId="447"/>
    <cellStyle name="Comma [0] 2 6" xfId="448"/>
    <cellStyle name="Comma [0] 2 6 2" xfId="449"/>
    <cellStyle name="Comma [0] 2 6 2 2" xfId="450"/>
    <cellStyle name="Comma [0] 2 6 2 3" xfId="451"/>
    <cellStyle name="Comma [0] 2 6 3" xfId="452"/>
    <cellStyle name="Comma [0] 2 6 3 2" xfId="453"/>
    <cellStyle name="Comma [0] 2 6 4" xfId="454"/>
    <cellStyle name="Comma [0] 2 6 5" xfId="455"/>
    <cellStyle name="Comma [0] 2 7" xfId="456"/>
    <cellStyle name="Comma [0] 2 7 2" xfId="457"/>
    <cellStyle name="Comma [0] 2 7 2 2" xfId="458"/>
    <cellStyle name="Comma [0] 2 7 3" xfId="459"/>
    <cellStyle name="Comma [0] 2 8" xfId="460"/>
    <cellStyle name="Comma [0] 2 8 2" xfId="461"/>
    <cellStyle name="Comma [0] 2 8 3" xfId="462"/>
    <cellStyle name="Comma [0] 2 9" xfId="463"/>
    <cellStyle name="Comma [0] 2 9 2" xfId="464"/>
    <cellStyle name="Comma [0] 3" xfId="465"/>
    <cellStyle name="Comma [0] 3 2" xfId="466"/>
    <cellStyle name="Comma [0] 3 2 2" xfId="467"/>
    <cellStyle name="Comma [0] 3 2 2 2" xfId="468"/>
    <cellStyle name="Comma [0] 3 2 2 2 2" xfId="469"/>
    <cellStyle name="Comma [0] 3 2 2 2 2 2" xfId="470"/>
    <cellStyle name="Comma [0] 3 2 2 2 3" xfId="471"/>
    <cellStyle name="Comma [0] 3 2 2 3" xfId="472"/>
    <cellStyle name="Comma [0] 3 2 2 3 2" xfId="473"/>
    <cellStyle name="Comma [0] 3 2 2 4" xfId="474"/>
    <cellStyle name="Comma [0] 3 2 2 4 2" xfId="475"/>
    <cellStyle name="Comma [0] 3 2 2 5" xfId="476"/>
    <cellStyle name="Comma [0] 3 2 3" xfId="477"/>
    <cellStyle name="Comma [0] 3 2 3 2" xfId="478"/>
    <cellStyle name="Comma [0] 3 2 3 2 2" xfId="479"/>
    <cellStyle name="Comma [0] 3 2 3 3" xfId="480"/>
    <cellStyle name="Comma [0] 3 2 4" xfId="481"/>
    <cellStyle name="Comma [0] 3 2 4 2" xfId="482"/>
    <cellStyle name="Comma [0] 3 2 5" xfId="483"/>
    <cellStyle name="Comma [0] 3 2 5 2" xfId="484"/>
    <cellStyle name="Comma [0] 3 2 6" xfId="485"/>
    <cellStyle name="Comma [0] 3 2 6 2" xfId="486"/>
    <cellStyle name="Comma [0] 3 3" xfId="487"/>
    <cellStyle name="Comma [0] 3 3 2" xfId="488"/>
    <cellStyle name="Comma [0] 3 3 2 2" xfId="489"/>
    <cellStyle name="Comma [0] 3 3 3" xfId="490"/>
    <cellStyle name="Comma [0] 3 3 3 2" xfId="491"/>
    <cellStyle name="Comma [0] 3 3 4" xfId="492"/>
    <cellStyle name="Comma [0] 3 3 4 2" xfId="493"/>
    <cellStyle name="Comma [0] 3 3 5" xfId="494"/>
    <cellStyle name="Comma [0] 3 4" xfId="495"/>
    <cellStyle name="Comma [0] 3 4 2" xfId="496"/>
    <cellStyle name="Comma [0] 3 5" xfId="497"/>
    <cellStyle name="Comma [0] 3 5 2" xfId="498"/>
    <cellStyle name="Comma [0] 3 6" xfId="499"/>
    <cellStyle name="Comma [0] 3 6 2" xfId="500"/>
    <cellStyle name="Comma [0] 3 7" xfId="501"/>
    <cellStyle name="Comma [0] 3 7 2" xfId="502"/>
    <cellStyle name="Comma [0] 3 8" xfId="503"/>
    <cellStyle name="Comma 10" xfId="504"/>
    <cellStyle name="Comma 10 2" xfId="505"/>
    <cellStyle name="Comma 10 2 10" xfId="506"/>
    <cellStyle name="Comma 10 2 2" xfId="507"/>
    <cellStyle name="Comma 10 2 2 2" xfId="508"/>
    <cellStyle name="Comma 10 2 2 2 2" xfId="509"/>
    <cellStyle name="Comma 10 2 2 2 2 2" xfId="510"/>
    <cellStyle name="Comma 10 2 2 2 3" xfId="511"/>
    <cellStyle name="Comma 10 2 2 3" xfId="512"/>
    <cellStyle name="Comma 10 2 2 3 2" xfId="513"/>
    <cellStyle name="Comma 10 2 2 4" xfId="514"/>
    <cellStyle name="Comma 10 2 2 4 2" xfId="515"/>
    <cellStyle name="Comma 10 2 2 5" xfId="516"/>
    <cellStyle name="Comma 10 2 2 5 2" xfId="517"/>
    <cellStyle name="Comma 10 2 2 6" xfId="518"/>
    <cellStyle name="Comma 10 2 3" xfId="519"/>
    <cellStyle name="Comma 10 2 3 2" xfId="520"/>
    <cellStyle name="Comma 10 2 3 2 2" xfId="521"/>
    <cellStyle name="Comma 10 2 3 3" xfId="522"/>
    <cellStyle name="Comma 10 2 3 3 2" xfId="523"/>
    <cellStyle name="Comma 10 2 3 4" xfId="524"/>
    <cellStyle name="Comma 10 2 3 4 2" xfId="525"/>
    <cellStyle name="Comma 10 2 3 5" xfId="526"/>
    <cellStyle name="Comma 10 2 4" xfId="527"/>
    <cellStyle name="Comma 10 2 4 2" xfId="528"/>
    <cellStyle name="Comma 10 2 4 2 2" xfId="529"/>
    <cellStyle name="Comma 10 2 4 3" xfId="530"/>
    <cellStyle name="Comma 10 2 4 3 2" xfId="531"/>
    <cellStyle name="Comma 10 2 4 4" xfId="532"/>
    <cellStyle name="Comma 10 2 4 4 2" xfId="533"/>
    <cellStyle name="Comma 10 2 4 5" xfId="534"/>
    <cellStyle name="Comma 10 2 5" xfId="535"/>
    <cellStyle name="Comma 10 2 5 2" xfId="536"/>
    <cellStyle name="Comma 10 2 5 2 2" xfId="537"/>
    <cellStyle name="Comma 10 2 5 3" xfId="538"/>
    <cellStyle name="Comma 10 2 5 3 2" xfId="539"/>
    <cellStyle name="Comma 10 2 5 4" xfId="540"/>
    <cellStyle name="Comma 10 2 5 4 2" xfId="541"/>
    <cellStyle name="Comma 10 2 5 5" xfId="542"/>
    <cellStyle name="Comma 10 2 6" xfId="543"/>
    <cellStyle name="Comma 10 2 6 2" xfId="544"/>
    <cellStyle name="Comma 10 2 7" xfId="545"/>
    <cellStyle name="Comma 10 2 7 2" xfId="546"/>
    <cellStyle name="Comma 10 2 8" xfId="547"/>
    <cellStyle name="Comma 10 2 8 2" xfId="548"/>
    <cellStyle name="Comma 10 2 9" xfId="549"/>
    <cellStyle name="Comma 10 2 9 2" xfId="550"/>
    <cellStyle name="Comma 10 3" xfId="551"/>
    <cellStyle name="Comma 10 3 2" xfId="552"/>
    <cellStyle name="Comma 10 3 2 2" xfId="553"/>
    <cellStyle name="Comma 10 3 2 3" xfId="554"/>
    <cellStyle name="Comma 10 3 3" xfId="555"/>
    <cellStyle name="Comma 10 3 3 2" xfId="556"/>
    <cellStyle name="Comma 10 3 4" xfId="557"/>
    <cellStyle name="Comma 10 3 5" xfId="558"/>
    <cellStyle name="Comma 10 4" xfId="559"/>
    <cellStyle name="Comma 10 4 2" xfId="560"/>
    <cellStyle name="Comma 10 4 2 2" xfId="561"/>
    <cellStyle name="Comma 10 4 3" xfId="562"/>
    <cellStyle name="Comma 10 4 4" xfId="563"/>
    <cellStyle name="Comma 10 5" xfId="564"/>
    <cellStyle name="Comma 10 5 2" xfId="565"/>
    <cellStyle name="Comma 10 6" xfId="566"/>
    <cellStyle name="Comma 10 6 2" xfId="567"/>
    <cellStyle name="Comma 10 7" xfId="568"/>
    <cellStyle name="Comma 11" xfId="569"/>
    <cellStyle name="Comma 11 2" xfId="570"/>
    <cellStyle name="Comma 11 2 2" xfId="571"/>
    <cellStyle name="Comma 11 2 2 2" xfId="572"/>
    <cellStyle name="Comma 11 2 2 3" xfId="573"/>
    <cellStyle name="Comma 11 2 3" xfId="574"/>
    <cellStyle name="Comma 11 2 3 2" xfId="575"/>
    <cellStyle name="Comma 11 2 4" xfId="576"/>
    <cellStyle name="Comma 11 2 5" xfId="577"/>
    <cellStyle name="Comma 11 3" xfId="578"/>
    <cellStyle name="Comma 11 3 2" xfId="579"/>
    <cellStyle name="Comma 11 3 2 2" xfId="580"/>
    <cellStyle name="Comma 11 3 2 3" xfId="581"/>
    <cellStyle name="Comma 11 3 3" xfId="582"/>
    <cellStyle name="Comma 11 3 3 2" xfId="583"/>
    <cellStyle name="Comma 11 3 4" xfId="584"/>
    <cellStyle name="Comma 11 3 5" xfId="585"/>
    <cellStyle name="Comma 11 4" xfId="586"/>
    <cellStyle name="Comma 11 4 2" xfId="587"/>
    <cellStyle name="Comma 11 4 3" xfId="588"/>
    <cellStyle name="Comma 11 5" xfId="589"/>
    <cellStyle name="Comma 11 5 2" xfId="590"/>
    <cellStyle name="Comma 11 6" xfId="591"/>
    <cellStyle name="Comma 11 6 2" xfId="592"/>
    <cellStyle name="Comma 11 7" xfId="593"/>
    <cellStyle name="Comma 12" xfId="594"/>
    <cellStyle name="Comma 12 2" xfId="595"/>
    <cellStyle name="Comma 12 2 2" xfId="596"/>
    <cellStyle name="Comma 12 2 2 2" xfId="597"/>
    <cellStyle name="Comma 12 2 3" xfId="598"/>
    <cellStyle name="Comma 12 2 4" xfId="599"/>
    <cellStyle name="Comma 12 3" xfId="600"/>
    <cellStyle name="Comma 12 3 2" xfId="601"/>
    <cellStyle name="Comma 12 3 2 2" xfId="602"/>
    <cellStyle name="Comma 12 3 2 3" xfId="603"/>
    <cellStyle name="Comma 12 3 3" xfId="604"/>
    <cellStyle name="Comma 12 3 4" xfId="605"/>
    <cellStyle name="Comma 12 4" xfId="606"/>
    <cellStyle name="Comma 12 4 2" xfId="607"/>
    <cellStyle name="Comma 12 4 2 2" xfId="608"/>
    <cellStyle name="Comma 12 4 2 3" xfId="609"/>
    <cellStyle name="Comma 12 4 3" xfId="610"/>
    <cellStyle name="Comma 12 4 4" xfId="611"/>
    <cellStyle name="Comma 12 5" xfId="612"/>
    <cellStyle name="Comma 12 5 2" xfId="613"/>
    <cellStyle name="Comma 12 5 3" xfId="614"/>
    <cellStyle name="Comma 12 6" xfId="615"/>
    <cellStyle name="Comma 12 6 2" xfId="616"/>
    <cellStyle name="Comma 12 6 3" xfId="617"/>
    <cellStyle name="Comma 12 7" xfId="618"/>
    <cellStyle name="Comma 12 8" xfId="619"/>
    <cellStyle name="Comma 13" xfId="620"/>
    <cellStyle name="Comma 13 2" xfId="621"/>
    <cellStyle name="Comma 13 2 2" xfId="622"/>
    <cellStyle name="Comma 13 2 2 2" xfId="623"/>
    <cellStyle name="Comma 13 2 2 3" xfId="624"/>
    <cellStyle name="Comma 13 2 3" xfId="625"/>
    <cellStyle name="Comma 13 2 4" xfId="626"/>
    <cellStyle name="Comma 13 3" xfId="627"/>
    <cellStyle name="Comma 13 3 2" xfId="628"/>
    <cellStyle name="Comma 13 3 2 2" xfId="629"/>
    <cellStyle name="Comma 13 3 2 3" xfId="630"/>
    <cellStyle name="Comma 13 3 3" xfId="631"/>
    <cellStyle name="Comma 13 3 4" xfId="632"/>
    <cellStyle name="Comma 13 4" xfId="633"/>
    <cellStyle name="Comma 13 4 2" xfId="634"/>
    <cellStyle name="Comma 13 4 3" xfId="635"/>
    <cellStyle name="Comma 13 5" xfId="636"/>
    <cellStyle name="Comma 13 5 2" xfId="637"/>
    <cellStyle name="Comma 13 6" xfId="638"/>
    <cellStyle name="Comma 13 7" xfId="639"/>
    <cellStyle name="Comma 14" xfId="640"/>
    <cellStyle name="Comma 14 2" xfId="641"/>
    <cellStyle name="Comma 14 2 2" xfId="642"/>
    <cellStyle name="Comma 14 2 2 2" xfId="643"/>
    <cellStyle name="Comma 14 2 2 3" xfId="644"/>
    <cellStyle name="Comma 14 2 3" xfId="645"/>
    <cellStyle name="Comma 14 2 4" xfId="646"/>
    <cellStyle name="Comma 14 3" xfId="647"/>
    <cellStyle name="Comma 14 3 2" xfId="648"/>
    <cellStyle name="Comma 14 3 2 2" xfId="649"/>
    <cellStyle name="Comma 14 3 2 3" xfId="650"/>
    <cellStyle name="Comma 14 3 3" xfId="651"/>
    <cellStyle name="Comma 14 3 4" xfId="652"/>
    <cellStyle name="Comma 14 4" xfId="653"/>
    <cellStyle name="Comma 14 4 2" xfId="654"/>
    <cellStyle name="Comma 14 4 3" xfId="655"/>
    <cellStyle name="Comma 14 5" xfId="656"/>
    <cellStyle name="Comma 14 5 2" xfId="657"/>
    <cellStyle name="Comma 14 6" xfId="658"/>
    <cellStyle name="Comma 14 7" xfId="659"/>
    <cellStyle name="Comma 15" xfId="660"/>
    <cellStyle name="Comma 15 2" xfId="661"/>
    <cellStyle name="Comma 15 2 2" xfId="662"/>
    <cellStyle name="Comma 15 2 2 2" xfId="663"/>
    <cellStyle name="Comma 15 2 2 3" xfId="664"/>
    <cellStyle name="Comma 15 2 3" xfId="665"/>
    <cellStyle name="Comma 15 2 4" xfId="666"/>
    <cellStyle name="Comma 15 3" xfId="667"/>
    <cellStyle name="Comma 15 3 2" xfId="668"/>
    <cellStyle name="Comma 15 3 2 2" xfId="669"/>
    <cellStyle name="Comma 15 3 2 3" xfId="670"/>
    <cellStyle name="Comma 15 3 3" xfId="671"/>
    <cellStyle name="Comma 15 3 4" xfId="672"/>
    <cellStyle name="Comma 15 4" xfId="673"/>
    <cellStyle name="Comma 15 4 2" xfId="674"/>
    <cellStyle name="Comma 15 4 3" xfId="675"/>
    <cellStyle name="Comma 15 5" xfId="676"/>
    <cellStyle name="Comma 15 6" xfId="677"/>
    <cellStyle name="Comma 16" xfId="678"/>
    <cellStyle name="Comma 16 2" xfId="679"/>
    <cellStyle name="Comma 16 2 2" xfId="680"/>
    <cellStyle name="Comma 16 2 2 2" xfId="681"/>
    <cellStyle name="Comma 16 2 2 2 2" xfId="682"/>
    <cellStyle name="Comma 16 2 2 2 3" xfId="683"/>
    <cellStyle name="Comma 16 2 2 3" xfId="684"/>
    <cellStyle name="Comma 16 2 2 4" xfId="685"/>
    <cellStyle name="Comma 16 2 3" xfId="686"/>
    <cellStyle name="Comma 16 2 3 2" xfId="687"/>
    <cellStyle name="Comma 16 2 3 2 2" xfId="688"/>
    <cellStyle name="Comma 16 2 3 2 3" xfId="689"/>
    <cellStyle name="Comma 16 2 3 3" xfId="690"/>
    <cellStyle name="Comma 16 2 3 4" xfId="691"/>
    <cellStyle name="Comma 16 2 4" xfId="692"/>
    <cellStyle name="Comma 16 2 4 2" xfId="693"/>
    <cellStyle name="Comma 16 2 4 3" xfId="694"/>
    <cellStyle name="Comma 16 2 5" xfId="695"/>
    <cellStyle name="Comma 16 2 6" xfId="696"/>
    <cellStyle name="Comma 16 3" xfId="697"/>
    <cellStyle name="Comma 16 3 2" xfId="698"/>
    <cellStyle name="Comma 16 3 2 2" xfId="699"/>
    <cellStyle name="Comma 16 3 2 2 2" xfId="700"/>
    <cellStyle name="Comma 16 3 2 2 3" xfId="701"/>
    <cellStyle name="Comma 16 3 2 3" xfId="702"/>
    <cellStyle name="Comma 16 3 2 4" xfId="703"/>
    <cellStyle name="Comma 16 3 3" xfId="704"/>
    <cellStyle name="Comma 16 3 3 2" xfId="705"/>
    <cellStyle name="Comma 16 3 3 2 2" xfId="706"/>
    <cellStyle name="Comma 16 3 3 2 3" xfId="707"/>
    <cellStyle name="Comma 16 3 3 3" xfId="708"/>
    <cellStyle name="Comma 16 3 3 4" xfId="709"/>
    <cellStyle name="Comma 16 3 4" xfId="710"/>
    <cellStyle name="Comma 16 3 4 2" xfId="711"/>
    <cellStyle name="Comma 16 3 4 3" xfId="712"/>
    <cellStyle name="Comma 16 3 5" xfId="713"/>
    <cellStyle name="Comma 16 3 6" xfId="714"/>
    <cellStyle name="Comma 16 4" xfId="715"/>
    <cellStyle name="Comma 16 4 2" xfId="716"/>
    <cellStyle name="Comma 16 4 2 2" xfId="717"/>
    <cellStyle name="Comma 16 4 2 3" xfId="718"/>
    <cellStyle name="Comma 16 4 3" xfId="719"/>
    <cellStyle name="Comma 16 4 4" xfId="720"/>
    <cellStyle name="Comma 16 5" xfId="721"/>
    <cellStyle name="Comma 16 5 2" xfId="722"/>
    <cellStyle name="Comma 16 5 2 2" xfId="723"/>
    <cellStyle name="Comma 16 5 2 3" xfId="724"/>
    <cellStyle name="Comma 16 5 3" xfId="725"/>
    <cellStyle name="Comma 16 5 4" xfId="726"/>
    <cellStyle name="Comma 16 6" xfId="727"/>
    <cellStyle name="Comma 16 6 2" xfId="728"/>
    <cellStyle name="Comma 16 6 3" xfId="729"/>
    <cellStyle name="Comma 16 7" xfId="730"/>
    <cellStyle name="Comma 16 7 2" xfId="731"/>
    <cellStyle name="Comma 16 7 3" xfId="732"/>
    <cellStyle name="Comma 16 8" xfId="733"/>
    <cellStyle name="Comma 16 9" xfId="734"/>
    <cellStyle name="Comma 17" xfId="735"/>
    <cellStyle name="Comma 17 2" xfId="736"/>
    <cellStyle name="Comma 17 2 2" xfId="737"/>
    <cellStyle name="Comma 17 2 2 2" xfId="738"/>
    <cellStyle name="Comma 17 2 2 3" xfId="739"/>
    <cellStyle name="Comma 17 2 3" xfId="740"/>
    <cellStyle name="Comma 17 2 4" xfId="741"/>
    <cellStyle name="Comma 17 3" xfId="742"/>
    <cellStyle name="Comma 17 3 2" xfId="743"/>
    <cellStyle name="Comma 17 3 2 2" xfId="744"/>
    <cellStyle name="Comma 17 3 2 3" xfId="745"/>
    <cellStyle name="Comma 17 3 3" xfId="746"/>
    <cellStyle name="Comma 17 3 4" xfId="747"/>
    <cellStyle name="Comma 17 4" xfId="748"/>
    <cellStyle name="Comma 17 4 2" xfId="749"/>
    <cellStyle name="Comma 17 4 3" xfId="750"/>
    <cellStyle name="Comma 17 5" xfId="751"/>
    <cellStyle name="Comma 17 6" xfId="752"/>
    <cellStyle name="Comma 17 8" xfId="753"/>
    <cellStyle name="Comma 17 8 2" xfId="754"/>
    <cellStyle name="Comma 18" xfId="755"/>
    <cellStyle name="Comma 18 2" xfId="756"/>
    <cellStyle name="Comma 18 2 2" xfId="757"/>
    <cellStyle name="Comma 18 2 2 2" xfId="758"/>
    <cellStyle name="Comma 18 2 2 3" xfId="759"/>
    <cellStyle name="Comma 18 2 3" xfId="760"/>
    <cellStyle name="Comma 18 2 4" xfId="761"/>
    <cellStyle name="Comma 18 3" xfId="762"/>
    <cellStyle name="Comma 18 3 2" xfId="763"/>
    <cellStyle name="Comma 18 3 2 2" xfId="764"/>
    <cellStyle name="Comma 18 3 2 3" xfId="765"/>
    <cellStyle name="Comma 18 3 3" xfId="766"/>
    <cellStyle name="Comma 18 3 4" xfId="767"/>
    <cellStyle name="Comma 18 4" xfId="768"/>
    <cellStyle name="Comma 18 4 2" xfId="769"/>
    <cellStyle name="Comma 18 4 3" xfId="770"/>
    <cellStyle name="Comma 18 5" xfId="771"/>
    <cellStyle name="Comma 18 6" xfId="772"/>
    <cellStyle name="Comma 19" xfId="773"/>
    <cellStyle name="Comma 19 2" xfId="774"/>
    <cellStyle name="Comma 19 2 2" xfId="775"/>
    <cellStyle name="Comma 19 2 2 2" xfId="776"/>
    <cellStyle name="Comma 19 2 2 3" xfId="777"/>
    <cellStyle name="Comma 19 2 3" xfId="778"/>
    <cellStyle name="Comma 19 2 4" xfId="779"/>
    <cellStyle name="Comma 19 3" xfId="780"/>
    <cellStyle name="Comma 19 3 2" xfId="781"/>
    <cellStyle name="Comma 19 3 2 2" xfId="782"/>
    <cellStyle name="Comma 19 3 2 3" xfId="783"/>
    <cellStyle name="Comma 19 3 3" xfId="784"/>
    <cellStyle name="Comma 19 3 4" xfId="785"/>
    <cellStyle name="Comma 19 4" xfId="786"/>
    <cellStyle name="Comma 19 4 2" xfId="787"/>
    <cellStyle name="Comma 19 4 3" xfId="788"/>
    <cellStyle name="Comma 19 5" xfId="789"/>
    <cellStyle name="Comma 19 6" xfId="790"/>
    <cellStyle name="Comma 2" xfId="791"/>
    <cellStyle name="Comma 2 10" xfId="792"/>
    <cellStyle name="Comma 2 10 2" xfId="793"/>
    <cellStyle name="Comma 2 10 3" xfId="794"/>
    <cellStyle name="Comma 2 11" xfId="795"/>
    <cellStyle name="Comma 2 11 2" xfId="796"/>
    <cellStyle name="Comma 2 11 3" xfId="797"/>
    <cellStyle name="Comma 2 12" xfId="798"/>
    <cellStyle name="Comma 2 12 2" xfId="799"/>
    <cellStyle name="Comma 2 13" xfId="800"/>
    <cellStyle name="Comma 2 13 2" xfId="801"/>
    <cellStyle name="Comma 2 14" xfId="802"/>
    <cellStyle name="Comma 2 2" xfId="803"/>
    <cellStyle name="Comma 2 2 10" xfId="804"/>
    <cellStyle name="Comma 2 2 10 2" xfId="805"/>
    <cellStyle name="Comma 2 2 10 3" xfId="806"/>
    <cellStyle name="Comma 2 2 11" xfId="807"/>
    <cellStyle name="Comma 2 2 11 2" xfId="808"/>
    <cellStyle name="Comma 2 2 2" xfId="809"/>
    <cellStyle name="Comma 2 2 2 10" xfId="810"/>
    <cellStyle name="Comma 2 2 2 2" xfId="811"/>
    <cellStyle name="Comma 2 2 2 2 2" xfId="812"/>
    <cellStyle name="Comma 2 2 2 2 2 2" xfId="813"/>
    <cellStyle name="Comma 2 2 2 2 2 2 2" xfId="814"/>
    <cellStyle name="Comma 2 2 2 2 2 2 3" xfId="815"/>
    <cellStyle name="Comma 2 2 2 2 2 3" xfId="816"/>
    <cellStyle name="Comma 2 2 2 2 2 3 2" xfId="817"/>
    <cellStyle name="Comma 2 2 2 2 2 4" xfId="818"/>
    <cellStyle name="Comma 2 2 2 2 2 5" xfId="819"/>
    <cellStyle name="Comma 2 2 2 2 3" xfId="820"/>
    <cellStyle name="Comma 2 2 2 2 3 2" xfId="821"/>
    <cellStyle name="Comma 2 2 2 2 3 3" xfId="822"/>
    <cellStyle name="Comma 2 2 2 2 4" xfId="823"/>
    <cellStyle name="Comma 2 2 2 2 4 2" xfId="824"/>
    <cellStyle name="Comma 2 2 2 2 4 3" xfId="825"/>
    <cellStyle name="Comma 2 2 2 2 5" xfId="826"/>
    <cellStyle name="Comma 2 2 2 2 5 2" xfId="827"/>
    <cellStyle name="Comma 2 2 2 2 5 3" xfId="828"/>
    <cellStyle name="Comma 2 2 2 2 6" xfId="829"/>
    <cellStyle name="Comma 2 2 2 2 6 2" xfId="830"/>
    <cellStyle name="Comma 2 2 2 2 7" xfId="831"/>
    <cellStyle name="Comma 2 2 2 2 7 2" xfId="832"/>
    <cellStyle name="Comma 2 2 2 2 8" xfId="833"/>
    <cellStyle name="Comma 2 2 2 2_1" xfId="834"/>
    <cellStyle name="Comma 2 2 2 3" xfId="835"/>
    <cellStyle name="Comma 2 2 2 3 2" xfId="836"/>
    <cellStyle name="Comma 2 2 2 3 2 2" xfId="837"/>
    <cellStyle name="Comma 2 2 2 3 2 3" xfId="838"/>
    <cellStyle name="Comma 2 2 2 3 3" xfId="839"/>
    <cellStyle name="Comma 2 2 2 3 3 2" xfId="840"/>
    <cellStyle name="Comma 2 2 2 3 4" xfId="841"/>
    <cellStyle name="Comma 2 2 2 3 5" xfId="842"/>
    <cellStyle name="Comma 2 2 2 4" xfId="843"/>
    <cellStyle name="Comma 2 2 2 4 2" xfId="844"/>
    <cellStyle name="Comma 2 2 2 4 2 2" xfId="845"/>
    <cellStyle name="Comma 2 2 2 4 3" xfId="846"/>
    <cellStyle name="Comma 2 2 2 4 4" xfId="847"/>
    <cellStyle name="Comma 2 2 2 5" xfId="848"/>
    <cellStyle name="Comma 2 2 2 5 2" xfId="849"/>
    <cellStyle name="Comma 2 2 2 5 3" xfId="850"/>
    <cellStyle name="Comma 2 2 2 6" xfId="851"/>
    <cellStyle name="Comma 2 2 2 6 2" xfId="852"/>
    <cellStyle name="Comma 2 2 2 6 3" xfId="853"/>
    <cellStyle name="Comma 2 2 2 7" xfId="854"/>
    <cellStyle name="Comma 2 2 2 7 2" xfId="855"/>
    <cellStyle name="Comma 2 2 2 7 3" xfId="856"/>
    <cellStyle name="Comma 2 2 2 8" xfId="857"/>
    <cellStyle name="Comma 2 2 2 8 2" xfId="858"/>
    <cellStyle name="Comma 2 2 2 9" xfId="859"/>
    <cellStyle name="Comma 2 2 2 9 2" xfId="860"/>
    <cellStyle name="Comma 2 2 2_1" xfId="861"/>
    <cellStyle name="Comma 2 2 3" xfId="862"/>
    <cellStyle name="Comma 2 2 3 10" xfId="863"/>
    <cellStyle name="Comma 2 2 3 10 2" xfId="864"/>
    <cellStyle name="Comma 2 2 3 11" xfId="865"/>
    <cellStyle name="Comma 2 2 3 11 2" xfId="866"/>
    <cellStyle name="Comma 2 2 3 2" xfId="867"/>
    <cellStyle name="Comma 2 2 3 2 10" xfId="868"/>
    <cellStyle name="Comma 2 2 3 2 2" xfId="869"/>
    <cellStyle name="Comma 2 2 3 2 2 2" xfId="870"/>
    <cellStyle name="Comma 2 2 3 2 2 2 2" xfId="871"/>
    <cellStyle name="Comma 2 2 3 2 2 2 2 2" xfId="872"/>
    <cellStyle name="Comma 2 2 3 2 2 2 2 3" xfId="873"/>
    <cellStyle name="Comma 2 2 3 2 2 2 3" xfId="874"/>
    <cellStyle name="Comma 2 2 3 2 2 2 4" xfId="875"/>
    <cellStyle name="Comma 2 2 3 2 2 3" xfId="876"/>
    <cellStyle name="Comma 2 2 3 2 2 3 2" xfId="877"/>
    <cellStyle name="Comma 2 2 3 2 2 3 3" xfId="878"/>
    <cellStyle name="Comma 2 2 3 2 2 4" xfId="879"/>
    <cellStyle name="Comma 2 2 3 2 2 5" xfId="880"/>
    <cellStyle name="Comma 2 2 3 2 2_1" xfId="881"/>
    <cellStyle name="Comma 2 2 3 2 3" xfId="882"/>
    <cellStyle name="Comma 2 2 3 2 3 2" xfId="883"/>
    <cellStyle name="Comma 2 2 3 2 3 3" xfId="884"/>
    <cellStyle name="Comma 2 2 3 2 4" xfId="885"/>
    <cellStyle name="Comma 2 2 3 2 4 2" xfId="886"/>
    <cellStyle name="Comma 2 2 3 2 5" xfId="887"/>
    <cellStyle name="Comma 2 2 3 2 6" xfId="888"/>
    <cellStyle name="Comma 2 2 3 2 7" xfId="889"/>
    <cellStyle name="Comma 2 2 3 2 8" xfId="890"/>
    <cellStyle name="Comma 2 2 3 2 9" xfId="891"/>
    <cellStyle name="Comma 2 2 3 2_1" xfId="892"/>
    <cellStyle name="Comma 2 2 3 3" xfId="893"/>
    <cellStyle name="Comma 2 2 3 3 2" xfId="894"/>
    <cellStyle name="Comma 2 2 3 3 2 2" xfId="895"/>
    <cellStyle name="Comma 2 2 3 3 2 2 2" xfId="896"/>
    <cellStyle name="Comma 2 2 3 3 2 2 3" xfId="897"/>
    <cellStyle name="Comma 2 2 3 3 2 3" xfId="898"/>
    <cellStyle name="Comma 2 2 3 3 2 4" xfId="899"/>
    <cellStyle name="Comma 2 2 3 3 3" xfId="900"/>
    <cellStyle name="Comma 2 2 3 3 3 2" xfId="901"/>
    <cellStyle name="Comma 2 2 3 3 3 3" xfId="902"/>
    <cellStyle name="Comma 2 2 3 3 4" xfId="903"/>
    <cellStyle name="Comma 2 2 3 3 4 2" xfId="904"/>
    <cellStyle name="Comma 2 2 3 3 5" xfId="905"/>
    <cellStyle name="Comma 2 2 3 3 6" xfId="906"/>
    <cellStyle name="Comma 2 2 3 3_1" xfId="907"/>
    <cellStyle name="Comma 2 2 3 4" xfId="908"/>
    <cellStyle name="Comma 2 2 3 4 2" xfId="909"/>
    <cellStyle name="Comma 2 2 3 4 2 2" xfId="910"/>
    <cellStyle name="Comma 2 2 3 4 2 3" xfId="911"/>
    <cellStyle name="Comma 2 2 3 4 3" xfId="912"/>
    <cellStyle name="Comma 2 2 3 4 4" xfId="913"/>
    <cellStyle name="Comma 2 2 3 5" xfId="914"/>
    <cellStyle name="Comma 2 2 3 5 2" xfId="915"/>
    <cellStyle name="Comma 2 2 3 5 3" xfId="916"/>
    <cellStyle name="Comma 2 2 3 6" xfId="917"/>
    <cellStyle name="Comma 2 2 3 6 2" xfId="918"/>
    <cellStyle name="Comma 2 2 3 6 3" xfId="919"/>
    <cellStyle name="Comma 2 2 3 7" xfId="920"/>
    <cellStyle name="Comma 2 2 3 7 2" xfId="921"/>
    <cellStyle name="Comma 2 2 3 7 3" xfId="922"/>
    <cellStyle name="Comma 2 2 3 8" xfId="923"/>
    <cellStyle name="Comma 2 2 3 8 2" xfId="924"/>
    <cellStyle name="Comma 2 2 3 9" xfId="925"/>
    <cellStyle name="Comma 2 2 3 9 2" xfId="926"/>
    <cellStyle name="Comma 2 2 3_1" xfId="927"/>
    <cellStyle name="Comma 2 2 4" xfId="928"/>
    <cellStyle name="Comma 2 2 4 2" xfId="929"/>
    <cellStyle name="Comma 2 2 4 2 2" xfId="930"/>
    <cellStyle name="Comma 2 2 4 2 2 2" xfId="931"/>
    <cellStyle name="Comma 2 2 4 2 2 3" xfId="932"/>
    <cellStyle name="Comma 2 2 4 2 3" xfId="933"/>
    <cellStyle name="Comma 2 2 4 2 3 2" xfId="934"/>
    <cellStyle name="Comma 2 2 4 2 4" xfId="935"/>
    <cellStyle name="Comma 2 2 4 2 5" xfId="936"/>
    <cellStyle name="Comma 2 2 4 3" xfId="937"/>
    <cellStyle name="Comma 2 2 4 3 2" xfId="938"/>
    <cellStyle name="Comma 2 2 4 3 2 2" xfId="939"/>
    <cellStyle name="Comma 2 2 4 3 3" xfId="940"/>
    <cellStyle name="Comma 2 2 4 3 4" xfId="941"/>
    <cellStyle name="Comma 2 2 4 4" xfId="942"/>
    <cellStyle name="Comma 2 2 4 4 2" xfId="943"/>
    <cellStyle name="Comma 2 2 4 4 3" xfId="944"/>
    <cellStyle name="Comma 2 2 4 5" xfId="945"/>
    <cellStyle name="Comma 2 2 4 5 2" xfId="946"/>
    <cellStyle name="Comma 2 2 4 5 3" xfId="947"/>
    <cellStyle name="Comma 2 2 4 6" xfId="948"/>
    <cellStyle name="Comma 2 2 4 6 2" xfId="949"/>
    <cellStyle name="Comma 2 2 4 7" xfId="950"/>
    <cellStyle name="Comma 2 2 4 7 2" xfId="951"/>
    <cellStyle name="Comma 2 2 4_1" xfId="952"/>
    <cellStyle name="Comma 2 2 5" xfId="953"/>
    <cellStyle name="Comma 2 2 5 2" xfId="954"/>
    <cellStyle name="Comma 2 2 5 2 2" xfId="955"/>
    <cellStyle name="Comma 2 2 5 2 3" xfId="956"/>
    <cellStyle name="Comma 2 2 5 3" xfId="957"/>
    <cellStyle name="Comma 2 2 5 3 2" xfId="958"/>
    <cellStyle name="Comma 2 2 5 4" xfId="959"/>
    <cellStyle name="Comma 2 2 5 5" xfId="960"/>
    <cellStyle name="Comma 2 2 6" xfId="961"/>
    <cellStyle name="Comma 2 2 6 2" xfId="962"/>
    <cellStyle name="Comma 2 2 7" xfId="963"/>
    <cellStyle name="Comma 2 2 7 2" xfId="964"/>
    <cellStyle name="Comma 2 2 8" xfId="965"/>
    <cellStyle name="Comma 2 2 8 2" xfId="966"/>
    <cellStyle name="Comma 2 2 8 3" xfId="967"/>
    <cellStyle name="Comma 2 2 9" xfId="968"/>
    <cellStyle name="Comma 2 2 9 2" xfId="969"/>
    <cellStyle name="Comma 2 2_1" xfId="970"/>
    <cellStyle name="Comma 2 3" xfId="971"/>
    <cellStyle name="Comma 2 3 10" xfId="972"/>
    <cellStyle name="Comma 2 3 10 2" xfId="973"/>
    <cellStyle name="Comma 2 3 11" xfId="974"/>
    <cellStyle name="Comma 2 3 2" xfId="975"/>
    <cellStyle name="Comma 2 3 2 2" xfId="976"/>
    <cellStyle name="Comma 2 3 2 2 2" xfId="977"/>
    <cellStyle name="Comma 2 3 2 2 2 2" xfId="978"/>
    <cellStyle name="Comma 2 3 2 2 2 3" xfId="979"/>
    <cellStyle name="Comma 2 3 2 2 3" xfId="980"/>
    <cellStyle name="Comma 2 3 2 2 3 2" xfId="981"/>
    <cellStyle name="Comma 2 3 2 2 3 3" xfId="982"/>
    <cellStyle name="Comma 2 3 2 2 4" xfId="983"/>
    <cellStyle name="Comma 2 3 2 2 4 2" xfId="984"/>
    <cellStyle name="Comma 2 3 2 2 4 3" xfId="985"/>
    <cellStyle name="Comma 2 3 2 2 5" xfId="986"/>
    <cellStyle name="Comma 2 3 2 2 5 2" xfId="987"/>
    <cellStyle name="Comma 2 3 2 2 6" xfId="988"/>
    <cellStyle name="Comma 2 3 2 2 7" xfId="989"/>
    <cellStyle name="Comma 2 3 2 3" xfId="990"/>
    <cellStyle name="Comma 2 3 2 3 2" xfId="991"/>
    <cellStyle name="Comma 2 3 2 3 2 2" xfId="992"/>
    <cellStyle name="Comma 2 3 2 3 2 3" xfId="993"/>
    <cellStyle name="Comma 2 3 2 3 3" xfId="994"/>
    <cellStyle name="Comma 2 3 2 3 3 2" xfId="995"/>
    <cellStyle name="Comma 2 3 2 3 3 3" xfId="996"/>
    <cellStyle name="Comma 2 3 2 3 4" xfId="997"/>
    <cellStyle name="Comma 2 3 2 3 4 2" xfId="998"/>
    <cellStyle name="Comma 2 3 2 3 5" xfId="999"/>
    <cellStyle name="Comma 2 3 2 3 6" xfId="1000"/>
    <cellStyle name="Comma 2 3 2 4" xfId="1001"/>
    <cellStyle name="Comma 2 3 2 4 2" xfId="1002"/>
    <cellStyle name="Comma 2 3 2 4 3" xfId="1003"/>
    <cellStyle name="Comma 2 3 2 5" xfId="1004"/>
    <cellStyle name="Comma 2 3 2 5 2" xfId="1005"/>
    <cellStyle name="Comma 2 3 2 5 3" xfId="1006"/>
    <cellStyle name="Comma 2 3 2 6" xfId="1007"/>
    <cellStyle name="Comma 2 3 2 6 2" xfId="1008"/>
    <cellStyle name="Comma 2 3 2 7" xfId="1009"/>
    <cellStyle name="Comma 2 3 2 7 2" xfId="1010"/>
    <cellStyle name="Comma 2 3 2 8" xfId="1011"/>
    <cellStyle name="Comma 2 3 2_1" xfId="1012"/>
    <cellStyle name="Comma 2 3 3" xfId="1013"/>
    <cellStyle name="Comma 2 3 3 2" xfId="1014"/>
    <cellStyle name="Comma 2 3 3 2 2" xfId="1015"/>
    <cellStyle name="Comma 2 3 3 2 2 2" xfId="1016"/>
    <cellStyle name="Comma 2 3 3 2 2 3" xfId="1017"/>
    <cellStyle name="Comma 2 3 3 2 3" xfId="1018"/>
    <cellStyle name="Comma 2 3 3 2 3 2" xfId="1019"/>
    <cellStyle name="Comma 2 3 3 2 3 3" xfId="1020"/>
    <cellStyle name="Comma 2 3 3 2 4" xfId="1021"/>
    <cellStyle name="Comma 2 3 3 2 5" xfId="1022"/>
    <cellStyle name="Comma 2 3 3 3" xfId="1023"/>
    <cellStyle name="Comma 2 3 3 3 2" xfId="1024"/>
    <cellStyle name="Comma 2 3 3 3 2 2" xfId="1025"/>
    <cellStyle name="Comma 2 3 3 3 2 3" xfId="1026"/>
    <cellStyle name="Comma 2 3 3 3 3" xfId="1027"/>
    <cellStyle name="Comma 2 3 3 3 4" xfId="1028"/>
    <cellStyle name="Comma 2 3 3 4" xfId="1029"/>
    <cellStyle name="Comma 2 3 3 4 2" xfId="1030"/>
    <cellStyle name="Comma 2 3 3 4 3" xfId="1031"/>
    <cellStyle name="Comma 2 3 3 5" xfId="1032"/>
    <cellStyle name="Comma 2 3 3 5 2" xfId="1033"/>
    <cellStyle name="Comma 2 3 3 5 3" xfId="1034"/>
    <cellStyle name="Comma 2 3 3 6" xfId="1035"/>
    <cellStyle name="Comma 2 3 3 6 2" xfId="1036"/>
    <cellStyle name="Comma 2 3 3 7" xfId="1037"/>
    <cellStyle name="Comma 2 3 3 8" xfId="1038"/>
    <cellStyle name="Comma 2 3 4" xfId="1039"/>
    <cellStyle name="Comma 2 3 4 2" xfId="1040"/>
    <cellStyle name="Comma 2 3 4 2 2" xfId="1041"/>
    <cellStyle name="Comma 2 3 4 2 3" xfId="1042"/>
    <cellStyle name="Comma 2 3 4 3" xfId="1043"/>
    <cellStyle name="Comma 2 3 4 3 2" xfId="1044"/>
    <cellStyle name="Comma 2 3 4 3 3" xfId="1045"/>
    <cellStyle name="Comma 2 3 4 4" xfId="1046"/>
    <cellStyle name="Comma 2 3 4 4 2" xfId="1047"/>
    <cellStyle name="Comma 2 3 4 4 3" xfId="1048"/>
    <cellStyle name="Comma 2 3 4 5" xfId="1049"/>
    <cellStyle name="Comma 2 3 4 5 2" xfId="1050"/>
    <cellStyle name="Comma 2 3 4 6" xfId="1051"/>
    <cellStyle name="Comma 2 3 4 7" xfId="1052"/>
    <cellStyle name="Comma 2 3 5" xfId="1053"/>
    <cellStyle name="Comma 2 3 5 2" xfId="1054"/>
    <cellStyle name="Comma 2 3 5 2 2" xfId="1055"/>
    <cellStyle name="Comma 2 3 5 2 3" xfId="1056"/>
    <cellStyle name="Comma 2 3 5 3" xfId="1057"/>
    <cellStyle name="Comma 2 3 5 3 2" xfId="1058"/>
    <cellStyle name="Comma 2 3 5 3 3" xfId="1059"/>
    <cellStyle name="Comma 2 3 5 4" xfId="1060"/>
    <cellStyle name="Comma 2 3 5 5" xfId="1061"/>
    <cellStyle name="Comma 2 3 6" xfId="1062"/>
    <cellStyle name="Comma 2 3 6 2" xfId="1063"/>
    <cellStyle name="Comma 2 3 6 3" xfId="1064"/>
    <cellStyle name="Comma 2 3 7" xfId="1065"/>
    <cellStyle name="Comma 2 3 7 2" xfId="1066"/>
    <cellStyle name="Comma 2 3 7 3" xfId="1067"/>
    <cellStyle name="Comma 2 3 8" xfId="1068"/>
    <cellStyle name="Comma 2 3 8 2" xfId="1069"/>
    <cellStyle name="Comma 2 3 8 3" xfId="1070"/>
    <cellStyle name="Comma 2 3 9" xfId="1071"/>
    <cellStyle name="Comma 2 3 9 2" xfId="1072"/>
    <cellStyle name="Comma 2 3_1" xfId="1073"/>
    <cellStyle name="Comma 2 4" xfId="1074"/>
    <cellStyle name="Comma 2 4 10" xfId="1075"/>
    <cellStyle name="Comma 2 4 2" xfId="1076"/>
    <cellStyle name="Comma 2 4 2 2" xfId="1077"/>
    <cellStyle name="Comma 2 4 2 2 2" xfId="1078"/>
    <cellStyle name="Comma 2 4 2 2 3" xfId="1079"/>
    <cellStyle name="Comma 2 4 2 3" xfId="1080"/>
    <cellStyle name="Comma 2 4 2 3 2" xfId="1081"/>
    <cellStyle name="Comma 2 4 2 3 3" xfId="1082"/>
    <cellStyle name="Comma 2 4 2 4" xfId="1083"/>
    <cellStyle name="Comma 2 4 2 4 2" xfId="1084"/>
    <cellStyle name="Comma 2 4 2 4 3" xfId="1085"/>
    <cellStyle name="Comma 2 4 2 5" xfId="1086"/>
    <cellStyle name="Comma 2 4 2 5 2" xfId="1087"/>
    <cellStyle name="Comma 2 4 2 6" xfId="1088"/>
    <cellStyle name="Comma 2 4 2 7" xfId="1089"/>
    <cellStyle name="Comma 2 4 3" xfId="1090"/>
    <cellStyle name="Comma 2 4 3 2" xfId="1091"/>
    <cellStyle name="Comma 2 4 3 2 2" xfId="1092"/>
    <cellStyle name="Comma 2 4 3 3" xfId="1093"/>
    <cellStyle name="Comma 2 4 3 4" xfId="1094"/>
    <cellStyle name="Comma 2 4 4" xfId="1095"/>
    <cellStyle name="Comma 2 4 4 2" xfId="1096"/>
    <cellStyle name="Comma 2 4 4 2 2" xfId="1097"/>
    <cellStyle name="Comma 2 4 4 3" xfId="1098"/>
    <cellStyle name="Comma 2 4 4 4" xfId="1099"/>
    <cellStyle name="Comma 2 4 5" xfId="1100"/>
    <cellStyle name="Comma 2 4 5 2" xfId="1101"/>
    <cellStyle name="Comma 2 4 6" xfId="1102"/>
    <cellStyle name="Comma 2 4 6 2" xfId="1103"/>
    <cellStyle name="Comma 2 4 6 3" xfId="1104"/>
    <cellStyle name="Comma 2 4 7" xfId="1105"/>
    <cellStyle name="Comma 2 4 7 2" xfId="1106"/>
    <cellStyle name="Comma 2 4 8" xfId="1107"/>
    <cellStyle name="Comma 2 4 8 2" xfId="1108"/>
    <cellStyle name="Comma 2 4 9" xfId="1109"/>
    <cellStyle name="Comma 2 4_1" xfId="1110"/>
    <cellStyle name="Comma 2 5" xfId="1111"/>
    <cellStyle name="Comma 2 5 2" xfId="1112"/>
    <cellStyle name="Comma 2 5 2 2" xfId="1113"/>
    <cellStyle name="Comma 2 5 2 3" xfId="1114"/>
    <cellStyle name="Comma 2 5 3" xfId="1115"/>
    <cellStyle name="Comma 2 5 3 2" xfId="1116"/>
    <cellStyle name="Comma 2 5 3 3" xfId="1117"/>
    <cellStyle name="Comma 2 5 4" xfId="1118"/>
    <cellStyle name="Comma 2 5 4 2" xfId="1119"/>
    <cellStyle name="Comma 2 5 4 3" xfId="1120"/>
    <cellStyle name="Comma 2 5 5" xfId="1121"/>
    <cellStyle name="Comma 2 5 5 2" xfId="1122"/>
    <cellStyle name="Comma 2 5 6" xfId="1123"/>
    <cellStyle name="Comma 2 5 6 2" xfId="1124"/>
    <cellStyle name="Comma 2 5 7" xfId="1125"/>
    <cellStyle name="Comma 2 6" xfId="1126"/>
    <cellStyle name="Comma 2 6 2" xfId="1127"/>
    <cellStyle name="Comma 2 6 2 2" xfId="1128"/>
    <cellStyle name="Comma 2 6 3" xfId="1129"/>
    <cellStyle name="Comma 2 6 3 2" xfId="1130"/>
    <cellStyle name="Comma 2 6 4" xfId="1131"/>
    <cellStyle name="Comma 2 7" xfId="1132"/>
    <cellStyle name="Comma 2 7 2" xfId="1133"/>
    <cellStyle name="Comma 2 7 2 2" xfId="1134"/>
    <cellStyle name="Comma 2 7 3" xfId="1135"/>
    <cellStyle name="Comma 2 7 3 2" xfId="1136"/>
    <cellStyle name="Comma 2 7 4" xfId="1137"/>
    <cellStyle name="Comma 2 8" xfId="1138"/>
    <cellStyle name="Comma 2 8 2" xfId="1139"/>
    <cellStyle name="Comma 2 8 2 2" xfId="1140"/>
    <cellStyle name="Comma 2 8 3" xfId="1141"/>
    <cellStyle name="Comma 2 9" xfId="1142"/>
    <cellStyle name="Comma 2 9 2" xfId="1143"/>
    <cellStyle name="Comma 2 9 2 2" xfId="1144"/>
    <cellStyle name="Comma 2 9 2 3" xfId="1145"/>
    <cellStyle name="Comma 2 9 3" xfId="1146"/>
    <cellStyle name="Comma 2 9 3 2" xfId="1147"/>
    <cellStyle name="Comma 2 9 4" xfId="1148"/>
    <cellStyle name="Comma 2 9 5" xfId="1149"/>
    <cellStyle name="Comma 2_1" xfId="1150"/>
    <cellStyle name="Comma 20" xfId="1151"/>
    <cellStyle name="Comma 20 2" xfId="1152"/>
    <cellStyle name="Comma 20 2 2" xfId="1153"/>
    <cellStyle name="Comma 20 2 2 2" xfId="1154"/>
    <cellStyle name="Comma 20 2 2 3" xfId="1155"/>
    <cellStyle name="Comma 20 2 3" xfId="1156"/>
    <cellStyle name="Comma 20 2 4" xfId="1157"/>
    <cellStyle name="Comma 20 3" xfId="1158"/>
    <cellStyle name="Comma 20 3 2" xfId="1159"/>
    <cellStyle name="Comma 20 3 2 2" xfId="1160"/>
    <cellStyle name="Comma 20 3 2 3" xfId="1161"/>
    <cellStyle name="Comma 20 3 3" xfId="1162"/>
    <cellStyle name="Comma 20 3 4" xfId="1163"/>
    <cellStyle name="Comma 20 4" xfId="1164"/>
    <cellStyle name="Comma 20 4 2" xfId="1165"/>
    <cellStyle name="Comma 20 4 3" xfId="1166"/>
    <cellStyle name="Comma 20 5" xfId="1167"/>
    <cellStyle name="Comma 20 6" xfId="1168"/>
    <cellStyle name="Comma 21" xfId="1169"/>
    <cellStyle name="Comma 21 2" xfId="1170"/>
    <cellStyle name="Comma 21 2 2" xfId="1171"/>
    <cellStyle name="Comma 21 2 2 2" xfId="1172"/>
    <cellStyle name="Comma 21 2 2 3" xfId="1173"/>
    <cellStyle name="Comma 21 2 3" xfId="1174"/>
    <cellStyle name="Comma 21 2 4" xfId="1175"/>
    <cellStyle name="Comma 21 3" xfId="1176"/>
    <cellStyle name="Comma 21 3 2" xfId="1177"/>
    <cellStyle name="Comma 21 3 2 2" xfId="1178"/>
    <cellStyle name="Comma 21 3 2 3" xfId="1179"/>
    <cellStyle name="Comma 21 3 3" xfId="1180"/>
    <cellStyle name="Comma 21 3 4" xfId="1181"/>
    <cellStyle name="Comma 21 4" xfId="1182"/>
    <cellStyle name="Comma 21 4 2" xfId="1183"/>
    <cellStyle name="Comma 21 4 3" xfId="1184"/>
    <cellStyle name="Comma 21 5" xfId="1185"/>
    <cellStyle name="Comma 21 6" xfId="1186"/>
    <cellStyle name="Comma 22" xfId="1187"/>
    <cellStyle name="Comma 22 2" xfId="1188"/>
    <cellStyle name="Comma 22 2 2" xfId="1189"/>
    <cellStyle name="Comma 22 2 2 2" xfId="1190"/>
    <cellStyle name="Comma 22 2 2 3" xfId="1191"/>
    <cellStyle name="Comma 22 2 3" xfId="1192"/>
    <cellStyle name="Comma 22 2 4" xfId="1193"/>
    <cellStyle name="Comma 22 3" xfId="1194"/>
    <cellStyle name="Comma 22 3 2" xfId="1195"/>
    <cellStyle name="Comma 22 3 2 2" xfId="1196"/>
    <cellStyle name="Comma 22 3 2 3" xfId="1197"/>
    <cellStyle name="Comma 22 3 3" xfId="1198"/>
    <cellStyle name="Comma 22 3 4" xfId="1199"/>
    <cellStyle name="Comma 22 4" xfId="1200"/>
    <cellStyle name="Comma 22 4 2" xfId="1201"/>
    <cellStyle name="Comma 22 4 3" xfId="1202"/>
    <cellStyle name="Comma 22 5" xfId="1203"/>
    <cellStyle name="Comma 22 6" xfId="1204"/>
    <cellStyle name="Comma 23" xfId="1205"/>
    <cellStyle name="Comma 23 2" xfId="1206"/>
    <cellStyle name="Comma 23 2 2" xfId="1207"/>
    <cellStyle name="Comma 23 2 2 2" xfId="1208"/>
    <cellStyle name="Comma 23 2 2 3" xfId="1209"/>
    <cellStyle name="Comma 23 2 3" xfId="1210"/>
    <cellStyle name="Comma 23 2 4" xfId="1211"/>
    <cellStyle name="Comma 23 3" xfId="1212"/>
    <cellStyle name="Comma 23 3 2" xfId="1213"/>
    <cellStyle name="Comma 23 3 2 2" xfId="1214"/>
    <cellStyle name="Comma 23 3 2 3" xfId="1215"/>
    <cellStyle name="Comma 23 3 3" xfId="1216"/>
    <cellStyle name="Comma 23 3 4" xfId="1217"/>
    <cellStyle name="Comma 23 4" xfId="1218"/>
    <cellStyle name="Comma 23 4 2" xfId="1219"/>
    <cellStyle name="Comma 23 4 3" xfId="1220"/>
    <cellStyle name="Comma 23 5" xfId="1221"/>
    <cellStyle name="Comma 23 6" xfId="1222"/>
    <cellStyle name="Comma 24" xfId="1223"/>
    <cellStyle name="Comma 24 2" xfId="1224"/>
    <cellStyle name="Comma 24 2 2" xfId="1225"/>
    <cellStyle name="Comma 24 2 2 2" xfId="1226"/>
    <cellStyle name="Comma 24 2 2 3" xfId="1227"/>
    <cellStyle name="Comma 24 2 3" xfId="1228"/>
    <cellStyle name="Comma 24 2 4" xfId="1229"/>
    <cellStyle name="Comma 24 3" xfId="1230"/>
    <cellStyle name="Comma 24 3 2" xfId="1231"/>
    <cellStyle name="Comma 24 3 2 2" xfId="1232"/>
    <cellStyle name="Comma 24 3 2 3" xfId="1233"/>
    <cellStyle name="Comma 24 3 3" xfId="1234"/>
    <cellStyle name="Comma 24 3 4" xfId="1235"/>
    <cellStyle name="Comma 24 4" xfId="1236"/>
    <cellStyle name="Comma 24 4 2" xfId="1237"/>
    <cellStyle name="Comma 24 4 3" xfId="1238"/>
    <cellStyle name="Comma 24 5" xfId="1239"/>
    <cellStyle name="Comma 24 6" xfId="1240"/>
    <cellStyle name="Comma 25" xfId="1241"/>
    <cellStyle name="Comma 25 2" xfId="1242"/>
    <cellStyle name="Comma 25 2 2" xfId="1243"/>
    <cellStyle name="Comma 25 2 2 2" xfId="1244"/>
    <cellStyle name="Comma 25 2 2 3" xfId="1245"/>
    <cellStyle name="Comma 25 2 3" xfId="1246"/>
    <cellStyle name="Comma 25 2 4" xfId="1247"/>
    <cellStyle name="Comma 25 3" xfId="1248"/>
    <cellStyle name="Comma 25 3 2" xfId="1249"/>
    <cellStyle name="Comma 25 3 2 2" xfId="1250"/>
    <cellStyle name="Comma 25 3 2 3" xfId="1251"/>
    <cellStyle name="Comma 25 3 3" xfId="1252"/>
    <cellStyle name="Comma 25 3 4" xfId="1253"/>
    <cellStyle name="Comma 25 4" xfId="1254"/>
    <cellStyle name="Comma 25 4 2" xfId="1255"/>
    <cellStyle name="Comma 25 4 3" xfId="1256"/>
    <cellStyle name="Comma 25 5" xfId="1257"/>
    <cellStyle name="Comma 25 6" xfId="1258"/>
    <cellStyle name="Comma 26" xfId="1259"/>
    <cellStyle name="Comma 26 2" xfId="1260"/>
    <cellStyle name="Comma 26 2 2" xfId="1261"/>
    <cellStyle name="Comma 26 2 2 2" xfId="1262"/>
    <cellStyle name="Comma 26 2 2 3" xfId="1263"/>
    <cellStyle name="Comma 26 2 3" xfId="1264"/>
    <cellStyle name="Comma 26 2 4" xfId="1265"/>
    <cellStyle name="Comma 26 3" xfId="1266"/>
    <cellStyle name="Comma 26 3 2" xfId="1267"/>
    <cellStyle name="Comma 26 3 2 2" xfId="1268"/>
    <cellStyle name="Comma 26 3 2 3" xfId="1269"/>
    <cellStyle name="Comma 26 3 3" xfId="1270"/>
    <cellStyle name="Comma 26 3 4" xfId="1271"/>
    <cellStyle name="Comma 26 4" xfId="1272"/>
    <cellStyle name="Comma 26 4 2" xfId="1273"/>
    <cellStyle name="Comma 26 4 3" xfId="1274"/>
    <cellStyle name="Comma 26 5" xfId="1275"/>
    <cellStyle name="Comma 26 6" xfId="1276"/>
    <cellStyle name="Comma 27" xfId="1277"/>
    <cellStyle name="Comma 27 2" xfId="1278"/>
    <cellStyle name="Comma 27 2 2" xfId="1279"/>
    <cellStyle name="Comma 27 2 2 2" xfId="1280"/>
    <cellStyle name="Comma 27 2 2 3" xfId="1281"/>
    <cellStyle name="Comma 27 2 3" xfId="1282"/>
    <cellStyle name="Comma 27 2 4" xfId="1283"/>
    <cellStyle name="Comma 27 3" xfId="1284"/>
    <cellStyle name="Comma 27 3 2" xfId="1285"/>
    <cellStyle name="Comma 27 3 2 2" xfId="1286"/>
    <cellStyle name="Comma 27 3 2 3" xfId="1287"/>
    <cellStyle name="Comma 27 3 3" xfId="1288"/>
    <cellStyle name="Comma 27 3 4" xfId="1289"/>
    <cellStyle name="Comma 27 4" xfId="1290"/>
    <cellStyle name="Comma 27 4 2" xfId="1291"/>
    <cellStyle name="Comma 27 4 3" xfId="1292"/>
    <cellStyle name="Comma 27 5" xfId="1293"/>
    <cellStyle name="Comma 27 6" xfId="1294"/>
    <cellStyle name="Comma 28" xfId="1295"/>
    <cellStyle name="Comma 28 2" xfId="1296"/>
    <cellStyle name="Comma 28 2 2" xfId="1297"/>
    <cellStyle name="Comma 28 2 2 2" xfId="1298"/>
    <cellStyle name="Comma 28 2 2 3" xfId="1299"/>
    <cellStyle name="Comma 28 2 3" xfId="1300"/>
    <cellStyle name="Comma 28 2 4" xfId="1301"/>
    <cellStyle name="Comma 28 3" xfId="1302"/>
    <cellStyle name="Comma 28 3 2" xfId="1303"/>
    <cellStyle name="Comma 28 3 2 2" xfId="1304"/>
    <cellStyle name="Comma 28 3 2 3" xfId="1305"/>
    <cellStyle name="Comma 28 3 3" xfId="1306"/>
    <cellStyle name="Comma 28 3 4" xfId="1307"/>
    <cellStyle name="Comma 28 4" xfId="1308"/>
    <cellStyle name="Comma 28 4 2" xfId="1309"/>
    <cellStyle name="Comma 28 4 3" xfId="1310"/>
    <cellStyle name="Comma 28 5" xfId="1311"/>
    <cellStyle name="Comma 28 6" xfId="1312"/>
    <cellStyle name="Comma 29" xfId="1313"/>
    <cellStyle name="Comma 29 2" xfId="1314"/>
    <cellStyle name="Comma 29 2 2" xfId="1315"/>
    <cellStyle name="Comma 29 2 2 2" xfId="1316"/>
    <cellStyle name="Comma 29 2 2 3" xfId="1317"/>
    <cellStyle name="Comma 29 2 3" xfId="1318"/>
    <cellStyle name="Comma 29 2 4" xfId="1319"/>
    <cellStyle name="Comma 29 3" xfId="1320"/>
    <cellStyle name="Comma 29 3 2" xfId="1321"/>
    <cellStyle name="Comma 29 3 2 2" xfId="1322"/>
    <cellStyle name="Comma 29 3 2 3" xfId="1323"/>
    <cellStyle name="Comma 29 3 3" xfId="1324"/>
    <cellStyle name="Comma 29 3 4" xfId="1325"/>
    <cellStyle name="Comma 29 4" xfId="1326"/>
    <cellStyle name="Comma 29 4 2" xfId="1327"/>
    <cellStyle name="Comma 29 4 3" xfId="1328"/>
    <cellStyle name="Comma 29 5" xfId="1329"/>
    <cellStyle name="Comma 29 6" xfId="1330"/>
    <cellStyle name="Comma 3" xfId="1331"/>
    <cellStyle name="Comma 3 2" xfId="1332"/>
    <cellStyle name="Comma 3 2 2" xfId="1333"/>
    <cellStyle name="Comma 3 2 2 2" xfId="1334"/>
    <cellStyle name="Comma 3 2 2 2 2" xfId="1335"/>
    <cellStyle name="Comma 3 2 2 2 3" xfId="1336"/>
    <cellStyle name="Comma 3 2 2 3" xfId="1337"/>
    <cellStyle name="Comma 3 2 2 3 2" xfId="1338"/>
    <cellStyle name="Comma 3 2 2 4" xfId="1339"/>
    <cellStyle name="Comma 3 2 2 4 2" xfId="1340"/>
    <cellStyle name="Comma 3 2 2 5" xfId="1341"/>
    <cellStyle name="Comma 3 2 3" xfId="1342"/>
    <cellStyle name="Comma 3 2 3 2" xfId="1343"/>
    <cellStyle name="Comma 3 2 3 2 2" xfId="1344"/>
    <cellStyle name="Comma 3 2 3 3" xfId="1345"/>
    <cellStyle name="Comma 3 2 3 3 2" xfId="1346"/>
    <cellStyle name="Comma 3 2 3 4" xfId="1347"/>
    <cellStyle name="Comma 3 2 3 4 2" xfId="1348"/>
    <cellStyle name="Comma 3 2 3 5" xfId="1349"/>
    <cellStyle name="Comma 3 2 4" xfId="1350"/>
    <cellStyle name="Comma 3 2 4 2" xfId="1351"/>
    <cellStyle name="Comma 3 2 4 2 2" xfId="1352"/>
    <cellStyle name="Comma 3 2 4 3" xfId="1353"/>
    <cellStyle name="Comma 3 2 4 4" xfId="1354"/>
    <cellStyle name="Comma 3 2 5" xfId="1355"/>
    <cellStyle name="Comma 3 2 5 2" xfId="1356"/>
    <cellStyle name="Comma 3 2 5 2 2" xfId="1357"/>
    <cellStyle name="Comma 3 2 5 3" xfId="1358"/>
    <cellStyle name="Comma 3 2 6" xfId="1359"/>
    <cellStyle name="Comma 3 2 6 2" xfId="1360"/>
    <cellStyle name="Comma 3 2 7" xfId="1361"/>
    <cellStyle name="Comma 3 2 7 2" xfId="1362"/>
    <cellStyle name="Comma 3 3" xfId="1363"/>
    <cellStyle name="Comma 3 3 2" xfId="1364"/>
    <cellStyle name="Comma 3 3 2 2" xfId="1365"/>
    <cellStyle name="Comma 3 3 2 2 2" xfId="1366"/>
    <cellStyle name="Comma 3 3 2 3" xfId="1367"/>
    <cellStyle name="Comma 3 3 3" xfId="1368"/>
    <cellStyle name="Comma 3 3 3 2" xfId="1369"/>
    <cellStyle name="Comma 3 3 3 2 2" xfId="1370"/>
    <cellStyle name="Comma 3 3 3 3" xfId="1371"/>
    <cellStyle name="Comma 3 3 3 3 2" xfId="1372"/>
    <cellStyle name="Comma 3 3 3 4" xfId="1373"/>
    <cellStyle name="Comma 3 3 4" xfId="1374"/>
    <cellStyle name="Comma 3 3 4 2" xfId="1375"/>
    <cellStyle name="Comma 3 3 4 3" xfId="1376"/>
    <cellStyle name="Comma 3 3 5" xfId="1377"/>
    <cellStyle name="Comma 3 3 5 2" xfId="1378"/>
    <cellStyle name="Comma 3 3 6" xfId="1379"/>
    <cellStyle name="Comma 3 3 6 2" xfId="1380"/>
    <cellStyle name="Comma 3 4" xfId="1381"/>
    <cellStyle name="Comma 3 4 2" xfId="1382"/>
    <cellStyle name="Comma 3 4 2 2" xfId="1383"/>
    <cellStyle name="Comma 3 4 2 3" xfId="1384"/>
    <cellStyle name="Comma 3 4 3" xfId="1385"/>
    <cellStyle name="Comma 3 4 3 2" xfId="1386"/>
    <cellStyle name="Comma 3 4 4" xfId="1387"/>
    <cellStyle name="Comma 3 4 4 2" xfId="1388"/>
    <cellStyle name="Comma 3 4 5" xfId="1389"/>
    <cellStyle name="Comma 3 5" xfId="1390"/>
    <cellStyle name="Comma 3 5 2" xfId="1391"/>
    <cellStyle name="Comma 3 5 2 2" xfId="1392"/>
    <cellStyle name="Comma 3 5 3" xfId="1393"/>
    <cellStyle name="Comma 3 5 3 2" xfId="1394"/>
    <cellStyle name="Comma 3 5 4" xfId="1395"/>
    <cellStyle name="Comma 3 6" xfId="1396"/>
    <cellStyle name="Comma 3 6 2" xfId="1397"/>
    <cellStyle name="Comma 3 6 2 2" xfId="1398"/>
    <cellStyle name="Comma 3 6 3" xfId="1399"/>
    <cellStyle name="Comma 3 6 4" xfId="1400"/>
    <cellStyle name="Comma 3 7" xfId="1401"/>
    <cellStyle name="Comma 3 7 2" xfId="1402"/>
    <cellStyle name="Comma 3 7 2 2" xfId="1403"/>
    <cellStyle name="Comma 3 7 3" xfId="1404"/>
    <cellStyle name="Comma 3 8" xfId="1405"/>
    <cellStyle name="Comma 3 8 2" xfId="1406"/>
    <cellStyle name="Comma 3 9" xfId="1407"/>
    <cellStyle name="Comma 3 9 2" xfId="1408"/>
    <cellStyle name="Comma 30" xfId="1409"/>
    <cellStyle name="Comma 30 2" xfId="1410"/>
    <cellStyle name="Comma 30 2 2" xfId="1411"/>
    <cellStyle name="Comma 30 2 2 2" xfId="1412"/>
    <cellStyle name="Comma 30 2 2 3" xfId="1413"/>
    <cellStyle name="Comma 30 2 3" xfId="1414"/>
    <cellStyle name="Comma 30 2 4" xfId="1415"/>
    <cellStyle name="Comma 30 3" xfId="1416"/>
    <cellStyle name="Comma 30 3 2" xfId="1417"/>
    <cellStyle name="Comma 30 3 2 2" xfId="1418"/>
    <cellStyle name="Comma 30 3 2 3" xfId="1419"/>
    <cellStyle name="Comma 30 3 3" xfId="1420"/>
    <cellStyle name="Comma 30 3 4" xfId="1421"/>
    <cellStyle name="Comma 30 4" xfId="1422"/>
    <cellStyle name="Comma 30 4 2" xfId="1423"/>
    <cellStyle name="Comma 30 4 3" xfId="1424"/>
    <cellStyle name="Comma 30 5" xfId="1425"/>
    <cellStyle name="Comma 30 6" xfId="1426"/>
    <cellStyle name="Comma 31" xfId="1427"/>
    <cellStyle name="Comma 31 2" xfId="1428"/>
    <cellStyle name="Comma 31 2 2" xfId="1429"/>
    <cellStyle name="Comma 31 2 2 2" xfId="1430"/>
    <cellStyle name="Comma 31 2 2 3" xfId="1431"/>
    <cellStyle name="Comma 31 2 3" xfId="1432"/>
    <cellStyle name="Comma 31 2 4" xfId="1433"/>
    <cellStyle name="Comma 31 3" xfId="1434"/>
    <cellStyle name="Comma 31 3 2" xfId="1435"/>
    <cellStyle name="Comma 31 3 2 2" xfId="1436"/>
    <cellStyle name="Comma 31 3 2 3" xfId="1437"/>
    <cellStyle name="Comma 31 3 3" xfId="1438"/>
    <cellStyle name="Comma 31 3 4" xfId="1439"/>
    <cellStyle name="Comma 31 4" xfId="1440"/>
    <cellStyle name="Comma 31 4 2" xfId="1441"/>
    <cellStyle name="Comma 31 4 3" xfId="1442"/>
    <cellStyle name="Comma 31 5" xfId="1443"/>
    <cellStyle name="Comma 31 6" xfId="1444"/>
    <cellStyle name="Comma 32" xfId="1445"/>
    <cellStyle name="Comma 32 2" xfId="1446"/>
    <cellStyle name="Comma 32 2 2" xfId="1447"/>
    <cellStyle name="Comma 32 2 2 2" xfId="1448"/>
    <cellStyle name="Comma 32 2 2 3" xfId="1449"/>
    <cellStyle name="Comma 32 2 3" xfId="1450"/>
    <cellStyle name="Comma 32 2 4" xfId="1451"/>
    <cellStyle name="Comma 32 3" xfId="1452"/>
    <cellStyle name="Comma 32 3 2" xfId="1453"/>
    <cellStyle name="Comma 32 3 2 2" xfId="1454"/>
    <cellStyle name="Comma 32 3 2 3" xfId="1455"/>
    <cellStyle name="Comma 32 3 3" xfId="1456"/>
    <cellStyle name="Comma 32 3 4" xfId="1457"/>
    <cellStyle name="Comma 32 4" xfId="1458"/>
    <cellStyle name="Comma 32 4 2" xfId="1459"/>
    <cellStyle name="Comma 32 4 3" xfId="1460"/>
    <cellStyle name="Comma 32 5" xfId="1461"/>
    <cellStyle name="Comma 32 6" xfId="1462"/>
    <cellStyle name="Comma 33" xfId="1463"/>
    <cellStyle name="Comma 33 2" xfId="1464"/>
    <cellStyle name="Comma 33 2 2" xfId="1465"/>
    <cellStyle name="Comma 33 2 3" xfId="1466"/>
    <cellStyle name="Comma 33 3" xfId="1467"/>
    <cellStyle name="Comma 33 4" xfId="1468"/>
    <cellStyle name="Comma 34" xfId="1469"/>
    <cellStyle name="Comma 34 2" xfId="1470"/>
    <cellStyle name="Comma 34 2 2" xfId="1471"/>
    <cellStyle name="Comma 34 2 3" xfId="1472"/>
    <cellStyle name="Comma 34 3" xfId="1473"/>
    <cellStyle name="Comma 34 4" xfId="1474"/>
    <cellStyle name="Comma 35" xfId="1475"/>
    <cellStyle name="Comma 35 2" xfId="1476"/>
    <cellStyle name="Comma 35 2 2" xfId="1477"/>
    <cellStyle name="Comma 35 2 3" xfId="1478"/>
    <cellStyle name="Comma 35 3" xfId="1479"/>
    <cellStyle name="Comma 35 4" xfId="1480"/>
    <cellStyle name="Comma 36" xfId="1481"/>
    <cellStyle name="Comma 36 2" xfId="1482"/>
    <cellStyle name="Comma 36 2 2" xfId="1483"/>
    <cellStyle name="Comma 36 2 3" xfId="1484"/>
    <cellStyle name="Comma 36 3" xfId="1485"/>
    <cellStyle name="Comma 36 4" xfId="1486"/>
    <cellStyle name="Comma 37" xfId="1487"/>
    <cellStyle name="Comma 37 2" xfId="1488"/>
    <cellStyle name="Comma 37 3" xfId="1489"/>
    <cellStyle name="Comma 38" xfId="1490"/>
    <cellStyle name="Comma 38 2" xfId="1491"/>
    <cellStyle name="Comma 38 3" xfId="1492"/>
    <cellStyle name="Comma 39" xfId="1493"/>
    <cellStyle name="Comma 39 2" xfId="1494"/>
    <cellStyle name="Comma 4" xfId="1495"/>
    <cellStyle name="Comma 4 2" xfId="1496"/>
    <cellStyle name="Comma 4 2 2" xfId="1497"/>
    <cellStyle name="Comma 4 2 2 2" xfId="1498"/>
    <cellStyle name="Comma 4 2 2 2 2" xfId="1499"/>
    <cellStyle name="Comma 4 2 2 3" xfId="1500"/>
    <cellStyle name="Comma 4 2 2 4" xfId="1501"/>
    <cellStyle name="Comma 4 2 3" xfId="1502"/>
    <cellStyle name="Comma 4 2 3 2" xfId="1503"/>
    <cellStyle name="Comma 4 2 3 2 2" xfId="1504"/>
    <cellStyle name="Comma 4 2 3 3" xfId="1505"/>
    <cellStyle name="Comma 4 2 3 4" xfId="1506"/>
    <cellStyle name="Comma 4 2 4" xfId="1507"/>
    <cellStyle name="Comma 4 2 4 2" xfId="1508"/>
    <cellStyle name="Comma 4 2 5" xfId="1509"/>
    <cellStyle name="Comma 4 2 5 2" xfId="1510"/>
    <cellStyle name="Comma 4 2 6" xfId="1511"/>
    <cellStyle name="Comma 4 2 6 2" xfId="1512"/>
    <cellStyle name="Comma 4 2 7" xfId="1513"/>
    <cellStyle name="Comma 4 3" xfId="1514"/>
    <cellStyle name="Comma 4 3 2" xfId="1515"/>
    <cellStyle name="Comma 4 3 2 2" xfId="1516"/>
    <cellStyle name="Comma 4 3 2 3" xfId="1517"/>
    <cellStyle name="Comma 4 3 3" xfId="1518"/>
    <cellStyle name="Comma 4 3 3 2" xfId="1519"/>
    <cellStyle name="Comma 4 3 3 3" xfId="1520"/>
    <cellStyle name="Comma 4 3 4" xfId="1521"/>
    <cellStyle name="Comma 4 3 4 2" xfId="1522"/>
    <cellStyle name="Comma 4 3 4 3" xfId="1523"/>
    <cellStyle name="Comma 4 3 5" xfId="1524"/>
    <cellStyle name="Comma 4 3 5 2" xfId="1525"/>
    <cellStyle name="Comma 4 3 6" xfId="1526"/>
    <cellStyle name="Comma 4 3 7" xfId="1527"/>
    <cellStyle name="Comma 4 4" xfId="1528"/>
    <cellStyle name="Comma 4 4 2" xfId="1529"/>
    <cellStyle name="Comma 4 4 2 2" xfId="1530"/>
    <cellStyle name="Comma 4 4 3" xfId="1531"/>
    <cellStyle name="Comma 4 4 3 2" xfId="1532"/>
    <cellStyle name="Comma 4 4 4" xfId="1533"/>
    <cellStyle name="Comma 4 4 4 2" xfId="1534"/>
    <cellStyle name="Comma 4 4 5" xfId="1535"/>
    <cellStyle name="Comma 4 5" xfId="1536"/>
    <cellStyle name="Comma 4 5 2" xfId="1537"/>
    <cellStyle name="Comma 4 5 2 2" xfId="1538"/>
    <cellStyle name="Comma 4 5 3" xfId="1539"/>
    <cellStyle name="Comma 4 5 4" xfId="1540"/>
    <cellStyle name="Comma 4 6" xfId="1541"/>
    <cellStyle name="Comma 4 6 2" xfId="1542"/>
    <cellStyle name="Comma 4 6 3" xfId="1543"/>
    <cellStyle name="Comma 4 7" xfId="1544"/>
    <cellStyle name="Comma 4 7 2" xfId="1545"/>
    <cellStyle name="Comma 4 8" xfId="1546"/>
    <cellStyle name="Comma 40" xfId="1547"/>
    <cellStyle name="Comma 40 2" xfId="1548"/>
    <cellStyle name="Comma 41" xfId="1549"/>
    <cellStyle name="Comma 41 2" xfId="1550"/>
    <cellStyle name="Comma 41 3" xfId="1551"/>
    <cellStyle name="Comma 42" xfId="1552"/>
    <cellStyle name="Comma 42 2" xfId="1553"/>
    <cellStyle name="Comma 47" xfId="1554"/>
    <cellStyle name="Comma 5" xfId="1555"/>
    <cellStyle name="Comma 5 2" xfId="1556"/>
    <cellStyle name="Comma 5 2 2" xfId="1557"/>
    <cellStyle name="Comma 5 2 2 2" xfId="1558"/>
    <cellStyle name="Comma 5 2 2 2 2" xfId="1559"/>
    <cellStyle name="Comma 5 2 2 2 2 2" xfId="1560"/>
    <cellStyle name="Comma 5 2 2 2 3" xfId="1561"/>
    <cellStyle name="Comma 5 2 2 3" xfId="1562"/>
    <cellStyle name="Comma 5 2 2 3 2" xfId="1563"/>
    <cellStyle name="Comma 5 2 2 4" xfId="1564"/>
    <cellStyle name="Comma 5 2 2 4 2" xfId="1565"/>
    <cellStyle name="Comma 5 2 2 5" xfId="1566"/>
    <cellStyle name="Comma 5 2 2 5 2" xfId="1567"/>
    <cellStyle name="Comma 5 2 3" xfId="1568"/>
    <cellStyle name="Comma 5 2 3 2" xfId="1569"/>
    <cellStyle name="Comma 5 2 3 2 2" xfId="1570"/>
    <cellStyle name="Comma 5 2 3 3" xfId="1571"/>
    <cellStyle name="Comma 5 2 3 3 2" xfId="1572"/>
    <cellStyle name="Comma 5 2 3 4" xfId="1573"/>
    <cellStyle name="Comma 5 2 3 4 2" xfId="1574"/>
    <cellStyle name="Comma 5 2 3 5" xfId="1575"/>
    <cellStyle name="Comma 5 2 4" xfId="1576"/>
    <cellStyle name="Comma 5 2 4 2" xfId="1577"/>
    <cellStyle name="Comma 5 2 5" xfId="1578"/>
    <cellStyle name="Comma 5 2 5 2" xfId="1579"/>
    <cellStyle name="Comma 5 2 6" xfId="1580"/>
    <cellStyle name="Comma 5 2 6 2" xfId="1581"/>
    <cellStyle name="Comma 5 2 7" xfId="1582"/>
    <cellStyle name="Comma 5 2 7 2" xfId="1583"/>
    <cellStyle name="Comma 5 2 8" xfId="1584"/>
    <cellStyle name="Comma 5 3" xfId="1585"/>
    <cellStyle name="Comma 5 3 2" xfId="1586"/>
    <cellStyle name="Comma 5 3 2 2" xfId="1587"/>
    <cellStyle name="Comma 5 3 3" xfId="1588"/>
    <cellStyle name="Comma 5 3 3 2" xfId="1589"/>
    <cellStyle name="Comma 5 3 3 2 2" xfId="1590"/>
    <cellStyle name="Comma 5 3 3 3" xfId="1591"/>
    <cellStyle name="Comma 5 3 3 4" xfId="1592"/>
    <cellStyle name="Comma 5 3 4" xfId="1593"/>
    <cellStyle name="Comma 5 3 4 2" xfId="1594"/>
    <cellStyle name="Comma 5 3 5" xfId="1595"/>
    <cellStyle name="Comma 5 3 5 2" xfId="1596"/>
    <cellStyle name="Comma 5 3 6" xfId="1597"/>
    <cellStyle name="Comma 5 4" xfId="1598"/>
    <cellStyle name="Comma 5 4 2" xfId="1599"/>
    <cellStyle name="Comma 5 5" xfId="1600"/>
    <cellStyle name="Comma 5 5 2" xfId="1601"/>
    <cellStyle name="Comma 5 5 2 2" xfId="1602"/>
    <cellStyle name="Comma 5 5 3" xfId="1603"/>
    <cellStyle name="Comma 5 5 4" xfId="1604"/>
    <cellStyle name="Comma 5 6" xfId="1605"/>
    <cellStyle name="Comma 5 6 2" xfId="1606"/>
    <cellStyle name="Comma 5 6 3" xfId="1607"/>
    <cellStyle name="Comma 5 7" xfId="1608"/>
    <cellStyle name="Comma 5 7 2" xfId="1609"/>
    <cellStyle name="Comma 5 8" xfId="1610"/>
    <cellStyle name="Comma 58" xfId="1611"/>
    <cellStyle name="Comma 58 2" xfId="1612"/>
    <cellStyle name="Comma 6" xfId="1613"/>
    <cellStyle name="Comma 6 2" xfId="1614"/>
    <cellStyle name="Comma 6 2 2" xfId="1615"/>
    <cellStyle name="Comma 6 2 2 2" xfId="1616"/>
    <cellStyle name="Comma 6 2 2 2 2" xfId="1617"/>
    <cellStyle name="Comma 6 2 2 3" xfId="1618"/>
    <cellStyle name="Comma 6 2 2 4" xfId="1619"/>
    <cellStyle name="Comma 6 2 3" xfId="1620"/>
    <cellStyle name="Comma 6 2 3 2" xfId="1621"/>
    <cellStyle name="Comma 6 2 4" xfId="1622"/>
    <cellStyle name="Comma 6 2 4 2" xfId="1623"/>
    <cellStyle name="Comma 6 2 5" xfId="1624"/>
    <cellStyle name="Comma 6 3" xfId="1625"/>
    <cellStyle name="Comma 6 3 2" xfId="1626"/>
    <cellStyle name="Comma 6 3 2 2" xfId="1627"/>
    <cellStyle name="Comma 6 3 2 3" xfId="1628"/>
    <cellStyle name="Comma 6 3 3" xfId="1629"/>
    <cellStyle name="Comma 6 3 3 2" xfId="1630"/>
    <cellStyle name="Comma 6 3 4" xfId="1631"/>
    <cellStyle name="Comma 6 3 5" xfId="1632"/>
    <cellStyle name="Comma 6 4" xfId="1633"/>
    <cellStyle name="Comma 6 4 2" xfId="1634"/>
    <cellStyle name="Comma 6 4 2 2" xfId="1635"/>
    <cellStyle name="Comma 6 4 3" xfId="1636"/>
    <cellStyle name="Comma 6 4 4" xfId="1637"/>
    <cellStyle name="Comma 6 5" xfId="1638"/>
    <cellStyle name="Comma 6 5 2" xfId="1639"/>
    <cellStyle name="Comma 6 5 3" xfId="1640"/>
    <cellStyle name="Comma 6 6" xfId="1641"/>
    <cellStyle name="Comma 6 6 2" xfId="1642"/>
    <cellStyle name="Comma 6 6 3" xfId="1643"/>
    <cellStyle name="Comma 6 7" xfId="1644"/>
    <cellStyle name="Comma 6 7 2" xfId="1645"/>
    <cellStyle name="Comma 6 8" xfId="1646"/>
    <cellStyle name="Comma 6 8 2" xfId="1647"/>
    <cellStyle name="Comma 6 9" xfId="1648"/>
    <cellStyle name="Comma 7" xfId="1649"/>
    <cellStyle name="Comma 7 2" xfId="1650"/>
    <cellStyle name="Comma 7 2 2" xfId="1651"/>
    <cellStyle name="Comma 7 2 2 2" xfId="1652"/>
    <cellStyle name="Comma 7 2 2 2 2" xfId="1653"/>
    <cellStyle name="Comma 7 2 2 3" xfId="1654"/>
    <cellStyle name="Comma 7 2 2 4" xfId="1655"/>
    <cellStyle name="Comma 7 2 3" xfId="1656"/>
    <cellStyle name="Comma 7 2 3 2" xfId="1657"/>
    <cellStyle name="Comma 7 2 4" xfId="1658"/>
    <cellStyle name="Comma 7 2 4 2" xfId="1659"/>
    <cellStyle name="Comma 7 2 5" xfId="1660"/>
    <cellStyle name="Comma 7 2 5 2" xfId="1661"/>
    <cellStyle name="Comma 7 2 6" xfId="1662"/>
    <cellStyle name="Comma 7 3" xfId="1663"/>
    <cellStyle name="Comma 7 3 2" xfId="1664"/>
    <cellStyle name="Comma 7 3 2 2" xfId="1665"/>
    <cellStyle name="Comma 7 3 2 3" xfId="1666"/>
    <cellStyle name="Comma 7 3 3" xfId="1667"/>
    <cellStyle name="Comma 7 3 3 2" xfId="1668"/>
    <cellStyle name="Comma 7 3 4" xfId="1669"/>
    <cellStyle name="Comma 7 3 5" xfId="1670"/>
    <cellStyle name="Comma 7 4" xfId="1671"/>
    <cellStyle name="Comma 7 4 2" xfId="1672"/>
    <cellStyle name="Comma 7 4 2 2" xfId="1673"/>
    <cellStyle name="Comma 7 4 3" xfId="1674"/>
    <cellStyle name="Comma 7 4 4" xfId="1675"/>
    <cellStyle name="Comma 7 5" xfId="1676"/>
    <cellStyle name="Comma 7 5 2" xfId="1677"/>
    <cellStyle name="Comma 7 5 3" xfId="1678"/>
    <cellStyle name="Comma 7 6" xfId="1679"/>
    <cellStyle name="Comma 7 6 2" xfId="1680"/>
    <cellStyle name="Comma 7 7" xfId="1681"/>
    <cellStyle name="Comma 7 7 2" xfId="1682"/>
    <cellStyle name="Comma 7 8" xfId="1683"/>
    <cellStyle name="Comma 8" xfId="1684"/>
    <cellStyle name="Comma 8 2" xfId="1685"/>
    <cellStyle name="Comma 8 2 2" xfId="1686"/>
    <cellStyle name="Comma 8 2 2 2" xfId="1687"/>
    <cellStyle name="Comma 8 2 2 2 2" xfId="1688"/>
    <cellStyle name="Comma 8 2 2 3" xfId="1689"/>
    <cellStyle name="Comma 8 2 2 4" xfId="1690"/>
    <cellStyle name="Comma 8 2 3" xfId="1691"/>
    <cellStyle name="Comma 8 2 3 2" xfId="1692"/>
    <cellStyle name="Comma 8 2 4" xfId="1693"/>
    <cellStyle name="Comma 8 2 4 2" xfId="1694"/>
    <cellStyle name="Comma 8 2 5" xfId="1695"/>
    <cellStyle name="Comma 8 3" xfId="1696"/>
    <cellStyle name="Comma 8 3 2" xfId="1697"/>
    <cellStyle name="Comma 8 3 2 2" xfId="1698"/>
    <cellStyle name="Comma 8 3 2 3" xfId="1699"/>
    <cellStyle name="Comma 8 3 3" xfId="1700"/>
    <cellStyle name="Comma 8 3 3 2" xfId="1701"/>
    <cellStyle name="Comma 8 3 4" xfId="1702"/>
    <cellStyle name="Comma 8 3 5" xfId="1703"/>
    <cellStyle name="Comma 8 4" xfId="1704"/>
    <cellStyle name="Comma 8 4 2" xfId="1705"/>
    <cellStyle name="Comma 8 4 2 2" xfId="1706"/>
    <cellStyle name="Comma 8 4 3" xfId="1707"/>
    <cellStyle name="Comma 8 4 4" xfId="1708"/>
    <cellStyle name="Comma 8 5" xfId="1709"/>
    <cellStyle name="Comma 8 5 2" xfId="1710"/>
    <cellStyle name="Comma 8 5 3" xfId="1711"/>
    <cellStyle name="Comma 8 6" xfId="1712"/>
    <cellStyle name="Comma 8 6 2" xfId="1713"/>
    <cellStyle name="Comma 8 7" xfId="1714"/>
    <cellStyle name="Comma 8 7 2" xfId="1715"/>
    <cellStyle name="Comma 8 8" xfId="1716"/>
    <cellStyle name="Comma 84" xfId="1717"/>
    <cellStyle name="Comma 84 2" xfId="1718"/>
    <cellStyle name="Comma 84 2 2" xfId="1719"/>
    <cellStyle name="Comma 84 2 2 2" xfId="1720"/>
    <cellStyle name="Comma 84 2 2 2 2" xfId="1721"/>
    <cellStyle name="Comma 84 2 2 2 3" xfId="1722"/>
    <cellStyle name="Comma 84 2 2 3" xfId="1723"/>
    <cellStyle name="Comma 84 2 2 4" xfId="1724"/>
    <cellStyle name="Comma 84 2 3" xfId="1725"/>
    <cellStyle name="Comma 84 2 3 2" xfId="1726"/>
    <cellStyle name="Comma 84 2 3 2 2" xfId="1727"/>
    <cellStyle name="Comma 84 2 3 2 3" xfId="1728"/>
    <cellStyle name="Comma 84 2 3 3" xfId="1729"/>
    <cellStyle name="Comma 84 2 3 4" xfId="1730"/>
    <cellStyle name="Comma 84 2 4" xfId="1731"/>
    <cellStyle name="Comma 84 2 4 2" xfId="1732"/>
    <cellStyle name="Comma 84 2 4 3" xfId="1733"/>
    <cellStyle name="Comma 84 2 5" xfId="1734"/>
    <cellStyle name="Comma 84 2 6" xfId="1735"/>
    <cellStyle name="Comma 84 3" xfId="1736"/>
    <cellStyle name="Comma 84 3 2" xfId="1737"/>
    <cellStyle name="Comma 84 3 2 2" xfId="1738"/>
    <cellStyle name="Comma 84 3 2 3" xfId="1739"/>
    <cellStyle name="Comma 84 3 3" xfId="1740"/>
    <cellStyle name="Comma 84 3 4" xfId="1741"/>
    <cellStyle name="Comma 84 4" xfId="1742"/>
    <cellStyle name="Comma 84 4 2" xfId="1743"/>
    <cellStyle name="Comma 84 4 3" xfId="1744"/>
    <cellStyle name="Comma 84 5" xfId="1745"/>
    <cellStyle name="Comma 84 6" xfId="1746"/>
    <cellStyle name="Comma 9" xfId="1747"/>
    <cellStyle name="Comma 9 2" xfId="1748"/>
    <cellStyle name="Comma 9 2 2" xfId="1749"/>
    <cellStyle name="Comma 9 2 2 2" xfId="1750"/>
    <cellStyle name="Comma 9 2 2 3" xfId="1751"/>
    <cellStyle name="Comma 9 2 3" xfId="1752"/>
    <cellStyle name="Comma 9 2 3 2" xfId="1753"/>
    <cellStyle name="Comma 9 2 4" xfId="1754"/>
    <cellStyle name="Comma 9 2 5" xfId="1755"/>
    <cellStyle name="Comma 9 3" xfId="1756"/>
    <cellStyle name="Comma 9 3 2" xfId="1757"/>
    <cellStyle name="Comma 9 3 2 2" xfId="1758"/>
    <cellStyle name="Comma 9 3 2 3" xfId="1759"/>
    <cellStyle name="Comma 9 3 3" xfId="1760"/>
    <cellStyle name="Comma 9 3 4" xfId="1761"/>
    <cellStyle name="Comma 9 4" xfId="1762"/>
    <cellStyle name="Comma 9 4 2" xfId="1763"/>
    <cellStyle name="Comma 9 4 3" xfId="1764"/>
    <cellStyle name="Comma 9 5" xfId="1765"/>
    <cellStyle name="Comma 9 5 2" xfId="1766"/>
    <cellStyle name="Comma 9 6" xfId="1767"/>
    <cellStyle name="Comma 9 7" xfId="1768"/>
    <cellStyle name="comma zerodec" xfId="1769"/>
    <cellStyle name="Comma,0" xfId="1770"/>
    <cellStyle name="Comma,1" xfId="1771"/>
    <cellStyle name="Comma,2" xfId="1772"/>
    <cellStyle name="consultationStyle" xfId="1773"/>
    <cellStyle name="Currency 2" xfId="1774"/>
    <cellStyle name="Currency 2 2" xfId="1775"/>
    <cellStyle name="Currency 3" xfId="1776"/>
    <cellStyle name="Currency 4" xfId="1777"/>
    <cellStyle name="Currency 4 2" xfId="1778"/>
    <cellStyle name="Currency 5" xfId="1779"/>
    <cellStyle name="Currency 6" xfId="1780"/>
    <cellStyle name="Currency 9" xfId="1781"/>
    <cellStyle name="Currency,0" xfId="1782"/>
    <cellStyle name="Currency,2" xfId="1783"/>
    <cellStyle name="Currency1" xfId="1784"/>
    <cellStyle name="dataStyle" xfId="1785"/>
    <cellStyle name="dataStyle 10" xfId="1786"/>
    <cellStyle name="dataStyle 2" xfId="1787"/>
    <cellStyle name="dataStyle 2 2" xfId="1788"/>
    <cellStyle name="dataStyle 2 2 2" xfId="1789"/>
    <cellStyle name="dataStyle 2 2 2 2" xfId="1790"/>
    <cellStyle name="dataStyle 2 2 2 2 2" xfId="1791"/>
    <cellStyle name="dataStyle 2 2 2 2 3" xfId="1792"/>
    <cellStyle name="dataStyle 2 2 2 3" xfId="1793"/>
    <cellStyle name="dataStyle 2 2 2 4" xfId="1794"/>
    <cellStyle name="dataStyle 2 2 2 5" xfId="1795"/>
    <cellStyle name="dataStyle 2 2 2 6" xfId="1796"/>
    <cellStyle name="dataStyle 2 2 3" xfId="1797"/>
    <cellStyle name="dataStyle 2 2 3 2" xfId="1798"/>
    <cellStyle name="dataStyle 2 2 3 3" xfId="1799"/>
    <cellStyle name="dataStyle 2 2 4" xfId="1800"/>
    <cellStyle name="dataStyle 2 2 4 2" xfId="1801"/>
    <cellStyle name="dataStyle 2 2 4 3" xfId="1802"/>
    <cellStyle name="dataStyle 2 2 5" xfId="1803"/>
    <cellStyle name="dataStyle 2 2 6" xfId="1804"/>
    <cellStyle name="dataStyle 2 2 7" xfId="1805"/>
    <cellStyle name="dataStyle 2 2 8" xfId="1806"/>
    <cellStyle name="dataStyle 2 3" xfId="1807"/>
    <cellStyle name="dataStyle 2 3 2" xfId="1808"/>
    <cellStyle name="dataStyle 2 3 2 2" xfId="1809"/>
    <cellStyle name="dataStyle 2 3 2 3" xfId="1810"/>
    <cellStyle name="dataStyle 2 3 3" xfId="1811"/>
    <cellStyle name="dataStyle 2 3 4" xfId="1812"/>
    <cellStyle name="dataStyle 2 3 5" xfId="1813"/>
    <cellStyle name="dataStyle 2 3 6" xfId="1814"/>
    <cellStyle name="dataStyle 2 4" xfId="1815"/>
    <cellStyle name="dataStyle 2 4 2" xfId="1816"/>
    <cellStyle name="dataStyle 2 4 3" xfId="1817"/>
    <cellStyle name="dataStyle 2 5" xfId="1818"/>
    <cellStyle name="dataStyle 2 5 2" xfId="1819"/>
    <cellStyle name="dataStyle 2 5 3" xfId="1820"/>
    <cellStyle name="dataStyle 2 6" xfId="1821"/>
    <cellStyle name="dataStyle 2 7" xfId="1822"/>
    <cellStyle name="dataStyle 2 8" xfId="1823"/>
    <cellStyle name="dataStyle 2 9" xfId="1824"/>
    <cellStyle name="dataStyle 3" xfId="1825"/>
    <cellStyle name="dataStyle 3 2" xfId="1826"/>
    <cellStyle name="dataStyle 3 2 2" xfId="1827"/>
    <cellStyle name="dataStyle 3 2 2 2" xfId="1828"/>
    <cellStyle name="dataStyle 3 2 2 2 2" xfId="1829"/>
    <cellStyle name="dataStyle 3 2 2 2 3" xfId="1830"/>
    <cellStyle name="dataStyle 3 2 2 3" xfId="1831"/>
    <cellStyle name="dataStyle 3 2 2 4" xfId="1832"/>
    <cellStyle name="dataStyle 3 2 2 5" xfId="1833"/>
    <cellStyle name="dataStyle 3 2 2 6" xfId="1834"/>
    <cellStyle name="dataStyle 3 2 3" xfId="1835"/>
    <cellStyle name="dataStyle 3 2 3 2" xfId="1836"/>
    <cellStyle name="dataStyle 3 2 3 3" xfId="1837"/>
    <cellStyle name="dataStyle 3 2 4" xfId="1838"/>
    <cellStyle name="dataStyle 3 2 4 2" xfId="1839"/>
    <cellStyle name="dataStyle 3 2 4 3" xfId="1840"/>
    <cellStyle name="dataStyle 3 2 5" xfId="1841"/>
    <cellStyle name="dataStyle 3 2 6" xfId="1842"/>
    <cellStyle name="dataStyle 3 2 7" xfId="1843"/>
    <cellStyle name="dataStyle 3 2 8" xfId="1844"/>
    <cellStyle name="dataStyle 3 3" xfId="1845"/>
    <cellStyle name="dataStyle 3 3 2" xfId="1846"/>
    <cellStyle name="dataStyle 3 3 2 2" xfId="1847"/>
    <cellStyle name="dataStyle 3 3 2 3" xfId="1848"/>
    <cellStyle name="dataStyle 3 3 3" xfId="1849"/>
    <cellStyle name="dataStyle 3 3 4" xfId="1850"/>
    <cellStyle name="dataStyle 3 3 5" xfId="1851"/>
    <cellStyle name="dataStyle 3 3 6" xfId="1852"/>
    <cellStyle name="dataStyle 3 4" xfId="1853"/>
    <cellStyle name="dataStyle 3 4 2" xfId="1854"/>
    <cellStyle name="dataStyle 3 4 3" xfId="1855"/>
    <cellStyle name="dataStyle 3 5" xfId="1856"/>
    <cellStyle name="dataStyle 3 5 2" xfId="1857"/>
    <cellStyle name="dataStyle 3 5 3" xfId="1858"/>
    <cellStyle name="dataStyle 3 6" xfId="1859"/>
    <cellStyle name="dataStyle 3 7" xfId="1860"/>
    <cellStyle name="dataStyle 3 8" xfId="1861"/>
    <cellStyle name="dataStyle 3 9" xfId="1862"/>
    <cellStyle name="dataStyle 4" xfId="1863"/>
    <cellStyle name="dataStyle 4 2" xfId="1864"/>
    <cellStyle name="dataStyle 4 2 2" xfId="1865"/>
    <cellStyle name="dataStyle 4 2 3" xfId="1866"/>
    <cellStyle name="dataStyle 4 3" xfId="1867"/>
    <cellStyle name="dataStyle 4 3 2" xfId="1868"/>
    <cellStyle name="dataStyle 4 3 3" xfId="1869"/>
    <cellStyle name="dataStyle 4 4" xfId="1870"/>
    <cellStyle name="dataStyle 4 5" xfId="1871"/>
    <cellStyle name="dataStyle 4 6" xfId="1872"/>
    <cellStyle name="dataStyle 4 7" xfId="1873"/>
    <cellStyle name="dataStyle 5" xfId="1874"/>
    <cellStyle name="dataStyle 5 2" xfId="1875"/>
    <cellStyle name="dataStyle 5 3" xfId="1876"/>
    <cellStyle name="dataStyle 6" xfId="1877"/>
    <cellStyle name="dataStyle 6 2" xfId="1878"/>
    <cellStyle name="dataStyle 6 3" xfId="1879"/>
    <cellStyle name="dataStyle 7" xfId="1880"/>
    <cellStyle name="dataStyle 8" xfId="1881"/>
    <cellStyle name="dataStyle 9" xfId="1882"/>
    <cellStyle name="dateStyle" xfId="1883"/>
    <cellStyle name="dateStyle 2" xfId="1884"/>
    <cellStyle name="dateStyle 2 2" xfId="1885"/>
    <cellStyle name="dateStyle 2 2 2" xfId="1886"/>
    <cellStyle name="dateStyle 2 2 3" xfId="1887"/>
    <cellStyle name="dateStyle 2 3" xfId="1888"/>
    <cellStyle name="dateStyle 2 3 2" xfId="1889"/>
    <cellStyle name="dateStyle 2 3 3" xfId="1890"/>
    <cellStyle name="dateStyle 2 4" xfId="1891"/>
    <cellStyle name="dateStyle 2 5" xfId="1892"/>
    <cellStyle name="dateStyle 2 6" xfId="1893"/>
    <cellStyle name="dateStyle 2 7" xfId="1894"/>
    <cellStyle name="dateStyle 3" xfId="1895"/>
    <cellStyle name="dateStyle 3 2" xfId="1896"/>
    <cellStyle name="dateStyle 3 3" xfId="1897"/>
    <cellStyle name="dateStyle 4" xfId="1898"/>
    <cellStyle name="dateStyle 4 2" xfId="1899"/>
    <cellStyle name="dateStyle 4 3" xfId="1900"/>
    <cellStyle name="dateStyle 5" xfId="1901"/>
    <cellStyle name="dateStyle 6" xfId="1902"/>
    <cellStyle name="dateStyle 7" xfId="1903"/>
    <cellStyle name="dateStyle 8" xfId="1904"/>
    <cellStyle name="Dollar (zero dec)" xfId="1905"/>
    <cellStyle name="entry" xfId="1906"/>
    <cellStyle name="entry box" xfId="1907"/>
    <cellStyle name="entry box 2" xfId="1908"/>
    <cellStyle name="entry box 2 2" xfId="1909"/>
    <cellStyle name="entry box 2 2 2" xfId="1910"/>
    <cellStyle name="entry box 2 2 2 2" xfId="1911"/>
    <cellStyle name="entry box 2 2 2 3" xfId="1912"/>
    <cellStyle name="entry box 2 2 3" xfId="1913"/>
    <cellStyle name="entry box 2 2 4" xfId="1914"/>
    <cellStyle name="entry box 2 2 5" xfId="1915"/>
    <cellStyle name="entry box 2 2 6" xfId="1916"/>
    <cellStyle name="entry box 2 3" xfId="1917"/>
    <cellStyle name="entry box 2 3 2" xfId="1918"/>
    <cellStyle name="entry box 2 3 3" xfId="1919"/>
    <cellStyle name="entry box 2 4" xfId="1920"/>
    <cellStyle name="entry box 2 4 2" xfId="1921"/>
    <cellStyle name="entry box 2 4 3" xfId="1922"/>
    <cellStyle name="entry box 2 5" xfId="1923"/>
    <cellStyle name="entry box 2 6" xfId="1924"/>
    <cellStyle name="entry box 3" xfId="1925"/>
    <cellStyle name="entry box 3 2" xfId="1926"/>
    <cellStyle name="entry box 3 2 2" xfId="1927"/>
    <cellStyle name="entry box 3 2 3" xfId="1928"/>
    <cellStyle name="entry box 3 3" xfId="1929"/>
    <cellStyle name="entry box 3 4" xfId="1930"/>
    <cellStyle name="entry box 3 5" xfId="1931"/>
    <cellStyle name="entry box 3 6" xfId="1932"/>
    <cellStyle name="entry box 4" xfId="1933"/>
    <cellStyle name="entry box 4 2" xfId="1934"/>
    <cellStyle name="entry box 4 3" xfId="1935"/>
    <cellStyle name="entry box 5" xfId="1936"/>
    <cellStyle name="entry box 5 2" xfId="1937"/>
    <cellStyle name="entry box 5 3" xfId="1938"/>
    <cellStyle name="Euro" xfId="1939"/>
    <cellStyle name="Euro 2" xfId="1940"/>
    <cellStyle name="Euro 2 2" xfId="1941"/>
    <cellStyle name="Euro 3" xfId="1942"/>
    <cellStyle name="evenStyle" xfId="1943"/>
    <cellStyle name="evenStyle 2" xfId="1944"/>
    <cellStyle name="evenStyle 2 2" xfId="1945"/>
    <cellStyle name="evenStyle 2 2 2" xfId="1946"/>
    <cellStyle name="evenStyle 2 2 3" xfId="1947"/>
    <cellStyle name="evenStyle 2 3" xfId="1948"/>
    <cellStyle name="evenStyle 2 3 2" xfId="1949"/>
    <cellStyle name="evenStyle 2 3 3" xfId="1950"/>
    <cellStyle name="evenStyle 2 4" xfId="1951"/>
    <cellStyle name="evenStyle 2 5" xfId="1952"/>
    <cellStyle name="evenStyle 2 6" xfId="1953"/>
    <cellStyle name="evenStyle 2 7" xfId="1954"/>
    <cellStyle name="evenStyle 3" xfId="1955"/>
    <cellStyle name="evenStyle 3 2" xfId="1956"/>
    <cellStyle name="evenStyle 3 3" xfId="1957"/>
    <cellStyle name="evenStyle 4" xfId="1958"/>
    <cellStyle name="evenStyle 4 2" xfId="1959"/>
    <cellStyle name="evenStyle 4 3" xfId="1960"/>
    <cellStyle name="evenStyle 5" xfId="1961"/>
    <cellStyle name="evenStyle 6" xfId="1962"/>
    <cellStyle name="evenStyle 7" xfId="1963"/>
    <cellStyle name="evenStyle 8" xfId="1964"/>
    <cellStyle name="Good 2" xfId="1965"/>
    <cellStyle name="Good 2 2" xfId="1966"/>
    <cellStyle name="Good 2 2 2" xfId="1967"/>
    <cellStyle name="Good 2 2 3" xfId="1968"/>
    <cellStyle name="Good 2 3" xfId="1969"/>
    <cellStyle name="Good 3" xfId="1970"/>
    <cellStyle name="Good 4" xfId="1971"/>
    <cellStyle name="Grey" xfId="1972"/>
    <cellStyle name="HEADER" xfId="1973"/>
    <cellStyle name="Header1" xfId="1974"/>
    <cellStyle name="Header1 2" xfId="1975"/>
    <cellStyle name="Header1 2 2" xfId="1976"/>
    <cellStyle name="Header1 2 2 2" xfId="1977"/>
    <cellStyle name="Header1 2 2 3" xfId="1978"/>
    <cellStyle name="Header1 2 2 4" xfId="1979"/>
    <cellStyle name="Header1 2 2 5" xfId="1980"/>
    <cellStyle name="Header1 2 3" xfId="1981"/>
    <cellStyle name="Header1 2 3 2" xfId="1982"/>
    <cellStyle name="Header1 2 3 3" xfId="1983"/>
    <cellStyle name="Header1 2 3 4" xfId="1984"/>
    <cellStyle name="Header1 2 3 5" xfId="1985"/>
    <cellStyle name="Header1 2 4" xfId="1986"/>
    <cellStyle name="Header1 3" xfId="1987"/>
    <cellStyle name="Header1 3 2" xfId="1988"/>
    <cellStyle name="Header1 3 2 2" xfId="1989"/>
    <cellStyle name="Header1 3 2 3" xfId="1990"/>
    <cellStyle name="Header1 3 2 4" xfId="1991"/>
    <cellStyle name="Header1 3 2 5" xfId="1992"/>
    <cellStyle name="Header1 4" xfId="1993"/>
    <cellStyle name="Header1 4 2" xfId="1994"/>
    <cellStyle name="Header1 4 2 2" xfId="1995"/>
    <cellStyle name="Header1 4 2 3" xfId="1996"/>
    <cellStyle name="Header1 4 2 4" xfId="1997"/>
    <cellStyle name="Header1 4 2 5" xfId="1998"/>
    <cellStyle name="Header1 4 2 6" xfId="1999"/>
    <cellStyle name="Header1 4 3" xfId="2000"/>
    <cellStyle name="Header1 4 3 2" xfId="2001"/>
    <cellStyle name="Header1 4 3 3" xfId="2002"/>
    <cellStyle name="Header1 4 3 4" xfId="2003"/>
    <cellStyle name="Header1 4 3 5" xfId="2004"/>
    <cellStyle name="Header1 4 4" xfId="2005"/>
    <cellStyle name="Header1 4 5" xfId="2006"/>
    <cellStyle name="Header1 4 6" xfId="2007"/>
    <cellStyle name="Header1 5" xfId="2008"/>
    <cellStyle name="Header1 5 2" xfId="2009"/>
    <cellStyle name="Header1 5 3" xfId="2010"/>
    <cellStyle name="Header1 5 4" xfId="2011"/>
    <cellStyle name="Header1 5 5" xfId="2012"/>
    <cellStyle name="Header1 5 6" xfId="2013"/>
    <cellStyle name="Header2" xfId="2014"/>
    <cellStyle name="Header2 2" xfId="2015"/>
    <cellStyle name="Header2 2 2" xfId="2016"/>
    <cellStyle name="Header2 2 2 2" xfId="2017"/>
    <cellStyle name="Header2 2 2 3" xfId="2018"/>
    <cellStyle name="Header2 2 3" xfId="2019"/>
    <cellStyle name="Header2 2 4" xfId="2020"/>
    <cellStyle name="Header2 3" xfId="2021"/>
    <cellStyle name="Header2 3 2" xfId="2022"/>
    <cellStyle name="Header2 3 3" xfId="2023"/>
    <cellStyle name="Header2 4" xfId="2024"/>
    <cellStyle name="Header2 5" xfId="2025"/>
    <cellStyle name="headStyle" xfId="2026"/>
    <cellStyle name="headStyle 2" xfId="2027"/>
    <cellStyle name="headStyle 2 2" xfId="2028"/>
    <cellStyle name="headStyle 2 2 2" xfId="2029"/>
    <cellStyle name="headStyle 2 2 3" xfId="2030"/>
    <cellStyle name="headStyle 2 3" xfId="2031"/>
    <cellStyle name="headStyle 2 3 2" xfId="2032"/>
    <cellStyle name="headStyle 2 3 3" xfId="2033"/>
    <cellStyle name="headStyle 2 4" xfId="2034"/>
    <cellStyle name="headStyle 2 5" xfId="2035"/>
    <cellStyle name="headStyle 2 6" xfId="2036"/>
    <cellStyle name="headStyle 2 7" xfId="2037"/>
    <cellStyle name="headStyle 3" xfId="2038"/>
    <cellStyle name="headStyle 3 2" xfId="2039"/>
    <cellStyle name="headStyle 3 3" xfId="2040"/>
    <cellStyle name="headStyle 4" xfId="2041"/>
    <cellStyle name="headStyle 4 2" xfId="2042"/>
    <cellStyle name="headStyle 4 3" xfId="2043"/>
    <cellStyle name="headStyle 5" xfId="2044"/>
    <cellStyle name="headStyle 6" xfId="2045"/>
    <cellStyle name="headStyle 7" xfId="2046"/>
    <cellStyle name="headStyle 8" xfId="2047"/>
    <cellStyle name="Hyperlink" xfId="2048"/>
    <cellStyle name="Hyperlink 2" xfId="2049"/>
    <cellStyle name="Hyperlink 2 2" xfId="2050"/>
    <cellStyle name="Hyperlink 2 2 2" xfId="2051"/>
    <cellStyle name="Hyperlink 2 2 3" xfId="2052"/>
    <cellStyle name="Hyperlink 2 2 4" xfId="2053"/>
    <cellStyle name="Hyperlink 2 2 5" xfId="2054"/>
    <cellStyle name="Hyperlink 2 2 5 2" xfId="2055"/>
    <cellStyle name="Hyperlink 2 2 5 3" xfId="2056"/>
    <cellStyle name="Hyperlink 2 3" xfId="2057"/>
    <cellStyle name="Hyperlink 2 3 2" xfId="2058"/>
    <cellStyle name="Hyperlink 2 3 3" xfId="2059"/>
    <cellStyle name="Hyperlink 2 4" xfId="2060"/>
    <cellStyle name="Hyperlink 2 4 2" xfId="2061"/>
    <cellStyle name="Hyperlink 2 4 3" xfId="2062"/>
    <cellStyle name="Hyperlink 3" xfId="2063"/>
    <cellStyle name="Hyperlink 3 2" xfId="2064"/>
    <cellStyle name="Hyperlink 3 2 2" xfId="2065"/>
    <cellStyle name="Hyperlink 3 2 3" xfId="2066"/>
    <cellStyle name="Hyperlink 3 3" xfId="2067"/>
    <cellStyle name="Hyperlink 3 4" xfId="2068"/>
    <cellStyle name="Hyperlink 4" xfId="2069"/>
    <cellStyle name="Hyperlink 4 2" xfId="2070"/>
    <cellStyle name="Hyperlink 4 2 2" xfId="2071"/>
    <cellStyle name="Hyperlink 4 2 3" xfId="2072"/>
    <cellStyle name="Hyperlink 4 3" xfId="2073"/>
    <cellStyle name="Hyperlink 4 4" xfId="2074"/>
    <cellStyle name="Hyperlink 5" xfId="2075"/>
    <cellStyle name="Hyperlink 5 2" xfId="2076"/>
    <cellStyle name="Hyperlink 5 3" xfId="2077"/>
    <cellStyle name="Hyperlink 5 4" xfId="2078"/>
    <cellStyle name="Hyperlink 6" xfId="2079"/>
    <cellStyle name="Hyperlink 7" xfId="2080"/>
    <cellStyle name="Hyperlink 8" xfId="2081"/>
    <cellStyle name="Hyperlink 9" xfId="2082"/>
    <cellStyle name="Input [yellow]" xfId="2083"/>
    <cellStyle name="Input [yellow] 2" xfId="2084"/>
    <cellStyle name="Input [yellow] 2 2" xfId="2085"/>
    <cellStyle name="Input [yellow] 2 2 2" xfId="2086"/>
    <cellStyle name="Input [yellow] 2 2 2 2" xfId="2087"/>
    <cellStyle name="Input [yellow] 2 2 2 3" xfId="2088"/>
    <cellStyle name="Input [yellow] 2 2 3" xfId="2089"/>
    <cellStyle name="Input [yellow] 2 2 4" xfId="2090"/>
    <cellStyle name="Input [yellow] 2 2 5" xfId="2091"/>
    <cellStyle name="Input [yellow] 2 2 6" xfId="2092"/>
    <cellStyle name="Input [yellow] 2 3" xfId="2093"/>
    <cellStyle name="Input [yellow] 2 3 2" xfId="2094"/>
    <cellStyle name="Input [yellow] 2 3 3" xfId="2095"/>
    <cellStyle name="Input [yellow] 2 4" xfId="2096"/>
    <cellStyle name="Input [yellow] 2 4 2" xfId="2097"/>
    <cellStyle name="Input [yellow] 2 4 3" xfId="2098"/>
    <cellStyle name="Input [yellow] 2 5" xfId="2099"/>
    <cellStyle name="Input [yellow] 2 6" xfId="2100"/>
    <cellStyle name="Input [yellow] 3" xfId="2101"/>
    <cellStyle name="Input [yellow] 3 2" xfId="2102"/>
    <cellStyle name="Input [yellow] 3 2 2" xfId="2103"/>
    <cellStyle name="Input [yellow] 3 2 3" xfId="2104"/>
    <cellStyle name="Input [yellow] 3 3" xfId="2105"/>
    <cellStyle name="Input [yellow] 3 4" xfId="2106"/>
    <cellStyle name="Input [yellow] 3 5" xfId="2107"/>
    <cellStyle name="Input [yellow] 3 6" xfId="2108"/>
    <cellStyle name="Input [yellow] 4" xfId="2109"/>
    <cellStyle name="Input [yellow] 4 2" xfId="2110"/>
    <cellStyle name="Input [yellow] 4 3" xfId="2111"/>
    <cellStyle name="Input [yellow] 5" xfId="2112"/>
    <cellStyle name="Input [yellow] 5 2" xfId="2113"/>
    <cellStyle name="Input [yellow] 5 3" xfId="2114"/>
    <cellStyle name="Model" xfId="2115"/>
    <cellStyle name="Model 2" xfId="2116"/>
    <cellStyle name="Model 3" xfId="2117"/>
    <cellStyle name="Neutral 2" xfId="2118"/>
    <cellStyle name="Normal - Style1" xfId="2119"/>
    <cellStyle name="Normal 10" xfId="2120"/>
    <cellStyle name="Normal 10 10" xfId="2121"/>
    <cellStyle name="Normal 10 10 2" xfId="2122"/>
    <cellStyle name="Normal 10 2" xfId="2123"/>
    <cellStyle name="Normal 10 2 2" xfId="2124"/>
    <cellStyle name="Normal 10 2 2 2" xfId="2125"/>
    <cellStyle name="Normal 10 2 2 2 2" xfId="2126"/>
    <cellStyle name="Normal 10 2 2 3" xfId="2127"/>
    <cellStyle name="Normal 10 2 2 3 2" xfId="2128"/>
    <cellStyle name="Normal 10 2 2 4" xfId="2129"/>
    <cellStyle name="Normal 10 2 2 5" xfId="2130"/>
    <cellStyle name="Normal 10 2 3" xfId="2131"/>
    <cellStyle name="Normal 10 2 4" xfId="2132"/>
    <cellStyle name="Normal 10 2 4 2" xfId="2133"/>
    <cellStyle name="Normal 10 2 5" xfId="2134"/>
    <cellStyle name="Normal 10 2 5 2" xfId="2135"/>
    <cellStyle name="Normal 10 2 6" xfId="2136"/>
    <cellStyle name="Normal 10 2 7" xfId="2137"/>
    <cellStyle name="Normal 10 3" xfId="2138"/>
    <cellStyle name="Normal 10 4" xfId="2139"/>
    <cellStyle name="Normal 10 5" xfId="2140"/>
    <cellStyle name="Normal 10 6" xfId="2141"/>
    <cellStyle name="Normal 103" xfId="2142"/>
    <cellStyle name="Normal 103 2" xfId="2143"/>
    <cellStyle name="Normal 103 2 2" xfId="2144"/>
    <cellStyle name="Normal 103 2 3" xfId="2145"/>
    <cellStyle name="Normal 103 2 3 2" xfId="2146"/>
    <cellStyle name="Normal 103 2 4" xfId="2147"/>
    <cellStyle name="Normal 103 2 5" xfId="2148"/>
    <cellStyle name="Normal 103 2 5 2" xfId="2149"/>
    <cellStyle name="Normal 103 2 6" xfId="2150"/>
    <cellStyle name="Normal 103 3" xfId="2151"/>
    <cellStyle name="Normal 103 4" xfId="2152"/>
    <cellStyle name="Normal 103 4 2" xfId="2153"/>
    <cellStyle name="Normal 103 4 3" xfId="2154"/>
    <cellStyle name="Normal 103 5" xfId="2155"/>
    <cellStyle name="Normal 103 6" xfId="2156"/>
    <cellStyle name="Normal 103 7" xfId="2157"/>
    <cellStyle name="Normal 106 2" xfId="2158"/>
    <cellStyle name="Normal 106 2 2" xfId="2159"/>
    <cellStyle name="Normal 11" xfId="2160"/>
    <cellStyle name="Normal 11 2" xfId="2161"/>
    <cellStyle name="Normal 11 3" xfId="2162"/>
    <cellStyle name="Normal 11 3 2" xfId="2163"/>
    <cellStyle name="Normal 11 4" xfId="2164"/>
    <cellStyle name="Normal 11 5" xfId="2165"/>
    <cellStyle name="Normal 111 2" xfId="2166"/>
    <cellStyle name="Normal 111 2 2" xfId="2167"/>
    <cellStyle name="Normal 111 2 2 2" xfId="2168"/>
    <cellStyle name="Normal 111 2 2 2 2" xfId="2169"/>
    <cellStyle name="Normal 111 2 2 3" xfId="2170"/>
    <cellStyle name="Normal 111 2 2 4" xfId="2171"/>
    <cellStyle name="Normal 111 2 3" xfId="2172"/>
    <cellStyle name="Normal 111 2 3 2" xfId="2173"/>
    <cellStyle name="Normal 111 2 3 2 2" xfId="2174"/>
    <cellStyle name="Normal 111 2 3 3" xfId="2175"/>
    <cellStyle name="Normal 111 2 4" xfId="2176"/>
    <cellStyle name="Normal 111 2 5" xfId="2177"/>
    <cellStyle name="Normal 118" xfId="2178"/>
    <cellStyle name="Normal 118 2" xfId="2179"/>
    <cellStyle name="Normal 118 2 2" xfId="2180"/>
    <cellStyle name="Normal 118 3" xfId="2181"/>
    <cellStyle name="Normal 118 3 2" xfId="2182"/>
    <cellStyle name="Normal 118 3 3" xfId="2183"/>
    <cellStyle name="Normal 118 4" xfId="2184"/>
    <cellStyle name="Normal 12" xfId="2185"/>
    <cellStyle name="Normal 12 2" xfId="2186"/>
    <cellStyle name="Normal 12 2 2" xfId="2187"/>
    <cellStyle name="Normal 12 2 2 2" xfId="2188"/>
    <cellStyle name="Normal 12 2 2 2 2" xfId="2189"/>
    <cellStyle name="Normal 12 2 3" xfId="2190"/>
    <cellStyle name="Normal 12 2 4" xfId="2191"/>
    <cellStyle name="Normal 12 3" xfId="2192"/>
    <cellStyle name="Normal 12 3 2" xfId="2193"/>
    <cellStyle name="Normal 12 4" xfId="2194"/>
    <cellStyle name="Normal 12 5" xfId="2195"/>
    <cellStyle name="Normal 121" xfId="2196"/>
    <cellStyle name="Normal 121 2" xfId="2197"/>
    <cellStyle name="Normal 121 2 2" xfId="2198"/>
    <cellStyle name="Normal 121 2 2 2" xfId="2199"/>
    <cellStyle name="Normal 121 2 2 2 2" xfId="2200"/>
    <cellStyle name="Normal 121 2 2 2 2 2" xfId="2201"/>
    <cellStyle name="Normal 121 2 2 2 2 2 2" xfId="2202"/>
    <cellStyle name="Normal 121 2 2 2 2 3" xfId="2203"/>
    <cellStyle name="Normal 121 2 2 2 2 4" xfId="2204"/>
    <cellStyle name="Normal 121 2 2 2 3" xfId="2205"/>
    <cellStyle name="Normal 121 2 2 2 3 2" xfId="2206"/>
    <cellStyle name="Normal 121 2 2 2 4" xfId="2207"/>
    <cellStyle name="Normal 121 2 2 2 5" xfId="2208"/>
    <cellStyle name="Normal 121 2 2 3" xfId="2209"/>
    <cellStyle name="Normal 121 2 2 3 2" xfId="2210"/>
    <cellStyle name="Normal 121 2 2 4" xfId="2211"/>
    <cellStyle name="Normal 121 2 2 4 2" xfId="2212"/>
    <cellStyle name="Normal 121 2 2 5" xfId="2213"/>
    <cellStyle name="Normal 121 2 3" xfId="2214"/>
    <cellStyle name="Normal 121 2 3 2" xfId="2215"/>
    <cellStyle name="Normal 121 2 3 2 2" xfId="2216"/>
    <cellStyle name="Normal 121 2 3 3" xfId="2217"/>
    <cellStyle name="Normal 121 2 3 3 2" xfId="2218"/>
    <cellStyle name="Normal 121 2 3 4" xfId="2219"/>
    <cellStyle name="Normal 121 2 3 5" xfId="2220"/>
    <cellStyle name="Normal 121 2 4" xfId="2221"/>
    <cellStyle name="Normal 121 2 4 2" xfId="2222"/>
    <cellStyle name="Normal 121 2 4 2 2" xfId="2223"/>
    <cellStyle name="Normal 121 2 4 3" xfId="2224"/>
    <cellStyle name="Normal 121 2 4 4" xfId="2225"/>
    <cellStyle name="Normal 121 2 5" xfId="2226"/>
    <cellStyle name="Normal 121 2 5 2" xfId="2227"/>
    <cellStyle name="Normal 121 2 5 3" xfId="2228"/>
    <cellStyle name="Normal 121 2 6" xfId="2229"/>
    <cellStyle name="Normal 121 2 7" xfId="2230"/>
    <cellStyle name="Normal 121 3" xfId="2231"/>
    <cellStyle name="Normal 121 3 2" xfId="2232"/>
    <cellStyle name="Normal 121 4" xfId="2233"/>
    <cellStyle name="Normal 121 5" xfId="2234"/>
    <cellStyle name="Normal 124" xfId="2235"/>
    <cellStyle name="Normal 124 2" xfId="2236"/>
    <cellStyle name="Normal 124 2 2" xfId="2237"/>
    <cellStyle name="Normal 124 2 2 2" xfId="2238"/>
    <cellStyle name="Normal 124 2 3" xfId="2239"/>
    <cellStyle name="Normal 125" xfId="2240"/>
    <cellStyle name="Normal 125 2" xfId="2241"/>
    <cellStyle name="Normal 125 2 2" xfId="2242"/>
    <cellStyle name="Normal 125 2 2 2" xfId="2243"/>
    <cellStyle name="Normal 125 2 3" xfId="2244"/>
    <cellStyle name="Normal 125 2 3 2" xfId="2245"/>
    <cellStyle name="Normal 125 2 4" xfId="2246"/>
    <cellStyle name="Normal 125 2 5" xfId="2247"/>
    <cellStyle name="Normal 125 3" xfId="2248"/>
    <cellStyle name="Normal 125 3 2" xfId="2249"/>
    <cellStyle name="Normal 125 4" xfId="2250"/>
    <cellStyle name="Normal 125 4 2" xfId="2251"/>
    <cellStyle name="Normal 125 5" xfId="2252"/>
    <cellStyle name="Normal 125 6" xfId="2253"/>
    <cellStyle name="Normal 126" xfId="2254"/>
    <cellStyle name="Normal 126 2" xfId="2255"/>
    <cellStyle name="Normal 126 2 2" xfId="2256"/>
    <cellStyle name="Normal 126 2 2 2" xfId="2257"/>
    <cellStyle name="Normal 126 2 3" xfId="2258"/>
    <cellStyle name="Normal 126 2 3 2" xfId="2259"/>
    <cellStyle name="Normal 126 2 4" xfId="2260"/>
    <cellStyle name="Normal 126 2 5" xfId="2261"/>
    <cellStyle name="Normal 126 3" xfId="2262"/>
    <cellStyle name="Normal 126 3 2" xfId="2263"/>
    <cellStyle name="Normal 126 4" xfId="2264"/>
    <cellStyle name="Normal 126 4 2" xfId="2265"/>
    <cellStyle name="Normal 126 5" xfId="2266"/>
    <cellStyle name="Normal 126 6" xfId="2267"/>
    <cellStyle name="Normal 129" xfId="2268"/>
    <cellStyle name="Normal 129 2" xfId="2269"/>
    <cellStyle name="Normal 129 2 2" xfId="2270"/>
    <cellStyle name="Normal 129 3" xfId="2271"/>
    <cellStyle name="Normal 13" xfId="2272"/>
    <cellStyle name="Normal 13 2" xfId="2273"/>
    <cellStyle name="Normal 13 2 2" xfId="2274"/>
    <cellStyle name="Normal 13 2 2 2" xfId="2275"/>
    <cellStyle name="Normal 13 2 3" xfId="2276"/>
    <cellStyle name="Normal 13 2 4" xfId="2277"/>
    <cellStyle name="Normal 13 3" xfId="2278"/>
    <cellStyle name="Normal 13 4" xfId="2279"/>
    <cellStyle name="Normal 13 5" xfId="2280"/>
    <cellStyle name="Normal 14" xfId="2281"/>
    <cellStyle name="Normal 14 2" xfId="2282"/>
    <cellStyle name="Normal 14 3" xfId="2283"/>
    <cellStyle name="Normal 14 4" xfId="2284"/>
    <cellStyle name="Normal 14 4 2" xfId="2285"/>
    <cellStyle name="Normal 14 5" xfId="2286"/>
    <cellStyle name="Normal 14 6" xfId="2287"/>
    <cellStyle name="Normal 15" xfId="2288"/>
    <cellStyle name="Normal 15 2" xfId="2289"/>
    <cellStyle name="Normal 15 2 2" xfId="2290"/>
    <cellStyle name="Normal 15 2 3" xfId="2291"/>
    <cellStyle name="Normal 15 3" xfId="2292"/>
    <cellStyle name="Normal 16" xfId="2293"/>
    <cellStyle name="Normal 16 2" xfId="2294"/>
    <cellStyle name="Normal 16 2 2" xfId="2295"/>
    <cellStyle name="Normal 16 3" xfId="2296"/>
    <cellStyle name="Normal 17" xfId="2297"/>
    <cellStyle name="Normal 18" xfId="2298"/>
    <cellStyle name="Normal 18 2" xfId="2299"/>
    <cellStyle name="Normal 182" xfId="2300"/>
    <cellStyle name="Normal 182 2" xfId="2301"/>
    <cellStyle name="Normal 182 2 2" xfId="2302"/>
    <cellStyle name="Normal 182 2 2 2" xfId="2303"/>
    <cellStyle name="Normal 182 2 3" xfId="2304"/>
    <cellStyle name="Normal 182 2 4" xfId="2305"/>
    <cellStyle name="Normal 182 3" xfId="2306"/>
    <cellStyle name="Normal 182 3 2" xfId="2307"/>
    <cellStyle name="Normal 182 4" xfId="2308"/>
    <cellStyle name="Normal 182 5" xfId="2309"/>
    <cellStyle name="Normal 19" xfId="2310"/>
    <cellStyle name="Normal 2" xfId="2311"/>
    <cellStyle name="Normal 2 10" xfId="2312"/>
    <cellStyle name="Normal 2 10 2" xfId="2313"/>
    <cellStyle name="Normal 2 10 2 2" xfId="2314"/>
    <cellStyle name="Normal 2 10 3" xfId="2315"/>
    <cellStyle name="Normal 2 10 4" xfId="2316"/>
    <cellStyle name="Normal 2 11" xfId="2317"/>
    <cellStyle name="Normal 2 12" xfId="2318"/>
    <cellStyle name="Normal 2 16" xfId="2319"/>
    <cellStyle name="Normal 2 18" xfId="2320"/>
    <cellStyle name="Normal 2 2" xfId="2321"/>
    <cellStyle name="Normal 2 2 2" xfId="2322"/>
    <cellStyle name="Normal 2 2 2 2" xfId="2323"/>
    <cellStyle name="Normal 2 2 2 2 2" xfId="2324"/>
    <cellStyle name="Normal 2 2 2 2 2 2" xfId="2325"/>
    <cellStyle name="Normal 2 2 2 2 2 3" xfId="2326"/>
    <cellStyle name="Normal 2 2 2 2 3" xfId="2327"/>
    <cellStyle name="Normal 2 2 2 2 3 2" xfId="2328"/>
    <cellStyle name="Normal 2 2 2 2 4" xfId="2329"/>
    <cellStyle name="Normal 2 2 2 2 5" xfId="2330"/>
    <cellStyle name="Normal 2 2 2 3" xfId="2331"/>
    <cellStyle name="Normal 2 2 2 3 2" xfId="2332"/>
    <cellStyle name="Normal 2 2 2 3 3" xfId="2333"/>
    <cellStyle name="Normal 2 2 2 4" xfId="2334"/>
    <cellStyle name="Normal 2 2 3" xfId="2335"/>
    <cellStyle name="Normal 2 2 3 2" xfId="2336"/>
    <cellStyle name="Normal 2 2 3 2 2" xfId="2337"/>
    <cellStyle name="Normal 2 2 3 2 3" xfId="2338"/>
    <cellStyle name="Normal 2 2 3 3" xfId="2339"/>
    <cellStyle name="Normal 2 2 4" xfId="2340"/>
    <cellStyle name="Normal 2 2 4 2" xfId="2341"/>
    <cellStyle name="Normal 2 2 5" xfId="2342"/>
    <cellStyle name="Normal 2 2_2" xfId="2343"/>
    <cellStyle name="Normal 2 24" xfId="2344"/>
    <cellStyle name="Normal 2 24 2" xfId="2345"/>
    <cellStyle name="Normal 2 3" xfId="2346"/>
    <cellStyle name="Normal 2 3 2" xfId="2347"/>
    <cellStyle name="Normal 2 3 2 2" xfId="2348"/>
    <cellStyle name="Normal 2 3 2 2 2" xfId="2349"/>
    <cellStyle name="Normal 2 3 2 2 2 2" xfId="2350"/>
    <cellStyle name="Normal 2 3 2 2 2 2 2" xfId="2351"/>
    <cellStyle name="Normal 2 3 2 2 2 3" xfId="2352"/>
    <cellStyle name="Normal 2 3 2 2 2 4" xfId="2353"/>
    <cellStyle name="Normal 2 3 2 2 3" xfId="2354"/>
    <cellStyle name="Normal 2 3 2 2 3 2" xfId="2355"/>
    <cellStyle name="Normal 2 3 2 2 3 2 2" xfId="2356"/>
    <cellStyle name="Normal 2 3 2 2 3 3" xfId="2357"/>
    <cellStyle name="Normal 2 3 2 2 3 4" xfId="2358"/>
    <cellStyle name="Normal 2 3 2 2 4" xfId="2359"/>
    <cellStyle name="Normal 2 3 2 2 4 2" xfId="2360"/>
    <cellStyle name="Normal 2 3 2 2 5" xfId="2361"/>
    <cellStyle name="Normal 2 3 2 2 6" xfId="2362"/>
    <cellStyle name="Normal 2 3 2 3" xfId="2363"/>
    <cellStyle name="Normal 2 3 2 3 2" xfId="2364"/>
    <cellStyle name="Normal 2 3 2 3 2 2" xfId="2365"/>
    <cellStyle name="Normal 2 3 2 3 3" xfId="2366"/>
    <cellStyle name="Normal 2 3 2 3 4" xfId="2367"/>
    <cellStyle name="Normal 2 3 2 4" xfId="2368"/>
    <cellStyle name="Normal 2 3 2 4 2" xfId="2369"/>
    <cellStyle name="Normal 2 3 2 5" xfId="2370"/>
    <cellStyle name="Normal 2 3 2 6" xfId="2371"/>
    <cellStyle name="Normal 2 3 3" xfId="2372"/>
    <cellStyle name="Normal 2 3 3 2" xfId="2373"/>
    <cellStyle name="Normal 2 3 3 2 2" xfId="2374"/>
    <cellStyle name="Normal 2 3 3 2 2 2" xfId="2375"/>
    <cellStyle name="Normal 2 3 3 2 3" xfId="2376"/>
    <cellStyle name="Normal 2 3 3 2 4" xfId="2377"/>
    <cellStyle name="Normal 2 3 3 3" xfId="2378"/>
    <cellStyle name="Normal 2 3 3 3 2" xfId="2379"/>
    <cellStyle name="Normal 2 3 3 4" xfId="2380"/>
    <cellStyle name="Normal 2 3 3 5" xfId="2381"/>
    <cellStyle name="Normal 2 3 4" xfId="2382"/>
    <cellStyle name="Normal 2 3 4 2" xfId="2383"/>
    <cellStyle name="Normal 2 3 4 2 2" xfId="2384"/>
    <cellStyle name="Normal 2 3 4 2 3" xfId="2385"/>
    <cellStyle name="Normal 2 3 4 2 4" xfId="2386"/>
    <cellStyle name="Normal 2 3 4 3" xfId="2387"/>
    <cellStyle name="Normal 2 3 4 3 2" xfId="2388"/>
    <cellStyle name="Normal 2 3 4 4" xfId="2389"/>
    <cellStyle name="Normal 2 3 4 5" xfId="2390"/>
    <cellStyle name="Normal 2 3 5" xfId="2391"/>
    <cellStyle name="Normal 2 3 5 2" xfId="2392"/>
    <cellStyle name="Normal 2 3 5 3" xfId="2393"/>
    <cellStyle name="Normal 2 3 5 3 2" xfId="2394"/>
    <cellStyle name="Normal 2 3 5 4" xfId="2395"/>
    <cellStyle name="Normal 2 3 5 5" xfId="2396"/>
    <cellStyle name="Normal 2 3 6" xfId="2397"/>
    <cellStyle name="Normal 2 3 6 2" xfId="2398"/>
    <cellStyle name="Normal 2 3 6 3" xfId="2399"/>
    <cellStyle name="Normal 2 3 7" xfId="2400"/>
    <cellStyle name="Normal 2 3 8" xfId="2401"/>
    <cellStyle name="Normal 2 3 9" xfId="2402"/>
    <cellStyle name="Normal 2 4" xfId="2403"/>
    <cellStyle name="Normal 2 4 2" xfId="2404"/>
    <cellStyle name="Normal 2 4 2 2" xfId="2405"/>
    <cellStyle name="Normal 2 4 2 2 2" xfId="2406"/>
    <cellStyle name="Normal 2 4 2 3" xfId="2407"/>
    <cellStyle name="Normal 2 4 2 3 2" xfId="2408"/>
    <cellStyle name="Normal 2 4 2 4" xfId="2409"/>
    <cellStyle name="Normal 2 4 2 5" xfId="2410"/>
    <cellStyle name="Normal 2 4 3" xfId="2411"/>
    <cellStyle name="Normal 2 4 3 2" xfId="2412"/>
    <cellStyle name="Normal 2 4 3 3" xfId="2413"/>
    <cellStyle name="Normal 2 4 4" xfId="2414"/>
    <cellStyle name="Normal 2 4 4 2" xfId="2415"/>
    <cellStyle name="Normal 2 4 5" xfId="2416"/>
    <cellStyle name="Normal 2 5" xfId="2417"/>
    <cellStyle name="Normal 2 5 2" xfId="2418"/>
    <cellStyle name="Normal 2 5 2 2" xfId="2419"/>
    <cellStyle name="Normal 2 5 2 2 2" xfId="2420"/>
    <cellStyle name="Normal 2 5 2 3" xfId="2421"/>
    <cellStyle name="Normal 2 5 2 4" xfId="2422"/>
    <cellStyle name="Normal 2 5 3" xfId="2423"/>
    <cellStyle name="Normal 2 5 4" xfId="2424"/>
    <cellStyle name="Normal 2 5 5" xfId="2425"/>
    <cellStyle name="Normal 2 6" xfId="2426"/>
    <cellStyle name="Normal 2 6 2" xfId="2427"/>
    <cellStyle name="Normal 2 6 3" xfId="2428"/>
    <cellStyle name="Normal 2 7" xfId="2429"/>
    <cellStyle name="Normal 2 8" xfId="2430"/>
    <cellStyle name="Normal 2 9" xfId="2431"/>
    <cellStyle name="Normal 2 9 2" xfId="2432"/>
    <cellStyle name="Normal 2 9 2 2" xfId="2433"/>
    <cellStyle name="Normal 2 9 3" xfId="2434"/>
    <cellStyle name="Normal 2_1" xfId="2435"/>
    <cellStyle name="Normal 3" xfId="2436"/>
    <cellStyle name="Normal 3 10" xfId="2437"/>
    <cellStyle name="Normal 3 11" xfId="2438"/>
    <cellStyle name="Normal 3 12" xfId="2439"/>
    <cellStyle name="Normal 3 2" xfId="2440"/>
    <cellStyle name="Normal 3 2 2" xfId="2441"/>
    <cellStyle name="Normal 3 2 2 2" xfId="2442"/>
    <cellStyle name="Normal 3 2 2 2 2" xfId="2443"/>
    <cellStyle name="Normal 3 2 2 2 3" xfId="2444"/>
    <cellStyle name="Normal 3 2 2 3" xfId="2445"/>
    <cellStyle name="Normal 3 2 2 4" xfId="2446"/>
    <cellStyle name="Normal 3 2 3" xfId="2447"/>
    <cellStyle name="Normal 3 2 3 2" xfId="2448"/>
    <cellStyle name="Normal 3 2 3 2 2" xfId="2449"/>
    <cellStyle name="Normal 3 2 3 3" xfId="2450"/>
    <cellStyle name="Normal 3 2 3 3 2" xfId="2451"/>
    <cellStyle name="Normal 3 2 3 4" xfId="2452"/>
    <cellStyle name="Normal 3 2 3 5" xfId="2453"/>
    <cellStyle name="Normal 3 2 4" xfId="2454"/>
    <cellStyle name="Normal 3 2 4 2" xfId="2455"/>
    <cellStyle name="Normal 3 2 4 2 2" xfId="2456"/>
    <cellStyle name="Normal 3 2 4 3" xfId="2457"/>
    <cellStyle name="Normal 3 2 4 4" xfId="2458"/>
    <cellStyle name="Normal 3 2 5" xfId="2459"/>
    <cellStyle name="Normal 3 2 5 2" xfId="2460"/>
    <cellStyle name="Normal 3 2 5 2 2" xfId="2461"/>
    <cellStyle name="Normal 3 2 5 3" xfId="2462"/>
    <cellStyle name="Normal 3 2 5 4" xfId="2463"/>
    <cellStyle name="Normal 3 2 6" xfId="2464"/>
    <cellStyle name="Normal 3 2 6 2" xfId="2465"/>
    <cellStyle name="Normal 3 2 6 3" xfId="2466"/>
    <cellStyle name="Normal 3 2 7" xfId="2467"/>
    <cellStyle name="Normal 3 2 8" xfId="2468"/>
    <cellStyle name="Normal 3 2_2" xfId="2469"/>
    <cellStyle name="Normal 3 3" xfId="2470"/>
    <cellStyle name="Normal 3 3 2" xfId="2471"/>
    <cellStyle name="Normal 3 3 2 2" xfId="2472"/>
    <cellStyle name="Normal 3 3 2 3" xfId="2473"/>
    <cellStyle name="Normal 3 3 3" xfId="2474"/>
    <cellStyle name="Normal 3 3 3 2" xfId="2475"/>
    <cellStyle name="Normal 3 3 3 3" xfId="2476"/>
    <cellStyle name="Normal 3 3 4" xfId="2477"/>
    <cellStyle name="Normal 3 3 5" xfId="2478"/>
    <cellStyle name="Normal 3 4" xfId="2479"/>
    <cellStyle name="Normal 3 4 2" xfId="2480"/>
    <cellStyle name="Normal 3 4 2 2" xfId="2481"/>
    <cellStyle name="Normal 3 4 2 3" xfId="2482"/>
    <cellStyle name="Normal 3 4 3" xfId="2483"/>
    <cellStyle name="Normal 3 4 4" xfId="2484"/>
    <cellStyle name="Normal 3 5" xfId="2485"/>
    <cellStyle name="Normal 3 5 2" xfId="2486"/>
    <cellStyle name="Normal 3 5 2 2" xfId="2487"/>
    <cellStyle name="Normal 3 5 2 3" xfId="2488"/>
    <cellStyle name="Normal 3 5 3" xfId="2489"/>
    <cellStyle name="Normal 3 5 4" xfId="2490"/>
    <cellStyle name="Normal 3 6" xfId="2491"/>
    <cellStyle name="Normal 3 6 2" xfId="2492"/>
    <cellStyle name="Normal 3 6 3" xfId="2493"/>
    <cellStyle name="Normal 3 6 4" xfId="2494"/>
    <cellStyle name="Normal 3 7" xfId="2495"/>
    <cellStyle name="Normal 3 7 2" xfId="2496"/>
    <cellStyle name="Normal 3 7 3" xfId="2497"/>
    <cellStyle name="Normal 3 8" xfId="2498"/>
    <cellStyle name="Normal 3 9" xfId="2499"/>
    <cellStyle name="Normal 3_1" xfId="2500"/>
    <cellStyle name="Normal 31" xfId="2501"/>
    <cellStyle name="Normal 32" xfId="2502"/>
    <cellStyle name="Normal 32 2" xfId="2503"/>
    <cellStyle name="Normal 32 2 2" xfId="2504"/>
    <cellStyle name="Normal 32 3" xfId="2505"/>
    <cellStyle name="Normal 4" xfId="2506"/>
    <cellStyle name="Normal 4 2" xfId="2507"/>
    <cellStyle name="Normal 4 2 2" xfId="2508"/>
    <cellStyle name="Normal 4 2 2 2" xfId="2509"/>
    <cellStyle name="Normal 4 2 2 3" xfId="2510"/>
    <cellStyle name="Normal 4 2 2 4" xfId="2511"/>
    <cellStyle name="Normal 4 2 3" xfId="2512"/>
    <cellStyle name="Normal 4 2 3 2" xfId="2513"/>
    <cellStyle name="Normal 4 2 3 2 2" xfId="2514"/>
    <cellStyle name="Normal 4 2 3 3" xfId="2515"/>
    <cellStyle name="Normal 4 2 3 4" xfId="2516"/>
    <cellStyle name="Normal 4 2 4" xfId="2517"/>
    <cellStyle name="Normal 4 2 4 2" xfId="2518"/>
    <cellStyle name="Normal 4 2 4 3" xfId="2519"/>
    <cellStyle name="Normal 4 3" xfId="2520"/>
    <cellStyle name="Normal 4 3 2" xfId="2521"/>
    <cellStyle name="Normal 4 3 2 2" xfId="2522"/>
    <cellStyle name="Normal 4 3 2 2 2" xfId="2523"/>
    <cellStyle name="Normal 4 3 2 3" xfId="2524"/>
    <cellStyle name="Normal 4 3 2 4" xfId="2525"/>
    <cellStyle name="Normal 4 3 3" xfId="2526"/>
    <cellStyle name="Normal 4 3 3 2" xfId="2527"/>
    <cellStyle name="Normal 4 3 3 2 2" xfId="2528"/>
    <cellStyle name="Normal 4 3 3 3" xfId="2529"/>
    <cellStyle name="Normal 4 3 3 4" xfId="2530"/>
    <cellStyle name="Normal 4 3 4" xfId="2531"/>
    <cellStyle name="Normal 4 3 4 2" xfId="2532"/>
    <cellStyle name="Normal 4 3 4 3" xfId="2533"/>
    <cellStyle name="Normal 4 3 5" xfId="2534"/>
    <cellStyle name="Normal 4 4" xfId="2535"/>
    <cellStyle name="Normal 4 4 2" xfId="2536"/>
    <cellStyle name="Normal 4 4 2 2" xfId="2537"/>
    <cellStyle name="Normal 4 4 3" xfId="2538"/>
    <cellStyle name="Normal 4 4 4" xfId="2539"/>
    <cellStyle name="Normal 4 4 5" xfId="2540"/>
    <cellStyle name="Normal 4 5" xfId="2541"/>
    <cellStyle name="Normal 4 5 2" xfId="2542"/>
    <cellStyle name="Normal 4 5 2 2" xfId="2543"/>
    <cellStyle name="Normal 4 5 3" xfId="2544"/>
    <cellStyle name="Normal 4 5 4" xfId="2545"/>
    <cellStyle name="Normal 4 6" xfId="2546"/>
    <cellStyle name="Normal 4 6 2" xfId="2547"/>
    <cellStyle name="Normal 4 6 3" xfId="2548"/>
    <cellStyle name="Normal 5" xfId="2549"/>
    <cellStyle name="Normal 5 2" xfId="2550"/>
    <cellStyle name="Normal 5 2 2" xfId="2551"/>
    <cellStyle name="Normal 5 2 2 2" xfId="2552"/>
    <cellStyle name="Normal 5 2 3" xfId="2553"/>
    <cellStyle name="Normal 5 3" xfId="2554"/>
    <cellStyle name="Normal 5 3 2" xfId="2555"/>
    <cellStyle name="Normal 5 3 3" xfId="2556"/>
    <cellStyle name="Normal 5 3 4" xfId="2557"/>
    <cellStyle name="Normal 5 4" xfId="2558"/>
    <cellStyle name="Normal 5 4 2" xfId="2559"/>
    <cellStyle name="Normal 5 4 3" xfId="2560"/>
    <cellStyle name="Normal 5 5" xfId="2561"/>
    <cellStyle name="Normal 5 5 2" xfId="2562"/>
    <cellStyle name="Normal 5 5 3" xfId="2563"/>
    <cellStyle name="Normal 5 6" xfId="2564"/>
    <cellStyle name="Normal 55" xfId="2565"/>
    <cellStyle name="Normal 56" xfId="2566"/>
    <cellStyle name="Normal 6" xfId="2567"/>
    <cellStyle name="Normal 6 2" xfId="2568"/>
    <cellStyle name="Normal 6 2 2" xfId="2569"/>
    <cellStyle name="Normal 6 2 2 2" xfId="2570"/>
    <cellStyle name="Normal 6 2 2 2 2" xfId="2571"/>
    <cellStyle name="Normal 6 2 2 3" xfId="2572"/>
    <cellStyle name="Normal 6 2 2 4" xfId="2573"/>
    <cellStyle name="Normal 6 2 3" xfId="2574"/>
    <cellStyle name="Normal 6 3" xfId="2575"/>
    <cellStyle name="Normal 6 3 2" xfId="2576"/>
    <cellStyle name="Normal 6 3 3" xfId="2577"/>
    <cellStyle name="Normal 6 4" xfId="2578"/>
    <cellStyle name="Normal 6 4 2" xfId="2579"/>
    <cellStyle name="Normal 6 4 2 2" xfId="2580"/>
    <cellStyle name="Normal 6 4 3" xfId="2581"/>
    <cellStyle name="Normal 6 4 4" xfId="2582"/>
    <cellStyle name="Normal 6 5" xfId="2583"/>
    <cellStyle name="Normal 6_3" xfId="2584"/>
    <cellStyle name="Normal 7" xfId="2585"/>
    <cellStyle name="Normal 7 10" xfId="2586"/>
    <cellStyle name="Normal 7 11" xfId="2587"/>
    <cellStyle name="Normal 7 12" xfId="2588"/>
    <cellStyle name="Normal 7 2" xfId="2589"/>
    <cellStyle name="Normal 7 2 10" xfId="2590"/>
    <cellStyle name="Normal 7 2 2" xfId="2591"/>
    <cellStyle name="Normal 7 2 2 2" xfId="2592"/>
    <cellStyle name="Normal 7 2 2 2 2" xfId="2593"/>
    <cellStyle name="Normal 7 2 2 3" xfId="2594"/>
    <cellStyle name="Normal 7 2 2_1" xfId="2595"/>
    <cellStyle name="Normal 7 2 3" xfId="2596"/>
    <cellStyle name="Normal 7 2 3 2" xfId="2597"/>
    <cellStyle name="Normal 7 2 4" xfId="2598"/>
    <cellStyle name="Normal 7 2 4 2" xfId="2599"/>
    <cellStyle name="Normal 7 2 5" xfId="2600"/>
    <cellStyle name="Normal 7 2 6" xfId="2601"/>
    <cellStyle name="Normal 7 2 7" xfId="2602"/>
    <cellStyle name="Normal 7 2 8" xfId="2603"/>
    <cellStyle name="Normal 7 2 9" xfId="2604"/>
    <cellStyle name="Normal 7 2_1" xfId="2605"/>
    <cellStyle name="Normal 7 3" xfId="2606"/>
    <cellStyle name="Normal 7 3 10" xfId="2607"/>
    <cellStyle name="Normal 7 3 2" xfId="2608"/>
    <cellStyle name="Normal 7 3 2 2" xfId="2609"/>
    <cellStyle name="Normal 7 3 3" xfId="2610"/>
    <cellStyle name="Normal 7 3 3 2" xfId="2611"/>
    <cellStyle name="Normal 7 3 3 2 2" xfId="2612"/>
    <cellStyle name="Normal 7 3 3 3" xfId="2613"/>
    <cellStyle name="Normal 7 3 3_1" xfId="2614"/>
    <cellStyle name="Normal 7 3 4" xfId="2615"/>
    <cellStyle name="Normal 7 3 4 2" xfId="2616"/>
    <cellStyle name="Normal 7 3 5" xfId="2617"/>
    <cellStyle name="Normal 7 3 5 2" xfId="2618"/>
    <cellStyle name="Normal 7 3 6" xfId="2619"/>
    <cellStyle name="Normal 7 3 7" xfId="2620"/>
    <cellStyle name="Normal 7 3 8" xfId="2621"/>
    <cellStyle name="Normal 7 3 9" xfId="2622"/>
    <cellStyle name="Normal 7 3_1" xfId="2623"/>
    <cellStyle name="Normal 7 4" xfId="2624"/>
    <cellStyle name="Normal 7 4 2" xfId="2625"/>
    <cellStyle name="Normal 7 4 2 2" xfId="2626"/>
    <cellStyle name="Normal 7 4 3" xfId="2627"/>
    <cellStyle name="Normal 7 4 4" xfId="2628"/>
    <cellStyle name="Normal 7 5" xfId="2629"/>
    <cellStyle name="Normal 7 5 2" xfId="2630"/>
    <cellStyle name="Normal 7 6" xfId="2631"/>
    <cellStyle name="Normal 7 6 2" xfId="2632"/>
    <cellStyle name="Normal 7 7" xfId="2633"/>
    <cellStyle name="Normal 7 7 2" xfId="2634"/>
    <cellStyle name="Normal 7 8" xfId="2635"/>
    <cellStyle name="Normal 7 8 2" xfId="2636"/>
    <cellStyle name="Normal 7 8 3" xfId="2637"/>
    <cellStyle name="Normal 7 9" xfId="2638"/>
    <cellStyle name="Normal 7_1" xfId="2639"/>
    <cellStyle name="Normal 8" xfId="2640"/>
    <cellStyle name="Normal 8 2" xfId="2641"/>
    <cellStyle name="Normal 8 2 2" xfId="2642"/>
    <cellStyle name="Normal 8 2 3" xfId="2643"/>
    <cellStyle name="Normal 8 2 3 2" xfId="2644"/>
    <cellStyle name="Normal 8 2 4" xfId="2645"/>
    <cellStyle name="Normal 8 2 5" xfId="2646"/>
    <cellStyle name="Normal 8 3" xfId="2647"/>
    <cellStyle name="Normal 8 3 2" xfId="2648"/>
    <cellStyle name="Normal 8 3 2 2" xfId="2649"/>
    <cellStyle name="Normal 8 3 3" xfId="2650"/>
    <cellStyle name="Normal 8 3 4" xfId="2651"/>
    <cellStyle name="Normal 8 4" xfId="2652"/>
    <cellStyle name="Normal 8 4 2" xfId="2653"/>
    <cellStyle name="Normal 8 4 3" xfId="2654"/>
    <cellStyle name="Normal 8 5" xfId="2655"/>
    <cellStyle name="Normal 9" xfId="2656"/>
    <cellStyle name="Normal 9 2" xfId="2657"/>
    <cellStyle name="Normal 9 2 2" xfId="2658"/>
    <cellStyle name="Normal 9 2 3" xfId="2659"/>
    <cellStyle name="Normal 9 2 3 2" xfId="2660"/>
    <cellStyle name="Normal 9 2 4" xfId="2661"/>
    <cellStyle name="Normal 9 2 5" xfId="2662"/>
    <cellStyle name="Normal_Sheet2" xfId="2663"/>
    <cellStyle name="Normalny_Arkusz1" xfId="2664"/>
    <cellStyle name="Percent [2]" xfId="2665"/>
    <cellStyle name="Percent 2" xfId="2666"/>
    <cellStyle name="Percent 2 2" xfId="2667"/>
    <cellStyle name="Percent 2 2 2" xfId="2668"/>
    <cellStyle name="Percent 2 2 2 2" xfId="2669"/>
    <cellStyle name="Percent 2 2 3" xfId="2670"/>
    <cellStyle name="Percent 2 2 3 2" xfId="2671"/>
    <cellStyle name="Percent 2 2 4" xfId="2672"/>
    <cellStyle name="Percent 2 2 4 2" xfId="2673"/>
    <cellStyle name="Percent 2 2 4 3" xfId="2674"/>
    <cellStyle name="Percent 2 2 5" xfId="2675"/>
    <cellStyle name="Percent 2 2 6" xfId="2676"/>
    <cellStyle name="Percent 2 3" xfId="2677"/>
    <cellStyle name="Percent 2 3 2" xfId="2678"/>
    <cellStyle name="Percent 2 3 2 2" xfId="2679"/>
    <cellStyle name="Percent 2 3 2 2 2" xfId="2680"/>
    <cellStyle name="Percent 2 3 2 3" xfId="2681"/>
    <cellStyle name="Percent 2 3 3" xfId="2682"/>
    <cellStyle name="Percent 2 3 4" xfId="2683"/>
    <cellStyle name="Percent 2 3 5" xfId="2684"/>
    <cellStyle name="Percent 2 4" xfId="2685"/>
    <cellStyle name="Percent 2 4 2" xfId="2686"/>
    <cellStyle name="Percent 2 4 2 2" xfId="2687"/>
    <cellStyle name="Percent 2 4 3" xfId="2688"/>
    <cellStyle name="Percent 2 4 4" xfId="2689"/>
    <cellStyle name="Percent 2 5" xfId="2690"/>
    <cellStyle name="Percent 2 5 2" xfId="2691"/>
    <cellStyle name="Percent 2 6" xfId="2692"/>
    <cellStyle name="Percent 2 6 2" xfId="2693"/>
    <cellStyle name="Percent 2 7" xfId="2694"/>
    <cellStyle name="Percent 2 7 2" xfId="2695"/>
    <cellStyle name="Percent 2 8" xfId="2696"/>
    <cellStyle name="Percent 2 9" xfId="2697"/>
    <cellStyle name="Percent 2_3" xfId="2698"/>
    <cellStyle name="Percent 3" xfId="2699"/>
    <cellStyle name="Percent 3 2" xfId="2700"/>
    <cellStyle name="Percent 3 2 2" xfId="2701"/>
    <cellStyle name="Percent 3 2 2 2" xfId="2702"/>
    <cellStyle name="Percent 3 2 3" xfId="2703"/>
    <cellStyle name="Percent 3 2 4" xfId="2704"/>
    <cellStyle name="Percent 3 3" xfId="2705"/>
    <cellStyle name="Percent 3 3 2" xfId="2706"/>
    <cellStyle name="Percent 3 3 3" xfId="2707"/>
    <cellStyle name="Percent 3 4" xfId="2708"/>
    <cellStyle name="Percent 3 4 2" xfId="2709"/>
    <cellStyle name="Percent 3 5" xfId="2710"/>
    <cellStyle name="Percent 3 6" xfId="2711"/>
    <cellStyle name="Percent 4" xfId="2712"/>
    <cellStyle name="Percent 4 2" xfId="2713"/>
    <cellStyle name="Percent 4 2 2" xfId="2714"/>
    <cellStyle name="Percent 4 2 3" xfId="2715"/>
    <cellStyle name="Percent 4 3" xfId="2716"/>
    <cellStyle name="Percent 4 3 2" xfId="2717"/>
    <cellStyle name="Percent 4 3 3" xfId="2718"/>
    <cellStyle name="Percent 4 4" xfId="2719"/>
    <cellStyle name="Percent 4 5" xfId="2720"/>
    <cellStyle name="Percent 5" xfId="2721"/>
    <cellStyle name="Percent 5 2" xfId="2722"/>
    <cellStyle name="Percent 5 3" xfId="2723"/>
    <cellStyle name="Percent 5 3 2" xfId="2724"/>
    <cellStyle name="Percent 5 4" xfId="2725"/>
    <cellStyle name="Percent 5 5" xfId="2726"/>
    <cellStyle name="Percent 6" xfId="2727"/>
    <cellStyle name="Percent 6 2" xfId="2728"/>
    <cellStyle name="Percent 6 3" xfId="2729"/>
    <cellStyle name="Prefilled" xfId="2730"/>
    <cellStyle name="Prefilled 2" xfId="2731"/>
    <cellStyle name="Prefilled 2 2" xfId="2732"/>
    <cellStyle name="Prefilled 2 2 2" xfId="2733"/>
    <cellStyle name="Prefilled 2 2 2 2" xfId="2734"/>
    <cellStyle name="Prefilled 2 2 2 3" xfId="2735"/>
    <cellStyle name="Prefilled 2 2 3" xfId="2736"/>
    <cellStyle name="Prefilled 2 2 4" xfId="2737"/>
    <cellStyle name="Prefilled 2 2 5" xfId="2738"/>
    <cellStyle name="Prefilled 2 2 6" xfId="2739"/>
    <cellStyle name="Prefilled 2 3" xfId="2740"/>
    <cellStyle name="Prefilled 2 3 2" xfId="2741"/>
    <cellStyle name="Prefilled 2 3 3" xfId="2742"/>
    <cellStyle name="Prefilled 2 4" xfId="2743"/>
    <cellStyle name="Prefilled 2 4 2" xfId="2744"/>
    <cellStyle name="Prefilled 2 4 3" xfId="2745"/>
    <cellStyle name="Prefilled 2 5" xfId="2746"/>
    <cellStyle name="Prefilled 2 6" xfId="2747"/>
    <cellStyle name="Prefilled 3" xfId="2748"/>
    <cellStyle name="Prefilled 3 2" xfId="2749"/>
    <cellStyle name="Prefilled 3 2 2" xfId="2750"/>
    <cellStyle name="Prefilled 3 2 3" xfId="2751"/>
    <cellStyle name="Prefilled 3 3" xfId="2752"/>
    <cellStyle name="Prefilled 3 4" xfId="2753"/>
    <cellStyle name="Prefilled 3 5" xfId="2754"/>
    <cellStyle name="Prefilled 3 6" xfId="2755"/>
    <cellStyle name="Prefilled 4" xfId="2756"/>
    <cellStyle name="Prefilled 4 2" xfId="2757"/>
    <cellStyle name="Prefilled 4 3" xfId="2758"/>
    <cellStyle name="Prefilled 5" xfId="2759"/>
    <cellStyle name="Prefilled 5 2" xfId="2760"/>
    <cellStyle name="Prefilled 5 3" xfId="2761"/>
    <cellStyle name="price" xfId="2762"/>
    <cellStyle name="revised" xfId="2763"/>
    <cellStyle name="row_def_array" xfId="2764"/>
    <cellStyle name="SAPBEXaggData" xfId="2765"/>
    <cellStyle name="SAPBEXaggData 2" xfId="2766"/>
    <cellStyle name="SAPBEXaggData 2 2" xfId="2767"/>
    <cellStyle name="SAPBEXaggData 2 2 2" xfId="2768"/>
    <cellStyle name="SAPBEXaggData 2 2 2 2" xfId="2769"/>
    <cellStyle name="SAPBEXaggData 2 2 2 2 2" xfId="2770"/>
    <cellStyle name="SAPBEXaggData 2 2 2 2 3" xfId="2771"/>
    <cellStyle name="SAPBEXaggData 2 2 2 2 4" xfId="2772"/>
    <cellStyle name="SAPBEXaggData 2 2 2 3" xfId="2773"/>
    <cellStyle name="SAPBEXaggData 2 2 2 4" xfId="2774"/>
    <cellStyle name="SAPBEXaggData 2 2 2 5" xfId="2775"/>
    <cellStyle name="SAPBEXaggData 2 2 3" xfId="2776"/>
    <cellStyle name="SAPBEXaggData 2 2 3 2" xfId="2777"/>
    <cellStyle name="SAPBEXaggData 2 2 3 2 2" xfId="2778"/>
    <cellStyle name="SAPBEXaggData 2 2 3 2 3" xfId="2779"/>
    <cellStyle name="SAPBEXaggData 2 2 3 2 4" xfId="2780"/>
    <cellStyle name="SAPBEXaggData 2 2 3 3" xfId="2781"/>
    <cellStyle name="SAPBEXaggData 2 2 3 4" xfId="2782"/>
    <cellStyle name="SAPBEXaggData 2 2 3 5" xfId="2783"/>
    <cellStyle name="SAPBEXaggData 2 2 4" xfId="2784"/>
    <cellStyle name="SAPBEXaggData 2 2 4 2" xfId="2785"/>
    <cellStyle name="SAPBEXaggData 2 2 4 3" xfId="2786"/>
    <cellStyle name="SAPBEXaggData 2 2 4 4" xfId="2787"/>
    <cellStyle name="SAPBEXaggData 2 2 5" xfId="2788"/>
    <cellStyle name="SAPBEXaggData 2 2 6" xfId="2789"/>
    <cellStyle name="SAPBEXaggData 2 2 7" xfId="2790"/>
    <cellStyle name="SAPBEXaggData 2 2 8" xfId="2791"/>
    <cellStyle name="SAPBEXaggData 2 3" xfId="2792"/>
    <cellStyle name="SAPBEXaggData 2 3 2" xfId="2793"/>
    <cellStyle name="SAPBEXaggData 2 3 2 2" xfId="2794"/>
    <cellStyle name="SAPBEXaggData 2 3 2 3" xfId="2795"/>
    <cellStyle name="SAPBEXaggData 2 3 2 4" xfId="2796"/>
    <cellStyle name="SAPBEXaggData 2 3 3" xfId="2797"/>
    <cellStyle name="SAPBEXaggData 2 3 4" xfId="2798"/>
    <cellStyle name="SAPBEXaggData 2 3 5" xfId="2799"/>
    <cellStyle name="SAPBEXaggData 2 4" xfId="2800"/>
    <cellStyle name="SAPBEXaggData 2 4 2" xfId="2801"/>
    <cellStyle name="SAPBEXaggData 2 4 2 2" xfId="2802"/>
    <cellStyle name="SAPBEXaggData 2 4 2 3" xfId="2803"/>
    <cellStyle name="SAPBEXaggData 2 4 2 4" xfId="2804"/>
    <cellStyle name="SAPBEXaggData 2 4 3" xfId="2805"/>
    <cellStyle name="SAPBEXaggData 2 4 4" xfId="2806"/>
    <cellStyle name="SAPBEXaggData 2 4 5" xfId="2807"/>
    <cellStyle name="SAPBEXaggData 2 5" xfId="2808"/>
    <cellStyle name="SAPBEXaggData 2 5 2" xfId="2809"/>
    <cellStyle name="SAPBEXaggData 2 5 3" xfId="2810"/>
    <cellStyle name="SAPBEXaggData 2 5 4" xfId="2811"/>
    <cellStyle name="SAPBEXaggData 2 6" xfId="2812"/>
    <cellStyle name="SAPBEXaggData 2 7" xfId="2813"/>
    <cellStyle name="SAPBEXaggData 2 8" xfId="2814"/>
    <cellStyle name="SAPBEXaggData 3" xfId="2815"/>
    <cellStyle name="SAPBEXaggData 3 2" xfId="2816"/>
    <cellStyle name="SAPBEXaggData 3 2 2" xfId="2817"/>
    <cellStyle name="SAPBEXaggData 3 2 2 2" xfId="2818"/>
    <cellStyle name="SAPBEXaggData 3 2 2 3" xfId="2819"/>
    <cellStyle name="SAPBEXaggData 3 2 2 4" xfId="2820"/>
    <cellStyle name="SAPBEXaggData 3 2 3" xfId="2821"/>
    <cellStyle name="SAPBEXaggData 3 2 4" xfId="2822"/>
    <cellStyle name="SAPBEXaggData 3 2 5" xfId="2823"/>
    <cellStyle name="SAPBEXaggData 3 3" xfId="2824"/>
    <cellStyle name="SAPBEXaggData 3 3 2" xfId="2825"/>
    <cellStyle name="SAPBEXaggData 3 3 2 2" xfId="2826"/>
    <cellStyle name="SAPBEXaggData 3 3 2 3" xfId="2827"/>
    <cellStyle name="SAPBEXaggData 3 3 2 4" xfId="2828"/>
    <cellStyle name="SAPBEXaggData 3 3 3" xfId="2829"/>
    <cellStyle name="SAPBEXaggData 3 3 4" xfId="2830"/>
    <cellStyle name="SAPBEXaggData 3 3 5" xfId="2831"/>
    <cellStyle name="SAPBEXaggData 3 4" xfId="2832"/>
    <cellStyle name="SAPBEXaggData 3 4 2" xfId="2833"/>
    <cellStyle name="SAPBEXaggData 3 4 3" xfId="2834"/>
    <cellStyle name="SAPBEXaggData 3 4 4" xfId="2835"/>
    <cellStyle name="SAPBEXaggData 3 5" xfId="2836"/>
    <cellStyle name="SAPBEXaggData 3 6" xfId="2837"/>
    <cellStyle name="SAPBEXaggData 3 7" xfId="2838"/>
    <cellStyle name="SAPBEXaggData 3 8" xfId="2839"/>
    <cellStyle name="SAPBEXaggData 4" xfId="2840"/>
    <cellStyle name="SAPBEXaggData 4 2" xfId="2841"/>
    <cellStyle name="SAPBEXaggData 4 2 2" xfId="2842"/>
    <cellStyle name="SAPBEXaggData 4 2 3" xfId="2843"/>
    <cellStyle name="SAPBEXaggData 4 2 4" xfId="2844"/>
    <cellStyle name="SAPBEXaggData 4 3" xfId="2845"/>
    <cellStyle name="SAPBEXaggData 4 4" xfId="2846"/>
    <cellStyle name="SAPBEXaggData 4 5" xfId="2847"/>
    <cellStyle name="SAPBEXaggData 5" xfId="2848"/>
    <cellStyle name="SAPBEXaggData 5 2" xfId="2849"/>
    <cellStyle name="SAPBEXaggData 5 2 2" xfId="2850"/>
    <cellStyle name="SAPBEXaggData 5 2 3" xfId="2851"/>
    <cellStyle name="SAPBEXaggData 5 2 4" xfId="2852"/>
    <cellStyle name="SAPBEXaggData 5 3" xfId="2853"/>
    <cellStyle name="SAPBEXaggData 5 4" xfId="2854"/>
    <cellStyle name="SAPBEXaggData 5 5" xfId="2855"/>
    <cellStyle name="SAPBEXaggData 6" xfId="2856"/>
    <cellStyle name="SAPBEXaggData 6 2" xfId="2857"/>
    <cellStyle name="SAPBEXaggData 6 3" xfId="2858"/>
    <cellStyle name="SAPBEXaggData 6 4" xfId="2859"/>
    <cellStyle name="SAPBEXaggData 7" xfId="2860"/>
    <cellStyle name="SAPBEXaggData 8" xfId="2861"/>
    <cellStyle name="SAPBEXaggData 9" xfId="2862"/>
    <cellStyle name="SAPBEXaggDataEmph" xfId="2863"/>
    <cellStyle name="SAPBEXaggDataEmph 2" xfId="2864"/>
    <cellStyle name="SAPBEXaggDataEmph 2 2" xfId="2865"/>
    <cellStyle name="SAPBEXaggDataEmph 2 2 2" xfId="2866"/>
    <cellStyle name="SAPBEXaggDataEmph 2 2 2 2" xfId="2867"/>
    <cellStyle name="SAPBEXaggDataEmph 2 2 2 2 2" xfId="2868"/>
    <cellStyle name="SAPBEXaggDataEmph 2 2 2 2 3" xfId="2869"/>
    <cellStyle name="SAPBEXaggDataEmph 2 2 2 2 4" xfId="2870"/>
    <cellStyle name="SAPBEXaggDataEmph 2 2 2 3" xfId="2871"/>
    <cellStyle name="SAPBEXaggDataEmph 2 2 2 4" xfId="2872"/>
    <cellStyle name="SAPBEXaggDataEmph 2 2 2 5" xfId="2873"/>
    <cellStyle name="SAPBEXaggDataEmph 2 2 3" xfId="2874"/>
    <cellStyle name="SAPBEXaggDataEmph 2 2 3 2" xfId="2875"/>
    <cellStyle name="SAPBEXaggDataEmph 2 2 3 2 2" xfId="2876"/>
    <cellStyle name="SAPBEXaggDataEmph 2 2 3 2 3" xfId="2877"/>
    <cellStyle name="SAPBEXaggDataEmph 2 2 3 2 4" xfId="2878"/>
    <cellStyle name="SAPBEXaggDataEmph 2 2 3 3" xfId="2879"/>
    <cellStyle name="SAPBEXaggDataEmph 2 2 3 4" xfId="2880"/>
    <cellStyle name="SAPBEXaggDataEmph 2 2 3 5" xfId="2881"/>
    <cellStyle name="SAPBEXaggDataEmph 2 2 4" xfId="2882"/>
    <cellStyle name="SAPBEXaggDataEmph 2 2 4 2" xfId="2883"/>
    <cellStyle name="SAPBEXaggDataEmph 2 2 4 3" xfId="2884"/>
    <cellStyle name="SAPBEXaggDataEmph 2 2 4 4" xfId="2885"/>
    <cellStyle name="SAPBEXaggDataEmph 2 2 5" xfId="2886"/>
    <cellStyle name="SAPBEXaggDataEmph 2 2 6" xfId="2887"/>
    <cellStyle name="SAPBEXaggDataEmph 2 2 7" xfId="2888"/>
    <cellStyle name="SAPBEXaggDataEmph 2 2 8" xfId="2889"/>
    <cellStyle name="SAPBEXaggDataEmph 2 3" xfId="2890"/>
    <cellStyle name="SAPBEXaggDataEmph 2 3 2" xfId="2891"/>
    <cellStyle name="SAPBEXaggDataEmph 2 3 2 2" xfId="2892"/>
    <cellStyle name="SAPBEXaggDataEmph 2 3 2 3" xfId="2893"/>
    <cellStyle name="SAPBEXaggDataEmph 2 3 2 4" xfId="2894"/>
    <cellStyle name="SAPBEXaggDataEmph 2 3 3" xfId="2895"/>
    <cellStyle name="SAPBEXaggDataEmph 2 3 4" xfId="2896"/>
    <cellStyle name="SAPBEXaggDataEmph 2 3 5" xfId="2897"/>
    <cellStyle name="SAPBEXaggDataEmph 2 4" xfId="2898"/>
    <cellStyle name="SAPBEXaggDataEmph 2 4 2" xfId="2899"/>
    <cellStyle name="SAPBEXaggDataEmph 2 4 2 2" xfId="2900"/>
    <cellStyle name="SAPBEXaggDataEmph 2 4 2 3" xfId="2901"/>
    <cellStyle name="SAPBEXaggDataEmph 2 4 2 4" xfId="2902"/>
    <cellStyle name="SAPBEXaggDataEmph 2 4 3" xfId="2903"/>
    <cellStyle name="SAPBEXaggDataEmph 2 4 4" xfId="2904"/>
    <cellStyle name="SAPBEXaggDataEmph 2 4 5" xfId="2905"/>
    <cellStyle name="SAPBEXaggDataEmph 2 5" xfId="2906"/>
    <cellStyle name="SAPBEXaggDataEmph 2 5 2" xfId="2907"/>
    <cellStyle name="SAPBEXaggDataEmph 2 5 3" xfId="2908"/>
    <cellStyle name="SAPBEXaggDataEmph 2 5 4" xfId="2909"/>
    <cellStyle name="SAPBEXaggDataEmph 2 6" xfId="2910"/>
    <cellStyle name="SAPBEXaggDataEmph 2 7" xfId="2911"/>
    <cellStyle name="SAPBEXaggDataEmph 2 8" xfId="2912"/>
    <cellStyle name="SAPBEXaggDataEmph 3" xfId="2913"/>
    <cellStyle name="SAPBEXaggDataEmph 3 2" xfId="2914"/>
    <cellStyle name="SAPBEXaggDataEmph 3 2 2" xfId="2915"/>
    <cellStyle name="SAPBEXaggDataEmph 3 2 2 2" xfId="2916"/>
    <cellStyle name="SAPBEXaggDataEmph 3 2 2 3" xfId="2917"/>
    <cellStyle name="SAPBEXaggDataEmph 3 2 2 4" xfId="2918"/>
    <cellStyle name="SAPBEXaggDataEmph 3 2 3" xfId="2919"/>
    <cellStyle name="SAPBEXaggDataEmph 3 2 4" xfId="2920"/>
    <cellStyle name="SAPBEXaggDataEmph 3 2 5" xfId="2921"/>
    <cellStyle name="SAPBEXaggDataEmph 3 3" xfId="2922"/>
    <cellStyle name="SAPBEXaggDataEmph 3 3 2" xfId="2923"/>
    <cellStyle name="SAPBEXaggDataEmph 3 3 2 2" xfId="2924"/>
    <cellStyle name="SAPBEXaggDataEmph 3 3 2 3" xfId="2925"/>
    <cellStyle name="SAPBEXaggDataEmph 3 3 2 4" xfId="2926"/>
    <cellStyle name="SAPBEXaggDataEmph 3 3 3" xfId="2927"/>
    <cellStyle name="SAPBEXaggDataEmph 3 3 4" xfId="2928"/>
    <cellStyle name="SAPBEXaggDataEmph 3 3 5" xfId="2929"/>
    <cellStyle name="SAPBEXaggDataEmph 3 4" xfId="2930"/>
    <cellStyle name="SAPBEXaggDataEmph 3 4 2" xfId="2931"/>
    <cellStyle name="SAPBEXaggDataEmph 3 4 3" xfId="2932"/>
    <cellStyle name="SAPBEXaggDataEmph 3 4 4" xfId="2933"/>
    <cellStyle name="SAPBEXaggDataEmph 3 5" xfId="2934"/>
    <cellStyle name="SAPBEXaggDataEmph 3 6" xfId="2935"/>
    <cellStyle name="SAPBEXaggDataEmph 3 7" xfId="2936"/>
    <cellStyle name="SAPBEXaggDataEmph 3 8" xfId="2937"/>
    <cellStyle name="SAPBEXaggDataEmph 4" xfId="2938"/>
    <cellStyle name="SAPBEXaggDataEmph 4 2" xfId="2939"/>
    <cellStyle name="SAPBEXaggDataEmph 4 2 2" xfId="2940"/>
    <cellStyle name="SAPBEXaggDataEmph 4 2 3" xfId="2941"/>
    <cellStyle name="SAPBEXaggDataEmph 4 2 4" xfId="2942"/>
    <cellStyle name="SAPBEXaggDataEmph 4 3" xfId="2943"/>
    <cellStyle name="SAPBEXaggDataEmph 4 4" xfId="2944"/>
    <cellStyle name="SAPBEXaggDataEmph 4 5" xfId="2945"/>
    <cellStyle name="SAPBEXaggDataEmph 5" xfId="2946"/>
    <cellStyle name="SAPBEXaggDataEmph 5 2" xfId="2947"/>
    <cellStyle name="SAPBEXaggDataEmph 5 2 2" xfId="2948"/>
    <cellStyle name="SAPBEXaggDataEmph 5 2 3" xfId="2949"/>
    <cellStyle name="SAPBEXaggDataEmph 5 2 4" xfId="2950"/>
    <cellStyle name="SAPBEXaggDataEmph 5 3" xfId="2951"/>
    <cellStyle name="SAPBEXaggDataEmph 5 4" xfId="2952"/>
    <cellStyle name="SAPBEXaggDataEmph 5 5" xfId="2953"/>
    <cellStyle name="SAPBEXaggDataEmph 6" xfId="2954"/>
    <cellStyle name="SAPBEXaggDataEmph 6 2" xfId="2955"/>
    <cellStyle name="SAPBEXaggDataEmph 6 3" xfId="2956"/>
    <cellStyle name="SAPBEXaggDataEmph 6 4" xfId="2957"/>
    <cellStyle name="SAPBEXaggDataEmph 7" xfId="2958"/>
    <cellStyle name="SAPBEXaggDataEmph 8" xfId="2959"/>
    <cellStyle name="SAPBEXaggDataEmph 9" xfId="2960"/>
    <cellStyle name="SAPBEXaggItem" xfId="2961"/>
    <cellStyle name="SAPBEXaggItem 2" xfId="2962"/>
    <cellStyle name="SAPBEXaggItem 2 2" xfId="2963"/>
    <cellStyle name="SAPBEXaggItem 2 2 2" xfId="2964"/>
    <cellStyle name="SAPBEXaggItem 2 2 2 2" xfId="2965"/>
    <cellStyle name="SAPBEXaggItem 2 2 2 2 2" xfId="2966"/>
    <cellStyle name="SAPBEXaggItem 2 2 2 2 3" xfId="2967"/>
    <cellStyle name="SAPBEXaggItem 2 2 2 2 4" xfId="2968"/>
    <cellStyle name="SAPBEXaggItem 2 2 2 3" xfId="2969"/>
    <cellStyle name="SAPBEXaggItem 2 2 2 4" xfId="2970"/>
    <cellStyle name="SAPBEXaggItem 2 2 2 5" xfId="2971"/>
    <cellStyle name="SAPBEXaggItem 2 2 3" xfId="2972"/>
    <cellStyle name="SAPBEXaggItem 2 2 3 2" xfId="2973"/>
    <cellStyle name="SAPBEXaggItem 2 2 3 2 2" xfId="2974"/>
    <cellStyle name="SAPBEXaggItem 2 2 3 2 3" xfId="2975"/>
    <cellStyle name="SAPBEXaggItem 2 2 3 2 4" xfId="2976"/>
    <cellStyle name="SAPBEXaggItem 2 2 3 3" xfId="2977"/>
    <cellStyle name="SAPBEXaggItem 2 2 3 4" xfId="2978"/>
    <cellStyle name="SAPBEXaggItem 2 2 3 5" xfId="2979"/>
    <cellStyle name="SAPBEXaggItem 2 2 4" xfId="2980"/>
    <cellStyle name="SAPBEXaggItem 2 2 4 2" xfId="2981"/>
    <cellStyle name="SAPBEXaggItem 2 2 4 3" xfId="2982"/>
    <cellStyle name="SAPBEXaggItem 2 2 4 4" xfId="2983"/>
    <cellStyle name="SAPBEXaggItem 2 2 5" xfId="2984"/>
    <cellStyle name="SAPBEXaggItem 2 2 6" xfId="2985"/>
    <cellStyle name="SAPBEXaggItem 2 2 7" xfId="2986"/>
    <cellStyle name="SAPBEXaggItem 2 2 8" xfId="2987"/>
    <cellStyle name="SAPBEXaggItem 2 3" xfId="2988"/>
    <cellStyle name="SAPBEXaggItem 2 3 2" xfId="2989"/>
    <cellStyle name="SAPBEXaggItem 2 3 2 2" xfId="2990"/>
    <cellStyle name="SAPBEXaggItem 2 3 2 3" xfId="2991"/>
    <cellStyle name="SAPBEXaggItem 2 3 2 4" xfId="2992"/>
    <cellStyle name="SAPBEXaggItem 2 3 3" xfId="2993"/>
    <cellStyle name="SAPBEXaggItem 2 3 4" xfId="2994"/>
    <cellStyle name="SAPBEXaggItem 2 3 5" xfId="2995"/>
    <cellStyle name="SAPBEXaggItem 2 4" xfId="2996"/>
    <cellStyle name="SAPBEXaggItem 2 4 2" xfId="2997"/>
    <cellStyle name="SAPBEXaggItem 2 4 2 2" xfId="2998"/>
    <cellStyle name="SAPBEXaggItem 2 4 2 3" xfId="2999"/>
    <cellStyle name="SAPBEXaggItem 2 4 2 4" xfId="3000"/>
    <cellStyle name="SAPBEXaggItem 2 4 3" xfId="3001"/>
    <cellStyle name="SAPBEXaggItem 2 4 4" xfId="3002"/>
    <cellStyle name="SAPBEXaggItem 2 4 5" xfId="3003"/>
    <cellStyle name="SAPBEXaggItem 2 5" xfId="3004"/>
    <cellStyle name="SAPBEXaggItem 2 5 2" xfId="3005"/>
    <cellStyle name="SAPBEXaggItem 2 5 3" xfId="3006"/>
    <cellStyle name="SAPBEXaggItem 2 5 4" xfId="3007"/>
    <cellStyle name="SAPBEXaggItem 2 6" xfId="3008"/>
    <cellStyle name="SAPBEXaggItem 2 7" xfId="3009"/>
    <cellStyle name="SAPBEXaggItem 2 8" xfId="3010"/>
    <cellStyle name="SAPBEXaggItem 3" xfId="3011"/>
    <cellStyle name="SAPBEXaggItem 3 2" xfId="3012"/>
    <cellStyle name="SAPBEXaggItem 3 2 2" xfId="3013"/>
    <cellStyle name="SAPBEXaggItem 3 2 2 2" xfId="3014"/>
    <cellStyle name="SAPBEXaggItem 3 2 2 3" xfId="3015"/>
    <cellStyle name="SAPBEXaggItem 3 2 2 4" xfId="3016"/>
    <cellStyle name="SAPBEXaggItem 3 2 3" xfId="3017"/>
    <cellStyle name="SAPBEXaggItem 3 2 4" xfId="3018"/>
    <cellStyle name="SAPBEXaggItem 3 2 5" xfId="3019"/>
    <cellStyle name="SAPBEXaggItem 3 3" xfId="3020"/>
    <cellStyle name="SAPBEXaggItem 3 3 2" xfId="3021"/>
    <cellStyle name="SAPBEXaggItem 3 3 2 2" xfId="3022"/>
    <cellStyle name="SAPBEXaggItem 3 3 2 3" xfId="3023"/>
    <cellStyle name="SAPBEXaggItem 3 3 2 4" xfId="3024"/>
    <cellStyle name="SAPBEXaggItem 3 3 3" xfId="3025"/>
    <cellStyle name="SAPBEXaggItem 3 3 4" xfId="3026"/>
    <cellStyle name="SAPBEXaggItem 3 3 5" xfId="3027"/>
    <cellStyle name="SAPBEXaggItem 3 4" xfId="3028"/>
    <cellStyle name="SAPBEXaggItem 3 4 2" xfId="3029"/>
    <cellStyle name="SAPBEXaggItem 3 4 3" xfId="3030"/>
    <cellStyle name="SAPBEXaggItem 3 4 4" xfId="3031"/>
    <cellStyle name="SAPBEXaggItem 3 5" xfId="3032"/>
    <cellStyle name="SAPBEXaggItem 3 6" xfId="3033"/>
    <cellStyle name="SAPBEXaggItem 3 7" xfId="3034"/>
    <cellStyle name="SAPBEXaggItem 3 8" xfId="3035"/>
    <cellStyle name="SAPBEXaggItem 4" xfId="3036"/>
    <cellStyle name="SAPBEXaggItem 4 2" xfId="3037"/>
    <cellStyle name="SAPBEXaggItem 4 2 2" xfId="3038"/>
    <cellStyle name="SAPBEXaggItem 4 2 3" xfId="3039"/>
    <cellStyle name="SAPBEXaggItem 4 2 4" xfId="3040"/>
    <cellStyle name="SAPBEXaggItem 4 3" xfId="3041"/>
    <cellStyle name="SAPBEXaggItem 4 4" xfId="3042"/>
    <cellStyle name="SAPBEXaggItem 4 5" xfId="3043"/>
    <cellStyle name="SAPBEXaggItem 5" xfId="3044"/>
    <cellStyle name="SAPBEXaggItem 5 2" xfId="3045"/>
    <cellStyle name="SAPBEXaggItem 5 2 2" xfId="3046"/>
    <cellStyle name="SAPBEXaggItem 5 2 3" xfId="3047"/>
    <cellStyle name="SAPBEXaggItem 5 2 4" xfId="3048"/>
    <cellStyle name="SAPBEXaggItem 5 3" xfId="3049"/>
    <cellStyle name="SAPBEXaggItem 5 4" xfId="3050"/>
    <cellStyle name="SAPBEXaggItem 5 5" xfId="3051"/>
    <cellStyle name="SAPBEXaggItem 6" xfId="3052"/>
    <cellStyle name="SAPBEXaggItem 6 2" xfId="3053"/>
    <cellStyle name="SAPBEXaggItem 6 3" xfId="3054"/>
    <cellStyle name="SAPBEXaggItem 6 4" xfId="3055"/>
    <cellStyle name="SAPBEXaggItem 7" xfId="3056"/>
    <cellStyle name="SAPBEXaggItem 8" xfId="3057"/>
    <cellStyle name="SAPBEXaggItem 9" xfId="3058"/>
    <cellStyle name="SAPBEXaggItemX" xfId="3059"/>
    <cellStyle name="SAPBEXaggItemX 2" xfId="3060"/>
    <cellStyle name="SAPBEXaggItemX 2 2" xfId="3061"/>
    <cellStyle name="SAPBEXaggItemX 2 2 2" xfId="3062"/>
    <cellStyle name="SAPBEXaggItemX 2 2 2 2" xfId="3063"/>
    <cellStyle name="SAPBEXaggItemX 2 2 2 2 2" xfId="3064"/>
    <cellStyle name="SAPBEXaggItemX 2 2 2 2 3" xfId="3065"/>
    <cellStyle name="SAPBEXaggItemX 2 2 2 2 4" xfId="3066"/>
    <cellStyle name="SAPBEXaggItemX 2 2 2 3" xfId="3067"/>
    <cellStyle name="SAPBEXaggItemX 2 2 2 4" xfId="3068"/>
    <cellStyle name="SAPBEXaggItemX 2 2 2 5" xfId="3069"/>
    <cellStyle name="SAPBEXaggItemX 2 2 3" xfId="3070"/>
    <cellStyle name="SAPBEXaggItemX 2 2 3 2" xfId="3071"/>
    <cellStyle name="SAPBEXaggItemX 2 2 3 2 2" xfId="3072"/>
    <cellStyle name="SAPBEXaggItemX 2 2 3 2 3" xfId="3073"/>
    <cellStyle name="SAPBEXaggItemX 2 2 3 2 4" xfId="3074"/>
    <cellStyle name="SAPBEXaggItemX 2 2 3 3" xfId="3075"/>
    <cellStyle name="SAPBEXaggItemX 2 2 3 4" xfId="3076"/>
    <cellStyle name="SAPBEXaggItemX 2 2 3 5" xfId="3077"/>
    <cellStyle name="SAPBEXaggItemX 2 2 4" xfId="3078"/>
    <cellStyle name="SAPBEXaggItemX 2 2 4 2" xfId="3079"/>
    <cellStyle name="SAPBEXaggItemX 2 2 4 3" xfId="3080"/>
    <cellStyle name="SAPBEXaggItemX 2 2 4 4" xfId="3081"/>
    <cellStyle name="SAPBEXaggItemX 2 2 5" xfId="3082"/>
    <cellStyle name="SAPBEXaggItemX 2 2 6" xfId="3083"/>
    <cellStyle name="SAPBEXaggItemX 2 2 7" xfId="3084"/>
    <cellStyle name="SAPBEXaggItemX 2 2 8" xfId="3085"/>
    <cellStyle name="SAPBEXaggItemX 2 3" xfId="3086"/>
    <cellStyle name="SAPBEXaggItemX 2 3 2" xfId="3087"/>
    <cellStyle name="SAPBEXaggItemX 2 3 2 2" xfId="3088"/>
    <cellStyle name="SAPBEXaggItemX 2 3 2 3" xfId="3089"/>
    <cellStyle name="SAPBEXaggItemX 2 3 2 4" xfId="3090"/>
    <cellStyle name="SAPBEXaggItemX 2 3 3" xfId="3091"/>
    <cellStyle name="SAPBEXaggItemX 2 3 4" xfId="3092"/>
    <cellStyle name="SAPBEXaggItemX 2 3 5" xfId="3093"/>
    <cellStyle name="SAPBEXaggItemX 2 4" xfId="3094"/>
    <cellStyle name="SAPBEXaggItemX 2 4 2" xfId="3095"/>
    <cellStyle name="SAPBEXaggItemX 2 4 2 2" xfId="3096"/>
    <cellStyle name="SAPBEXaggItemX 2 4 2 3" xfId="3097"/>
    <cellStyle name="SAPBEXaggItemX 2 4 2 4" xfId="3098"/>
    <cellStyle name="SAPBEXaggItemX 2 4 3" xfId="3099"/>
    <cellStyle name="SAPBEXaggItemX 2 4 4" xfId="3100"/>
    <cellStyle name="SAPBEXaggItemX 2 4 5" xfId="3101"/>
    <cellStyle name="SAPBEXaggItemX 2 5" xfId="3102"/>
    <cellStyle name="SAPBEXaggItemX 2 5 2" xfId="3103"/>
    <cellStyle name="SAPBEXaggItemX 2 5 3" xfId="3104"/>
    <cellStyle name="SAPBEXaggItemX 2 5 4" xfId="3105"/>
    <cellStyle name="SAPBEXaggItemX 2 6" xfId="3106"/>
    <cellStyle name="SAPBEXaggItemX 2 7" xfId="3107"/>
    <cellStyle name="SAPBEXaggItemX 2 8" xfId="3108"/>
    <cellStyle name="SAPBEXaggItemX 3" xfId="3109"/>
    <cellStyle name="SAPBEXaggItemX 3 2" xfId="3110"/>
    <cellStyle name="SAPBEXaggItemX 3 2 2" xfId="3111"/>
    <cellStyle name="SAPBEXaggItemX 3 2 2 2" xfId="3112"/>
    <cellStyle name="SAPBEXaggItemX 3 2 2 3" xfId="3113"/>
    <cellStyle name="SAPBEXaggItemX 3 2 2 4" xfId="3114"/>
    <cellStyle name="SAPBEXaggItemX 3 2 3" xfId="3115"/>
    <cellStyle name="SAPBEXaggItemX 3 2 4" xfId="3116"/>
    <cellStyle name="SAPBEXaggItemX 3 2 5" xfId="3117"/>
    <cellStyle name="SAPBEXaggItemX 3 3" xfId="3118"/>
    <cellStyle name="SAPBEXaggItemX 3 3 2" xfId="3119"/>
    <cellStyle name="SAPBEXaggItemX 3 3 2 2" xfId="3120"/>
    <cellStyle name="SAPBEXaggItemX 3 3 2 3" xfId="3121"/>
    <cellStyle name="SAPBEXaggItemX 3 3 2 4" xfId="3122"/>
    <cellStyle name="SAPBEXaggItemX 3 3 3" xfId="3123"/>
    <cellStyle name="SAPBEXaggItemX 3 3 4" xfId="3124"/>
    <cellStyle name="SAPBEXaggItemX 3 3 5" xfId="3125"/>
    <cellStyle name="SAPBEXaggItemX 3 4" xfId="3126"/>
    <cellStyle name="SAPBEXaggItemX 3 4 2" xfId="3127"/>
    <cellStyle name="SAPBEXaggItemX 3 4 3" xfId="3128"/>
    <cellStyle name="SAPBEXaggItemX 3 4 4" xfId="3129"/>
    <cellStyle name="SAPBEXaggItemX 3 5" xfId="3130"/>
    <cellStyle name="SAPBEXaggItemX 3 6" xfId="3131"/>
    <cellStyle name="SAPBEXaggItemX 3 7" xfId="3132"/>
    <cellStyle name="SAPBEXaggItemX 3 8" xfId="3133"/>
    <cellStyle name="SAPBEXaggItemX 4" xfId="3134"/>
    <cellStyle name="SAPBEXaggItemX 4 2" xfId="3135"/>
    <cellStyle name="SAPBEXaggItemX 4 2 2" xfId="3136"/>
    <cellStyle name="SAPBEXaggItemX 4 2 3" xfId="3137"/>
    <cellStyle name="SAPBEXaggItemX 4 2 4" xfId="3138"/>
    <cellStyle name="SAPBEXaggItemX 4 3" xfId="3139"/>
    <cellStyle name="SAPBEXaggItemX 4 4" xfId="3140"/>
    <cellStyle name="SAPBEXaggItemX 4 5" xfId="3141"/>
    <cellStyle name="SAPBEXaggItemX 5" xfId="3142"/>
    <cellStyle name="SAPBEXaggItemX 5 2" xfId="3143"/>
    <cellStyle name="SAPBEXaggItemX 5 2 2" xfId="3144"/>
    <cellStyle name="SAPBEXaggItemX 5 2 3" xfId="3145"/>
    <cellStyle name="SAPBEXaggItemX 5 2 4" xfId="3146"/>
    <cellStyle name="SAPBEXaggItemX 5 3" xfId="3147"/>
    <cellStyle name="SAPBEXaggItemX 5 4" xfId="3148"/>
    <cellStyle name="SAPBEXaggItemX 5 5" xfId="3149"/>
    <cellStyle name="SAPBEXaggItemX 6" xfId="3150"/>
    <cellStyle name="SAPBEXaggItemX 6 2" xfId="3151"/>
    <cellStyle name="SAPBEXaggItemX 6 3" xfId="3152"/>
    <cellStyle name="SAPBEXaggItemX 6 4" xfId="3153"/>
    <cellStyle name="SAPBEXaggItemX 7" xfId="3154"/>
    <cellStyle name="SAPBEXaggItemX 8" xfId="3155"/>
    <cellStyle name="SAPBEXaggItemX 9" xfId="3156"/>
    <cellStyle name="SAPBEXchaText" xfId="3157"/>
    <cellStyle name="SAPBEXexcBad7" xfId="3158"/>
    <cellStyle name="SAPBEXexcBad7 2" xfId="3159"/>
    <cellStyle name="SAPBEXexcBad7 2 2" xfId="3160"/>
    <cellStyle name="SAPBEXexcBad7 2 2 2" xfId="3161"/>
    <cellStyle name="SAPBEXexcBad7 2 2 2 2" xfId="3162"/>
    <cellStyle name="SAPBEXexcBad7 2 2 2 2 2" xfId="3163"/>
    <cellStyle name="SAPBEXexcBad7 2 2 2 2 3" xfId="3164"/>
    <cellStyle name="SAPBEXexcBad7 2 2 2 2 4" xfId="3165"/>
    <cellStyle name="SAPBEXexcBad7 2 2 2 3" xfId="3166"/>
    <cellStyle name="SAPBEXexcBad7 2 2 2 4" xfId="3167"/>
    <cellStyle name="SAPBEXexcBad7 2 2 2 5" xfId="3168"/>
    <cellStyle name="SAPBEXexcBad7 2 2 3" xfId="3169"/>
    <cellStyle name="SAPBEXexcBad7 2 2 3 2" xfId="3170"/>
    <cellStyle name="SAPBEXexcBad7 2 2 3 2 2" xfId="3171"/>
    <cellStyle name="SAPBEXexcBad7 2 2 3 2 3" xfId="3172"/>
    <cellStyle name="SAPBEXexcBad7 2 2 3 2 4" xfId="3173"/>
    <cellStyle name="SAPBEXexcBad7 2 2 3 3" xfId="3174"/>
    <cellStyle name="SAPBEXexcBad7 2 2 3 4" xfId="3175"/>
    <cellStyle name="SAPBEXexcBad7 2 2 3 5" xfId="3176"/>
    <cellStyle name="SAPBEXexcBad7 2 2 4" xfId="3177"/>
    <cellStyle name="SAPBEXexcBad7 2 2 4 2" xfId="3178"/>
    <cellStyle name="SAPBEXexcBad7 2 2 4 3" xfId="3179"/>
    <cellStyle name="SAPBEXexcBad7 2 2 4 4" xfId="3180"/>
    <cellStyle name="SAPBEXexcBad7 2 2 5" xfId="3181"/>
    <cellStyle name="SAPBEXexcBad7 2 2 6" xfId="3182"/>
    <cellStyle name="SAPBEXexcBad7 2 2 7" xfId="3183"/>
    <cellStyle name="SAPBEXexcBad7 2 2 8" xfId="3184"/>
    <cellStyle name="SAPBEXexcBad7 2 3" xfId="3185"/>
    <cellStyle name="SAPBEXexcBad7 2 3 2" xfId="3186"/>
    <cellStyle name="SAPBEXexcBad7 2 3 2 2" xfId="3187"/>
    <cellStyle name="SAPBEXexcBad7 2 3 2 3" xfId="3188"/>
    <cellStyle name="SAPBEXexcBad7 2 3 2 4" xfId="3189"/>
    <cellStyle name="SAPBEXexcBad7 2 3 3" xfId="3190"/>
    <cellStyle name="SAPBEXexcBad7 2 3 4" xfId="3191"/>
    <cellStyle name="SAPBEXexcBad7 2 3 5" xfId="3192"/>
    <cellStyle name="SAPBEXexcBad7 2 4" xfId="3193"/>
    <cellStyle name="SAPBEXexcBad7 2 4 2" xfId="3194"/>
    <cellStyle name="SAPBEXexcBad7 2 4 2 2" xfId="3195"/>
    <cellStyle name="SAPBEXexcBad7 2 4 2 3" xfId="3196"/>
    <cellStyle name="SAPBEXexcBad7 2 4 2 4" xfId="3197"/>
    <cellStyle name="SAPBEXexcBad7 2 4 3" xfId="3198"/>
    <cellStyle name="SAPBEXexcBad7 2 4 4" xfId="3199"/>
    <cellStyle name="SAPBEXexcBad7 2 4 5" xfId="3200"/>
    <cellStyle name="SAPBEXexcBad7 2 5" xfId="3201"/>
    <cellStyle name="SAPBEXexcBad7 2 5 2" xfId="3202"/>
    <cellStyle name="SAPBEXexcBad7 2 5 3" xfId="3203"/>
    <cellStyle name="SAPBEXexcBad7 2 5 4" xfId="3204"/>
    <cellStyle name="SAPBEXexcBad7 2 6" xfId="3205"/>
    <cellStyle name="SAPBEXexcBad7 2 7" xfId="3206"/>
    <cellStyle name="SAPBEXexcBad7 2 8" xfId="3207"/>
    <cellStyle name="SAPBEXexcBad7 3" xfId="3208"/>
    <cellStyle name="SAPBEXexcBad7 3 2" xfId="3209"/>
    <cellStyle name="SAPBEXexcBad7 3 2 2" xfId="3210"/>
    <cellStyle name="SAPBEXexcBad7 3 2 2 2" xfId="3211"/>
    <cellStyle name="SAPBEXexcBad7 3 2 2 3" xfId="3212"/>
    <cellStyle name="SAPBEXexcBad7 3 2 2 4" xfId="3213"/>
    <cellStyle name="SAPBEXexcBad7 3 2 3" xfId="3214"/>
    <cellStyle name="SAPBEXexcBad7 3 2 4" xfId="3215"/>
    <cellStyle name="SAPBEXexcBad7 3 2 5" xfId="3216"/>
    <cellStyle name="SAPBEXexcBad7 3 3" xfId="3217"/>
    <cellStyle name="SAPBEXexcBad7 3 3 2" xfId="3218"/>
    <cellStyle name="SAPBEXexcBad7 3 3 2 2" xfId="3219"/>
    <cellStyle name="SAPBEXexcBad7 3 3 2 3" xfId="3220"/>
    <cellStyle name="SAPBEXexcBad7 3 3 2 4" xfId="3221"/>
    <cellStyle name="SAPBEXexcBad7 3 3 3" xfId="3222"/>
    <cellStyle name="SAPBEXexcBad7 3 3 4" xfId="3223"/>
    <cellStyle name="SAPBEXexcBad7 3 3 5" xfId="3224"/>
    <cellStyle name="SAPBEXexcBad7 3 4" xfId="3225"/>
    <cellStyle name="SAPBEXexcBad7 3 4 2" xfId="3226"/>
    <cellStyle name="SAPBEXexcBad7 3 4 3" xfId="3227"/>
    <cellStyle name="SAPBEXexcBad7 3 4 4" xfId="3228"/>
    <cellStyle name="SAPBEXexcBad7 3 5" xfId="3229"/>
    <cellStyle name="SAPBEXexcBad7 3 6" xfId="3230"/>
    <cellStyle name="SAPBEXexcBad7 3 7" xfId="3231"/>
    <cellStyle name="SAPBEXexcBad7 3 8" xfId="3232"/>
    <cellStyle name="SAPBEXexcBad7 4" xfId="3233"/>
    <cellStyle name="SAPBEXexcBad7 4 2" xfId="3234"/>
    <cellStyle name="SAPBEXexcBad7 4 2 2" xfId="3235"/>
    <cellStyle name="SAPBEXexcBad7 4 2 3" xfId="3236"/>
    <cellStyle name="SAPBEXexcBad7 4 2 4" xfId="3237"/>
    <cellStyle name="SAPBEXexcBad7 4 3" xfId="3238"/>
    <cellStyle name="SAPBEXexcBad7 4 4" xfId="3239"/>
    <cellStyle name="SAPBEXexcBad7 4 5" xfId="3240"/>
    <cellStyle name="SAPBEXexcBad7 5" xfId="3241"/>
    <cellStyle name="SAPBEXexcBad7 5 2" xfId="3242"/>
    <cellStyle name="SAPBEXexcBad7 5 2 2" xfId="3243"/>
    <cellStyle name="SAPBEXexcBad7 5 2 3" xfId="3244"/>
    <cellStyle name="SAPBEXexcBad7 5 2 4" xfId="3245"/>
    <cellStyle name="SAPBEXexcBad7 5 3" xfId="3246"/>
    <cellStyle name="SAPBEXexcBad7 5 4" xfId="3247"/>
    <cellStyle name="SAPBEXexcBad7 5 5" xfId="3248"/>
    <cellStyle name="SAPBEXexcBad7 6" xfId="3249"/>
    <cellStyle name="SAPBEXexcBad7 6 2" xfId="3250"/>
    <cellStyle name="SAPBEXexcBad7 6 3" xfId="3251"/>
    <cellStyle name="SAPBEXexcBad7 6 4" xfId="3252"/>
    <cellStyle name="SAPBEXexcBad7 7" xfId="3253"/>
    <cellStyle name="SAPBEXexcBad7 8" xfId="3254"/>
    <cellStyle name="SAPBEXexcBad7 9" xfId="3255"/>
    <cellStyle name="SAPBEXexcBad8" xfId="3256"/>
    <cellStyle name="SAPBEXexcBad8 2" xfId="3257"/>
    <cellStyle name="SAPBEXexcBad8 2 2" xfId="3258"/>
    <cellStyle name="SAPBEXexcBad8 2 2 2" xfId="3259"/>
    <cellStyle name="SAPBEXexcBad8 2 2 2 2" xfId="3260"/>
    <cellStyle name="SAPBEXexcBad8 2 2 2 2 2" xfId="3261"/>
    <cellStyle name="SAPBEXexcBad8 2 2 2 2 3" xfId="3262"/>
    <cellStyle name="SAPBEXexcBad8 2 2 2 2 4" xfId="3263"/>
    <cellStyle name="SAPBEXexcBad8 2 2 2 3" xfId="3264"/>
    <cellStyle name="SAPBEXexcBad8 2 2 2 4" xfId="3265"/>
    <cellStyle name="SAPBEXexcBad8 2 2 2 5" xfId="3266"/>
    <cellStyle name="SAPBEXexcBad8 2 2 3" xfId="3267"/>
    <cellStyle name="SAPBEXexcBad8 2 2 3 2" xfId="3268"/>
    <cellStyle name="SAPBEXexcBad8 2 2 3 2 2" xfId="3269"/>
    <cellStyle name="SAPBEXexcBad8 2 2 3 2 3" xfId="3270"/>
    <cellStyle name="SAPBEXexcBad8 2 2 3 2 4" xfId="3271"/>
    <cellStyle name="SAPBEXexcBad8 2 2 3 3" xfId="3272"/>
    <cellStyle name="SAPBEXexcBad8 2 2 3 4" xfId="3273"/>
    <cellStyle name="SAPBEXexcBad8 2 2 3 5" xfId="3274"/>
    <cellStyle name="SAPBEXexcBad8 2 2 4" xfId="3275"/>
    <cellStyle name="SAPBEXexcBad8 2 2 4 2" xfId="3276"/>
    <cellStyle name="SAPBEXexcBad8 2 2 4 3" xfId="3277"/>
    <cellStyle name="SAPBEXexcBad8 2 2 4 4" xfId="3278"/>
    <cellStyle name="SAPBEXexcBad8 2 2 5" xfId="3279"/>
    <cellStyle name="SAPBEXexcBad8 2 2 6" xfId="3280"/>
    <cellStyle name="SAPBEXexcBad8 2 2 7" xfId="3281"/>
    <cellStyle name="SAPBEXexcBad8 2 2 8" xfId="3282"/>
    <cellStyle name="SAPBEXexcBad8 2 3" xfId="3283"/>
    <cellStyle name="SAPBEXexcBad8 2 3 2" xfId="3284"/>
    <cellStyle name="SAPBEXexcBad8 2 3 2 2" xfId="3285"/>
    <cellStyle name="SAPBEXexcBad8 2 3 2 3" xfId="3286"/>
    <cellStyle name="SAPBEXexcBad8 2 3 2 4" xfId="3287"/>
    <cellStyle name="SAPBEXexcBad8 2 3 3" xfId="3288"/>
    <cellStyle name="SAPBEXexcBad8 2 3 4" xfId="3289"/>
    <cellStyle name="SAPBEXexcBad8 2 3 5" xfId="3290"/>
    <cellStyle name="SAPBEXexcBad8 2 4" xfId="3291"/>
    <cellStyle name="SAPBEXexcBad8 2 4 2" xfId="3292"/>
    <cellStyle name="SAPBEXexcBad8 2 4 2 2" xfId="3293"/>
    <cellStyle name="SAPBEXexcBad8 2 4 2 3" xfId="3294"/>
    <cellStyle name="SAPBEXexcBad8 2 4 2 4" xfId="3295"/>
    <cellStyle name="SAPBEXexcBad8 2 4 3" xfId="3296"/>
    <cellStyle name="SAPBEXexcBad8 2 4 4" xfId="3297"/>
    <cellStyle name="SAPBEXexcBad8 2 4 5" xfId="3298"/>
    <cellStyle name="SAPBEXexcBad8 2 5" xfId="3299"/>
    <cellStyle name="SAPBEXexcBad8 2 5 2" xfId="3300"/>
    <cellStyle name="SAPBEXexcBad8 2 5 3" xfId="3301"/>
    <cellStyle name="SAPBEXexcBad8 2 5 4" xfId="3302"/>
    <cellStyle name="SAPBEXexcBad8 2 6" xfId="3303"/>
    <cellStyle name="SAPBEXexcBad8 2 7" xfId="3304"/>
    <cellStyle name="SAPBEXexcBad8 2 8" xfId="3305"/>
    <cellStyle name="SAPBEXexcBad8 3" xfId="3306"/>
    <cellStyle name="SAPBEXexcBad8 3 2" xfId="3307"/>
    <cellStyle name="SAPBEXexcBad8 3 2 2" xfId="3308"/>
    <cellStyle name="SAPBEXexcBad8 3 2 2 2" xfId="3309"/>
    <cellStyle name="SAPBEXexcBad8 3 2 2 3" xfId="3310"/>
    <cellStyle name="SAPBEXexcBad8 3 2 2 4" xfId="3311"/>
    <cellStyle name="SAPBEXexcBad8 3 2 3" xfId="3312"/>
    <cellStyle name="SAPBEXexcBad8 3 2 4" xfId="3313"/>
    <cellStyle name="SAPBEXexcBad8 3 2 5" xfId="3314"/>
    <cellStyle name="SAPBEXexcBad8 3 3" xfId="3315"/>
    <cellStyle name="SAPBEXexcBad8 3 3 2" xfId="3316"/>
    <cellStyle name="SAPBEXexcBad8 3 3 2 2" xfId="3317"/>
    <cellStyle name="SAPBEXexcBad8 3 3 2 3" xfId="3318"/>
    <cellStyle name="SAPBEXexcBad8 3 3 2 4" xfId="3319"/>
    <cellStyle name="SAPBEXexcBad8 3 3 3" xfId="3320"/>
    <cellStyle name="SAPBEXexcBad8 3 3 4" xfId="3321"/>
    <cellStyle name="SAPBEXexcBad8 3 3 5" xfId="3322"/>
    <cellStyle name="SAPBEXexcBad8 3 4" xfId="3323"/>
    <cellStyle name="SAPBEXexcBad8 3 4 2" xfId="3324"/>
    <cellStyle name="SAPBEXexcBad8 3 4 3" xfId="3325"/>
    <cellStyle name="SAPBEXexcBad8 3 4 4" xfId="3326"/>
    <cellStyle name="SAPBEXexcBad8 3 5" xfId="3327"/>
    <cellStyle name="SAPBEXexcBad8 3 6" xfId="3328"/>
    <cellStyle name="SAPBEXexcBad8 3 7" xfId="3329"/>
    <cellStyle name="SAPBEXexcBad8 3 8" xfId="3330"/>
    <cellStyle name="SAPBEXexcBad8 4" xfId="3331"/>
    <cellStyle name="SAPBEXexcBad8 4 2" xfId="3332"/>
    <cellStyle name="SAPBEXexcBad8 4 2 2" xfId="3333"/>
    <cellStyle name="SAPBEXexcBad8 4 2 3" xfId="3334"/>
    <cellStyle name="SAPBEXexcBad8 4 2 4" xfId="3335"/>
    <cellStyle name="SAPBEXexcBad8 4 3" xfId="3336"/>
    <cellStyle name="SAPBEXexcBad8 4 4" xfId="3337"/>
    <cellStyle name="SAPBEXexcBad8 4 5" xfId="3338"/>
    <cellStyle name="SAPBEXexcBad8 5" xfId="3339"/>
    <cellStyle name="SAPBEXexcBad8 5 2" xfId="3340"/>
    <cellStyle name="SAPBEXexcBad8 5 2 2" xfId="3341"/>
    <cellStyle name="SAPBEXexcBad8 5 2 3" xfId="3342"/>
    <cellStyle name="SAPBEXexcBad8 5 2 4" xfId="3343"/>
    <cellStyle name="SAPBEXexcBad8 5 3" xfId="3344"/>
    <cellStyle name="SAPBEXexcBad8 5 4" xfId="3345"/>
    <cellStyle name="SAPBEXexcBad8 5 5" xfId="3346"/>
    <cellStyle name="SAPBEXexcBad8 6" xfId="3347"/>
    <cellStyle name="SAPBEXexcBad8 6 2" xfId="3348"/>
    <cellStyle name="SAPBEXexcBad8 6 3" xfId="3349"/>
    <cellStyle name="SAPBEXexcBad8 6 4" xfId="3350"/>
    <cellStyle name="SAPBEXexcBad8 7" xfId="3351"/>
    <cellStyle name="SAPBEXexcBad8 8" xfId="3352"/>
    <cellStyle name="SAPBEXexcBad8 9" xfId="3353"/>
    <cellStyle name="SAPBEXexcBad9" xfId="3354"/>
    <cellStyle name="SAPBEXexcBad9 2" xfId="3355"/>
    <cellStyle name="SAPBEXexcBad9 2 2" xfId="3356"/>
    <cellStyle name="SAPBEXexcBad9 2 2 2" xfId="3357"/>
    <cellStyle name="SAPBEXexcBad9 2 2 2 2" xfId="3358"/>
    <cellStyle name="SAPBEXexcBad9 2 2 2 2 2" xfId="3359"/>
    <cellStyle name="SAPBEXexcBad9 2 2 2 2 3" xfId="3360"/>
    <cellStyle name="SAPBEXexcBad9 2 2 2 2 4" xfId="3361"/>
    <cellStyle name="SAPBEXexcBad9 2 2 2 3" xfId="3362"/>
    <cellStyle name="SAPBEXexcBad9 2 2 2 4" xfId="3363"/>
    <cellStyle name="SAPBEXexcBad9 2 2 2 5" xfId="3364"/>
    <cellStyle name="SAPBEXexcBad9 2 2 3" xfId="3365"/>
    <cellStyle name="SAPBEXexcBad9 2 2 3 2" xfId="3366"/>
    <cellStyle name="SAPBEXexcBad9 2 2 3 2 2" xfId="3367"/>
    <cellStyle name="SAPBEXexcBad9 2 2 3 2 3" xfId="3368"/>
    <cellStyle name="SAPBEXexcBad9 2 2 3 2 4" xfId="3369"/>
    <cellStyle name="SAPBEXexcBad9 2 2 3 3" xfId="3370"/>
    <cellStyle name="SAPBEXexcBad9 2 2 3 4" xfId="3371"/>
    <cellStyle name="SAPBEXexcBad9 2 2 3 5" xfId="3372"/>
    <cellStyle name="SAPBEXexcBad9 2 2 4" xfId="3373"/>
    <cellStyle name="SAPBEXexcBad9 2 2 4 2" xfId="3374"/>
    <cellStyle name="SAPBEXexcBad9 2 2 4 3" xfId="3375"/>
    <cellStyle name="SAPBEXexcBad9 2 2 4 4" xfId="3376"/>
    <cellStyle name="SAPBEXexcBad9 2 2 5" xfId="3377"/>
    <cellStyle name="SAPBEXexcBad9 2 2 6" xfId="3378"/>
    <cellStyle name="SAPBEXexcBad9 2 2 7" xfId="3379"/>
    <cellStyle name="SAPBEXexcBad9 2 2 8" xfId="3380"/>
    <cellStyle name="SAPBEXexcBad9 2 3" xfId="3381"/>
    <cellStyle name="SAPBEXexcBad9 2 3 2" xfId="3382"/>
    <cellStyle name="SAPBEXexcBad9 2 3 2 2" xfId="3383"/>
    <cellStyle name="SAPBEXexcBad9 2 3 2 3" xfId="3384"/>
    <cellStyle name="SAPBEXexcBad9 2 3 2 4" xfId="3385"/>
    <cellStyle name="SAPBEXexcBad9 2 3 3" xfId="3386"/>
    <cellStyle name="SAPBEXexcBad9 2 3 4" xfId="3387"/>
    <cellStyle name="SAPBEXexcBad9 2 3 5" xfId="3388"/>
    <cellStyle name="SAPBEXexcBad9 2 4" xfId="3389"/>
    <cellStyle name="SAPBEXexcBad9 2 4 2" xfId="3390"/>
    <cellStyle name="SAPBEXexcBad9 2 4 2 2" xfId="3391"/>
    <cellStyle name="SAPBEXexcBad9 2 4 2 3" xfId="3392"/>
    <cellStyle name="SAPBEXexcBad9 2 4 2 4" xfId="3393"/>
    <cellStyle name="SAPBEXexcBad9 2 4 3" xfId="3394"/>
    <cellStyle name="SAPBEXexcBad9 2 4 4" xfId="3395"/>
    <cellStyle name="SAPBEXexcBad9 2 4 5" xfId="3396"/>
    <cellStyle name="SAPBEXexcBad9 2 5" xfId="3397"/>
    <cellStyle name="SAPBEXexcBad9 2 5 2" xfId="3398"/>
    <cellStyle name="SAPBEXexcBad9 2 5 3" xfId="3399"/>
    <cellStyle name="SAPBEXexcBad9 2 5 4" xfId="3400"/>
    <cellStyle name="SAPBEXexcBad9 2 6" xfId="3401"/>
    <cellStyle name="SAPBEXexcBad9 2 7" xfId="3402"/>
    <cellStyle name="SAPBEXexcBad9 2 8" xfId="3403"/>
    <cellStyle name="SAPBEXexcBad9 3" xfId="3404"/>
    <cellStyle name="SAPBEXexcBad9 3 2" xfId="3405"/>
    <cellStyle name="SAPBEXexcBad9 3 2 2" xfId="3406"/>
    <cellStyle name="SAPBEXexcBad9 3 2 2 2" xfId="3407"/>
    <cellStyle name="SAPBEXexcBad9 3 2 2 3" xfId="3408"/>
    <cellStyle name="SAPBEXexcBad9 3 2 2 4" xfId="3409"/>
    <cellStyle name="SAPBEXexcBad9 3 2 3" xfId="3410"/>
    <cellStyle name="SAPBEXexcBad9 3 2 4" xfId="3411"/>
    <cellStyle name="SAPBEXexcBad9 3 2 5" xfId="3412"/>
    <cellStyle name="SAPBEXexcBad9 3 3" xfId="3413"/>
    <cellStyle name="SAPBEXexcBad9 3 3 2" xfId="3414"/>
    <cellStyle name="SAPBEXexcBad9 3 3 2 2" xfId="3415"/>
    <cellStyle name="SAPBEXexcBad9 3 3 2 3" xfId="3416"/>
    <cellStyle name="SAPBEXexcBad9 3 3 2 4" xfId="3417"/>
    <cellStyle name="SAPBEXexcBad9 3 3 3" xfId="3418"/>
    <cellStyle name="SAPBEXexcBad9 3 3 4" xfId="3419"/>
    <cellStyle name="SAPBEXexcBad9 3 3 5" xfId="3420"/>
    <cellStyle name="SAPBEXexcBad9 3 4" xfId="3421"/>
    <cellStyle name="SAPBEXexcBad9 3 4 2" xfId="3422"/>
    <cellStyle name="SAPBEXexcBad9 3 4 3" xfId="3423"/>
    <cellStyle name="SAPBEXexcBad9 3 4 4" xfId="3424"/>
    <cellStyle name="SAPBEXexcBad9 3 5" xfId="3425"/>
    <cellStyle name="SAPBEXexcBad9 3 6" xfId="3426"/>
    <cellStyle name="SAPBEXexcBad9 3 7" xfId="3427"/>
    <cellStyle name="SAPBEXexcBad9 3 8" xfId="3428"/>
    <cellStyle name="SAPBEXexcBad9 4" xfId="3429"/>
    <cellStyle name="SAPBEXexcBad9 4 2" xfId="3430"/>
    <cellStyle name="SAPBEXexcBad9 4 2 2" xfId="3431"/>
    <cellStyle name="SAPBEXexcBad9 4 2 3" xfId="3432"/>
    <cellStyle name="SAPBEXexcBad9 4 2 4" xfId="3433"/>
    <cellStyle name="SAPBEXexcBad9 4 3" xfId="3434"/>
    <cellStyle name="SAPBEXexcBad9 4 4" xfId="3435"/>
    <cellStyle name="SAPBEXexcBad9 4 5" xfId="3436"/>
    <cellStyle name="SAPBEXexcBad9 5" xfId="3437"/>
    <cellStyle name="SAPBEXexcBad9 5 2" xfId="3438"/>
    <cellStyle name="SAPBEXexcBad9 5 2 2" xfId="3439"/>
    <cellStyle name="SAPBEXexcBad9 5 2 3" xfId="3440"/>
    <cellStyle name="SAPBEXexcBad9 5 2 4" xfId="3441"/>
    <cellStyle name="SAPBEXexcBad9 5 3" xfId="3442"/>
    <cellStyle name="SAPBEXexcBad9 5 4" xfId="3443"/>
    <cellStyle name="SAPBEXexcBad9 5 5" xfId="3444"/>
    <cellStyle name="SAPBEXexcBad9 6" xfId="3445"/>
    <cellStyle name="SAPBEXexcBad9 6 2" xfId="3446"/>
    <cellStyle name="SAPBEXexcBad9 6 3" xfId="3447"/>
    <cellStyle name="SAPBEXexcBad9 6 4" xfId="3448"/>
    <cellStyle name="SAPBEXexcBad9 7" xfId="3449"/>
    <cellStyle name="SAPBEXexcBad9 8" xfId="3450"/>
    <cellStyle name="SAPBEXexcBad9 9" xfId="3451"/>
    <cellStyle name="SAPBEXexcCritical4" xfId="3452"/>
    <cellStyle name="SAPBEXexcCritical4 2" xfId="3453"/>
    <cellStyle name="SAPBEXexcCritical4 2 2" xfId="3454"/>
    <cellStyle name="SAPBEXexcCritical4 2 2 2" xfId="3455"/>
    <cellStyle name="SAPBEXexcCritical4 2 2 2 2" xfId="3456"/>
    <cellStyle name="SAPBEXexcCritical4 2 2 2 2 2" xfId="3457"/>
    <cellStyle name="SAPBEXexcCritical4 2 2 2 2 3" xfId="3458"/>
    <cellStyle name="SAPBEXexcCritical4 2 2 2 2 4" xfId="3459"/>
    <cellStyle name="SAPBEXexcCritical4 2 2 2 3" xfId="3460"/>
    <cellStyle name="SAPBEXexcCritical4 2 2 2 4" xfId="3461"/>
    <cellStyle name="SAPBEXexcCritical4 2 2 2 5" xfId="3462"/>
    <cellStyle name="SAPBEXexcCritical4 2 2 3" xfId="3463"/>
    <cellStyle name="SAPBEXexcCritical4 2 2 3 2" xfId="3464"/>
    <cellStyle name="SAPBEXexcCritical4 2 2 3 2 2" xfId="3465"/>
    <cellStyle name="SAPBEXexcCritical4 2 2 3 2 3" xfId="3466"/>
    <cellStyle name="SAPBEXexcCritical4 2 2 3 2 4" xfId="3467"/>
    <cellStyle name="SAPBEXexcCritical4 2 2 3 3" xfId="3468"/>
    <cellStyle name="SAPBEXexcCritical4 2 2 3 4" xfId="3469"/>
    <cellStyle name="SAPBEXexcCritical4 2 2 3 5" xfId="3470"/>
    <cellStyle name="SAPBEXexcCritical4 2 2 4" xfId="3471"/>
    <cellStyle name="SAPBEXexcCritical4 2 2 4 2" xfId="3472"/>
    <cellStyle name="SAPBEXexcCritical4 2 2 4 3" xfId="3473"/>
    <cellStyle name="SAPBEXexcCritical4 2 2 4 4" xfId="3474"/>
    <cellStyle name="SAPBEXexcCritical4 2 2 5" xfId="3475"/>
    <cellStyle name="SAPBEXexcCritical4 2 2 6" xfId="3476"/>
    <cellStyle name="SAPBEXexcCritical4 2 2 7" xfId="3477"/>
    <cellStyle name="SAPBEXexcCritical4 2 2 8" xfId="3478"/>
    <cellStyle name="SAPBEXexcCritical4 2 3" xfId="3479"/>
    <cellStyle name="SAPBEXexcCritical4 2 3 2" xfId="3480"/>
    <cellStyle name="SAPBEXexcCritical4 2 3 2 2" xfId="3481"/>
    <cellStyle name="SAPBEXexcCritical4 2 3 2 3" xfId="3482"/>
    <cellStyle name="SAPBEXexcCritical4 2 3 2 4" xfId="3483"/>
    <cellStyle name="SAPBEXexcCritical4 2 3 3" xfId="3484"/>
    <cellStyle name="SAPBEXexcCritical4 2 3 4" xfId="3485"/>
    <cellStyle name="SAPBEXexcCritical4 2 3 5" xfId="3486"/>
    <cellStyle name="SAPBEXexcCritical4 2 4" xfId="3487"/>
    <cellStyle name="SAPBEXexcCritical4 2 4 2" xfId="3488"/>
    <cellStyle name="SAPBEXexcCritical4 2 4 2 2" xfId="3489"/>
    <cellStyle name="SAPBEXexcCritical4 2 4 2 3" xfId="3490"/>
    <cellStyle name="SAPBEXexcCritical4 2 4 2 4" xfId="3491"/>
    <cellStyle name="SAPBEXexcCritical4 2 4 3" xfId="3492"/>
    <cellStyle name="SAPBEXexcCritical4 2 4 4" xfId="3493"/>
    <cellStyle name="SAPBEXexcCritical4 2 4 5" xfId="3494"/>
    <cellStyle name="SAPBEXexcCritical4 2 5" xfId="3495"/>
    <cellStyle name="SAPBEXexcCritical4 2 5 2" xfId="3496"/>
    <cellStyle name="SAPBEXexcCritical4 2 5 3" xfId="3497"/>
    <cellStyle name="SAPBEXexcCritical4 2 5 4" xfId="3498"/>
    <cellStyle name="SAPBEXexcCritical4 2 6" xfId="3499"/>
    <cellStyle name="SAPBEXexcCritical4 2 7" xfId="3500"/>
    <cellStyle name="SAPBEXexcCritical4 2 8" xfId="3501"/>
    <cellStyle name="SAPBEXexcCritical4 3" xfId="3502"/>
    <cellStyle name="SAPBEXexcCritical4 3 2" xfId="3503"/>
    <cellStyle name="SAPBEXexcCritical4 3 2 2" xfId="3504"/>
    <cellStyle name="SAPBEXexcCritical4 3 2 2 2" xfId="3505"/>
    <cellStyle name="SAPBEXexcCritical4 3 2 2 3" xfId="3506"/>
    <cellStyle name="SAPBEXexcCritical4 3 2 2 4" xfId="3507"/>
    <cellStyle name="SAPBEXexcCritical4 3 2 3" xfId="3508"/>
    <cellStyle name="SAPBEXexcCritical4 3 2 4" xfId="3509"/>
    <cellStyle name="SAPBEXexcCritical4 3 2 5" xfId="3510"/>
    <cellStyle name="SAPBEXexcCritical4 3 3" xfId="3511"/>
    <cellStyle name="SAPBEXexcCritical4 3 3 2" xfId="3512"/>
    <cellStyle name="SAPBEXexcCritical4 3 3 2 2" xfId="3513"/>
    <cellStyle name="SAPBEXexcCritical4 3 3 2 3" xfId="3514"/>
    <cellStyle name="SAPBEXexcCritical4 3 3 2 4" xfId="3515"/>
    <cellStyle name="SAPBEXexcCritical4 3 3 3" xfId="3516"/>
    <cellStyle name="SAPBEXexcCritical4 3 3 4" xfId="3517"/>
    <cellStyle name="SAPBEXexcCritical4 3 3 5" xfId="3518"/>
    <cellStyle name="SAPBEXexcCritical4 3 4" xfId="3519"/>
    <cellStyle name="SAPBEXexcCritical4 3 4 2" xfId="3520"/>
    <cellStyle name="SAPBEXexcCritical4 3 4 3" xfId="3521"/>
    <cellStyle name="SAPBEXexcCritical4 3 4 4" xfId="3522"/>
    <cellStyle name="SAPBEXexcCritical4 3 5" xfId="3523"/>
    <cellStyle name="SAPBEXexcCritical4 3 6" xfId="3524"/>
    <cellStyle name="SAPBEXexcCritical4 3 7" xfId="3525"/>
    <cellStyle name="SAPBEXexcCritical4 3 8" xfId="3526"/>
    <cellStyle name="SAPBEXexcCritical4 4" xfId="3527"/>
    <cellStyle name="SAPBEXexcCritical4 4 2" xfId="3528"/>
    <cellStyle name="SAPBEXexcCritical4 4 2 2" xfId="3529"/>
    <cellStyle name="SAPBEXexcCritical4 4 2 3" xfId="3530"/>
    <cellStyle name="SAPBEXexcCritical4 4 2 4" xfId="3531"/>
    <cellStyle name="SAPBEXexcCritical4 4 3" xfId="3532"/>
    <cellStyle name="SAPBEXexcCritical4 4 4" xfId="3533"/>
    <cellStyle name="SAPBEXexcCritical4 4 5" xfId="3534"/>
    <cellStyle name="SAPBEXexcCritical4 5" xfId="3535"/>
    <cellStyle name="SAPBEXexcCritical4 5 2" xfId="3536"/>
    <cellStyle name="SAPBEXexcCritical4 5 2 2" xfId="3537"/>
    <cellStyle name="SAPBEXexcCritical4 5 2 3" xfId="3538"/>
    <cellStyle name="SAPBEXexcCritical4 5 2 4" xfId="3539"/>
    <cellStyle name="SAPBEXexcCritical4 5 3" xfId="3540"/>
    <cellStyle name="SAPBEXexcCritical4 5 4" xfId="3541"/>
    <cellStyle name="SAPBEXexcCritical4 5 5" xfId="3542"/>
    <cellStyle name="SAPBEXexcCritical4 6" xfId="3543"/>
    <cellStyle name="SAPBEXexcCritical4 6 2" xfId="3544"/>
    <cellStyle name="SAPBEXexcCritical4 6 3" xfId="3545"/>
    <cellStyle name="SAPBEXexcCritical4 6 4" xfId="3546"/>
    <cellStyle name="SAPBEXexcCritical4 7" xfId="3547"/>
    <cellStyle name="SAPBEXexcCritical4 8" xfId="3548"/>
    <cellStyle name="SAPBEXexcCritical4 9" xfId="3549"/>
    <cellStyle name="SAPBEXexcCritical5" xfId="3550"/>
    <cellStyle name="SAPBEXexcCritical5 2" xfId="3551"/>
    <cellStyle name="SAPBEXexcCritical5 2 2" xfId="3552"/>
    <cellStyle name="SAPBEXexcCritical5 2 2 2" xfId="3553"/>
    <cellStyle name="SAPBEXexcCritical5 2 2 2 2" xfId="3554"/>
    <cellStyle name="SAPBEXexcCritical5 2 2 2 2 2" xfId="3555"/>
    <cellStyle name="SAPBEXexcCritical5 2 2 2 2 3" xfId="3556"/>
    <cellStyle name="SAPBEXexcCritical5 2 2 2 2 4" xfId="3557"/>
    <cellStyle name="SAPBEXexcCritical5 2 2 2 3" xfId="3558"/>
    <cellStyle name="SAPBEXexcCritical5 2 2 2 4" xfId="3559"/>
    <cellStyle name="SAPBEXexcCritical5 2 2 2 5" xfId="3560"/>
    <cellStyle name="SAPBEXexcCritical5 2 2 3" xfId="3561"/>
    <cellStyle name="SAPBEXexcCritical5 2 2 3 2" xfId="3562"/>
    <cellStyle name="SAPBEXexcCritical5 2 2 3 2 2" xfId="3563"/>
    <cellStyle name="SAPBEXexcCritical5 2 2 3 2 3" xfId="3564"/>
    <cellStyle name="SAPBEXexcCritical5 2 2 3 2 4" xfId="3565"/>
    <cellStyle name="SAPBEXexcCritical5 2 2 3 3" xfId="3566"/>
    <cellStyle name="SAPBEXexcCritical5 2 2 3 4" xfId="3567"/>
    <cellStyle name="SAPBEXexcCritical5 2 2 3 5" xfId="3568"/>
    <cellStyle name="SAPBEXexcCritical5 2 2 4" xfId="3569"/>
    <cellStyle name="SAPBEXexcCritical5 2 2 4 2" xfId="3570"/>
    <cellStyle name="SAPBEXexcCritical5 2 2 4 3" xfId="3571"/>
    <cellStyle name="SAPBEXexcCritical5 2 2 4 4" xfId="3572"/>
    <cellStyle name="SAPBEXexcCritical5 2 2 5" xfId="3573"/>
    <cellStyle name="SAPBEXexcCritical5 2 2 6" xfId="3574"/>
    <cellStyle name="SAPBEXexcCritical5 2 2 7" xfId="3575"/>
    <cellStyle name="SAPBEXexcCritical5 2 2 8" xfId="3576"/>
    <cellStyle name="SAPBEXexcCritical5 2 3" xfId="3577"/>
    <cellStyle name="SAPBEXexcCritical5 2 3 2" xfId="3578"/>
    <cellStyle name="SAPBEXexcCritical5 2 3 2 2" xfId="3579"/>
    <cellStyle name="SAPBEXexcCritical5 2 3 2 3" xfId="3580"/>
    <cellStyle name="SAPBEXexcCritical5 2 3 2 4" xfId="3581"/>
    <cellStyle name="SAPBEXexcCritical5 2 3 3" xfId="3582"/>
    <cellStyle name="SAPBEXexcCritical5 2 3 4" xfId="3583"/>
    <cellStyle name="SAPBEXexcCritical5 2 3 5" xfId="3584"/>
    <cellStyle name="SAPBEXexcCritical5 2 4" xfId="3585"/>
    <cellStyle name="SAPBEXexcCritical5 2 4 2" xfId="3586"/>
    <cellStyle name="SAPBEXexcCritical5 2 4 2 2" xfId="3587"/>
    <cellStyle name="SAPBEXexcCritical5 2 4 2 3" xfId="3588"/>
    <cellStyle name="SAPBEXexcCritical5 2 4 2 4" xfId="3589"/>
    <cellStyle name="SAPBEXexcCritical5 2 4 3" xfId="3590"/>
    <cellStyle name="SAPBEXexcCritical5 2 4 4" xfId="3591"/>
    <cellStyle name="SAPBEXexcCritical5 2 4 5" xfId="3592"/>
    <cellStyle name="SAPBEXexcCritical5 2 5" xfId="3593"/>
    <cellStyle name="SAPBEXexcCritical5 2 5 2" xfId="3594"/>
    <cellStyle name="SAPBEXexcCritical5 2 5 3" xfId="3595"/>
    <cellStyle name="SAPBEXexcCritical5 2 5 4" xfId="3596"/>
    <cellStyle name="SAPBEXexcCritical5 2 6" xfId="3597"/>
    <cellStyle name="SAPBEXexcCritical5 2 7" xfId="3598"/>
    <cellStyle name="SAPBEXexcCritical5 2 8" xfId="3599"/>
    <cellStyle name="SAPBEXexcCritical5 3" xfId="3600"/>
    <cellStyle name="SAPBEXexcCritical5 3 2" xfId="3601"/>
    <cellStyle name="SAPBEXexcCritical5 3 2 2" xfId="3602"/>
    <cellStyle name="SAPBEXexcCritical5 3 2 2 2" xfId="3603"/>
    <cellStyle name="SAPBEXexcCritical5 3 2 2 3" xfId="3604"/>
    <cellStyle name="SAPBEXexcCritical5 3 2 2 4" xfId="3605"/>
    <cellStyle name="SAPBEXexcCritical5 3 2 3" xfId="3606"/>
    <cellStyle name="SAPBEXexcCritical5 3 2 4" xfId="3607"/>
    <cellStyle name="SAPBEXexcCritical5 3 2 5" xfId="3608"/>
    <cellStyle name="SAPBEXexcCritical5 3 3" xfId="3609"/>
    <cellStyle name="SAPBEXexcCritical5 3 3 2" xfId="3610"/>
    <cellStyle name="SAPBEXexcCritical5 3 3 2 2" xfId="3611"/>
    <cellStyle name="SAPBEXexcCritical5 3 3 2 3" xfId="3612"/>
    <cellStyle name="SAPBEXexcCritical5 3 3 2 4" xfId="3613"/>
    <cellStyle name="SAPBEXexcCritical5 3 3 3" xfId="3614"/>
    <cellStyle name="SAPBEXexcCritical5 3 3 4" xfId="3615"/>
    <cellStyle name="SAPBEXexcCritical5 3 3 5" xfId="3616"/>
    <cellStyle name="SAPBEXexcCritical5 3 4" xfId="3617"/>
    <cellStyle name="SAPBEXexcCritical5 3 4 2" xfId="3618"/>
    <cellStyle name="SAPBEXexcCritical5 3 4 3" xfId="3619"/>
    <cellStyle name="SAPBEXexcCritical5 3 4 4" xfId="3620"/>
    <cellStyle name="SAPBEXexcCritical5 3 5" xfId="3621"/>
    <cellStyle name="SAPBEXexcCritical5 3 6" xfId="3622"/>
    <cellStyle name="SAPBEXexcCritical5 3 7" xfId="3623"/>
    <cellStyle name="SAPBEXexcCritical5 3 8" xfId="3624"/>
    <cellStyle name="SAPBEXexcCritical5 4" xfId="3625"/>
    <cellStyle name="SAPBEXexcCritical5 4 2" xfId="3626"/>
    <cellStyle name="SAPBEXexcCritical5 4 2 2" xfId="3627"/>
    <cellStyle name="SAPBEXexcCritical5 4 2 3" xfId="3628"/>
    <cellStyle name="SAPBEXexcCritical5 4 2 4" xfId="3629"/>
    <cellStyle name="SAPBEXexcCritical5 4 3" xfId="3630"/>
    <cellStyle name="SAPBEXexcCritical5 4 4" xfId="3631"/>
    <cellStyle name="SAPBEXexcCritical5 4 5" xfId="3632"/>
    <cellStyle name="SAPBEXexcCritical5 5" xfId="3633"/>
    <cellStyle name="SAPBEXexcCritical5 5 2" xfId="3634"/>
    <cellStyle name="SAPBEXexcCritical5 5 2 2" xfId="3635"/>
    <cellStyle name="SAPBEXexcCritical5 5 2 3" xfId="3636"/>
    <cellStyle name="SAPBEXexcCritical5 5 2 4" xfId="3637"/>
    <cellStyle name="SAPBEXexcCritical5 5 3" xfId="3638"/>
    <cellStyle name="SAPBEXexcCritical5 5 4" xfId="3639"/>
    <cellStyle name="SAPBEXexcCritical5 5 5" xfId="3640"/>
    <cellStyle name="SAPBEXexcCritical5 6" xfId="3641"/>
    <cellStyle name="SAPBEXexcCritical5 6 2" xfId="3642"/>
    <cellStyle name="SAPBEXexcCritical5 6 3" xfId="3643"/>
    <cellStyle name="SAPBEXexcCritical5 6 4" xfId="3644"/>
    <cellStyle name="SAPBEXexcCritical5 7" xfId="3645"/>
    <cellStyle name="SAPBEXexcCritical5 8" xfId="3646"/>
    <cellStyle name="SAPBEXexcCritical5 9" xfId="3647"/>
    <cellStyle name="SAPBEXexcCritical6" xfId="3648"/>
    <cellStyle name="SAPBEXexcCritical6 2" xfId="3649"/>
    <cellStyle name="SAPBEXexcCritical6 2 2" xfId="3650"/>
    <cellStyle name="SAPBEXexcCritical6 2 2 2" xfId="3651"/>
    <cellStyle name="SAPBEXexcCritical6 2 2 2 2" xfId="3652"/>
    <cellStyle name="SAPBEXexcCritical6 2 2 2 2 2" xfId="3653"/>
    <cellStyle name="SAPBEXexcCritical6 2 2 2 2 3" xfId="3654"/>
    <cellStyle name="SAPBEXexcCritical6 2 2 2 2 4" xfId="3655"/>
    <cellStyle name="SAPBEXexcCritical6 2 2 2 3" xfId="3656"/>
    <cellStyle name="SAPBEXexcCritical6 2 2 2 4" xfId="3657"/>
    <cellStyle name="SAPBEXexcCritical6 2 2 2 5" xfId="3658"/>
    <cellStyle name="SAPBEXexcCritical6 2 2 3" xfId="3659"/>
    <cellStyle name="SAPBEXexcCritical6 2 2 3 2" xfId="3660"/>
    <cellStyle name="SAPBEXexcCritical6 2 2 3 2 2" xfId="3661"/>
    <cellStyle name="SAPBEXexcCritical6 2 2 3 2 3" xfId="3662"/>
    <cellStyle name="SAPBEXexcCritical6 2 2 3 2 4" xfId="3663"/>
    <cellStyle name="SAPBEXexcCritical6 2 2 3 3" xfId="3664"/>
    <cellStyle name="SAPBEXexcCritical6 2 2 3 4" xfId="3665"/>
    <cellStyle name="SAPBEXexcCritical6 2 2 3 5" xfId="3666"/>
    <cellStyle name="SAPBEXexcCritical6 2 2 4" xfId="3667"/>
    <cellStyle name="SAPBEXexcCritical6 2 2 4 2" xfId="3668"/>
    <cellStyle name="SAPBEXexcCritical6 2 2 4 3" xfId="3669"/>
    <cellStyle name="SAPBEXexcCritical6 2 2 4 4" xfId="3670"/>
    <cellStyle name="SAPBEXexcCritical6 2 2 5" xfId="3671"/>
    <cellStyle name="SAPBEXexcCritical6 2 2 6" xfId="3672"/>
    <cellStyle name="SAPBEXexcCritical6 2 2 7" xfId="3673"/>
    <cellStyle name="SAPBEXexcCritical6 2 2 8" xfId="3674"/>
    <cellStyle name="SAPBEXexcCritical6 2 3" xfId="3675"/>
    <cellStyle name="SAPBEXexcCritical6 2 3 2" xfId="3676"/>
    <cellStyle name="SAPBEXexcCritical6 2 3 2 2" xfId="3677"/>
    <cellStyle name="SAPBEXexcCritical6 2 3 2 3" xfId="3678"/>
    <cellStyle name="SAPBEXexcCritical6 2 3 2 4" xfId="3679"/>
    <cellStyle name="SAPBEXexcCritical6 2 3 3" xfId="3680"/>
    <cellStyle name="SAPBEXexcCritical6 2 3 4" xfId="3681"/>
    <cellStyle name="SAPBEXexcCritical6 2 3 5" xfId="3682"/>
    <cellStyle name="SAPBEXexcCritical6 2 4" xfId="3683"/>
    <cellStyle name="SAPBEXexcCritical6 2 4 2" xfId="3684"/>
    <cellStyle name="SAPBEXexcCritical6 2 4 2 2" xfId="3685"/>
    <cellStyle name="SAPBEXexcCritical6 2 4 2 3" xfId="3686"/>
    <cellStyle name="SAPBEXexcCritical6 2 4 2 4" xfId="3687"/>
    <cellStyle name="SAPBEXexcCritical6 2 4 3" xfId="3688"/>
    <cellStyle name="SAPBEXexcCritical6 2 4 4" xfId="3689"/>
    <cellStyle name="SAPBEXexcCritical6 2 4 5" xfId="3690"/>
    <cellStyle name="SAPBEXexcCritical6 2 5" xfId="3691"/>
    <cellStyle name="SAPBEXexcCritical6 2 5 2" xfId="3692"/>
    <cellStyle name="SAPBEXexcCritical6 2 5 3" xfId="3693"/>
    <cellStyle name="SAPBEXexcCritical6 2 5 4" xfId="3694"/>
    <cellStyle name="SAPBEXexcCritical6 2 6" xfId="3695"/>
    <cellStyle name="SAPBEXexcCritical6 2 7" xfId="3696"/>
    <cellStyle name="SAPBEXexcCritical6 2 8" xfId="3697"/>
    <cellStyle name="SAPBEXexcCritical6 3" xfId="3698"/>
    <cellStyle name="SAPBEXexcCritical6 3 2" xfId="3699"/>
    <cellStyle name="SAPBEXexcCritical6 3 2 2" xfId="3700"/>
    <cellStyle name="SAPBEXexcCritical6 3 2 2 2" xfId="3701"/>
    <cellStyle name="SAPBEXexcCritical6 3 2 2 3" xfId="3702"/>
    <cellStyle name="SAPBEXexcCritical6 3 2 2 4" xfId="3703"/>
    <cellStyle name="SAPBEXexcCritical6 3 2 3" xfId="3704"/>
    <cellStyle name="SAPBEXexcCritical6 3 2 4" xfId="3705"/>
    <cellStyle name="SAPBEXexcCritical6 3 2 5" xfId="3706"/>
    <cellStyle name="SAPBEXexcCritical6 3 3" xfId="3707"/>
    <cellStyle name="SAPBEXexcCritical6 3 3 2" xfId="3708"/>
    <cellStyle name="SAPBEXexcCritical6 3 3 2 2" xfId="3709"/>
    <cellStyle name="SAPBEXexcCritical6 3 3 2 3" xfId="3710"/>
    <cellStyle name="SAPBEXexcCritical6 3 3 2 4" xfId="3711"/>
    <cellStyle name="SAPBEXexcCritical6 3 3 3" xfId="3712"/>
    <cellStyle name="SAPBEXexcCritical6 3 3 4" xfId="3713"/>
    <cellStyle name="SAPBEXexcCritical6 3 3 5" xfId="3714"/>
    <cellStyle name="SAPBEXexcCritical6 3 4" xfId="3715"/>
    <cellStyle name="SAPBEXexcCritical6 3 4 2" xfId="3716"/>
    <cellStyle name="SAPBEXexcCritical6 3 4 3" xfId="3717"/>
    <cellStyle name="SAPBEXexcCritical6 3 4 4" xfId="3718"/>
    <cellStyle name="SAPBEXexcCritical6 3 5" xfId="3719"/>
    <cellStyle name="SAPBEXexcCritical6 3 6" xfId="3720"/>
    <cellStyle name="SAPBEXexcCritical6 3 7" xfId="3721"/>
    <cellStyle name="SAPBEXexcCritical6 3 8" xfId="3722"/>
    <cellStyle name="SAPBEXexcCritical6 4" xfId="3723"/>
    <cellStyle name="SAPBEXexcCritical6 4 2" xfId="3724"/>
    <cellStyle name="SAPBEXexcCritical6 4 2 2" xfId="3725"/>
    <cellStyle name="SAPBEXexcCritical6 4 2 3" xfId="3726"/>
    <cellStyle name="SAPBEXexcCritical6 4 2 4" xfId="3727"/>
    <cellStyle name="SAPBEXexcCritical6 4 3" xfId="3728"/>
    <cellStyle name="SAPBEXexcCritical6 4 4" xfId="3729"/>
    <cellStyle name="SAPBEXexcCritical6 4 5" xfId="3730"/>
    <cellStyle name="SAPBEXexcCritical6 5" xfId="3731"/>
    <cellStyle name="SAPBEXexcCritical6 5 2" xfId="3732"/>
    <cellStyle name="SAPBEXexcCritical6 5 2 2" xfId="3733"/>
    <cellStyle name="SAPBEXexcCritical6 5 2 3" xfId="3734"/>
    <cellStyle name="SAPBEXexcCritical6 5 2 4" xfId="3735"/>
    <cellStyle name="SAPBEXexcCritical6 5 3" xfId="3736"/>
    <cellStyle name="SAPBEXexcCritical6 5 4" xfId="3737"/>
    <cellStyle name="SAPBEXexcCritical6 5 5" xfId="3738"/>
    <cellStyle name="SAPBEXexcCritical6 6" xfId="3739"/>
    <cellStyle name="SAPBEXexcCritical6 6 2" xfId="3740"/>
    <cellStyle name="SAPBEXexcCritical6 6 3" xfId="3741"/>
    <cellStyle name="SAPBEXexcCritical6 6 4" xfId="3742"/>
    <cellStyle name="SAPBEXexcCritical6 7" xfId="3743"/>
    <cellStyle name="SAPBEXexcCritical6 8" xfId="3744"/>
    <cellStyle name="SAPBEXexcCritical6 9" xfId="3745"/>
    <cellStyle name="SAPBEXexcGood1" xfId="3746"/>
    <cellStyle name="SAPBEXexcGood1 2" xfId="3747"/>
    <cellStyle name="SAPBEXexcGood1 2 2" xfId="3748"/>
    <cellStyle name="SAPBEXexcGood1 2 2 2" xfId="3749"/>
    <cellStyle name="SAPBEXexcGood1 2 2 2 2" xfId="3750"/>
    <cellStyle name="SAPBEXexcGood1 2 2 2 2 2" xfId="3751"/>
    <cellStyle name="SAPBEXexcGood1 2 2 2 2 3" xfId="3752"/>
    <cellStyle name="SAPBEXexcGood1 2 2 2 2 4" xfId="3753"/>
    <cellStyle name="SAPBEXexcGood1 2 2 2 3" xfId="3754"/>
    <cellStyle name="SAPBEXexcGood1 2 2 2 4" xfId="3755"/>
    <cellStyle name="SAPBEXexcGood1 2 2 2 5" xfId="3756"/>
    <cellStyle name="SAPBEXexcGood1 2 2 3" xfId="3757"/>
    <cellStyle name="SAPBEXexcGood1 2 2 3 2" xfId="3758"/>
    <cellStyle name="SAPBEXexcGood1 2 2 3 2 2" xfId="3759"/>
    <cellStyle name="SAPBEXexcGood1 2 2 3 2 3" xfId="3760"/>
    <cellStyle name="SAPBEXexcGood1 2 2 3 2 4" xfId="3761"/>
    <cellStyle name="SAPBEXexcGood1 2 2 3 3" xfId="3762"/>
    <cellStyle name="SAPBEXexcGood1 2 2 3 4" xfId="3763"/>
    <cellStyle name="SAPBEXexcGood1 2 2 3 5" xfId="3764"/>
    <cellStyle name="SAPBEXexcGood1 2 2 4" xfId="3765"/>
    <cellStyle name="SAPBEXexcGood1 2 2 4 2" xfId="3766"/>
    <cellStyle name="SAPBEXexcGood1 2 2 4 3" xfId="3767"/>
    <cellStyle name="SAPBEXexcGood1 2 2 4 4" xfId="3768"/>
    <cellStyle name="SAPBEXexcGood1 2 2 5" xfId="3769"/>
    <cellStyle name="SAPBEXexcGood1 2 2 6" xfId="3770"/>
    <cellStyle name="SAPBEXexcGood1 2 2 7" xfId="3771"/>
    <cellStyle name="SAPBEXexcGood1 2 2 8" xfId="3772"/>
    <cellStyle name="SAPBEXexcGood1 2 3" xfId="3773"/>
    <cellStyle name="SAPBEXexcGood1 2 3 2" xfId="3774"/>
    <cellStyle name="SAPBEXexcGood1 2 3 2 2" xfId="3775"/>
    <cellStyle name="SAPBEXexcGood1 2 3 2 3" xfId="3776"/>
    <cellStyle name="SAPBEXexcGood1 2 3 2 4" xfId="3777"/>
    <cellStyle name="SAPBEXexcGood1 2 3 3" xfId="3778"/>
    <cellStyle name="SAPBEXexcGood1 2 3 4" xfId="3779"/>
    <cellStyle name="SAPBEXexcGood1 2 3 5" xfId="3780"/>
    <cellStyle name="SAPBEXexcGood1 2 4" xfId="3781"/>
    <cellStyle name="SAPBEXexcGood1 2 4 2" xfId="3782"/>
    <cellStyle name="SAPBEXexcGood1 2 4 2 2" xfId="3783"/>
    <cellStyle name="SAPBEXexcGood1 2 4 2 3" xfId="3784"/>
    <cellStyle name="SAPBEXexcGood1 2 4 2 4" xfId="3785"/>
    <cellStyle name="SAPBEXexcGood1 2 4 3" xfId="3786"/>
    <cellStyle name="SAPBEXexcGood1 2 4 4" xfId="3787"/>
    <cellStyle name="SAPBEXexcGood1 2 4 5" xfId="3788"/>
    <cellStyle name="SAPBEXexcGood1 2 5" xfId="3789"/>
    <cellStyle name="SAPBEXexcGood1 2 5 2" xfId="3790"/>
    <cellStyle name="SAPBEXexcGood1 2 5 3" xfId="3791"/>
    <cellStyle name="SAPBEXexcGood1 2 5 4" xfId="3792"/>
    <cellStyle name="SAPBEXexcGood1 2 6" xfId="3793"/>
    <cellStyle name="SAPBEXexcGood1 2 7" xfId="3794"/>
    <cellStyle name="SAPBEXexcGood1 2 8" xfId="3795"/>
    <cellStyle name="SAPBEXexcGood1 3" xfId="3796"/>
    <cellStyle name="SAPBEXexcGood1 3 2" xfId="3797"/>
    <cellStyle name="SAPBEXexcGood1 3 2 2" xfId="3798"/>
    <cellStyle name="SAPBEXexcGood1 3 2 2 2" xfId="3799"/>
    <cellStyle name="SAPBEXexcGood1 3 2 2 3" xfId="3800"/>
    <cellStyle name="SAPBEXexcGood1 3 2 2 4" xfId="3801"/>
    <cellStyle name="SAPBEXexcGood1 3 2 3" xfId="3802"/>
    <cellStyle name="SAPBEXexcGood1 3 2 4" xfId="3803"/>
    <cellStyle name="SAPBEXexcGood1 3 2 5" xfId="3804"/>
    <cellStyle name="SAPBEXexcGood1 3 3" xfId="3805"/>
    <cellStyle name="SAPBEXexcGood1 3 3 2" xfId="3806"/>
    <cellStyle name="SAPBEXexcGood1 3 3 2 2" xfId="3807"/>
    <cellStyle name="SAPBEXexcGood1 3 3 2 3" xfId="3808"/>
    <cellStyle name="SAPBEXexcGood1 3 3 2 4" xfId="3809"/>
    <cellStyle name="SAPBEXexcGood1 3 3 3" xfId="3810"/>
    <cellStyle name="SAPBEXexcGood1 3 3 4" xfId="3811"/>
    <cellStyle name="SAPBEXexcGood1 3 3 5" xfId="3812"/>
    <cellStyle name="SAPBEXexcGood1 3 4" xfId="3813"/>
    <cellStyle name="SAPBEXexcGood1 3 4 2" xfId="3814"/>
    <cellStyle name="SAPBEXexcGood1 3 4 3" xfId="3815"/>
    <cellStyle name="SAPBEXexcGood1 3 4 4" xfId="3816"/>
    <cellStyle name="SAPBEXexcGood1 3 5" xfId="3817"/>
    <cellStyle name="SAPBEXexcGood1 3 6" xfId="3818"/>
    <cellStyle name="SAPBEXexcGood1 3 7" xfId="3819"/>
    <cellStyle name="SAPBEXexcGood1 3 8" xfId="3820"/>
    <cellStyle name="SAPBEXexcGood1 4" xfId="3821"/>
    <cellStyle name="SAPBEXexcGood1 4 2" xfId="3822"/>
    <cellStyle name="SAPBEXexcGood1 4 2 2" xfId="3823"/>
    <cellStyle name="SAPBEXexcGood1 4 2 3" xfId="3824"/>
    <cellStyle name="SAPBEXexcGood1 4 2 4" xfId="3825"/>
    <cellStyle name="SAPBEXexcGood1 4 3" xfId="3826"/>
    <cellStyle name="SAPBEXexcGood1 4 4" xfId="3827"/>
    <cellStyle name="SAPBEXexcGood1 4 5" xfId="3828"/>
    <cellStyle name="SAPBEXexcGood1 5" xfId="3829"/>
    <cellStyle name="SAPBEXexcGood1 5 2" xfId="3830"/>
    <cellStyle name="SAPBEXexcGood1 5 2 2" xfId="3831"/>
    <cellStyle name="SAPBEXexcGood1 5 2 3" xfId="3832"/>
    <cellStyle name="SAPBEXexcGood1 5 2 4" xfId="3833"/>
    <cellStyle name="SAPBEXexcGood1 5 3" xfId="3834"/>
    <cellStyle name="SAPBEXexcGood1 5 4" xfId="3835"/>
    <cellStyle name="SAPBEXexcGood1 5 5" xfId="3836"/>
    <cellStyle name="SAPBEXexcGood1 6" xfId="3837"/>
    <cellStyle name="SAPBEXexcGood1 6 2" xfId="3838"/>
    <cellStyle name="SAPBEXexcGood1 6 3" xfId="3839"/>
    <cellStyle name="SAPBEXexcGood1 6 4" xfId="3840"/>
    <cellStyle name="SAPBEXexcGood1 7" xfId="3841"/>
    <cellStyle name="SAPBEXexcGood1 8" xfId="3842"/>
    <cellStyle name="SAPBEXexcGood1 9" xfId="3843"/>
    <cellStyle name="SAPBEXexcGood2" xfId="3844"/>
    <cellStyle name="SAPBEXexcGood2 2" xfId="3845"/>
    <cellStyle name="SAPBEXexcGood2 2 2" xfId="3846"/>
    <cellStyle name="SAPBEXexcGood2 2 2 2" xfId="3847"/>
    <cellStyle name="SAPBEXexcGood2 2 2 2 2" xfId="3848"/>
    <cellStyle name="SAPBEXexcGood2 2 2 2 2 2" xfId="3849"/>
    <cellStyle name="SAPBEXexcGood2 2 2 2 2 3" xfId="3850"/>
    <cellStyle name="SAPBEXexcGood2 2 2 2 2 4" xfId="3851"/>
    <cellStyle name="SAPBEXexcGood2 2 2 2 3" xfId="3852"/>
    <cellStyle name="SAPBEXexcGood2 2 2 2 4" xfId="3853"/>
    <cellStyle name="SAPBEXexcGood2 2 2 2 5" xfId="3854"/>
    <cellStyle name="SAPBEXexcGood2 2 2 3" xfId="3855"/>
    <cellStyle name="SAPBEXexcGood2 2 2 3 2" xfId="3856"/>
    <cellStyle name="SAPBEXexcGood2 2 2 3 2 2" xfId="3857"/>
    <cellStyle name="SAPBEXexcGood2 2 2 3 2 3" xfId="3858"/>
    <cellStyle name="SAPBEXexcGood2 2 2 3 2 4" xfId="3859"/>
    <cellStyle name="SAPBEXexcGood2 2 2 3 3" xfId="3860"/>
    <cellStyle name="SAPBEXexcGood2 2 2 3 4" xfId="3861"/>
    <cellStyle name="SAPBEXexcGood2 2 2 3 5" xfId="3862"/>
    <cellStyle name="SAPBEXexcGood2 2 2 4" xfId="3863"/>
    <cellStyle name="SAPBEXexcGood2 2 2 4 2" xfId="3864"/>
    <cellStyle name="SAPBEXexcGood2 2 2 4 3" xfId="3865"/>
    <cellStyle name="SAPBEXexcGood2 2 2 4 4" xfId="3866"/>
    <cellStyle name="SAPBEXexcGood2 2 2 5" xfId="3867"/>
    <cellStyle name="SAPBEXexcGood2 2 2 6" xfId="3868"/>
    <cellStyle name="SAPBEXexcGood2 2 2 7" xfId="3869"/>
    <cellStyle name="SAPBEXexcGood2 2 2 8" xfId="3870"/>
    <cellStyle name="SAPBEXexcGood2 2 3" xfId="3871"/>
    <cellStyle name="SAPBEXexcGood2 2 3 2" xfId="3872"/>
    <cellStyle name="SAPBEXexcGood2 2 3 2 2" xfId="3873"/>
    <cellStyle name="SAPBEXexcGood2 2 3 2 3" xfId="3874"/>
    <cellStyle name="SAPBEXexcGood2 2 3 2 4" xfId="3875"/>
    <cellStyle name="SAPBEXexcGood2 2 3 3" xfId="3876"/>
    <cellStyle name="SAPBEXexcGood2 2 3 4" xfId="3877"/>
    <cellStyle name="SAPBEXexcGood2 2 3 5" xfId="3878"/>
    <cellStyle name="SAPBEXexcGood2 2 4" xfId="3879"/>
    <cellStyle name="SAPBEXexcGood2 2 4 2" xfId="3880"/>
    <cellStyle name="SAPBEXexcGood2 2 4 2 2" xfId="3881"/>
    <cellStyle name="SAPBEXexcGood2 2 4 2 3" xfId="3882"/>
    <cellStyle name="SAPBEXexcGood2 2 4 2 4" xfId="3883"/>
    <cellStyle name="SAPBEXexcGood2 2 4 3" xfId="3884"/>
    <cellStyle name="SAPBEXexcGood2 2 4 4" xfId="3885"/>
    <cellStyle name="SAPBEXexcGood2 2 4 5" xfId="3886"/>
    <cellStyle name="SAPBEXexcGood2 2 5" xfId="3887"/>
    <cellStyle name="SAPBEXexcGood2 2 5 2" xfId="3888"/>
    <cellStyle name="SAPBEXexcGood2 2 5 3" xfId="3889"/>
    <cellStyle name="SAPBEXexcGood2 2 5 4" xfId="3890"/>
    <cellStyle name="SAPBEXexcGood2 2 6" xfId="3891"/>
    <cellStyle name="SAPBEXexcGood2 2 7" xfId="3892"/>
    <cellStyle name="SAPBEXexcGood2 2 8" xfId="3893"/>
    <cellStyle name="SAPBEXexcGood2 3" xfId="3894"/>
    <cellStyle name="SAPBEXexcGood2 3 2" xfId="3895"/>
    <cellStyle name="SAPBEXexcGood2 3 2 2" xfId="3896"/>
    <cellStyle name="SAPBEXexcGood2 3 2 2 2" xfId="3897"/>
    <cellStyle name="SAPBEXexcGood2 3 2 2 3" xfId="3898"/>
    <cellStyle name="SAPBEXexcGood2 3 2 2 4" xfId="3899"/>
    <cellStyle name="SAPBEXexcGood2 3 2 3" xfId="3900"/>
    <cellStyle name="SAPBEXexcGood2 3 2 4" xfId="3901"/>
    <cellStyle name="SAPBEXexcGood2 3 2 5" xfId="3902"/>
    <cellStyle name="SAPBEXexcGood2 3 3" xfId="3903"/>
    <cellStyle name="SAPBEXexcGood2 3 3 2" xfId="3904"/>
    <cellStyle name="SAPBEXexcGood2 3 3 2 2" xfId="3905"/>
    <cellStyle name="SAPBEXexcGood2 3 3 2 3" xfId="3906"/>
    <cellStyle name="SAPBEXexcGood2 3 3 2 4" xfId="3907"/>
    <cellStyle name="SAPBEXexcGood2 3 3 3" xfId="3908"/>
    <cellStyle name="SAPBEXexcGood2 3 3 4" xfId="3909"/>
    <cellStyle name="SAPBEXexcGood2 3 3 5" xfId="3910"/>
    <cellStyle name="SAPBEXexcGood2 3 4" xfId="3911"/>
    <cellStyle name="SAPBEXexcGood2 3 4 2" xfId="3912"/>
    <cellStyle name="SAPBEXexcGood2 3 4 3" xfId="3913"/>
    <cellStyle name="SAPBEXexcGood2 3 4 4" xfId="3914"/>
    <cellStyle name="SAPBEXexcGood2 3 5" xfId="3915"/>
    <cellStyle name="SAPBEXexcGood2 3 6" xfId="3916"/>
    <cellStyle name="SAPBEXexcGood2 3 7" xfId="3917"/>
    <cellStyle name="SAPBEXexcGood2 3 8" xfId="3918"/>
    <cellStyle name="SAPBEXexcGood2 4" xfId="3919"/>
    <cellStyle name="SAPBEXexcGood2 4 2" xfId="3920"/>
    <cellStyle name="SAPBEXexcGood2 4 2 2" xfId="3921"/>
    <cellStyle name="SAPBEXexcGood2 4 2 3" xfId="3922"/>
    <cellStyle name="SAPBEXexcGood2 4 2 4" xfId="3923"/>
    <cellStyle name="SAPBEXexcGood2 4 3" xfId="3924"/>
    <cellStyle name="SAPBEXexcGood2 4 4" xfId="3925"/>
    <cellStyle name="SAPBEXexcGood2 4 5" xfId="3926"/>
    <cellStyle name="SAPBEXexcGood2 5" xfId="3927"/>
    <cellStyle name="SAPBEXexcGood2 5 2" xfId="3928"/>
    <cellStyle name="SAPBEXexcGood2 5 2 2" xfId="3929"/>
    <cellStyle name="SAPBEXexcGood2 5 2 3" xfId="3930"/>
    <cellStyle name="SAPBEXexcGood2 5 2 4" xfId="3931"/>
    <cellStyle name="SAPBEXexcGood2 5 3" xfId="3932"/>
    <cellStyle name="SAPBEXexcGood2 5 4" xfId="3933"/>
    <cellStyle name="SAPBEXexcGood2 5 5" xfId="3934"/>
    <cellStyle name="SAPBEXexcGood2 6" xfId="3935"/>
    <cellStyle name="SAPBEXexcGood2 6 2" xfId="3936"/>
    <cellStyle name="SAPBEXexcGood2 6 3" xfId="3937"/>
    <cellStyle name="SAPBEXexcGood2 6 4" xfId="3938"/>
    <cellStyle name="SAPBEXexcGood2 7" xfId="3939"/>
    <cellStyle name="SAPBEXexcGood2 8" xfId="3940"/>
    <cellStyle name="SAPBEXexcGood2 9" xfId="3941"/>
    <cellStyle name="SAPBEXexcGood3" xfId="3942"/>
    <cellStyle name="SAPBEXexcGood3 2" xfId="3943"/>
    <cellStyle name="SAPBEXexcGood3 2 2" xfId="3944"/>
    <cellStyle name="SAPBEXexcGood3 2 2 2" xfId="3945"/>
    <cellStyle name="SAPBEXexcGood3 2 2 2 2" xfId="3946"/>
    <cellStyle name="SAPBEXexcGood3 2 2 2 2 2" xfId="3947"/>
    <cellStyle name="SAPBEXexcGood3 2 2 2 2 3" xfId="3948"/>
    <cellStyle name="SAPBEXexcGood3 2 2 2 2 4" xfId="3949"/>
    <cellStyle name="SAPBEXexcGood3 2 2 2 3" xfId="3950"/>
    <cellStyle name="SAPBEXexcGood3 2 2 2 4" xfId="3951"/>
    <cellStyle name="SAPBEXexcGood3 2 2 2 5" xfId="3952"/>
    <cellStyle name="SAPBEXexcGood3 2 2 3" xfId="3953"/>
    <cellStyle name="SAPBEXexcGood3 2 2 3 2" xfId="3954"/>
    <cellStyle name="SAPBEXexcGood3 2 2 3 2 2" xfId="3955"/>
    <cellStyle name="SAPBEXexcGood3 2 2 3 2 3" xfId="3956"/>
    <cellStyle name="SAPBEXexcGood3 2 2 3 2 4" xfId="3957"/>
    <cellStyle name="SAPBEXexcGood3 2 2 3 3" xfId="3958"/>
    <cellStyle name="SAPBEXexcGood3 2 2 3 4" xfId="3959"/>
    <cellStyle name="SAPBEXexcGood3 2 2 3 5" xfId="3960"/>
    <cellStyle name="SAPBEXexcGood3 2 2 4" xfId="3961"/>
    <cellStyle name="SAPBEXexcGood3 2 2 4 2" xfId="3962"/>
    <cellStyle name="SAPBEXexcGood3 2 2 4 3" xfId="3963"/>
    <cellStyle name="SAPBEXexcGood3 2 2 4 4" xfId="3964"/>
    <cellStyle name="SAPBEXexcGood3 2 2 5" xfId="3965"/>
    <cellStyle name="SAPBEXexcGood3 2 2 6" xfId="3966"/>
    <cellStyle name="SAPBEXexcGood3 2 2 7" xfId="3967"/>
    <cellStyle name="SAPBEXexcGood3 2 2 8" xfId="3968"/>
    <cellStyle name="SAPBEXexcGood3 2 3" xfId="3969"/>
    <cellStyle name="SAPBEXexcGood3 2 3 2" xfId="3970"/>
    <cellStyle name="SAPBEXexcGood3 2 3 2 2" xfId="3971"/>
    <cellStyle name="SAPBEXexcGood3 2 3 2 3" xfId="3972"/>
    <cellStyle name="SAPBEXexcGood3 2 3 2 4" xfId="3973"/>
    <cellStyle name="SAPBEXexcGood3 2 3 3" xfId="3974"/>
    <cellStyle name="SAPBEXexcGood3 2 3 4" xfId="3975"/>
    <cellStyle name="SAPBEXexcGood3 2 3 5" xfId="3976"/>
    <cellStyle name="SAPBEXexcGood3 2 4" xfId="3977"/>
    <cellStyle name="SAPBEXexcGood3 2 4 2" xfId="3978"/>
    <cellStyle name="SAPBEXexcGood3 2 4 2 2" xfId="3979"/>
    <cellStyle name="SAPBEXexcGood3 2 4 2 3" xfId="3980"/>
    <cellStyle name="SAPBEXexcGood3 2 4 2 4" xfId="3981"/>
    <cellStyle name="SAPBEXexcGood3 2 4 3" xfId="3982"/>
    <cellStyle name="SAPBEXexcGood3 2 4 4" xfId="3983"/>
    <cellStyle name="SAPBEXexcGood3 2 4 5" xfId="3984"/>
    <cellStyle name="SAPBEXexcGood3 2 5" xfId="3985"/>
    <cellStyle name="SAPBEXexcGood3 2 5 2" xfId="3986"/>
    <cellStyle name="SAPBEXexcGood3 2 5 3" xfId="3987"/>
    <cellStyle name="SAPBEXexcGood3 2 5 4" xfId="3988"/>
    <cellStyle name="SAPBEXexcGood3 2 6" xfId="3989"/>
    <cellStyle name="SAPBEXexcGood3 2 7" xfId="3990"/>
    <cellStyle name="SAPBEXexcGood3 2 8" xfId="3991"/>
    <cellStyle name="SAPBEXexcGood3 3" xfId="3992"/>
    <cellStyle name="SAPBEXexcGood3 3 2" xfId="3993"/>
    <cellStyle name="SAPBEXexcGood3 3 2 2" xfId="3994"/>
    <cellStyle name="SAPBEXexcGood3 3 2 2 2" xfId="3995"/>
    <cellStyle name="SAPBEXexcGood3 3 2 2 3" xfId="3996"/>
    <cellStyle name="SAPBEXexcGood3 3 2 2 4" xfId="3997"/>
    <cellStyle name="SAPBEXexcGood3 3 2 3" xfId="3998"/>
    <cellStyle name="SAPBEXexcGood3 3 2 4" xfId="3999"/>
    <cellStyle name="SAPBEXexcGood3 3 2 5" xfId="4000"/>
    <cellStyle name="SAPBEXexcGood3 3 3" xfId="4001"/>
    <cellStyle name="SAPBEXexcGood3 3 3 2" xfId="4002"/>
    <cellStyle name="SAPBEXexcGood3 3 3 2 2" xfId="4003"/>
    <cellStyle name="SAPBEXexcGood3 3 3 2 3" xfId="4004"/>
    <cellStyle name="SAPBEXexcGood3 3 3 2 4" xfId="4005"/>
    <cellStyle name="SAPBEXexcGood3 3 3 3" xfId="4006"/>
    <cellStyle name="SAPBEXexcGood3 3 3 4" xfId="4007"/>
    <cellStyle name="SAPBEXexcGood3 3 3 5" xfId="4008"/>
    <cellStyle name="SAPBEXexcGood3 3 4" xfId="4009"/>
    <cellStyle name="SAPBEXexcGood3 3 4 2" xfId="4010"/>
    <cellStyle name="SAPBEXexcGood3 3 4 3" xfId="4011"/>
    <cellStyle name="SAPBEXexcGood3 3 4 4" xfId="4012"/>
    <cellStyle name="SAPBEXexcGood3 3 5" xfId="4013"/>
    <cellStyle name="SAPBEXexcGood3 3 6" xfId="4014"/>
    <cellStyle name="SAPBEXexcGood3 3 7" xfId="4015"/>
    <cellStyle name="SAPBEXexcGood3 3 8" xfId="4016"/>
    <cellStyle name="SAPBEXexcGood3 4" xfId="4017"/>
    <cellStyle name="SAPBEXexcGood3 4 2" xfId="4018"/>
    <cellStyle name="SAPBEXexcGood3 4 2 2" xfId="4019"/>
    <cellStyle name="SAPBEXexcGood3 4 2 3" xfId="4020"/>
    <cellStyle name="SAPBEXexcGood3 4 2 4" xfId="4021"/>
    <cellStyle name="SAPBEXexcGood3 4 3" xfId="4022"/>
    <cellStyle name="SAPBEXexcGood3 4 4" xfId="4023"/>
    <cellStyle name="SAPBEXexcGood3 4 5" xfId="4024"/>
    <cellStyle name="SAPBEXexcGood3 5" xfId="4025"/>
    <cellStyle name="SAPBEXexcGood3 5 2" xfId="4026"/>
    <cellStyle name="SAPBEXexcGood3 5 2 2" xfId="4027"/>
    <cellStyle name="SAPBEXexcGood3 5 2 3" xfId="4028"/>
    <cellStyle name="SAPBEXexcGood3 5 2 4" xfId="4029"/>
    <cellStyle name="SAPBEXexcGood3 5 3" xfId="4030"/>
    <cellStyle name="SAPBEXexcGood3 5 4" xfId="4031"/>
    <cellStyle name="SAPBEXexcGood3 5 5" xfId="4032"/>
    <cellStyle name="SAPBEXexcGood3 6" xfId="4033"/>
    <cellStyle name="SAPBEXexcGood3 6 2" xfId="4034"/>
    <cellStyle name="SAPBEXexcGood3 6 3" xfId="4035"/>
    <cellStyle name="SAPBEXexcGood3 6 4" xfId="4036"/>
    <cellStyle name="SAPBEXexcGood3 7" xfId="4037"/>
    <cellStyle name="SAPBEXexcGood3 8" xfId="4038"/>
    <cellStyle name="SAPBEXexcGood3 9" xfId="4039"/>
    <cellStyle name="SAPBEXfilterDrill" xfId="4040"/>
    <cellStyle name="SAPBEXfilterDrill 10" xfId="4041"/>
    <cellStyle name="SAPBEXfilterDrill 11" xfId="4042"/>
    <cellStyle name="SAPBEXfilterDrill 12" xfId="4043"/>
    <cellStyle name="SAPBEXfilterDrill 13" xfId="4044"/>
    <cellStyle name="SAPBEXfilterDrill 14" xfId="4045"/>
    <cellStyle name="SAPBEXfilterDrill 2" xfId="4046"/>
    <cellStyle name="SAPBEXfilterDrill 2 10" xfId="4047"/>
    <cellStyle name="SAPBEXfilterDrill 2 11" xfId="4048"/>
    <cellStyle name="SAPBEXfilterDrill 2 2" xfId="4049"/>
    <cellStyle name="SAPBEXfilterDrill 2 2 2" xfId="4050"/>
    <cellStyle name="SAPBEXfilterDrill 2 2 2 2" xfId="4051"/>
    <cellStyle name="SAPBEXfilterDrill 2 2 2 3" xfId="4052"/>
    <cellStyle name="SAPBEXfilterDrill 2 2 2 4" xfId="4053"/>
    <cellStyle name="SAPBEXfilterDrill 2 2 2 5" xfId="4054"/>
    <cellStyle name="SAPBEXfilterDrill 2 2 2 6" xfId="4055"/>
    <cellStyle name="SAPBEXfilterDrill 2 2 3" xfId="4056"/>
    <cellStyle name="SAPBEXfilterDrill 2 2 3 2" xfId="4057"/>
    <cellStyle name="SAPBEXfilterDrill 2 2 3 3" xfId="4058"/>
    <cellStyle name="SAPBEXfilterDrill 2 2 3 4" xfId="4059"/>
    <cellStyle name="SAPBEXfilterDrill 2 2 3 5" xfId="4060"/>
    <cellStyle name="SAPBEXfilterDrill 2 2 3 6" xfId="4061"/>
    <cellStyle name="SAPBEXfilterDrill 2 2 4" xfId="4062"/>
    <cellStyle name="SAPBEXfilterDrill 2 2 4 2" xfId="4063"/>
    <cellStyle name="SAPBEXfilterDrill 2 2 4 3" xfId="4064"/>
    <cellStyle name="SAPBEXfilterDrill 2 2 4 4" xfId="4065"/>
    <cellStyle name="SAPBEXfilterDrill 2 2 4 5" xfId="4066"/>
    <cellStyle name="SAPBEXfilterDrill 2 2 5" xfId="4067"/>
    <cellStyle name="SAPBEXfilterDrill 2 2 6" xfId="4068"/>
    <cellStyle name="SAPBEXfilterDrill 2 2 7" xfId="4069"/>
    <cellStyle name="SAPBEXfilterDrill 2 2 8" xfId="4070"/>
    <cellStyle name="SAPBEXfilterDrill 2 2 9" xfId="4071"/>
    <cellStyle name="SAPBEXfilterDrill 2 3" xfId="4072"/>
    <cellStyle name="SAPBEXfilterDrill 2 3 2" xfId="4073"/>
    <cellStyle name="SAPBEXfilterDrill 2 3 2 2" xfId="4074"/>
    <cellStyle name="SAPBEXfilterDrill 2 3 2 3" xfId="4075"/>
    <cellStyle name="SAPBEXfilterDrill 2 3 2 4" xfId="4076"/>
    <cellStyle name="SAPBEXfilterDrill 2 3 2 5" xfId="4077"/>
    <cellStyle name="SAPBEXfilterDrill 2 3 2 6" xfId="4078"/>
    <cellStyle name="SAPBEXfilterDrill 2 3 3" xfId="4079"/>
    <cellStyle name="SAPBEXfilterDrill 2 3 3 2" xfId="4080"/>
    <cellStyle name="SAPBEXfilterDrill 2 3 3 3" xfId="4081"/>
    <cellStyle name="SAPBEXfilterDrill 2 3 3 4" xfId="4082"/>
    <cellStyle name="SAPBEXfilterDrill 2 3 3 5" xfId="4083"/>
    <cellStyle name="SAPBEXfilterDrill 2 3 3 6" xfId="4084"/>
    <cellStyle name="SAPBEXfilterDrill 2 3 4" xfId="4085"/>
    <cellStyle name="SAPBEXfilterDrill 2 3 4 2" xfId="4086"/>
    <cellStyle name="SAPBEXfilterDrill 2 3 4 3" xfId="4087"/>
    <cellStyle name="SAPBEXfilterDrill 2 3 4 4" xfId="4088"/>
    <cellStyle name="SAPBEXfilterDrill 2 3 4 5" xfId="4089"/>
    <cellStyle name="SAPBEXfilterDrill 2 3 5" xfId="4090"/>
    <cellStyle name="SAPBEXfilterDrill 2 3 6" xfId="4091"/>
    <cellStyle name="SAPBEXfilterDrill 2 3 7" xfId="4092"/>
    <cellStyle name="SAPBEXfilterDrill 2 3 8" xfId="4093"/>
    <cellStyle name="SAPBEXfilterDrill 2 3 9" xfId="4094"/>
    <cellStyle name="SAPBEXfilterDrill 2 4" xfId="4095"/>
    <cellStyle name="SAPBEXfilterDrill 2 4 2" xfId="4096"/>
    <cellStyle name="SAPBEXfilterDrill 2 4 3" xfId="4097"/>
    <cellStyle name="SAPBEXfilterDrill 2 4 4" xfId="4098"/>
    <cellStyle name="SAPBEXfilterDrill 2 4 5" xfId="4099"/>
    <cellStyle name="SAPBEXfilterDrill 2 4 6" xfId="4100"/>
    <cellStyle name="SAPBEXfilterDrill 2 5" xfId="4101"/>
    <cellStyle name="SAPBEXfilterDrill 2 5 2" xfId="4102"/>
    <cellStyle name="SAPBEXfilterDrill 2 5 3" xfId="4103"/>
    <cellStyle name="SAPBEXfilterDrill 2 5 4" xfId="4104"/>
    <cellStyle name="SAPBEXfilterDrill 2 5 5" xfId="4105"/>
    <cellStyle name="SAPBEXfilterDrill 2 5 6" xfId="4106"/>
    <cellStyle name="SAPBEXfilterDrill 2 6" xfId="4107"/>
    <cellStyle name="SAPBEXfilterDrill 2 6 2" xfId="4108"/>
    <cellStyle name="SAPBEXfilterDrill 2 6 3" xfId="4109"/>
    <cellStyle name="SAPBEXfilterDrill 2 6 4" xfId="4110"/>
    <cellStyle name="SAPBEXfilterDrill 2 6 5" xfId="4111"/>
    <cellStyle name="SAPBEXfilterDrill 2 7" xfId="4112"/>
    <cellStyle name="SAPBEXfilterDrill 2 8" xfId="4113"/>
    <cellStyle name="SAPBEXfilterDrill 2 9" xfId="4114"/>
    <cellStyle name="SAPBEXfilterDrill 3" xfId="4115"/>
    <cellStyle name="SAPBEXfilterDrill 3 2" xfId="4116"/>
    <cellStyle name="SAPBEXfilterDrill 3 2 2" xfId="4117"/>
    <cellStyle name="SAPBEXfilterDrill 3 2 3" xfId="4118"/>
    <cellStyle name="SAPBEXfilterDrill 3 2 4" xfId="4119"/>
    <cellStyle name="SAPBEXfilterDrill 3 2 5" xfId="4120"/>
    <cellStyle name="SAPBEXfilterDrill 3 2 6" xfId="4121"/>
    <cellStyle name="SAPBEXfilterDrill 3 3" xfId="4122"/>
    <cellStyle name="SAPBEXfilterDrill 3 3 2" xfId="4123"/>
    <cellStyle name="SAPBEXfilterDrill 3 3 3" xfId="4124"/>
    <cellStyle name="SAPBEXfilterDrill 3 3 4" xfId="4125"/>
    <cellStyle name="SAPBEXfilterDrill 3 3 5" xfId="4126"/>
    <cellStyle name="SAPBEXfilterDrill 3 3 6" xfId="4127"/>
    <cellStyle name="SAPBEXfilterDrill 3 4" xfId="4128"/>
    <cellStyle name="SAPBEXfilterDrill 3 4 2" xfId="4129"/>
    <cellStyle name="SAPBEXfilterDrill 3 4 3" xfId="4130"/>
    <cellStyle name="SAPBEXfilterDrill 3 4 4" xfId="4131"/>
    <cellStyle name="SAPBEXfilterDrill 3 4 5" xfId="4132"/>
    <cellStyle name="SAPBEXfilterDrill 3 5" xfId="4133"/>
    <cellStyle name="SAPBEXfilterDrill 3 6" xfId="4134"/>
    <cellStyle name="SAPBEXfilterDrill 3 7" xfId="4135"/>
    <cellStyle name="SAPBEXfilterDrill 3 8" xfId="4136"/>
    <cellStyle name="SAPBEXfilterDrill 3 9" xfId="4137"/>
    <cellStyle name="SAPBEXfilterDrill 4" xfId="4138"/>
    <cellStyle name="SAPBEXfilterDrill 4 2" xfId="4139"/>
    <cellStyle name="SAPBEXfilterDrill 4 2 2" xfId="4140"/>
    <cellStyle name="SAPBEXfilterDrill 4 2 3" xfId="4141"/>
    <cellStyle name="SAPBEXfilterDrill 4 2 4" xfId="4142"/>
    <cellStyle name="SAPBEXfilterDrill 4 2 5" xfId="4143"/>
    <cellStyle name="SAPBEXfilterDrill 4 2 6" xfId="4144"/>
    <cellStyle name="SAPBEXfilterDrill 4 3" xfId="4145"/>
    <cellStyle name="SAPBEXfilterDrill 4 3 2" xfId="4146"/>
    <cellStyle name="SAPBEXfilterDrill 4 3 3" xfId="4147"/>
    <cellStyle name="SAPBEXfilterDrill 4 3 4" xfId="4148"/>
    <cellStyle name="SAPBEXfilterDrill 4 3 5" xfId="4149"/>
    <cellStyle name="SAPBEXfilterDrill 4 3 6" xfId="4150"/>
    <cellStyle name="SAPBEXfilterDrill 4 4" xfId="4151"/>
    <cellStyle name="SAPBEXfilterDrill 4 4 2" xfId="4152"/>
    <cellStyle name="SAPBEXfilterDrill 4 4 3" xfId="4153"/>
    <cellStyle name="SAPBEXfilterDrill 4 4 4" xfId="4154"/>
    <cellStyle name="SAPBEXfilterDrill 4 4 5" xfId="4155"/>
    <cellStyle name="SAPBEXfilterDrill 4 5" xfId="4156"/>
    <cellStyle name="SAPBEXfilterDrill 4 6" xfId="4157"/>
    <cellStyle name="SAPBEXfilterDrill 4 7" xfId="4158"/>
    <cellStyle name="SAPBEXfilterDrill 4 8" xfId="4159"/>
    <cellStyle name="SAPBEXfilterDrill 4 9" xfId="4160"/>
    <cellStyle name="SAPBEXfilterDrill 5" xfId="4161"/>
    <cellStyle name="SAPBEXfilterDrill 5 2" xfId="4162"/>
    <cellStyle name="SAPBEXfilterDrill 5 2 2" xfId="4163"/>
    <cellStyle name="SAPBEXfilterDrill 5 2 3" xfId="4164"/>
    <cellStyle name="SAPBEXfilterDrill 5 2 4" xfId="4165"/>
    <cellStyle name="SAPBEXfilterDrill 5 2 5" xfId="4166"/>
    <cellStyle name="SAPBEXfilterDrill 5 2 6" xfId="4167"/>
    <cellStyle name="SAPBEXfilterDrill 5 3" xfId="4168"/>
    <cellStyle name="SAPBEXfilterDrill 5 3 2" xfId="4169"/>
    <cellStyle name="SAPBEXfilterDrill 5 3 3" xfId="4170"/>
    <cellStyle name="SAPBEXfilterDrill 5 3 4" xfId="4171"/>
    <cellStyle name="SAPBEXfilterDrill 5 3 5" xfId="4172"/>
    <cellStyle name="SAPBEXfilterDrill 5 3 6" xfId="4173"/>
    <cellStyle name="SAPBEXfilterDrill 5 4" xfId="4174"/>
    <cellStyle name="SAPBEXfilterDrill 5 4 2" xfId="4175"/>
    <cellStyle name="SAPBEXfilterDrill 5 4 3" xfId="4176"/>
    <cellStyle name="SAPBEXfilterDrill 5 4 4" xfId="4177"/>
    <cellStyle name="SAPBEXfilterDrill 5 4 5" xfId="4178"/>
    <cellStyle name="SAPBEXfilterDrill 5 5" xfId="4179"/>
    <cellStyle name="SAPBEXfilterDrill 5 6" xfId="4180"/>
    <cellStyle name="SAPBEXfilterDrill 5 7" xfId="4181"/>
    <cellStyle name="SAPBEXfilterDrill 5 8" xfId="4182"/>
    <cellStyle name="SAPBEXfilterDrill 5 9" xfId="4183"/>
    <cellStyle name="SAPBEXfilterDrill 6" xfId="4184"/>
    <cellStyle name="SAPBEXfilterDrill 6 2" xfId="4185"/>
    <cellStyle name="SAPBEXfilterDrill 6 3" xfId="4186"/>
    <cellStyle name="SAPBEXfilterDrill 6 4" xfId="4187"/>
    <cellStyle name="SAPBEXfilterDrill 6 5" xfId="4188"/>
    <cellStyle name="SAPBEXfilterDrill 6 6" xfId="4189"/>
    <cellStyle name="SAPBEXfilterDrill 7" xfId="4190"/>
    <cellStyle name="SAPBEXfilterDrill 7 2" xfId="4191"/>
    <cellStyle name="SAPBEXfilterDrill 7 3" xfId="4192"/>
    <cellStyle name="SAPBEXfilterDrill 7 4" xfId="4193"/>
    <cellStyle name="SAPBEXfilterDrill 7 5" xfId="4194"/>
    <cellStyle name="SAPBEXfilterDrill 7 6" xfId="4195"/>
    <cellStyle name="SAPBEXfilterDrill 8" xfId="4196"/>
    <cellStyle name="SAPBEXfilterDrill 8 2" xfId="4197"/>
    <cellStyle name="SAPBEXfilterDrill 8 3" xfId="4198"/>
    <cellStyle name="SAPBEXfilterDrill 8 4" xfId="4199"/>
    <cellStyle name="SAPBEXfilterDrill 8 5" xfId="4200"/>
    <cellStyle name="SAPBEXfilterDrill 8 6" xfId="4201"/>
    <cellStyle name="SAPBEXfilterDrill 9" xfId="4202"/>
    <cellStyle name="SAPBEXfilterDrill 9 2" xfId="4203"/>
    <cellStyle name="SAPBEXfilterDrill 9 3" xfId="4204"/>
    <cellStyle name="SAPBEXfilterDrill 9 4" xfId="4205"/>
    <cellStyle name="SAPBEXfilterDrill 9 5" xfId="4206"/>
    <cellStyle name="SAPBEXfilterItem" xfId="4207"/>
    <cellStyle name="SAPBEXfilterText" xfId="4208"/>
    <cellStyle name="SAPBEXformats" xfId="4209"/>
    <cellStyle name="SAPBEXformats 2" xfId="4210"/>
    <cellStyle name="SAPBEXformats 2 2" xfId="4211"/>
    <cellStyle name="SAPBEXformats 2 2 2" xfId="4212"/>
    <cellStyle name="SAPBEXformats 2 2 2 2" xfId="4213"/>
    <cellStyle name="SAPBEXformats 2 2 2 2 2" xfId="4214"/>
    <cellStyle name="SAPBEXformats 2 2 2 2 3" xfId="4215"/>
    <cellStyle name="SAPBEXformats 2 2 2 2 4" xfId="4216"/>
    <cellStyle name="SAPBEXformats 2 2 2 3" xfId="4217"/>
    <cellStyle name="SAPBEXformats 2 2 2 4" xfId="4218"/>
    <cellStyle name="SAPBEXformats 2 2 2 5" xfId="4219"/>
    <cellStyle name="SAPBEXformats 2 2 3" xfId="4220"/>
    <cellStyle name="SAPBEXformats 2 2 3 2" xfId="4221"/>
    <cellStyle name="SAPBEXformats 2 2 3 2 2" xfId="4222"/>
    <cellStyle name="SAPBEXformats 2 2 3 2 3" xfId="4223"/>
    <cellStyle name="SAPBEXformats 2 2 3 2 4" xfId="4224"/>
    <cellStyle name="SAPBEXformats 2 2 3 3" xfId="4225"/>
    <cellStyle name="SAPBEXformats 2 2 3 4" xfId="4226"/>
    <cellStyle name="SAPBEXformats 2 2 3 5" xfId="4227"/>
    <cellStyle name="SAPBEXformats 2 2 4" xfId="4228"/>
    <cellStyle name="SAPBEXformats 2 2 4 2" xfId="4229"/>
    <cellStyle name="SAPBEXformats 2 2 4 3" xfId="4230"/>
    <cellStyle name="SAPBEXformats 2 2 4 4" xfId="4231"/>
    <cellStyle name="SAPBEXformats 2 2 5" xfId="4232"/>
    <cellStyle name="SAPBEXformats 2 2 6" xfId="4233"/>
    <cellStyle name="SAPBEXformats 2 2 7" xfId="4234"/>
    <cellStyle name="SAPBEXformats 2 2 8" xfId="4235"/>
    <cellStyle name="SAPBEXformats 2 3" xfId="4236"/>
    <cellStyle name="SAPBEXformats 2 3 2" xfId="4237"/>
    <cellStyle name="SAPBEXformats 2 3 2 2" xfId="4238"/>
    <cellStyle name="SAPBEXformats 2 3 2 3" xfId="4239"/>
    <cellStyle name="SAPBEXformats 2 3 2 4" xfId="4240"/>
    <cellStyle name="SAPBEXformats 2 3 3" xfId="4241"/>
    <cellStyle name="SAPBEXformats 2 3 4" xfId="4242"/>
    <cellStyle name="SAPBEXformats 2 3 5" xfId="4243"/>
    <cellStyle name="SAPBEXformats 2 4" xfId="4244"/>
    <cellStyle name="SAPBEXformats 2 4 2" xfId="4245"/>
    <cellStyle name="SAPBEXformats 2 4 2 2" xfId="4246"/>
    <cellStyle name="SAPBEXformats 2 4 2 3" xfId="4247"/>
    <cellStyle name="SAPBEXformats 2 4 2 4" xfId="4248"/>
    <cellStyle name="SAPBEXformats 2 4 3" xfId="4249"/>
    <cellStyle name="SAPBEXformats 2 4 4" xfId="4250"/>
    <cellStyle name="SAPBEXformats 2 4 5" xfId="4251"/>
    <cellStyle name="SAPBEXformats 2 5" xfId="4252"/>
    <cellStyle name="SAPBEXformats 2 5 2" xfId="4253"/>
    <cellStyle name="SAPBEXformats 2 5 3" xfId="4254"/>
    <cellStyle name="SAPBEXformats 2 5 4" xfId="4255"/>
    <cellStyle name="SAPBEXformats 2 6" xfId="4256"/>
    <cellStyle name="SAPBEXformats 2 7" xfId="4257"/>
    <cellStyle name="SAPBEXformats 2 8" xfId="4258"/>
    <cellStyle name="SAPBEXformats 3" xfId="4259"/>
    <cellStyle name="SAPBEXformats 3 2" xfId="4260"/>
    <cellStyle name="SAPBEXformats 3 2 2" xfId="4261"/>
    <cellStyle name="SAPBEXformats 3 2 2 2" xfId="4262"/>
    <cellStyle name="SAPBEXformats 3 2 2 3" xfId="4263"/>
    <cellStyle name="SAPBEXformats 3 2 2 4" xfId="4264"/>
    <cellStyle name="SAPBEXformats 3 2 3" xfId="4265"/>
    <cellStyle name="SAPBEXformats 3 2 4" xfId="4266"/>
    <cellStyle name="SAPBEXformats 3 2 5" xfId="4267"/>
    <cellStyle name="SAPBEXformats 3 3" xfId="4268"/>
    <cellStyle name="SAPBEXformats 3 3 2" xfId="4269"/>
    <cellStyle name="SAPBEXformats 3 3 2 2" xfId="4270"/>
    <cellStyle name="SAPBEXformats 3 3 2 3" xfId="4271"/>
    <cellStyle name="SAPBEXformats 3 3 2 4" xfId="4272"/>
    <cellStyle name="SAPBEXformats 3 3 3" xfId="4273"/>
    <cellStyle name="SAPBEXformats 3 3 4" xfId="4274"/>
    <cellStyle name="SAPBEXformats 3 3 5" xfId="4275"/>
    <cellStyle name="SAPBEXformats 3 4" xfId="4276"/>
    <cellStyle name="SAPBEXformats 3 4 2" xfId="4277"/>
    <cellStyle name="SAPBEXformats 3 4 3" xfId="4278"/>
    <cellStyle name="SAPBEXformats 3 4 4" xfId="4279"/>
    <cellStyle name="SAPBEXformats 3 5" xfId="4280"/>
    <cellStyle name="SAPBEXformats 3 6" xfId="4281"/>
    <cellStyle name="SAPBEXformats 3 7" xfId="4282"/>
    <cellStyle name="SAPBEXformats 3 8" xfId="4283"/>
    <cellStyle name="SAPBEXformats 4" xfId="4284"/>
    <cellStyle name="SAPBEXformats 4 2" xfId="4285"/>
    <cellStyle name="SAPBEXformats 4 2 2" xfId="4286"/>
    <cellStyle name="SAPBEXformats 4 2 3" xfId="4287"/>
    <cellStyle name="SAPBEXformats 4 2 4" xfId="4288"/>
    <cellStyle name="SAPBEXformats 4 3" xfId="4289"/>
    <cellStyle name="SAPBEXformats 4 4" xfId="4290"/>
    <cellStyle name="SAPBEXformats 4 5" xfId="4291"/>
    <cellStyle name="SAPBEXformats 5" xfId="4292"/>
    <cellStyle name="SAPBEXformats 5 2" xfId="4293"/>
    <cellStyle name="SAPBEXformats 5 2 2" xfId="4294"/>
    <cellStyle name="SAPBEXformats 5 2 3" xfId="4295"/>
    <cellStyle name="SAPBEXformats 5 2 4" xfId="4296"/>
    <cellStyle name="SAPBEXformats 5 3" xfId="4297"/>
    <cellStyle name="SAPBEXformats 5 4" xfId="4298"/>
    <cellStyle name="SAPBEXformats 5 5" xfId="4299"/>
    <cellStyle name="SAPBEXformats 6" xfId="4300"/>
    <cellStyle name="SAPBEXformats 6 2" xfId="4301"/>
    <cellStyle name="SAPBEXformats 6 3" xfId="4302"/>
    <cellStyle name="SAPBEXformats 6 4" xfId="4303"/>
    <cellStyle name="SAPBEXformats 7" xfId="4304"/>
    <cellStyle name="SAPBEXformats 8" xfId="4305"/>
    <cellStyle name="SAPBEXformats 9" xfId="4306"/>
    <cellStyle name="SAPBEXheaderItem" xfId="4307"/>
    <cellStyle name="SAPBEXheaderText" xfId="4308"/>
    <cellStyle name="SAPBEXHLevel0" xfId="4309"/>
    <cellStyle name="SAPBEXHLevel0 2" xfId="4310"/>
    <cellStyle name="SAPBEXHLevel0 2 2" xfId="4311"/>
    <cellStyle name="SAPBEXHLevel0 2 2 2" xfId="4312"/>
    <cellStyle name="SAPBEXHLevel0 2 2 2 2" xfId="4313"/>
    <cellStyle name="SAPBEXHLevel0 2 2 2 2 2" xfId="4314"/>
    <cellStyle name="SAPBEXHLevel0 2 2 2 2 3" xfId="4315"/>
    <cellStyle name="SAPBEXHLevel0 2 2 2 2 4" xfId="4316"/>
    <cellStyle name="SAPBEXHLevel0 2 2 2 3" xfId="4317"/>
    <cellStyle name="SAPBEXHLevel0 2 2 2 4" xfId="4318"/>
    <cellStyle name="SAPBEXHLevel0 2 2 2 5" xfId="4319"/>
    <cellStyle name="SAPBEXHLevel0 2 2 3" xfId="4320"/>
    <cellStyle name="SAPBEXHLevel0 2 2 3 2" xfId="4321"/>
    <cellStyle name="SAPBEXHLevel0 2 2 3 2 2" xfId="4322"/>
    <cellStyle name="SAPBEXHLevel0 2 2 3 2 3" xfId="4323"/>
    <cellStyle name="SAPBEXHLevel0 2 2 3 2 4" xfId="4324"/>
    <cellStyle name="SAPBEXHLevel0 2 2 3 3" xfId="4325"/>
    <cellStyle name="SAPBEXHLevel0 2 2 3 4" xfId="4326"/>
    <cellStyle name="SAPBEXHLevel0 2 2 3 5" xfId="4327"/>
    <cellStyle name="SAPBEXHLevel0 2 2 4" xfId="4328"/>
    <cellStyle name="SAPBEXHLevel0 2 2 4 2" xfId="4329"/>
    <cellStyle name="SAPBEXHLevel0 2 2 4 3" xfId="4330"/>
    <cellStyle name="SAPBEXHLevel0 2 2 4 4" xfId="4331"/>
    <cellStyle name="SAPBEXHLevel0 2 2 5" xfId="4332"/>
    <cellStyle name="SAPBEXHLevel0 2 2 6" xfId="4333"/>
    <cellStyle name="SAPBEXHLevel0 2 2 7" xfId="4334"/>
    <cellStyle name="SAPBEXHLevel0 2 2 8" xfId="4335"/>
    <cellStyle name="SAPBEXHLevel0 2 3" xfId="4336"/>
    <cellStyle name="SAPBEXHLevel0 2 3 2" xfId="4337"/>
    <cellStyle name="SAPBEXHLevel0 2 3 2 2" xfId="4338"/>
    <cellStyle name="SAPBEXHLevel0 2 3 2 3" xfId="4339"/>
    <cellStyle name="SAPBEXHLevel0 2 3 2 4" xfId="4340"/>
    <cellStyle name="SAPBEXHLevel0 2 3 3" xfId="4341"/>
    <cellStyle name="SAPBEXHLevel0 2 3 4" xfId="4342"/>
    <cellStyle name="SAPBEXHLevel0 2 3 5" xfId="4343"/>
    <cellStyle name="SAPBEXHLevel0 2 4" xfId="4344"/>
    <cellStyle name="SAPBEXHLevel0 2 4 2" xfId="4345"/>
    <cellStyle name="SAPBEXHLevel0 2 4 2 2" xfId="4346"/>
    <cellStyle name="SAPBEXHLevel0 2 4 2 3" xfId="4347"/>
    <cellStyle name="SAPBEXHLevel0 2 4 2 4" xfId="4348"/>
    <cellStyle name="SAPBEXHLevel0 2 4 3" xfId="4349"/>
    <cellStyle name="SAPBEXHLevel0 2 4 4" xfId="4350"/>
    <cellStyle name="SAPBEXHLevel0 2 4 5" xfId="4351"/>
    <cellStyle name="SAPBEXHLevel0 2 5" xfId="4352"/>
    <cellStyle name="SAPBEXHLevel0 2 5 2" xfId="4353"/>
    <cellStyle name="SAPBEXHLevel0 2 5 3" xfId="4354"/>
    <cellStyle name="SAPBEXHLevel0 2 5 4" xfId="4355"/>
    <cellStyle name="SAPBEXHLevel0 2 6" xfId="4356"/>
    <cellStyle name="SAPBEXHLevel0 2 7" xfId="4357"/>
    <cellStyle name="SAPBEXHLevel0 2 8" xfId="4358"/>
    <cellStyle name="SAPBEXHLevel0 3" xfId="4359"/>
    <cellStyle name="SAPBEXHLevel0 3 2" xfId="4360"/>
    <cellStyle name="SAPBEXHLevel0 3 2 2" xfId="4361"/>
    <cellStyle name="SAPBEXHLevel0 3 2 2 2" xfId="4362"/>
    <cellStyle name="SAPBEXHLevel0 3 2 2 3" xfId="4363"/>
    <cellStyle name="SAPBEXHLevel0 3 2 2 4" xfId="4364"/>
    <cellStyle name="SAPBEXHLevel0 3 2 3" xfId="4365"/>
    <cellStyle name="SAPBEXHLevel0 3 2 4" xfId="4366"/>
    <cellStyle name="SAPBEXHLevel0 3 2 5" xfId="4367"/>
    <cellStyle name="SAPBEXHLevel0 3 3" xfId="4368"/>
    <cellStyle name="SAPBEXHLevel0 3 3 2" xfId="4369"/>
    <cellStyle name="SAPBEXHLevel0 3 3 2 2" xfId="4370"/>
    <cellStyle name="SAPBEXHLevel0 3 3 2 3" xfId="4371"/>
    <cellStyle name="SAPBEXHLevel0 3 3 2 4" xfId="4372"/>
    <cellStyle name="SAPBEXHLevel0 3 3 3" xfId="4373"/>
    <cellStyle name="SAPBEXHLevel0 3 3 4" xfId="4374"/>
    <cellStyle name="SAPBEXHLevel0 3 3 5" xfId="4375"/>
    <cellStyle name="SAPBEXHLevel0 3 4" xfId="4376"/>
    <cellStyle name="SAPBEXHLevel0 3 4 2" xfId="4377"/>
    <cellStyle name="SAPBEXHLevel0 3 4 3" xfId="4378"/>
    <cellStyle name="SAPBEXHLevel0 3 4 4" xfId="4379"/>
    <cellStyle name="SAPBEXHLevel0 3 5" xfId="4380"/>
    <cellStyle name="SAPBEXHLevel0 3 6" xfId="4381"/>
    <cellStyle name="SAPBEXHLevel0 3 7" xfId="4382"/>
    <cellStyle name="SAPBEXHLevel0 3 8" xfId="4383"/>
    <cellStyle name="SAPBEXHLevel0 4" xfId="4384"/>
    <cellStyle name="SAPBEXHLevel0 4 2" xfId="4385"/>
    <cellStyle name="SAPBEXHLevel0 4 2 2" xfId="4386"/>
    <cellStyle name="SAPBEXHLevel0 4 2 3" xfId="4387"/>
    <cellStyle name="SAPBEXHLevel0 4 2 4" xfId="4388"/>
    <cellStyle name="SAPBEXHLevel0 4 3" xfId="4389"/>
    <cellStyle name="SAPBEXHLevel0 4 4" xfId="4390"/>
    <cellStyle name="SAPBEXHLevel0 4 5" xfId="4391"/>
    <cellStyle name="SAPBEXHLevel0 5" xfId="4392"/>
    <cellStyle name="SAPBEXHLevel0 5 2" xfId="4393"/>
    <cellStyle name="SAPBEXHLevel0 5 2 2" xfId="4394"/>
    <cellStyle name="SAPBEXHLevel0 5 2 3" xfId="4395"/>
    <cellStyle name="SAPBEXHLevel0 5 2 4" xfId="4396"/>
    <cellStyle name="SAPBEXHLevel0 5 3" xfId="4397"/>
    <cellStyle name="SAPBEXHLevel0 5 4" xfId="4398"/>
    <cellStyle name="SAPBEXHLevel0 5 5" xfId="4399"/>
    <cellStyle name="SAPBEXHLevel0 6" xfId="4400"/>
    <cellStyle name="SAPBEXHLevel0 6 2" xfId="4401"/>
    <cellStyle name="SAPBEXHLevel0 6 3" xfId="4402"/>
    <cellStyle name="SAPBEXHLevel0 6 4" xfId="4403"/>
    <cellStyle name="SAPBEXHLevel0 7" xfId="4404"/>
    <cellStyle name="SAPBEXHLevel0 8" xfId="4405"/>
    <cellStyle name="SAPBEXHLevel0 9" xfId="4406"/>
    <cellStyle name="SAPBEXHLevel0X" xfId="4407"/>
    <cellStyle name="SAPBEXHLevel0X 2" xfId="4408"/>
    <cellStyle name="SAPBEXHLevel0X 2 2" xfId="4409"/>
    <cellStyle name="SAPBEXHLevel0X 2 2 2" xfId="4410"/>
    <cellStyle name="SAPBEXHLevel0X 2 2 2 2" xfId="4411"/>
    <cellStyle name="SAPBEXHLevel0X 2 2 2 2 2" xfId="4412"/>
    <cellStyle name="SAPBEXHLevel0X 2 2 2 2 3" xfId="4413"/>
    <cellStyle name="SAPBEXHLevel0X 2 2 2 2 4" xfId="4414"/>
    <cellStyle name="SAPBEXHLevel0X 2 2 2 3" xfId="4415"/>
    <cellStyle name="SAPBEXHLevel0X 2 2 2 4" xfId="4416"/>
    <cellStyle name="SAPBEXHLevel0X 2 2 2 5" xfId="4417"/>
    <cellStyle name="SAPBEXHLevel0X 2 2 3" xfId="4418"/>
    <cellStyle name="SAPBEXHLevel0X 2 2 3 2" xfId="4419"/>
    <cellStyle name="SAPBEXHLevel0X 2 2 3 2 2" xfId="4420"/>
    <cellStyle name="SAPBEXHLevel0X 2 2 3 2 3" xfId="4421"/>
    <cellStyle name="SAPBEXHLevel0X 2 2 3 2 4" xfId="4422"/>
    <cellStyle name="SAPBEXHLevel0X 2 2 3 3" xfId="4423"/>
    <cellStyle name="SAPBEXHLevel0X 2 2 3 4" xfId="4424"/>
    <cellStyle name="SAPBEXHLevel0X 2 2 3 5" xfId="4425"/>
    <cellStyle name="SAPBEXHLevel0X 2 2 4" xfId="4426"/>
    <cellStyle name="SAPBEXHLevel0X 2 2 4 2" xfId="4427"/>
    <cellStyle name="SAPBEXHLevel0X 2 2 4 3" xfId="4428"/>
    <cellStyle name="SAPBEXHLevel0X 2 2 4 4" xfId="4429"/>
    <cellStyle name="SAPBEXHLevel0X 2 2 5" xfId="4430"/>
    <cellStyle name="SAPBEXHLevel0X 2 2 6" xfId="4431"/>
    <cellStyle name="SAPBEXHLevel0X 2 2 7" xfId="4432"/>
    <cellStyle name="SAPBEXHLevel0X 2 2 8" xfId="4433"/>
    <cellStyle name="SAPBEXHLevel0X 2 3" xfId="4434"/>
    <cellStyle name="SAPBEXHLevel0X 2 3 2" xfId="4435"/>
    <cellStyle name="SAPBEXHLevel0X 2 3 2 2" xfId="4436"/>
    <cellStyle name="SAPBEXHLevel0X 2 3 2 3" xfId="4437"/>
    <cellStyle name="SAPBEXHLevel0X 2 3 2 4" xfId="4438"/>
    <cellStyle name="SAPBEXHLevel0X 2 3 3" xfId="4439"/>
    <cellStyle name="SAPBEXHLevel0X 2 3 4" xfId="4440"/>
    <cellStyle name="SAPBEXHLevel0X 2 3 5" xfId="4441"/>
    <cellStyle name="SAPBEXHLevel0X 2 4" xfId="4442"/>
    <cellStyle name="SAPBEXHLevel0X 2 4 2" xfId="4443"/>
    <cellStyle name="SAPBEXHLevel0X 2 4 2 2" xfId="4444"/>
    <cellStyle name="SAPBEXHLevel0X 2 4 2 3" xfId="4445"/>
    <cellStyle name="SAPBEXHLevel0X 2 4 2 4" xfId="4446"/>
    <cellStyle name="SAPBEXHLevel0X 2 4 3" xfId="4447"/>
    <cellStyle name="SAPBEXHLevel0X 2 4 4" xfId="4448"/>
    <cellStyle name="SAPBEXHLevel0X 2 4 5" xfId="4449"/>
    <cellStyle name="SAPBEXHLevel0X 2 5" xfId="4450"/>
    <cellStyle name="SAPBEXHLevel0X 2 5 2" xfId="4451"/>
    <cellStyle name="SAPBEXHLevel0X 2 5 3" xfId="4452"/>
    <cellStyle name="SAPBEXHLevel0X 2 5 4" xfId="4453"/>
    <cellStyle name="SAPBEXHLevel0X 2 6" xfId="4454"/>
    <cellStyle name="SAPBEXHLevel0X 2 7" xfId="4455"/>
    <cellStyle name="SAPBEXHLevel0X 2 8" xfId="4456"/>
    <cellStyle name="SAPBEXHLevel0X 3" xfId="4457"/>
    <cellStyle name="SAPBEXHLevel0X 3 2" xfId="4458"/>
    <cellStyle name="SAPBEXHLevel0X 3 2 2" xfId="4459"/>
    <cellStyle name="SAPBEXHLevel0X 3 2 2 2" xfId="4460"/>
    <cellStyle name="SAPBEXHLevel0X 3 2 2 3" xfId="4461"/>
    <cellStyle name="SAPBEXHLevel0X 3 2 2 4" xfId="4462"/>
    <cellStyle name="SAPBEXHLevel0X 3 2 3" xfId="4463"/>
    <cellStyle name="SAPBEXHLevel0X 3 2 4" xfId="4464"/>
    <cellStyle name="SAPBEXHLevel0X 3 2 5" xfId="4465"/>
    <cellStyle name="SAPBEXHLevel0X 3 3" xfId="4466"/>
    <cellStyle name="SAPBEXHLevel0X 3 3 2" xfId="4467"/>
    <cellStyle name="SAPBEXHLevel0X 3 3 2 2" xfId="4468"/>
    <cellStyle name="SAPBEXHLevel0X 3 3 2 3" xfId="4469"/>
    <cellStyle name="SAPBEXHLevel0X 3 3 2 4" xfId="4470"/>
    <cellStyle name="SAPBEXHLevel0X 3 3 3" xfId="4471"/>
    <cellStyle name="SAPBEXHLevel0X 3 3 4" xfId="4472"/>
    <cellStyle name="SAPBEXHLevel0X 3 3 5" xfId="4473"/>
    <cellStyle name="SAPBEXHLevel0X 3 4" xfId="4474"/>
    <cellStyle name="SAPBEXHLevel0X 3 4 2" xfId="4475"/>
    <cellStyle name="SAPBEXHLevel0X 3 4 3" xfId="4476"/>
    <cellStyle name="SAPBEXHLevel0X 3 4 4" xfId="4477"/>
    <cellStyle name="SAPBEXHLevel0X 3 5" xfId="4478"/>
    <cellStyle name="SAPBEXHLevel0X 3 6" xfId="4479"/>
    <cellStyle name="SAPBEXHLevel0X 3 7" xfId="4480"/>
    <cellStyle name="SAPBEXHLevel0X 3 8" xfId="4481"/>
    <cellStyle name="SAPBEXHLevel0X 4" xfId="4482"/>
    <cellStyle name="SAPBEXHLevel0X 4 2" xfId="4483"/>
    <cellStyle name="SAPBEXHLevel0X 4 2 2" xfId="4484"/>
    <cellStyle name="SAPBEXHLevel0X 4 2 3" xfId="4485"/>
    <cellStyle name="SAPBEXHLevel0X 4 2 4" xfId="4486"/>
    <cellStyle name="SAPBEXHLevel0X 4 3" xfId="4487"/>
    <cellStyle name="SAPBEXHLevel0X 4 4" xfId="4488"/>
    <cellStyle name="SAPBEXHLevel0X 4 5" xfId="4489"/>
    <cellStyle name="SAPBEXHLevel0X 5" xfId="4490"/>
    <cellStyle name="SAPBEXHLevel0X 5 2" xfId="4491"/>
    <cellStyle name="SAPBEXHLevel0X 5 2 2" xfId="4492"/>
    <cellStyle name="SAPBEXHLevel0X 5 2 3" xfId="4493"/>
    <cellStyle name="SAPBEXHLevel0X 5 2 4" xfId="4494"/>
    <cellStyle name="SAPBEXHLevel0X 5 3" xfId="4495"/>
    <cellStyle name="SAPBEXHLevel0X 5 4" xfId="4496"/>
    <cellStyle name="SAPBEXHLevel0X 5 5" xfId="4497"/>
    <cellStyle name="SAPBEXHLevel0X 6" xfId="4498"/>
    <cellStyle name="SAPBEXHLevel0X 6 2" xfId="4499"/>
    <cellStyle name="SAPBEXHLevel0X 6 3" xfId="4500"/>
    <cellStyle name="SAPBEXHLevel0X 6 4" xfId="4501"/>
    <cellStyle name="SAPBEXHLevel0X 7" xfId="4502"/>
    <cellStyle name="SAPBEXHLevel0X 8" xfId="4503"/>
    <cellStyle name="SAPBEXHLevel0X 9" xfId="4504"/>
    <cellStyle name="SAPBEXHLevel1" xfId="4505"/>
    <cellStyle name="SAPBEXHLevel1 2" xfId="4506"/>
    <cellStyle name="SAPBEXHLevel1 2 2" xfId="4507"/>
    <cellStyle name="SAPBEXHLevel1 2 2 2" xfId="4508"/>
    <cellStyle name="SAPBEXHLevel1 2 2 2 2" xfId="4509"/>
    <cellStyle name="SAPBEXHLevel1 2 2 2 2 2" xfId="4510"/>
    <cellStyle name="SAPBEXHLevel1 2 2 2 2 3" xfId="4511"/>
    <cellStyle name="SAPBEXHLevel1 2 2 2 2 4" xfId="4512"/>
    <cellStyle name="SAPBEXHLevel1 2 2 2 3" xfId="4513"/>
    <cellStyle name="SAPBEXHLevel1 2 2 2 4" xfId="4514"/>
    <cellStyle name="SAPBEXHLevel1 2 2 2 5" xfId="4515"/>
    <cellStyle name="SAPBEXHLevel1 2 2 3" xfId="4516"/>
    <cellStyle name="SAPBEXHLevel1 2 2 3 2" xfId="4517"/>
    <cellStyle name="SAPBEXHLevel1 2 2 3 2 2" xfId="4518"/>
    <cellStyle name="SAPBEXHLevel1 2 2 3 2 3" xfId="4519"/>
    <cellStyle name="SAPBEXHLevel1 2 2 3 2 4" xfId="4520"/>
    <cellStyle name="SAPBEXHLevel1 2 2 3 3" xfId="4521"/>
    <cellStyle name="SAPBEXHLevel1 2 2 3 4" xfId="4522"/>
    <cellStyle name="SAPBEXHLevel1 2 2 3 5" xfId="4523"/>
    <cellStyle name="SAPBEXHLevel1 2 2 4" xfId="4524"/>
    <cellStyle name="SAPBEXHLevel1 2 2 4 2" xfId="4525"/>
    <cellStyle name="SAPBEXHLevel1 2 2 4 3" xfId="4526"/>
    <cellStyle name="SAPBEXHLevel1 2 2 4 4" xfId="4527"/>
    <cellStyle name="SAPBEXHLevel1 2 2 5" xfId="4528"/>
    <cellStyle name="SAPBEXHLevel1 2 2 6" xfId="4529"/>
    <cellStyle name="SAPBEXHLevel1 2 2 7" xfId="4530"/>
    <cellStyle name="SAPBEXHLevel1 2 2 8" xfId="4531"/>
    <cellStyle name="SAPBEXHLevel1 2 3" xfId="4532"/>
    <cellStyle name="SAPBEXHLevel1 2 3 2" xfId="4533"/>
    <cellStyle name="SAPBEXHLevel1 2 3 2 2" xfId="4534"/>
    <cellStyle name="SAPBEXHLevel1 2 3 2 3" xfId="4535"/>
    <cellStyle name="SAPBEXHLevel1 2 3 2 4" xfId="4536"/>
    <cellStyle name="SAPBEXHLevel1 2 3 3" xfId="4537"/>
    <cellStyle name="SAPBEXHLevel1 2 3 4" xfId="4538"/>
    <cellStyle name="SAPBEXHLevel1 2 3 5" xfId="4539"/>
    <cellStyle name="SAPBEXHLevel1 2 4" xfId="4540"/>
    <cellStyle name="SAPBEXHLevel1 2 4 2" xfId="4541"/>
    <cellStyle name="SAPBEXHLevel1 2 4 2 2" xfId="4542"/>
    <cellStyle name="SAPBEXHLevel1 2 4 2 3" xfId="4543"/>
    <cellStyle name="SAPBEXHLevel1 2 4 2 4" xfId="4544"/>
    <cellStyle name="SAPBEXHLevel1 2 4 3" xfId="4545"/>
    <cellStyle name="SAPBEXHLevel1 2 4 4" xfId="4546"/>
    <cellStyle name="SAPBEXHLevel1 2 4 5" xfId="4547"/>
    <cellStyle name="SAPBEXHLevel1 2 5" xfId="4548"/>
    <cellStyle name="SAPBEXHLevel1 2 5 2" xfId="4549"/>
    <cellStyle name="SAPBEXHLevel1 2 5 3" xfId="4550"/>
    <cellStyle name="SAPBEXHLevel1 2 5 4" xfId="4551"/>
    <cellStyle name="SAPBEXHLevel1 2 6" xfId="4552"/>
    <cellStyle name="SAPBEXHLevel1 2 7" xfId="4553"/>
    <cellStyle name="SAPBEXHLevel1 2 8" xfId="4554"/>
    <cellStyle name="SAPBEXHLevel1 3" xfId="4555"/>
    <cellStyle name="SAPBEXHLevel1 3 2" xfId="4556"/>
    <cellStyle name="SAPBEXHLevel1 3 2 2" xfId="4557"/>
    <cellStyle name="SAPBEXHLevel1 3 2 2 2" xfId="4558"/>
    <cellStyle name="SAPBEXHLevel1 3 2 2 3" xfId="4559"/>
    <cellStyle name="SAPBEXHLevel1 3 2 2 4" xfId="4560"/>
    <cellStyle name="SAPBEXHLevel1 3 2 3" xfId="4561"/>
    <cellStyle name="SAPBEXHLevel1 3 2 4" xfId="4562"/>
    <cellStyle name="SAPBEXHLevel1 3 2 5" xfId="4563"/>
    <cellStyle name="SAPBEXHLevel1 3 3" xfId="4564"/>
    <cellStyle name="SAPBEXHLevel1 3 3 2" xfId="4565"/>
    <cellStyle name="SAPBEXHLevel1 3 3 2 2" xfId="4566"/>
    <cellStyle name="SAPBEXHLevel1 3 3 2 3" xfId="4567"/>
    <cellStyle name="SAPBEXHLevel1 3 3 2 4" xfId="4568"/>
    <cellStyle name="SAPBEXHLevel1 3 3 3" xfId="4569"/>
    <cellStyle name="SAPBEXHLevel1 3 3 4" xfId="4570"/>
    <cellStyle name="SAPBEXHLevel1 3 3 5" xfId="4571"/>
    <cellStyle name="SAPBEXHLevel1 3 4" xfId="4572"/>
    <cellStyle name="SAPBEXHLevel1 3 4 2" xfId="4573"/>
    <cellStyle name="SAPBEXHLevel1 3 4 3" xfId="4574"/>
    <cellStyle name="SAPBEXHLevel1 3 4 4" xfId="4575"/>
    <cellStyle name="SAPBEXHLevel1 3 5" xfId="4576"/>
    <cellStyle name="SAPBEXHLevel1 3 6" xfId="4577"/>
    <cellStyle name="SAPBEXHLevel1 3 7" xfId="4578"/>
    <cellStyle name="SAPBEXHLevel1 3 8" xfId="4579"/>
    <cellStyle name="SAPBEXHLevel1 4" xfId="4580"/>
    <cellStyle name="SAPBEXHLevel1 4 2" xfId="4581"/>
    <cellStyle name="SAPBEXHLevel1 4 2 2" xfId="4582"/>
    <cellStyle name="SAPBEXHLevel1 4 2 3" xfId="4583"/>
    <cellStyle name="SAPBEXHLevel1 4 2 4" xfId="4584"/>
    <cellStyle name="SAPBEXHLevel1 4 3" xfId="4585"/>
    <cellStyle name="SAPBEXHLevel1 4 4" xfId="4586"/>
    <cellStyle name="SAPBEXHLevel1 4 5" xfId="4587"/>
    <cellStyle name="SAPBEXHLevel1 5" xfId="4588"/>
    <cellStyle name="SAPBEXHLevel1 5 2" xfId="4589"/>
    <cellStyle name="SAPBEXHLevel1 5 2 2" xfId="4590"/>
    <cellStyle name="SAPBEXHLevel1 5 2 3" xfId="4591"/>
    <cellStyle name="SAPBEXHLevel1 5 2 4" xfId="4592"/>
    <cellStyle name="SAPBEXHLevel1 5 3" xfId="4593"/>
    <cellStyle name="SAPBEXHLevel1 5 4" xfId="4594"/>
    <cellStyle name="SAPBEXHLevel1 5 5" xfId="4595"/>
    <cellStyle name="SAPBEXHLevel1 6" xfId="4596"/>
    <cellStyle name="SAPBEXHLevel1 6 2" xfId="4597"/>
    <cellStyle name="SAPBEXHLevel1 6 3" xfId="4598"/>
    <cellStyle name="SAPBEXHLevel1 6 4" xfId="4599"/>
    <cellStyle name="SAPBEXHLevel1 7" xfId="4600"/>
    <cellStyle name="SAPBEXHLevel1 8" xfId="4601"/>
    <cellStyle name="SAPBEXHLevel1 9" xfId="4602"/>
    <cellStyle name="SAPBEXHLevel1X" xfId="4603"/>
    <cellStyle name="SAPBEXHLevel1X 2" xfId="4604"/>
    <cellStyle name="SAPBEXHLevel1X 2 2" xfId="4605"/>
    <cellStyle name="SAPBEXHLevel1X 2 2 2" xfId="4606"/>
    <cellStyle name="SAPBEXHLevel1X 2 2 2 2" xfId="4607"/>
    <cellStyle name="SAPBEXHLevel1X 2 2 2 2 2" xfId="4608"/>
    <cellStyle name="SAPBEXHLevel1X 2 2 2 2 3" xfId="4609"/>
    <cellStyle name="SAPBEXHLevel1X 2 2 2 2 4" xfId="4610"/>
    <cellStyle name="SAPBEXHLevel1X 2 2 2 3" xfId="4611"/>
    <cellStyle name="SAPBEXHLevel1X 2 2 2 4" xfId="4612"/>
    <cellStyle name="SAPBEXHLevel1X 2 2 2 5" xfId="4613"/>
    <cellStyle name="SAPBEXHLevel1X 2 2 3" xfId="4614"/>
    <cellStyle name="SAPBEXHLevel1X 2 2 3 2" xfId="4615"/>
    <cellStyle name="SAPBEXHLevel1X 2 2 3 2 2" xfId="4616"/>
    <cellStyle name="SAPBEXHLevel1X 2 2 3 2 3" xfId="4617"/>
    <cellStyle name="SAPBEXHLevel1X 2 2 3 2 4" xfId="4618"/>
    <cellStyle name="SAPBEXHLevel1X 2 2 3 3" xfId="4619"/>
    <cellStyle name="SAPBEXHLevel1X 2 2 3 4" xfId="4620"/>
    <cellStyle name="SAPBEXHLevel1X 2 2 3 5" xfId="4621"/>
    <cellStyle name="SAPBEXHLevel1X 2 2 4" xfId="4622"/>
    <cellStyle name="SAPBEXHLevel1X 2 2 4 2" xfId="4623"/>
    <cellStyle name="SAPBEXHLevel1X 2 2 4 3" xfId="4624"/>
    <cellStyle name="SAPBEXHLevel1X 2 2 4 4" xfId="4625"/>
    <cellStyle name="SAPBEXHLevel1X 2 2 5" xfId="4626"/>
    <cellStyle name="SAPBEXHLevel1X 2 2 6" xfId="4627"/>
    <cellStyle name="SAPBEXHLevel1X 2 2 7" xfId="4628"/>
    <cellStyle name="SAPBEXHLevel1X 2 2 8" xfId="4629"/>
    <cellStyle name="SAPBEXHLevel1X 2 3" xfId="4630"/>
    <cellStyle name="SAPBEXHLevel1X 2 3 2" xfId="4631"/>
    <cellStyle name="SAPBEXHLevel1X 2 3 2 2" xfId="4632"/>
    <cellStyle name="SAPBEXHLevel1X 2 3 2 3" xfId="4633"/>
    <cellStyle name="SAPBEXHLevel1X 2 3 2 4" xfId="4634"/>
    <cellStyle name="SAPBEXHLevel1X 2 3 3" xfId="4635"/>
    <cellStyle name="SAPBEXHLevel1X 2 3 4" xfId="4636"/>
    <cellStyle name="SAPBEXHLevel1X 2 3 5" xfId="4637"/>
    <cellStyle name="SAPBEXHLevel1X 2 4" xfId="4638"/>
    <cellStyle name="SAPBEXHLevel1X 2 4 2" xfId="4639"/>
    <cellStyle name="SAPBEXHLevel1X 2 4 2 2" xfId="4640"/>
    <cellStyle name="SAPBEXHLevel1X 2 4 2 3" xfId="4641"/>
    <cellStyle name="SAPBEXHLevel1X 2 4 2 4" xfId="4642"/>
    <cellStyle name="SAPBEXHLevel1X 2 4 3" xfId="4643"/>
    <cellStyle name="SAPBEXHLevel1X 2 4 4" xfId="4644"/>
    <cellStyle name="SAPBEXHLevel1X 2 4 5" xfId="4645"/>
    <cellStyle name="SAPBEXHLevel1X 2 5" xfId="4646"/>
    <cellStyle name="SAPBEXHLevel1X 2 5 2" xfId="4647"/>
    <cellStyle name="SAPBEXHLevel1X 2 5 3" xfId="4648"/>
    <cellStyle name="SAPBEXHLevel1X 2 5 4" xfId="4649"/>
    <cellStyle name="SAPBEXHLevel1X 2 6" xfId="4650"/>
    <cellStyle name="SAPBEXHLevel1X 2 7" xfId="4651"/>
    <cellStyle name="SAPBEXHLevel1X 2 8" xfId="4652"/>
    <cellStyle name="SAPBEXHLevel1X 3" xfId="4653"/>
    <cellStyle name="SAPBEXHLevel1X 3 2" xfId="4654"/>
    <cellStyle name="SAPBEXHLevel1X 3 2 2" xfId="4655"/>
    <cellStyle name="SAPBEXHLevel1X 3 2 2 2" xfId="4656"/>
    <cellStyle name="SAPBEXHLevel1X 3 2 2 3" xfId="4657"/>
    <cellStyle name="SAPBEXHLevel1X 3 2 2 4" xfId="4658"/>
    <cellStyle name="SAPBEXHLevel1X 3 2 3" xfId="4659"/>
    <cellStyle name="SAPBEXHLevel1X 3 2 4" xfId="4660"/>
    <cellStyle name="SAPBEXHLevel1X 3 2 5" xfId="4661"/>
    <cellStyle name="SAPBEXHLevel1X 3 3" xfId="4662"/>
    <cellStyle name="SAPBEXHLevel1X 3 3 2" xfId="4663"/>
    <cellStyle name="SAPBEXHLevel1X 3 3 2 2" xfId="4664"/>
    <cellStyle name="SAPBEXHLevel1X 3 3 2 3" xfId="4665"/>
    <cellStyle name="SAPBEXHLevel1X 3 3 2 4" xfId="4666"/>
    <cellStyle name="SAPBEXHLevel1X 3 3 3" xfId="4667"/>
    <cellStyle name="SAPBEXHLevel1X 3 3 4" xfId="4668"/>
    <cellStyle name="SAPBEXHLevel1X 3 3 5" xfId="4669"/>
    <cellStyle name="SAPBEXHLevel1X 3 4" xfId="4670"/>
    <cellStyle name="SAPBEXHLevel1X 3 4 2" xfId="4671"/>
    <cellStyle name="SAPBEXHLevel1X 3 4 3" xfId="4672"/>
    <cellStyle name="SAPBEXHLevel1X 3 4 4" xfId="4673"/>
    <cellStyle name="SAPBEXHLevel1X 3 5" xfId="4674"/>
    <cellStyle name="SAPBEXHLevel1X 3 6" xfId="4675"/>
    <cellStyle name="SAPBEXHLevel1X 3 7" xfId="4676"/>
    <cellStyle name="SAPBEXHLevel1X 3 8" xfId="4677"/>
    <cellStyle name="SAPBEXHLevel1X 4" xfId="4678"/>
    <cellStyle name="SAPBEXHLevel1X 4 2" xfId="4679"/>
    <cellStyle name="SAPBEXHLevel1X 4 2 2" xfId="4680"/>
    <cellStyle name="SAPBEXHLevel1X 4 2 3" xfId="4681"/>
    <cellStyle name="SAPBEXHLevel1X 4 2 4" xfId="4682"/>
    <cellStyle name="SAPBEXHLevel1X 4 3" xfId="4683"/>
    <cellStyle name="SAPBEXHLevel1X 4 4" xfId="4684"/>
    <cellStyle name="SAPBEXHLevel1X 4 5" xfId="4685"/>
    <cellStyle name="SAPBEXHLevel1X 5" xfId="4686"/>
    <cellStyle name="SAPBEXHLevel1X 5 2" xfId="4687"/>
    <cellStyle name="SAPBEXHLevel1X 5 2 2" xfId="4688"/>
    <cellStyle name="SAPBEXHLevel1X 5 2 3" xfId="4689"/>
    <cellStyle name="SAPBEXHLevel1X 5 2 4" xfId="4690"/>
    <cellStyle name="SAPBEXHLevel1X 5 3" xfId="4691"/>
    <cellStyle name="SAPBEXHLevel1X 5 4" xfId="4692"/>
    <cellStyle name="SAPBEXHLevel1X 5 5" xfId="4693"/>
    <cellStyle name="SAPBEXHLevel1X 6" xfId="4694"/>
    <cellStyle name="SAPBEXHLevel1X 6 2" xfId="4695"/>
    <cellStyle name="SAPBEXHLevel1X 6 3" xfId="4696"/>
    <cellStyle name="SAPBEXHLevel1X 6 4" xfId="4697"/>
    <cellStyle name="SAPBEXHLevel1X 7" xfId="4698"/>
    <cellStyle name="SAPBEXHLevel1X 8" xfId="4699"/>
    <cellStyle name="SAPBEXHLevel1X 9" xfId="4700"/>
    <cellStyle name="SAPBEXHLevel2" xfId="4701"/>
    <cellStyle name="SAPBEXHLevel2 2" xfId="4702"/>
    <cellStyle name="SAPBEXHLevel2 2 2" xfId="4703"/>
    <cellStyle name="SAPBEXHLevel2 2 2 2" xfId="4704"/>
    <cellStyle name="SAPBEXHLevel2 2 2 2 2" xfId="4705"/>
    <cellStyle name="SAPBEXHLevel2 2 2 2 2 2" xfId="4706"/>
    <cellStyle name="SAPBEXHLevel2 2 2 2 2 3" xfId="4707"/>
    <cellStyle name="SAPBEXHLevel2 2 2 2 2 4" xfId="4708"/>
    <cellStyle name="SAPBEXHLevel2 2 2 2 3" xfId="4709"/>
    <cellStyle name="SAPBEXHLevel2 2 2 2 4" xfId="4710"/>
    <cellStyle name="SAPBEXHLevel2 2 2 2 5" xfId="4711"/>
    <cellStyle name="SAPBEXHLevel2 2 2 3" xfId="4712"/>
    <cellStyle name="SAPBEXHLevel2 2 2 3 2" xfId="4713"/>
    <cellStyle name="SAPBEXHLevel2 2 2 3 2 2" xfId="4714"/>
    <cellStyle name="SAPBEXHLevel2 2 2 3 2 3" xfId="4715"/>
    <cellStyle name="SAPBEXHLevel2 2 2 3 2 4" xfId="4716"/>
    <cellStyle name="SAPBEXHLevel2 2 2 3 3" xfId="4717"/>
    <cellStyle name="SAPBEXHLevel2 2 2 3 4" xfId="4718"/>
    <cellStyle name="SAPBEXHLevel2 2 2 3 5" xfId="4719"/>
    <cellStyle name="SAPBEXHLevel2 2 2 4" xfId="4720"/>
    <cellStyle name="SAPBEXHLevel2 2 2 4 2" xfId="4721"/>
    <cellStyle name="SAPBEXHLevel2 2 2 4 3" xfId="4722"/>
    <cellStyle name="SAPBEXHLevel2 2 2 4 4" xfId="4723"/>
    <cellStyle name="SAPBEXHLevel2 2 2 5" xfId="4724"/>
    <cellStyle name="SAPBEXHLevel2 2 2 6" xfId="4725"/>
    <cellStyle name="SAPBEXHLevel2 2 2 7" xfId="4726"/>
    <cellStyle name="SAPBEXHLevel2 2 2 8" xfId="4727"/>
    <cellStyle name="SAPBEXHLevel2 2 3" xfId="4728"/>
    <cellStyle name="SAPBEXHLevel2 2 3 2" xfId="4729"/>
    <cellStyle name="SAPBEXHLevel2 2 3 2 2" xfId="4730"/>
    <cellStyle name="SAPBEXHLevel2 2 3 2 3" xfId="4731"/>
    <cellStyle name="SAPBEXHLevel2 2 3 2 4" xfId="4732"/>
    <cellStyle name="SAPBEXHLevel2 2 3 3" xfId="4733"/>
    <cellStyle name="SAPBEXHLevel2 2 3 4" xfId="4734"/>
    <cellStyle name="SAPBEXHLevel2 2 3 5" xfId="4735"/>
    <cellStyle name="SAPBEXHLevel2 2 4" xfId="4736"/>
    <cellStyle name="SAPBEXHLevel2 2 4 2" xfId="4737"/>
    <cellStyle name="SAPBEXHLevel2 2 4 2 2" xfId="4738"/>
    <cellStyle name="SAPBEXHLevel2 2 4 2 3" xfId="4739"/>
    <cellStyle name="SAPBEXHLevel2 2 4 2 4" xfId="4740"/>
    <cellStyle name="SAPBEXHLevel2 2 4 3" xfId="4741"/>
    <cellStyle name="SAPBEXHLevel2 2 4 4" xfId="4742"/>
    <cellStyle name="SAPBEXHLevel2 2 4 5" xfId="4743"/>
    <cellStyle name="SAPBEXHLevel2 2 5" xfId="4744"/>
    <cellStyle name="SAPBEXHLevel2 2 5 2" xfId="4745"/>
    <cellStyle name="SAPBEXHLevel2 2 5 3" xfId="4746"/>
    <cellStyle name="SAPBEXHLevel2 2 5 4" xfId="4747"/>
    <cellStyle name="SAPBEXHLevel2 2 6" xfId="4748"/>
    <cellStyle name="SAPBEXHLevel2 2 7" xfId="4749"/>
    <cellStyle name="SAPBEXHLevel2 2 8" xfId="4750"/>
    <cellStyle name="SAPBEXHLevel2 3" xfId="4751"/>
    <cellStyle name="SAPBEXHLevel2 3 2" xfId="4752"/>
    <cellStyle name="SAPBEXHLevel2 3 2 2" xfId="4753"/>
    <cellStyle name="SAPBEXHLevel2 3 2 2 2" xfId="4754"/>
    <cellStyle name="SAPBEXHLevel2 3 2 2 3" xfId="4755"/>
    <cellStyle name="SAPBEXHLevel2 3 2 2 4" xfId="4756"/>
    <cellStyle name="SAPBEXHLevel2 3 2 3" xfId="4757"/>
    <cellStyle name="SAPBEXHLevel2 3 2 4" xfId="4758"/>
    <cellStyle name="SAPBEXHLevel2 3 2 5" xfId="4759"/>
    <cellStyle name="SAPBEXHLevel2 3 3" xfId="4760"/>
    <cellStyle name="SAPBEXHLevel2 3 3 2" xfId="4761"/>
    <cellStyle name="SAPBEXHLevel2 3 3 2 2" xfId="4762"/>
    <cellStyle name="SAPBEXHLevel2 3 3 2 3" xfId="4763"/>
    <cellStyle name="SAPBEXHLevel2 3 3 2 4" xfId="4764"/>
    <cellStyle name="SAPBEXHLevel2 3 3 3" xfId="4765"/>
    <cellStyle name="SAPBEXHLevel2 3 3 4" xfId="4766"/>
    <cellStyle name="SAPBEXHLevel2 3 3 5" xfId="4767"/>
    <cellStyle name="SAPBEXHLevel2 3 4" xfId="4768"/>
    <cellStyle name="SAPBEXHLevel2 3 4 2" xfId="4769"/>
    <cellStyle name="SAPBEXHLevel2 3 4 3" xfId="4770"/>
    <cellStyle name="SAPBEXHLevel2 3 4 4" xfId="4771"/>
    <cellStyle name="SAPBEXHLevel2 3 5" xfId="4772"/>
    <cellStyle name="SAPBEXHLevel2 3 6" xfId="4773"/>
    <cellStyle name="SAPBEXHLevel2 3 7" xfId="4774"/>
    <cellStyle name="SAPBEXHLevel2 3 8" xfId="4775"/>
    <cellStyle name="SAPBEXHLevel2 4" xfId="4776"/>
    <cellStyle name="SAPBEXHLevel2 4 2" xfId="4777"/>
    <cellStyle name="SAPBEXHLevel2 4 2 2" xfId="4778"/>
    <cellStyle name="SAPBEXHLevel2 4 2 3" xfId="4779"/>
    <cellStyle name="SAPBEXHLevel2 4 2 4" xfId="4780"/>
    <cellStyle name="SAPBEXHLevel2 4 3" xfId="4781"/>
    <cellStyle name="SAPBEXHLevel2 4 4" xfId="4782"/>
    <cellStyle name="SAPBEXHLevel2 4 5" xfId="4783"/>
    <cellStyle name="SAPBEXHLevel2 5" xfId="4784"/>
    <cellStyle name="SAPBEXHLevel2 5 2" xfId="4785"/>
    <cellStyle name="SAPBEXHLevel2 5 2 2" xfId="4786"/>
    <cellStyle name="SAPBEXHLevel2 5 2 3" xfId="4787"/>
    <cellStyle name="SAPBEXHLevel2 5 2 4" xfId="4788"/>
    <cellStyle name="SAPBEXHLevel2 5 3" xfId="4789"/>
    <cellStyle name="SAPBEXHLevel2 5 4" xfId="4790"/>
    <cellStyle name="SAPBEXHLevel2 5 5" xfId="4791"/>
    <cellStyle name="SAPBEXHLevel2 6" xfId="4792"/>
    <cellStyle name="SAPBEXHLevel2 6 2" xfId="4793"/>
    <cellStyle name="SAPBEXHLevel2 6 3" xfId="4794"/>
    <cellStyle name="SAPBEXHLevel2 6 4" xfId="4795"/>
    <cellStyle name="SAPBEXHLevel2 7" xfId="4796"/>
    <cellStyle name="SAPBEXHLevel2 8" xfId="4797"/>
    <cellStyle name="SAPBEXHLevel2 9" xfId="4798"/>
    <cellStyle name="SAPBEXHLevel2X" xfId="4799"/>
    <cellStyle name="SAPBEXHLevel2X 2" xfId="4800"/>
    <cellStyle name="SAPBEXHLevel2X 2 2" xfId="4801"/>
    <cellStyle name="SAPBEXHLevel2X 2 2 2" xfId="4802"/>
    <cellStyle name="SAPBEXHLevel2X 2 2 2 2" xfId="4803"/>
    <cellStyle name="SAPBEXHLevel2X 2 2 2 2 2" xfId="4804"/>
    <cellStyle name="SAPBEXHLevel2X 2 2 2 2 3" xfId="4805"/>
    <cellStyle name="SAPBEXHLevel2X 2 2 2 2 4" xfId="4806"/>
    <cellStyle name="SAPBEXHLevel2X 2 2 2 3" xfId="4807"/>
    <cellStyle name="SAPBEXHLevel2X 2 2 2 4" xfId="4808"/>
    <cellStyle name="SAPBEXHLevel2X 2 2 2 5" xfId="4809"/>
    <cellStyle name="SAPBEXHLevel2X 2 2 3" xfId="4810"/>
    <cellStyle name="SAPBEXHLevel2X 2 2 3 2" xfId="4811"/>
    <cellStyle name="SAPBEXHLevel2X 2 2 3 2 2" xfId="4812"/>
    <cellStyle name="SAPBEXHLevel2X 2 2 3 2 3" xfId="4813"/>
    <cellStyle name="SAPBEXHLevel2X 2 2 3 2 4" xfId="4814"/>
    <cellStyle name="SAPBEXHLevel2X 2 2 3 3" xfId="4815"/>
    <cellStyle name="SAPBEXHLevel2X 2 2 3 4" xfId="4816"/>
    <cellStyle name="SAPBEXHLevel2X 2 2 3 5" xfId="4817"/>
    <cellStyle name="SAPBEXHLevel2X 2 2 4" xfId="4818"/>
    <cellStyle name="SAPBEXHLevel2X 2 2 4 2" xfId="4819"/>
    <cellStyle name="SAPBEXHLevel2X 2 2 4 3" xfId="4820"/>
    <cellStyle name="SAPBEXHLevel2X 2 2 4 4" xfId="4821"/>
    <cellStyle name="SAPBEXHLevel2X 2 2 5" xfId="4822"/>
    <cellStyle name="SAPBEXHLevel2X 2 2 6" xfId="4823"/>
    <cellStyle name="SAPBEXHLevel2X 2 2 7" xfId="4824"/>
    <cellStyle name="SAPBEXHLevel2X 2 2 8" xfId="4825"/>
    <cellStyle name="SAPBEXHLevel2X 2 3" xfId="4826"/>
    <cellStyle name="SAPBEXHLevel2X 2 3 2" xfId="4827"/>
    <cellStyle name="SAPBEXHLevel2X 2 3 2 2" xfId="4828"/>
    <cellStyle name="SAPBEXHLevel2X 2 3 2 3" xfId="4829"/>
    <cellStyle name="SAPBEXHLevel2X 2 3 2 4" xfId="4830"/>
    <cellStyle name="SAPBEXHLevel2X 2 3 3" xfId="4831"/>
    <cellStyle name="SAPBEXHLevel2X 2 3 4" xfId="4832"/>
    <cellStyle name="SAPBEXHLevel2X 2 3 5" xfId="4833"/>
    <cellStyle name="SAPBEXHLevel2X 2 4" xfId="4834"/>
    <cellStyle name="SAPBEXHLevel2X 2 4 2" xfId="4835"/>
    <cellStyle name="SAPBEXHLevel2X 2 4 2 2" xfId="4836"/>
    <cellStyle name="SAPBEXHLevel2X 2 4 2 3" xfId="4837"/>
    <cellStyle name="SAPBEXHLevel2X 2 4 2 4" xfId="4838"/>
    <cellStyle name="SAPBEXHLevel2X 2 4 3" xfId="4839"/>
    <cellStyle name="SAPBEXHLevel2X 2 4 4" xfId="4840"/>
    <cellStyle name="SAPBEXHLevel2X 2 4 5" xfId="4841"/>
    <cellStyle name="SAPBEXHLevel2X 2 5" xfId="4842"/>
    <cellStyle name="SAPBEXHLevel2X 2 5 2" xfId="4843"/>
    <cellStyle name="SAPBEXHLevel2X 2 5 3" xfId="4844"/>
    <cellStyle name="SAPBEXHLevel2X 2 5 4" xfId="4845"/>
    <cellStyle name="SAPBEXHLevel2X 2 6" xfId="4846"/>
    <cellStyle name="SAPBEXHLevel2X 2 7" xfId="4847"/>
    <cellStyle name="SAPBEXHLevel2X 2 8" xfId="4848"/>
    <cellStyle name="SAPBEXHLevel2X 3" xfId="4849"/>
    <cellStyle name="SAPBEXHLevel2X 3 2" xfId="4850"/>
    <cellStyle name="SAPBEXHLevel2X 3 2 2" xfId="4851"/>
    <cellStyle name="SAPBEXHLevel2X 3 2 2 2" xfId="4852"/>
    <cellStyle name="SAPBEXHLevel2X 3 2 2 3" xfId="4853"/>
    <cellStyle name="SAPBEXHLevel2X 3 2 2 4" xfId="4854"/>
    <cellStyle name="SAPBEXHLevel2X 3 2 3" xfId="4855"/>
    <cellStyle name="SAPBEXHLevel2X 3 2 4" xfId="4856"/>
    <cellStyle name="SAPBEXHLevel2X 3 2 5" xfId="4857"/>
    <cellStyle name="SAPBEXHLevel2X 3 3" xfId="4858"/>
    <cellStyle name="SAPBEXHLevel2X 3 3 2" xfId="4859"/>
    <cellStyle name="SAPBEXHLevel2X 3 3 2 2" xfId="4860"/>
    <cellStyle name="SAPBEXHLevel2X 3 3 2 3" xfId="4861"/>
    <cellStyle name="SAPBEXHLevel2X 3 3 2 4" xfId="4862"/>
    <cellStyle name="SAPBEXHLevel2X 3 3 3" xfId="4863"/>
    <cellStyle name="SAPBEXHLevel2X 3 3 4" xfId="4864"/>
    <cellStyle name="SAPBEXHLevel2X 3 3 5" xfId="4865"/>
    <cellStyle name="SAPBEXHLevel2X 3 4" xfId="4866"/>
    <cellStyle name="SAPBEXHLevel2X 3 4 2" xfId="4867"/>
    <cellStyle name="SAPBEXHLevel2X 3 4 3" xfId="4868"/>
    <cellStyle name="SAPBEXHLevel2X 3 4 4" xfId="4869"/>
    <cellStyle name="SAPBEXHLevel2X 3 5" xfId="4870"/>
    <cellStyle name="SAPBEXHLevel2X 3 6" xfId="4871"/>
    <cellStyle name="SAPBEXHLevel2X 3 7" xfId="4872"/>
    <cellStyle name="SAPBEXHLevel2X 3 8" xfId="4873"/>
    <cellStyle name="SAPBEXHLevel2X 4" xfId="4874"/>
    <cellStyle name="SAPBEXHLevel2X 4 2" xfId="4875"/>
    <cellStyle name="SAPBEXHLevel2X 4 2 2" xfId="4876"/>
    <cellStyle name="SAPBEXHLevel2X 4 2 3" xfId="4877"/>
    <cellStyle name="SAPBEXHLevel2X 4 2 4" xfId="4878"/>
    <cellStyle name="SAPBEXHLevel2X 4 3" xfId="4879"/>
    <cellStyle name="SAPBEXHLevel2X 4 4" xfId="4880"/>
    <cellStyle name="SAPBEXHLevel2X 4 5" xfId="4881"/>
    <cellStyle name="SAPBEXHLevel2X 5" xfId="4882"/>
    <cellStyle name="SAPBEXHLevel2X 5 2" xfId="4883"/>
    <cellStyle name="SAPBEXHLevel2X 5 2 2" xfId="4884"/>
    <cellStyle name="SAPBEXHLevel2X 5 2 3" xfId="4885"/>
    <cellStyle name="SAPBEXHLevel2X 5 2 4" xfId="4886"/>
    <cellStyle name="SAPBEXHLevel2X 5 3" xfId="4887"/>
    <cellStyle name="SAPBEXHLevel2X 5 4" xfId="4888"/>
    <cellStyle name="SAPBEXHLevel2X 5 5" xfId="4889"/>
    <cellStyle name="SAPBEXHLevel2X 6" xfId="4890"/>
    <cellStyle name="SAPBEXHLevel2X 6 2" xfId="4891"/>
    <cellStyle name="SAPBEXHLevel2X 6 3" xfId="4892"/>
    <cellStyle name="SAPBEXHLevel2X 6 4" xfId="4893"/>
    <cellStyle name="SAPBEXHLevel2X 7" xfId="4894"/>
    <cellStyle name="SAPBEXHLevel2X 8" xfId="4895"/>
    <cellStyle name="SAPBEXHLevel2X 9" xfId="4896"/>
    <cellStyle name="SAPBEXHLevel3" xfId="4897"/>
    <cellStyle name="SAPBEXHLevel3 2" xfId="4898"/>
    <cellStyle name="SAPBEXHLevel3 2 2" xfId="4899"/>
    <cellStyle name="SAPBEXHLevel3 2 2 2" xfId="4900"/>
    <cellStyle name="SAPBEXHLevel3 2 2 2 2" xfId="4901"/>
    <cellStyle name="SAPBEXHLevel3 2 2 2 2 2" xfId="4902"/>
    <cellStyle name="SAPBEXHLevel3 2 2 2 2 3" xfId="4903"/>
    <cellStyle name="SAPBEXHLevel3 2 2 2 2 4" xfId="4904"/>
    <cellStyle name="SAPBEXHLevel3 2 2 2 3" xfId="4905"/>
    <cellStyle name="SAPBEXHLevel3 2 2 2 4" xfId="4906"/>
    <cellStyle name="SAPBEXHLevel3 2 2 2 5" xfId="4907"/>
    <cellStyle name="SAPBEXHLevel3 2 2 3" xfId="4908"/>
    <cellStyle name="SAPBEXHLevel3 2 2 3 2" xfId="4909"/>
    <cellStyle name="SAPBEXHLevel3 2 2 3 2 2" xfId="4910"/>
    <cellStyle name="SAPBEXHLevel3 2 2 3 2 3" xfId="4911"/>
    <cellStyle name="SAPBEXHLevel3 2 2 3 2 4" xfId="4912"/>
    <cellStyle name="SAPBEXHLevel3 2 2 3 3" xfId="4913"/>
    <cellStyle name="SAPBEXHLevel3 2 2 3 4" xfId="4914"/>
    <cellStyle name="SAPBEXHLevel3 2 2 3 5" xfId="4915"/>
    <cellStyle name="SAPBEXHLevel3 2 2 4" xfId="4916"/>
    <cellStyle name="SAPBEXHLevel3 2 2 4 2" xfId="4917"/>
    <cellStyle name="SAPBEXHLevel3 2 2 4 3" xfId="4918"/>
    <cellStyle name="SAPBEXHLevel3 2 2 4 4" xfId="4919"/>
    <cellStyle name="SAPBEXHLevel3 2 2 5" xfId="4920"/>
    <cellStyle name="SAPBEXHLevel3 2 2 6" xfId="4921"/>
    <cellStyle name="SAPBEXHLevel3 2 2 7" xfId="4922"/>
    <cellStyle name="SAPBEXHLevel3 2 2 8" xfId="4923"/>
    <cellStyle name="SAPBEXHLevel3 2 3" xfId="4924"/>
    <cellStyle name="SAPBEXHLevel3 2 3 2" xfId="4925"/>
    <cellStyle name="SAPBEXHLevel3 2 3 2 2" xfId="4926"/>
    <cellStyle name="SAPBEXHLevel3 2 3 2 3" xfId="4927"/>
    <cellStyle name="SAPBEXHLevel3 2 3 2 4" xfId="4928"/>
    <cellStyle name="SAPBEXHLevel3 2 3 3" xfId="4929"/>
    <cellStyle name="SAPBEXHLevel3 2 3 4" xfId="4930"/>
    <cellStyle name="SAPBEXHLevel3 2 3 5" xfId="4931"/>
    <cellStyle name="SAPBEXHLevel3 2 4" xfId="4932"/>
    <cellStyle name="SAPBEXHLevel3 2 4 2" xfId="4933"/>
    <cellStyle name="SAPBEXHLevel3 2 4 2 2" xfId="4934"/>
    <cellStyle name="SAPBEXHLevel3 2 4 2 3" xfId="4935"/>
    <cellStyle name="SAPBEXHLevel3 2 4 2 4" xfId="4936"/>
    <cellStyle name="SAPBEXHLevel3 2 4 3" xfId="4937"/>
    <cellStyle name="SAPBEXHLevel3 2 4 4" xfId="4938"/>
    <cellStyle name="SAPBEXHLevel3 2 4 5" xfId="4939"/>
    <cellStyle name="SAPBEXHLevel3 2 5" xfId="4940"/>
    <cellStyle name="SAPBEXHLevel3 2 5 2" xfId="4941"/>
    <cellStyle name="SAPBEXHLevel3 2 5 3" xfId="4942"/>
    <cellStyle name="SAPBEXHLevel3 2 5 4" xfId="4943"/>
    <cellStyle name="SAPBEXHLevel3 2 6" xfId="4944"/>
    <cellStyle name="SAPBEXHLevel3 2 7" xfId="4945"/>
    <cellStyle name="SAPBEXHLevel3 2 8" xfId="4946"/>
    <cellStyle name="SAPBEXHLevel3 3" xfId="4947"/>
    <cellStyle name="SAPBEXHLevel3 3 2" xfId="4948"/>
    <cellStyle name="SAPBEXHLevel3 3 2 2" xfId="4949"/>
    <cellStyle name="SAPBEXHLevel3 3 2 2 2" xfId="4950"/>
    <cellStyle name="SAPBEXHLevel3 3 2 2 3" xfId="4951"/>
    <cellStyle name="SAPBEXHLevel3 3 2 2 4" xfId="4952"/>
    <cellStyle name="SAPBEXHLevel3 3 2 3" xfId="4953"/>
    <cellStyle name="SAPBEXHLevel3 3 2 4" xfId="4954"/>
    <cellStyle name="SAPBEXHLevel3 3 2 5" xfId="4955"/>
    <cellStyle name="SAPBEXHLevel3 3 3" xfId="4956"/>
    <cellStyle name="SAPBEXHLevel3 3 3 2" xfId="4957"/>
    <cellStyle name="SAPBEXHLevel3 3 3 2 2" xfId="4958"/>
    <cellStyle name="SAPBEXHLevel3 3 3 2 3" xfId="4959"/>
    <cellStyle name="SAPBEXHLevel3 3 3 2 4" xfId="4960"/>
    <cellStyle name="SAPBEXHLevel3 3 3 3" xfId="4961"/>
    <cellStyle name="SAPBEXHLevel3 3 3 4" xfId="4962"/>
    <cellStyle name="SAPBEXHLevel3 3 3 5" xfId="4963"/>
    <cellStyle name="SAPBEXHLevel3 3 4" xfId="4964"/>
    <cellStyle name="SAPBEXHLevel3 3 4 2" xfId="4965"/>
    <cellStyle name="SAPBEXHLevel3 3 4 3" xfId="4966"/>
    <cellStyle name="SAPBEXHLevel3 3 4 4" xfId="4967"/>
    <cellStyle name="SAPBEXHLevel3 3 5" xfId="4968"/>
    <cellStyle name="SAPBEXHLevel3 3 6" xfId="4969"/>
    <cellStyle name="SAPBEXHLevel3 3 7" xfId="4970"/>
    <cellStyle name="SAPBEXHLevel3 3 8" xfId="4971"/>
    <cellStyle name="SAPBEXHLevel3 4" xfId="4972"/>
    <cellStyle name="SAPBEXHLevel3 4 2" xfId="4973"/>
    <cellStyle name="SAPBEXHLevel3 4 2 2" xfId="4974"/>
    <cellStyle name="SAPBEXHLevel3 4 2 3" xfId="4975"/>
    <cellStyle name="SAPBEXHLevel3 4 2 4" xfId="4976"/>
    <cellStyle name="SAPBEXHLevel3 4 3" xfId="4977"/>
    <cellStyle name="SAPBEXHLevel3 4 4" xfId="4978"/>
    <cellStyle name="SAPBEXHLevel3 4 5" xfId="4979"/>
    <cellStyle name="SAPBEXHLevel3 5" xfId="4980"/>
    <cellStyle name="SAPBEXHLevel3 5 2" xfId="4981"/>
    <cellStyle name="SAPBEXHLevel3 5 2 2" xfId="4982"/>
    <cellStyle name="SAPBEXHLevel3 5 2 3" xfId="4983"/>
    <cellStyle name="SAPBEXHLevel3 5 2 4" xfId="4984"/>
    <cellStyle name="SAPBEXHLevel3 5 3" xfId="4985"/>
    <cellStyle name="SAPBEXHLevel3 5 4" xfId="4986"/>
    <cellStyle name="SAPBEXHLevel3 5 5" xfId="4987"/>
    <cellStyle name="SAPBEXHLevel3 6" xfId="4988"/>
    <cellStyle name="SAPBEXHLevel3 6 2" xfId="4989"/>
    <cellStyle name="SAPBEXHLevel3 6 3" xfId="4990"/>
    <cellStyle name="SAPBEXHLevel3 6 4" xfId="4991"/>
    <cellStyle name="SAPBEXHLevel3 7" xfId="4992"/>
    <cellStyle name="SAPBEXHLevel3 8" xfId="4993"/>
    <cellStyle name="SAPBEXHLevel3 9" xfId="4994"/>
    <cellStyle name="SAPBEXHLevel3X" xfId="4995"/>
    <cellStyle name="SAPBEXHLevel3X 2" xfId="4996"/>
    <cellStyle name="SAPBEXHLevel3X 2 2" xfId="4997"/>
    <cellStyle name="SAPBEXHLevel3X 2 2 2" xfId="4998"/>
    <cellStyle name="SAPBEXHLevel3X 2 2 2 2" xfId="4999"/>
    <cellStyle name="SAPBEXHLevel3X 2 2 2 2 2" xfId="5000"/>
    <cellStyle name="SAPBEXHLevel3X 2 2 2 2 3" xfId="5001"/>
    <cellStyle name="SAPBEXHLevel3X 2 2 2 2 4" xfId="5002"/>
    <cellStyle name="SAPBEXHLevel3X 2 2 2 3" xfId="5003"/>
    <cellStyle name="SAPBEXHLevel3X 2 2 2 4" xfId="5004"/>
    <cellStyle name="SAPBEXHLevel3X 2 2 2 5" xfId="5005"/>
    <cellStyle name="SAPBEXHLevel3X 2 2 3" xfId="5006"/>
    <cellStyle name="SAPBEXHLevel3X 2 2 3 2" xfId="5007"/>
    <cellStyle name="SAPBEXHLevel3X 2 2 3 2 2" xfId="5008"/>
    <cellStyle name="SAPBEXHLevel3X 2 2 3 2 3" xfId="5009"/>
    <cellStyle name="SAPBEXHLevel3X 2 2 3 2 4" xfId="5010"/>
    <cellStyle name="SAPBEXHLevel3X 2 2 3 3" xfId="5011"/>
    <cellStyle name="SAPBEXHLevel3X 2 2 3 4" xfId="5012"/>
    <cellStyle name="SAPBEXHLevel3X 2 2 3 5" xfId="5013"/>
    <cellStyle name="SAPBEXHLevel3X 2 2 4" xfId="5014"/>
    <cellStyle name="SAPBEXHLevel3X 2 2 4 2" xfId="5015"/>
    <cellStyle name="SAPBEXHLevel3X 2 2 4 3" xfId="5016"/>
    <cellStyle name="SAPBEXHLevel3X 2 2 4 4" xfId="5017"/>
    <cellStyle name="SAPBEXHLevel3X 2 2 5" xfId="5018"/>
    <cellStyle name="SAPBEXHLevel3X 2 2 6" xfId="5019"/>
    <cellStyle name="SAPBEXHLevel3X 2 2 7" xfId="5020"/>
    <cellStyle name="SAPBEXHLevel3X 2 2 8" xfId="5021"/>
    <cellStyle name="SAPBEXHLevel3X 2 3" xfId="5022"/>
    <cellStyle name="SAPBEXHLevel3X 2 3 2" xfId="5023"/>
    <cellStyle name="SAPBEXHLevel3X 2 3 2 2" xfId="5024"/>
    <cellStyle name="SAPBEXHLevel3X 2 3 2 3" xfId="5025"/>
    <cellStyle name="SAPBEXHLevel3X 2 3 2 4" xfId="5026"/>
    <cellStyle name="SAPBEXHLevel3X 2 3 3" xfId="5027"/>
    <cellStyle name="SAPBEXHLevel3X 2 3 4" xfId="5028"/>
    <cellStyle name="SAPBEXHLevel3X 2 3 5" xfId="5029"/>
    <cellStyle name="SAPBEXHLevel3X 2 4" xfId="5030"/>
    <cellStyle name="SAPBEXHLevel3X 2 4 2" xfId="5031"/>
    <cellStyle name="SAPBEXHLevel3X 2 4 2 2" xfId="5032"/>
    <cellStyle name="SAPBEXHLevel3X 2 4 2 3" xfId="5033"/>
    <cellStyle name="SAPBEXHLevel3X 2 4 2 4" xfId="5034"/>
    <cellStyle name="SAPBEXHLevel3X 2 4 3" xfId="5035"/>
    <cellStyle name="SAPBEXHLevel3X 2 4 4" xfId="5036"/>
    <cellStyle name="SAPBEXHLevel3X 2 4 5" xfId="5037"/>
    <cellStyle name="SAPBEXHLevel3X 2 5" xfId="5038"/>
    <cellStyle name="SAPBEXHLevel3X 2 5 2" xfId="5039"/>
    <cellStyle name="SAPBEXHLevel3X 2 5 3" xfId="5040"/>
    <cellStyle name="SAPBEXHLevel3X 2 5 4" xfId="5041"/>
    <cellStyle name="SAPBEXHLevel3X 2 6" xfId="5042"/>
    <cellStyle name="SAPBEXHLevel3X 2 7" xfId="5043"/>
    <cellStyle name="SAPBEXHLevel3X 2 8" xfId="5044"/>
    <cellStyle name="SAPBEXHLevel3X 3" xfId="5045"/>
    <cellStyle name="SAPBEXHLevel3X 3 2" xfId="5046"/>
    <cellStyle name="SAPBEXHLevel3X 3 2 2" xfId="5047"/>
    <cellStyle name="SAPBEXHLevel3X 3 2 2 2" xfId="5048"/>
    <cellStyle name="SAPBEXHLevel3X 3 2 2 3" xfId="5049"/>
    <cellStyle name="SAPBEXHLevel3X 3 2 2 4" xfId="5050"/>
    <cellStyle name="SAPBEXHLevel3X 3 2 3" xfId="5051"/>
    <cellStyle name="SAPBEXHLevel3X 3 2 4" xfId="5052"/>
    <cellStyle name="SAPBEXHLevel3X 3 2 5" xfId="5053"/>
    <cellStyle name="SAPBEXHLevel3X 3 3" xfId="5054"/>
    <cellStyle name="SAPBEXHLevel3X 3 3 2" xfId="5055"/>
    <cellStyle name="SAPBEXHLevel3X 3 3 2 2" xfId="5056"/>
    <cellStyle name="SAPBEXHLevel3X 3 3 2 3" xfId="5057"/>
    <cellStyle name="SAPBEXHLevel3X 3 3 2 4" xfId="5058"/>
    <cellStyle name="SAPBEXHLevel3X 3 3 3" xfId="5059"/>
    <cellStyle name="SAPBEXHLevel3X 3 3 4" xfId="5060"/>
    <cellStyle name="SAPBEXHLevel3X 3 3 5" xfId="5061"/>
    <cellStyle name="SAPBEXHLevel3X 3 4" xfId="5062"/>
    <cellStyle name="SAPBEXHLevel3X 3 4 2" xfId="5063"/>
    <cellStyle name="SAPBEXHLevel3X 3 4 3" xfId="5064"/>
    <cellStyle name="SAPBEXHLevel3X 3 4 4" xfId="5065"/>
    <cellStyle name="SAPBEXHLevel3X 3 5" xfId="5066"/>
    <cellStyle name="SAPBEXHLevel3X 3 6" xfId="5067"/>
    <cellStyle name="SAPBEXHLevel3X 3 7" xfId="5068"/>
    <cellStyle name="SAPBEXHLevel3X 3 8" xfId="5069"/>
    <cellStyle name="SAPBEXHLevel3X 4" xfId="5070"/>
    <cellStyle name="SAPBEXHLevel3X 4 2" xfId="5071"/>
    <cellStyle name="SAPBEXHLevel3X 4 2 2" xfId="5072"/>
    <cellStyle name="SAPBEXHLevel3X 4 2 3" xfId="5073"/>
    <cellStyle name="SAPBEXHLevel3X 4 2 4" xfId="5074"/>
    <cellStyle name="SAPBEXHLevel3X 4 3" xfId="5075"/>
    <cellStyle name="SAPBEXHLevel3X 4 4" xfId="5076"/>
    <cellStyle name="SAPBEXHLevel3X 4 5" xfId="5077"/>
    <cellStyle name="SAPBEXHLevel3X 5" xfId="5078"/>
    <cellStyle name="SAPBEXHLevel3X 5 2" xfId="5079"/>
    <cellStyle name="SAPBEXHLevel3X 5 2 2" xfId="5080"/>
    <cellStyle name="SAPBEXHLevel3X 5 2 3" xfId="5081"/>
    <cellStyle name="SAPBEXHLevel3X 5 2 4" xfId="5082"/>
    <cellStyle name="SAPBEXHLevel3X 5 3" xfId="5083"/>
    <cellStyle name="SAPBEXHLevel3X 5 4" xfId="5084"/>
    <cellStyle name="SAPBEXHLevel3X 5 5" xfId="5085"/>
    <cellStyle name="SAPBEXHLevel3X 6" xfId="5086"/>
    <cellStyle name="SAPBEXHLevel3X 6 2" xfId="5087"/>
    <cellStyle name="SAPBEXHLevel3X 6 3" xfId="5088"/>
    <cellStyle name="SAPBEXHLevel3X 6 4" xfId="5089"/>
    <cellStyle name="SAPBEXHLevel3X 7" xfId="5090"/>
    <cellStyle name="SAPBEXHLevel3X 8" xfId="5091"/>
    <cellStyle name="SAPBEXHLevel3X 9" xfId="5092"/>
    <cellStyle name="SAPBEXresData" xfId="5093"/>
    <cellStyle name="SAPBEXresData 2" xfId="5094"/>
    <cellStyle name="SAPBEXresData 2 2" xfId="5095"/>
    <cellStyle name="SAPBEXresData 2 2 2" xfId="5096"/>
    <cellStyle name="SAPBEXresData 2 2 2 2" xfId="5097"/>
    <cellStyle name="SAPBEXresData 2 2 2 2 2" xfId="5098"/>
    <cellStyle name="SAPBEXresData 2 2 2 2 3" xfId="5099"/>
    <cellStyle name="SAPBEXresData 2 2 2 2 4" xfId="5100"/>
    <cellStyle name="SAPBEXresData 2 2 2 3" xfId="5101"/>
    <cellStyle name="SAPBEXresData 2 2 2 4" xfId="5102"/>
    <cellStyle name="SAPBEXresData 2 2 2 5" xfId="5103"/>
    <cellStyle name="SAPBEXresData 2 2 3" xfId="5104"/>
    <cellStyle name="SAPBEXresData 2 2 3 2" xfId="5105"/>
    <cellStyle name="SAPBEXresData 2 2 3 2 2" xfId="5106"/>
    <cellStyle name="SAPBEXresData 2 2 3 2 3" xfId="5107"/>
    <cellStyle name="SAPBEXresData 2 2 3 2 4" xfId="5108"/>
    <cellStyle name="SAPBEXresData 2 2 3 3" xfId="5109"/>
    <cellStyle name="SAPBEXresData 2 2 3 4" xfId="5110"/>
    <cellStyle name="SAPBEXresData 2 2 3 5" xfId="5111"/>
    <cellStyle name="SAPBEXresData 2 2 4" xfId="5112"/>
    <cellStyle name="SAPBEXresData 2 2 4 2" xfId="5113"/>
    <cellStyle name="SAPBEXresData 2 2 4 3" xfId="5114"/>
    <cellStyle name="SAPBEXresData 2 2 4 4" xfId="5115"/>
    <cellStyle name="SAPBEXresData 2 2 5" xfId="5116"/>
    <cellStyle name="SAPBEXresData 2 2 6" xfId="5117"/>
    <cellStyle name="SAPBEXresData 2 2 7" xfId="5118"/>
    <cellStyle name="SAPBEXresData 2 2 8" xfId="5119"/>
    <cellStyle name="SAPBEXresData 2 3" xfId="5120"/>
    <cellStyle name="SAPBEXresData 2 3 2" xfId="5121"/>
    <cellStyle name="SAPBEXresData 2 3 2 2" xfId="5122"/>
    <cellStyle name="SAPBEXresData 2 3 2 3" xfId="5123"/>
    <cellStyle name="SAPBEXresData 2 3 2 4" xfId="5124"/>
    <cellStyle name="SAPBEXresData 2 3 3" xfId="5125"/>
    <cellStyle name="SAPBEXresData 2 3 4" xfId="5126"/>
    <cellStyle name="SAPBEXresData 2 3 5" xfId="5127"/>
    <cellStyle name="SAPBEXresData 2 4" xfId="5128"/>
    <cellStyle name="SAPBEXresData 2 4 2" xfId="5129"/>
    <cellStyle name="SAPBEXresData 2 4 2 2" xfId="5130"/>
    <cellStyle name="SAPBEXresData 2 4 2 3" xfId="5131"/>
    <cellStyle name="SAPBEXresData 2 4 2 4" xfId="5132"/>
    <cellStyle name="SAPBEXresData 2 4 3" xfId="5133"/>
    <cellStyle name="SAPBEXresData 2 4 4" xfId="5134"/>
    <cellStyle name="SAPBEXresData 2 4 5" xfId="5135"/>
    <cellStyle name="SAPBEXresData 2 5" xfId="5136"/>
    <cellStyle name="SAPBEXresData 2 5 2" xfId="5137"/>
    <cellStyle name="SAPBEXresData 2 5 3" xfId="5138"/>
    <cellStyle name="SAPBEXresData 2 5 4" xfId="5139"/>
    <cellStyle name="SAPBEXresData 2 6" xfId="5140"/>
    <cellStyle name="SAPBEXresData 2 7" xfId="5141"/>
    <cellStyle name="SAPBEXresData 2 8" xfId="5142"/>
    <cellStyle name="SAPBEXresData 3" xfId="5143"/>
    <cellStyle name="SAPBEXresData 3 2" xfId="5144"/>
    <cellStyle name="SAPBEXresData 3 2 2" xfId="5145"/>
    <cellStyle name="SAPBEXresData 3 2 2 2" xfId="5146"/>
    <cellStyle name="SAPBEXresData 3 2 2 3" xfId="5147"/>
    <cellStyle name="SAPBEXresData 3 2 2 4" xfId="5148"/>
    <cellStyle name="SAPBEXresData 3 2 3" xfId="5149"/>
    <cellStyle name="SAPBEXresData 3 2 4" xfId="5150"/>
    <cellStyle name="SAPBEXresData 3 2 5" xfId="5151"/>
    <cellStyle name="SAPBEXresData 3 3" xfId="5152"/>
    <cellStyle name="SAPBEXresData 3 3 2" xfId="5153"/>
    <cellStyle name="SAPBEXresData 3 3 2 2" xfId="5154"/>
    <cellStyle name="SAPBEXresData 3 3 2 3" xfId="5155"/>
    <cellStyle name="SAPBEXresData 3 3 2 4" xfId="5156"/>
    <cellStyle name="SAPBEXresData 3 3 3" xfId="5157"/>
    <cellStyle name="SAPBEXresData 3 3 4" xfId="5158"/>
    <cellStyle name="SAPBEXresData 3 3 5" xfId="5159"/>
    <cellStyle name="SAPBEXresData 3 4" xfId="5160"/>
    <cellStyle name="SAPBEXresData 3 4 2" xfId="5161"/>
    <cellStyle name="SAPBEXresData 3 4 3" xfId="5162"/>
    <cellStyle name="SAPBEXresData 3 4 4" xfId="5163"/>
    <cellStyle name="SAPBEXresData 3 5" xfId="5164"/>
    <cellStyle name="SAPBEXresData 3 6" xfId="5165"/>
    <cellStyle name="SAPBEXresData 3 7" xfId="5166"/>
    <cellStyle name="SAPBEXresData 3 8" xfId="5167"/>
    <cellStyle name="SAPBEXresData 4" xfId="5168"/>
    <cellStyle name="SAPBEXresData 4 2" xfId="5169"/>
    <cellStyle name="SAPBEXresData 4 2 2" xfId="5170"/>
    <cellStyle name="SAPBEXresData 4 2 3" xfId="5171"/>
    <cellStyle name="SAPBEXresData 4 2 4" xfId="5172"/>
    <cellStyle name="SAPBEXresData 4 3" xfId="5173"/>
    <cellStyle name="SAPBEXresData 4 4" xfId="5174"/>
    <cellStyle name="SAPBEXresData 4 5" xfId="5175"/>
    <cellStyle name="SAPBEXresData 5" xfId="5176"/>
    <cellStyle name="SAPBEXresData 5 2" xfId="5177"/>
    <cellStyle name="SAPBEXresData 5 2 2" xfId="5178"/>
    <cellStyle name="SAPBEXresData 5 2 3" xfId="5179"/>
    <cellStyle name="SAPBEXresData 5 2 4" xfId="5180"/>
    <cellStyle name="SAPBEXresData 5 3" xfId="5181"/>
    <cellStyle name="SAPBEXresData 5 4" xfId="5182"/>
    <cellStyle name="SAPBEXresData 5 5" xfId="5183"/>
    <cellStyle name="SAPBEXresData 6" xfId="5184"/>
    <cellStyle name="SAPBEXresData 6 2" xfId="5185"/>
    <cellStyle name="SAPBEXresData 6 3" xfId="5186"/>
    <cellStyle name="SAPBEXresData 6 4" xfId="5187"/>
    <cellStyle name="SAPBEXresData 7" xfId="5188"/>
    <cellStyle name="SAPBEXresData 8" xfId="5189"/>
    <cellStyle name="SAPBEXresData 9" xfId="5190"/>
    <cellStyle name="SAPBEXresDataEmph" xfId="5191"/>
    <cellStyle name="SAPBEXresDataEmph 2" xfId="5192"/>
    <cellStyle name="SAPBEXresDataEmph 2 2" xfId="5193"/>
    <cellStyle name="SAPBEXresDataEmph 2 2 2" xfId="5194"/>
    <cellStyle name="SAPBEXresDataEmph 2 2 2 2" xfId="5195"/>
    <cellStyle name="SAPBEXresDataEmph 2 2 2 2 2" xfId="5196"/>
    <cellStyle name="SAPBEXresDataEmph 2 2 2 2 3" xfId="5197"/>
    <cellStyle name="SAPBEXresDataEmph 2 2 2 2 4" xfId="5198"/>
    <cellStyle name="SAPBEXresDataEmph 2 2 2 3" xfId="5199"/>
    <cellStyle name="SAPBEXresDataEmph 2 2 2 4" xfId="5200"/>
    <cellStyle name="SAPBEXresDataEmph 2 2 2 5" xfId="5201"/>
    <cellStyle name="SAPBEXresDataEmph 2 2 3" xfId="5202"/>
    <cellStyle name="SAPBEXresDataEmph 2 2 3 2" xfId="5203"/>
    <cellStyle name="SAPBEXresDataEmph 2 2 3 2 2" xfId="5204"/>
    <cellStyle name="SAPBEXresDataEmph 2 2 3 2 3" xfId="5205"/>
    <cellStyle name="SAPBEXresDataEmph 2 2 3 2 4" xfId="5206"/>
    <cellStyle name="SAPBEXresDataEmph 2 2 3 3" xfId="5207"/>
    <cellStyle name="SAPBEXresDataEmph 2 2 3 4" xfId="5208"/>
    <cellStyle name="SAPBEXresDataEmph 2 2 3 5" xfId="5209"/>
    <cellStyle name="SAPBEXresDataEmph 2 2 4" xfId="5210"/>
    <cellStyle name="SAPBEXresDataEmph 2 2 4 2" xfId="5211"/>
    <cellStyle name="SAPBEXresDataEmph 2 2 4 3" xfId="5212"/>
    <cellStyle name="SAPBEXresDataEmph 2 2 4 4" xfId="5213"/>
    <cellStyle name="SAPBEXresDataEmph 2 2 5" xfId="5214"/>
    <cellStyle name="SAPBEXresDataEmph 2 2 6" xfId="5215"/>
    <cellStyle name="SAPBEXresDataEmph 2 2 7" xfId="5216"/>
    <cellStyle name="SAPBEXresDataEmph 2 2 8" xfId="5217"/>
    <cellStyle name="SAPBEXresDataEmph 2 3" xfId="5218"/>
    <cellStyle name="SAPBEXresDataEmph 2 3 2" xfId="5219"/>
    <cellStyle name="SAPBEXresDataEmph 2 3 2 2" xfId="5220"/>
    <cellStyle name="SAPBEXresDataEmph 2 3 2 3" xfId="5221"/>
    <cellStyle name="SAPBEXresDataEmph 2 3 2 4" xfId="5222"/>
    <cellStyle name="SAPBEXresDataEmph 2 3 3" xfId="5223"/>
    <cellStyle name="SAPBEXresDataEmph 2 3 4" xfId="5224"/>
    <cellStyle name="SAPBEXresDataEmph 2 3 5" xfId="5225"/>
    <cellStyle name="SAPBEXresDataEmph 2 4" xfId="5226"/>
    <cellStyle name="SAPBEXresDataEmph 2 4 2" xfId="5227"/>
    <cellStyle name="SAPBEXresDataEmph 2 4 2 2" xfId="5228"/>
    <cellStyle name="SAPBEXresDataEmph 2 4 2 3" xfId="5229"/>
    <cellStyle name="SAPBEXresDataEmph 2 4 2 4" xfId="5230"/>
    <cellStyle name="SAPBEXresDataEmph 2 4 3" xfId="5231"/>
    <cellStyle name="SAPBEXresDataEmph 2 4 4" xfId="5232"/>
    <cellStyle name="SAPBEXresDataEmph 2 4 5" xfId="5233"/>
    <cellStyle name="SAPBEXresDataEmph 2 5" xfId="5234"/>
    <cellStyle name="SAPBEXresDataEmph 2 5 2" xfId="5235"/>
    <cellStyle name="SAPBEXresDataEmph 2 5 3" xfId="5236"/>
    <cellStyle name="SAPBEXresDataEmph 2 5 4" xfId="5237"/>
    <cellStyle name="SAPBEXresDataEmph 2 6" xfId="5238"/>
    <cellStyle name="SAPBEXresDataEmph 2 7" xfId="5239"/>
    <cellStyle name="SAPBEXresDataEmph 2 8" xfId="5240"/>
    <cellStyle name="SAPBEXresDataEmph 3" xfId="5241"/>
    <cellStyle name="SAPBEXresDataEmph 3 2" xfId="5242"/>
    <cellStyle name="SAPBEXresDataEmph 3 2 2" xfId="5243"/>
    <cellStyle name="SAPBEXresDataEmph 3 2 2 2" xfId="5244"/>
    <cellStyle name="SAPBEXresDataEmph 3 2 2 3" xfId="5245"/>
    <cellStyle name="SAPBEXresDataEmph 3 2 2 4" xfId="5246"/>
    <cellStyle name="SAPBEXresDataEmph 3 2 3" xfId="5247"/>
    <cellStyle name="SAPBEXresDataEmph 3 2 4" xfId="5248"/>
    <cellStyle name="SAPBEXresDataEmph 3 2 5" xfId="5249"/>
    <cellStyle name="SAPBEXresDataEmph 3 3" xfId="5250"/>
    <cellStyle name="SAPBEXresDataEmph 3 3 2" xfId="5251"/>
    <cellStyle name="SAPBEXresDataEmph 3 3 2 2" xfId="5252"/>
    <cellStyle name="SAPBEXresDataEmph 3 3 2 3" xfId="5253"/>
    <cellStyle name="SAPBEXresDataEmph 3 3 2 4" xfId="5254"/>
    <cellStyle name="SAPBEXresDataEmph 3 3 3" xfId="5255"/>
    <cellStyle name="SAPBEXresDataEmph 3 3 4" xfId="5256"/>
    <cellStyle name="SAPBEXresDataEmph 3 3 5" xfId="5257"/>
    <cellStyle name="SAPBEXresDataEmph 3 4" xfId="5258"/>
    <cellStyle name="SAPBEXresDataEmph 3 4 2" xfId="5259"/>
    <cellStyle name="SAPBEXresDataEmph 3 4 3" xfId="5260"/>
    <cellStyle name="SAPBEXresDataEmph 3 4 4" xfId="5261"/>
    <cellStyle name="SAPBEXresDataEmph 3 5" xfId="5262"/>
    <cellStyle name="SAPBEXresDataEmph 3 6" xfId="5263"/>
    <cellStyle name="SAPBEXresDataEmph 3 7" xfId="5264"/>
    <cellStyle name="SAPBEXresDataEmph 3 8" xfId="5265"/>
    <cellStyle name="SAPBEXresDataEmph 4" xfId="5266"/>
    <cellStyle name="SAPBEXresDataEmph 4 2" xfId="5267"/>
    <cellStyle name="SAPBEXresDataEmph 4 2 2" xfId="5268"/>
    <cellStyle name="SAPBEXresDataEmph 4 2 3" xfId="5269"/>
    <cellStyle name="SAPBEXresDataEmph 4 2 4" xfId="5270"/>
    <cellStyle name="SAPBEXresDataEmph 4 3" xfId="5271"/>
    <cellStyle name="SAPBEXresDataEmph 4 4" xfId="5272"/>
    <cellStyle name="SAPBEXresDataEmph 4 5" xfId="5273"/>
    <cellStyle name="SAPBEXresDataEmph 5" xfId="5274"/>
    <cellStyle name="SAPBEXresDataEmph 5 2" xfId="5275"/>
    <cellStyle name="SAPBEXresDataEmph 5 2 2" xfId="5276"/>
    <cellStyle name="SAPBEXresDataEmph 5 2 3" xfId="5277"/>
    <cellStyle name="SAPBEXresDataEmph 5 2 4" xfId="5278"/>
    <cellStyle name="SAPBEXresDataEmph 5 3" xfId="5279"/>
    <cellStyle name="SAPBEXresDataEmph 5 4" xfId="5280"/>
    <cellStyle name="SAPBEXresDataEmph 5 5" xfId="5281"/>
    <cellStyle name="SAPBEXresDataEmph 6" xfId="5282"/>
    <cellStyle name="SAPBEXresDataEmph 6 2" xfId="5283"/>
    <cellStyle name="SAPBEXresDataEmph 6 3" xfId="5284"/>
    <cellStyle name="SAPBEXresDataEmph 6 4" xfId="5285"/>
    <cellStyle name="SAPBEXresDataEmph 7" xfId="5286"/>
    <cellStyle name="SAPBEXresDataEmph 8" xfId="5287"/>
    <cellStyle name="SAPBEXresDataEmph 9" xfId="5288"/>
    <cellStyle name="SAPBEXresItem" xfId="5289"/>
    <cellStyle name="SAPBEXresItem 2" xfId="5290"/>
    <cellStyle name="SAPBEXresItem 2 2" xfId="5291"/>
    <cellStyle name="SAPBEXresItem 2 2 2" xfId="5292"/>
    <cellStyle name="SAPBEXresItem 2 2 2 2" xfId="5293"/>
    <cellStyle name="SAPBEXresItem 2 2 2 2 2" xfId="5294"/>
    <cellStyle name="SAPBEXresItem 2 2 2 2 3" xfId="5295"/>
    <cellStyle name="SAPBEXresItem 2 2 2 2 4" xfId="5296"/>
    <cellStyle name="SAPBEXresItem 2 2 2 3" xfId="5297"/>
    <cellStyle name="SAPBEXresItem 2 2 2 4" xfId="5298"/>
    <cellStyle name="SAPBEXresItem 2 2 2 5" xfId="5299"/>
    <cellStyle name="SAPBEXresItem 2 2 3" xfId="5300"/>
    <cellStyle name="SAPBEXresItem 2 2 3 2" xfId="5301"/>
    <cellStyle name="SAPBEXresItem 2 2 3 2 2" xfId="5302"/>
    <cellStyle name="SAPBEXresItem 2 2 3 2 3" xfId="5303"/>
    <cellStyle name="SAPBEXresItem 2 2 3 2 4" xfId="5304"/>
    <cellStyle name="SAPBEXresItem 2 2 3 3" xfId="5305"/>
    <cellStyle name="SAPBEXresItem 2 2 3 4" xfId="5306"/>
    <cellStyle name="SAPBEXresItem 2 2 3 5" xfId="5307"/>
    <cellStyle name="SAPBEXresItem 2 2 4" xfId="5308"/>
    <cellStyle name="SAPBEXresItem 2 2 4 2" xfId="5309"/>
    <cellStyle name="SAPBEXresItem 2 2 4 3" xfId="5310"/>
    <cellStyle name="SAPBEXresItem 2 2 4 4" xfId="5311"/>
    <cellStyle name="SAPBEXresItem 2 2 5" xfId="5312"/>
    <cellStyle name="SAPBEXresItem 2 2 6" xfId="5313"/>
    <cellStyle name="SAPBEXresItem 2 2 7" xfId="5314"/>
    <cellStyle name="SAPBEXresItem 2 2 8" xfId="5315"/>
    <cellStyle name="SAPBEXresItem 2 3" xfId="5316"/>
    <cellStyle name="SAPBEXresItem 2 3 2" xfId="5317"/>
    <cellStyle name="SAPBEXresItem 2 3 2 2" xfId="5318"/>
    <cellStyle name="SAPBEXresItem 2 3 2 3" xfId="5319"/>
    <cellStyle name="SAPBEXresItem 2 3 2 4" xfId="5320"/>
    <cellStyle name="SAPBEXresItem 2 3 3" xfId="5321"/>
    <cellStyle name="SAPBEXresItem 2 3 4" xfId="5322"/>
    <cellStyle name="SAPBEXresItem 2 3 5" xfId="5323"/>
    <cellStyle name="SAPBEXresItem 2 4" xfId="5324"/>
    <cellStyle name="SAPBEXresItem 2 4 2" xfId="5325"/>
    <cellStyle name="SAPBEXresItem 2 4 2 2" xfId="5326"/>
    <cellStyle name="SAPBEXresItem 2 4 2 3" xfId="5327"/>
    <cellStyle name="SAPBEXresItem 2 4 2 4" xfId="5328"/>
    <cellStyle name="SAPBEXresItem 2 4 3" xfId="5329"/>
    <cellStyle name="SAPBEXresItem 2 4 4" xfId="5330"/>
    <cellStyle name="SAPBEXresItem 2 4 5" xfId="5331"/>
    <cellStyle name="SAPBEXresItem 2 5" xfId="5332"/>
    <cellStyle name="SAPBEXresItem 2 5 2" xfId="5333"/>
    <cellStyle name="SAPBEXresItem 2 5 3" xfId="5334"/>
    <cellStyle name="SAPBEXresItem 2 5 4" xfId="5335"/>
    <cellStyle name="SAPBEXresItem 2 6" xfId="5336"/>
    <cellStyle name="SAPBEXresItem 2 7" xfId="5337"/>
    <cellStyle name="SAPBEXresItem 2 8" xfId="5338"/>
    <cellStyle name="SAPBEXresItem 3" xfId="5339"/>
    <cellStyle name="SAPBEXresItem 3 2" xfId="5340"/>
    <cellStyle name="SAPBEXresItem 3 2 2" xfId="5341"/>
    <cellStyle name="SAPBEXresItem 3 2 2 2" xfId="5342"/>
    <cellStyle name="SAPBEXresItem 3 2 2 3" xfId="5343"/>
    <cellStyle name="SAPBEXresItem 3 2 2 4" xfId="5344"/>
    <cellStyle name="SAPBEXresItem 3 2 3" xfId="5345"/>
    <cellStyle name="SAPBEXresItem 3 2 4" xfId="5346"/>
    <cellStyle name="SAPBEXresItem 3 2 5" xfId="5347"/>
    <cellStyle name="SAPBEXresItem 3 3" xfId="5348"/>
    <cellStyle name="SAPBEXresItem 3 3 2" xfId="5349"/>
    <cellStyle name="SAPBEXresItem 3 3 2 2" xfId="5350"/>
    <cellStyle name="SAPBEXresItem 3 3 2 3" xfId="5351"/>
    <cellStyle name="SAPBEXresItem 3 3 2 4" xfId="5352"/>
    <cellStyle name="SAPBEXresItem 3 3 3" xfId="5353"/>
    <cellStyle name="SAPBEXresItem 3 3 4" xfId="5354"/>
    <cellStyle name="SAPBEXresItem 3 3 5" xfId="5355"/>
    <cellStyle name="SAPBEXresItem 3 4" xfId="5356"/>
    <cellStyle name="SAPBEXresItem 3 4 2" xfId="5357"/>
    <cellStyle name="SAPBEXresItem 3 4 3" xfId="5358"/>
    <cellStyle name="SAPBEXresItem 3 4 4" xfId="5359"/>
    <cellStyle name="SAPBEXresItem 3 5" xfId="5360"/>
    <cellStyle name="SAPBEXresItem 3 6" xfId="5361"/>
    <cellStyle name="SAPBEXresItem 3 7" xfId="5362"/>
    <cellStyle name="SAPBEXresItem 3 8" xfId="5363"/>
    <cellStyle name="SAPBEXresItem 4" xfId="5364"/>
    <cellStyle name="SAPBEXresItem 4 2" xfId="5365"/>
    <cellStyle name="SAPBEXresItem 4 2 2" xfId="5366"/>
    <cellStyle name="SAPBEXresItem 4 2 3" xfId="5367"/>
    <cellStyle name="SAPBEXresItem 4 2 4" xfId="5368"/>
    <cellStyle name="SAPBEXresItem 4 3" xfId="5369"/>
    <cellStyle name="SAPBEXresItem 4 4" xfId="5370"/>
    <cellStyle name="SAPBEXresItem 4 5" xfId="5371"/>
    <cellStyle name="SAPBEXresItem 5" xfId="5372"/>
    <cellStyle name="SAPBEXresItem 5 2" xfId="5373"/>
    <cellStyle name="SAPBEXresItem 5 2 2" xfId="5374"/>
    <cellStyle name="SAPBEXresItem 5 2 3" xfId="5375"/>
    <cellStyle name="SAPBEXresItem 5 2 4" xfId="5376"/>
    <cellStyle name="SAPBEXresItem 5 3" xfId="5377"/>
    <cellStyle name="SAPBEXresItem 5 4" xfId="5378"/>
    <cellStyle name="SAPBEXresItem 5 5" xfId="5379"/>
    <cellStyle name="SAPBEXresItem 6" xfId="5380"/>
    <cellStyle name="SAPBEXresItem 6 2" xfId="5381"/>
    <cellStyle name="SAPBEXresItem 6 3" xfId="5382"/>
    <cellStyle name="SAPBEXresItem 6 4" xfId="5383"/>
    <cellStyle name="SAPBEXresItem 7" xfId="5384"/>
    <cellStyle name="SAPBEXresItem 8" xfId="5385"/>
    <cellStyle name="SAPBEXresItem 9" xfId="5386"/>
    <cellStyle name="SAPBEXresItemX" xfId="5387"/>
    <cellStyle name="SAPBEXresItemX 2" xfId="5388"/>
    <cellStyle name="SAPBEXresItemX 2 2" xfId="5389"/>
    <cellStyle name="SAPBEXresItemX 2 2 2" xfId="5390"/>
    <cellStyle name="SAPBEXresItemX 2 2 2 2" xfId="5391"/>
    <cellStyle name="SAPBEXresItemX 2 2 2 2 2" xfId="5392"/>
    <cellStyle name="SAPBEXresItemX 2 2 2 2 3" xfId="5393"/>
    <cellStyle name="SAPBEXresItemX 2 2 2 2 4" xfId="5394"/>
    <cellStyle name="SAPBEXresItemX 2 2 2 3" xfId="5395"/>
    <cellStyle name="SAPBEXresItemX 2 2 2 4" xfId="5396"/>
    <cellStyle name="SAPBEXresItemX 2 2 2 5" xfId="5397"/>
    <cellStyle name="SAPBEXresItemX 2 2 3" xfId="5398"/>
    <cellStyle name="SAPBEXresItemX 2 2 3 2" xfId="5399"/>
    <cellStyle name="SAPBEXresItemX 2 2 3 2 2" xfId="5400"/>
    <cellStyle name="SAPBEXresItemX 2 2 3 2 3" xfId="5401"/>
    <cellStyle name="SAPBEXresItemX 2 2 3 2 4" xfId="5402"/>
    <cellStyle name="SAPBEXresItemX 2 2 3 3" xfId="5403"/>
    <cellStyle name="SAPBEXresItemX 2 2 3 4" xfId="5404"/>
    <cellStyle name="SAPBEXresItemX 2 2 3 5" xfId="5405"/>
    <cellStyle name="SAPBEXresItemX 2 2 4" xfId="5406"/>
    <cellStyle name="SAPBEXresItemX 2 2 4 2" xfId="5407"/>
    <cellStyle name="SAPBEXresItemX 2 2 4 3" xfId="5408"/>
    <cellStyle name="SAPBEXresItemX 2 2 4 4" xfId="5409"/>
    <cellStyle name="SAPBEXresItemX 2 2 5" xfId="5410"/>
    <cellStyle name="SAPBEXresItemX 2 2 6" xfId="5411"/>
    <cellStyle name="SAPBEXresItemX 2 2 7" xfId="5412"/>
    <cellStyle name="SAPBEXresItemX 2 2 8" xfId="5413"/>
    <cellStyle name="SAPBEXresItemX 2 3" xfId="5414"/>
    <cellStyle name="SAPBEXresItemX 2 3 2" xfId="5415"/>
    <cellStyle name="SAPBEXresItemX 2 3 2 2" xfId="5416"/>
    <cellStyle name="SAPBEXresItemX 2 3 2 3" xfId="5417"/>
    <cellStyle name="SAPBEXresItemX 2 3 2 4" xfId="5418"/>
    <cellStyle name="SAPBEXresItemX 2 3 3" xfId="5419"/>
    <cellStyle name="SAPBEXresItemX 2 3 4" xfId="5420"/>
    <cellStyle name="SAPBEXresItemX 2 3 5" xfId="5421"/>
    <cellStyle name="SAPBEXresItemX 2 4" xfId="5422"/>
    <cellStyle name="SAPBEXresItemX 2 4 2" xfId="5423"/>
    <cellStyle name="SAPBEXresItemX 2 4 2 2" xfId="5424"/>
    <cellStyle name="SAPBEXresItemX 2 4 2 3" xfId="5425"/>
    <cellStyle name="SAPBEXresItemX 2 4 2 4" xfId="5426"/>
    <cellStyle name="SAPBEXresItemX 2 4 3" xfId="5427"/>
    <cellStyle name="SAPBEXresItemX 2 4 4" xfId="5428"/>
    <cellStyle name="SAPBEXresItemX 2 4 5" xfId="5429"/>
    <cellStyle name="SAPBEXresItemX 2 5" xfId="5430"/>
    <cellStyle name="SAPBEXresItemX 2 5 2" xfId="5431"/>
    <cellStyle name="SAPBEXresItemX 2 5 3" xfId="5432"/>
    <cellStyle name="SAPBEXresItemX 2 5 4" xfId="5433"/>
    <cellStyle name="SAPBEXresItemX 2 6" xfId="5434"/>
    <cellStyle name="SAPBEXresItemX 2 7" xfId="5435"/>
    <cellStyle name="SAPBEXresItemX 2 8" xfId="5436"/>
    <cellStyle name="SAPBEXresItemX 3" xfId="5437"/>
    <cellStyle name="SAPBEXresItemX 3 2" xfId="5438"/>
    <cellStyle name="SAPBEXresItemX 3 2 2" xfId="5439"/>
    <cellStyle name="SAPBEXresItemX 3 2 2 2" xfId="5440"/>
    <cellStyle name="SAPBEXresItemX 3 2 2 3" xfId="5441"/>
    <cellStyle name="SAPBEXresItemX 3 2 2 4" xfId="5442"/>
    <cellStyle name="SAPBEXresItemX 3 2 3" xfId="5443"/>
    <cellStyle name="SAPBEXresItemX 3 2 4" xfId="5444"/>
    <cellStyle name="SAPBEXresItemX 3 2 5" xfId="5445"/>
    <cellStyle name="SAPBEXresItemX 3 3" xfId="5446"/>
    <cellStyle name="SAPBEXresItemX 3 3 2" xfId="5447"/>
    <cellStyle name="SAPBEXresItemX 3 3 2 2" xfId="5448"/>
    <cellStyle name="SAPBEXresItemX 3 3 2 3" xfId="5449"/>
    <cellStyle name="SAPBEXresItemX 3 3 2 4" xfId="5450"/>
    <cellStyle name="SAPBEXresItemX 3 3 3" xfId="5451"/>
    <cellStyle name="SAPBEXresItemX 3 3 4" xfId="5452"/>
    <cellStyle name="SAPBEXresItemX 3 3 5" xfId="5453"/>
    <cellStyle name="SAPBEXresItemX 3 4" xfId="5454"/>
    <cellStyle name="SAPBEXresItemX 3 4 2" xfId="5455"/>
    <cellStyle name="SAPBEXresItemX 3 4 3" xfId="5456"/>
    <cellStyle name="SAPBEXresItemX 3 4 4" xfId="5457"/>
    <cellStyle name="SAPBEXresItemX 3 5" xfId="5458"/>
    <cellStyle name="SAPBEXresItemX 3 6" xfId="5459"/>
    <cellStyle name="SAPBEXresItemX 3 7" xfId="5460"/>
    <cellStyle name="SAPBEXresItemX 3 8" xfId="5461"/>
    <cellStyle name="SAPBEXresItemX 4" xfId="5462"/>
    <cellStyle name="SAPBEXresItemX 4 2" xfId="5463"/>
    <cellStyle name="SAPBEXresItemX 4 2 2" xfId="5464"/>
    <cellStyle name="SAPBEXresItemX 4 2 3" xfId="5465"/>
    <cellStyle name="SAPBEXresItemX 4 2 4" xfId="5466"/>
    <cellStyle name="SAPBEXresItemX 4 3" xfId="5467"/>
    <cellStyle name="SAPBEXresItemX 4 4" xfId="5468"/>
    <cellStyle name="SAPBEXresItemX 4 5" xfId="5469"/>
    <cellStyle name="SAPBEXresItemX 5" xfId="5470"/>
    <cellStyle name="SAPBEXresItemX 5 2" xfId="5471"/>
    <cellStyle name="SAPBEXresItemX 5 2 2" xfId="5472"/>
    <cellStyle name="SAPBEXresItemX 5 2 3" xfId="5473"/>
    <cellStyle name="SAPBEXresItemX 5 2 4" xfId="5474"/>
    <cellStyle name="SAPBEXresItemX 5 3" xfId="5475"/>
    <cellStyle name="SAPBEXresItemX 5 4" xfId="5476"/>
    <cellStyle name="SAPBEXresItemX 5 5" xfId="5477"/>
    <cellStyle name="SAPBEXresItemX 6" xfId="5478"/>
    <cellStyle name="SAPBEXresItemX 6 2" xfId="5479"/>
    <cellStyle name="SAPBEXresItemX 6 3" xfId="5480"/>
    <cellStyle name="SAPBEXresItemX 6 4" xfId="5481"/>
    <cellStyle name="SAPBEXresItemX 7" xfId="5482"/>
    <cellStyle name="SAPBEXresItemX 8" xfId="5483"/>
    <cellStyle name="SAPBEXresItemX 9" xfId="5484"/>
    <cellStyle name="SAPBEXstdData" xfId="5485"/>
    <cellStyle name="SAPBEXstdData 2" xfId="5486"/>
    <cellStyle name="SAPBEXstdData 2 2" xfId="5487"/>
    <cellStyle name="SAPBEXstdData 2 2 2" xfId="5488"/>
    <cellStyle name="SAPBEXstdData 2 2 2 2" xfId="5489"/>
    <cellStyle name="SAPBEXstdData 2 2 2 2 2" xfId="5490"/>
    <cellStyle name="SAPBEXstdData 2 2 2 2 3" xfId="5491"/>
    <cellStyle name="SAPBEXstdData 2 2 2 2 4" xfId="5492"/>
    <cellStyle name="SAPBEXstdData 2 2 2 3" xfId="5493"/>
    <cellStyle name="SAPBEXstdData 2 2 2 4" xfId="5494"/>
    <cellStyle name="SAPBEXstdData 2 2 2 5" xfId="5495"/>
    <cellStyle name="SAPBEXstdData 2 2 3" xfId="5496"/>
    <cellStyle name="SAPBEXstdData 2 2 3 2" xfId="5497"/>
    <cellStyle name="SAPBEXstdData 2 2 3 2 2" xfId="5498"/>
    <cellStyle name="SAPBEXstdData 2 2 3 2 3" xfId="5499"/>
    <cellStyle name="SAPBEXstdData 2 2 3 2 4" xfId="5500"/>
    <cellStyle name="SAPBEXstdData 2 2 3 3" xfId="5501"/>
    <cellStyle name="SAPBEXstdData 2 2 3 4" xfId="5502"/>
    <cellStyle name="SAPBEXstdData 2 2 3 5" xfId="5503"/>
    <cellStyle name="SAPBEXstdData 2 2 4" xfId="5504"/>
    <cellStyle name="SAPBEXstdData 2 2 4 2" xfId="5505"/>
    <cellStyle name="SAPBEXstdData 2 2 4 3" xfId="5506"/>
    <cellStyle name="SAPBEXstdData 2 2 4 4" xfId="5507"/>
    <cellStyle name="SAPBEXstdData 2 2 5" xfId="5508"/>
    <cellStyle name="SAPBEXstdData 2 2 6" xfId="5509"/>
    <cellStyle name="SAPBEXstdData 2 2 7" xfId="5510"/>
    <cellStyle name="SAPBEXstdData 2 2 8" xfId="5511"/>
    <cellStyle name="SAPBEXstdData 2 3" xfId="5512"/>
    <cellStyle name="SAPBEXstdData 2 3 2" xfId="5513"/>
    <cellStyle name="SAPBEXstdData 2 3 2 2" xfId="5514"/>
    <cellStyle name="SAPBEXstdData 2 3 2 3" xfId="5515"/>
    <cellStyle name="SAPBEXstdData 2 3 2 4" xfId="5516"/>
    <cellStyle name="SAPBEXstdData 2 3 3" xfId="5517"/>
    <cellStyle name="SAPBEXstdData 2 3 4" xfId="5518"/>
    <cellStyle name="SAPBEXstdData 2 3 5" xfId="5519"/>
    <cellStyle name="SAPBEXstdData 2 4" xfId="5520"/>
    <cellStyle name="SAPBEXstdData 2 4 2" xfId="5521"/>
    <cellStyle name="SAPBEXstdData 2 4 2 2" xfId="5522"/>
    <cellStyle name="SAPBEXstdData 2 4 2 3" xfId="5523"/>
    <cellStyle name="SAPBEXstdData 2 4 2 4" xfId="5524"/>
    <cellStyle name="SAPBEXstdData 2 4 3" xfId="5525"/>
    <cellStyle name="SAPBEXstdData 2 4 4" xfId="5526"/>
    <cellStyle name="SAPBEXstdData 2 4 5" xfId="5527"/>
    <cellStyle name="SAPBEXstdData 2 5" xfId="5528"/>
    <cellStyle name="SAPBEXstdData 2 5 2" xfId="5529"/>
    <cellStyle name="SAPBEXstdData 2 5 3" xfId="5530"/>
    <cellStyle name="SAPBEXstdData 2 5 4" xfId="5531"/>
    <cellStyle name="SAPBEXstdData 2 6" xfId="5532"/>
    <cellStyle name="SAPBEXstdData 2 7" xfId="5533"/>
    <cellStyle name="SAPBEXstdData 2 8" xfId="5534"/>
    <cellStyle name="SAPBEXstdData 3" xfId="5535"/>
    <cellStyle name="SAPBEXstdData 3 2" xfId="5536"/>
    <cellStyle name="SAPBEXstdData 3 2 2" xfId="5537"/>
    <cellStyle name="SAPBEXstdData 3 2 2 2" xfId="5538"/>
    <cellStyle name="SAPBEXstdData 3 2 2 3" xfId="5539"/>
    <cellStyle name="SAPBEXstdData 3 2 2 4" xfId="5540"/>
    <cellStyle name="SAPBEXstdData 3 2 3" xfId="5541"/>
    <cellStyle name="SAPBEXstdData 3 2 4" xfId="5542"/>
    <cellStyle name="SAPBEXstdData 3 2 5" xfId="5543"/>
    <cellStyle name="SAPBEXstdData 3 3" xfId="5544"/>
    <cellStyle name="SAPBEXstdData 3 3 2" xfId="5545"/>
    <cellStyle name="SAPBEXstdData 3 3 2 2" xfId="5546"/>
    <cellStyle name="SAPBEXstdData 3 3 2 3" xfId="5547"/>
    <cellStyle name="SAPBEXstdData 3 3 2 4" xfId="5548"/>
    <cellStyle name="SAPBEXstdData 3 3 3" xfId="5549"/>
    <cellStyle name="SAPBEXstdData 3 3 4" xfId="5550"/>
    <cellStyle name="SAPBEXstdData 3 3 5" xfId="5551"/>
    <cellStyle name="SAPBEXstdData 3 4" xfId="5552"/>
    <cellStyle name="SAPBEXstdData 3 4 2" xfId="5553"/>
    <cellStyle name="SAPBEXstdData 3 4 3" xfId="5554"/>
    <cellStyle name="SAPBEXstdData 3 4 4" xfId="5555"/>
    <cellStyle name="SAPBEXstdData 3 5" xfId="5556"/>
    <cellStyle name="SAPBEXstdData 3 6" xfId="5557"/>
    <cellStyle name="SAPBEXstdData 3 7" xfId="5558"/>
    <cellStyle name="SAPBEXstdData 3 8" xfId="5559"/>
    <cellStyle name="SAPBEXstdData 4" xfId="5560"/>
    <cellStyle name="SAPBEXstdData 4 2" xfId="5561"/>
    <cellStyle name="SAPBEXstdData 4 2 2" xfId="5562"/>
    <cellStyle name="SAPBEXstdData 4 2 3" xfId="5563"/>
    <cellStyle name="SAPBEXstdData 4 2 4" xfId="5564"/>
    <cellStyle name="SAPBEXstdData 4 3" xfId="5565"/>
    <cellStyle name="SAPBEXstdData 4 4" xfId="5566"/>
    <cellStyle name="SAPBEXstdData 4 5" xfId="5567"/>
    <cellStyle name="SAPBEXstdData 5" xfId="5568"/>
    <cellStyle name="SAPBEXstdData 5 2" xfId="5569"/>
    <cellStyle name="SAPBEXstdData 5 2 2" xfId="5570"/>
    <cellStyle name="SAPBEXstdData 5 2 3" xfId="5571"/>
    <cellStyle name="SAPBEXstdData 5 2 4" xfId="5572"/>
    <cellStyle name="SAPBEXstdData 5 3" xfId="5573"/>
    <cellStyle name="SAPBEXstdData 5 4" xfId="5574"/>
    <cellStyle name="SAPBEXstdData 5 5" xfId="5575"/>
    <cellStyle name="SAPBEXstdData 6" xfId="5576"/>
    <cellStyle name="SAPBEXstdData 6 2" xfId="5577"/>
    <cellStyle name="SAPBEXstdData 6 3" xfId="5578"/>
    <cellStyle name="SAPBEXstdData 6 4" xfId="5579"/>
    <cellStyle name="SAPBEXstdData 7" xfId="5580"/>
    <cellStyle name="SAPBEXstdData 8" xfId="5581"/>
    <cellStyle name="SAPBEXstdData 9" xfId="5582"/>
    <cellStyle name="SAPBEXstdDataEmph" xfId="5583"/>
    <cellStyle name="SAPBEXstdDataEmph 2" xfId="5584"/>
    <cellStyle name="SAPBEXstdDataEmph 2 2" xfId="5585"/>
    <cellStyle name="SAPBEXstdDataEmph 2 2 2" xfId="5586"/>
    <cellStyle name="SAPBEXstdDataEmph 2 2 2 2" xfId="5587"/>
    <cellStyle name="SAPBEXstdDataEmph 2 2 2 2 2" xfId="5588"/>
    <cellStyle name="SAPBEXstdDataEmph 2 2 2 2 3" xfId="5589"/>
    <cellStyle name="SAPBEXstdDataEmph 2 2 2 2 4" xfId="5590"/>
    <cellStyle name="SAPBEXstdDataEmph 2 2 2 3" xfId="5591"/>
    <cellStyle name="SAPBEXstdDataEmph 2 2 2 4" xfId="5592"/>
    <cellStyle name="SAPBEXstdDataEmph 2 2 2 5" xfId="5593"/>
    <cellStyle name="SAPBEXstdDataEmph 2 2 3" xfId="5594"/>
    <cellStyle name="SAPBEXstdDataEmph 2 2 3 2" xfId="5595"/>
    <cellStyle name="SAPBEXstdDataEmph 2 2 3 2 2" xfId="5596"/>
    <cellStyle name="SAPBEXstdDataEmph 2 2 3 2 3" xfId="5597"/>
    <cellStyle name="SAPBEXstdDataEmph 2 2 3 2 4" xfId="5598"/>
    <cellStyle name="SAPBEXstdDataEmph 2 2 3 3" xfId="5599"/>
    <cellStyle name="SAPBEXstdDataEmph 2 2 3 4" xfId="5600"/>
    <cellStyle name="SAPBEXstdDataEmph 2 2 3 5" xfId="5601"/>
    <cellStyle name="SAPBEXstdDataEmph 2 2 4" xfId="5602"/>
    <cellStyle name="SAPBEXstdDataEmph 2 2 4 2" xfId="5603"/>
    <cellStyle name="SAPBEXstdDataEmph 2 2 4 3" xfId="5604"/>
    <cellStyle name="SAPBEXstdDataEmph 2 2 4 4" xfId="5605"/>
    <cellStyle name="SAPBEXstdDataEmph 2 2 5" xfId="5606"/>
    <cellStyle name="SAPBEXstdDataEmph 2 2 6" xfId="5607"/>
    <cellStyle name="SAPBEXstdDataEmph 2 2 7" xfId="5608"/>
    <cellStyle name="SAPBEXstdDataEmph 2 2 8" xfId="5609"/>
    <cellStyle name="SAPBEXstdDataEmph 2 3" xfId="5610"/>
    <cellStyle name="SAPBEXstdDataEmph 2 3 2" xfId="5611"/>
    <cellStyle name="SAPBEXstdDataEmph 2 3 2 2" xfId="5612"/>
    <cellStyle name="SAPBEXstdDataEmph 2 3 2 3" xfId="5613"/>
    <cellStyle name="SAPBEXstdDataEmph 2 3 2 4" xfId="5614"/>
    <cellStyle name="SAPBEXstdDataEmph 2 3 3" xfId="5615"/>
    <cellStyle name="SAPBEXstdDataEmph 2 3 4" xfId="5616"/>
    <cellStyle name="SAPBEXstdDataEmph 2 3 5" xfId="5617"/>
    <cellStyle name="SAPBEXstdDataEmph 2 4" xfId="5618"/>
    <cellStyle name="SAPBEXstdDataEmph 2 4 2" xfId="5619"/>
    <cellStyle name="SAPBEXstdDataEmph 2 4 2 2" xfId="5620"/>
    <cellStyle name="SAPBEXstdDataEmph 2 4 2 3" xfId="5621"/>
    <cellStyle name="SAPBEXstdDataEmph 2 4 2 4" xfId="5622"/>
    <cellStyle name="SAPBEXstdDataEmph 2 4 3" xfId="5623"/>
    <cellStyle name="SAPBEXstdDataEmph 2 4 4" xfId="5624"/>
    <cellStyle name="SAPBEXstdDataEmph 2 4 5" xfId="5625"/>
    <cellStyle name="SAPBEXstdDataEmph 2 5" xfId="5626"/>
    <cellStyle name="SAPBEXstdDataEmph 2 5 2" xfId="5627"/>
    <cellStyle name="SAPBEXstdDataEmph 2 5 3" xfId="5628"/>
    <cellStyle name="SAPBEXstdDataEmph 2 5 4" xfId="5629"/>
    <cellStyle name="SAPBEXstdDataEmph 2 6" xfId="5630"/>
    <cellStyle name="SAPBEXstdDataEmph 2 7" xfId="5631"/>
    <cellStyle name="SAPBEXstdDataEmph 2 8" xfId="5632"/>
    <cellStyle name="SAPBEXstdDataEmph 3" xfId="5633"/>
    <cellStyle name="SAPBEXstdDataEmph 3 2" xfId="5634"/>
    <cellStyle name="SAPBEXstdDataEmph 3 2 2" xfId="5635"/>
    <cellStyle name="SAPBEXstdDataEmph 3 2 2 2" xfId="5636"/>
    <cellStyle name="SAPBEXstdDataEmph 3 2 2 3" xfId="5637"/>
    <cellStyle name="SAPBEXstdDataEmph 3 2 2 4" xfId="5638"/>
    <cellStyle name="SAPBEXstdDataEmph 3 2 3" xfId="5639"/>
    <cellStyle name="SAPBEXstdDataEmph 3 2 4" xfId="5640"/>
    <cellStyle name="SAPBEXstdDataEmph 3 2 5" xfId="5641"/>
    <cellStyle name="SAPBEXstdDataEmph 3 3" xfId="5642"/>
    <cellStyle name="SAPBEXstdDataEmph 3 3 2" xfId="5643"/>
    <cellStyle name="SAPBEXstdDataEmph 3 3 2 2" xfId="5644"/>
    <cellStyle name="SAPBEXstdDataEmph 3 3 2 3" xfId="5645"/>
    <cellStyle name="SAPBEXstdDataEmph 3 3 2 4" xfId="5646"/>
    <cellStyle name="SAPBEXstdDataEmph 3 3 3" xfId="5647"/>
    <cellStyle name="SAPBEXstdDataEmph 3 3 4" xfId="5648"/>
    <cellStyle name="SAPBEXstdDataEmph 3 3 5" xfId="5649"/>
    <cellStyle name="SAPBEXstdDataEmph 3 4" xfId="5650"/>
    <cellStyle name="SAPBEXstdDataEmph 3 4 2" xfId="5651"/>
    <cellStyle name="SAPBEXstdDataEmph 3 4 3" xfId="5652"/>
    <cellStyle name="SAPBEXstdDataEmph 3 4 4" xfId="5653"/>
    <cellStyle name="SAPBEXstdDataEmph 3 5" xfId="5654"/>
    <cellStyle name="SAPBEXstdDataEmph 3 6" xfId="5655"/>
    <cellStyle name="SAPBEXstdDataEmph 3 7" xfId="5656"/>
    <cellStyle name="SAPBEXstdDataEmph 3 8" xfId="5657"/>
    <cellStyle name="SAPBEXstdDataEmph 4" xfId="5658"/>
    <cellStyle name="SAPBEXstdDataEmph 4 2" xfId="5659"/>
    <cellStyle name="SAPBEXstdDataEmph 4 2 2" xfId="5660"/>
    <cellStyle name="SAPBEXstdDataEmph 4 2 3" xfId="5661"/>
    <cellStyle name="SAPBEXstdDataEmph 4 2 4" xfId="5662"/>
    <cellStyle name="SAPBEXstdDataEmph 4 3" xfId="5663"/>
    <cellStyle name="SAPBEXstdDataEmph 4 4" xfId="5664"/>
    <cellStyle name="SAPBEXstdDataEmph 4 5" xfId="5665"/>
    <cellStyle name="SAPBEXstdDataEmph 5" xfId="5666"/>
    <cellStyle name="SAPBEXstdDataEmph 5 2" xfId="5667"/>
    <cellStyle name="SAPBEXstdDataEmph 5 2 2" xfId="5668"/>
    <cellStyle name="SAPBEXstdDataEmph 5 2 3" xfId="5669"/>
    <cellStyle name="SAPBEXstdDataEmph 5 2 4" xfId="5670"/>
    <cellStyle name="SAPBEXstdDataEmph 5 3" xfId="5671"/>
    <cellStyle name="SAPBEXstdDataEmph 5 4" xfId="5672"/>
    <cellStyle name="SAPBEXstdDataEmph 5 5" xfId="5673"/>
    <cellStyle name="SAPBEXstdDataEmph 6" xfId="5674"/>
    <cellStyle name="SAPBEXstdDataEmph 6 2" xfId="5675"/>
    <cellStyle name="SAPBEXstdDataEmph 6 3" xfId="5676"/>
    <cellStyle name="SAPBEXstdDataEmph 6 4" xfId="5677"/>
    <cellStyle name="SAPBEXstdDataEmph 7" xfId="5678"/>
    <cellStyle name="SAPBEXstdDataEmph 8" xfId="5679"/>
    <cellStyle name="SAPBEXstdDataEmph 9" xfId="5680"/>
    <cellStyle name="SAPBEXstdItem" xfId="5681"/>
    <cellStyle name="SAPBEXstdItem 2" xfId="5682"/>
    <cellStyle name="SAPBEXstdItem 2 2" xfId="5683"/>
    <cellStyle name="SAPBEXstdItem 2 2 2" xfId="5684"/>
    <cellStyle name="SAPBEXstdItem 2 2 2 2" xfId="5685"/>
    <cellStyle name="SAPBEXstdItem 2 2 2 2 2" xfId="5686"/>
    <cellStyle name="SAPBEXstdItem 2 2 2 2 3" xfId="5687"/>
    <cellStyle name="SAPBEXstdItem 2 2 2 2 4" xfId="5688"/>
    <cellStyle name="SAPBEXstdItem 2 2 2 3" xfId="5689"/>
    <cellStyle name="SAPBEXstdItem 2 2 2 4" xfId="5690"/>
    <cellStyle name="SAPBEXstdItem 2 2 2 5" xfId="5691"/>
    <cellStyle name="SAPBEXstdItem 2 2 3" xfId="5692"/>
    <cellStyle name="SAPBEXstdItem 2 2 3 2" xfId="5693"/>
    <cellStyle name="SAPBEXstdItem 2 2 3 2 2" xfId="5694"/>
    <cellStyle name="SAPBEXstdItem 2 2 3 2 3" xfId="5695"/>
    <cellStyle name="SAPBEXstdItem 2 2 3 2 4" xfId="5696"/>
    <cellStyle name="SAPBEXstdItem 2 2 3 3" xfId="5697"/>
    <cellStyle name="SAPBEXstdItem 2 2 3 4" xfId="5698"/>
    <cellStyle name="SAPBEXstdItem 2 2 3 5" xfId="5699"/>
    <cellStyle name="SAPBEXstdItem 2 2 4" xfId="5700"/>
    <cellStyle name="SAPBEXstdItem 2 2 4 2" xfId="5701"/>
    <cellStyle name="SAPBEXstdItem 2 2 4 3" xfId="5702"/>
    <cellStyle name="SAPBEXstdItem 2 2 4 4" xfId="5703"/>
    <cellStyle name="SAPBEXstdItem 2 2 5" xfId="5704"/>
    <cellStyle name="SAPBEXstdItem 2 2 6" xfId="5705"/>
    <cellStyle name="SAPBEXstdItem 2 2 7" xfId="5706"/>
    <cellStyle name="SAPBEXstdItem 2 2 8" xfId="5707"/>
    <cellStyle name="SAPBEXstdItem 2 3" xfId="5708"/>
    <cellStyle name="SAPBEXstdItem 2 3 2" xfId="5709"/>
    <cellStyle name="SAPBEXstdItem 2 3 2 2" xfId="5710"/>
    <cellStyle name="SAPBEXstdItem 2 3 2 3" xfId="5711"/>
    <cellStyle name="SAPBEXstdItem 2 3 2 4" xfId="5712"/>
    <cellStyle name="SAPBEXstdItem 2 3 3" xfId="5713"/>
    <cellStyle name="SAPBEXstdItem 2 3 4" xfId="5714"/>
    <cellStyle name="SAPBEXstdItem 2 3 5" xfId="5715"/>
    <cellStyle name="SAPBEXstdItem 2 4" xfId="5716"/>
    <cellStyle name="SAPBEXstdItem 2 4 2" xfId="5717"/>
    <cellStyle name="SAPBEXstdItem 2 4 2 2" xfId="5718"/>
    <cellStyle name="SAPBEXstdItem 2 4 2 3" xfId="5719"/>
    <cellStyle name="SAPBEXstdItem 2 4 2 4" xfId="5720"/>
    <cellStyle name="SAPBEXstdItem 2 4 3" xfId="5721"/>
    <cellStyle name="SAPBEXstdItem 2 4 4" xfId="5722"/>
    <cellStyle name="SAPBEXstdItem 2 4 5" xfId="5723"/>
    <cellStyle name="SAPBEXstdItem 2 5" xfId="5724"/>
    <cellStyle name="SAPBEXstdItem 2 5 2" xfId="5725"/>
    <cellStyle name="SAPBEXstdItem 2 5 3" xfId="5726"/>
    <cellStyle name="SAPBEXstdItem 2 5 4" xfId="5727"/>
    <cellStyle name="SAPBEXstdItem 2 6" xfId="5728"/>
    <cellStyle name="SAPBEXstdItem 2 7" xfId="5729"/>
    <cellStyle name="SAPBEXstdItem 2 8" xfId="5730"/>
    <cellStyle name="SAPBEXstdItem 3" xfId="5731"/>
    <cellStyle name="SAPBEXstdItem 3 2" xfId="5732"/>
    <cellStyle name="SAPBEXstdItem 3 2 2" xfId="5733"/>
    <cellStyle name="SAPBEXstdItem 3 2 2 2" xfId="5734"/>
    <cellStyle name="SAPBEXstdItem 3 2 2 3" xfId="5735"/>
    <cellStyle name="SAPBEXstdItem 3 2 2 4" xfId="5736"/>
    <cellStyle name="SAPBEXstdItem 3 2 3" xfId="5737"/>
    <cellStyle name="SAPBEXstdItem 3 2 4" xfId="5738"/>
    <cellStyle name="SAPBEXstdItem 3 2 5" xfId="5739"/>
    <cellStyle name="SAPBEXstdItem 3 3" xfId="5740"/>
    <cellStyle name="SAPBEXstdItem 3 3 2" xfId="5741"/>
    <cellStyle name="SAPBEXstdItem 3 3 2 2" xfId="5742"/>
    <cellStyle name="SAPBEXstdItem 3 3 2 3" xfId="5743"/>
    <cellStyle name="SAPBEXstdItem 3 3 2 4" xfId="5744"/>
    <cellStyle name="SAPBEXstdItem 3 3 3" xfId="5745"/>
    <cellStyle name="SAPBEXstdItem 3 3 4" xfId="5746"/>
    <cellStyle name="SAPBEXstdItem 3 3 5" xfId="5747"/>
    <cellStyle name="SAPBEXstdItem 3 4" xfId="5748"/>
    <cellStyle name="SAPBEXstdItem 3 4 2" xfId="5749"/>
    <cellStyle name="SAPBEXstdItem 3 4 3" xfId="5750"/>
    <cellStyle name="SAPBEXstdItem 3 4 4" xfId="5751"/>
    <cellStyle name="SAPBEXstdItem 3 5" xfId="5752"/>
    <cellStyle name="SAPBEXstdItem 3 6" xfId="5753"/>
    <cellStyle name="SAPBEXstdItem 3 7" xfId="5754"/>
    <cellStyle name="SAPBEXstdItem 3 8" xfId="5755"/>
    <cellStyle name="SAPBEXstdItem 4" xfId="5756"/>
    <cellStyle name="SAPBEXstdItem 4 2" xfId="5757"/>
    <cellStyle name="SAPBEXstdItem 4 2 2" xfId="5758"/>
    <cellStyle name="SAPBEXstdItem 4 2 3" xfId="5759"/>
    <cellStyle name="SAPBEXstdItem 4 2 4" xfId="5760"/>
    <cellStyle name="SAPBEXstdItem 4 3" xfId="5761"/>
    <cellStyle name="SAPBEXstdItem 4 4" xfId="5762"/>
    <cellStyle name="SAPBEXstdItem 4 5" xfId="5763"/>
    <cellStyle name="SAPBEXstdItem 5" xfId="5764"/>
    <cellStyle name="SAPBEXstdItem 5 2" xfId="5765"/>
    <cellStyle name="SAPBEXstdItem 5 2 2" xfId="5766"/>
    <cellStyle name="SAPBEXstdItem 5 2 3" xfId="5767"/>
    <cellStyle name="SAPBEXstdItem 5 2 4" xfId="5768"/>
    <cellStyle name="SAPBEXstdItem 5 3" xfId="5769"/>
    <cellStyle name="SAPBEXstdItem 5 4" xfId="5770"/>
    <cellStyle name="SAPBEXstdItem 5 5" xfId="5771"/>
    <cellStyle name="SAPBEXstdItem 6" xfId="5772"/>
    <cellStyle name="SAPBEXstdItem 6 2" xfId="5773"/>
    <cellStyle name="SAPBEXstdItem 6 3" xfId="5774"/>
    <cellStyle name="SAPBEXstdItem 6 4" xfId="5775"/>
    <cellStyle name="SAPBEXstdItem 7" xfId="5776"/>
    <cellStyle name="SAPBEXstdItem 8" xfId="5777"/>
    <cellStyle name="SAPBEXstdItem 9" xfId="5778"/>
    <cellStyle name="SAPBEXstdItemX" xfId="5779"/>
    <cellStyle name="SAPBEXstdItemX 2" xfId="5780"/>
    <cellStyle name="SAPBEXstdItemX 2 2" xfId="5781"/>
    <cellStyle name="SAPBEXstdItemX 2 2 2" xfId="5782"/>
    <cellStyle name="SAPBEXstdItemX 2 2 2 2" xfId="5783"/>
    <cellStyle name="SAPBEXstdItemX 2 2 2 2 2" xfId="5784"/>
    <cellStyle name="SAPBEXstdItemX 2 2 2 2 3" xfId="5785"/>
    <cellStyle name="SAPBEXstdItemX 2 2 2 2 4" xfId="5786"/>
    <cellStyle name="SAPBEXstdItemX 2 2 2 3" xfId="5787"/>
    <cellStyle name="SAPBEXstdItemX 2 2 2 4" xfId="5788"/>
    <cellStyle name="SAPBEXstdItemX 2 2 2 5" xfId="5789"/>
    <cellStyle name="SAPBEXstdItemX 2 2 3" xfId="5790"/>
    <cellStyle name="SAPBEXstdItemX 2 2 3 2" xfId="5791"/>
    <cellStyle name="SAPBEXstdItemX 2 2 3 2 2" xfId="5792"/>
    <cellStyle name="SAPBEXstdItemX 2 2 3 2 3" xfId="5793"/>
    <cellStyle name="SAPBEXstdItemX 2 2 3 2 4" xfId="5794"/>
    <cellStyle name="SAPBEXstdItemX 2 2 3 3" xfId="5795"/>
    <cellStyle name="SAPBEXstdItemX 2 2 3 4" xfId="5796"/>
    <cellStyle name="SAPBEXstdItemX 2 2 3 5" xfId="5797"/>
    <cellStyle name="SAPBEXstdItemX 2 2 4" xfId="5798"/>
    <cellStyle name="SAPBEXstdItemX 2 2 4 2" xfId="5799"/>
    <cellStyle name="SAPBEXstdItemX 2 2 4 3" xfId="5800"/>
    <cellStyle name="SAPBEXstdItemX 2 2 4 4" xfId="5801"/>
    <cellStyle name="SAPBEXstdItemX 2 2 5" xfId="5802"/>
    <cellStyle name="SAPBEXstdItemX 2 2 6" xfId="5803"/>
    <cellStyle name="SAPBEXstdItemX 2 2 7" xfId="5804"/>
    <cellStyle name="SAPBEXstdItemX 2 2 8" xfId="5805"/>
    <cellStyle name="SAPBEXstdItemX 2 3" xfId="5806"/>
    <cellStyle name="SAPBEXstdItemX 2 3 2" xfId="5807"/>
    <cellStyle name="SAPBEXstdItemX 2 3 2 2" xfId="5808"/>
    <cellStyle name="SAPBEXstdItemX 2 3 2 3" xfId="5809"/>
    <cellStyle name="SAPBEXstdItemX 2 3 2 4" xfId="5810"/>
    <cellStyle name="SAPBEXstdItemX 2 3 3" xfId="5811"/>
    <cellStyle name="SAPBEXstdItemX 2 3 4" xfId="5812"/>
    <cellStyle name="SAPBEXstdItemX 2 3 5" xfId="5813"/>
    <cellStyle name="SAPBEXstdItemX 2 4" xfId="5814"/>
    <cellStyle name="SAPBEXstdItemX 2 4 2" xfId="5815"/>
    <cellStyle name="SAPBEXstdItemX 2 4 2 2" xfId="5816"/>
    <cellStyle name="SAPBEXstdItemX 2 4 2 3" xfId="5817"/>
    <cellStyle name="SAPBEXstdItemX 2 4 2 4" xfId="5818"/>
    <cellStyle name="SAPBEXstdItemX 2 4 3" xfId="5819"/>
    <cellStyle name="SAPBEXstdItemX 2 4 4" xfId="5820"/>
    <cellStyle name="SAPBEXstdItemX 2 4 5" xfId="5821"/>
    <cellStyle name="SAPBEXstdItemX 2 5" xfId="5822"/>
    <cellStyle name="SAPBEXstdItemX 2 5 2" xfId="5823"/>
    <cellStyle name="SAPBEXstdItemX 2 5 3" xfId="5824"/>
    <cellStyle name="SAPBEXstdItemX 2 5 4" xfId="5825"/>
    <cellStyle name="SAPBEXstdItemX 2 6" xfId="5826"/>
    <cellStyle name="SAPBEXstdItemX 2 7" xfId="5827"/>
    <cellStyle name="SAPBEXstdItemX 2 8" xfId="5828"/>
    <cellStyle name="SAPBEXstdItemX 3" xfId="5829"/>
    <cellStyle name="SAPBEXstdItemX 3 2" xfId="5830"/>
    <cellStyle name="SAPBEXstdItemX 3 2 2" xfId="5831"/>
    <cellStyle name="SAPBEXstdItemX 3 2 2 2" xfId="5832"/>
    <cellStyle name="SAPBEXstdItemX 3 2 2 3" xfId="5833"/>
    <cellStyle name="SAPBEXstdItemX 3 2 2 4" xfId="5834"/>
    <cellStyle name="SAPBEXstdItemX 3 2 3" xfId="5835"/>
    <cellStyle name="SAPBEXstdItemX 3 2 4" xfId="5836"/>
    <cellStyle name="SAPBEXstdItemX 3 2 5" xfId="5837"/>
    <cellStyle name="SAPBEXstdItemX 3 3" xfId="5838"/>
    <cellStyle name="SAPBEXstdItemX 3 3 2" xfId="5839"/>
    <cellStyle name="SAPBEXstdItemX 3 3 2 2" xfId="5840"/>
    <cellStyle name="SAPBEXstdItemX 3 3 2 3" xfId="5841"/>
    <cellStyle name="SAPBEXstdItemX 3 3 2 4" xfId="5842"/>
    <cellStyle name="SAPBEXstdItemX 3 3 3" xfId="5843"/>
    <cellStyle name="SAPBEXstdItemX 3 3 4" xfId="5844"/>
    <cellStyle name="SAPBEXstdItemX 3 3 5" xfId="5845"/>
    <cellStyle name="SAPBEXstdItemX 3 4" xfId="5846"/>
    <cellStyle name="SAPBEXstdItemX 3 4 2" xfId="5847"/>
    <cellStyle name="SAPBEXstdItemX 3 4 3" xfId="5848"/>
    <cellStyle name="SAPBEXstdItemX 3 4 4" xfId="5849"/>
    <cellStyle name="SAPBEXstdItemX 3 5" xfId="5850"/>
    <cellStyle name="SAPBEXstdItemX 3 6" xfId="5851"/>
    <cellStyle name="SAPBEXstdItemX 3 7" xfId="5852"/>
    <cellStyle name="SAPBEXstdItemX 3 8" xfId="5853"/>
    <cellStyle name="SAPBEXstdItemX 4" xfId="5854"/>
    <cellStyle name="SAPBEXstdItemX 4 2" xfId="5855"/>
    <cellStyle name="SAPBEXstdItemX 4 2 2" xfId="5856"/>
    <cellStyle name="SAPBEXstdItemX 4 2 3" xfId="5857"/>
    <cellStyle name="SAPBEXstdItemX 4 2 4" xfId="5858"/>
    <cellStyle name="SAPBEXstdItemX 4 3" xfId="5859"/>
    <cellStyle name="SAPBEXstdItemX 4 4" xfId="5860"/>
    <cellStyle name="SAPBEXstdItemX 4 5" xfId="5861"/>
    <cellStyle name="SAPBEXstdItemX 5" xfId="5862"/>
    <cellStyle name="SAPBEXstdItemX 5 2" xfId="5863"/>
    <cellStyle name="SAPBEXstdItemX 5 2 2" xfId="5864"/>
    <cellStyle name="SAPBEXstdItemX 5 2 3" xfId="5865"/>
    <cellStyle name="SAPBEXstdItemX 5 2 4" xfId="5866"/>
    <cellStyle name="SAPBEXstdItemX 5 3" xfId="5867"/>
    <cellStyle name="SAPBEXstdItemX 5 4" xfId="5868"/>
    <cellStyle name="SAPBEXstdItemX 5 5" xfId="5869"/>
    <cellStyle name="SAPBEXstdItemX 6" xfId="5870"/>
    <cellStyle name="SAPBEXstdItemX 6 2" xfId="5871"/>
    <cellStyle name="SAPBEXstdItemX 6 3" xfId="5872"/>
    <cellStyle name="SAPBEXstdItemX 6 4" xfId="5873"/>
    <cellStyle name="SAPBEXstdItemX 7" xfId="5874"/>
    <cellStyle name="SAPBEXstdItemX 8" xfId="5875"/>
    <cellStyle name="SAPBEXstdItemX 9" xfId="5876"/>
    <cellStyle name="SAPBEXtitle" xfId="5877"/>
    <cellStyle name="SAPBEXundefined" xfId="5878"/>
    <cellStyle name="SAPBEXundefined 2" xfId="5879"/>
    <cellStyle name="SAPBEXundefined 2 2" xfId="5880"/>
    <cellStyle name="SAPBEXundefined 2 2 2" xfId="5881"/>
    <cellStyle name="SAPBEXundefined 2 2 2 2" xfId="5882"/>
    <cellStyle name="SAPBEXundefined 2 2 2 2 2" xfId="5883"/>
    <cellStyle name="SAPBEXundefined 2 2 2 2 3" xfId="5884"/>
    <cellStyle name="SAPBEXundefined 2 2 2 2 4" xfId="5885"/>
    <cellStyle name="SAPBEXundefined 2 2 2 3" xfId="5886"/>
    <cellStyle name="SAPBEXundefined 2 2 2 4" xfId="5887"/>
    <cellStyle name="SAPBEXundefined 2 2 2 5" xfId="5888"/>
    <cellStyle name="SAPBEXundefined 2 2 3" xfId="5889"/>
    <cellStyle name="SAPBEXundefined 2 2 3 2" xfId="5890"/>
    <cellStyle name="SAPBEXundefined 2 2 3 2 2" xfId="5891"/>
    <cellStyle name="SAPBEXundefined 2 2 3 2 3" xfId="5892"/>
    <cellStyle name="SAPBEXundefined 2 2 3 2 4" xfId="5893"/>
    <cellStyle name="SAPBEXundefined 2 2 3 3" xfId="5894"/>
    <cellStyle name="SAPBEXundefined 2 2 3 4" xfId="5895"/>
    <cellStyle name="SAPBEXundefined 2 2 3 5" xfId="5896"/>
    <cellStyle name="SAPBEXundefined 2 2 4" xfId="5897"/>
    <cellStyle name="SAPBEXundefined 2 2 4 2" xfId="5898"/>
    <cellStyle name="SAPBEXundefined 2 2 4 3" xfId="5899"/>
    <cellStyle name="SAPBEXundefined 2 2 4 4" xfId="5900"/>
    <cellStyle name="SAPBEXundefined 2 2 5" xfId="5901"/>
    <cellStyle name="SAPBEXundefined 2 2 6" xfId="5902"/>
    <cellStyle name="SAPBEXundefined 2 2 7" xfId="5903"/>
    <cellStyle name="SAPBEXundefined 2 2 8" xfId="5904"/>
    <cellStyle name="SAPBEXundefined 2 3" xfId="5905"/>
    <cellStyle name="SAPBEXundefined 2 3 2" xfId="5906"/>
    <cellStyle name="SAPBEXundefined 2 3 2 2" xfId="5907"/>
    <cellStyle name="SAPBEXundefined 2 3 2 3" xfId="5908"/>
    <cellStyle name="SAPBEXundefined 2 3 2 4" xfId="5909"/>
    <cellStyle name="SAPBEXundefined 2 3 3" xfId="5910"/>
    <cellStyle name="SAPBEXundefined 2 3 4" xfId="5911"/>
    <cellStyle name="SAPBEXundefined 2 3 5" xfId="5912"/>
    <cellStyle name="SAPBEXundefined 2 4" xfId="5913"/>
    <cellStyle name="SAPBEXundefined 2 4 2" xfId="5914"/>
    <cellStyle name="SAPBEXundefined 2 4 2 2" xfId="5915"/>
    <cellStyle name="SAPBEXundefined 2 4 2 3" xfId="5916"/>
    <cellStyle name="SAPBEXundefined 2 4 2 4" xfId="5917"/>
    <cellStyle name="SAPBEXundefined 2 4 3" xfId="5918"/>
    <cellStyle name="SAPBEXundefined 2 4 4" xfId="5919"/>
    <cellStyle name="SAPBEXundefined 2 4 5" xfId="5920"/>
    <cellStyle name="SAPBEXundefined 2 5" xfId="5921"/>
    <cellStyle name="SAPBEXundefined 2 5 2" xfId="5922"/>
    <cellStyle name="SAPBEXundefined 2 5 3" xfId="5923"/>
    <cellStyle name="SAPBEXundefined 2 5 4" xfId="5924"/>
    <cellStyle name="SAPBEXundefined 2 6" xfId="5925"/>
    <cellStyle name="SAPBEXundefined 2 7" xfId="5926"/>
    <cellStyle name="SAPBEXundefined 2 8" xfId="5927"/>
    <cellStyle name="SAPBEXundefined 3" xfId="5928"/>
    <cellStyle name="SAPBEXundefined 3 2" xfId="5929"/>
    <cellStyle name="SAPBEXundefined 3 2 2" xfId="5930"/>
    <cellStyle name="SAPBEXundefined 3 2 2 2" xfId="5931"/>
    <cellStyle name="SAPBEXundefined 3 2 2 3" xfId="5932"/>
    <cellStyle name="SAPBEXundefined 3 2 2 4" xfId="5933"/>
    <cellStyle name="SAPBEXundefined 3 2 3" xfId="5934"/>
    <cellStyle name="SAPBEXundefined 3 2 4" xfId="5935"/>
    <cellStyle name="SAPBEXundefined 3 2 5" xfId="5936"/>
    <cellStyle name="SAPBEXundefined 3 3" xfId="5937"/>
    <cellStyle name="SAPBEXundefined 3 3 2" xfId="5938"/>
    <cellStyle name="SAPBEXundefined 3 3 2 2" xfId="5939"/>
    <cellStyle name="SAPBEXundefined 3 3 2 3" xfId="5940"/>
    <cellStyle name="SAPBEXundefined 3 3 2 4" xfId="5941"/>
    <cellStyle name="SAPBEXundefined 3 3 3" xfId="5942"/>
    <cellStyle name="SAPBEXundefined 3 3 4" xfId="5943"/>
    <cellStyle name="SAPBEXundefined 3 3 5" xfId="5944"/>
    <cellStyle name="SAPBEXundefined 3 4" xfId="5945"/>
    <cellStyle name="SAPBEXundefined 3 4 2" xfId="5946"/>
    <cellStyle name="SAPBEXundefined 3 4 3" xfId="5947"/>
    <cellStyle name="SAPBEXundefined 3 4 4" xfId="5948"/>
    <cellStyle name="SAPBEXundefined 3 5" xfId="5949"/>
    <cellStyle name="SAPBEXundefined 3 6" xfId="5950"/>
    <cellStyle name="SAPBEXundefined 3 7" xfId="5951"/>
    <cellStyle name="SAPBEXundefined 3 8" xfId="5952"/>
    <cellStyle name="SAPBEXundefined 4" xfId="5953"/>
    <cellStyle name="SAPBEXundefined 4 2" xfId="5954"/>
    <cellStyle name="SAPBEXundefined 4 2 2" xfId="5955"/>
    <cellStyle name="SAPBEXundefined 4 2 3" xfId="5956"/>
    <cellStyle name="SAPBEXundefined 4 2 4" xfId="5957"/>
    <cellStyle name="SAPBEXundefined 4 3" xfId="5958"/>
    <cellStyle name="SAPBEXundefined 4 4" xfId="5959"/>
    <cellStyle name="SAPBEXundefined 4 5" xfId="5960"/>
    <cellStyle name="SAPBEXundefined 5" xfId="5961"/>
    <cellStyle name="SAPBEXundefined 5 2" xfId="5962"/>
    <cellStyle name="SAPBEXundefined 5 2 2" xfId="5963"/>
    <cellStyle name="SAPBEXundefined 5 2 3" xfId="5964"/>
    <cellStyle name="SAPBEXundefined 5 2 4" xfId="5965"/>
    <cellStyle name="SAPBEXundefined 5 3" xfId="5966"/>
    <cellStyle name="SAPBEXundefined 5 4" xfId="5967"/>
    <cellStyle name="SAPBEXundefined 5 5" xfId="5968"/>
    <cellStyle name="SAPBEXundefined 6" xfId="5969"/>
    <cellStyle name="SAPBEXundefined 6 2" xfId="5970"/>
    <cellStyle name="SAPBEXundefined 6 3" xfId="5971"/>
    <cellStyle name="SAPBEXundefined 6 4" xfId="5972"/>
    <cellStyle name="SAPBEXundefined 7" xfId="5973"/>
    <cellStyle name="SAPBEXundefined 8" xfId="5974"/>
    <cellStyle name="SAPBEXundefined 9" xfId="5975"/>
    <cellStyle name="section" xfId="5976"/>
    <cellStyle name="SOR" xfId="5977"/>
    <cellStyle name="SOR 2" xfId="5978"/>
    <cellStyle name="SOR 2 2" xfId="5979"/>
    <cellStyle name="SOR 2 2 2" xfId="5980"/>
    <cellStyle name="SOR 2 2 2 2" xfId="5981"/>
    <cellStyle name="SOR 2 2 3" xfId="5982"/>
    <cellStyle name="SOR 2 3" xfId="5983"/>
    <cellStyle name="SOR 2 3 2" xfId="5984"/>
    <cellStyle name="SOR 2 4" xfId="5985"/>
    <cellStyle name="SOR 3" xfId="5986"/>
    <cellStyle name="SOR 3 2" xfId="5987"/>
    <cellStyle name="SOR 3 2 2" xfId="5988"/>
    <cellStyle name="SOR 3 3" xfId="5989"/>
    <cellStyle name="SOR 4" xfId="5990"/>
    <cellStyle name="SOR 4 2" xfId="5991"/>
    <cellStyle name="SOR 5" xfId="5992"/>
    <cellStyle name="SOR 5 2" xfId="5993"/>
    <cellStyle name="Style 1 5 4" xfId="5994"/>
    <cellStyle name="subhead" xfId="5995"/>
    <cellStyle name="title" xfId="5996"/>
    <cellStyle name="Tusental (0)_pldt" xfId="5997"/>
    <cellStyle name="Tusental_pldt" xfId="5998"/>
    <cellStyle name="Valuta (0)_pldt" xfId="5999"/>
    <cellStyle name="Valuta_pldt" xfId="6000"/>
    <cellStyle name="パーセント_laroux" xfId="6001"/>
    <cellStyle name="_PLDT" xfId="6002"/>
    <cellStyle name="_laroux" xfId="6003"/>
    <cellStyle name="だ[0]_PLDT" xfId="6004"/>
    <cellStyle name="だ_PLDT" xfId="6005"/>
    <cellStyle name="だ[0]_Total (2)" xfId="6006"/>
    <cellStyle name="だ_laroux" xfId="6007"/>
    <cellStyle name="百分比 2" xfId="6008"/>
    <cellStyle name="百分比 2 2" xfId="6009"/>
    <cellStyle name="百分比 2 2 2" xfId="6010"/>
    <cellStyle name="百分比 2 2 3" xfId="6011"/>
    <cellStyle name="百分比 2 3" xfId="6012"/>
    <cellStyle name="百分比 3" xfId="6013"/>
    <cellStyle name="百分比 3 2" xfId="6014"/>
    <cellStyle name="百分比 3 2 2" xfId="6015"/>
    <cellStyle name="百分比 3 2 3" xfId="6016"/>
    <cellStyle name="百分比 3 2 3 2" xfId="6017"/>
    <cellStyle name="百分比 3 2 4" xfId="6018"/>
    <cellStyle name="百分比 3 2 5" xfId="6019"/>
    <cellStyle name="百分比 3 3" xfId="6020"/>
    <cellStyle name="百分比 3 4" xfId="6021"/>
    <cellStyle name="百分比 3 5" xfId="6022"/>
    <cellStyle name="百分比 4" xfId="6023"/>
    <cellStyle name="百分比 4 2" xfId="6024"/>
    <cellStyle name="百分比 4 2 2" xfId="6025"/>
    <cellStyle name="百分比 4 2 2 2" xfId="6026"/>
    <cellStyle name="百分比 4 2 3" xfId="6027"/>
    <cellStyle name="百分比 4 2 4" xfId="6028"/>
    <cellStyle name="百分比 4 3" xfId="6029"/>
    <cellStyle name="百分比 4 4" xfId="6030"/>
    <cellStyle name="百分比 4 5" xfId="6031"/>
    <cellStyle name="百分比 4 6" xfId="6032"/>
    <cellStyle name="百分比 5" xfId="6033"/>
    <cellStyle name="百分比 5 2" xfId="6034"/>
    <cellStyle name="百分比 5 2 2" xfId="6035"/>
    <cellStyle name="百分比 5 3" xfId="6036"/>
    <cellStyle name="百分比 6" xfId="6037"/>
    <cellStyle name="百分比 7" xfId="6038"/>
    <cellStyle name="百分比 8" xfId="6039"/>
    <cellStyle name="捠壿 [0.00]_PRODUCT DETAIL Q1" xfId="6040"/>
    <cellStyle name="捠壿_PRODUCT DETAIL Q1" xfId="6041"/>
    <cellStyle name="标题 5" xfId="6042"/>
    <cellStyle name="標準_１１月価格表" xfId="6043"/>
    <cellStyle name="表标题" xfId="6044"/>
    <cellStyle name="差_10存货" xfId="6045"/>
    <cellStyle name="差_19-无形资产（空白模板）" xfId="6046"/>
    <cellStyle name="差_2-交易性金融资产（空白模板）" xfId="6047"/>
    <cellStyle name="差_3-2 进一步审计程序-采购与付款循环" xfId="6048"/>
    <cellStyle name="差_3-3 进一步审计程序-存货与生产循环" xfId="6049"/>
    <cellStyle name="差_49-营业收入（空白模板）" xfId="6050"/>
    <cellStyle name="差_4-应收账款（空白模板）" xfId="6051"/>
    <cellStyle name="差_50-营业成本（空白模板）" xfId="6052"/>
    <cellStyle name="差_51-营业税金及附加（空白模板）" xfId="6053"/>
    <cellStyle name="差_54-财务费用（空白模板）" xfId="6054"/>
    <cellStyle name="差_55-资产减值损失（空白模板）" xfId="6055"/>
    <cellStyle name="差_9管理费用" xfId="6056"/>
    <cellStyle name="差_Book2" xfId="6057"/>
    <cellStyle name="差_dxn底稿目录" xfId="6058"/>
    <cellStyle name="差_Sheet1" xfId="6059"/>
    <cellStyle name="差_ZA0货币资金审定表 " xfId="6060"/>
    <cellStyle name="差_存货" xfId="6061"/>
    <cellStyle name="差_大信底稿目录" xfId="6062"/>
    <cellStyle name="差_底稿设置宏" xfId="6063"/>
    <cellStyle name="差_货币资金" xfId="6064"/>
    <cellStyle name="差_货币资金 天职" xfId="6065"/>
    <cellStyle name="差_货币资金 岳华" xfId="6066"/>
    <cellStyle name="差_无形资产" xfId="6067"/>
    <cellStyle name="差_应付职工薪酬" xfId="6068"/>
    <cellStyle name="差_应收账款" xfId="6069"/>
    <cellStyle name="差_账项明细表" xfId="6070"/>
    <cellStyle name="常规 10" xfId="6071"/>
    <cellStyle name="常规 10 2" xfId="6072"/>
    <cellStyle name="常规 10 2 2" xfId="6073"/>
    <cellStyle name="常规 10 2 2 2" xfId="6074"/>
    <cellStyle name="常规 10 2 3" xfId="6075"/>
    <cellStyle name="常规 10 3" xfId="6076"/>
    <cellStyle name="常规 10 4" xfId="6077"/>
    <cellStyle name="常规 10 5" xfId="6078"/>
    <cellStyle name="常规 11" xfId="6079"/>
    <cellStyle name="常规 11 2" xfId="6080"/>
    <cellStyle name="常规 11 3" xfId="6081"/>
    <cellStyle name="常规 12" xfId="6082"/>
    <cellStyle name="常规 13" xfId="6083"/>
    <cellStyle name="常规 13 2" xfId="6084"/>
    <cellStyle name="常规 14" xfId="6085"/>
    <cellStyle name="常规 14 2" xfId="6086"/>
    <cellStyle name="常规 15" xfId="6087"/>
    <cellStyle name="常规 2" xfId="6088"/>
    <cellStyle name="常规 2- " xfId="6089"/>
    <cellStyle name="常规 2 2" xfId="6090"/>
    <cellStyle name="常规 2 2 2" xfId="6091"/>
    <cellStyle name="常规 2 2 2 2" xfId="6092"/>
    <cellStyle name="常规 2 2 2 2 2" xfId="6093"/>
    <cellStyle name="常规 2 2 2 2 2 2" xfId="6094"/>
    <cellStyle name="常规 2 2 2 2 3" xfId="6095"/>
    <cellStyle name="常规 2 2 2 2 3 2" xfId="6096"/>
    <cellStyle name="常规 2 2 2 2 4" xfId="6097"/>
    <cellStyle name="常规 2 2 2 2 5" xfId="6098"/>
    <cellStyle name="常规 2 2 2 3" xfId="6099"/>
    <cellStyle name="常规 2 2 2 3 2" xfId="6100"/>
    <cellStyle name="常规 2 2 2 3 3" xfId="6101"/>
    <cellStyle name="常规 2 2 2 4" xfId="6102"/>
    <cellStyle name="常规 2 2 3" xfId="6103"/>
    <cellStyle name="常规 2 2 3 2" xfId="6104"/>
    <cellStyle name="常规 2 2 3 2 2" xfId="6105"/>
    <cellStyle name="常规 2 2 3 2 2 2" xfId="6106"/>
    <cellStyle name="常规 2 2 3 2 3" xfId="6107"/>
    <cellStyle name="常规 2 2 3 2 4" xfId="6108"/>
    <cellStyle name="常规 2 2 3 3" xfId="6109"/>
    <cellStyle name="常规 2 2 3 3 2" xfId="6110"/>
    <cellStyle name="常规 2 2 3 4" xfId="6111"/>
    <cellStyle name="常规 2 2 4" xfId="6112"/>
    <cellStyle name="常规 2 2 4 2" xfId="6113"/>
    <cellStyle name="常规 2 2 4 2 2" xfId="6114"/>
    <cellStyle name="常规 2 2 4 3" xfId="6115"/>
    <cellStyle name="常规 2 2 4 4" xfId="6116"/>
    <cellStyle name="常规 2 2 5" xfId="6117"/>
    <cellStyle name="常规 2 2 5 2" xfId="6118"/>
    <cellStyle name="常规 2 2 5 2 2" xfId="6119"/>
    <cellStyle name="常规 2 2 5 2 2 2" xfId="6120"/>
    <cellStyle name="常规 2 2 5 2 3" xfId="6121"/>
    <cellStyle name="常规 2 2 5 3" xfId="6122"/>
    <cellStyle name="常规 2 2 5 3 2" xfId="6123"/>
    <cellStyle name="常规 2 2 5 4" xfId="6124"/>
    <cellStyle name="常规 2 2 5 5" xfId="6125"/>
    <cellStyle name="常规 2 2 5 5 2" xfId="6126"/>
    <cellStyle name="常规 2 2 6" xfId="6127"/>
    <cellStyle name="常规 2 3" xfId="6128"/>
    <cellStyle name="常规 2 3 2" xfId="6129"/>
    <cellStyle name="常规 2 3 3" xfId="6130"/>
    <cellStyle name="常规 2 3 4" xfId="6131"/>
    <cellStyle name="常规 2 4" xfId="6132"/>
    <cellStyle name="常规 2 4 2" xfId="6133"/>
    <cellStyle name="常规 2 4 3" xfId="6134"/>
    <cellStyle name="常规 2 5" xfId="6135"/>
    <cellStyle name="常规 2 5 2" xfId="6136"/>
    <cellStyle name="常规 2 5 3" xfId="6137"/>
    <cellStyle name="常规 2 6" xfId="6138"/>
    <cellStyle name="常规 2 6 2" xfId="6139"/>
    <cellStyle name="常规 2 6 3" xfId="6140"/>
    <cellStyle name="常规 2 7" xfId="6141"/>
    <cellStyle name="常规 2 8" xfId="6142"/>
    <cellStyle name="常规 2 9" xfId="6143"/>
    <cellStyle name="常规 2_10存货" xfId="6144"/>
    <cellStyle name="常规 3" xfId="6145"/>
    <cellStyle name="常规 3 2" xfId="6146"/>
    <cellStyle name="常规 3 2 2" xfId="6147"/>
    <cellStyle name="常规 3 2 2 2" xfId="6148"/>
    <cellStyle name="常规 3 2 2 2 2" xfId="6149"/>
    <cellStyle name="常规 3 2 2 2 2 2" xfId="6150"/>
    <cellStyle name="常规 3 2 2 2 3" xfId="6151"/>
    <cellStyle name="常规 3 2 2 2 4" xfId="6152"/>
    <cellStyle name="常规 3 2 2 3" xfId="6153"/>
    <cellStyle name="常规 3 2 2 4" xfId="6154"/>
    <cellStyle name="常规 3 2 2 4 2" xfId="6155"/>
    <cellStyle name="常规 3 2 2 5" xfId="6156"/>
    <cellStyle name="常规 3 2 2 6" xfId="6157"/>
    <cellStyle name="常规 3 2 3" xfId="6158"/>
    <cellStyle name="常规 3 2 4" xfId="6159"/>
    <cellStyle name="常规 3 2 4 2" xfId="6160"/>
    <cellStyle name="常规 3 2_3" xfId="6161"/>
    <cellStyle name="常规 3 3" xfId="6162"/>
    <cellStyle name="常规 3 3 2" xfId="6163"/>
    <cellStyle name="常规 3 3 2 2" xfId="6164"/>
    <cellStyle name="常规 3 3 2 3" xfId="6165"/>
    <cellStyle name="常规 3 3 3" xfId="6166"/>
    <cellStyle name="常规 3 3 4" xfId="6167"/>
    <cellStyle name="常规 3 3 4 2" xfId="6168"/>
    <cellStyle name="常规 3 3 5" xfId="6169"/>
    <cellStyle name="常规 3 3 6" xfId="6170"/>
    <cellStyle name="常规 3 4" xfId="6171"/>
    <cellStyle name="常规 3 4 2" xfId="6172"/>
    <cellStyle name="常规 3 4 2 2" xfId="6173"/>
    <cellStyle name="常规 3 4 3" xfId="6174"/>
    <cellStyle name="常规 3 4 4" xfId="6175"/>
    <cellStyle name="常规 3 5" xfId="6176"/>
    <cellStyle name="常规 3 6" xfId="6177"/>
    <cellStyle name="常规 3 6 2" xfId="6178"/>
    <cellStyle name="常规 3 7" xfId="6179"/>
    <cellStyle name="常规 3 7 2" xfId="6180"/>
    <cellStyle name="常规 3 8" xfId="6181"/>
    <cellStyle name="常规 3_1" xfId="6182"/>
    <cellStyle name="常规 4" xfId="6183"/>
    <cellStyle name="常规 4 2" xfId="6184"/>
    <cellStyle name="常规 4 2 2" xfId="6185"/>
    <cellStyle name="常规 4 2 3" xfId="6186"/>
    <cellStyle name="常规 4 2 4" xfId="6187"/>
    <cellStyle name="常规 4 2 4 2" xfId="6188"/>
    <cellStyle name="常规 4 2 5" xfId="6189"/>
    <cellStyle name="常规 4 2 6" xfId="6190"/>
    <cellStyle name="常规 4 3" xfId="6191"/>
    <cellStyle name="常规 4 3 2" xfId="6192"/>
    <cellStyle name="常规 4 3 2 2" xfId="6193"/>
    <cellStyle name="常规 4 3 2 2 2" xfId="6194"/>
    <cellStyle name="常规 4 3 2 3" xfId="6195"/>
    <cellStyle name="常规 4 3 3" xfId="6196"/>
    <cellStyle name="常规 4 3 4" xfId="6197"/>
    <cellStyle name="常规 4 4" xfId="6198"/>
    <cellStyle name="常规 4 5" xfId="6199"/>
    <cellStyle name="常规 5" xfId="6200"/>
    <cellStyle name="常规 5 2" xfId="6201"/>
    <cellStyle name="常规 5 2 2" xfId="6202"/>
    <cellStyle name="常规 5 2 2 2" xfId="6203"/>
    <cellStyle name="常规 5 2 3" xfId="6204"/>
    <cellStyle name="常规 5 2 4" xfId="6205"/>
    <cellStyle name="常规 5 3" xfId="6206"/>
    <cellStyle name="常规 6" xfId="6207"/>
    <cellStyle name="常规 6 2" xfId="6208"/>
    <cellStyle name="常规 6 2 2" xfId="6209"/>
    <cellStyle name="常规 7" xfId="6210"/>
    <cellStyle name="常规 7 2" xfId="6211"/>
    <cellStyle name="常规 7 2 2" xfId="6212"/>
    <cellStyle name="常规 7 2 2 2" xfId="6213"/>
    <cellStyle name="常规 7 2 3" xfId="6214"/>
    <cellStyle name="常规 7 2 4" xfId="6215"/>
    <cellStyle name="常规 7 3" xfId="6216"/>
    <cellStyle name="常规 8" xfId="6217"/>
    <cellStyle name="常规 8 2" xfId="6218"/>
    <cellStyle name="常规 8 2 2" xfId="6219"/>
    <cellStyle name="常规 8 2 2 2" xfId="6220"/>
    <cellStyle name="常规 8 2 3" xfId="6221"/>
    <cellStyle name="常规 8 2 4" xfId="6222"/>
    <cellStyle name="常规 9" xfId="6223"/>
    <cellStyle name="常规 9 2" xfId="6224"/>
    <cellStyle name="常规 9 2 2" xfId="6225"/>
    <cellStyle name="常规 9 2 2 2" xfId="6226"/>
    <cellStyle name="常规 9 2 2 3" xfId="6227"/>
    <cellStyle name="常规 9 2 3" xfId="6228"/>
    <cellStyle name="常规 9 2 3 2" xfId="6229"/>
    <cellStyle name="常规 9 2 3 3" xfId="6230"/>
    <cellStyle name="常规 9 2 4" xfId="6231"/>
    <cellStyle name="常规 9 2 4 2" xfId="6232"/>
    <cellStyle name="常规 9 2 5" xfId="6233"/>
    <cellStyle name="常规 9 2 6" xfId="6234"/>
    <cellStyle name="常规 9 3" xfId="6235"/>
    <cellStyle name="常规_Book1" xfId="6236"/>
    <cellStyle name="超级链接_综合类底稿表格" xfId="6237"/>
    <cellStyle name="超連結 2" xfId="6238"/>
    <cellStyle name="超链接 2" xfId="6239"/>
    <cellStyle name="超链接 2 2" xfId="6240"/>
    <cellStyle name="超链接 2 2 2" xfId="6241"/>
    <cellStyle name="超链接 2 2 3" xfId="6242"/>
    <cellStyle name="超链接 2 2 4" xfId="6243"/>
    <cellStyle name="超链接 2 3" xfId="6244"/>
    <cellStyle name="超链接 2 4" xfId="6245"/>
    <cellStyle name="超链接 2 5" xfId="6246"/>
    <cellStyle name="超链接 2 6" xfId="6247"/>
    <cellStyle name="超链接 3" xfId="6248"/>
    <cellStyle name="超链接 3 2" xfId="6249"/>
    <cellStyle name="超链接 3 3" xfId="6250"/>
    <cellStyle name="超链接 4" xfId="6251"/>
    <cellStyle name="超链接 5" xfId="6252"/>
    <cellStyle name="超链接 5 2" xfId="6253"/>
    <cellStyle name="超链接 5 3" xfId="6254"/>
    <cellStyle name="超链接 6" xfId="6255"/>
    <cellStyle name="好_10存货" xfId="6256"/>
    <cellStyle name="好_19-无形资产（空白模板）" xfId="6257"/>
    <cellStyle name="好_1财务费用" xfId="6258"/>
    <cellStyle name="好_1营业收入" xfId="6259"/>
    <cellStyle name="好_1资产减值损失" xfId="6260"/>
    <cellStyle name="好_2-交易性金融资产（空白模板）" xfId="6261"/>
    <cellStyle name="好_3-2 进一步审计程序-采购与付款循环" xfId="6262"/>
    <cellStyle name="好_3-3 进一步审计程序-存货与生产循环" xfId="6263"/>
    <cellStyle name="好_49-营业收入（空白模板）" xfId="6264"/>
    <cellStyle name="好_4-应收账款（空白模板）" xfId="6265"/>
    <cellStyle name="好_50-营业成本（空白模板）" xfId="6266"/>
    <cellStyle name="好_51-营业税金及附加（空白模板）" xfId="6267"/>
    <cellStyle name="好_54-财务费用（空白模板）" xfId="6268"/>
    <cellStyle name="好_55-资产减值损失（空白模板）" xfId="6269"/>
    <cellStyle name="好_9管理费用" xfId="6270"/>
    <cellStyle name="好_Book2" xfId="6271"/>
    <cellStyle name="好_Sheet1" xfId="6272"/>
    <cellStyle name="好_ZA0货币资金审定表 " xfId="6273"/>
    <cellStyle name="好_财务费用" xfId="6274"/>
    <cellStyle name="好_存货" xfId="6275"/>
    <cellStyle name="好_存货 - 复制" xfId="6276"/>
    <cellStyle name="好_大信底稿目录" xfId="6277"/>
    <cellStyle name="好_底稿设置宏" xfId="6278"/>
    <cellStyle name="好_底稿设置宏_大信底稿目录" xfId="6279"/>
    <cellStyle name="好_货币资金" xfId="6280"/>
    <cellStyle name="好_货币资金 天职" xfId="6281"/>
    <cellStyle name="好_货币资金 岳华" xfId="6282"/>
    <cellStyle name="好_实收资本(股本)" xfId="6283"/>
    <cellStyle name="好_无形资产" xfId="6284"/>
    <cellStyle name="好_银行函证结果汇总表" xfId="6285"/>
    <cellStyle name="好_应付职工薪酬" xfId="6286"/>
    <cellStyle name="好_应收利息" xfId="6287"/>
    <cellStyle name="好_应收账款" xfId="6288"/>
    <cellStyle name="好_营业收入" xfId="6289"/>
    <cellStyle name="好_账项明细表" xfId="6290"/>
    <cellStyle name="好_资产负债标准底稿" xfId="6291"/>
    <cellStyle name="好_资产负债标准底稿_大信底稿目录" xfId="6292"/>
    <cellStyle name="好_资产负债类底稿模版" xfId="6293"/>
    <cellStyle name="好_资产负债类底稿模版_大信底稿目录" xfId="6294"/>
    <cellStyle name="好_资产减值损失" xfId="6295"/>
    <cellStyle name="桁区切り [0.00]_１１月価格表" xfId="6296"/>
    <cellStyle name="桁区切り_１１月価格表" xfId="6297"/>
    <cellStyle name="货币 2" xfId="6298"/>
    <cellStyle name="货币 3" xfId="6299"/>
    <cellStyle name="貨幣 [0]_SGV" xfId="6300"/>
    <cellStyle name="貨幣_SGV" xfId="6301"/>
    <cellStyle name="霓付 [0]_1202" xfId="6302"/>
    <cellStyle name="霓付_1202" xfId="6303"/>
    <cellStyle name="烹拳 [0]_1202" xfId="6304"/>
    <cellStyle name="烹拳_1202" xfId="6305"/>
    <cellStyle name="砯刽 [0]_PLDT" xfId="6306"/>
    <cellStyle name="砯刽_PLDT" xfId="6307"/>
    <cellStyle name="普通_ 白土" xfId="6308"/>
    <cellStyle name="千分位[0]_ 白土" xfId="6309"/>
    <cellStyle name="千分位_ 白土" xfId="6310"/>
    <cellStyle name="千位[0]_1995" xfId="6311"/>
    <cellStyle name="千位_1995" xfId="6312"/>
    <cellStyle name="千位分隔 10" xfId="6313"/>
    <cellStyle name="千位分隔 10 2" xfId="6314"/>
    <cellStyle name="千位分隔 10 2 2" xfId="6315"/>
    <cellStyle name="千位分隔 10 3" xfId="6316"/>
    <cellStyle name="千位分隔 10 3 2" xfId="6317"/>
    <cellStyle name="千位分隔 10 4" xfId="6318"/>
    <cellStyle name="千位分隔 10 4 2" xfId="6319"/>
    <cellStyle name="千位分隔 10 5" xfId="6320"/>
    <cellStyle name="千位分隔 11" xfId="6321"/>
    <cellStyle name="千位分隔 11 2" xfId="6322"/>
    <cellStyle name="千位分隔 12" xfId="6323"/>
    <cellStyle name="千位分隔 12 2" xfId="6324"/>
    <cellStyle name="千位分隔 13" xfId="6325"/>
    <cellStyle name="千位分隔 13 2" xfId="6326"/>
    <cellStyle name="千位分隔 14" xfId="6327"/>
    <cellStyle name="千位分隔 15" xfId="6328"/>
    <cellStyle name="千位分隔 2" xfId="6329"/>
    <cellStyle name="千位分隔 2 2" xfId="6330"/>
    <cellStyle name="千位分隔 2 2 2" xfId="6331"/>
    <cellStyle name="千位分隔 2 2 2 2" xfId="6332"/>
    <cellStyle name="千位分隔 2 2 2 2 2" xfId="6333"/>
    <cellStyle name="千位分隔 2 2 2 2 2 2" xfId="6334"/>
    <cellStyle name="千位分隔 2 2 2 2 3" xfId="6335"/>
    <cellStyle name="千位分隔 2 2 2 2 4" xfId="6336"/>
    <cellStyle name="千位分隔 2 2 2 3" xfId="6337"/>
    <cellStyle name="千位分隔 2 2 2 3 2" xfId="6338"/>
    <cellStyle name="千位分隔 2 2 2 4" xfId="6339"/>
    <cellStyle name="千位分隔 2 2 2 4 2" xfId="6340"/>
    <cellStyle name="千位分隔 2 2 2 5" xfId="6341"/>
    <cellStyle name="千位分隔 2 2 2 5 2" xfId="6342"/>
    <cellStyle name="千位分隔 2 2 3" xfId="6343"/>
    <cellStyle name="千位分隔 2 2 3 2" xfId="6344"/>
    <cellStyle name="千位分隔 2 2 3 2 2" xfId="6345"/>
    <cellStyle name="千位分隔 2 2 3 3" xfId="6346"/>
    <cellStyle name="千位分隔 2 2 3 4" xfId="6347"/>
    <cellStyle name="千位分隔 2 2 4" xfId="6348"/>
    <cellStyle name="千位分隔 2 2 4 2" xfId="6349"/>
    <cellStyle name="千位分隔 2 2 4 2 2" xfId="6350"/>
    <cellStyle name="千位分隔 2 2 4 3" xfId="6351"/>
    <cellStyle name="千位分隔 2 2 4 4" xfId="6352"/>
    <cellStyle name="千位分隔 2 2 5" xfId="6353"/>
    <cellStyle name="千位分隔 2 2 5 2" xfId="6354"/>
    <cellStyle name="千位分隔 2 2 5 2 2" xfId="6355"/>
    <cellStyle name="千位分隔 2 2 5 3" xfId="6356"/>
    <cellStyle name="千位分隔 2 2 6" xfId="6357"/>
    <cellStyle name="千位分隔 2 2 6 2" xfId="6358"/>
    <cellStyle name="千位分隔 2 2 7" xfId="6359"/>
    <cellStyle name="千位分隔 2 2 7 2" xfId="6360"/>
    <cellStyle name="千位分隔 2 2 8" xfId="6361"/>
    <cellStyle name="千位分隔 2 3" xfId="6362"/>
    <cellStyle name="千位分隔 2 3 2" xfId="6363"/>
    <cellStyle name="千位分隔 2 3 2 2" xfId="6364"/>
    <cellStyle name="千位分隔 2 3 2 2 2" xfId="6365"/>
    <cellStyle name="千位分隔 2 3 2 3" xfId="6366"/>
    <cellStyle name="千位分隔 2 3 2 4" xfId="6367"/>
    <cellStyle name="千位分隔 2 3 3" xfId="6368"/>
    <cellStyle name="千位分隔 2 3 3 2" xfId="6369"/>
    <cellStyle name="千位分隔 2 3 3 2 2" xfId="6370"/>
    <cellStyle name="千位分隔 2 3 3 3" xfId="6371"/>
    <cellStyle name="千位分隔 2 3 3 4" xfId="6372"/>
    <cellStyle name="千位分隔 2 3 4" xfId="6373"/>
    <cellStyle name="千位分隔 2 3 4 2" xfId="6374"/>
    <cellStyle name="千位分隔 2 3 5" xfId="6375"/>
    <cellStyle name="千位分隔 2 3 5 2" xfId="6376"/>
    <cellStyle name="千位分隔 2 3 6" xfId="6377"/>
    <cellStyle name="千位分隔 2 4" xfId="6378"/>
    <cellStyle name="千位分隔 2 4 2" xfId="6379"/>
    <cellStyle name="千位分隔 2 4 2 2" xfId="6380"/>
    <cellStyle name="千位分隔 2 4 3" xfId="6381"/>
    <cellStyle name="千位分隔 2 5" xfId="6382"/>
    <cellStyle name="千位分隔 2 5 2" xfId="6383"/>
    <cellStyle name="千位分隔 2 5 2 2" xfId="6384"/>
    <cellStyle name="千位分隔 2 5 3" xfId="6385"/>
    <cellStyle name="千位分隔 2 6" xfId="6386"/>
    <cellStyle name="千位分隔 2 6 2" xfId="6387"/>
    <cellStyle name="千位分隔 2 7" xfId="6388"/>
    <cellStyle name="千位分隔 2 7 2" xfId="6389"/>
    <cellStyle name="千位分隔 2_1" xfId="6390"/>
    <cellStyle name="千位分隔 3" xfId="6391"/>
    <cellStyle name="千位分隔 3 2" xfId="6392"/>
    <cellStyle name="千位分隔 3 2 2" xfId="6393"/>
    <cellStyle name="千位分隔 3 2 2 2" xfId="6394"/>
    <cellStyle name="千位分隔 3 2 2 2 2" xfId="6395"/>
    <cellStyle name="千位分隔 3 2 2 2 2 2" xfId="6396"/>
    <cellStyle name="千位分隔 3 2 2 2 3" xfId="6397"/>
    <cellStyle name="千位分隔 3 2 2 3" xfId="6398"/>
    <cellStyle name="千位分隔 3 2 2 3 2" xfId="6399"/>
    <cellStyle name="千位分隔 3 2 2 4" xfId="6400"/>
    <cellStyle name="千位分隔 3 2 2 4 2" xfId="6401"/>
    <cellStyle name="千位分隔 3 2 2 5" xfId="6402"/>
    <cellStyle name="千位分隔 3 2 2 5 2" xfId="6403"/>
    <cellStyle name="千位分隔 3 2 2 6" xfId="6404"/>
    <cellStyle name="千位分隔 3 2 3" xfId="6405"/>
    <cellStyle name="千位分隔 3 2 3 2" xfId="6406"/>
    <cellStyle name="千位分隔 3 2 3 2 2" xfId="6407"/>
    <cellStyle name="千位分隔 3 2 3 3" xfId="6408"/>
    <cellStyle name="千位分隔 3 2 4" xfId="6409"/>
    <cellStyle name="千位分隔 3 2 4 2" xfId="6410"/>
    <cellStyle name="千位分隔 3 2 5" xfId="6411"/>
    <cellStyle name="千位分隔 3 2 5 2" xfId="6412"/>
    <cellStyle name="千位分隔 3 2 6" xfId="6413"/>
    <cellStyle name="千位分隔 3 2 6 2" xfId="6414"/>
    <cellStyle name="千位分隔 3 3" xfId="6415"/>
    <cellStyle name="千位分隔 3 3 2" xfId="6416"/>
    <cellStyle name="千位分隔 3 3 2 2" xfId="6417"/>
    <cellStyle name="千位分隔 3 3 2 2 2" xfId="6418"/>
    <cellStyle name="千位分隔 3 3 2 3" xfId="6419"/>
    <cellStyle name="千位分隔 3 3 3" xfId="6420"/>
    <cellStyle name="千位分隔 3 3 3 2" xfId="6421"/>
    <cellStyle name="千位分隔 3 3 4" xfId="6422"/>
    <cellStyle name="千位分隔 3 3 4 2" xfId="6423"/>
    <cellStyle name="千位分隔 3 3 5" xfId="6424"/>
    <cellStyle name="千位分隔 3 3 5 2" xfId="6425"/>
    <cellStyle name="千位分隔 3 3 6" xfId="6426"/>
    <cellStyle name="千位分隔 3 3 6 2" xfId="6427"/>
    <cellStyle name="千位分隔 3 3 7" xfId="6428"/>
    <cellStyle name="千位分隔 3 4" xfId="6429"/>
    <cellStyle name="千位分隔 3 4 2" xfId="6430"/>
    <cellStyle name="千位分隔 3 4 2 2" xfId="6431"/>
    <cellStyle name="千位分隔 3 4 3" xfId="6432"/>
    <cellStyle name="千位分隔 3 4 3 2" xfId="6433"/>
    <cellStyle name="千位分隔 3 4 4" xfId="6434"/>
    <cellStyle name="千位分隔 3 4 4 2" xfId="6435"/>
    <cellStyle name="千位分隔 3 4 5" xfId="6436"/>
    <cellStyle name="千位分隔 3 4 5 2" xfId="6437"/>
    <cellStyle name="千位分隔 3 4 6" xfId="6438"/>
    <cellStyle name="千位分隔 3 4 6 2" xfId="6439"/>
    <cellStyle name="千位分隔 3 4 7" xfId="6440"/>
    <cellStyle name="千位分隔 3 5" xfId="6441"/>
    <cellStyle name="千位分隔 3 5 2" xfId="6442"/>
    <cellStyle name="千位分隔 3 6" xfId="6443"/>
    <cellStyle name="千位分隔 3 6 2" xfId="6444"/>
    <cellStyle name="千位分隔 3 7" xfId="6445"/>
    <cellStyle name="千位分隔 3 7 2" xfId="6446"/>
    <cellStyle name="千位分隔 4" xfId="6447"/>
    <cellStyle name="千位分隔 4 2" xfId="6448"/>
    <cellStyle name="千位分隔 4 2 2" xfId="6449"/>
    <cellStyle name="千位分隔 4 2 2 2" xfId="6450"/>
    <cellStyle name="千位分隔 4 2 2 2 2" xfId="6451"/>
    <cellStyle name="千位分隔 4 2 2 2 2 2" xfId="6452"/>
    <cellStyle name="千位分隔 4 2 2 2 3" xfId="6453"/>
    <cellStyle name="千位分隔 4 2 2 2 4" xfId="6454"/>
    <cellStyle name="千位分隔 4 2 2 3" xfId="6455"/>
    <cellStyle name="千位分隔 4 2 2 3 2" xfId="6456"/>
    <cellStyle name="千位分隔 4 2 2 4" xfId="6457"/>
    <cellStyle name="千位分隔 4 2 2 4 2" xfId="6458"/>
    <cellStyle name="千位分隔 4 2 2 5" xfId="6459"/>
    <cellStyle name="千位分隔 4 2 3" xfId="6460"/>
    <cellStyle name="千位分隔 4 2 3 2" xfId="6461"/>
    <cellStyle name="千位分隔 4 2 3 2 2" xfId="6462"/>
    <cellStyle name="千位分隔 4 2 3 3" xfId="6463"/>
    <cellStyle name="千位分隔 4 2 3 4" xfId="6464"/>
    <cellStyle name="千位分隔 4 2 4" xfId="6465"/>
    <cellStyle name="千位分隔 4 2 4 2" xfId="6466"/>
    <cellStyle name="千位分隔 4 2 4 2 2" xfId="6467"/>
    <cellStyle name="千位分隔 4 2 4 3" xfId="6468"/>
    <cellStyle name="千位分隔 4 2 4 4" xfId="6469"/>
    <cellStyle name="千位分隔 4 2 5" xfId="6470"/>
    <cellStyle name="千位分隔 4 2 5 2" xfId="6471"/>
    <cellStyle name="千位分隔 4 2_1" xfId="6472"/>
    <cellStyle name="千位分隔 4 3" xfId="6473"/>
    <cellStyle name="千位分隔 4 3 2" xfId="6474"/>
    <cellStyle name="千位分隔 4 3 2 2" xfId="6475"/>
    <cellStyle name="千位分隔 4 3 2 2 2" xfId="6476"/>
    <cellStyle name="千位分隔 4 3 2 3" xfId="6477"/>
    <cellStyle name="千位分隔 4 3 2 4" xfId="6478"/>
    <cellStyle name="千位分隔 4 3 3" xfId="6479"/>
    <cellStyle name="千位分隔 4 3 3 2" xfId="6480"/>
    <cellStyle name="千位分隔 4 3 4" xfId="6481"/>
    <cellStyle name="千位分隔 4 3 4 2" xfId="6482"/>
    <cellStyle name="千位分隔 4 3 5" xfId="6483"/>
    <cellStyle name="千位分隔 4 4" xfId="6484"/>
    <cellStyle name="千位分隔 4 4 2" xfId="6485"/>
    <cellStyle name="千位分隔 4 4 2 2" xfId="6486"/>
    <cellStyle name="千位分隔 4 4 3" xfId="6487"/>
    <cellStyle name="千位分隔 4 4 4" xfId="6488"/>
    <cellStyle name="千位分隔 4 5" xfId="6489"/>
    <cellStyle name="千位分隔 4 5 2" xfId="6490"/>
    <cellStyle name="千位分隔 4 5 2 2" xfId="6491"/>
    <cellStyle name="千位分隔 4 5 3" xfId="6492"/>
    <cellStyle name="千位分隔 4 5 4" xfId="6493"/>
    <cellStyle name="千位分隔 4 6" xfId="6494"/>
    <cellStyle name="千位分隔 4 6 2" xfId="6495"/>
    <cellStyle name="千位分隔 4_1" xfId="6496"/>
    <cellStyle name="千位分隔 5" xfId="6497"/>
    <cellStyle name="千位分隔 5 2" xfId="6498"/>
    <cellStyle name="千位分隔 5 2 2" xfId="6499"/>
    <cellStyle name="千位分隔 5 2 2 2" xfId="6500"/>
    <cellStyle name="千位分隔 5 2 2 2 2" xfId="6501"/>
    <cellStyle name="千位分隔 5 2 2 3" xfId="6502"/>
    <cellStyle name="千位分隔 5 2 3" xfId="6503"/>
    <cellStyle name="千位分隔 5 2 3 2" xfId="6504"/>
    <cellStyle name="千位分隔 5 2 4" xfId="6505"/>
    <cellStyle name="千位分隔 5 2 4 2" xfId="6506"/>
    <cellStyle name="千位分隔 5 2 5" xfId="6507"/>
    <cellStyle name="千位分隔 5 2 5 2" xfId="6508"/>
    <cellStyle name="千位分隔 5 2 6" xfId="6509"/>
    <cellStyle name="千位分隔 5 3" xfId="6510"/>
    <cellStyle name="千位分隔 5 3 2" xfId="6511"/>
    <cellStyle name="千位分隔 5 3 2 2" xfId="6512"/>
    <cellStyle name="千位分隔 5 3 3" xfId="6513"/>
    <cellStyle name="千位分隔 5 3 3 2" xfId="6514"/>
    <cellStyle name="千位分隔 5 3 4" xfId="6515"/>
    <cellStyle name="千位分隔 5 3 4 2" xfId="6516"/>
    <cellStyle name="千位分隔 5 3 5" xfId="6517"/>
    <cellStyle name="千位分隔 5 4" xfId="6518"/>
    <cellStyle name="千位分隔 5 4 2" xfId="6519"/>
    <cellStyle name="千位分隔 5 5" xfId="6520"/>
    <cellStyle name="千位分隔 5 5 2" xfId="6521"/>
    <cellStyle name="千位分隔 5 6" xfId="6522"/>
    <cellStyle name="千位分隔 5 6 2" xfId="6523"/>
    <cellStyle name="千位分隔 6" xfId="6524"/>
    <cellStyle name="千位分隔 6 2" xfId="6525"/>
    <cellStyle name="千位分隔 6 2 2" xfId="6526"/>
    <cellStyle name="千位分隔 6 2 2 2" xfId="6527"/>
    <cellStyle name="千位分隔 6 2 3" xfId="6528"/>
    <cellStyle name="千位分隔 6 2 4" xfId="6529"/>
    <cellStyle name="千位分隔 6 3" xfId="6530"/>
    <cellStyle name="千位分隔 6 3 2" xfId="6531"/>
    <cellStyle name="千位分隔 6 4" xfId="6532"/>
    <cellStyle name="千位分隔 6 4 2" xfId="6533"/>
    <cellStyle name="千位分隔 6 5" xfId="6534"/>
    <cellStyle name="千位分隔 7" xfId="6535"/>
    <cellStyle name="千位分隔 7 2" xfId="6536"/>
    <cellStyle name="千位分隔 7 2 2" xfId="6537"/>
    <cellStyle name="千位分隔 7 2 2 2" xfId="6538"/>
    <cellStyle name="千位分隔 7 2 3" xfId="6539"/>
    <cellStyle name="千位分隔 7 2 4" xfId="6540"/>
    <cellStyle name="千位分隔 7 3" xfId="6541"/>
    <cellStyle name="千位分隔 7 3 2" xfId="6542"/>
    <cellStyle name="千位分隔 7 3 2 2" xfId="6543"/>
    <cellStyle name="千位分隔 7 3 2 2 2" xfId="6544"/>
    <cellStyle name="千位分隔 7 3 2 3" xfId="6545"/>
    <cellStyle name="千位分隔 7 3 3" xfId="6546"/>
    <cellStyle name="千位分隔 7 3 3 2" xfId="6547"/>
    <cellStyle name="千位分隔 7 3 4" xfId="6548"/>
    <cellStyle name="千位分隔 7 3 4 2" xfId="6549"/>
    <cellStyle name="千位分隔 7 3 5" xfId="6550"/>
    <cellStyle name="千位分隔 7 3 5 2" xfId="6551"/>
    <cellStyle name="千位分隔 7 3 6" xfId="6552"/>
    <cellStyle name="千位分隔 7 4" xfId="6553"/>
    <cellStyle name="千位分隔 7 4 2" xfId="6554"/>
    <cellStyle name="千位分隔 7 5" xfId="6555"/>
    <cellStyle name="千位分隔 7 5 2" xfId="6556"/>
    <cellStyle name="千位分隔 7 6" xfId="6557"/>
    <cellStyle name="千位分隔 8" xfId="6558"/>
    <cellStyle name="千位分隔 8 2" xfId="6559"/>
    <cellStyle name="千位分隔 8 2 2" xfId="6560"/>
    <cellStyle name="千位分隔 8 2 2 2" xfId="6561"/>
    <cellStyle name="千位分隔 8 2 3" xfId="6562"/>
    <cellStyle name="千位分隔 8 2 3 2" xfId="6563"/>
    <cellStyle name="千位分隔 8 2 4" xfId="6564"/>
    <cellStyle name="千位分隔 8 2 4 2" xfId="6565"/>
    <cellStyle name="千位分隔 8 2 5" xfId="6566"/>
    <cellStyle name="千位分隔 8 3" xfId="6567"/>
    <cellStyle name="千位分隔 8 3 2" xfId="6568"/>
    <cellStyle name="千位分隔 8 4" xfId="6569"/>
    <cellStyle name="千位分隔 8 4 2" xfId="6570"/>
    <cellStyle name="千位分隔 8 5" xfId="6571"/>
    <cellStyle name="千位分隔 8 5 2" xfId="6572"/>
    <cellStyle name="千位分隔 8 6" xfId="6573"/>
    <cellStyle name="千位分隔 9" xfId="6574"/>
    <cellStyle name="千位分隔 9 2" xfId="6575"/>
    <cellStyle name="千位分隔 9 2 2" xfId="6576"/>
    <cellStyle name="千位分隔 9 3" xfId="6577"/>
    <cellStyle name="千位分隔 9 3 2" xfId="6578"/>
    <cellStyle name="千位分隔 9 4" xfId="6579"/>
    <cellStyle name="千位分隔 9 4 2" xfId="6580"/>
    <cellStyle name="千位分隔 9 5" xfId="6581"/>
    <cellStyle name="千位分隔[0] 2" xfId="6582"/>
    <cellStyle name="千位分隔[0] 2 2" xfId="6583"/>
    <cellStyle name="千位分隔[0] 2 2 2" xfId="6584"/>
    <cellStyle name="千位分隔[0] 2 2 2 2" xfId="6585"/>
    <cellStyle name="千位分隔[0] 2 2 2 2 2" xfId="6586"/>
    <cellStyle name="千位分隔[0] 2 2 2 2 2 2" xfId="6587"/>
    <cellStyle name="千位分隔[0] 2 2 2 2 3" xfId="6588"/>
    <cellStyle name="千位分隔[0] 2 2 2 3" xfId="6589"/>
    <cellStyle name="千位分隔[0] 2 2 2 3 2" xfId="6590"/>
    <cellStyle name="千位分隔[0] 2 2 2 4" xfId="6591"/>
    <cellStyle name="千位分隔[0] 2 2 2 4 2" xfId="6592"/>
    <cellStyle name="千位分隔[0] 2 2 2 5" xfId="6593"/>
    <cellStyle name="千位分隔[0] 2 2 3" xfId="6594"/>
    <cellStyle name="千位分隔[0] 2 2 3 2" xfId="6595"/>
    <cellStyle name="千位分隔[0] 2 2 3 2 2" xfId="6596"/>
    <cellStyle name="千位分隔[0] 2 2 3 3" xfId="6597"/>
    <cellStyle name="千位分隔[0] 2 2 4" xfId="6598"/>
    <cellStyle name="千位分隔[0] 2 2 4 2" xfId="6599"/>
    <cellStyle name="千位分隔[0] 2 2 5" xfId="6600"/>
    <cellStyle name="千位分隔[0] 2 2 5 2" xfId="6601"/>
    <cellStyle name="千位分隔[0] 2 2 6" xfId="6602"/>
    <cellStyle name="千位分隔[0] 2 2 6 2" xfId="6603"/>
    <cellStyle name="千位分隔[0] 2 3" xfId="6604"/>
    <cellStyle name="千位分隔[0] 2 3 2" xfId="6605"/>
    <cellStyle name="千位分隔[0] 2 3 2 2" xfId="6606"/>
    <cellStyle name="千位分隔[0] 2 3 3" xfId="6607"/>
    <cellStyle name="千位分隔[0] 2 4" xfId="6608"/>
    <cellStyle name="千位分隔[0] 2 4 2" xfId="6609"/>
    <cellStyle name="千位分隔[0] 2 5" xfId="6610"/>
    <cellStyle name="千位分隔[0] 2 5 2" xfId="6611"/>
    <cellStyle name="千位分隔[0] 2 6" xfId="6612"/>
    <cellStyle name="千位分隔[0] 2 6 2" xfId="6613"/>
    <cellStyle name="钎霖_(沥焊何巩)岿喊牢盔拌裙" xfId="6614"/>
    <cellStyle name="强调 1" xfId="6615"/>
    <cellStyle name="强调 2" xfId="6616"/>
    <cellStyle name="强调 3" xfId="6617"/>
    <cellStyle name="通貨 [0.00]_１１月価格表" xfId="6618"/>
    <cellStyle name="通貨_１１月価格表" xfId="6619"/>
    <cellStyle name="样式 1" xfId="6620"/>
    <cellStyle name="一般 2" xfId="6621"/>
    <cellStyle name="一般 2 2" xfId="6622"/>
    <cellStyle name="一般 2 2 2" xfId="6623"/>
    <cellStyle name="一般 2 3" xfId="6624"/>
    <cellStyle name="一般 2 3 2" xfId="6625"/>
    <cellStyle name="一般 2 4" xfId="6626"/>
    <cellStyle name="一般 2 5" xfId="6627"/>
    <cellStyle name="一般_2008 06CUIT" xfId="6628"/>
    <cellStyle name="昗弨_BOOKSHIP" xfId="6629"/>
    <cellStyle name="寘嬫愗傝 [0.00]_PRODUCT DETAIL Q1" xfId="6630"/>
    <cellStyle name="寘嬫愗傝_PRODUCT DETAIL Q1" xfId="6631"/>
    <cellStyle name="资产" xfId="6632"/>
    <cellStyle name="资产 2" xfId="6633"/>
    <cellStyle name="资产 2 2" xfId="6634"/>
    <cellStyle name="资产 2 2 2" xfId="6635"/>
    <cellStyle name="资产 2 2 2 2" xfId="6636"/>
    <cellStyle name="资产 2 2 2 3" xfId="6637"/>
    <cellStyle name="资产 2 2 3" xfId="6638"/>
    <cellStyle name="资产 2 2 4" xfId="6639"/>
    <cellStyle name="资产 2 2 5" xfId="6640"/>
    <cellStyle name="资产 2 2 6" xfId="6641"/>
    <cellStyle name="资产 2 3" xfId="6642"/>
    <cellStyle name="资产 2 3 2" xfId="6643"/>
    <cellStyle name="资产 2 3 3" xfId="6644"/>
    <cellStyle name="资产 2 4" xfId="6645"/>
    <cellStyle name="资产 2 4 2" xfId="6646"/>
    <cellStyle name="资产 2 4 3" xfId="6647"/>
    <cellStyle name="资产 2 5" xfId="6648"/>
    <cellStyle name="资产 2 6" xfId="6649"/>
    <cellStyle name="资产 3" xfId="6650"/>
    <cellStyle name="资产 3 2" xfId="6651"/>
    <cellStyle name="资产 3 2 2" xfId="6652"/>
    <cellStyle name="资产 3 2 3" xfId="6653"/>
    <cellStyle name="资产 3 3" xfId="6654"/>
    <cellStyle name="资产 3 4" xfId="6655"/>
    <cellStyle name="资产 3 5" xfId="6656"/>
    <cellStyle name="资产 3 6" xfId="6657"/>
    <cellStyle name="资产 4" xfId="6658"/>
    <cellStyle name="资产 4 2" xfId="6659"/>
    <cellStyle name="资产 4 3" xfId="6660"/>
    <cellStyle name="资产 5" xfId="6661"/>
    <cellStyle name="资产 5 2" xfId="6662"/>
    <cellStyle name="资产 5 3" xfId="6663"/>
    <cellStyle name="콤마 [0]_BOILER-CO1" xfId="6664"/>
    <cellStyle name="콤마_BOILER-CO1" xfId="6665"/>
    <cellStyle name="통화 [0]_BOILER-CO1" xfId="6666"/>
    <cellStyle name="통화_BOILER-CO1" xfId="6667"/>
    <cellStyle name="표준_0N-HANDLING " xfId="6668"/>
  </cellStyles>
  <dxfs count="14">
    <dxf>
      <fill>
        <patternFill patternType="solid">
          <bgColor rgb="FFFFFFCC"/>
        </patternFill>
      </fill>
    </dxf>
    <dxf>
      <fill>
        <patternFill patternType="solid">
          <bgColor rgb="FFFFFFCC"/>
        </patternFill>
      </fill>
    </dxf>
    <dxf>
      <border>
        <left style="thin">
          <color auto="1"/>
        </left>
        <right style="thin">
          <color auto="1"/>
        </right>
      </border>
    </dxf>
    <dxf>
      <border>
        <left style="thin">
          <color auto="1"/>
        </left>
        <right style="thin">
          <color auto="1"/>
        </right>
      </border>
    </dxf>
    <dxf>
      <fill>
        <patternFill patternType="solid">
          <bgColor theme="0" tint="-0.14905240028077"/>
        </patternFill>
      </fill>
    </dxf>
    <dxf>
      <fill>
        <patternFill patternType="solid">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
      <border>
        <left style="thin">
          <color auto="1"/>
        </left>
        <right style="thin">
          <color auto="1"/>
        </right>
      </border>
    </dxf>
    <dxf>
      <border>
        <left style="thin">
          <color auto="1"/>
        </left>
        <right style="thin">
          <color auto="1"/>
        </right>
      </border>
    </dxf>
    <dxf>
      <fill>
        <patternFill patternType="solid">
          <bgColor theme="0" tint="-0.149906918546098"/>
        </patternFill>
      </fill>
    </dxf>
    <dxf>
      <fill>
        <patternFill patternType="solid">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s>
  <tableStyles count="3" defaultTableStyle="TableStyleMedium2" defaultPivotStyle="PivotStyleLight16">
    <tableStyle name="Table Style 1" pivot="0" count="6" xr9:uid="{595442B5-4A81-4887-A8C1-17584D419D3D}">
      <tableStyleElement type="wholeTable" dxfId="7"/>
      <tableStyleElement type="totalRow" dxfId="6"/>
      <tableStyleElement type="firstRowStripe" dxfId="5"/>
      <tableStyleElement type="secondRowStripe" dxfId="4"/>
      <tableStyleElement type="firstColumnStripe" dxfId="3"/>
      <tableStyleElement type="secondColumnStripe" dxfId="2"/>
    </tableStyle>
    <tableStyle name="MySqlDefault" table="0" count="0" xr9:uid="{0CE51E5B-EA07-44BF-8B12-994D582E7C1B}"/>
    <tableStyle name="Table Style 1 2" pivot="0" count="6" xr9:uid="{DE5EDC06-AF27-49A2-847B-DBA544E15B2B}">
      <tableStyleElement type="wholeTable" dxfId="13"/>
      <tableStyleElement type="totalRow" dxfId="12"/>
      <tableStyleElement type="firstRowStripe" dxfId="11"/>
      <tableStyleElement type="secondRowStripe" dxfId="10"/>
      <tableStyleElement type="firstColumnStripe" dxfId="9"/>
      <tableStyleElement type="secondColumnStripe" dxfId="8"/>
    </tableStyle>
  </tableStyles>
  <colors>
    <mruColors>
      <color rgb="00FFFFCC"/>
      <color rgb="000000FF"/>
      <color rgb="000563C1"/>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tyles" Target="styles.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theme" Target="theme/theme1.xml"/><Relationship Id="rId17" Type="http://schemas.openxmlformats.org/officeDocument/2006/relationships/customXml" Target="../customXml/item3.xml"/><Relationship Id="rId16" Type="http://schemas.openxmlformats.org/officeDocument/2006/relationships/customXml" Target="../customXml/item2.xml"/><Relationship Id="rId15" Type="http://schemas.openxmlformats.org/officeDocument/2006/relationships/customXml" Target="../customXml/item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7" Type="http://schemas.openxmlformats.org/officeDocument/2006/relationships/hyperlink" Target="https://eychinamanaged.sharepoint.cn/sites/GCknowledgecenter/SitePages/%E6%A0%87%E5%87%86%E5%AE%A1%E8%AE%A1%E5%BA%95%E7%A8%BF%E6%A8%A1%E6%9D%BF_K1_%E5%9B%BA%E5%AE%9A%E8%B5%84%E4%BA%A7_202YMMDD_XYZ%E5%85%AC%E5%8F%B8_Read-me-and-Delete-me.aspx#:~:text=K.03.1%2D%E6%B3%A8%E9%87%8A11,%E9%AB%98%E7%B2%BE%E7%A1%AE%E5%BA%A6.xlsx" TargetMode="External"/><Relationship Id="rId6" Type="http://schemas.openxmlformats.org/officeDocument/2006/relationships/hyperlink" Target="https://eychinamanaged.sharepoint.cn/sites/GCknowledgecenter/SitePages/%E6%A0%87%E5%87%86%E5%BA%95%E7%A8%BF%E6%A8%A1%E6%9D%BF%E7%AD%94%E7%96%91%E9%93%BE%E6%8E%A5.aspx" TargetMode="External"/><Relationship Id="rId5" Type="http://schemas.openxmlformats.org/officeDocument/2006/relationships/hyperlink" Target="https://eychinamanaged.sharepoint.cn/sites/GCknowledgecenter/SitePages/%E6%A0%87%E5%87%86%E5%AE%A1%E8%AE%A1%E5%BA%95%E7%A8%BF%E6%A8%A1%E6%9D%BF_K1_%E5%9B%BA%E5%AE%9A%E8%B5%84%E4%BA%A7_202YMMDD_XYZ%E5%85%AC%E5%8F%B8_Read-me-and-Delete-me.aspx#:~:text=%E6%B1%87%E6%80%BB%2D%E6%B3%A8%E9%87%8A,%E6%89%A7%E8%A1%8C%E8%AF%A6%E7%BB%86%E6%B5%8B%E8%AF%95%EF%BC%9B" TargetMode="External"/><Relationship Id="rId4" Type="http://schemas.openxmlformats.org/officeDocument/2006/relationships/hyperlink" Target="https://eychinamanaged.sharepoint.cn/sites/GCknowledgecenter/SitePages/Altas-PSP-%E9%93%BE%E6%8E%A5.aspx#:~:text=%E7%9B%B8%E5%85%B3PSP%20%E4%BB%A5%E5%8F%8AOSP%20%E5%8F%AF%E4%BB%8EAtlas%20%E4%B8%AD%E8%8E%B7%E5%BE%97%EF%BC%8CAtlas%20Link%3A%0A(CN)%20K%2DPPE%0A%E6%9B%B4%E5%A4%9A%E8%AF%A5%E7%A7%91%E7%9B%AE%E7%9B%B8%E5%85%B3%E5%AE%A1%E8%AE%A1%E4%BC%9A%E8%AE%A1%E7%9F%A5%E8%AF%86%E5%8F%AF%E5%8F%82%E8%80%83%E2%80%9C%E5%A4%A7%E4%B8%AD%E5%8D%8E%E5%8C%BA%E4%BC%9A%E8%AE%A1%E5%AE%A1%E8%AE%A1%E7%9F%A5%E8%AF%86%E5%BA%93%E2%80%9D%0AK1_%E5%9B%BA%E5%AE%9A%E8%B5%84%E4%BA%A7%0A%E5%87%8F%E5%80%BC%EF%BC%88%E5%8C%85%E5%90%AB%E9%95%BF%E6%9C%9F%E8%B5%84%E4%BA%A7%E5%87%8F%E5%80%BC%E5%92%8C%E5%95%86%E8%AA%89%E5%87%8F%E5%80%BC%EF%BC%89%E6%A0%87%E5%87%86%E5%BA%95%E7%A8%BF" TargetMode="External"/><Relationship Id="rId3" Type="http://schemas.openxmlformats.org/officeDocument/2006/relationships/hyperlink" Target="https://eychinamanaged.sharepoint.cn/sites/GCknowledgecenter/SitePages/%E6%A0%87%E5%87%86%E5%AE%A1%E8%AE%A1%E5%BA%95%E7%A8%BF%E6%A8%A1%E6%9D%BF_%E9%A2%84%E5%AE%A1&amp;%E5%B9%B4%E5%AE%A1%E5%B7%A5%E4%BD%9C%E6%B3%A8%E6%84%8F%E4%BA%8B%E9%A1%B9.aspx#:~:text=1%EF%BC%89%E9%A2%84%E5%AE%A1%E5%B7%A5%E4%BD%9C%E5%AE%9A%E4%B9%89%EF%BC%9A%E2%80%8BPre%2Dfinal%20audit,%E5%B9%B6%E5%88%A0%E9%99%A4%E5%AF%B9%E5%BA%94%E7%9A%84%E7%A8%8B%E5%BA%8F%E5%92%8C%E7%A8%8B%E5%BA%8F%E8%A1%A8%E3%80%82" TargetMode="External"/><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K1_%E5%9B%BA%E5%AE%9A%E8%B5%84%E4%BA%A7_202YMMDD_XYZ%E5%85%AC%E5%8F%B8_Read-me-and-Delete-me.aspx#:~:text=%E6%B1%87%E6%80%BB%2D%E6%B3%A8%E9%87%8A2,untested%20population%20is%20needed." TargetMode="External"/></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4" Type="http://schemas.openxmlformats.org/officeDocument/2006/relationships/hyperlink" Target="https://eychinamanaged.sharepoint.cn/sites/GCknowledgecenter/SitePages/%E6%A0%87%E5%87%86%E5%AE%A1%E8%AE%A1%E5%BA%95%E7%A8%BF%E6%A8%A1%E6%9D%BF_K1_%E5%9B%BA%E5%AE%9A%E8%B5%84%E4%BA%A7_202YMMDD_XYZ%E5%85%AC%E5%8F%B8_Read-me-and-Delete-me.aspx#:~:text=K.01%2D%E6%B3%A8%E9%87%8A4,%E5%AE%9E%E9%99%85%E4%BD%BF%E7%94%A8%E9%83%A8%E9%97%A8%E7%AD%89%E3%80%82" TargetMode="External"/><Relationship Id="rId3" Type="http://schemas.openxmlformats.org/officeDocument/2006/relationships/image" Target="../media/image1.png"/><Relationship Id="rId2" Type="http://schemas.openxmlformats.org/officeDocument/2006/relationships/hyperlink" Target="https://eychinamanaged.sharepoint.cn/sites/GCknowledgecenter/SitePages/%E6%A0%87%E5%87%86%E5%AE%A1%E8%AE%A1%E5%BA%95%E7%A8%BF%E6%A8%A1%E6%9D%BF_K1_%E5%9B%BA%E5%AE%9A%E8%B5%84%E4%BA%A7_202YMMDD_XYZ%E5%85%AC%E5%8F%B8_Read-me-and-Delete-me.aspx#:~:text=K.01%2D%E6%B3%A8%E9%87%8A,%E6%97%A0%E4%BB%B7%E5%80%BC%E5%B7%A5%E4%BD%9C%E3%80%82" TargetMode="External"/><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3" Type="http://schemas.openxmlformats.org/officeDocument/2006/relationships/hyperlink" Target="https://eychinamanaged.sharepoint.cn/sites/GCknowledgecenter/SitePages/%E6%A0%87%E5%87%86%E5%AE%A1%E8%AE%A1%E5%BA%95%E7%A8%BF%E6%A8%A1%E6%9D%BF_K1_%E5%9B%BA%E5%AE%9A%E8%B5%84%E4%BA%A7_202YMMDD_XYZ%E5%85%AC%E5%8F%B8_Read-me-and-Delete-me.aspx#:~:text=FA%20list%2D%E6%B3%A8%E9%87%8A5,%E5%8F%82%E8%80%83%E4%B8%8B%E6%96%B9%E9%93%BE%E6%8E%A5%EF%BC%9A" TargetMode="External"/><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K1_%E5%9B%BA%E5%AE%9A%E8%B5%84%E4%BA%A7_202YMMDD_XYZ%E5%85%AC%E5%8F%B8_Read-me-and-Delete-me.aspx#:~:text=FA%20list%2D%E6%B3%A8%E9%87%8A6,%E5%8F%82%E8%80%83%E4%B8%8B%E6%96%B9%E9%93%BE%E6%8E%A5%EF%BC%9A" TargetMode="External"/></Relationships>
</file>

<file path=xl/drawings/_rels/drawing5.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K1_%E5%9B%BA%E5%AE%9A%E8%B5%84%E4%BA%A7_202YMMDD_XYZ%E5%85%AC%E5%8F%B8_Read-me-and-Delete-me.aspx#:~:text=K.02.1%2D%E6%B3%A8%E9%87%8A,%E8%BF%98%E6%98%AF%E8%B4%B9%E7%94%A8%E5%8C%96%E3%80%82" TargetMode="External"/></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K1_%E5%9B%BA%E5%AE%9A%E8%B5%84%E4%BA%A7_202YMMDD_XYZ%E5%85%AC%E5%8F%B8_Read-me-and-Delete-me.aspx#:~:text=%C2%A0%E6%96%B0%E5%A2%9E%E6%B8%85%E5%8D%95%26%20%E5%A4%84%E7%BD%AE%E6%B8%85%E5%8D%95%2D%E6%B3%A8%E9%87%8A8%EF%BC%9A%E5%9B%BA%E5%AE%9A%E8%B5%84%E4%BA%A7%E6%96%B0%E5%A2%9E%E6%B8%85%E5%8D%95%26%E5%9B%BA%E5%AE%9A%E8%B5%84%E4%BA%A7%E5%A4%84%E7%BD%AE%E6%B8%85%E5%8D%95" TargetMode="External"/></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3" Type="http://schemas.openxmlformats.org/officeDocument/2006/relationships/hyperlink" Target="https://eychinamanaged.sharepoint.cn/sites/GCknowledgecenter/SitePages/%E6%A0%87%E5%87%86%E5%AE%A1%E8%AE%A1%E5%BA%95%E7%A8%BF%E6%A8%A1%E6%9D%BF_K1_%E5%9B%BA%E5%AE%9A%E8%B5%84%E4%BA%A7_202YMMDD_XYZ%E5%85%AC%E5%8F%B8_Read-me-and-Delete-me.aspx#:~:text=%E5%A4%84%E7%BD%AE%E6%B8%85%E5%8D%95%2D%E6%B3%A8%E9%87%8A9,%E6%88%96%E7%BB%A7%E7%BB%AD%E4%BD%BF%E7%94%A8%E4%B8%AD%E3%80%82" TargetMode="External"/><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K1_%E5%9B%BA%E5%AE%9A%E8%B5%84%E4%BA%A7_202YMMDD_XYZ%E5%85%AC%E5%8F%B8_Read-me-and-Delete-me.aspx#:~:text=%C2%A0%E6%96%B0%E5%A2%9E%E6%B8%85%E5%8D%95%26%20%E5%A4%84%E7%BD%AE%E6%B8%85%E5%8D%95%2D%E6%B3%A8%E9%87%8A8%EF%BC%9A%E5%9B%BA%E5%AE%9A%E8%B5%84%E4%BA%A7%E6%96%B0%E5%A2%9E%E6%B8%85%E5%8D%95%26%E5%9B%BA%E5%AE%9A%E8%B5%84%E4%BA%A7%E5%A4%84%E7%BD%AE%E6%B8%85%E5%8D%95" TargetMode="External"/></Relationships>
</file>

<file path=xl/drawings/_rels/drawing9.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s://eychinamanaged.sharepoint.cn/sites/GCknowledgecenter/SitePages/%E6%A0%87%E5%87%86%E5%AE%A1%E8%AE%A1%E5%BA%95%E7%A8%BF%E6%A8%A1%E6%9D%BF_K1_%E5%9B%BA%E5%AE%9A%E8%B5%84%E4%BA%A7_202YMMDD_XYZ%E5%85%AC%E5%8F%B8_Read-me-and-Delete-me.aspx#:~:text=K.03.1%2D%E6%B3%A8%E9%87%8A11,%E9%AB%98%E7%B2%BE%E7%A1%AE%E5%BA%A6.xlsx" TargetMode="External"/><Relationship Id="rId1" Type="http://schemas.openxmlformats.org/officeDocument/2006/relationships/image" Target="../media/image2.jpeg"/></Relationships>
</file>

<file path=xl/drawings/_rels/drawing10.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s://eychinamanaged.sharepoint.cn/sites/GCknowledgecenter/SitePages/%E6%A0%87%E5%87%86%E5%AE%A1%E8%AE%A1%E5%BA%95%E7%A8%BF%E6%A8%A1%E6%9D%BF_K1_%E5%9B%BA%E5%AE%9A%E8%B5%84%E4%BA%A7_202YMMDD_XYZ%E5%85%AC%E5%8F%B8_Read-me-and-Delete-me.aspx#:~:text=K.03.2%26K,%E5%80%BC%E9%87%91%E9%A2%9D%E7%AD%89%E3%80%82" TargetMode="External"/><Relationship Id="rId1" Type="http://schemas.openxmlformats.org/officeDocument/2006/relationships/image" Target="../media/image2.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s://eychinamanaged.sharepoint.cn/sites/GCknowledgecenter/SitePages/%E6%A0%87%E5%87%86%E5%AE%A1%E8%AE%A1%E5%BA%95%E7%A8%BF%E6%A8%A1%E6%9D%BF_K1_%E5%9B%BA%E5%AE%9A%E8%B5%84%E4%BA%A7_202YMMDD_XYZ%E5%85%AC%E5%8F%B8_Read-me-and-Delete-me.aspx#:~:text=K.03.2%26K,%E5%80%BC%E9%87%91%E9%A2%9D%E7%AD%89%E3%80%82" TargetMode="External"/><Relationship Id="rId1" Type="http://schemas.openxmlformats.org/officeDocument/2006/relationships/image" Target="../media/image2.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4</xdr:col>
      <xdr:colOff>1228725</xdr:colOff>
      <xdr:row>11</xdr:row>
      <xdr:rowOff>142875</xdr:rowOff>
    </xdr:from>
    <xdr:to>
      <xdr:col>4</xdr:col>
      <xdr:colOff>1419225</xdr:colOff>
      <xdr:row>11</xdr:row>
      <xdr:rowOff>342900</xdr:rowOff>
    </xdr:to>
    <xdr:pic>
      <xdr:nvPicPr>
        <xdr:cNvPr id="7" name="图片 16">
          <a:hlinkClick xmlns:r="http://schemas.openxmlformats.org/officeDocument/2006/relationships" r:id="rId1"/>
        </xdr:cNvPr>
        <xdr:cNvPicPr>
          <a:picLocks noChangeAspect="1"/>
        </xdr:cNvPicPr>
      </xdr:nvPicPr>
      <xdr:blipFill>
        <a:blip r:embed="rId2"/>
        <a:stretch>
          <a:fillRect/>
        </a:stretch>
      </xdr:blipFill>
      <xdr:spPr>
        <a:xfrm>
          <a:off x="4800600" y="3995420"/>
          <a:ext cx="74295" cy="200025"/>
        </a:xfrm>
        <a:prstGeom prst="rect">
          <a:avLst/>
        </a:prstGeom>
      </xdr:spPr>
    </xdr:pic>
    <xdr:clientData/>
  </xdr:twoCellAnchor>
  <xdr:twoCellAnchor>
    <xdr:from>
      <xdr:col>4</xdr:col>
      <xdr:colOff>1209675</xdr:colOff>
      <xdr:row>15</xdr:row>
      <xdr:rowOff>133350</xdr:rowOff>
    </xdr:from>
    <xdr:to>
      <xdr:col>4</xdr:col>
      <xdr:colOff>1409700</xdr:colOff>
      <xdr:row>15</xdr:row>
      <xdr:rowOff>333375</xdr:rowOff>
    </xdr:to>
    <xdr:pic>
      <xdr:nvPicPr>
        <xdr:cNvPr id="14" name="图片 16">
          <a:hlinkClick xmlns:r="http://schemas.openxmlformats.org/officeDocument/2006/relationships" r:id="rId1"/>
        </xdr:cNvPr>
        <xdr:cNvPicPr>
          <a:picLocks noChangeAspect="1"/>
        </xdr:cNvPicPr>
      </xdr:nvPicPr>
      <xdr:blipFill>
        <a:blip r:embed="rId2"/>
        <a:stretch>
          <a:fillRect/>
        </a:stretch>
      </xdr:blipFill>
      <xdr:spPr>
        <a:xfrm>
          <a:off x="4781550" y="5519420"/>
          <a:ext cx="93345" cy="200025"/>
        </a:xfrm>
        <a:prstGeom prst="rect">
          <a:avLst/>
        </a:prstGeom>
      </xdr:spPr>
    </xdr:pic>
    <xdr:clientData/>
  </xdr:twoCellAnchor>
  <xdr:twoCellAnchor>
    <xdr:from>
      <xdr:col>6</xdr:col>
      <xdr:colOff>671286</xdr:colOff>
      <xdr:row>4</xdr:row>
      <xdr:rowOff>9071</xdr:rowOff>
    </xdr:from>
    <xdr:to>
      <xdr:col>6</xdr:col>
      <xdr:colOff>901004</xdr:colOff>
      <xdr:row>4</xdr:row>
      <xdr:rowOff>187778</xdr:rowOff>
    </xdr:to>
    <xdr:pic>
      <xdr:nvPicPr>
        <xdr:cNvPr id="21" name="图片 16">
          <a:hlinkClick xmlns:r="http://schemas.openxmlformats.org/officeDocument/2006/relationships" r:id="rId3"/>
        </xdr:cNvPr>
        <xdr:cNvPicPr>
          <a:picLocks noChangeAspect="1"/>
        </xdr:cNvPicPr>
      </xdr:nvPicPr>
      <xdr:blipFill>
        <a:blip r:embed="rId2"/>
        <a:stretch>
          <a:fillRect/>
        </a:stretch>
      </xdr:blipFill>
      <xdr:spPr>
        <a:xfrm>
          <a:off x="7303770" y="825500"/>
          <a:ext cx="229235" cy="178435"/>
        </a:xfrm>
        <a:prstGeom prst="rect">
          <a:avLst/>
        </a:prstGeom>
      </xdr:spPr>
    </xdr:pic>
    <xdr:clientData/>
  </xdr:twoCellAnchor>
  <xdr:twoCellAnchor>
    <xdr:from>
      <xdr:col>1</xdr:col>
      <xdr:colOff>695722</xdr:colOff>
      <xdr:row>4</xdr:row>
      <xdr:rowOff>22679</xdr:rowOff>
    </xdr:from>
    <xdr:to>
      <xdr:col>1</xdr:col>
      <xdr:colOff>920749</xdr:colOff>
      <xdr:row>5</xdr:row>
      <xdr:rowOff>13467</xdr:rowOff>
    </xdr:to>
    <xdr:pic>
      <xdr:nvPicPr>
        <xdr:cNvPr id="18" name="图片 16">
          <a:hlinkClick xmlns:r="http://schemas.openxmlformats.org/officeDocument/2006/relationships" r:id="rId4"/>
        </xdr:cNvPr>
        <xdr:cNvPicPr>
          <a:picLocks noChangeAspect="1"/>
        </xdr:cNvPicPr>
      </xdr:nvPicPr>
      <xdr:blipFill>
        <a:blip r:embed="rId2"/>
        <a:stretch>
          <a:fillRect/>
        </a:stretch>
      </xdr:blipFill>
      <xdr:spPr>
        <a:xfrm>
          <a:off x="875665" y="838835"/>
          <a:ext cx="202565" cy="181610"/>
        </a:xfrm>
        <a:prstGeom prst="rect">
          <a:avLst/>
        </a:prstGeom>
      </xdr:spPr>
    </xdr:pic>
    <xdr:clientData/>
  </xdr:twoCellAnchor>
  <xdr:twoCellAnchor>
    <xdr:from>
      <xdr:col>4</xdr:col>
      <xdr:colOff>1197429</xdr:colOff>
      <xdr:row>15</xdr:row>
      <xdr:rowOff>353786</xdr:rowOff>
    </xdr:from>
    <xdr:to>
      <xdr:col>4</xdr:col>
      <xdr:colOff>1415148</xdr:colOff>
      <xdr:row>17</xdr:row>
      <xdr:rowOff>2</xdr:rowOff>
    </xdr:to>
    <xdr:pic>
      <xdr:nvPicPr>
        <xdr:cNvPr id="5" name="图片 16">
          <a:hlinkClick xmlns:r="http://schemas.openxmlformats.org/officeDocument/2006/relationships" r:id="rId5"/>
        </xdr:cNvPr>
        <xdr:cNvPicPr>
          <a:picLocks noChangeAspect="1"/>
        </xdr:cNvPicPr>
      </xdr:nvPicPr>
      <xdr:blipFill>
        <a:blip r:embed="rId2"/>
        <a:stretch>
          <a:fillRect/>
        </a:stretch>
      </xdr:blipFill>
      <xdr:spPr>
        <a:xfrm>
          <a:off x="4768850" y="5739765"/>
          <a:ext cx="106045" cy="208280"/>
        </a:xfrm>
        <a:prstGeom prst="rect">
          <a:avLst/>
        </a:prstGeom>
      </xdr:spPr>
    </xdr:pic>
    <xdr:clientData/>
  </xdr:twoCellAnchor>
  <xdr:oneCellAnchor>
    <xdr:from>
      <xdr:col>8</xdr:col>
      <xdr:colOff>1306285</xdr:colOff>
      <xdr:row>3</xdr:row>
      <xdr:rowOff>117929</xdr:rowOff>
    </xdr:from>
    <xdr:ext cx="205343" cy="199303"/>
    <xdr:pic>
      <xdr:nvPicPr>
        <xdr:cNvPr id="23" name="图片 9">
          <a:hlinkClick xmlns:r="http://schemas.openxmlformats.org/officeDocument/2006/relationships" r:id="rId6"/>
        </xdr:cNvPr>
        <xdr:cNvPicPr>
          <a:picLocks noChangeAspect="1"/>
        </xdr:cNvPicPr>
      </xdr:nvPicPr>
      <xdr:blipFill>
        <a:blip r:embed="rId2"/>
        <a:stretch>
          <a:fillRect/>
        </a:stretch>
      </xdr:blipFill>
      <xdr:spPr>
        <a:xfrm>
          <a:off x="9958070" y="807085"/>
          <a:ext cx="205105" cy="199390"/>
        </a:xfrm>
        <a:prstGeom prst="rect">
          <a:avLst/>
        </a:prstGeom>
      </xdr:spPr>
    </xdr:pic>
    <xdr:clientData/>
  </xdr:oneCellAnchor>
  <xdr:oneCellAnchor>
    <xdr:from>
      <xdr:col>4</xdr:col>
      <xdr:colOff>1217521</xdr:colOff>
      <xdr:row>17</xdr:row>
      <xdr:rowOff>232833</xdr:rowOff>
    </xdr:from>
    <xdr:ext cx="211230" cy="190501"/>
    <xdr:pic>
      <xdr:nvPicPr>
        <xdr:cNvPr id="2" name="Picture 1">
          <a:hlinkClick xmlns:r="http://schemas.openxmlformats.org/officeDocument/2006/relationships" r:id="rId7"/>
        </xdr:cNvPr>
        <xdr:cNvPicPr>
          <a:picLocks noChangeAspect="1"/>
        </xdr:cNvPicPr>
      </xdr:nvPicPr>
      <xdr:blipFill>
        <a:blip r:embed="rId2"/>
        <a:stretch>
          <a:fillRect/>
        </a:stretch>
      </xdr:blipFill>
      <xdr:spPr>
        <a:xfrm>
          <a:off x="4789170" y="6180455"/>
          <a:ext cx="211455" cy="190500"/>
        </a:xfrm>
        <a:prstGeom prst="rect">
          <a:avLst/>
        </a:prstGeom>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61633</xdr:colOff>
      <xdr:row>0</xdr:row>
      <xdr:rowOff>15128</xdr:rowOff>
    </xdr:from>
    <xdr:to>
      <xdr:col>1</xdr:col>
      <xdr:colOff>552684</xdr:colOff>
      <xdr:row>0</xdr:row>
      <xdr:rowOff>532834</xdr:rowOff>
    </xdr:to>
    <xdr:pic>
      <xdr:nvPicPr>
        <xdr:cNvPr id="5" name="Picture 4"/>
        <xdr:cNvPicPr>
          <a:picLocks noChangeAspect="1"/>
        </xdr:cNvPicPr>
      </xdr:nvPicPr>
      <xdr:blipFill>
        <a:blip r:embed="rId1"/>
        <a:stretch>
          <a:fillRect/>
        </a:stretch>
      </xdr:blipFill>
      <xdr:spPr>
        <a:xfrm>
          <a:off x="241935" y="14605"/>
          <a:ext cx="490855" cy="518160"/>
        </a:xfrm>
        <a:prstGeom prst="rect">
          <a:avLst/>
        </a:prstGeom>
      </xdr:spPr>
    </xdr:pic>
    <xdr:clientData/>
  </xdr:twoCellAnchor>
  <xdr:twoCellAnchor>
    <xdr:from>
      <xdr:col>11</xdr:col>
      <xdr:colOff>526143</xdr:colOff>
      <xdr:row>2</xdr:row>
      <xdr:rowOff>156480</xdr:rowOff>
    </xdr:from>
    <xdr:to>
      <xdr:col>14</xdr:col>
      <xdr:colOff>952500</xdr:colOff>
      <xdr:row>6</xdr:row>
      <xdr:rowOff>81642</xdr:rowOff>
    </xdr:to>
    <xdr:sp>
      <xdr:nvSpPr>
        <xdr:cNvPr id="3" name="TextBox 5"/>
        <xdr:cNvSpPr txBox="1"/>
      </xdr:nvSpPr>
      <xdr:spPr>
        <a:xfrm>
          <a:off x="11729085" y="1069340"/>
          <a:ext cx="3917315" cy="1029970"/>
        </a:xfrm>
        <a:prstGeom prst="rect">
          <a:avLst/>
        </a:prstGeom>
        <a:solidFill>
          <a:schemeClr val="bg1">
            <a:lumMod val="95000"/>
          </a:schemeClr>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91440" bIns="0" rtlCol="0" anchor="ctr"/>
        <a:lstStyle/>
        <a:p>
          <a:pPr algn="ctr"/>
          <a:r>
            <a:rPr kumimoji="1" lang="en-US" altLang="ja-JP" sz="1400" b="1" i="0">
              <a:solidFill>
                <a:srgbClr val="FF0000"/>
              </a:solidFill>
              <a:latin typeface="微软雅黑" panose="020B0503020204020204" pitchFamily="34" charset="-122"/>
              <a:ea typeface="微软雅黑" panose="020B0503020204020204" pitchFamily="34" charset="-122"/>
              <a:cs typeface="Arial" panose="020B0604020202020204" pitchFamily="7" charset="0"/>
            </a:rPr>
            <a:t>[</a:t>
          </a:r>
          <a:r>
            <a:rPr kumimoji="1" lang="en-US" altLang="zh-CN" sz="1400" b="1" i="0">
              <a:solidFill>
                <a:srgbClr val="FF0000"/>
              </a:solidFill>
              <a:latin typeface="微软雅黑" panose="020B0503020204020204" pitchFamily="34" charset="-122"/>
              <a:ea typeface="微软雅黑" panose="020B0503020204020204" pitchFamily="34" charset="-122"/>
              <a:cs typeface="Arial" panose="020B0604020202020204" pitchFamily="7" charset="0"/>
            </a:rPr>
            <a:t>NOTE-</a:t>
          </a:r>
          <a:r>
            <a:rPr kumimoji="1" lang="zh-CN" altLang="en-US" sz="1400" b="1" i="0">
              <a:solidFill>
                <a:srgbClr val="FF0000"/>
              </a:solidFill>
              <a:latin typeface="微软雅黑" panose="020B0503020204020204" pitchFamily="34" charset="-122"/>
              <a:ea typeface="微软雅黑" panose="020B0503020204020204" pitchFamily="34" charset="-122"/>
              <a:cs typeface="Arial" panose="020B0604020202020204" pitchFamily="7" charset="0"/>
            </a:rPr>
            <a:t>归档前删除</a:t>
          </a:r>
          <a:r>
            <a:rPr kumimoji="1" lang="en-US" altLang="ja-JP" sz="1400" b="1" i="0">
              <a:solidFill>
                <a:srgbClr val="FF0000"/>
              </a:solidFill>
              <a:latin typeface="微软雅黑" panose="020B0503020204020204" pitchFamily="34" charset="-122"/>
              <a:ea typeface="微软雅黑" panose="020B0503020204020204" pitchFamily="34" charset="-122"/>
              <a:cs typeface="Arial" panose="020B0604020202020204" pitchFamily="7" charset="0"/>
            </a:rPr>
            <a:t>]</a:t>
          </a:r>
          <a:endParaRPr kumimoji="1" lang="en-US" altLang="ja-JP" sz="1400" b="1" i="0">
            <a:solidFill>
              <a:srgbClr val="FF0000"/>
            </a:solidFill>
            <a:latin typeface="微软雅黑" panose="020B0503020204020204" pitchFamily="34" charset="-122"/>
            <a:ea typeface="微软雅黑" panose="020B0503020204020204" pitchFamily="34" charset="-122"/>
            <a:cs typeface="Arial" panose="020B0604020202020204" pitchFamily="7" charset="0"/>
          </a:endParaRPr>
        </a:p>
        <a:p>
          <a:pPr algn="ctr"/>
          <a:r>
            <a:rPr kumimoji="1" lang="zh-CN" altLang="en-US" sz="1400" b="0" i="1">
              <a:solidFill>
                <a:srgbClr val="FF0000"/>
              </a:solidFill>
              <a:latin typeface="微软雅黑" panose="020B0503020204020204" pitchFamily="34" charset="-122"/>
              <a:ea typeface="微软雅黑" panose="020B0503020204020204" pitchFamily="34" charset="-122"/>
              <a:cs typeface="Arial" panose="020B0604020202020204" pitchFamily="7" charset="0"/>
            </a:rPr>
            <a:t>高亮标记的单元格需要审计项目组输入内容。团队完成底稿后请移除高亮标记和红色说明文字。</a:t>
          </a:r>
          <a:endParaRPr kumimoji="1" lang="en-US" altLang="ja-JP" sz="1400" b="0" i="1">
            <a:solidFill>
              <a:srgbClr val="FF0000"/>
            </a:solidFill>
            <a:latin typeface="微软雅黑" panose="020B0503020204020204" pitchFamily="34" charset="-122"/>
            <a:ea typeface="微软雅黑" panose="020B0503020204020204" pitchFamily="34" charset="-122"/>
            <a:cs typeface="Arial" panose="020B0604020202020204" pitchFamily="7" charset="0"/>
          </a:endParaRPr>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19050</xdr:colOff>
      <xdr:row>0</xdr:row>
      <xdr:rowOff>0</xdr:rowOff>
    </xdr:from>
    <xdr:to>
      <xdr:col>1</xdr:col>
      <xdr:colOff>716376</xdr:colOff>
      <xdr:row>0</xdr:row>
      <xdr:rowOff>585107</xdr:rowOff>
    </xdr:to>
    <xdr:pic>
      <xdr:nvPicPr>
        <xdr:cNvPr id="4" name="Picture 5"/>
        <xdr:cNvPicPr>
          <a:picLocks noChangeAspect="1"/>
        </xdr:cNvPicPr>
      </xdr:nvPicPr>
      <xdr:blipFill>
        <a:blip r:embed="rId1"/>
        <a:stretch>
          <a:fillRect/>
        </a:stretch>
      </xdr:blipFill>
      <xdr:spPr>
        <a:xfrm>
          <a:off x="199390" y="0"/>
          <a:ext cx="697230" cy="584835"/>
        </a:xfrm>
        <a:prstGeom prst="rect">
          <a:avLst/>
        </a:prstGeom>
      </xdr:spPr>
    </xdr:pic>
    <xdr:clientData/>
  </xdr:twoCellAnchor>
  <xdr:twoCellAnchor>
    <xdr:from>
      <xdr:col>1</xdr:col>
      <xdr:colOff>314326</xdr:colOff>
      <xdr:row>8</xdr:row>
      <xdr:rowOff>77562</xdr:rowOff>
    </xdr:from>
    <xdr:to>
      <xdr:col>1</xdr:col>
      <xdr:colOff>622533</xdr:colOff>
      <xdr:row>8</xdr:row>
      <xdr:rowOff>367394</xdr:rowOff>
    </xdr:to>
    <xdr:pic>
      <xdr:nvPicPr>
        <xdr:cNvPr id="7" name="图片 3">
          <a:hlinkClick xmlns:r="http://schemas.openxmlformats.org/officeDocument/2006/relationships" r:id="rId2"/>
        </xdr:cNvPr>
        <xdr:cNvPicPr>
          <a:picLocks noChangeAspect="1"/>
        </xdr:cNvPicPr>
      </xdr:nvPicPr>
      <xdr:blipFill>
        <a:blip r:embed="rId3"/>
        <a:stretch>
          <a:fillRect/>
        </a:stretch>
      </xdr:blipFill>
      <xdr:spPr>
        <a:xfrm>
          <a:off x="494665" y="2215515"/>
          <a:ext cx="307975" cy="289560"/>
        </a:xfrm>
        <a:prstGeom prst="rect">
          <a:avLst/>
        </a:prstGeom>
      </xdr:spPr>
    </xdr:pic>
    <xdr:clientData/>
  </xdr:twoCellAnchor>
  <xdr:twoCellAnchor>
    <xdr:from>
      <xdr:col>4</xdr:col>
      <xdr:colOff>579504</xdr:colOff>
      <xdr:row>72</xdr:row>
      <xdr:rowOff>179294</xdr:rowOff>
    </xdr:from>
    <xdr:to>
      <xdr:col>4</xdr:col>
      <xdr:colOff>852519</xdr:colOff>
      <xdr:row>74</xdr:row>
      <xdr:rowOff>22411</xdr:rowOff>
    </xdr:to>
    <xdr:pic>
      <xdr:nvPicPr>
        <xdr:cNvPr id="9" name="图片 19">
          <a:hlinkClick xmlns:r="http://schemas.openxmlformats.org/officeDocument/2006/relationships" r:id="rId4"/>
        </xdr:cNvPr>
        <xdr:cNvPicPr>
          <a:picLocks noChangeAspect="1"/>
        </xdr:cNvPicPr>
      </xdr:nvPicPr>
      <xdr:blipFill>
        <a:blip r:embed="rId3"/>
        <a:stretch>
          <a:fillRect/>
        </a:stretch>
      </xdr:blipFill>
      <xdr:spPr>
        <a:xfrm>
          <a:off x="4380865" y="14865985"/>
          <a:ext cx="273050" cy="239395"/>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13</xdr:col>
      <xdr:colOff>213179</xdr:colOff>
      <xdr:row>3</xdr:row>
      <xdr:rowOff>238578</xdr:rowOff>
    </xdr:from>
    <xdr:to>
      <xdr:col>13</xdr:col>
      <xdr:colOff>514966</xdr:colOff>
      <xdr:row>5</xdr:row>
      <xdr:rowOff>3628</xdr:rowOff>
    </xdr:to>
    <xdr:pic>
      <xdr:nvPicPr>
        <xdr:cNvPr id="3" name="Picture 2">
          <a:hlinkClick xmlns:r="http://schemas.openxmlformats.org/officeDocument/2006/relationships" r:id="rId1"/>
        </xdr:cNvPr>
        <xdr:cNvPicPr>
          <a:picLocks noChangeAspect="1"/>
        </xdr:cNvPicPr>
      </xdr:nvPicPr>
      <xdr:blipFill>
        <a:blip r:embed="rId2"/>
        <a:stretch>
          <a:fillRect/>
        </a:stretch>
      </xdr:blipFill>
      <xdr:spPr>
        <a:xfrm>
          <a:off x="11558270" y="876935"/>
          <a:ext cx="301625" cy="276860"/>
        </a:xfrm>
        <a:prstGeom prst="rect">
          <a:avLst/>
        </a:prstGeom>
      </xdr:spPr>
    </xdr:pic>
    <xdr:clientData/>
  </xdr:twoCellAnchor>
  <xdr:twoCellAnchor editAs="oneCell">
    <xdr:from>
      <xdr:col>16</xdr:col>
      <xdr:colOff>812801</xdr:colOff>
      <xdr:row>1</xdr:row>
      <xdr:rowOff>13608</xdr:rowOff>
    </xdr:from>
    <xdr:to>
      <xdr:col>16</xdr:col>
      <xdr:colOff>1091376</xdr:colOff>
      <xdr:row>2</xdr:row>
      <xdr:rowOff>31750</xdr:rowOff>
    </xdr:to>
    <xdr:pic>
      <xdr:nvPicPr>
        <xdr:cNvPr id="4" name="Picture 2">
          <a:hlinkClick xmlns:r="http://schemas.openxmlformats.org/officeDocument/2006/relationships" r:id="rId3"/>
        </xdr:cNvPr>
        <xdr:cNvPicPr>
          <a:picLocks noChangeAspect="1"/>
        </xdr:cNvPicPr>
      </xdr:nvPicPr>
      <xdr:blipFill>
        <a:blip r:embed="rId2"/>
        <a:stretch>
          <a:fillRect/>
        </a:stretch>
      </xdr:blipFill>
      <xdr:spPr>
        <a:xfrm>
          <a:off x="15425420" y="140335"/>
          <a:ext cx="278130" cy="274320"/>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11</xdr:col>
      <xdr:colOff>1258539</xdr:colOff>
      <xdr:row>32</xdr:row>
      <xdr:rowOff>430893</xdr:rowOff>
    </xdr:from>
    <xdr:to>
      <xdr:col>11</xdr:col>
      <xdr:colOff>1591137</xdr:colOff>
      <xdr:row>32</xdr:row>
      <xdr:rowOff>707573</xdr:rowOff>
    </xdr:to>
    <xdr:pic>
      <xdr:nvPicPr>
        <xdr:cNvPr id="2" name="图片 16">
          <a:hlinkClick xmlns:r="http://schemas.openxmlformats.org/officeDocument/2006/relationships" r:id="rId1"/>
        </xdr:cNvPr>
        <xdr:cNvPicPr>
          <a:picLocks noChangeAspect="1"/>
        </xdr:cNvPicPr>
      </xdr:nvPicPr>
      <xdr:blipFill>
        <a:blip r:embed="rId2"/>
        <a:stretch>
          <a:fillRect/>
        </a:stretch>
      </xdr:blipFill>
      <xdr:spPr>
        <a:xfrm>
          <a:off x="11012170" y="7050405"/>
          <a:ext cx="332740" cy="276860"/>
        </a:xfrm>
        <a:prstGeom prst="rect">
          <a:avLst/>
        </a:prstGeom>
      </xdr:spPr>
    </xdr:pic>
    <xdr:clientData/>
  </xdr:twoCellAnchor>
  <xdr:twoCellAnchor editAs="oneCell">
    <xdr:from>
      <xdr:col>1</xdr:col>
      <xdr:colOff>127000</xdr:colOff>
      <xdr:row>0</xdr:row>
      <xdr:rowOff>0</xdr:rowOff>
    </xdr:from>
    <xdr:to>
      <xdr:col>1</xdr:col>
      <xdr:colOff>618051</xdr:colOff>
      <xdr:row>0</xdr:row>
      <xdr:rowOff>517706</xdr:rowOff>
    </xdr:to>
    <xdr:pic>
      <xdr:nvPicPr>
        <xdr:cNvPr id="3" name="Picture 4"/>
        <xdr:cNvPicPr>
          <a:picLocks noChangeAspect="1"/>
        </xdr:cNvPicPr>
      </xdr:nvPicPr>
      <xdr:blipFill>
        <a:blip r:embed="rId3"/>
        <a:stretch>
          <a:fillRect/>
        </a:stretch>
      </xdr:blipFill>
      <xdr:spPr>
        <a:xfrm>
          <a:off x="307340" y="0"/>
          <a:ext cx="490855" cy="517525"/>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13</xdr:col>
      <xdr:colOff>117024</xdr:colOff>
      <xdr:row>0</xdr:row>
      <xdr:rowOff>82096</xdr:rowOff>
    </xdr:from>
    <xdr:to>
      <xdr:col>13</xdr:col>
      <xdr:colOff>368464</xdr:colOff>
      <xdr:row>1</xdr:row>
      <xdr:rowOff>205468</xdr:rowOff>
    </xdr:to>
    <xdr:pic>
      <xdr:nvPicPr>
        <xdr:cNvPr id="2" name="Picture 1">
          <a:hlinkClick xmlns:r="http://schemas.openxmlformats.org/officeDocument/2006/relationships" r:id="rId1"/>
        </xdr:cNvPr>
        <xdr:cNvPicPr>
          <a:picLocks noChangeAspect="1"/>
        </xdr:cNvPicPr>
      </xdr:nvPicPr>
      <xdr:blipFill>
        <a:blip r:embed="rId2"/>
        <a:stretch>
          <a:fillRect/>
        </a:stretch>
      </xdr:blipFill>
      <xdr:spPr>
        <a:xfrm>
          <a:off x="12315825" y="81915"/>
          <a:ext cx="251460" cy="250190"/>
        </a:xfrm>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127000</xdr:colOff>
      <xdr:row>0</xdr:row>
      <xdr:rowOff>45358</xdr:rowOff>
    </xdr:from>
    <xdr:to>
      <xdr:col>1</xdr:col>
      <xdr:colOff>618051</xdr:colOff>
      <xdr:row>0</xdr:row>
      <xdr:rowOff>563064</xdr:rowOff>
    </xdr:to>
    <xdr:pic>
      <xdr:nvPicPr>
        <xdr:cNvPr id="2" name="Picture 4"/>
        <xdr:cNvPicPr>
          <a:picLocks noChangeAspect="1"/>
        </xdr:cNvPicPr>
      </xdr:nvPicPr>
      <xdr:blipFill>
        <a:blip r:embed="rId1"/>
        <a:stretch>
          <a:fillRect/>
        </a:stretch>
      </xdr:blipFill>
      <xdr:spPr>
        <a:xfrm>
          <a:off x="307340" y="45085"/>
          <a:ext cx="490855" cy="517525"/>
        </a:xfrm>
        <a:prstGeom prst="rect">
          <a:avLst/>
        </a:prstGeom>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14</xdr:col>
      <xdr:colOff>463552</xdr:colOff>
      <xdr:row>1</xdr:row>
      <xdr:rowOff>6803</xdr:rowOff>
    </xdr:from>
    <xdr:to>
      <xdr:col>15</xdr:col>
      <xdr:colOff>139410</xdr:colOff>
      <xdr:row>2</xdr:row>
      <xdr:rowOff>4082</xdr:rowOff>
    </xdr:to>
    <xdr:pic>
      <xdr:nvPicPr>
        <xdr:cNvPr id="2" name="Picture 1">
          <a:hlinkClick xmlns:r="http://schemas.openxmlformats.org/officeDocument/2006/relationships" r:id="rId1"/>
        </xdr:cNvPr>
        <xdr:cNvPicPr>
          <a:picLocks noChangeAspect="1"/>
        </xdr:cNvPicPr>
      </xdr:nvPicPr>
      <xdr:blipFill>
        <a:blip r:embed="rId2"/>
        <a:stretch>
          <a:fillRect/>
        </a:stretch>
      </xdr:blipFill>
      <xdr:spPr>
        <a:xfrm>
          <a:off x="11229340" y="133350"/>
          <a:ext cx="286385" cy="256540"/>
        </a:xfrm>
        <a:prstGeom prst="rect">
          <a:avLst/>
        </a:prstGeom>
      </xdr:spPr>
    </xdr:pic>
    <xdr:clientData/>
  </xdr:twoCellAnchor>
  <xdr:twoCellAnchor editAs="oneCell">
    <xdr:from>
      <xdr:col>10</xdr:col>
      <xdr:colOff>259445</xdr:colOff>
      <xdr:row>1</xdr:row>
      <xdr:rowOff>265339</xdr:rowOff>
    </xdr:from>
    <xdr:to>
      <xdr:col>10</xdr:col>
      <xdr:colOff>615660</xdr:colOff>
      <xdr:row>3</xdr:row>
      <xdr:rowOff>31296</xdr:rowOff>
    </xdr:to>
    <xdr:pic>
      <xdr:nvPicPr>
        <xdr:cNvPr id="3" name="Picture 1">
          <a:hlinkClick xmlns:r="http://schemas.openxmlformats.org/officeDocument/2006/relationships" r:id="rId3"/>
        </xdr:cNvPr>
        <xdr:cNvPicPr>
          <a:picLocks noChangeAspect="1"/>
        </xdr:cNvPicPr>
      </xdr:nvPicPr>
      <xdr:blipFill>
        <a:blip r:embed="rId2"/>
        <a:stretch>
          <a:fillRect/>
        </a:stretch>
      </xdr:blipFill>
      <xdr:spPr>
        <a:xfrm>
          <a:off x="8057515" y="386080"/>
          <a:ext cx="356235" cy="252095"/>
        </a:xfrm>
        <a:prstGeom prst="rect">
          <a:avLst/>
        </a:prstGeom>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1</xdr:col>
      <xdr:colOff>176893</xdr:colOff>
      <xdr:row>8</xdr:row>
      <xdr:rowOff>31751</xdr:rowOff>
    </xdr:from>
    <xdr:to>
      <xdr:col>8</xdr:col>
      <xdr:colOff>1392464</xdr:colOff>
      <xdr:row>20</xdr:row>
      <xdr:rowOff>68035</xdr:rowOff>
    </xdr:to>
    <xdr:sp>
      <xdr:nvSpPr>
        <xdr:cNvPr id="6" name="文本框 1"/>
        <xdr:cNvSpPr txBox="1"/>
      </xdr:nvSpPr>
      <xdr:spPr>
        <a:xfrm>
          <a:off x="356870" y="2124075"/>
          <a:ext cx="12078970" cy="2143760"/>
        </a:xfrm>
        <a:prstGeom prst="rect">
          <a:avLst/>
        </a:prstGeom>
        <a:solidFill>
          <a:schemeClr val="bg1">
            <a:lumMod val="95000"/>
          </a:schemeClr>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altLang="ja-JP" sz="1400" b="1">
              <a:solidFill>
                <a:srgbClr val="FF0000"/>
              </a:solidFill>
              <a:latin typeface="微软雅黑" panose="020B0503020204020204" pitchFamily="34" charset="-122"/>
              <a:ea typeface="微软雅黑" panose="020B0503020204020204" pitchFamily="34" charset="-122"/>
            </a:rPr>
            <a:t>[NOTE-</a:t>
          </a:r>
          <a:r>
            <a:rPr lang="ja-JP" altLang="en-US" sz="1400" b="1">
              <a:solidFill>
                <a:srgbClr val="FF0000"/>
              </a:solidFill>
              <a:latin typeface="微软雅黑" panose="020B0503020204020204" pitchFamily="34" charset="-122"/>
              <a:ea typeface="微软雅黑" panose="020B0503020204020204" pitchFamily="34" charset="-122"/>
            </a:rPr>
            <a:t>归档前删除</a:t>
          </a:r>
          <a:r>
            <a:rPr lang="en-US" altLang="ja-JP" sz="1400" b="1">
              <a:solidFill>
                <a:srgbClr val="FF0000"/>
              </a:solidFill>
              <a:latin typeface="微软雅黑" panose="020B0503020204020204" pitchFamily="34" charset="-122"/>
              <a:ea typeface="微软雅黑" panose="020B0503020204020204" pitchFamily="34" charset="-122"/>
            </a:rPr>
            <a:t>]</a:t>
          </a:r>
          <a:endParaRPr lang="ja-JP" altLang="en-US" sz="1400" b="1">
            <a:solidFill>
              <a:schemeClr val="dk1"/>
            </a:solidFill>
            <a:latin typeface="微软雅黑" panose="020B0503020204020204" pitchFamily="34" charset="-122"/>
            <a:ea typeface="微软雅黑" panose="020B0503020204020204" pitchFamily="34" charset="-122"/>
            <a:cs typeface="Arial" panose="020B0604020202020204" pitchFamily="7" charset="0"/>
          </a:endParaRPr>
        </a:p>
        <a:p>
          <a:pPr marL="0" indent="0" algn="l"/>
          <a:r>
            <a:rPr lang="ja-JP" alt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如果我们执行实质性分析程序</a:t>
          </a:r>
          <a:r>
            <a:rPr lang="en-US" altLang="ja-JP"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a:t>
          </a:r>
          <a:r>
            <a:rPr 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SAP)</a:t>
          </a:r>
          <a:r>
            <a:rPr lang="ja-JP" alt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测试折旧费用，我们应填写</a:t>
          </a:r>
          <a:r>
            <a:rPr lang="en-US" altLang="ja-JP"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a:t>
          </a:r>
          <a:r>
            <a:rPr lang="ja-JP" alt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表格</a:t>
          </a:r>
          <a:r>
            <a:rPr lang="en-US" altLang="ja-JP"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264-</a:t>
          </a:r>
          <a:r>
            <a:rPr 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SWP</a:t>
          </a:r>
          <a:r>
            <a:rPr lang="en-US" altLang="zh-CN"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a:t>
          </a:r>
          <a:r>
            <a:rPr 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a:t>
          </a:r>
          <a:r>
            <a:rPr lang="ja-JP" alt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即</a:t>
          </a:r>
          <a:r>
            <a:rPr lang="en-US" altLang="ja-JP"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a:t>
          </a:r>
          <a:r>
            <a:rPr lang="ja-JP" alt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表格</a:t>
          </a:r>
          <a:r>
            <a:rPr lang="en-US" altLang="ja-JP"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264-</a:t>
          </a:r>
          <a:r>
            <a:rPr 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SWP</a:t>
          </a:r>
          <a:r>
            <a:rPr lang="en-US" altLang="zh-CN"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a:t>
          </a:r>
          <a:r>
            <a:rPr lang="ja-JP" alt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或</a:t>
          </a:r>
          <a:r>
            <a:rPr lang="en-US" altLang="ja-JP"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a:t>
          </a:r>
          <a:r>
            <a:rPr lang="ja-JP" alt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表格</a:t>
          </a:r>
          <a:r>
            <a:rPr lang="en-US" altLang="ja-JP"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264</a:t>
          </a:r>
          <a:r>
            <a:rPr 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US-SWP</a:t>
          </a:r>
          <a:r>
            <a:rPr lang="en-US" altLang="zh-CN"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a:t>
          </a:r>
          <a:r>
            <a:rPr 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a:t>
          </a:r>
          <a:r>
            <a:rPr lang="ja-JP" alt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如适用</a:t>
          </a:r>
          <a:r>
            <a:rPr lang="en-US" altLang="ja-JP"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a:t>
          </a:r>
          <a:r>
            <a:rPr lang="zh-CN" alt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），对于非</a:t>
          </a:r>
          <a:r>
            <a:rPr lang="en-US" altLang="zh-CN"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US</a:t>
          </a:r>
          <a:r>
            <a:rPr lang="zh-CN" alt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项目还可使用</a:t>
          </a:r>
          <a:r>
            <a:rPr lang="en-US" altLang="zh-CN"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K.03.1 SAP</a:t>
          </a:r>
          <a:r>
            <a:rPr lang="zh-CN" alt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模板</a:t>
          </a:r>
          <a:r>
            <a:rPr lang="ja-JP" alt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a:t>
          </a:r>
          <a:endParaRPr lang="ja-JP" alt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endParaRPr>
        </a:p>
        <a:p>
          <a:pPr marL="0" indent="0" algn="l"/>
          <a:r>
            <a:rPr lang="ja-JP" alt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我们将工作底稿以“</a:t>
          </a:r>
          <a:r>
            <a:rPr 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K.03.1 264-SWP </a:t>
          </a:r>
          <a:r>
            <a:rPr lang="ja-JP" alt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实质性分析程序</a:t>
          </a:r>
          <a:r>
            <a:rPr lang="en-US" altLang="ja-JP"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a:t>
          </a:r>
          <a:r>
            <a:rPr 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xlsx”</a:t>
          </a:r>
          <a:r>
            <a:rPr lang="ja-JP" alt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的名称上传至 </a:t>
          </a:r>
          <a:r>
            <a:rPr lang="en-US" altLang="ja-JP"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C</a:t>
          </a:r>
          <a:r>
            <a:rPr 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anvas，</a:t>
          </a:r>
          <a:r>
            <a:rPr lang="ja-JP" alt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井完成 </a:t>
          </a:r>
          <a:r>
            <a:rPr 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Canvas </a:t>
          </a:r>
          <a:r>
            <a:rPr lang="ja-JP" alt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中指引的工作流程 </a:t>
          </a:r>
          <a:r>
            <a:rPr 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K.03。</a:t>
          </a:r>
          <a:endParaRPr 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endParaRPr>
        </a:p>
        <a:p>
          <a:pPr marL="0" indent="0" algn="l"/>
          <a:r>
            <a:rPr lang="ja-JP" alt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我们再次记录对</a:t>
          </a:r>
          <a:r>
            <a:rPr lang="en-US" altLang="ja-JP"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a:t>
          </a:r>
          <a:r>
            <a:rPr lang="ja-JP" alt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表格</a:t>
          </a:r>
          <a:r>
            <a:rPr lang="en-US" altLang="ja-JP"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264-</a:t>
          </a:r>
          <a:r>
            <a:rPr 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SWP》</a:t>
          </a:r>
          <a:r>
            <a:rPr lang="ja-JP" alt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的交叉索引。</a:t>
          </a:r>
          <a:endParaRPr lang="ja-JP" alt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endParaRPr>
        </a:p>
        <a:p>
          <a:pPr marL="0" indent="0" algn="l"/>
          <a:r>
            <a:rPr lang="ja-JP" alt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如果我们不执行实质性分析程序</a:t>
          </a:r>
          <a:r>
            <a:rPr lang="en-US" altLang="ja-JP"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a:t>
          </a:r>
          <a:r>
            <a:rPr 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SAP)</a:t>
          </a:r>
          <a:r>
            <a:rPr lang="ja-JP" alt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测试折旧费用，则删除此提示框</a:t>
          </a:r>
          <a:endParaRPr lang="ja-JP" alt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endParaRPr>
        </a:p>
      </xdr:txBody>
    </xdr:sp>
    <xdr:clientData/>
  </xdr:twoCellAnchor>
  <xdr:twoCellAnchor editAs="oneCell">
    <xdr:from>
      <xdr:col>1</xdr:col>
      <xdr:colOff>136072</xdr:colOff>
      <xdr:row>0</xdr:row>
      <xdr:rowOff>68036</xdr:rowOff>
    </xdr:from>
    <xdr:to>
      <xdr:col>1</xdr:col>
      <xdr:colOff>627123</xdr:colOff>
      <xdr:row>0</xdr:row>
      <xdr:rowOff>585742</xdr:rowOff>
    </xdr:to>
    <xdr:pic>
      <xdr:nvPicPr>
        <xdr:cNvPr id="5" name="Picture 4"/>
        <xdr:cNvPicPr>
          <a:picLocks noChangeAspect="1"/>
        </xdr:cNvPicPr>
      </xdr:nvPicPr>
      <xdr:blipFill>
        <a:blip r:embed="rId1"/>
        <a:stretch>
          <a:fillRect/>
        </a:stretch>
      </xdr:blipFill>
      <xdr:spPr>
        <a:xfrm>
          <a:off x="316230" y="67945"/>
          <a:ext cx="490855" cy="517525"/>
        </a:xfrm>
        <a:prstGeom prst="rect">
          <a:avLst/>
        </a:prstGeom>
      </xdr:spPr>
    </xdr:pic>
    <xdr:clientData/>
  </xdr:twoCellAnchor>
  <xdr:oneCellAnchor>
    <xdr:from>
      <xdr:col>1</xdr:col>
      <xdr:colOff>1551214</xdr:colOff>
      <xdr:row>4</xdr:row>
      <xdr:rowOff>149679</xdr:rowOff>
    </xdr:from>
    <xdr:ext cx="243417" cy="230959"/>
    <xdr:pic>
      <xdr:nvPicPr>
        <xdr:cNvPr id="2" name="Picture 1">
          <a:hlinkClick xmlns:r="http://schemas.openxmlformats.org/officeDocument/2006/relationships" r:id="rId2"/>
        </xdr:cNvPr>
        <xdr:cNvPicPr>
          <a:picLocks noChangeAspect="1"/>
        </xdr:cNvPicPr>
      </xdr:nvPicPr>
      <xdr:blipFill>
        <a:blip r:embed="rId3"/>
        <a:stretch>
          <a:fillRect/>
        </a:stretch>
      </xdr:blipFill>
      <xdr:spPr>
        <a:xfrm>
          <a:off x="1731010" y="1517650"/>
          <a:ext cx="243840" cy="231140"/>
        </a:xfrm>
        <a:prstGeom prst="rect">
          <a:avLst/>
        </a:prstGeom>
      </xdr:spPr>
    </xdr:pic>
    <xdr:clientData/>
  </xdr:one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99786</xdr:colOff>
      <xdr:row>0</xdr:row>
      <xdr:rowOff>0</xdr:rowOff>
    </xdr:from>
    <xdr:to>
      <xdr:col>1</xdr:col>
      <xdr:colOff>590837</xdr:colOff>
      <xdr:row>0</xdr:row>
      <xdr:rowOff>517706</xdr:rowOff>
    </xdr:to>
    <xdr:pic>
      <xdr:nvPicPr>
        <xdr:cNvPr id="2" name="Picture 4"/>
        <xdr:cNvPicPr>
          <a:picLocks noChangeAspect="1"/>
        </xdr:cNvPicPr>
      </xdr:nvPicPr>
      <xdr:blipFill>
        <a:blip r:embed="rId1"/>
        <a:stretch>
          <a:fillRect/>
        </a:stretch>
      </xdr:blipFill>
      <xdr:spPr>
        <a:xfrm>
          <a:off x="280035" y="0"/>
          <a:ext cx="490855" cy="517525"/>
        </a:xfrm>
        <a:prstGeom prst="rect">
          <a:avLst/>
        </a:prstGeom>
      </xdr:spPr>
    </xdr:pic>
    <xdr:clientData/>
  </xdr:twoCellAnchor>
  <xdr:twoCellAnchor editAs="oneCell">
    <xdr:from>
      <xdr:col>18</xdr:col>
      <xdr:colOff>299359</xdr:colOff>
      <xdr:row>29</xdr:row>
      <xdr:rowOff>18142</xdr:rowOff>
    </xdr:from>
    <xdr:to>
      <xdr:col>18</xdr:col>
      <xdr:colOff>524715</xdr:colOff>
      <xdr:row>29</xdr:row>
      <xdr:rowOff>244928</xdr:rowOff>
    </xdr:to>
    <xdr:pic>
      <xdr:nvPicPr>
        <xdr:cNvPr id="4" name="Picture 1">
          <a:hlinkClick xmlns:r="http://schemas.openxmlformats.org/officeDocument/2006/relationships" r:id="rId2"/>
        </xdr:cNvPr>
        <xdr:cNvPicPr>
          <a:picLocks noChangeAspect="1"/>
        </xdr:cNvPicPr>
      </xdr:nvPicPr>
      <xdr:blipFill>
        <a:blip r:embed="rId3"/>
        <a:stretch>
          <a:fillRect/>
        </a:stretch>
      </xdr:blipFill>
      <xdr:spPr>
        <a:xfrm>
          <a:off x="16605250" y="6657975"/>
          <a:ext cx="225425" cy="226695"/>
        </a:xfrm>
        <a:prstGeom prst="rect">
          <a:avLst/>
        </a:prstGeom>
      </xdr:spPr>
    </xdr:pic>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136072</xdr:colOff>
      <xdr:row>0</xdr:row>
      <xdr:rowOff>68036</xdr:rowOff>
    </xdr:from>
    <xdr:to>
      <xdr:col>1</xdr:col>
      <xdr:colOff>627123</xdr:colOff>
      <xdr:row>0</xdr:row>
      <xdr:rowOff>585742</xdr:rowOff>
    </xdr:to>
    <xdr:pic>
      <xdr:nvPicPr>
        <xdr:cNvPr id="2" name="Picture 4"/>
        <xdr:cNvPicPr>
          <a:picLocks noChangeAspect="1"/>
        </xdr:cNvPicPr>
      </xdr:nvPicPr>
      <xdr:blipFill>
        <a:blip r:embed="rId1"/>
        <a:stretch>
          <a:fillRect/>
        </a:stretch>
      </xdr:blipFill>
      <xdr:spPr>
        <a:xfrm>
          <a:off x="316230" y="67945"/>
          <a:ext cx="490855" cy="517525"/>
        </a:xfrm>
        <a:prstGeom prst="rect">
          <a:avLst/>
        </a:prstGeom>
      </xdr:spPr>
    </xdr:pic>
    <xdr:clientData/>
  </xdr:twoCellAnchor>
  <xdr:oneCellAnchor>
    <xdr:from>
      <xdr:col>5</xdr:col>
      <xdr:colOff>904119</xdr:colOff>
      <xdr:row>5</xdr:row>
      <xdr:rowOff>145899</xdr:rowOff>
    </xdr:from>
    <xdr:ext cx="243417" cy="233499"/>
    <xdr:pic>
      <xdr:nvPicPr>
        <xdr:cNvPr id="3" name="Picture 1">
          <a:hlinkClick xmlns:r="http://schemas.openxmlformats.org/officeDocument/2006/relationships" r:id="rId2"/>
        </xdr:cNvPr>
        <xdr:cNvPicPr>
          <a:picLocks noChangeAspect="1"/>
        </xdr:cNvPicPr>
      </xdr:nvPicPr>
      <xdr:blipFill>
        <a:blip r:embed="rId3"/>
        <a:stretch>
          <a:fillRect/>
        </a:stretch>
      </xdr:blipFill>
      <xdr:spPr>
        <a:xfrm>
          <a:off x="7291705" y="1689100"/>
          <a:ext cx="243840" cy="23368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K1%20SWP%20%E5%9B%BA%E5%AE%9A%E8%B5%84%E4%BA%A7%E6%9D%83%E5%B1%9E%E6%A3%80%E6%9F%A5%20202YMMDD%20XYZ%E5%85%AC%E5%8F%B8.xlsx?d=w1624b845ef7548d88ea585d4c55060a5&amp;csf=1&amp;web=1&amp;e=c63vIQ" TargetMode="External"/><Relationship Id="rId3"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K1%20SWP%20%E5%9B%BA%E5%AE%9A%E8%B5%84%E4%BA%A7%E5%8F%8A%E5%9C%A8%E5%BB%BA%E5%B7%A5%E7%A8%8B%E7%9B%98%E7%82%B9%20202YMMDD%20XYZ%E5%85%AC%E5%8F%B8.xlsx?d=waeb81816f6c440799a00b2ddb91df7cf&amp;csf=1&amp;web=1&amp;e=XAk0FX" TargetMode="External"/><Relationship Id="rId2" Type="http://schemas.openxmlformats.org/officeDocument/2006/relationships/hyperlink" Target="https://eychinamanaged.sharepoint.cn/:x:/r/sites/GCknowledgecenter/Shared%20Documents/%E5%AE%A1%E8%AE%A1%E6%A0%87%E5%87%86%E5%BA%95%E7%A8%BF/%E6%A0%87%E5%87%86%E5%AE%A1%E8%AE%A1%E5%BA%95%E7%A8%BF%E6%A8%A1%E6%9D%BF%E7%AC%AC%E4%BA%94%E7%89%88-%E4%BD%BF%E7%94%A8%E7%89%88/SWP%20%E5%87%8F%E5%80%BC%E8%BF%B9%E8%B1%A1%E8%AF%86%E5%88%AB%20202YMMDD%20XYZ%E5%85%AC%E5%8F%B8.xlsx?d=w9029592e751d48249204b3aebc2a57c9&amp;csf=1&amp;web=1&amp;e=knFGjw" TargetMode="Externa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2"/>
  <sheetViews>
    <sheetView showGridLines="0" zoomScale="70" zoomScaleNormal="70" workbookViewId="0">
      <selection activeCell="N15" sqref="N15"/>
    </sheetView>
  </sheetViews>
  <sheetFormatPr defaultColWidth="8.72222222222222" defaultRowHeight="13.2"/>
  <cols>
    <col min="1" max="1" width="2.62962962962963" style="54" customWidth="1"/>
    <col min="2" max="2" width="13.0925925925926" style="621" customWidth="1"/>
    <col min="3" max="3" width="15.3611111111111" style="300" customWidth="1"/>
    <col min="4" max="4" width="21" style="54" customWidth="1"/>
    <col min="5" max="5" width="19" style="54" customWidth="1"/>
    <col min="6" max="6" width="25.6296296296296" style="54" customWidth="1"/>
    <col min="7" max="7" width="13.7222222222222" style="54" customWidth="1"/>
    <col min="8" max="8" width="15.7222222222222" style="322" customWidth="1"/>
    <col min="9" max="9" width="24.9074074074074" style="54" customWidth="1"/>
    <col min="10" max="16384" width="8.72222222222222" style="54"/>
  </cols>
  <sheetData>
    <row r="1" ht="21" spans="1:9">
      <c r="A1" s="622" t="s">
        <v>0</v>
      </c>
      <c r="G1" s="623"/>
      <c r="H1" s="624"/>
    </row>
    <row r="2" ht="19.5" customHeight="1" spans="1:9">
      <c r="B2" s="625" t="s">
        <v>1</v>
      </c>
      <c r="C2" s="626"/>
      <c r="D2" s="627"/>
      <c r="E2" s="555"/>
      <c r="F2" s="628" t="s">
        <v>2</v>
      </c>
      <c r="G2" s="623"/>
      <c r="H2" s="624"/>
    </row>
    <row r="3" ht="13.8" spans="1:9">
      <c r="B3" s="555"/>
      <c r="C3" s="65"/>
      <c r="D3" s="555"/>
      <c r="E3" s="555"/>
      <c r="F3" s="628" t="s">
        <v>3</v>
      </c>
      <c r="G3" s="623"/>
      <c r="H3" s="624"/>
    </row>
    <row r="4" ht="10" customHeight="1" spans="1:9">
      <c r="G4" s="623"/>
      <c r="H4" s="624"/>
    </row>
    <row r="5" ht="15" customHeight="1" spans="1:9">
      <c r="B5" s="629" t="s">
        <v>4</v>
      </c>
      <c r="C5" s="630" t="s">
        <v>5</v>
      </c>
      <c r="D5" s="630"/>
      <c r="E5" s="630"/>
      <c r="F5" s="631" t="s">
        <v>6</v>
      </c>
      <c r="G5" s="632" t="s">
        <v>7</v>
      </c>
      <c r="H5" s="631" t="s">
        <v>8</v>
      </c>
      <c r="I5" s="631" t="s">
        <v>9</v>
      </c>
    </row>
    <row r="6" ht="63" customHeight="1" spans="1:9">
      <c r="B6" s="633">
        <v>1</v>
      </c>
      <c r="C6" s="634" t="s">
        <v>10</v>
      </c>
      <c r="D6" s="634"/>
      <c r="E6" s="634"/>
      <c r="F6" s="680" t="s">
        <v>5</v>
      </c>
      <c r="G6" s="636"/>
      <c r="H6" s="637"/>
      <c r="I6" s="638"/>
    </row>
    <row r="7" ht="15" customHeight="1" spans="1:9">
      <c r="B7" s="629" t="s">
        <v>11</v>
      </c>
      <c r="C7" s="630" t="s">
        <v>12</v>
      </c>
      <c r="D7" s="630"/>
      <c r="E7" s="630"/>
      <c r="F7" s="631" t="s">
        <v>6</v>
      </c>
      <c r="G7" s="632" t="s">
        <v>7</v>
      </c>
      <c r="H7" s="631" t="s">
        <v>8</v>
      </c>
      <c r="I7" s="631" t="s">
        <v>9</v>
      </c>
    </row>
    <row r="8" ht="47.15" customHeight="1" spans="1:9">
      <c r="B8" s="633">
        <v>1</v>
      </c>
      <c r="C8" s="639" t="s">
        <v>13</v>
      </c>
      <c r="D8" s="639"/>
      <c r="E8" s="639"/>
      <c r="F8" s="680" t="s">
        <v>14</v>
      </c>
      <c r="G8" s="636"/>
      <c r="H8" s="637"/>
      <c r="I8" s="638"/>
    </row>
    <row r="9" ht="15" customHeight="1" spans="1:9">
      <c r="B9" s="629" t="s">
        <v>15</v>
      </c>
      <c r="C9" s="640" t="s">
        <v>16</v>
      </c>
      <c r="D9" s="630"/>
      <c r="E9" s="630"/>
      <c r="F9" s="631" t="s">
        <v>6</v>
      </c>
      <c r="G9" s="632" t="s">
        <v>7</v>
      </c>
      <c r="H9" s="631" t="s">
        <v>8</v>
      </c>
      <c r="I9" s="631" t="s">
        <v>9</v>
      </c>
    </row>
    <row r="10" ht="54.75" customHeight="1" spans="1:9">
      <c r="B10" s="498">
        <v>1</v>
      </c>
      <c r="C10" s="641" t="s">
        <v>17</v>
      </c>
      <c r="D10" s="642"/>
      <c r="E10" s="643"/>
      <c r="F10" s="680" t="s">
        <v>18</v>
      </c>
      <c r="G10" s="644"/>
      <c r="H10" s="645"/>
      <c r="I10" s="646" t="s">
        <v>19</v>
      </c>
    </row>
    <row r="11" ht="29.15" customHeight="1" spans="1:9">
      <c r="B11" s="647">
        <v>2</v>
      </c>
      <c r="C11" s="648" t="s">
        <v>20</v>
      </c>
      <c r="D11" s="649"/>
      <c r="E11" s="650"/>
      <c r="F11" s="681" t="s">
        <v>21</v>
      </c>
      <c r="G11" s="644"/>
      <c r="H11" s="652"/>
      <c r="I11" s="653"/>
    </row>
    <row r="12" ht="30" customHeight="1" spans="1:9">
      <c r="B12" s="654"/>
      <c r="C12" s="655"/>
      <c r="D12" s="656"/>
      <c r="E12" s="657"/>
      <c r="F12" s="680" t="s">
        <v>22</v>
      </c>
      <c r="G12" s="658"/>
      <c r="H12" s="659"/>
      <c r="I12" s="660"/>
    </row>
    <row r="13" ht="15" customHeight="1" spans="1:9">
      <c r="B13" s="629" t="s">
        <v>15</v>
      </c>
      <c r="C13" s="640" t="s">
        <v>23</v>
      </c>
      <c r="D13" s="630"/>
      <c r="E13" s="630"/>
      <c r="F13" s="631" t="s">
        <v>6</v>
      </c>
      <c r="G13" s="632" t="s">
        <v>7</v>
      </c>
      <c r="H13" s="631" t="s">
        <v>8</v>
      </c>
      <c r="I13" s="631" t="s">
        <v>9</v>
      </c>
    </row>
    <row r="14" ht="54" customHeight="1" spans="1:9">
      <c r="B14" s="498">
        <v>1</v>
      </c>
      <c r="C14" s="639" t="s">
        <v>24</v>
      </c>
      <c r="D14" s="639"/>
      <c r="E14" s="639"/>
      <c r="F14" s="680" t="s">
        <v>25</v>
      </c>
      <c r="G14" s="644"/>
      <c r="H14" s="645"/>
      <c r="I14" s="638"/>
    </row>
    <row r="15" ht="21.75" customHeight="1" spans="1:9">
      <c r="B15" s="647">
        <v>2</v>
      </c>
      <c r="C15" s="661" t="s">
        <v>26</v>
      </c>
      <c r="D15" s="649"/>
      <c r="E15" s="650"/>
      <c r="F15" s="680" t="s">
        <v>27</v>
      </c>
      <c r="G15" s="644"/>
      <c r="H15" s="652"/>
      <c r="I15" s="662"/>
    </row>
    <row r="16" ht="28.5" customHeight="1" spans="1:9">
      <c r="B16" s="654"/>
      <c r="C16" s="655"/>
      <c r="D16" s="656"/>
      <c r="E16" s="657"/>
      <c r="F16" s="680" t="s">
        <v>28</v>
      </c>
      <c r="G16" s="658"/>
      <c r="H16" s="659"/>
      <c r="I16" s="663"/>
    </row>
    <row r="17" ht="15.75" customHeight="1" spans="2:9">
      <c r="B17" s="629" t="s">
        <v>29</v>
      </c>
      <c r="C17" s="630" t="s">
        <v>30</v>
      </c>
      <c r="D17" s="630"/>
      <c r="E17" s="630"/>
      <c r="F17" s="631" t="s">
        <v>6</v>
      </c>
      <c r="G17" s="632" t="s">
        <v>7</v>
      </c>
      <c r="H17" s="631" t="s">
        <v>8</v>
      </c>
      <c r="I17" s="631" t="s">
        <v>9</v>
      </c>
    </row>
    <row r="18" ht="39" customHeight="1" spans="2:9">
      <c r="B18" s="664">
        <v>1</v>
      </c>
      <c r="C18" s="665" t="s">
        <v>31</v>
      </c>
      <c r="D18" s="339"/>
      <c r="E18" s="339"/>
      <c r="F18" s="680" t="s">
        <v>32</v>
      </c>
      <c r="G18" s="636"/>
      <c r="H18" s="637"/>
      <c r="I18" s="666"/>
    </row>
    <row r="19" ht="23.25" customHeight="1" spans="2:9">
      <c r="B19" s="664">
        <v>2</v>
      </c>
      <c r="C19" s="667" t="s">
        <v>33</v>
      </c>
      <c r="D19" s="668"/>
      <c r="E19" s="668"/>
      <c r="F19" s="680" t="s">
        <v>34</v>
      </c>
      <c r="G19" s="636"/>
      <c r="H19" s="637"/>
      <c r="I19" s="669"/>
    </row>
    <row r="20" ht="43.5" customHeight="1" spans="2:9">
      <c r="B20" s="664">
        <v>3</v>
      </c>
      <c r="C20" s="670" t="s">
        <v>35</v>
      </c>
      <c r="D20" s="671"/>
      <c r="E20" s="672"/>
      <c r="F20" s="680" t="s">
        <v>36</v>
      </c>
      <c r="G20" s="636"/>
      <c r="H20" s="637"/>
      <c r="I20" s="673"/>
    </row>
    <row r="21" ht="15" customHeight="1" spans="2:9">
      <c r="B21" s="674" t="s">
        <v>37</v>
      </c>
      <c r="C21" s="640" t="s">
        <v>38</v>
      </c>
      <c r="D21" s="630"/>
      <c r="E21" s="630"/>
      <c r="F21" s="675" t="s">
        <v>6</v>
      </c>
      <c r="G21" s="676" t="s">
        <v>7</v>
      </c>
      <c r="H21" s="675" t="s">
        <v>8</v>
      </c>
      <c r="I21" s="675" t="s">
        <v>9</v>
      </c>
    </row>
    <row r="22" ht="127.5" customHeight="1" spans="2:9">
      <c r="B22" s="677">
        <v>1</v>
      </c>
      <c r="C22" s="670" t="s">
        <v>39</v>
      </c>
      <c r="D22" s="671"/>
      <c r="E22" s="672"/>
      <c r="F22" s="680" t="s">
        <v>40</v>
      </c>
      <c r="G22" s="678"/>
      <c r="H22" s="637"/>
      <c r="I22" s="679"/>
    </row>
  </sheetData>
  <mergeCells count="24">
    <mergeCell ref="C5:E5"/>
    <mergeCell ref="C6:E6"/>
    <mergeCell ref="C7:E7"/>
    <mergeCell ref="C8:E8"/>
    <mergeCell ref="C9:E9"/>
    <mergeCell ref="C10:E10"/>
    <mergeCell ref="C13:E13"/>
    <mergeCell ref="C14:E14"/>
    <mergeCell ref="C17:E17"/>
    <mergeCell ref="C18:E18"/>
    <mergeCell ref="C19:E19"/>
    <mergeCell ref="C20:E20"/>
    <mergeCell ref="C21:E21"/>
    <mergeCell ref="C22:E22"/>
    <mergeCell ref="B11:B12"/>
    <mergeCell ref="B15:B16"/>
    <mergeCell ref="G11:G12"/>
    <mergeCell ref="G15:G16"/>
    <mergeCell ref="H11:H12"/>
    <mergeCell ref="H15:H16"/>
    <mergeCell ref="I10:I12"/>
    <mergeCell ref="I15:I16"/>
    <mergeCell ref="C11:E12"/>
    <mergeCell ref="C15:E16"/>
  </mergeCells>
  <conditionalFormatting sqref="F22">
    <cfRule type="containsBlanks" dxfId="0" priority="1">
      <formula>LEN(TRIM(F22))=0</formula>
    </cfRule>
  </conditionalFormatting>
  <conditionalFormatting sqref="G22">
    <cfRule type="containsBlanks" dxfId="1" priority="2">
      <formula>LEN(TRIM(G22))=0</formula>
    </cfRule>
  </conditionalFormatting>
  <conditionalFormatting sqref="H22">
    <cfRule type="expression" dxfId="0" priority="4">
      <formula>SUMPRODUCT((G22="否")*(LEN(H22)=0))</formula>
    </cfRule>
  </conditionalFormatting>
  <conditionalFormatting sqref="G6 G8 G10:G11 G14:G15 G18:G20">
    <cfRule type="containsBlanks" dxfId="1" priority="22">
      <formula>LEN(TRIM(G6))=0</formula>
    </cfRule>
  </conditionalFormatting>
  <conditionalFormatting sqref="H6 H8 H10:H11 H14:H15 H18:H20">
    <cfRule type="expression" dxfId="0" priority="55">
      <formula>SUMPRODUCT((G6="否")*(LEN(H6)=0))</formula>
    </cfRule>
  </conditionalFormatting>
  <dataValidations count="1">
    <dataValidation type="list" allowBlank="1" showInputMessage="1" sqref="G6 G8 G22 G10:G11 G14:G15 G18:G20">
      <formula1>"是,否"</formula1>
    </dataValidation>
  </dataValidations>
  <hyperlinks>
    <hyperlink ref="F6" location="'K.00 Lead Sheet'!A1" display="K.00 Lead Sheet"/>
    <hyperlink ref="F8" location="'K.01 Agree SL to GL'!A1" display="K.01 Agree SL to GL"/>
    <hyperlink ref="F19" location="'K.03.2 折旧测试TOD'!A1" display="K.03.2 折旧测试TOD"/>
    <hyperlink ref="F18" location="'K.03.1 SAP'!A1" display="K.03.1 SAP"/>
    <hyperlink ref="F10" location="新增清单!A1" display="新增清单"/>
    <hyperlink ref="F14" location="处置清单!A1" display="处置清单"/>
    <hyperlink ref="F15" location="'K.02.2 处置测试'!A1" display="K.02.2 处置测试"/>
    <hyperlink ref="F11" location="'K.02.1 新增测试 '!A1" display="K.02.1 新增测试"/>
    <hyperlink ref="F12" location="'K.02.1a 新增选样输出'!A1" display="K.02.1a 新增选样输出"/>
    <hyperlink ref="F16" location="'K.02.2a 处置选样输出'!A1" display="K.02.2a 处置选样输出"/>
    <hyperlink ref="F20" location="'K.03.3 折旧政策复核'!A1" display="K.03.3 折旧政策复核"/>
    <hyperlink ref="C22:E22" r:id="rId2" display="1.使用在审计过程中所获得的信息来确定管理层是否已识别适当的减值迹象；可使用PSP Canvas form K.04：识别减值迹象，也可使用 &lt;SWP减值迹象识别&gt; 对减值迹象进行评估，并根据指引要求获取相关支持性文件。&#10;2.如有减值迹象的，评价管理层假设、未来现金流等减值评估的合理性，核实并测算减值金额。&#10;3.检查是否存在转回固定资产减值准备的情况，确定减值准备在以后会计期间没有转回。"/>
    <hyperlink ref="F2" r:id="rId3" display="OSP K1 SWP 固定资产及在建工程盘点 202YMMDD XYZ公司.xlsx"/>
    <hyperlink ref="F3" r:id="rId4" display="OSP K1 SWP 固定资产权属检查 202YMMDD XYZ公司.xlsx"/>
  </hyperlinks>
  <pageMargins left="0.7" right="0.7" top="0.75" bottom="0.75" header="0.3" footer="0.3"/>
  <pageSetup paperSize="9" orientation="portrait" horizontalDpi="300"/>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177"/>
  <sheetViews>
    <sheetView showGridLines="0" zoomScale="70" zoomScaleNormal="70" topLeftCell="A16" workbookViewId="0">
      <selection activeCell="N15" sqref="N15"/>
    </sheetView>
  </sheetViews>
  <sheetFormatPr defaultColWidth="8.90740740740741" defaultRowHeight="12.75" customHeight="1"/>
  <cols>
    <col min="1" max="1" width="2.62962962962963" style="57" customWidth="1"/>
    <col min="2" max="2" width="24.0925925925926" style="58" customWidth="1"/>
    <col min="3" max="3" width="21.4537037037037" style="58" customWidth="1"/>
    <col min="4" max="4" width="13.3611111111111" style="58" customWidth="1"/>
    <col min="5" max="10" width="14.0925925925926" style="58" customWidth="1"/>
    <col min="11" max="12" width="17.2685185185185" style="58" customWidth="1"/>
    <col min="13" max="13" width="14.2685185185185" style="58" customWidth="1"/>
    <col min="14" max="14" width="19.3611111111111" style="58" customWidth="1"/>
    <col min="15" max="15" width="19.7222222222222" style="58" customWidth="1"/>
    <col min="16" max="16" width="2.62962962962963" style="58" customWidth="1"/>
    <col min="17" max="17" width="1.62962962962963" style="58" customWidth="1"/>
    <col min="18" max="30" width="13.9074074074074" style="58" customWidth="1"/>
    <col min="31" max="16384" width="8.90740740740741" style="58"/>
  </cols>
  <sheetData>
    <row r="1" s="296" customFormat="1" ht="50.15" customHeight="1" spans="2:17">
      <c r="B1" s="465" t="s">
        <v>41</v>
      </c>
      <c r="C1" s="466"/>
      <c r="D1" s="467"/>
      <c r="E1" s="467"/>
      <c r="F1" s="467"/>
      <c r="G1" s="467"/>
      <c r="H1" s="467"/>
      <c r="I1" s="467"/>
      <c r="J1" s="468"/>
      <c r="K1" s="467"/>
      <c r="L1" s="467"/>
      <c r="M1" s="467"/>
      <c r="N1" s="467"/>
      <c r="O1" s="469"/>
      <c r="Q1" s="168"/>
    </row>
    <row r="2" s="296" customFormat="1" ht="21.75" customHeight="1" spans="2:17">
      <c r="B2" s="470" t="s">
        <v>42</v>
      </c>
      <c r="C2" s="471"/>
      <c r="D2" s="472" t="s">
        <v>43</v>
      </c>
      <c r="E2" s="473"/>
      <c r="F2" s="473"/>
      <c r="G2" s="473"/>
      <c r="H2" s="473"/>
      <c r="I2" s="473"/>
      <c r="J2" s="473"/>
      <c r="K2" s="473"/>
      <c r="L2" s="473"/>
      <c r="M2" s="473"/>
      <c r="N2" s="473"/>
      <c r="O2" s="474"/>
      <c r="Q2" s="168"/>
    </row>
    <row r="3" s="296" customFormat="1" ht="21.75" customHeight="1" spans="2:17">
      <c r="B3" s="475" t="s">
        <v>44</v>
      </c>
      <c r="C3" s="476">
        <v>46022</v>
      </c>
      <c r="D3" s="477"/>
      <c r="E3" s="478"/>
      <c r="F3" s="478"/>
      <c r="G3" s="478"/>
      <c r="H3" s="478"/>
      <c r="I3" s="478"/>
      <c r="J3" s="478"/>
      <c r="K3" s="478"/>
      <c r="L3" s="478"/>
      <c r="M3" s="478"/>
      <c r="N3" s="478"/>
      <c r="O3" s="479"/>
      <c r="Q3" s="168"/>
    </row>
    <row r="4" s="296" customFormat="1" ht="21.75" customHeight="1" spans="2:17">
      <c r="B4" s="475" t="s">
        <v>45</v>
      </c>
      <c r="C4" s="476"/>
      <c r="D4" s="477"/>
      <c r="E4" s="478"/>
      <c r="F4" s="478"/>
      <c r="G4" s="478"/>
      <c r="H4" s="478"/>
      <c r="I4" s="478"/>
      <c r="J4" s="478"/>
      <c r="K4" s="478"/>
      <c r="L4" s="478"/>
      <c r="M4" s="478"/>
      <c r="N4" s="478"/>
      <c r="O4" s="479"/>
      <c r="Q4" s="168"/>
    </row>
    <row r="5" s="296" customFormat="1" ht="21.75" customHeight="1" spans="2:17">
      <c r="B5" s="475" t="s">
        <v>46</v>
      </c>
      <c r="C5" s="480"/>
      <c r="D5" s="477"/>
      <c r="E5" s="478"/>
      <c r="F5" s="478"/>
      <c r="G5" s="478"/>
      <c r="H5" s="478"/>
      <c r="I5" s="478"/>
      <c r="J5" s="478"/>
      <c r="K5" s="478"/>
      <c r="L5" s="478"/>
      <c r="M5" s="478"/>
      <c r="N5" s="478"/>
      <c r="O5" s="479"/>
      <c r="Q5" s="168"/>
    </row>
    <row r="6" s="296" customFormat="1" ht="21.75" customHeight="1" spans="2:17">
      <c r="B6" s="475" t="s">
        <v>47</v>
      </c>
      <c r="C6" s="480"/>
      <c r="D6" s="477"/>
      <c r="E6" s="478"/>
      <c r="F6" s="478"/>
      <c r="G6" s="478"/>
      <c r="H6" s="478"/>
      <c r="I6" s="478"/>
      <c r="J6" s="478"/>
      <c r="K6" s="478"/>
      <c r="L6" s="478"/>
      <c r="M6" s="478"/>
      <c r="N6" s="478"/>
      <c r="O6" s="479"/>
      <c r="Q6" s="168"/>
    </row>
    <row r="7" s="296" customFormat="1" ht="21.75" customHeight="1" spans="2:17">
      <c r="B7" s="481" t="s">
        <v>48</v>
      </c>
      <c r="C7" s="482"/>
      <c r="D7" s="477"/>
      <c r="E7" s="478"/>
      <c r="F7" s="478"/>
      <c r="G7" s="478"/>
      <c r="H7" s="478"/>
      <c r="I7" s="478"/>
      <c r="J7" s="478"/>
      <c r="K7" s="478"/>
      <c r="L7" s="478"/>
      <c r="M7" s="478"/>
      <c r="N7" s="478"/>
      <c r="O7" s="479"/>
      <c r="Q7" s="168"/>
    </row>
    <row r="8" s="296" customFormat="1" ht="21.75" customHeight="1" spans="2:17">
      <c r="B8" s="475" t="s">
        <v>49</v>
      </c>
      <c r="C8" s="483"/>
      <c r="D8" s="477"/>
      <c r="E8" s="478"/>
      <c r="F8" s="478"/>
      <c r="G8" s="478"/>
      <c r="H8" s="478"/>
      <c r="I8" s="478"/>
      <c r="J8" s="478"/>
      <c r="K8" s="478"/>
      <c r="L8" s="478"/>
      <c r="M8" s="478"/>
      <c r="N8" s="478"/>
      <c r="O8" s="479"/>
      <c r="Q8" s="168"/>
    </row>
    <row r="9" s="297" customFormat="1" ht="30" customHeight="1" spans="2:17">
      <c r="B9" s="484" t="s">
        <v>50</v>
      </c>
      <c r="C9" s="485"/>
      <c r="D9" s="485"/>
      <c r="E9" s="485"/>
      <c r="F9" s="485"/>
      <c r="G9" s="485"/>
      <c r="H9" s="485"/>
      <c r="I9" s="485"/>
      <c r="J9" s="486"/>
      <c r="K9" s="485"/>
      <c r="L9" s="485"/>
      <c r="M9" s="485"/>
      <c r="N9" s="485"/>
      <c r="O9" s="487"/>
      <c r="Q9" s="168"/>
    </row>
    <row r="10" s="296" customFormat="1" ht="15" customHeight="1" spans="2:17">
      <c r="Q10" s="168"/>
    </row>
    <row r="11" s="296" customFormat="1" ht="15" customHeight="1" spans="2:17">
      <c r="B11" s="18" t="s">
        <v>51</v>
      </c>
      <c r="Q11" s="168"/>
    </row>
    <row r="12" s="296" customFormat="1" ht="15" customHeight="1" spans="2:17">
      <c r="Q12" s="168"/>
    </row>
    <row r="13" s="296" customFormat="1" ht="15" customHeight="1" spans="2:17">
      <c r="D13" s="488" t="s">
        <v>52</v>
      </c>
      <c r="E13" s="489"/>
      <c r="H13" s="490"/>
      <c r="I13" s="491"/>
      <c r="J13" s="492" t="s">
        <v>53</v>
      </c>
      <c r="K13" s="491"/>
      <c r="L13" s="493"/>
      <c r="Q13" s="168"/>
    </row>
    <row r="14" s="296" customFormat="1" ht="15" customHeight="1" spans="2:17">
      <c r="B14" s="494" t="s">
        <v>54</v>
      </c>
      <c r="C14" s="494" t="s">
        <v>55</v>
      </c>
      <c r="D14" s="494" t="s">
        <v>56</v>
      </c>
      <c r="E14" s="494" t="s">
        <v>57</v>
      </c>
      <c r="H14" s="348" t="s">
        <v>58</v>
      </c>
      <c r="I14" s="495" t="s">
        <v>59</v>
      </c>
      <c r="J14" s="496"/>
      <c r="K14" s="496"/>
      <c r="L14" s="497"/>
      <c r="Q14" s="168"/>
    </row>
    <row r="15" s="296" customFormat="1" ht="15" customHeight="1" spans="2:17">
      <c r="B15" s="498" t="s">
        <v>60</v>
      </c>
      <c r="C15" s="499"/>
      <c r="D15" s="500">
        <f>IF(C15="Minimal",$C$5*100%,IF(C15="Low",$C$5*75%,IF(C15="Moderate",$C$5*50%,IF(C15="High",$C$5*25%,IF(C15="N/A","-",)))))</f>
        <v>0</v>
      </c>
      <c r="E15" s="501">
        <f>MIN($D$15:$D$19)</f>
        <v>0</v>
      </c>
      <c r="H15" s="502" t="s">
        <v>61</v>
      </c>
      <c r="I15" s="495" t="s">
        <v>62</v>
      </c>
      <c r="J15" s="190"/>
      <c r="K15" s="503"/>
      <c r="L15" s="504"/>
      <c r="Q15" s="168"/>
    </row>
    <row r="16" s="296" customFormat="1" ht="15" customHeight="1" spans="2:17">
      <c r="B16" s="505" t="s">
        <v>63</v>
      </c>
      <c r="C16" s="499"/>
      <c r="D16" s="506">
        <f>IF(C16="Minimal",$C$5*100%,IF(C16="Low",$C$5*75%,IF(C16="Moderate",$C$5*50%,IF(C16="High",$C$5*25%,IF(C16="N/A","-",)))))</f>
        <v>0</v>
      </c>
      <c r="E16" s="507"/>
      <c r="H16" s="348" t="s">
        <v>64</v>
      </c>
      <c r="I16" s="508" t="s">
        <v>65</v>
      </c>
      <c r="J16" s="509"/>
      <c r="K16" s="503"/>
      <c r="L16" s="504"/>
      <c r="Q16" s="168"/>
    </row>
    <row r="17" s="296" customFormat="1" ht="15" customHeight="1" spans="2:17">
      <c r="B17" s="498" t="s">
        <v>66</v>
      </c>
      <c r="C17" s="499"/>
      <c r="D17" s="506">
        <f>IF(C17="Minimal",$C$5*100%,IF(C17="Low",$C$5*75%,IF(C17="Moderate",$C$5*50%,IF(C17="High",$C$5*25%,IF(C17="N/A","-",)))))</f>
        <v>0</v>
      </c>
      <c r="E17" s="507"/>
      <c r="H17" s="348" t="s">
        <v>67</v>
      </c>
      <c r="I17" s="508" t="s">
        <v>68</v>
      </c>
      <c r="J17" s="510"/>
      <c r="K17" s="503"/>
      <c r="L17" s="504"/>
      <c r="Q17" s="168"/>
    </row>
    <row r="18" s="296" customFormat="1" ht="15" customHeight="1" spans="2:17">
      <c r="B18" s="498" t="s">
        <v>69</v>
      </c>
      <c r="C18" s="499"/>
      <c r="D18" s="506">
        <f>IF(C18="Minimal",$C$5*100%,IF(C18="Low",$C$5*75%,IF(C18="Moderate",$C$5*50%,IF(C18="High",$C$5*25%,IF(C18="N/A","-",)))))</f>
        <v>0</v>
      </c>
      <c r="E18" s="507"/>
      <c r="H18" s="348" t="s">
        <v>70</v>
      </c>
      <c r="I18" s="495" t="s">
        <v>71</v>
      </c>
      <c r="J18" s="496"/>
      <c r="K18" s="503"/>
      <c r="L18" s="504"/>
      <c r="Q18" s="168"/>
    </row>
    <row r="19" s="296" customFormat="1" ht="15" spans="2:17">
      <c r="B19" s="511" t="s">
        <v>72</v>
      </c>
      <c r="C19" s="499"/>
      <c r="D19" s="506">
        <f>IF(C19="Minimal",$C$5*100%,IF(C19="Low",$C$5*75%,IF(C19="Moderate",$C$5*50%,IF(C19="High",$C$5*25%,IF(C19="N/A","-",)))))</f>
        <v>0</v>
      </c>
      <c r="E19" s="512"/>
      <c r="H19" s="513" t="s">
        <v>73</v>
      </c>
      <c r="I19" s="495" t="s">
        <v>74</v>
      </c>
      <c r="J19" s="503"/>
      <c r="K19" s="503"/>
      <c r="L19" s="504"/>
      <c r="Q19" s="168"/>
    </row>
    <row r="20" s="296" customFormat="1" ht="13.5" customHeight="1" spans="2:17">
      <c r="B20" s="514" t="s">
        <v>75</v>
      </c>
      <c r="C20" s="514"/>
      <c r="D20" s="514"/>
      <c r="E20" s="514"/>
      <c r="H20" s="348" t="s">
        <v>76</v>
      </c>
      <c r="I20" s="495" t="s">
        <v>77</v>
      </c>
      <c r="J20" s="503"/>
      <c r="K20" s="503"/>
      <c r="L20" s="504"/>
      <c r="Q20" s="168"/>
    </row>
    <row r="21" s="296" customFormat="1" ht="16.5" customHeight="1" spans="2:17">
      <c r="B21" s="515" t="s">
        <v>78</v>
      </c>
      <c r="C21" s="516"/>
      <c r="D21" s="516"/>
      <c r="E21" s="516"/>
      <c r="F21" s="517"/>
      <c r="G21" s="517"/>
      <c r="H21" s="513" t="s">
        <v>79</v>
      </c>
      <c r="I21" s="495" t="s">
        <v>80</v>
      </c>
      <c r="J21" s="503"/>
      <c r="K21" s="503"/>
      <c r="L21" s="504"/>
      <c r="Q21" s="168"/>
    </row>
    <row r="22" s="296" customFormat="1" ht="15" customHeight="1" spans="2:17">
      <c r="B22" s="515" t="s">
        <v>81</v>
      </c>
      <c r="C22" s="516"/>
      <c r="D22" s="516"/>
      <c r="E22" s="516"/>
      <c r="F22" s="518"/>
      <c r="G22" s="517"/>
      <c r="H22" s="519" t="s">
        <v>82</v>
      </c>
      <c r="I22" s="495" t="s">
        <v>83</v>
      </c>
      <c r="J22" s="520"/>
      <c r="K22" s="520"/>
      <c r="L22" s="521"/>
      <c r="Q22" s="168"/>
    </row>
    <row r="23" s="296" customFormat="1" ht="16.5" customHeight="1" spans="2:17">
      <c r="B23" s="516" t="s">
        <v>84</v>
      </c>
      <c r="C23" s="516"/>
      <c r="D23" s="516"/>
      <c r="E23" s="516"/>
      <c r="F23" s="518"/>
      <c r="G23" s="517"/>
      <c r="Q23" s="168"/>
    </row>
    <row r="24" s="296" customFormat="1" ht="13" customHeight="1" spans="2:17">
      <c r="B24" s="515" t="s">
        <v>85</v>
      </c>
      <c r="C24" s="516"/>
      <c r="D24" s="516"/>
      <c r="E24" s="516"/>
      <c r="F24" s="518"/>
      <c r="G24" s="517"/>
      <c r="H24" s="101"/>
      <c r="I24" s="65"/>
      <c r="J24" s="65"/>
      <c r="K24" s="65"/>
      <c r="L24" s="65"/>
      <c r="Q24" s="168"/>
    </row>
    <row r="25" s="296" customFormat="1" ht="13.2" spans="2:17">
      <c r="F25" s="517"/>
      <c r="G25" s="517"/>
      <c r="H25" s="517"/>
      <c r="I25" s="517"/>
      <c r="Q25" s="168"/>
    </row>
    <row r="26" s="462" customFormat="1" ht="15" customHeight="1" spans="2:17">
      <c r="B26" s="214" t="s">
        <v>86</v>
      </c>
      <c r="C26" s="522"/>
      <c r="D26" s="522"/>
      <c r="E26" s="522"/>
      <c r="F26" s="522"/>
      <c r="G26" s="522"/>
      <c r="H26" s="523"/>
      <c r="I26" s="524"/>
      <c r="J26" s="524"/>
      <c r="K26" s="522"/>
      <c r="M26" s="296"/>
      <c r="Q26" s="168"/>
    </row>
    <row r="27" s="296" customFormat="1" ht="15" customHeight="1" spans="2:17">
      <c r="B27" s="525" t="s">
        <v>87</v>
      </c>
      <c r="C27" s="526" t="s">
        <v>88</v>
      </c>
      <c r="D27" s="526"/>
      <c r="E27" s="526"/>
      <c r="F27" s="526"/>
      <c r="Q27" s="168"/>
    </row>
    <row r="28" s="296" customFormat="1" ht="15.6" spans="2:17">
      <c r="B28" s="527" t="s">
        <v>89</v>
      </c>
      <c r="C28" s="528"/>
      <c r="D28" s="528"/>
      <c r="E28" s="528"/>
      <c r="F28" s="528"/>
      <c r="Q28" s="168"/>
    </row>
    <row r="29" s="296" customFormat="1" ht="15.6" spans="2:17">
      <c r="B29" s="527" t="s">
        <v>90</v>
      </c>
      <c r="C29" s="528"/>
      <c r="D29" s="528"/>
      <c r="E29" s="528"/>
      <c r="F29" s="528"/>
      <c r="Q29" s="168"/>
    </row>
    <row r="30" s="296" customFormat="1" ht="15.6" spans="2:17">
      <c r="B30" s="527" t="s">
        <v>91</v>
      </c>
      <c r="C30" s="528"/>
      <c r="D30" s="528"/>
      <c r="E30" s="528"/>
      <c r="F30" s="528"/>
      <c r="Q30" s="168"/>
    </row>
    <row r="31" s="296" customFormat="1" ht="15.6" spans="2:17">
      <c r="B31" s="529" t="s">
        <v>92</v>
      </c>
      <c r="C31" s="528"/>
      <c r="D31" s="528"/>
      <c r="E31" s="528"/>
      <c r="F31" s="528"/>
      <c r="Q31" s="168"/>
    </row>
    <row r="32" s="296" customFormat="1" ht="15.6" spans="2:17">
      <c r="B32" s="527" t="s">
        <v>93</v>
      </c>
      <c r="C32" s="528"/>
      <c r="D32" s="528"/>
      <c r="E32" s="528"/>
      <c r="F32" s="528"/>
      <c r="Q32" s="168"/>
    </row>
    <row r="33" s="296" customFormat="1" ht="15.6" spans="1:38">
      <c r="B33" s="527" t="s">
        <v>94</v>
      </c>
      <c r="C33" s="528"/>
      <c r="D33" s="528"/>
      <c r="E33" s="528"/>
      <c r="F33" s="528"/>
      <c r="Q33" s="168"/>
    </row>
    <row r="34" s="296" customFormat="1" ht="15.6" spans="1:38">
      <c r="B34" s="527" t="s">
        <v>95</v>
      </c>
      <c r="C34" s="528"/>
      <c r="D34" s="528"/>
      <c r="E34" s="528"/>
      <c r="F34" s="528"/>
      <c r="Q34" s="168"/>
    </row>
    <row r="35" s="296" customFormat="1" ht="15" customHeight="1" spans="1:38">
      <c r="B35" s="530"/>
      <c r="C35" s="531"/>
      <c r="D35" s="531"/>
      <c r="E35" s="531"/>
      <c r="F35" s="531"/>
      <c r="Q35" s="168"/>
    </row>
    <row r="36" s="296" customFormat="1" ht="15" customHeight="1" spans="1:38">
      <c r="D36" s="531"/>
      <c r="E36" s="531"/>
      <c r="F36" s="531"/>
      <c r="G36" s="532"/>
      <c r="H36" s="533"/>
      <c r="L36" s="534"/>
      <c r="N36" s="535"/>
      <c r="Q36" s="168"/>
    </row>
    <row r="37" s="296" customFormat="1" ht="15" customHeight="1" spans="1:38">
      <c r="B37" s="536" t="s">
        <v>96</v>
      </c>
      <c r="C37" s="489"/>
      <c r="D37" s="537"/>
      <c r="E37" s="538"/>
      <c r="F37" s="538"/>
      <c r="G37" s="538"/>
      <c r="H37" s="538"/>
      <c r="I37" s="538"/>
      <c r="J37" s="538"/>
      <c r="K37" s="538"/>
      <c r="N37" s="535"/>
      <c r="Q37" s="168"/>
    </row>
    <row r="38" s="296" customFormat="1" ht="15" customHeight="1" spans="1:38">
      <c r="B38" s="539" t="str">
        <f>"波动幅度 ("&amp;C8&amp;"):"</f>
        <v>波动幅度 ():</v>
      </c>
      <c r="C38" s="540">
        <f>$E$15</f>
        <v>0</v>
      </c>
      <c r="D38" s="541"/>
      <c r="N38" s="535"/>
      <c r="Q38" s="168"/>
    </row>
    <row r="39" s="463" customFormat="1" ht="15" customHeight="1" spans="1:38">
      <c r="B39" s="539" t="s">
        <v>97</v>
      </c>
      <c r="C39" s="542">
        <v>0.1</v>
      </c>
      <c r="D39" s="543"/>
      <c r="M39" s="296"/>
      <c r="N39" s="544"/>
      <c r="Q39" s="168"/>
    </row>
    <row r="40" s="458" customFormat="1" ht="17.4" spans="1:38">
      <c r="B40" s="545"/>
      <c r="C40" s="545"/>
      <c r="D40" s="546"/>
      <c r="E40" s="546"/>
      <c r="F40" s="547"/>
      <c r="G40" s="547"/>
      <c r="H40" s="548"/>
      <c r="O40" s="200"/>
      <c r="Q40" s="168"/>
      <c r="S40" s="200"/>
      <c r="T40" s="549"/>
      <c r="AK40" s="200"/>
      <c r="AL40" s="549"/>
    </row>
    <row r="41" s="464" customFormat="1" ht="15" customHeight="1" spans="1:38">
      <c r="B41" s="550" t="s">
        <v>98</v>
      </c>
      <c r="C41" s="551"/>
      <c r="D41" s="551"/>
      <c r="Q41" s="552"/>
      <c r="R41" s="553"/>
    </row>
    <row r="42" s="464" customFormat="1" ht="15" customHeight="1" spans="1:38">
      <c r="B42" s="554" t="s">
        <v>99</v>
      </c>
      <c r="C42" s="551"/>
      <c r="D42" s="551"/>
      <c r="Q42" s="552"/>
      <c r="R42" s="553"/>
    </row>
    <row r="43" s="3" customFormat="1" ht="13.2" spans="1:38">
      <c r="B43" s="555"/>
      <c r="C43" s="556"/>
      <c r="D43" s="556"/>
      <c r="E43" s="556"/>
      <c r="F43" s="101"/>
      <c r="G43" s="556"/>
      <c r="I43" s="458"/>
      <c r="J43" s="458"/>
      <c r="K43" s="557"/>
      <c r="L43" s="557"/>
      <c r="M43" s="557"/>
      <c r="N43" s="557"/>
      <c r="O43" s="557"/>
      <c r="Q43" s="168"/>
    </row>
    <row r="44" s="296" customFormat="1" ht="15" customHeight="1" spans="1:38">
      <c r="A44" s="65"/>
      <c r="B44" s="65"/>
      <c r="C44" s="558"/>
      <c r="D44" s="558"/>
      <c r="K44" s="558"/>
      <c r="L44" s="558"/>
      <c r="M44" s="558"/>
      <c r="N44" s="558"/>
      <c r="O44" s="558"/>
      <c r="Q44" s="168"/>
    </row>
    <row r="45" s="296" customFormat="1" ht="15" customHeight="1" spans="1:38">
      <c r="A45" s="65"/>
      <c r="B45" s="255"/>
      <c r="C45" s="255"/>
      <c r="D45" s="101"/>
      <c r="E45" s="101" t="s">
        <v>100</v>
      </c>
      <c r="F45" s="101"/>
      <c r="G45" s="101"/>
      <c r="H45" s="101"/>
      <c r="I45" s="65"/>
      <c r="J45" s="559" t="s">
        <v>101</v>
      </c>
      <c r="K45" s="560"/>
      <c r="L45" s="560"/>
      <c r="M45" s="560"/>
      <c r="N45" s="561"/>
      <c r="O45" s="561"/>
      <c r="Q45" s="168"/>
    </row>
    <row r="46" s="247" customFormat="1" ht="15" customHeight="1" spans="1:38">
      <c r="B46" s="65"/>
      <c r="C46" s="65"/>
      <c r="D46" s="65"/>
      <c r="E46" s="562" t="str">
        <f>"货币/单位: "&amp;C8</f>
        <v>货币/单位: </v>
      </c>
      <c r="F46" s="563"/>
      <c r="G46" s="563"/>
      <c r="H46" s="563"/>
      <c r="I46" s="563"/>
      <c r="J46" s="564"/>
      <c r="K46" s="559"/>
      <c r="L46" s="559"/>
      <c r="M46" s="558"/>
      <c r="N46" s="558"/>
      <c r="O46" s="565"/>
      <c r="Q46" s="240"/>
    </row>
    <row r="47" s="296" customFormat="1" ht="15" customHeight="1" spans="1:38">
      <c r="A47" s="65"/>
      <c r="B47" s="566"/>
      <c r="C47" s="566"/>
      <c r="D47" s="566"/>
      <c r="E47" s="567">
        <f>$C$3</f>
        <v>46022</v>
      </c>
      <c r="F47" s="568"/>
      <c r="G47" s="568"/>
      <c r="H47" s="568"/>
      <c r="I47" s="569"/>
      <c r="J47" s="570">
        <f>DATE(YEAR($C$3)-1,12,31)</f>
        <v>45657</v>
      </c>
      <c r="K47" s="571" t="s">
        <v>102</v>
      </c>
      <c r="L47" s="572"/>
      <c r="M47" s="573"/>
      <c r="N47" s="574" t="s">
        <v>103</v>
      </c>
      <c r="O47" s="574" t="s">
        <v>104</v>
      </c>
      <c r="Q47" s="168"/>
    </row>
    <row r="48" s="296" customFormat="1" ht="15" customHeight="1" spans="1:38">
      <c r="A48" s="65"/>
      <c r="B48" s="575" t="s">
        <v>105</v>
      </c>
      <c r="C48" s="575" t="s">
        <v>106</v>
      </c>
      <c r="D48" s="575" t="s">
        <v>107</v>
      </c>
      <c r="E48" s="576" t="s">
        <v>108</v>
      </c>
      <c r="F48" s="577" t="s">
        <v>109</v>
      </c>
      <c r="G48" s="577" t="s">
        <v>110</v>
      </c>
      <c r="H48" s="577" t="s">
        <v>111</v>
      </c>
      <c r="I48" s="576" t="s">
        <v>112</v>
      </c>
      <c r="J48" s="576" t="s">
        <v>113</v>
      </c>
      <c r="K48" s="578" t="s">
        <v>114</v>
      </c>
      <c r="L48" s="577" t="s">
        <v>115</v>
      </c>
      <c r="M48" s="579" t="s">
        <v>116</v>
      </c>
      <c r="N48" s="580"/>
      <c r="O48" s="580"/>
      <c r="Q48" s="168"/>
    </row>
    <row r="49" s="463" customFormat="1" ht="15" customHeight="1" spans="1:17">
      <c r="A49" s="65"/>
      <c r="B49" s="581"/>
      <c r="C49" s="582" t="s">
        <v>117</v>
      </c>
      <c r="D49" s="187" t="s">
        <v>11</v>
      </c>
      <c r="E49" s="583">
        <f>'K.01 Agree SL to GL'!Z42</f>
        <v>0</v>
      </c>
      <c r="F49" s="583"/>
      <c r="G49" s="188">
        <f>E49+F49</f>
        <v>0</v>
      </c>
      <c r="H49" s="583"/>
      <c r="I49" s="188">
        <f>G49+H49</f>
        <v>0</v>
      </c>
      <c r="J49" s="584"/>
      <c r="K49" s="188">
        <f>I49-J49</f>
        <v>0</v>
      </c>
      <c r="L49" s="585">
        <f>IF(J49&lt;&gt;0,K49/J49,1)</f>
        <v>1</v>
      </c>
      <c r="M49" s="86" t="s">
        <v>118</v>
      </c>
      <c r="N49" s="586" t="str">
        <f>IF(AND(ABS(K49)&gt;=$C$38,ABS(L49)&gt;=$C$39),"是","否")</f>
        <v>是</v>
      </c>
      <c r="O49" s="587"/>
      <c r="Q49" s="588"/>
    </row>
    <row r="50" s="296" customFormat="1" ht="15" customHeight="1" spans="1:17">
      <c r="A50" s="65"/>
      <c r="B50" s="581"/>
      <c r="C50" s="582" t="s">
        <v>119</v>
      </c>
      <c r="D50" s="187" t="s">
        <v>11</v>
      </c>
      <c r="E50" s="583">
        <f>'K.01 Agree SL to GL'!Z44</f>
        <v>0</v>
      </c>
      <c r="F50" s="583"/>
      <c r="G50" s="188">
        <f>E50+F50</f>
        <v>0</v>
      </c>
      <c r="H50" s="583"/>
      <c r="I50" s="188">
        <f>G50+H50</f>
        <v>0</v>
      </c>
      <c r="J50" s="584"/>
      <c r="K50" s="188">
        <f>I50-J50</f>
        <v>0</v>
      </c>
      <c r="L50" s="585">
        <f>IF(J50&lt;&gt;0,K50/J50,1)</f>
        <v>1</v>
      </c>
      <c r="M50" s="589"/>
      <c r="N50" s="586" t="str">
        <f>IF(AND(ABS(K50)&gt;=$C$38,ABS(L50)&gt;=$C$39),"是","否")</f>
        <v>是</v>
      </c>
      <c r="O50" s="587"/>
      <c r="Q50" s="168"/>
    </row>
    <row r="51" s="296" customFormat="1" ht="15" customHeight="1" spans="1:17">
      <c r="A51" s="65"/>
      <c r="B51" s="581"/>
      <c r="C51" s="582" t="s">
        <v>120</v>
      </c>
      <c r="D51" s="187" t="s">
        <v>11</v>
      </c>
      <c r="E51" s="583">
        <f>'K.01 Agree SL to GL'!Z46</f>
        <v>0</v>
      </c>
      <c r="F51" s="583"/>
      <c r="G51" s="188">
        <f>E51+F51</f>
        <v>0</v>
      </c>
      <c r="H51" s="583"/>
      <c r="I51" s="188">
        <f>G51+H51</f>
        <v>0</v>
      </c>
      <c r="J51" s="584"/>
      <c r="K51" s="188">
        <f>I51-J51</f>
        <v>0</v>
      </c>
      <c r="L51" s="585">
        <f t="shared" ref="L51" si="0">IF(J51&lt;&gt;0,K51/J51,1)</f>
        <v>1</v>
      </c>
      <c r="M51" s="589"/>
      <c r="N51" s="586" t="str">
        <f>IF(AND(ABS(K51)&gt;=$C$38,ABS(L51)&gt;=$C$39),"是","否")</f>
        <v>是</v>
      </c>
      <c r="O51" s="587"/>
      <c r="Q51" s="168"/>
    </row>
    <row r="52" s="296" customFormat="1" ht="15" customHeight="1" spans="1:17">
      <c r="A52" s="65"/>
      <c r="B52" s="590"/>
      <c r="C52" s="591"/>
      <c r="D52" s="592"/>
      <c r="E52" s="593"/>
      <c r="F52" s="593"/>
      <c r="G52" s="594"/>
      <c r="H52" s="593"/>
      <c r="I52" s="594"/>
      <c r="J52" s="595"/>
      <c r="K52" s="596"/>
      <c r="L52" s="585"/>
      <c r="M52" s="597"/>
      <c r="N52" s="598"/>
      <c r="O52" s="599"/>
      <c r="Q52" s="168"/>
    </row>
    <row r="53" s="296" customFormat="1" ht="15" customHeight="1" spans="1:17">
      <c r="A53" s="65"/>
      <c r="B53" s="65"/>
      <c r="C53" s="591" t="s">
        <v>121</v>
      </c>
      <c r="D53" s="255"/>
      <c r="E53" s="600">
        <f>E49-E50-E51</f>
        <v>0</v>
      </c>
      <c r="F53" s="600">
        <f t="shared" ref="F53:G53" si="1">F49-F50-F51</f>
        <v>0</v>
      </c>
      <c r="G53" s="600">
        <f t="shared" si="1"/>
        <v>0</v>
      </c>
      <c r="H53" s="600"/>
      <c r="I53" s="600">
        <f t="shared" ref="I53:K53" si="2">I49-I50-I51</f>
        <v>0</v>
      </c>
      <c r="J53" s="600">
        <f t="shared" si="2"/>
        <v>0</v>
      </c>
      <c r="K53" s="600">
        <f t="shared" si="2"/>
        <v>0</v>
      </c>
      <c r="L53" s="601">
        <f>IF(J53&lt;&gt;0,K53/J53,1)</f>
        <v>1</v>
      </c>
      <c r="M53" s="187"/>
      <c r="N53" s="586" t="str">
        <f>IF(AND(ABS(K53)&gt;=$C$38,ABS(L53)&gt;=$C$39),"是","否")</f>
        <v>是</v>
      </c>
      <c r="O53" s="587"/>
      <c r="Q53" s="168"/>
    </row>
    <row r="54" s="296" customFormat="1" ht="15" customHeight="1" spans="1:17">
      <c r="A54" s="65"/>
      <c r="B54" s="65"/>
      <c r="C54" s="591"/>
      <c r="D54" s="255"/>
      <c r="E54" s="602"/>
      <c r="F54" s="602"/>
      <c r="G54" s="602"/>
      <c r="H54" s="602"/>
      <c r="I54" s="602"/>
      <c r="J54" s="602"/>
      <c r="K54" s="602"/>
      <c r="L54" s="603"/>
      <c r="M54" s="187"/>
      <c r="N54" s="598"/>
      <c r="O54" s="599"/>
      <c r="Q54" s="168"/>
    </row>
    <row r="55" s="296" customFormat="1" ht="15" customHeight="1" spans="1:17">
      <c r="A55" s="65"/>
      <c r="B55" s="65"/>
      <c r="C55" s="57" t="s">
        <v>122</v>
      </c>
      <c r="D55" s="255"/>
      <c r="E55"/>
      <c r="F55" s="602"/>
      <c r="G55" s="584"/>
      <c r="H55" s="602"/>
      <c r="I55" s="584"/>
      <c r="J55" s="584"/>
      <c r="K55" s="604"/>
      <c r="L55" s="604"/>
      <c r="M55" s="187"/>
      <c r="N55" s="65"/>
      <c r="O55" s="65"/>
      <c r="Q55" s="168"/>
    </row>
    <row r="56" s="296" customFormat="1" ht="15" customHeight="1" spans="1:17">
      <c r="A56" s="65"/>
      <c r="B56" s="65"/>
      <c r="C56" s="57" t="s">
        <v>123</v>
      </c>
      <c r="D56" s="84"/>
      <c r="E56"/>
      <c r="F56" s="593"/>
      <c r="G56" s="188">
        <f>G53-G55</f>
        <v>0</v>
      </c>
      <c r="H56" s="593"/>
      <c r="I56" s="188">
        <f>I53-I55</f>
        <v>0</v>
      </c>
      <c r="J56" s="188">
        <f>J53-J55</f>
        <v>0</v>
      </c>
      <c r="K56" s="605"/>
      <c r="L56" s="84"/>
      <c r="M56" s="84"/>
      <c r="N56" s="84"/>
      <c r="O56" s="84"/>
      <c r="Q56" s="588"/>
    </row>
    <row r="57" s="296" customFormat="1" ht="15" customHeight="1" spans="1:17">
      <c r="A57" s="65"/>
      <c r="B57" s="65"/>
      <c r="C57" s="57"/>
      <c r="D57" s="84"/>
      <c r="E57"/>
      <c r="F57" s="593"/>
      <c r="G57" s="606"/>
      <c r="H57" s="593"/>
      <c r="I57" s="606"/>
      <c r="J57" s="606"/>
      <c r="K57" s="605"/>
      <c r="L57" s="84"/>
      <c r="M57" s="84"/>
      <c r="N57" s="84"/>
      <c r="O57" s="84"/>
      <c r="Q57" s="588"/>
    </row>
    <row r="58" s="3" customFormat="1" customHeight="1" spans="1:17">
      <c r="B58" s="607" t="s">
        <v>124</v>
      </c>
      <c r="C58" s="195"/>
      <c r="D58" s="101"/>
      <c r="E58" s="101"/>
      <c r="F58" s="101"/>
      <c r="G58" s="58"/>
      <c r="H58" s="458"/>
      <c r="I58" s="557"/>
      <c r="J58" s="557"/>
      <c r="K58" s="557"/>
      <c r="L58" s="557"/>
      <c r="M58" s="557"/>
      <c r="N58" s="557"/>
      <c r="O58" s="608"/>
      <c r="Q58" s="588"/>
    </row>
    <row r="59" s="3" customFormat="1" customHeight="1" spans="1:17">
      <c r="B59" s="609" t="s">
        <v>118</v>
      </c>
      <c r="C59" s="609"/>
      <c r="D59" s="609"/>
      <c r="E59" s="609"/>
      <c r="F59" s="609"/>
      <c r="G59" s="101"/>
      <c r="H59" s="58"/>
      <c r="I59" s="458"/>
      <c r="J59" s="458"/>
      <c r="K59" s="557"/>
      <c r="L59" s="557"/>
      <c r="M59" s="557"/>
      <c r="N59" s="557"/>
      <c r="O59" s="557"/>
      <c r="Q59" s="588"/>
    </row>
    <row r="60" s="3" customFormat="1" customHeight="1" spans="1:17">
      <c r="B60" s="609"/>
      <c r="C60" s="609"/>
      <c r="D60" s="609"/>
      <c r="E60" s="609"/>
      <c r="F60" s="609"/>
      <c r="G60" s="101"/>
      <c r="H60" s="58"/>
      <c r="I60" s="458"/>
      <c r="J60" s="458"/>
      <c r="K60" s="557"/>
      <c r="L60" s="557"/>
      <c r="M60" s="557"/>
      <c r="N60" s="557"/>
      <c r="O60" s="557"/>
      <c r="Q60" s="588"/>
    </row>
    <row r="61" s="3" customFormat="1" customHeight="1" spans="1:17">
      <c r="B61" s="609"/>
      <c r="C61" s="609"/>
      <c r="D61" s="609"/>
      <c r="E61" s="609"/>
      <c r="F61" s="609"/>
      <c r="G61" s="101"/>
      <c r="H61" s="58"/>
      <c r="I61" s="458"/>
      <c r="J61" s="458"/>
      <c r="K61" s="557"/>
      <c r="L61" s="557"/>
      <c r="M61" s="557"/>
      <c r="N61" s="557"/>
      <c r="O61" s="557"/>
      <c r="Q61" s="588"/>
    </row>
    <row r="62" s="3" customFormat="1" customHeight="1" spans="1:17">
      <c r="B62" s="609"/>
      <c r="C62" s="609"/>
      <c r="D62" s="609"/>
      <c r="E62" s="609"/>
      <c r="F62" s="609"/>
      <c r="G62" s="101"/>
      <c r="H62" s="58"/>
      <c r="I62" s="458"/>
      <c r="J62" s="458"/>
      <c r="K62" s="557"/>
      <c r="L62" s="557"/>
      <c r="M62" s="557"/>
      <c r="N62" s="557"/>
      <c r="O62" s="557"/>
      <c r="Q62" s="588"/>
    </row>
    <row r="63" s="3" customFormat="1" customHeight="1" spans="1:17">
      <c r="B63" s="423"/>
      <c r="C63" s="423"/>
      <c r="D63" s="423"/>
      <c r="E63" s="423"/>
      <c r="F63" s="423"/>
      <c r="G63" s="101"/>
      <c r="H63" s="58"/>
      <c r="I63" s="458"/>
      <c r="J63" s="458"/>
      <c r="K63" s="557"/>
      <c r="L63" s="557"/>
      <c r="M63" s="557"/>
      <c r="N63" s="557"/>
      <c r="O63" s="557"/>
      <c r="Q63" s="588"/>
    </row>
    <row r="64" s="3" customFormat="1" customHeight="1" spans="1:17">
      <c r="B64" s="591" t="s">
        <v>125</v>
      </c>
      <c r="C64" s="187"/>
      <c r="D64" s="298"/>
      <c r="E64" s="298"/>
      <c r="F64" s="423"/>
      <c r="G64" s="101"/>
      <c r="H64" s="58"/>
      <c r="I64" s="458"/>
      <c r="J64" s="458"/>
      <c r="K64" s="557"/>
      <c r="L64" s="557"/>
      <c r="M64" s="557"/>
      <c r="N64" s="557"/>
      <c r="O64" s="557"/>
      <c r="Q64" s="588"/>
    </row>
    <row r="65" s="3" customFormat="1" customHeight="1" spans="1:17">
      <c r="B65" s="84" t="s">
        <v>126</v>
      </c>
      <c r="C65" s="187"/>
      <c r="D65" s="298"/>
      <c r="E65" s="298"/>
      <c r="F65" s="423"/>
      <c r="G65" s="101"/>
      <c r="H65" s="58"/>
      <c r="I65" s="458"/>
      <c r="J65" s="458"/>
      <c r="K65" s="557"/>
      <c r="L65" s="557"/>
      <c r="M65" s="557"/>
      <c r="N65" s="557"/>
      <c r="O65" s="557"/>
      <c r="Q65" s="588"/>
    </row>
    <row r="66" s="3" customFormat="1" customHeight="1" spans="1:17">
      <c r="B66" s="610"/>
      <c r="C66" s="611"/>
      <c r="D66" s="611"/>
      <c r="E66" s="611"/>
      <c r="F66" s="612"/>
      <c r="G66" s="101"/>
      <c r="H66" s="58"/>
      <c r="I66" s="458"/>
      <c r="J66" s="458"/>
      <c r="K66" s="557"/>
      <c r="L66" s="557"/>
      <c r="M66" s="557"/>
      <c r="N66" s="557"/>
      <c r="O66" s="557"/>
      <c r="Q66" s="588"/>
    </row>
    <row r="67" s="3" customFormat="1" customHeight="1" spans="1:17">
      <c r="B67" s="613"/>
      <c r="C67" s="614"/>
      <c r="D67" s="614"/>
      <c r="E67" s="614"/>
      <c r="F67" s="615"/>
      <c r="G67" s="101"/>
      <c r="H67" s="58"/>
      <c r="I67" s="458"/>
      <c r="J67" s="458"/>
      <c r="K67" s="557"/>
      <c r="L67" s="557"/>
      <c r="M67" s="557"/>
      <c r="N67" s="557"/>
      <c r="O67" s="557"/>
      <c r="Q67" s="588"/>
    </row>
    <row r="68" s="3" customFormat="1" customHeight="1" spans="1:17">
      <c r="B68" s="616"/>
      <c r="C68" s="617"/>
      <c r="D68" s="617"/>
      <c r="E68" s="617"/>
      <c r="F68" s="618"/>
      <c r="G68" s="101"/>
      <c r="H68" s="58"/>
      <c r="I68" s="458"/>
      <c r="J68" s="458"/>
      <c r="K68" s="557"/>
      <c r="L68" s="557"/>
      <c r="M68" s="557"/>
      <c r="N68" s="557"/>
      <c r="O68" s="557"/>
      <c r="Q68" s="588"/>
    </row>
    <row r="69" s="3" customFormat="1" ht="15" customHeight="1" spans="1:17">
      <c r="B69" s="619"/>
      <c r="C69" s="620"/>
      <c r="D69" s="101"/>
      <c r="E69" s="101"/>
      <c r="F69" s="101"/>
      <c r="G69" s="101"/>
      <c r="H69" s="58"/>
      <c r="I69" s="458"/>
      <c r="J69" s="458"/>
      <c r="K69" s="557"/>
      <c r="L69" s="557"/>
      <c r="M69" s="557"/>
      <c r="N69" s="557"/>
      <c r="O69" s="557"/>
      <c r="Q69" s="588"/>
    </row>
    <row r="70" ht="7.5" customHeight="1" spans="1:17">
      <c r="A70" s="588"/>
      <c r="B70" s="588"/>
      <c r="C70" s="588"/>
      <c r="D70" s="588"/>
      <c r="E70" s="588"/>
      <c r="F70" s="588"/>
      <c r="G70" s="588"/>
      <c r="H70" s="588"/>
      <c r="I70" s="588"/>
      <c r="J70" s="588"/>
      <c r="K70" s="588"/>
      <c r="L70" s="588"/>
      <c r="M70" s="588"/>
      <c r="N70" s="588"/>
      <c r="O70" s="588"/>
      <c r="P70" s="588"/>
      <c r="Q70" s="588"/>
    </row>
    <row r="71" customHeight="1" spans="1:17">
      <c r="A71" s="294"/>
    </row>
    <row r="72" customHeight="1" spans="1:17">
      <c r="A72" s="294"/>
    </row>
    <row r="73" customHeight="1" spans="1:17">
      <c r="A73" s="294"/>
    </row>
    <row r="74" customHeight="1" spans="1:17">
      <c r="A74" s="294"/>
    </row>
    <row r="75" customHeight="1" spans="1:17">
      <c r="A75" s="294"/>
    </row>
    <row r="76" customHeight="1" spans="1:17">
      <c r="A76" s="294"/>
    </row>
    <row r="77" customHeight="1" spans="1:17">
      <c r="A77" s="294"/>
    </row>
    <row r="78" customHeight="1" spans="1:17">
      <c r="A78" s="294"/>
    </row>
    <row r="79" customHeight="1" spans="1:17">
      <c r="A79" s="294"/>
    </row>
    <row r="80" customHeight="1" spans="1:17">
      <c r="A80" s="294"/>
    </row>
    <row r="81" customHeight="1" spans="1:1">
      <c r="A81" s="294"/>
    </row>
    <row r="82" customHeight="1" spans="1:1">
      <c r="A82" s="294"/>
    </row>
    <row r="83" customHeight="1" spans="1:1">
      <c r="A83" s="294"/>
    </row>
    <row r="84" customHeight="1" spans="1:1">
      <c r="A84" s="294"/>
    </row>
    <row r="85" customHeight="1" spans="1:1">
      <c r="A85" s="294"/>
    </row>
    <row r="86" customHeight="1" spans="1:1">
      <c r="A86" s="294"/>
    </row>
    <row r="87" customHeight="1" spans="1:1">
      <c r="A87" s="294"/>
    </row>
    <row r="88" customHeight="1" spans="1:1">
      <c r="A88" s="294"/>
    </row>
    <row r="89" customHeight="1" spans="1:1">
      <c r="A89" s="294"/>
    </row>
    <row r="90" customHeight="1" spans="1:1">
      <c r="A90" s="294"/>
    </row>
    <row r="91" customHeight="1" spans="1:1">
      <c r="A91" s="294"/>
    </row>
    <row r="92" customHeight="1" spans="1:1">
      <c r="A92" s="294"/>
    </row>
    <row r="93" customHeight="1" spans="1:1">
      <c r="A93" s="294"/>
    </row>
    <row r="94" customHeight="1" spans="1:1">
      <c r="A94" s="294"/>
    </row>
    <row r="95" customHeight="1" spans="1:1">
      <c r="A95" s="294"/>
    </row>
    <row r="96" customHeight="1" spans="1:1">
      <c r="A96" s="294"/>
    </row>
    <row r="97" customHeight="1" spans="1:1">
      <c r="A97" s="294"/>
    </row>
    <row r="98" customHeight="1" spans="1:1">
      <c r="A98" s="294"/>
    </row>
    <row r="99" customHeight="1" spans="1:1">
      <c r="A99" s="294"/>
    </row>
    <row r="100" customHeight="1" spans="1:1">
      <c r="A100" s="294"/>
    </row>
    <row r="101" customHeight="1" spans="1:1">
      <c r="A101" s="294"/>
    </row>
    <row r="102" customHeight="1" spans="1:1">
      <c r="A102" s="294"/>
    </row>
    <row r="103" customHeight="1" spans="1:1">
      <c r="A103" s="294"/>
    </row>
    <row r="104" customHeight="1" spans="1:1">
      <c r="A104" s="294"/>
    </row>
    <row r="105" customHeight="1" spans="1:1">
      <c r="A105" s="294"/>
    </row>
    <row r="106" customHeight="1" spans="1:1">
      <c r="A106" s="294"/>
    </row>
    <row r="107" customHeight="1" spans="1:1">
      <c r="A107" s="294"/>
    </row>
    <row r="108" customHeight="1" spans="1:1">
      <c r="A108" s="294"/>
    </row>
    <row r="109" customHeight="1" spans="1:1">
      <c r="A109" s="294"/>
    </row>
    <row r="110" customHeight="1" spans="1:1">
      <c r="A110" s="294"/>
    </row>
    <row r="111" customHeight="1" spans="1:1">
      <c r="A111" s="294"/>
    </row>
    <row r="112" customHeight="1" spans="1:1">
      <c r="A112" s="294"/>
    </row>
    <row r="113" customHeight="1" spans="1:1">
      <c r="A113" s="294"/>
    </row>
    <row r="114" customHeight="1" spans="1:1">
      <c r="A114" s="294"/>
    </row>
    <row r="115" customHeight="1" spans="1:1">
      <c r="A115" s="294"/>
    </row>
    <row r="116" customHeight="1" spans="1:1">
      <c r="A116" s="294"/>
    </row>
    <row r="117" customHeight="1" spans="1:1">
      <c r="A117" s="294"/>
    </row>
    <row r="118" customHeight="1" spans="1:1">
      <c r="A118" s="294"/>
    </row>
    <row r="119" customHeight="1" spans="1:1">
      <c r="A119" s="294"/>
    </row>
    <row r="120" customHeight="1" spans="1:1">
      <c r="A120" s="294"/>
    </row>
    <row r="121" customHeight="1" spans="1:1">
      <c r="A121" s="294"/>
    </row>
    <row r="122" customHeight="1" spans="1:1">
      <c r="A122" s="294"/>
    </row>
    <row r="123" customHeight="1" spans="1:1">
      <c r="A123" s="294"/>
    </row>
    <row r="124" customHeight="1" spans="1:1">
      <c r="A124" s="294"/>
    </row>
    <row r="125" customHeight="1" spans="1:1">
      <c r="A125" s="294"/>
    </row>
    <row r="126" customHeight="1" spans="1:1">
      <c r="A126" s="294"/>
    </row>
    <row r="127" customHeight="1" spans="1:1">
      <c r="A127" s="294"/>
    </row>
    <row r="128" customHeight="1" spans="1:1">
      <c r="A128" s="294"/>
    </row>
    <row r="129" customHeight="1" spans="1:1">
      <c r="A129" s="294"/>
    </row>
    <row r="130" customHeight="1" spans="1:1">
      <c r="A130" s="294"/>
    </row>
    <row r="131" customHeight="1" spans="1:1">
      <c r="A131" s="294"/>
    </row>
    <row r="132" customHeight="1" spans="1:1">
      <c r="A132" s="294"/>
    </row>
    <row r="133" customHeight="1" spans="1:1">
      <c r="A133" s="294"/>
    </row>
    <row r="134" customHeight="1" spans="1:1">
      <c r="A134" s="294"/>
    </row>
    <row r="135" customHeight="1" spans="1:1">
      <c r="A135" s="294"/>
    </row>
    <row r="136" customHeight="1" spans="1:1">
      <c r="A136" s="294"/>
    </row>
    <row r="137" customHeight="1" spans="1:1">
      <c r="A137" s="294"/>
    </row>
    <row r="138" customHeight="1" spans="1:1">
      <c r="A138" s="294"/>
    </row>
    <row r="139" customHeight="1" spans="1:1">
      <c r="A139" s="294"/>
    </row>
    <row r="140" customHeight="1" spans="1:1">
      <c r="A140" s="294"/>
    </row>
    <row r="141" customHeight="1" spans="1:1">
      <c r="A141" s="294"/>
    </row>
    <row r="142" customHeight="1" spans="1:1">
      <c r="A142" s="294"/>
    </row>
    <row r="143" customHeight="1" spans="1:1">
      <c r="A143" s="294"/>
    </row>
    <row r="144" customHeight="1" spans="1:1">
      <c r="A144" s="294"/>
    </row>
    <row r="145" customHeight="1" spans="1:1">
      <c r="A145" s="294"/>
    </row>
    <row r="146" customHeight="1" spans="1:1">
      <c r="A146" s="294"/>
    </row>
    <row r="147" customHeight="1" spans="1:1">
      <c r="A147" s="294"/>
    </row>
    <row r="148" customHeight="1" spans="1:1">
      <c r="A148" s="294"/>
    </row>
    <row r="149" customHeight="1" spans="1:1">
      <c r="A149" s="294"/>
    </row>
    <row r="150" customHeight="1" spans="1:1">
      <c r="A150" s="294"/>
    </row>
    <row r="151" customHeight="1" spans="1:1">
      <c r="A151" s="294"/>
    </row>
    <row r="152" customHeight="1" spans="1:1">
      <c r="A152" s="294"/>
    </row>
    <row r="153" customHeight="1" spans="1:1">
      <c r="A153" s="294"/>
    </row>
    <row r="154" customHeight="1" spans="1:1">
      <c r="A154" s="294"/>
    </row>
    <row r="155" customHeight="1" spans="1:1">
      <c r="A155" s="294"/>
    </row>
    <row r="156" customHeight="1" spans="1:1">
      <c r="A156" s="294"/>
    </row>
    <row r="157" customHeight="1" spans="1:1">
      <c r="A157" s="294"/>
    </row>
    <row r="158" customHeight="1" spans="1:1">
      <c r="A158" s="294"/>
    </row>
    <row r="159" customHeight="1" spans="1:1">
      <c r="A159" s="294"/>
    </row>
    <row r="160" customHeight="1" spans="1:1">
      <c r="A160" s="294"/>
    </row>
    <row r="161" customHeight="1" spans="1:1">
      <c r="A161" s="294"/>
    </row>
    <row r="162" customHeight="1" spans="1:1">
      <c r="A162" s="294"/>
    </row>
    <row r="163" customHeight="1" spans="1:1">
      <c r="A163" s="294"/>
    </row>
    <row r="164" customHeight="1" spans="1:1">
      <c r="A164" s="294"/>
    </row>
    <row r="165" customHeight="1" spans="1:1">
      <c r="A165" s="294"/>
    </row>
    <row r="166" customHeight="1" spans="1:1">
      <c r="A166" s="294"/>
    </row>
    <row r="167" customHeight="1" spans="1:1">
      <c r="A167" s="294"/>
    </row>
    <row r="168" customHeight="1" spans="1:1">
      <c r="A168" s="294"/>
    </row>
    <row r="169" customHeight="1" spans="1:1">
      <c r="A169" s="294"/>
    </row>
    <row r="170" customHeight="1" spans="1:1">
      <c r="A170" s="294"/>
    </row>
    <row r="171" customHeight="1" spans="1:1">
      <c r="A171" s="294"/>
    </row>
    <row r="172" customHeight="1" spans="1:1">
      <c r="A172" s="294"/>
    </row>
    <row r="173" customHeight="1" spans="1:1">
      <c r="A173" s="294"/>
    </row>
    <row r="174" customHeight="1" spans="1:1">
      <c r="A174" s="294"/>
    </row>
    <row r="175" customHeight="1" spans="1:1">
      <c r="A175" s="294"/>
    </row>
    <row r="176" customHeight="1" spans="1:1">
      <c r="A176" s="294"/>
    </row>
    <row r="177" customHeight="1" spans="1:1">
      <c r="A177" s="294"/>
    </row>
  </sheetData>
  <mergeCells count="19">
    <mergeCell ref="B20:E20"/>
    <mergeCell ref="B23:E23"/>
    <mergeCell ref="F25:I25"/>
    <mergeCell ref="C27:F27"/>
    <mergeCell ref="C28:F28"/>
    <mergeCell ref="C29:F29"/>
    <mergeCell ref="C30:F30"/>
    <mergeCell ref="C31:F31"/>
    <mergeCell ref="C32:F32"/>
    <mergeCell ref="C33:F33"/>
    <mergeCell ref="C34:F34"/>
    <mergeCell ref="A44:B44"/>
    <mergeCell ref="E46:J46"/>
    <mergeCell ref="E47:I47"/>
    <mergeCell ref="K47:L47"/>
    <mergeCell ref="N47:N48"/>
    <mergeCell ref="O47:O48"/>
    <mergeCell ref="D2:O8"/>
    <mergeCell ref="B59:F62"/>
  </mergeCells>
  <conditionalFormatting sqref="C39">
    <cfRule type="containsBlanks" dxfId="1" priority="2">
      <formula>LEN(TRIM(C39))=0</formula>
    </cfRule>
  </conditionalFormatting>
  <conditionalFormatting sqref="G55">
    <cfRule type="containsBlanks" dxfId="1" priority="6">
      <formula>LEN(TRIM(G55))=0</formula>
    </cfRule>
  </conditionalFormatting>
  <conditionalFormatting sqref="I55:J55">
    <cfRule type="containsBlanks" dxfId="1" priority="4">
      <formula>LEN(TRIM(I55))=0</formula>
    </cfRule>
  </conditionalFormatting>
  <conditionalFormatting sqref="B49:B51">
    <cfRule type="containsBlanks" dxfId="1" priority="27">
      <formula>LEN(TRIM(B49))=0</formula>
    </cfRule>
  </conditionalFormatting>
  <conditionalFormatting sqref="C2:C8">
    <cfRule type="containsBlanks" dxfId="1" priority="26">
      <formula>LEN(TRIM(C2))=0</formula>
    </cfRule>
  </conditionalFormatting>
  <conditionalFormatting sqref="C15:C19">
    <cfRule type="containsBlanks" dxfId="1" priority="25">
      <formula>LEN(TRIM(C15))=0</formula>
    </cfRule>
  </conditionalFormatting>
  <conditionalFormatting sqref="C28:C34">
    <cfRule type="containsBlanks" dxfId="1" priority="24">
      <formula>LEN(TRIM(C28))=0</formula>
    </cfRule>
  </conditionalFormatting>
  <conditionalFormatting sqref="J49:J51">
    <cfRule type="containsBlanks" dxfId="1" priority="3">
      <formula>LEN(TRIM(J49))=0</formula>
    </cfRule>
  </conditionalFormatting>
  <conditionalFormatting sqref="O49:O51 O53">
    <cfRule type="containsBlanks" dxfId="1" priority="29">
      <formula>LEN(TRIM(O49))=0</formula>
    </cfRule>
  </conditionalFormatting>
  <conditionalFormatting sqref="B66:F68">
    <cfRule type="containsBlanks" dxfId="1" priority="1">
      <formula>LEN(TRIM(B66))=0</formula>
    </cfRule>
  </conditionalFormatting>
  <dataValidations count="3">
    <dataValidation type="list" allowBlank="1" showInputMessage="1" sqref="B66:B68">
      <formula1>"管理层账表调整(CLA),已更正审计调整(AA/RA/OA),未更正审计调整(SAD)"</formula1>
    </dataValidation>
    <dataValidation type="list" allowBlank="1" showInputMessage="1" sqref="C15:C19">
      <formula1>"Minimal,Low,Moderate,High,N/A"</formula1>
    </dataValidation>
    <dataValidation type="list" allowBlank="1" showInputMessage="1" sqref="O49:O54">
      <formula1>"是,否"</formula1>
    </dataValidation>
  </dataValidations>
  <hyperlinks>
    <hyperlink ref="B11" location="'汇总 '!A1" display="返回汇总页"/>
  </hyperlinks>
  <pageMargins left="0.7" right="0.7" top="0.75" bottom="0.75" header="0.3" footer="0.3"/>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F192"/>
  <sheetViews>
    <sheetView showGridLines="0" zoomScale="70" zoomScaleNormal="70" zoomScaleSheetLayoutView="80" workbookViewId="0">
      <selection activeCell="N15" sqref="N15"/>
    </sheetView>
  </sheetViews>
  <sheetFormatPr defaultColWidth="9.09259259259259" defaultRowHeight="12.75" customHeight="1"/>
  <cols>
    <col min="1" max="1" width="2.62962962962963" style="302" customWidth="1"/>
    <col min="2" max="2" width="17.6296296296296" style="303" customWidth="1"/>
    <col min="3" max="3" width="18.9074074074074" style="303" customWidth="1"/>
    <col min="4" max="4" width="16.2685185185185" style="303" customWidth="1"/>
    <col min="5" max="5" width="20.0925925925926" style="303" customWidth="1"/>
    <col min="6" max="6" width="17.4537037037037" style="303" customWidth="1"/>
    <col min="7" max="7" width="19.9074074074074" style="304" customWidth="1"/>
    <col min="8" max="8" width="11.9074074074074" style="303" customWidth="1"/>
    <col min="9" max="9" width="15.7222222222222" style="303" customWidth="1"/>
    <col min="10" max="10" width="17.2685185185185" style="303" customWidth="1"/>
    <col min="11" max="11" width="11.2685185185185" style="303" customWidth="1"/>
    <col min="12" max="12" width="16.4537037037037" style="305" customWidth="1"/>
    <col min="13" max="13" width="16.9074074074074" style="303" customWidth="1"/>
    <col min="14" max="14" width="13.4537037037037" style="303" customWidth="1"/>
    <col min="15" max="15" width="14.3611111111111" style="303" customWidth="1"/>
    <col min="16" max="16" width="16.9074074074074" style="303" customWidth="1"/>
    <col min="17" max="17" width="10.7222222222222" style="303" customWidth="1"/>
    <col min="18" max="18" width="13.3611111111111" style="303" customWidth="1"/>
    <col min="19" max="19" width="16.9074074074074" style="303" customWidth="1"/>
    <col min="20" max="20" width="13.4537037037037" style="303" customWidth="1"/>
    <col min="21" max="21" width="17" style="303" customWidth="1"/>
    <col min="22" max="22" width="16.9074074074074" style="303" customWidth="1"/>
    <col min="23" max="24" width="11.9074074074074" style="303" customWidth="1"/>
    <col min="25" max="25" width="16.9074074074074" style="303" customWidth="1"/>
    <col min="26" max="27" width="11.3611111111111" style="303" customWidth="1"/>
    <col min="28" max="28" width="16.9074074074074" style="303" customWidth="1"/>
    <col min="29" max="29" width="14.7222222222222" style="303" customWidth="1"/>
    <col min="30" max="30" width="2.62962962962963" style="303" customWidth="1"/>
    <col min="31" max="31" width="1.62962962962963" style="303" customWidth="1"/>
    <col min="32" max="16384" width="9.09259259259259" style="303"/>
  </cols>
  <sheetData>
    <row r="1" s="296" customFormat="1" ht="50.15" customHeight="1" spans="1:31">
      <c r="B1" s="306" t="s">
        <v>127</v>
      </c>
      <c r="C1" s="307"/>
      <c r="D1" s="308"/>
      <c r="E1" s="308"/>
      <c r="F1" s="308"/>
      <c r="G1" s="308"/>
      <c r="H1" s="308"/>
      <c r="I1" s="308"/>
      <c r="J1" s="309"/>
      <c r="K1" s="308"/>
      <c r="L1" s="310"/>
      <c r="M1" s="310"/>
      <c r="N1" s="311"/>
      <c r="O1" s="311"/>
      <c r="P1" s="311"/>
      <c r="Q1" s="311"/>
      <c r="R1" s="311"/>
      <c r="S1" s="311"/>
      <c r="T1" s="311"/>
      <c r="U1" s="311"/>
      <c r="V1" s="311"/>
      <c r="W1" s="311"/>
      <c r="X1" s="311"/>
      <c r="Y1" s="311"/>
      <c r="Z1" s="311"/>
      <c r="AA1" s="311"/>
      <c r="AB1" s="311"/>
      <c r="AC1" s="312"/>
      <c r="AE1" s="295"/>
    </row>
    <row r="2" s="297" customFormat="1" ht="30" customHeight="1" spans="1:31">
      <c r="A2" s="296"/>
      <c r="B2" s="313" t="s">
        <v>128</v>
      </c>
      <c r="C2" s="314"/>
      <c r="D2" s="315"/>
      <c r="E2" s="316"/>
      <c r="F2" s="315"/>
      <c r="G2" s="316"/>
      <c r="H2" s="315"/>
      <c r="I2" s="316"/>
      <c r="J2" s="317"/>
      <c r="K2" s="316"/>
      <c r="L2" s="315"/>
      <c r="M2" s="316"/>
      <c r="N2" s="315"/>
      <c r="O2" s="316"/>
      <c r="P2" s="315"/>
      <c r="Q2" s="316"/>
      <c r="R2" s="315"/>
      <c r="S2" s="316"/>
      <c r="T2" s="315"/>
      <c r="U2" s="315"/>
      <c r="V2" s="315"/>
      <c r="W2" s="315"/>
      <c r="X2" s="315"/>
      <c r="Y2" s="315"/>
      <c r="Z2" s="315"/>
      <c r="AA2" s="315"/>
      <c r="AB2" s="315"/>
      <c r="AC2" s="318"/>
      <c r="AD2" s="319"/>
      <c r="AE2" s="285"/>
    </row>
    <row r="3" s="277" customFormat="1" ht="13.8" spans="1:31">
      <c r="A3" s="286"/>
      <c r="C3" s="320"/>
      <c r="D3" s="320"/>
      <c r="E3" s="320"/>
      <c r="F3" s="320"/>
      <c r="G3" s="320"/>
      <c r="H3" s="300"/>
      <c r="I3" s="300"/>
      <c r="J3" s="300"/>
      <c r="K3" s="300"/>
      <c r="L3" s="321"/>
      <c r="M3" s="300"/>
      <c r="N3" s="300"/>
      <c r="O3" s="322"/>
      <c r="AE3" s="285"/>
    </row>
    <row r="4" s="277" customFormat="1" ht="13.8" spans="1:31">
      <c r="A4" s="286"/>
      <c r="B4" s="18" t="s">
        <v>51</v>
      </c>
      <c r="C4" s="320"/>
      <c r="D4" s="320"/>
      <c r="E4" s="320"/>
      <c r="F4" s="320"/>
      <c r="G4" s="320"/>
      <c r="H4" s="300"/>
      <c r="I4" s="300"/>
      <c r="J4" s="300"/>
      <c r="K4" s="300"/>
      <c r="L4" s="321"/>
      <c r="M4" s="300"/>
      <c r="N4" s="300"/>
      <c r="O4" s="322"/>
      <c r="AE4" s="285"/>
    </row>
    <row r="5" s="277" customFormat="1" ht="13.8" spans="1:31">
      <c r="A5" s="286"/>
      <c r="D5" s="300"/>
      <c r="E5" s="300"/>
      <c r="F5" s="300"/>
      <c r="G5" s="300"/>
      <c r="H5" s="300"/>
      <c r="I5" s="300"/>
      <c r="J5" s="300"/>
      <c r="K5" s="300"/>
      <c r="L5" s="321"/>
      <c r="M5" s="300"/>
      <c r="N5" s="300"/>
      <c r="O5" s="322"/>
      <c r="AE5" s="285"/>
    </row>
    <row r="6" s="277" customFormat="1" ht="15.6" spans="1:31">
      <c r="A6" s="286"/>
      <c r="B6" s="323" t="s">
        <v>129</v>
      </c>
      <c r="C6" s="300"/>
      <c r="D6" s="300"/>
      <c r="E6" s="300"/>
      <c r="F6" s="300"/>
      <c r="G6" s="300"/>
      <c r="H6" s="300"/>
      <c r="I6" s="300"/>
      <c r="J6" s="300"/>
      <c r="K6" s="321"/>
      <c r="L6" s="300"/>
      <c r="M6" s="300"/>
      <c r="N6" s="322"/>
      <c r="AE6" s="285"/>
    </row>
    <row r="7" s="277" customFormat="1" ht="15.6" spans="1:31">
      <c r="A7" s="286"/>
      <c r="B7" s="323" t="s">
        <v>130</v>
      </c>
      <c r="C7" s="300"/>
      <c r="D7" s="300"/>
      <c r="E7" s="300"/>
      <c r="F7" s="300"/>
      <c r="G7" s="300"/>
      <c r="H7" s="300"/>
      <c r="I7" s="300"/>
      <c r="J7" s="300"/>
      <c r="K7" s="321"/>
      <c r="L7" s="300"/>
      <c r="M7" s="300"/>
      <c r="N7" s="322"/>
      <c r="AE7" s="285"/>
    </row>
    <row r="8" s="277" customFormat="1" ht="15.6" spans="1:31">
      <c r="A8" s="286"/>
      <c r="B8" s="323" t="s">
        <v>131</v>
      </c>
      <c r="C8" s="300"/>
      <c r="D8" s="300"/>
      <c r="E8" s="300"/>
      <c r="F8" s="300"/>
      <c r="G8" s="300"/>
      <c r="H8" s="300"/>
      <c r="I8" s="300"/>
      <c r="J8" s="300"/>
      <c r="K8" s="321"/>
      <c r="L8" s="300"/>
      <c r="M8" s="300"/>
      <c r="N8" s="322"/>
      <c r="U8" s="277" t="s">
        <v>132</v>
      </c>
      <c r="AE8" s="285"/>
    </row>
    <row r="9" s="58" customFormat="1" ht="31.5" customHeight="1" spans="1:31">
      <c r="A9" s="57"/>
      <c r="B9" s="286" t="s">
        <v>133</v>
      </c>
      <c r="C9" s="324"/>
      <c r="D9" s="324"/>
      <c r="E9" s="101"/>
      <c r="F9" s="101"/>
      <c r="G9" s="101"/>
      <c r="H9" s="101"/>
      <c r="I9" s="101"/>
      <c r="J9" s="324"/>
      <c r="K9" s="324"/>
      <c r="M9" s="101"/>
      <c r="N9" s="101"/>
      <c r="O9" s="324"/>
      <c r="P9" s="324"/>
      <c r="Q9" s="324"/>
      <c r="R9" s="324"/>
      <c r="S9" s="324"/>
      <c r="T9" s="101"/>
      <c r="V9" s="101"/>
      <c r="Z9" s="101" t="s">
        <v>134</v>
      </c>
      <c r="AA9" s="101"/>
      <c r="AB9" s="101"/>
      <c r="AD9" s="277"/>
      <c r="AE9" s="285"/>
    </row>
    <row r="10" s="214" customFormat="1" ht="15.6" spans="1:31">
      <c r="A10" s="57"/>
      <c r="B10" s="325"/>
      <c r="C10" s="326"/>
      <c r="D10" s="327" t="s">
        <v>135</v>
      </c>
      <c r="E10" s="328"/>
      <c r="F10" s="329" t="s">
        <v>136</v>
      </c>
      <c r="G10" s="330"/>
      <c r="H10" s="328"/>
      <c r="I10" s="329" t="s">
        <v>136</v>
      </c>
      <c r="J10" s="330"/>
      <c r="K10" s="328"/>
      <c r="L10" s="329" t="s">
        <v>136</v>
      </c>
      <c r="M10" s="330"/>
      <c r="N10" s="328"/>
      <c r="O10" s="329" t="s">
        <v>136</v>
      </c>
      <c r="P10" s="330"/>
      <c r="Q10" s="328"/>
      <c r="R10" s="329" t="s">
        <v>136</v>
      </c>
      <c r="S10" s="330"/>
      <c r="T10" s="328"/>
      <c r="U10" s="329" t="s">
        <v>136</v>
      </c>
      <c r="V10" s="330"/>
      <c r="W10" s="328"/>
      <c r="X10" s="329" t="s">
        <v>136</v>
      </c>
      <c r="Y10" s="330"/>
      <c r="Z10" s="328"/>
      <c r="AA10" s="329" t="s">
        <v>137</v>
      </c>
      <c r="AB10" s="330"/>
      <c r="AC10" s="331"/>
      <c r="AD10" s="332"/>
      <c r="AE10" s="333"/>
    </row>
    <row r="11" s="298" customFormat="1" ht="15" spans="1:31">
      <c r="A11" s="101"/>
      <c r="B11" s="334"/>
      <c r="C11" s="335"/>
      <c r="D11" s="193"/>
      <c r="E11" s="336" t="s">
        <v>138</v>
      </c>
      <c r="F11" s="337" t="s">
        <v>139</v>
      </c>
      <c r="G11" s="336" t="s">
        <v>140</v>
      </c>
      <c r="H11" s="336" t="s">
        <v>138</v>
      </c>
      <c r="I11" s="337" t="s">
        <v>139</v>
      </c>
      <c r="J11" s="336" t="s">
        <v>140</v>
      </c>
      <c r="K11" s="336" t="s">
        <v>138</v>
      </c>
      <c r="L11" s="337" t="s">
        <v>139</v>
      </c>
      <c r="M11" s="336" t="s">
        <v>140</v>
      </c>
      <c r="N11" s="336" t="s">
        <v>138</v>
      </c>
      <c r="O11" s="337" t="s">
        <v>139</v>
      </c>
      <c r="P11" s="336" t="s">
        <v>140</v>
      </c>
      <c r="Q11" s="336" t="s">
        <v>138</v>
      </c>
      <c r="R11" s="337" t="s">
        <v>139</v>
      </c>
      <c r="S11" s="336" t="s">
        <v>140</v>
      </c>
      <c r="T11" s="336" t="s">
        <v>138</v>
      </c>
      <c r="U11" s="337" t="s">
        <v>139</v>
      </c>
      <c r="V11" s="336" t="s">
        <v>140</v>
      </c>
      <c r="W11" s="336" t="s">
        <v>138</v>
      </c>
      <c r="X11" s="337" t="s">
        <v>139</v>
      </c>
      <c r="Y11" s="336" t="s">
        <v>140</v>
      </c>
      <c r="Z11" s="336" t="s">
        <v>138</v>
      </c>
      <c r="AA11" s="337" t="s">
        <v>139</v>
      </c>
      <c r="AB11" s="336" t="s">
        <v>140</v>
      </c>
      <c r="AC11" s="338" t="s">
        <v>141</v>
      </c>
      <c r="AD11" s="277"/>
      <c r="AE11" s="285"/>
    </row>
    <row r="12" s="58" customFormat="1" ht="15.6" spans="1:31">
      <c r="A12" s="57"/>
      <c r="B12" s="339"/>
      <c r="C12" s="340" t="s">
        <v>142</v>
      </c>
      <c r="D12" s="341" t="s">
        <v>61</v>
      </c>
      <c r="E12" s="342"/>
      <c r="F12" s="342"/>
      <c r="G12" s="342">
        <f t="shared" ref="G12:G17" si="0">SUM(E12:F12)</f>
        <v>0</v>
      </c>
      <c r="H12" s="342"/>
      <c r="I12" s="342"/>
      <c r="J12" s="342">
        <f>SUM(H12:I12)</f>
        <v>0</v>
      </c>
      <c r="K12" s="342"/>
      <c r="L12" s="342"/>
      <c r="M12" s="342">
        <f t="shared" ref="M12:M17" si="1">SUM(K12:L12)</f>
        <v>0</v>
      </c>
      <c r="N12" s="342"/>
      <c r="O12" s="342"/>
      <c r="P12" s="342">
        <f t="shared" ref="P12:P17" si="2">SUM(N12:O12)</f>
        <v>0</v>
      </c>
      <c r="Q12" s="342"/>
      <c r="R12" s="342"/>
      <c r="S12" s="342">
        <f>SUM(Q12:R12)</f>
        <v>0</v>
      </c>
      <c r="T12" s="342"/>
      <c r="U12" s="342"/>
      <c r="V12" s="342">
        <f>SUM(T12:U12)</f>
        <v>0</v>
      </c>
      <c r="W12" s="342"/>
      <c r="X12" s="342"/>
      <c r="Y12" s="342">
        <f>SUM(W12:X12)</f>
        <v>0</v>
      </c>
      <c r="Z12" s="342">
        <f t="shared" ref="Z12:AB17" si="3">SUM(E12,H12,K12,N12,Q12,T12,W12)</f>
        <v>0</v>
      </c>
      <c r="AA12" s="342">
        <f t="shared" si="3"/>
        <v>0</v>
      </c>
      <c r="AB12" s="342">
        <f t="shared" si="3"/>
        <v>0</v>
      </c>
      <c r="AC12" s="343">
        <f>AB12-'K.00 Lead Sheet'!J49</f>
        <v>0</v>
      </c>
      <c r="AD12" s="277"/>
      <c r="AE12" s="285"/>
    </row>
    <row r="13" s="58" customFormat="1" ht="15" spans="1:31">
      <c r="A13" s="57"/>
      <c r="B13" s="344"/>
      <c r="C13" s="345" t="s">
        <v>143</v>
      </c>
      <c r="D13" s="346" t="s">
        <v>144</v>
      </c>
      <c r="E13" s="342"/>
      <c r="F13" s="342"/>
      <c r="G13" s="342">
        <f t="shared" si="0"/>
        <v>0</v>
      </c>
      <c r="H13" s="342"/>
      <c r="I13" s="342"/>
      <c r="J13" s="342">
        <f t="shared" ref="J13:J17" si="4">SUM(H13:I13)</f>
        <v>0</v>
      </c>
      <c r="K13" s="342"/>
      <c r="L13" s="342"/>
      <c r="M13" s="342">
        <f t="shared" si="1"/>
        <v>0</v>
      </c>
      <c r="N13" s="342"/>
      <c r="O13" s="342"/>
      <c r="P13" s="342">
        <f t="shared" si="2"/>
        <v>0</v>
      </c>
      <c r="Q13" s="342"/>
      <c r="R13" s="342"/>
      <c r="S13" s="342">
        <f t="shared" ref="S13:S17" si="5">SUM(Q13:R13)</f>
        <v>0</v>
      </c>
      <c r="T13" s="342"/>
      <c r="U13" s="342"/>
      <c r="V13" s="342">
        <f>SUM(T13:U13)</f>
        <v>0</v>
      </c>
      <c r="W13" s="342"/>
      <c r="X13" s="342"/>
      <c r="Y13" s="342">
        <f>SUM(W13:X13)</f>
        <v>0</v>
      </c>
      <c r="Z13" s="342">
        <f t="shared" si="3"/>
        <v>0</v>
      </c>
      <c r="AA13" s="342">
        <f t="shared" si="3"/>
        <v>0</v>
      </c>
      <c r="AB13" s="342">
        <f t="shared" si="3"/>
        <v>0</v>
      </c>
      <c r="AC13" s="347"/>
      <c r="AD13" s="277"/>
      <c r="AE13" s="285"/>
    </row>
    <row r="14" s="58" customFormat="1" ht="15" spans="1:31">
      <c r="A14" s="57"/>
      <c r="B14" s="344"/>
      <c r="C14" s="345" t="s">
        <v>145</v>
      </c>
      <c r="D14" s="348" t="s">
        <v>146</v>
      </c>
      <c r="E14" s="342"/>
      <c r="F14" s="342"/>
      <c r="G14" s="342">
        <f t="shared" si="0"/>
        <v>0</v>
      </c>
      <c r="H14" s="342"/>
      <c r="I14" s="342"/>
      <c r="J14" s="342">
        <f t="shared" si="4"/>
        <v>0</v>
      </c>
      <c r="K14" s="342"/>
      <c r="L14" s="342"/>
      <c r="M14" s="342">
        <f t="shared" si="1"/>
        <v>0</v>
      </c>
      <c r="N14" s="342"/>
      <c r="O14" s="342"/>
      <c r="P14" s="342">
        <f t="shared" si="2"/>
        <v>0</v>
      </c>
      <c r="Q14" s="342"/>
      <c r="R14" s="342"/>
      <c r="S14" s="342">
        <f t="shared" si="5"/>
        <v>0</v>
      </c>
      <c r="T14" s="342"/>
      <c r="U14" s="342"/>
      <c r="V14" s="342">
        <f>SUM(T14:U14)</f>
        <v>0</v>
      </c>
      <c r="W14" s="342"/>
      <c r="X14" s="342"/>
      <c r="Y14" s="342">
        <f t="shared" ref="Y14:Y17" si="6">SUM(W14:X14)</f>
        <v>0</v>
      </c>
      <c r="Z14" s="342">
        <f t="shared" si="3"/>
        <v>0</v>
      </c>
      <c r="AA14" s="342">
        <f t="shared" si="3"/>
        <v>0</v>
      </c>
      <c r="AB14" s="342">
        <f t="shared" si="3"/>
        <v>0</v>
      </c>
      <c r="AC14" s="347"/>
      <c r="AD14" s="277"/>
      <c r="AE14" s="285"/>
    </row>
    <row r="15" s="58" customFormat="1" ht="16.15" customHeight="1" spans="1:31">
      <c r="A15" s="57"/>
      <c r="B15" s="349" t="s">
        <v>117</v>
      </c>
      <c r="C15" s="345" t="s">
        <v>147</v>
      </c>
      <c r="D15" s="346" t="s">
        <v>148</v>
      </c>
      <c r="E15" s="342"/>
      <c r="F15" s="342"/>
      <c r="G15" s="342">
        <f t="shared" si="0"/>
        <v>0</v>
      </c>
      <c r="H15" s="342"/>
      <c r="I15" s="342"/>
      <c r="J15" s="342">
        <f t="shared" si="4"/>
        <v>0</v>
      </c>
      <c r="K15" s="342"/>
      <c r="L15" s="342"/>
      <c r="M15" s="342">
        <f t="shared" si="1"/>
        <v>0</v>
      </c>
      <c r="N15" s="342"/>
      <c r="O15" s="342"/>
      <c r="P15" s="342">
        <f t="shared" si="2"/>
        <v>0</v>
      </c>
      <c r="Q15" s="342"/>
      <c r="R15" s="342"/>
      <c r="S15" s="342">
        <f t="shared" si="5"/>
        <v>0</v>
      </c>
      <c r="T15" s="342"/>
      <c r="U15" s="342"/>
      <c r="V15" s="342">
        <f t="shared" ref="V15:V17" si="7">SUM(T15:U15)</f>
        <v>0</v>
      </c>
      <c r="W15" s="342"/>
      <c r="X15" s="342"/>
      <c r="Y15" s="342">
        <f t="shared" si="6"/>
        <v>0</v>
      </c>
      <c r="Z15" s="342">
        <f t="shared" si="3"/>
        <v>0</v>
      </c>
      <c r="AA15" s="342">
        <f t="shared" si="3"/>
        <v>0</v>
      </c>
      <c r="AB15" s="342">
        <f t="shared" si="3"/>
        <v>0</v>
      </c>
      <c r="AC15" s="347"/>
      <c r="AD15" s="277"/>
      <c r="AE15" s="285"/>
    </row>
    <row r="16" s="58" customFormat="1" ht="15" spans="1:31">
      <c r="A16" s="57"/>
      <c r="B16" s="344"/>
      <c r="C16" s="350" t="s">
        <v>149</v>
      </c>
      <c r="D16" s="348"/>
      <c r="E16" s="342"/>
      <c r="F16" s="342"/>
      <c r="G16" s="342">
        <f t="shared" si="0"/>
        <v>0</v>
      </c>
      <c r="H16" s="342"/>
      <c r="I16" s="342"/>
      <c r="J16" s="342">
        <f t="shared" si="4"/>
        <v>0</v>
      </c>
      <c r="K16" s="342"/>
      <c r="L16" s="342"/>
      <c r="M16" s="342">
        <f t="shared" si="1"/>
        <v>0</v>
      </c>
      <c r="N16" s="342"/>
      <c r="O16" s="342"/>
      <c r="P16" s="342">
        <f t="shared" si="2"/>
        <v>0</v>
      </c>
      <c r="Q16" s="342"/>
      <c r="R16" s="342"/>
      <c r="S16" s="342">
        <f t="shared" si="5"/>
        <v>0</v>
      </c>
      <c r="T16" s="342"/>
      <c r="U16" s="342"/>
      <c r="V16" s="342">
        <f t="shared" si="7"/>
        <v>0</v>
      </c>
      <c r="W16" s="342"/>
      <c r="X16" s="342"/>
      <c r="Y16" s="342">
        <f t="shared" si="6"/>
        <v>0</v>
      </c>
      <c r="Z16" s="342">
        <f t="shared" si="3"/>
        <v>0</v>
      </c>
      <c r="AA16" s="342">
        <f t="shared" si="3"/>
        <v>0</v>
      </c>
      <c r="AB16" s="342">
        <f t="shared" si="3"/>
        <v>0</v>
      </c>
      <c r="AC16" s="347"/>
      <c r="AD16" s="277"/>
      <c r="AE16" s="285"/>
    </row>
    <row r="17" s="58" customFormat="1" ht="17.25" customHeight="1" spans="1:31">
      <c r="A17" s="57"/>
      <c r="B17" s="344"/>
      <c r="C17" s="345" t="s">
        <v>150</v>
      </c>
      <c r="D17" s="346"/>
      <c r="E17" s="342"/>
      <c r="F17" s="342"/>
      <c r="G17" s="342">
        <f t="shared" si="0"/>
        <v>0</v>
      </c>
      <c r="H17" s="342"/>
      <c r="I17" s="342"/>
      <c r="J17" s="342">
        <f t="shared" si="4"/>
        <v>0</v>
      </c>
      <c r="K17" s="342"/>
      <c r="L17" s="342"/>
      <c r="M17" s="342">
        <f t="shared" si="1"/>
        <v>0</v>
      </c>
      <c r="N17" s="342"/>
      <c r="O17" s="342"/>
      <c r="P17" s="342">
        <f t="shared" si="2"/>
        <v>0</v>
      </c>
      <c r="Q17" s="342"/>
      <c r="R17" s="342"/>
      <c r="S17" s="342">
        <f t="shared" si="5"/>
        <v>0</v>
      </c>
      <c r="T17" s="342"/>
      <c r="U17" s="342"/>
      <c r="V17" s="342">
        <f t="shared" si="7"/>
        <v>0</v>
      </c>
      <c r="W17" s="342"/>
      <c r="X17" s="342"/>
      <c r="Y17" s="342">
        <f t="shared" si="6"/>
        <v>0</v>
      </c>
      <c r="Z17" s="342">
        <f t="shared" si="3"/>
        <v>0</v>
      </c>
      <c r="AA17" s="342">
        <f t="shared" si="3"/>
        <v>0</v>
      </c>
      <c r="AB17" s="342">
        <f t="shared" si="3"/>
        <v>0</v>
      </c>
      <c r="AC17" s="347"/>
      <c r="AD17" s="277"/>
      <c r="AE17" s="285"/>
    </row>
    <row r="18" s="58" customFormat="1" ht="15.6" spans="1:31">
      <c r="A18" s="57"/>
      <c r="B18" s="351"/>
      <c r="C18" s="352" t="s">
        <v>151</v>
      </c>
      <c r="D18" s="353" t="s">
        <v>76</v>
      </c>
      <c r="E18" s="354">
        <f t="shared" ref="E18:AB18" si="8">E12+E13+E14+E15+E16+E17</f>
        <v>0</v>
      </c>
      <c r="F18" s="354">
        <f t="shared" si="8"/>
        <v>0</v>
      </c>
      <c r="G18" s="354">
        <f t="shared" si="8"/>
        <v>0</v>
      </c>
      <c r="H18" s="354">
        <f t="shared" ref="H18" si="9">H12+H13+H14+H15+H16+H17</f>
        <v>0</v>
      </c>
      <c r="I18" s="354">
        <f t="shared" si="8"/>
        <v>0</v>
      </c>
      <c r="J18" s="354">
        <f t="shared" si="8"/>
        <v>0</v>
      </c>
      <c r="K18" s="354">
        <f t="shared" ref="K18" si="10">K12+K13+K14+K15+K16+K17</f>
        <v>0</v>
      </c>
      <c r="L18" s="354">
        <f t="shared" si="8"/>
        <v>0</v>
      </c>
      <c r="M18" s="354">
        <f t="shared" si="8"/>
        <v>0</v>
      </c>
      <c r="N18" s="354">
        <f t="shared" ref="N18:P18" si="11">N12+N13+N14+N15+N16+N17</f>
        <v>0</v>
      </c>
      <c r="O18" s="354">
        <f t="shared" si="11"/>
        <v>0</v>
      </c>
      <c r="P18" s="354">
        <f t="shared" si="11"/>
        <v>0</v>
      </c>
      <c r="Q18" s="354">
        <f t="shared" ref="Q18" si="12">Q12+Q13+Q14+Q15+Q16+Q17</f>
        <v>0</v>
      </c>
      <c r="R18" s="354">
        <f t="shared" si="8"/>
        <v>0</v>
      </c>
      <c r="S18" s="354">
        <f t="shared" si="8"/>
        <v>0</v>
      </c>
      <c r="T18" s="354">
        <f t="shared" ref="T18" si="13">T12+T13+T14+T15+T16+T17</f>
        <v>0</v>
      </c>
      <c r="U18" s="354">
        <f t="shared" si="8"/>
        <v>0</v>
      </c>
      <c r="V18" s="354">
        <f t="shared" si="8"/>
        <v>0</v>
      </c>
      <c r="W18" s="354">
        <f t="shared" ref="W18" si="14">W12+W13+W14+W15+W16+W17</f>
        <v>0</v>
      </c>
      <c r="X18" s="354">
        <f t="shared" si="8"/>
        <v>0</v>
      </c>
      <c r="Y18" s="354">
        <f t="shared" si="8"/>
        <v>0</v>
      </c>
      <c r="Z18" s="354">
        <f t="shared" si="8"/>
        <v>0</v>
      </c>
      <c r="AA18" s="354">
        <f t="shared" si="8"/>
        <v>0</v>
      </c>
      <c r="AB18" s="354">
        <f t="shared" si="8"/>
        <v>0</v>
      </c>
      <c r="AC18" s="343">
        <f>AB18-'K.00 Lead Sheet'!I49</f>
        <v>0</v>
      </c>
      <c r="AD18" s="277"/>
      <c r="AE18" s="285"/>
    </row>
    <row r="19" s="58" customFormat="1" ht="15.6" spans="1:31">
      <c r="A19" s="57"/>
      <c r="B19" s="355"/>
      <c r="C19" s="352" t="s">
        <v>142</v>
      </c>
      <c r="D19" s="341" t="s">
        <v>61</v>
      </c>
      <c r="E19" s="342"/>
      <c r="F19" s="342"/>
      <c r="G19" s="342">
        <f t="shared" ref="G19:G23" si="15">SUM(E19:F19)</f>
        <v>0</v>
      </c>
      <c r="H19" s="342"/>
      <c r="I19" s="342"/>
      <c r="J19" s="342">
        <f>SUM(H19:I19)</f>
        <v>0</v>
      </c>
      <c r="K19" s="342"/>
      <c r="L19" s="342"/>
      <c r="M19" s="342">
        <f>SUM(K19:L19)</f>
        <v>0</v>
      </c>
      <c r="N19" s="342"/>
      <c r="O19" s="342"/>
      <c r="P19" s="342">
        <f>SUM(N19:O19)</f>
        <v>0</v>
      </c>
      <c r="Q19" s="342"/>
      <c r="R19" s="342"/>
      <c r="S19" s="342">
        <f t="shared" ref="S19:S23" si="16">SUM(Q19:R19)</f>
        <v>0</v>
      </c>
      <c r="T19" s="342"/>
      <c r="U19" s="342"/>
      <c r="V19" s="342">
        <f>SUM(T19:U19)</f>
        <v>0</v>
      </c>
      <c r="W19" s="342"/>
      <c r="X19" s="342"/>
      <c r="Y19" s="342">
        <f>SUM(W19:X19)</f>
        <v>0</v>
      </c>
      <c r="Z19" s="342">
        <f t="shared" ref="Z19:AB23" si="17">SUM(E19,H19,K19,N19,Q19,T19,W19)</f>
        <v>0</v>
      </c>
      <c r="AA19" s="342">
        <f t="shared" si="17"/>
        <v>0</v>
      </c>
      <c r="AB19" s="342">
        <f t="shared" si="17"/>
        <v>0</v>
      </c>
      <c r="AC19" s="343">
        <f>AB19-'K.00 Lead Sheet'!J50</f>
        <v>0</v>
      </c>
      <c r="AD19" s="277"/>
      <c r="AE19" s="285"/>
    </row>
    <row r="20" s="58" customFormat="1" ht="15" spans="1:31">
      <c r="A20" s="57"/>
      <c r="B20" s="344"/>
      <c r="C20" s="345" t="s">
        <v>152</v>
      </c>
      <c r="D20" s="346" t="s">
        <v>153</v>
      </c>
      <c r="E20" s="342"/>
      <c r="F20" s="342"/>
      <c r="G20" s="342">
        <f t="shared" si="15"/>
        <v>0</v>
      </c>
      <c r="H20" s="342"/>
      <c r="I20" s="342"/>
      <c r="J20" s="342">
        <f>SUM(H20:I20)</f>
        <v>0</v>
      </c>
      <c r="K20" s="342"/>
      <c r="L20" s="342"/>
      <c r="M20" s="342">
        <f>SUM(K20:L20)</f>
        <v>0</v>
      </c>
      <c r="N20" s="342"/>
      <c r="O20" s="342"/>
      <c r="P20" s="342">
        <f>SUM(N20:O20)</f>
        <v>0</v>
      </c>
      <c r="Q20" s="342"/>
      <c r="R20" s="342"/>
      <c r="S20" s="342">
        <f t="shared" si="16"/>
        <v>0</v>
      </c>
      <c r="T20" s="342"/>
      <c r="U20" s="342"/>
      <c r="V20" s="342">
        <f>SUM(T20:U20)</f>
        <v>0</v>
      </c>
      <c r="W20" s="342"/>
      <c r="X20" s="342"/>
      <c r="Y20" s="342">
        <f>SUM(W20:X20)</f>
        <v>0</v>
      </c>
      <c r="Z20" s="342">
        <f t="shared" si="17"/>
        <v>0</v>
      </c>
      <c r="AA20" s="342">
        <f t="shared" si="17"/>
        <v>0</v>
      </c>
      <c r="AB20" s="342">
        <f t="shared" si="17"/>
        <v>0</v>
      </c>
      <c r="AC20" s="347" t="s">
        <v>154</v>
      </c>
      <c r="AD20" s="277"/>
      <c r="AE20" s="285"/>
    </row>
    <row r="21" s="58" customFormat="1" ht="15.6" spans="1:31">
      <c r="A21" s="57"/>
      <c r="B21" s="349" t="s">
        <v>119</v>
      </c>
      <c r="C21" s="345" t="s">
        <v>147</v>
      </c>
      <c r="D21" s="346" t="s">
        <v>148</v>
      </c>
      <c r="E21" s="342"/>
      <c r="F21" s="342"/>
      <c r="G21" s="342">
        <f t="shared" si="15"/>
        <v>0</v>
      </c>
      <c r="H21" s="342"/>
      <c r="I21" s="342"/>
      <c r="J21" s="342">
        <f>SUM(H21:I21)</f>
        <v>0</v>
      </c>
      <c r="K21" s="342"/>
      <c r="L21" s="342"/>
      <c r="M21" s="342">
        <f>SUM(K21:L21)</f>
        <v>0</v>
      </c>
      <c r="N21" s="342"/>
      <c r="O21" s="342"/>
      <c r="P21" s="342">
        <f>SUM(N21:O21)</f>
        <v>0</v>
      </c>
      <c r="Q21" s="342"/>
      <c r="R21" s="342"/>
      <c r="S21" s="342">
        <f t="shared" si="16"/>
        <v>0</v>
      </c>
      <c r="T21" s="342"/>
      <c r="U21" s="342"/>
      <c r="V21" s="342">
        <f t="shared" ref="V21:V23" si="18">SUM(T21:U21)</f>
        <v>0</v>
      </c>
      <c r="W21" s="342"/>
      <c r="X21" s="342"/>
      <c r="Y21" s="342">
        <f>SUM(W21:X21)</f>
        <v>0</v>
      </c>
      <c r="Z21" s="342">
        <f t="shared" si="17"/>
        <v>0</v>
      </c>
      <c r="AA21" s="342">
        <f t="shared" si="17"/>
        <v>0</v>
      </c>
      <c r="AB21" s="342">
        <f t="shared" si="17"/>
        <v>0</v>
      </c>
      <c r="AC21" s="347"/>
      <c r="AD21" s="277"/>
      <c r="AE21" s="285"/>
    </row>
    <row r="22" s="58" customFormat="1" ht="15" spans="1:31">
      <c r="A22" s="57"/>
      <c r="B22" s="344"/>
      <c r="C22" s="345" t="s">
        <v>149</v>
      </c>
      <c r="D22" s="348"/>
      <c r="E22" s="342"/>
      <c r="F22" s="342"/>
      <c r="G22" s="342">
        <f t="shared" si="15"/>
        <v>0</v>
      </c>
      <c r="H22" s="342"/>
      <c r="I22" s="342"/>
      <c r="J22" s="342">
        <f>SUM(H22:I22)</f>
        <v>0</v>
      </c>
      <c r="K22" s="342"/>
      <c r="L22" s="342"/>
      <c r="M22" s="342">
        <f>SUM(K22:L22)</f>
        <v>0</v>
      </c>
      <c r="N22" s="342"/>
      <c r="O22" s="342"/>
      <c r="P22" s="342">
        <f>SUM(N22:O22)</f>
        <v>0</v>
      </c>
      <c r="Q22" s="342"/>
      <c r="R22" s="342"/>
      <c r="S22" s="342">
        <f t="shared" si="16"/>
        <v>0</v>
      </c>
      <c r="T22" s="342"/>
      <c r="U22" s="342"/>
      <c r="V22" s="342">
        <f t="shared" si="18"/>
        <v>0</v>
      </c>
      <c r="W22" s="342"/>
      <c r="X22" s="342"/>
      <c r="Y22" s="342">
        <f>SUM(W22:X22)</f>
        <v>0</v>
      </c>
      <c r="Z22" s="342">
        <f t="shared" si="17"/>
        <v>0</v>
      </c>
      <c r="AA22" s="342">
        <f t="shared" si="17"/>
        <v>0</v>
      </c>
      <c r="AB22" s="342">
        <f t="shared" si="17"/>
        <v>0</v>
      </c>
      <c r="AC22" s="347"/>
      <c r="AD22" s="277"/>
      <c r="AE22" s="285"/>
    </row>
    <row r="23" s="58" customFormat="1" ht="13.8" spans="1:31">
      <c r="A23" s="57"/>
      <c r="B23" s="344"/>
      <c r="C23" s="345" t="s">
        <v>150</v>
      </c>
      <c r="D23" s="193"/>
      <c r="E23" s="342"/>
      <c r="F23" s="342"/>
      <c r="G23" s="342">
        <f t="shared" si="15"/>
        <v>0</v>
      </c>
      <c r="H23" s="342"/>
      <c r="I23" s="342"/>
      <c r="J23" s="342">
        <f>SUM(H23:I23)</f>
        <v>0</v>
      </c>
      <c r="K23" s="342"/>
      <c r="L23" s="342"/>
      <c r="M23" s="342">
        <f>SUM(K23:L23)</f>
        <v>0</v>
      </c>
      <c r="N23" s="342"/>
      <c r="O23" s="342"/>
      <c r="P23" s="342">
        <f>SUM(N23:O23)</f>
        <v>0</v>
      </c>
      <c r="Q23" s="342"/>
      <c r="R23" s="342"/>
      <c r="S23" s="342">
        <f t="shared" si="16"/>
        <v>0</v>
      </c>
      <c r="T23" s="342"/>
      <c r="U23" s="342"/>
      <c r="V23" s="342">
        <f t="shared" si="18"/>
        <v>0</v>
      </c>
      <c r="W23" s="342"/>
      <c r="X23" s="342"/>
      <c r="Y23" s="342">
        <f>SUM(W23:X23)</f>
        <v>0</v>
      </c>
      <c r="Z23" s="342">
        <f t="shared" si="17"/>
        <v>0</v>
      </c>
      <c r="AA23" s="342">
        <f t="shared" si="17"/>
        <v>0</v>
      </c>
      <c r="AB23" s="342">
        <f t="shared" si="17"/>
        <v>0</v>
      </c>
      <c r="AC23" s="347"/>
      <c r="AD23" s="277"/>
      <c r="AE23" s="285"/>
    </row>
    <row r="24" s="58" customFormat="1" ht="15.6" spans="1:31">
      <c r="A24" s="57"/>
      <c r="B24" s="351"/>
      <c r="C24" s="352" t="s">
        <v>151</v>
      </c>
      <c r="D24" s="353" t="s">
        <v>76</v>
      </c>
      <c r="E24" s="354">
        <f t="shared" ref="E24:AB24" si="19">E19+E20+E21+E22+E23</f>
        <v>0</v>
      </c>
      <c r="F24" s="354">
        <f t="shared" si="19"/>
        <v>0</v>
      </c>
      <c r="G24" s="354">
        <f t="shared" si="19"/>
        <v>0</v>
      </c>
      <c r="H24" s="354">
        <f t="shared" si="19"/>
        <v>0</v>
      </c>
      <c r="I24" s="354">
        <f t="shared" si="19"/>
        <v>0</v>
      </c>
      <c r="J24" s="354">
        <f t="shared" si="19"/>
        <v>0</v>
      </c>
      <c r="K24" s="354">
        <f t="shared" si="19"/>
        <v>0</v>
      </c>
      <c r="L24" s="354">
        <f t="shared" si="19"/>
        <v>0</v>
      </c>
      <c r="M24" s="354">
        <f t="shared" si="19"/>
        <v>0</v>
      </c>
      <c r="N24" s="354">
        <f t="shared" si="19"/>
        <v>0</v>
      </c>
      <c r="O24" s="354">
        <f t="shared" si="19"/>
        <v>0</v>
      </c>
      <c r="P24" s="354">
        <f t="shared" si="19"/>
        <v>0</v>
      </c>
      <c r="Q24" s="354">
        <f t="shared" si="19"/>
        <v>0</v>
      </c>
      <c r="R24" s="354">
        <f t="shared" si="19"/>
        <v>0</v>
      </c>
      <c r="S24" s="354">
        <f t="shared" si="19"/>
        <v>0</v>
      </c>
      <c r="T24" s="354">
        <f t="shared" si="19"/>
        <v>0</v>
      </c>
      <c r="U24" s="354">
        <f t="shared" si="19"/>
        <v>0</v>
      </c>
      <c r="V24" s="354">
        <f t="shared" si="19"/>
        <v>0</v>
      </c>
      <c r="W24" s="354">
        <f t="shared" si="19"/>
        <v>0</v>
      </c>
      <c r="X24" s="354">
        <f t="shared" si="19"/>
        <v>0</v>
      </c>
      <c r="Y24" s="354">
        <f t="shared" si="19"/>
        <v>0</v>
      </c>
      <c r="Z24" s="354">
        <f t="shared" si="19"/>
        <v>0</v>
      </c>
      <c r="AA24" s="354">
        <f t="shared" si="19"/>
        <v>0</v>
      </c>
      <c r="AB24" s="354">
        <f t="shared" si="19"/>
        <v>0</v>
      </c>
      <c r="AC24" s="343">
        <f>AB24-'K.00 Lead Sheet'!I50</f>
        <v>0</v>
      </c>
      <c r="AD24" s="277"/>
      <c r="AE24" s="285"/>
    </row>
    <row r="25" s="58" customFormat="1" ht="15.6" spans="1:31">
      <c r="A25" s="57"/>
      <c r="B25" s="355"/>
      <c r="C25" s="352" t="s">
        <v>142</v>
      </c>
      <c r="D25" s="341" t="s">
        <v>61</v>
      </c>
      <c r="E25" s="342"/>
      <c r="F25" s="342"/>
      <c r="G25" s="342">
        <f t="shared" ref="G25:G29" si="20">SUM(E25:F25)</f>
        <v>0</v>
      </c>
      <c r="H25" s="342"/>
      <c r="I25" s="342"/>
      <c r="J25" s="342">
        <f>SUM(H25:I25)</f>
        <v>0</v>
      </c>
      <c r="K25" s="342"/>
      <c r="L25" s="342"/>
      <c r="M25" s="342">
        <f>SUM(K25:L25)</f>
        <v>0</v>
      </c>
      <c r="N25" s="342"/>
      <c r="O25" s="342"/>
      <c r="P25" s="342">
        <f>SUM(N25:O25)</f>
        <v>0</v>
      </c>
      <c r="Q25" s="342"/>
      <c r="R25" s="342"/>
      <c r="S25" s="342">
        <f t="shared" ref="S25:S29" si="21">SUM(Q25:R25)</f>
        <v>0</v>
      </c>
      <c r="T25" s="342"/>
      <c r="U25" s="342"/>
      <c r="V25" s="342">
        <f t="shared" ref="V25:V29" si="22">SUM(T25:U25)</f>
        <v>0</v>
      </c>
      <c r="W25" s="342"/>
      <c r="X25" s="342"/>
      <c r="Y25" s="342">
        <f>SUM(W25:X25)</f>
        <v>0</v>
      </c>
      <c r="Z25" s="342">
        <f t="shared" ref="Z25:AB29" si="23">SUM(E25,H25,K25,N25,Q25,T25,W25)</f>
        <v>0</v>
      </c>
      <c r="AA25" s="342">
        <f t="shared" si="23"/>
        <v>0</v>
      </c>
      <c r="AB25" s="342">
        <f t="shared" si="23"/>
        <v>0</v>
      </c>
      <c r="AC25" s="343">
        <f>AB25-'K.00 Lead Sheet'!J51</f>
        <v>0</v>
      </c>
      <c r="AD25" s="277"/>
      <c r="AE25" s="285"/>
    </row>
    <row r="26" s="58" customFormat="1" ht="15.6" spans="1:31">
      <c r="A26" s="57"/>
      <c r="B26" s="344"/>
      <c r="C26" s="345" t="s">
        <v>152</v>
      </c>
      <c r="D26" s="346" t="s">
        <v>155</v>
      </c>
      <c r="E26" s="342"/>
      <c r="F26" s="342"/>
      <c r="G26" s="342">
        <f t="shared" si="20"/>
        <v>0</v>
      </c>
      <c r="H26" s="342"/>
      <c r="I26" s="342"/>
      <c r="J26" s="342">
        <f>SUM(H26:I26)</f>
        <v>0</v>
      </c>
      <c r="K26" s="342"/>
      <c r="L26" s="342"/>
      <c r="M26" s="342">
        <f>SUM(K26:L26)</f>
        <v>0</v>
      </c>
      <c r="N26" s="356"/>
      <c r="O26" s="342"/>
      <c r="P26" s="342">
        <f>SUM(N26:O26)</f>
        <v>0</v>
      </c>
      <c r="Q26" s="342"/>
      <c r="R26" s="342"/>
      <c r="S26" s="342">
        <f t="shared" si="21"/>
        <v>0</v>
      </c>
      <c r="T26" s="342"/>
      <c r="U26" s="342"/>
      <c r="V26" s="342">
        <f t="shared" si="22"/>
        <v>0</v>
      </c>
      <c r="W26" s="342"/>
      <c r="X26" s="342"/>
      <c r="Y26" s="342">
        <f>SUM(W26:X26)</f>
        <v>0</v>
      </c>
      <c r="Z26" s="342">
        <f t="shared" si="23"/>
        <v>0</v>
      </c>
      <c r="AA26" s="342">
        <f t="shared" si="23"/>
        <v>0</v>
      </c>
      <c r="AB26" s="342">
        <f t="shared" si="23"/>
        <v>0</v>
      </c>
      <c r="AC26" s="347"/>
      <c r="AD26" s="277"/>
      <c r="AE26" s="285"/>
    </row>
    <row r="27" s="58" customFormat="1" ht="15.6" spans="1:31">
      <c r="A27" s="57"/>
      <c r="B27" s="349" t="s">
        <v>120</v>
      </c>
      <c r="C27" s="345" t="s">
        <v>147</v>
      </c>
      <c r="D27" s="346" t="s">
        <v>148</v>
      </c>
      <c r="E27" s="342"/>
      <c r="F27" s="342"/>
      <c r="G27" s="342">
        <f t="shared" si="20"/>
        <v>0</v>
      </c>
      <c r="H27" s="342"/>
      <c r="I27" s="342"/>
      <c r="J27" s="342">
        <f>SUM(H27:I27)</f>
        <v>0</v>
      </c>
      <c r="K27" s="342"/>
      <c r="L27" s="342"/>
      <c r="M27" s="342">
        <f>SUM(K27:L27)</f>
        <v>0</v>
      </c>
      <c r="N27" s="356"/>
      <c r="O27" s="342"/>
      <c r="P27" s="342">
        <f>SUM(N27:O27)</f>
        <v>0</v>
      </c>
      <c r="Q27" s="342"/>
      <c r="R27" s="342"/>
      <c r="S27" s="342">
        <f t="shared" si="21"/>
        <v>0</v>
      </c>
      <c r="T27" s="342"/>
      <c r="U27" s="342"/>
      <c r="V27" s="342">
        <f t="shared" si="22"/>
        <v>0</v>
      </c>
      <c r="W27" s="342"/>
      <c r="X27" s="342"/>
      <c r="Y27" s="342">
        <f t="shared" ref="Y27:Y29" si="24">SUM(W27:X27)</f>
        <v>0</v>
      </c>
      <c r="Z27" s="342">
        <f t="shared" si="23"/>
        <v>0</v>
      </c>
      <c r="AA27" s="342">
        <f t="shared" si="23"/>
        <v>0</v>
      </c>
      <c r="AB27" s="342">
        <f t="shared" si="23"/>
        <v>0</v>
      </c>
      <c r="AC27" s="347"/>
      <c r="AD27" s="277"/>
      <c r="AE27" s="285"/>
    </row>
    <row r="28" s="58" customFormat="1" ht="15" spans="1:31">
      <c r="A28" s="57"/>
      <c r="B28" s="344"/>
      <c r="C28" s="350" t="s">
        <v>149</v>
      </c>
      <c r="D28" s="193"/>
      <c r="E28" s="342"/>
      <c r="F28" s="342"/>
      <c r="G28" s="342">
        <f t="shared" si="20"/>
        <v>0</v>
      </c>
      <c r="H28" s="342"/>
      <c r="I28" s="342"/>
      <c r="J28" s="342">
        <f>SUM(H28:I28)</f>
        <v>0</v>
      </c>
      <c r="K28" s="342"/>
      <c r="L28" s="342"/>
      <c r="M28" s="342">
        <f>SUM(K28:L28)</f>
        <v>0</v>
      </c>
      <c r="N28" s="356"/>
      <c r="O28" s="342"/>
      <c r="P28" s="342">
        <f>SUM(N28:O28)</f>
        <v>0</v>
      </c>
      <c r="Q28" s="342"/>
      <c r="R28" s="342"/>
      <c r="S28" s="342">
        <f t="shared" si="21"/>
        <v>0</v>
      </c>
      <c r="T28" s="342"/>
      <c r="U28" s="342"/>
      <c r="V28" s="342">
        <f t="shared" si="22"/>
        <v>0</v>
      </c>
      <c r="W28" s="342"/>
      <c r="X28" s="342"/>
      <c r="Y28" s="342">
        <f t="shared" si="24"/>
        <v>0</v>
      </c>
      <c r="Z28" s="342">
        <f t="shared" si="23"/>
        <v>0</v>
      </c>
      <c r="AA28" s="342">
        <f t="shared" si="23"/>
        <v>0</v>
      </c>
      <c r="AB28" s="342">
        <f t="shared" si="23"/>
        <v>0</v>
      </c>
      <c r="AC28" s="347"/>
      <c r="AD28" s="277"/>
      <c r="AE28" s="285"/>
    </row>
    <row r="29" s="58" customFormat="1" ht="13.5" customHeight="1" spans="1:31">
      <c r="A29" s="57"/>
      <c r="B29" s="344"/>
      <c r="C29" s="357" t="s">
        <v>150</v>
      </c>
      <c r="D29" s="193"/>
      <c r="E29" s="342"/>
      <c r="F29" s="342"/>
      <c r="G29" s="342">
        <f t="shared" si="20"/>
        <v>0</v>
      </c>
      <c r="H29" s="342"/>
      <c r="I29" s="342"/>
      <c r="J29" s="342">
        <f>SUM(H29:I29)</f>
        <v>0</v>
      </c>
      <c r="K29" s="342"/>
      <c r="L29" s="342"/>
      <c r="M29" s="342">
        <f>SUM(K29:L29)</f>
        <v>0</v>
      </c>
      <c r="N29" s="356"/>
      <c r="O29" s="342"/>
      <c r="P29" s="342">
        <f>SUM(N29:O29)</f>
        <v>0</v>
      </c>
      <c r="Q29" s="342"/>
      <c r="R29" s="342"/>
      <c r="S29" s="342">
        <f t="shared" si="21"/>
        <v>0</v>
      </c>
      <c r="T29" s="342"/>
      <c r="U29" s="342"/>
      <c r="V29" s="342">
        <f t="shared" si="22"/>
        <v>0</v>
      </c>
      <c r="W29" s="342"/>
      <c r="X29" s="342"/>
      <c r="Y29" s="342">
        <f t="shared" si="24"/>
        <v>0</v>
      </c>
      <c r="Z29" s="342">
        <f t="shared" si="23"/>
        <v>0</v>
      </c>
      <c r="AA29" s="342">
        <f t="shared" si="23"/>
        <v>0</v>
      </c>
      <c r="AB29" s="342">
        <f t="shared" si="23"/>
        <v>0</v>
      </c>
      <c r="AC29" s="347"/>
      <c r="AD29" s="277"/>
      <c r="AE29" s="285"/>
    </row>
    <row r="30" s="58" customFormat="1" ht="15.6" spans="1:31">
      <c r="A30" s="57"/>
      <c r="B30" s="351"/>
      <c r="C30" s="352" t="s">
        <v>151</v>
      </c>
      <c r="D30" s="353" t="s">
        <v>76</v>
      </c>
      <c r="E30" s="354">
        <f>E25+E26+E27+E28+E29</f>
        <v>0</v>
      </c>
      <c r="F30" s="354">
        <f>F25+F26+F27+F28+F29</f>
        <v>0</v>
      </c>
      <c r="G30" s="354">
        <f t="shared" ref="G30:AB30" si="25">G25+G26+G27+G28+G29</f>
        <v>0</v>
      </c>
      <c r="H30" s="354">
        <f t="shared" si="25"/>
        <v>0</v>
      </c>
      <c r="I30" s="354">
        <f t="shared" si="25"/>
        <v>0</v>
      </c>
      <c r="J30" s="354">
        <f t="shared" si="25"/>
        <v>0</v>
      </c>
      <c r="K30" s="354">
        <f t="shared" si="25"/>
        <v>0</v>
      </c>
      <c r="L30" s="354">
        <f t="shared" si="25"/>
        <v>0</v>
      </c>
      <c r="M30" s="354">
        <f t="shared" si="25"/>
        <v>0</v>
      </c>
      <c r="N30" s="354">
        <f t="shared" si="25"/>
        <v>0</v>
      </c>
      <c r="O30" s="354">
        <f t="shared" si="25"/>
        <v>0</v>
      </c>
      <c r="P30" s="354">
        <f t="shared" si="25"/>
        <v>0</v>
      </c>
      <c r="Q30" s="354">
        <f t="shared" si="25"/>
        <v>0</v>
      </c>
      <c r="R30" s="354">
        <f t="shared" si="25"/>
        <v>0</v>
      </c>
      <c r="S30" s="354">
        <f t="shared" si="25"/>
        <v>0</v>
      </c>
      <c r="T30" s="354">
        <f t="shared" si="25"/>
        <v>0</v>
      </c>
      <c r="U30" s="354">
        <f t="shared" si="25"/>
        <v>0</v>
      </c>
      <c r="V30" s="354">
        <f t="shared" si="25"/>
        <v>0</v>
      </c>
      <c r="W30" s="354">
        <f t="shared" si="25"/>
        <v>0</v>
      </c>
      <c r="X30" s="354">
        <f t="shared" si="25"/>
        <v>0</v>
      </c>
      <c r="Y30" s="354">
        <f t="shared" si="25"/>
        <v>0</v>
      </c>
      <c r="Z30" s="354">
        <f t="shared" si="25"/>
        <v>0</v>
      </c>
      <c r="AA30" s="354">
        <f t="shared" si="25"/>
        <v>0</v>
      </c>
      <c r="AB30" s="354">
        <f t="shared" si="25"/>
        <v>0</v>
      </c>
      <c r="AC30" s="343">
        <f>AB30-'K.00 Lead Sheet'!I51</f>
        <v>0</v>
      </c>
      <c r="AD30" s="277"/>
      <c r="AE30" s="285"/>
    </row>
    <row r="31" s="58" customFormat="1" ht="15.6" spans="1:31">
      <c r="A31" s="57"/>
      <c r="B31" s="358" t="s">
        <v>156</v>
      </c>
      <c r="C31" s="352" t="s">
        <v>142</v>
      </c>
      <c r="D31" s="353" t="s">
        <v>76</v>
      </c>
      <c r="E31" s="342">
        <f t="shared" ref="E31:AB31" si="26">E12-E19-E25</f>
        <v>0</v>
      </c>
      <c r="F31" s="359">
        <f t="shared" si="26"/>
        <v>0</v>
      </c>
      <c r="G31" s="342">
        <f t="shared" si="26"/>
        <v>0</v>
      </c>
      <c r="H31" s="342">
        <f t="shared" si="26"/>
        <v>0</v>
      </c>
      <c r="I31" s="342">
        <f t="shared" si="26"/>
        <v>0</v>
      </c>
      <c r="J31" s="342">
        <f t="shared" si="26"/>
        <v>0</v>
      </c>
      <c r="K31" s="342">
        <f t="shared" si="26"/>
        <v>0</v>
      </c>
      <c r="L31" s="342">
        <f t="shared" si="26"/>
        <v>0</v>
      </c>
      <c r="M31" s="342">
        <f t="shared" si="26"/>
        <v>0</v>
      </c>
      <c r="N31" s="342">
        <f t="shared" si="26"/>
        <v>0</v>
      </c>
      <c r="O31" s="342">
        <f t="shared" si="26"/>
        <v>0</v>
      </c>
      <c r="P31" s="342">
        <f t="shared" si="26"/>
        <v>0</v>
      </c>
      <c r="Q31" s="342">
        <f t="shared" si="26"/>
        <v>0</v>
      </c>
      <c r="R31" s="342">
        <f t="shared" si="26"/>
        <v>0</v>
      </c>
      <c r="S31" s="342">
        <f t="shared" si="26"/>
        <v>0</v>
      </c>
      <c r="T31" s="342">
        <f t="shared" si="26"/>
        <v>0</v>
      </c>
      <c r="U31" s="342">
        <f t="shared" si="26"/>
        <v>0</v>
      </c>
      <c r="V31" s="342">
        <f t="shared" si="26"/>
        <v>0</v>
      </c>
      <c r="W31" s="342">
        <f t="shared" si="26"/>
        <v>0</v>
      </c>
      <c r="X31" s="342">
        <f t="shared" si="26"/>
        <v>0</v>
      </c>
      <c r="Y31" s="342">
        <f t="shared" si="26"/>
        <v>0</v>
      </c>
      <c r="Z31" s="342">
        <f t="shared" si="26"/>
        <v>0</v>
      </c>
      <c r="AA31" s="342">
        <f t="shared" si="26"/>
        <v>0</v>
      </c>
      <c r="AB31" s="342">
        <f t="shared" si="26"/>
        <v>0</v>
      </c>
      <c r="AC31" s="343">
        <f>AB31-'K.00 Lead Sheet'!J55</f>
        <v>0</v>
      </c>
      <c r="AD31" s="277"/>
      <c r="AE31" s="285"/>
    </row>
    <row r="32" s="58" customFormat="1" ht="15.6" spans="1:31">
      <c r="A32" s="57"/>
      <c r="B32" s="351"/>
      <c r="C32" s="360" t="s">
        <v>151</v>
      </c>
      <c r="D32" s="353" t="s">
        <v>76</v>
      </c>
      <c r="E32" s="361">
        <f t="shared" ref="E32:AB32" si="27">E18-E24-E30</f>
        <v>0</v>
      </c>
      <c r="F32" s="362">
        <f t="shared" si="27"/>
        <v>0</v>
      </c>
      <c r="G32" s="363">
        <f t="shared" si="27"/>
        <v>0</v>
      </c>
      <c r="H32" s="362">
        <f t="shared" si="27"/>
        <v>0</v>
      </c>
      <c r="I32" s="362">
        <f t="shared" si="27"/>
        <v>0</v>
      </c>
      <c r="J32" s="362">
        <f t="shared" si="27"/>
        <v>0</v>
      </c>
      <c r="K32" s="362">
        <f t="shared" si="27"/>
        <v>0</v>
      </c>
      <c r="L32" s="362">
        <f t="shared" si="27"/>
        <v>0</v>
      </c>
      <c r="M32" s="362">
        <f t="shared" si="27"/>
        <v>0</v>
      </c>
      <c r="N32" s="362">
        <f t="shared" si="27"/>
        <v>0</v>
      </c>
      <c r="O32" s="362">
        <f t="shared" si="27"/>
        <v>0</v>
      </c>
      <c r="P32" s="362">
        <f t="shared" si="27"/>
        <v>0</v>
      </c>
      <c r="Q32" s="362">
        <f t="shared" si="27"/>
        <v>0</v>
      </c>
      <c r="R32" s="362">
        <f t="shared" si="27"/>
        <v>0</v>
      </c>
      <c r="S32" s="362">
        <f t="shared" si="27"/>
        <v>0</v>
      </c>
      <c r="T32" s="362">
        <f t="shared" si="27"/>
        <v>0</v>
      </c>
      <c r="U32" s="362">
        <f t="shared" si="27"/>
        <v>0</v>
      </c>
      <c r="V32" s="362">
        <f t="shared" si="27"/>
        <v>0</v>
      </c>
      <c r="W32" s="362">
        <f t="shared" si="27"/>
        <v>0</v>
      </c>
      <c r="X32" s="362">
        <f t="shared" si="27"/>
        <v>0</v>
      </c>
      <c r="Y32" s="362">
        <f t="shared" si="27"/>
        <v>0</v>
      </c>
      <c r="Z32" s="362">
        <f t="shared" si="27"/>
        <v>0</v>
      </c>
      <c r="AA32" s="362">
        <f t="shared" si="27"/>
        <v>0</v>
      </c>
      <c r="AB32" s="362">
        <f t="shared" si="27"/>
        <v>0</v>
      </c>
      <c r="AC32" s="343">
        <f>AB32-'K.00 Lead Sheet'!I55</f>
        <v>0</v>
      </c>
      <c r="AD32" s="277"/>
      <c r="AE32" s="285"/>
    </row>
    <row r="33" s="58" customFormat="1" ht="15" spans="1:110">
      <c r="A33" s="57"/>
      <c r="B33" s="358" t="s">
        <v>157</v>
      </c>
      <c r="C33" s="131" t="s">
        <v>158</v>
      </c>
      <c r="D33" s="130" t="s">
        <v>159</v>
      </c>
      <c r="E33" s="342">
        <f>E18-E12</f>
        <v>0</v>
      </c>
      <c r="F33" s="342"/>
      <c r="G33" s="342">
        <f>G18-G12</f>
        <v>0</v>
      </c>
      <c r="H33" s="342">
        <f>H18-H12</f>
        <v>0</v>
      </c>
      <c r="I33" s="342"/>
      <c r="J33" s="342">
        <f>J18-J12</f>
        <v>0</v>
      </c>
      <c r="K33" s="342">
        <f>K18-K12</f>
        <v>0</v>
      </c>
      <c r="L33" s="342"/>
      <c r="M33" s="342">
        <f>M18-M12</f>
        <v>0</v>
      </c>
      <c r="N33" s="342">
        <f>N18-N12</f>
        <v>0</v>
      </c>
      <c r="O33" s="342"/>
      <c r="P33" s="342">
        <f>P18-P12</f>
        <v>0</v>
      </c>
      <c r="Q33" s="342">
        <f>Q18-Q12</f>
        <v>0</v>
      </c>
      <c r="R33" s="342"/>
      <c r="S33" s="342">
        <f>S18-S12</f>
        <v>0</v>
      </c>
      <c r="T33" s="342">
        <f>T18-T12</f>
        <v>0</v>
      </c>
      <c r="U33" s="342"/>
      <c r="V33" s="342">
        <f>V18-V12</f>
        <v>0</v>
      </c>
      <c r="W33" s="342">
        <f>W18-W12</f>
        <v>0</v>
      </c>
      <c r="X33" s="342"/>
      <c r="Y33" s="342">
        <f>Y18-Y12</f>
        <v>0</v>
      </c>
      <c r="Z33" s="342">
        <f>Z18-Z12</f>
        <v>0</v>
      </c>
      <c r="AA33" s="342">
        <f>AA18-AA12</f>
        <v>0</v>
      </c>
      <c r="AB33" s="342">
        <f>AB18-AB12</f>
        <v>0</v>
      </c>
      <c r="AC33" s="342"/>
      <c r="AD33" s="277"/>
      <c r="AE33" s="285"/>
    </row>
    <row r="34" s="58" customFormat="1" ht="15" spans="1:110">
      <c r="A34" s="57"/>
      <c r="B34" s="349"/>
      <c r="C34" s="131" t="s">
        <v>160</v>
      </c>
      <c r="D34" s="130" t="s">
        <v>161</v>
      </c>
      <c r="E34" s="364">
        <f>IFERROR(E33/E12,1)</f>
        <v>1</v>
      </c>
      <c r="F34" s="364"/>
      <c r="G34" s="364">
        <f>IFERROR(G33/G12,1)</f>
        <v>1</v>
      </c>
      <c r="H34" s="364">
        <f>IFERROR(H33/H12,1)</f>
        <v>1</v>
      </c>
      <c r="I34" s="364"/>
      <c r="J34" s="364">
        <f>IFERROR(J33/J12,1)</f>
        <v>1</v>
      </c>
      <c r="K34" s="364">
        <f>IFERROR(K33/K12,1)</f>
        <v>1</v>
      </c>
      <c r="L34" s="364"/>
      <c r="M34" s="364">
        <f>IFERROR(M33/M12,1)</f>
        <v>1</v>
      </c>
      <c r="N34" s="364">
        <f>IFERROR(N33/N12,1)</f>
        <v>1</v>
      </c>
      <c r="O34" s="364"/>
      <c r="P34" s="364">
        <f>IFERROR(P33/P12,1)</f>
        <v>1</v>
      </c>
      <c r="Q34" s="364">
        <f>IFERROR(Q33/Q12,1)</f>
        <v>1</v>
      </c>
      <c r="R34" s="364"/>
      <c r="S34" s="364">
        <f>IFERROR(S33/S12,1)</f>
        <v>1</v>
      </c>
      <c r="T34" s="364">
        <f>IFERROR(T33/T12,1)</f>
        <v>1</v>
      </c>
      <c r="U34" s="364"/>
      <c r="V34" s="364">
        <f>IFERROR(V33/V12,1)</f>
        <v>1</v>
      </c>
      <c r="W34" s="364">
        <f>IFERROR(W33/W12,1)</f>
        <v>1</v>
      </c>
      <c r="X34" s="364"/>
      <c r="Y34" s="364">
        <f>IFERROR(Y33/Y12,1)</f>
        <v>1</v>
      </c>
      <c r="Z34" s="364">
        <f>IFERROR(Z33/Z12,1)</f>
        <v>1</v>
      </c>
      <c r="AA34" s="364">
        <f>IFERROR(AA33/AA12,1)</f>
        <v>1</v>
      </c>
      <c r="AB34" s="364">
        <f>IFERROR(AB33/AB12,1)</f>
        <v>1</v>
      </c>
      <c r="AC34" s="365"/>
      <c r="AD34" s="277"/>
      <c r="AE34" s="285"/>
    </row>
    <row r="35" s="58" customFormat="1" ht="15" spans="1:110">
      <c r="A35" s="57"/>
      <c r="B35" s="349"/>
      <c r="C35" s="131" t="s">
        <v>162</v>
      </c>
      <c r="D35" s="130" t="s">
        <v>159</v>
      </c>
      <c r="E35" s="365">
        <f>E24-E19</f>
        <v>0</v>
      </c>
      <c r="F35" s="365"/>
      <c r="G35" s="365">
        <f>G24-G19</f>
        <v>0</v>
      </c>
      <c r="H35" s="365">
        <f>H24-H19</f>
        <v>0</v>
      </c>
      <c r="I35" s="365"/>
      <c r="J35" s="365">
        <f>J24-J19</f>
        <v>0</v>
      </c>
      <c r="K35" s="365">
        <f>K24-K19</f>
        <v>0</v>
      </c>
      <c r="L35" s="365"/>
      <c r="M35" s="365">
        <f>M24-M19</f>
        <v>0</v>
      </c>
      <c r="N35" s="365">
        <f>N24-N19</f>
        <v>0</v>
      </c>
      <c r="O35" s="365"/>
      <c r="P35" s="365">
        <f>P24-P19</f>
        <v>0</v>
      </c>
      <c r="Q35" s="365">
        <f>Q24-Q19</f>
        <v>0</v>
      </c>
      <c r="R35" s="365"/>
      <c r="S35" s="365">
        <f>S24-S19</f>
        <v>0</v>
      </c>
      <c r="T35" s="365">
        <f>T24-T19</f>
        <v>0</v>
      </c>
      <c r="U35" s="365"/>
      <c r="V35" s="365">
        <f>V24-V19</f>
        <v>0</v>
      </c>
      <c r="W35" s="365">
        <f>W24-W19</f>
        <v>0</v>
      </c>
      <c r="X35" s="365"/>
      <c r="Y35" s="365">
        <f>Y24-Y19</f>
        <v>0</v>
      </c>
      <c r="Z35" s="365">
        <f>Z24-Z19</f>
        <v>0</v>
      </c>
      <c r="AA35" s="365">
        <f>AA24-AA19</f>
        <v>0</v>
      </c>
      <c r="AB35" s="365">
        <f>AB24-AB19</f>
        <v>0</v>
      </c>
      <c r="AC35" s="365"/>
      <c r="AD35" s="277"/>
      <c r="AE35" s="285"/>
    </row>
    <row r="36" s="58" customFormat="1" ht="15" spans="1:110">
      <c r="A36" s="57"/>
      <c r="B36" s="349"/>
      <c r="C36" s="131" t="s">
        <v>163</v>
      </c>
      <c r="D36" s="130" t="s">
        <v>161</v>
      </c>
      <c r="E36" s="364">
        <f>IFERROR(E35/E19,1)</f>
        <v>1</v>
      </c>
      <c r="F36" s="364"/>
      <c r="G36" s="364">
        <f>IFERROR(G35/G19,1)</f>
        <v>1</v>
      </c>
      <c r="H36" s="364">
        <f>IFERROR(H35/H19,1)</f>
        <v>1</v>
      </c>
      <c r="I36" s="364"/>
      <c r="J36" s="364">
        <f>IFERROR(J35/J19,1)</f>
        <v>1</v>
      </c>
      <c r="K36" s="364">
        <f>IFERROR(K35/K19,1)</f>
        <v>1</v>
      </c>
      <c r="L36" s="364"/>
      <c r="M36" s="364">
        <f>IFERROR(M35/M19,1)</f>
        <v>1</v>
      </c>
      <c r="N36" s="364">
        <f>IFERROR(N35/N19,1)</f>
        <v>1</v>
      </c>
      <c r="O36" s="364"/>
      <c r="P36" s="364">
        <f>IFERROR(P35/P19,1)</f>
        <v>1</v>
      </c>
      <c r="Q36" s="364">
        <f>IFERROR(Q35/Q19,1)</f>
        <v>1</v>
      </c>
      <c r="R36" s="364"/>
      <c r="S36" s="364">
        <f>IFERROR(S35/S19,1)</f>
        <v>1</v>
      </c>
      <c r="T36" s="364">
        <f>IFERROR(T35/T19,1)</f>
        <v>1</v>
      </c>
      <c r="U36" s="364"/>
      <c r="V36" s="364">
        <f>IFERROR(V35/V19,1)</f>
        <v>1</v>
      </c>
      <c r="W36" s="364">
        <f>IFERROR(W35/W19,1)</f>
        <v>1</v>
      </c>
      <c r="X36" s="364"/>
      <c r="Y36" s="364">
        <f>IFERROR(Y35/Y19,1)</f>
        <v>1</v>
      </c>
      <c r="Z36" s="364">
        <f>IFERROR(Z35/Z19,1)</f>
        <v>1</v>
      </c>
      <c r="AA36" s="364">
        <f>IFERROR(AA35/AA19,1)</f>
        <v>1</v>
      </c>
      <c r="AB36" s="364">
        <f>IFERROR(AB35/AB19,1)</f>
        <v>1</v>
      </c>
      <c r="AC36" s="365"/>
      <c r="AD36" s="277"/>
      <c r="AE36" s="285"/>
    </row>
    <row r="37" s="58" customFormat="1" ht="15" spans="1:110">
      <c r="A37" s="57"/>
      <c r="B37" s="349"/>
      <c r="C37" s="131" t="s">
        <v>164</v>
      </c>
      <c r="D37" s="130" t="s">
        <v>159</v>
      </c>
      <c r="E37" s="365">
        <f>E30-E25</f>
        <v>0</v>
      </c>
      <c r="F37" s="365"/>
      <c r="G37" s="365">
        <f>G30-G25</f>
        <v>0</v>
      </c>
      <c r="H37" s="365">
        <f>H30-H25</f>
        <v>0</v>
      </c>
      <c r="I37" s="365"/>
      <c r="J37" s="365">
        <f>J30-J25</f>
        <v>0</v>
      </c>
      <c r="K37" s="365">
        <f>K30-K25</f>
        <v>0</v>
      </c>
      <c r="L37" s="365"/>
      <c r="M37" s="365">
        <f>M30-M25</f>
        <v>0</v>
      </c>
      <c r="N37" s="365">
        <f>N30-N25</f>
        <v>0</v>
      </c>
      <c r="O37" s="365"/>
      <c r="P37" s="365">
        <f>P30-P25</f>
        <v>0</v>
      </c>
      <c r="Q37" s="365">
        <f>Q30-Q25</f>
        <v>0</v>
      </c>
      <c r="R37" s="365"/>
      <c r="S37" s="365">
        <f>S30-S25</f>
        <v>0</v>
      </c>
      <c r="T37" s="365">
        <f>T30-T25</f>
        <v>0</v>
      </c>
      <c r="U37" s="365"/>
      <c r="V37" s="365">
        <f>V30-V25</f>
        <v>0</v>
      </c>
      <c r="W37" s="365">
        <f>W30-W25</f>
        <v>0</v>
      </c>
      <c r="X37" s="365"/>
      <c r="Y37" s="365">
        <f>Y30-Y25</f>
        <v>0</v>
      </c>
      <c r="Z37" s="365">
        <f>Z30-Z25</f>
        <v>0</v>
      </c>
      <c r="AA37" s="365">
        <f>AA30-AA25</f>
        <v>0</v>
      </c>
      <c r="AB37" s="365">
        <f>AB30-AB25</f>
        <v>0</v>
      </c>
      <c r="AC37" s="365"/>
      <c r="AD37" s="277"/>
      <c r="AE37" s="285"/>
    </row>
    <row r="38" s="58" customFormat="1" ht="15" spans="1:110">
      <c r="A38" s="57"/>
      <c r="B38" s="349"/>
      <c r="C38" s="131" t="s">
        <v>165</v>
      </c>
      <c r="D38" s="130" t="s">
        <v>161</v>
      </c>
      <c r="E38" s="364">
        <f>IFERROR(E37/E25,1)</f>
        <v>1</v>
      </c>
      <c r="F38" s="364"/>
      <c r="G38" s="364">
        <f>IFERROR(G37/G25,1)</f>
        <v>1</v>
      </c>
      <c r="H38" s="364">
        <f>IFERROR(H37/H25,1)</f>
        <v>1</v>
      </c>
      <c r="I38" s="364"/>
      <c r="J38" s="364">
        <f>IFERROR(J37/J25,1)</f>
        <v>1</v>
      </c>
      <c r="K38" s="364">
        <f>IFERROR(K37/K25,1)</f>
        <v>1</v>
      </c>
      <c r="L38" s="364"/>
      <c r="M38" s="364">
        <f>IFERROR(M37/M25,1)</f>
        <v>1</v>
      </c>
      <c r="N38" s="364">
        <f>IFERROR(N37/N25,1)</f>
        <v>1</v>
      </c>
      <c r="O38" s="364"/>
      <c r="P38" s="364">
        <f>IFERROR(P37/P25,1)</f>
        <v>1</v>
      </c>
      <c r="Q38" s="364">
        <f>IFERROR(Q37/Q25,1)</f>
        <v>1</v>
      </c>
      <c r="R38" s="364"/>
      <c r="S38" s="364">
        <f>IFERROR(S37/S25,1)</f>
        <v>1</v>
      </c>
      <c r="T38" s="364">
        <f>IFERROR(T37/T25,1)</f>
        <v>1</v>
      </c>
      <c r="U38" s="364"/>
      <c r="V38" s="364">
        <f>IFERROR(V37/V25,1)</f>
        <v>1</v>
      </c>
      <c r="W38" s="364">
        <f>IFERROR(W37/W25,1)</f>
        <v>1</v>
      </c>
      <c r="X38" s="364"/>
      <c r="Y38" s="364">
        <f>IFERROR(Y37/Y25,1)</f>
        <v>1</v>
      </c>
      <c r="Z38" s="364">
        <f>IFERROR(Z37/Z25,1)</f>
        <v>1</v>
      </c>
      <c r="AA38" s="364">
        <f>IFERROR(AA37/AA25,1)</f>
        <v>1</v>
      </c>
      <c r="AB38" s="364">
        <f>IFERROR(AB37/AB25,1)</f>
        <v>1</v>
      </c>
      <c r="AC38" s="365"/>
      <c r="AD38" s="277"/>
      <c r="AE38" s="285"/>
    </row>
    <row r="39" s="58" customFormat="1" ht="14.65" customHeight="1" spans="1:110">
      <c r="A39" s="57"/>
      <c r="B39" s="349"/>
      <c r="C39" s="131" t="s">
        <v>166</v>
      </c>
      <c r="D39" s="130" t="s">
        <v>159</v>
      </c>
      <c r="E39" s="365">
        <f>E32-E31</f>
        <v>0</v>
      </c>
      <c r="F39" s="365"/>
      <c r="G39" s="365">
        <f>G32-G31</f>
        <v>0</v>
      </c>
      <c r="H39" s="365">
        <f>H32-H31</f>
        <v>0</v>
      </c>
      <c r="I39" s="365"/>
      <c r="J39" s="365">
        <f>J32-J31</f>
        <v>0</v>
      </c>
      <c r="K39" s="365">
        <f>K32-K31</f>
        <v>0</v>
      </c>
      <c r="L39" s="365"/>
      <c r="M39" s="365">
        <f>M32-M31</f>
        <v>0</v>
      </c>
      <c r="N39" s="365">
        <f>N32-N31</f>
        <v>0</v>
      </c>
      <c r="O39" s="365"/>
      <c r="P39" s="365">
        <f>P32-P31</f>
        <v>0</v>
      </c>
      <c r="Q39" s="365">
        <f>Q32-Q31</f>
        <v>0</v>
      </c>
      <c r="R39" s="365"/>
      <c r="S39" s="365">
        <f>S32-S31</f>
        <v>0</v>
      </c>
      <c r="T39" s="365">
        <f>T32-T31</f>
        <v>0</v>
      </c>
      <c r="U39" s="365"/>
      <c r="V39" s="365">
        <f>V32-V31</f>
        <v>0</v>
      </c>
      <c r="W39" s="365">
        <f>W32-W31</f>
        <v>0</v>
      </c>
      <c r="X39" s="365"/>
      <c r="Y39" s="365">
        <f>Y32-Y31</f>
        <v>0</v>
      </c>
      <c r="Z39" s="365">
        <f>Z32-Z31</f>
        <v>0</v>
      </c>
      <c r="AA39" s="365">
        <f>AA32-AA31</f>
        <v>0</v>
      </c>
      <c r="AB39" s="365">
        <f>AB32-AB31</f>
        <v>0</v>
      </c>
      <c r="AC39" s="365"/>
      <c r="AD39" s="277"/>
      <c r="AE39" s="285"/>
    </row>
    <row r="40" s="58" customFormat="1" ht="14.65" customHeight="1" spans="1:110">
      <c r="A40" s="57"/>
      <c r="B40" s="366"/>
      <c r="C40" s="131" t="s">
        <v>167</v>
      </c>
      <c r="D40" s="130" t="s">
        <v>161</v>
      </c>
      <c r="E40" s="364">
        <f>IFERROR(E39/E31,1)</f>
        <v>1</v>
      </c>
      <c r="F40" s="364"/>
      <c r="G40" s="364">
        <f>IFERROR(G39/G31,1)</f>
        <v>1</v>
      </c>
      <c r="H40" s="364">
        <f>IFERROR(H39/H31,1)</f>
        <v>1</v>
      </c>
      <c r="I40" s="364"/>
      <c r="J40" s="364">
        <f>IFERROR(J39/J31,1)</f>
        <v>1</v>
      </c>
      <c r="K40" s="364">
        <f>IFERROR(K39/K31,1)</f>
        <v>1</v>
      </c>
      <c r="L40" s="364"/>
      <c r="M40" s="364">
        <f>IFERROR(M39/M31,1)</f>
        <v>1</v>
      </c>
      <c r="N40" s="364">
        <f>IFERROR(N39/N31,1)</f>
        <v>1</v>
      </c>
      <c r="O40" s="364"/>
      <c r="P40" s="364">
        <f>IFERROR(P39/P31,1)</f>
        <v>1</v>
      </c>
      <c r="Q40" s="364">
        <f>IFERROR(Q39/Q31,1)</f>
        <v>1</v>
      </c>
      <c r="R40" s="364"/>
      <c r="S40" s="364">
        <f>IFERROR(S39/S31,1)</f>
        <v>1</v>
      </c>
      <c r="T40" s="364">
        <f>IFERROR(T39/T31,1)</f>
        <v>1</v>
      </c>
      <c r="U40" s="364"/>
      <c r="V40" s="364">
        <f>IFERROR(V39/V31,1)</f>
        <v>1</v>
      </c>
      <c r="W40" s="364">
        <f>IFERROR(W39/W31,1)</f>
        <v>1</v>
      </c>
      <c r="X40" s="364"/>
      <c r="Y40" s="364">
        <f>IFERROR(Y39/Y31,1)</f>
        <v>1</v>
      </c>
      <c r="Z40" s="364">
        <f>IFERROR(Z39/Z31,1)</f>
        <v>1</v>
      </c>
      <c r="AA40" s="364">
        <f>IFERROR(AA39/AA31,1)</f>
        <v>1</v>
      </c>
      <c r="AB40" s="364">
        <f>IFERROR(AB39/AB31,1)</f>
        <v>1</v>
      </c>
      <c r="AC40" s="365"/>
      <c r="AD40" s="277"/>
      <c r="AE40" s="285"/>
    </row>
    <row r="41" s="58" customFormat="1" ht="14.65" customHeight="1" spans="1:110">
      <c r="A41" s="57"/>
      <c r="B41" s="367"/>
      <c r="C41" s="368"/>
      <c r="D41" s="369"/>
      <c r="E41" s="370"/>
      <c r="F41" s="370"/>
      <c r="G41" s="370"/>
      <c r="H41" s="370"/>
      <c r="I41" s="370"/>
      <c r="J41" s="370"/>
      <c r="K41" s="370"/>
      <c r="L41" s="370"/>
      <c r="M41" s="370"/>
      <c r="N41" s="370"/>
      <c r="O41" s="370"/>
      <c r="P41" s="370"/>
      <c r="Q41" s="370"/>
      <c r="R41" s="370"/>
      <c r="S41" s="370"/>
      <c r="T41" s="370"/>
      <c r="U41" s="370"/>
      <c r="V41" s="370"/>
      <c r="W41" s="370"/>
      <c r="X41" s="370"/>
      <c r="Y41" s="370"/>
      <c r="Z41" s="370"/>
      <c r="AA41" s="370"/>
      <c r="AB41" s="370"/>
      <c r="AC41" s="371"/>
      <c r="AD41" s="277"/>
      <c r="AE41" s="285"/>
    </row>
    <row r="42" s="58" customFormat="1" ht="15.6" spans="1:110">
      <c r="A42" s="372"/>
      <c r="B42" s="373" t="s">
        <v>168</v>
      </c>
      <c r="C42" s="374"/>
      <c r="D42" s="374"/>
      <c r="E42" s="375"/>
      <c r="F42" s="376"/>
      <c r="G42" s="376"/>
      <c r="H42" s="375"/>
      <c r="I42" s="376"/>
      <c r="J42" s="374"/>
      <c r="K42" s="375"/>
      <c r="L42" s="374"/>
      <c r="M42" s="376"/>
      <c r="N42" s="375"/>
      <c r="O42" s="376"/>
      <c r="P42" s="376"/>
      <c r="Q42" s="375"/>
      <c r="R42" s="376"/>
      <c r="S42" s="374"/>
      <c r="T42" s="375"/>
      <c r="U42" s="377"/>
      <c r="V42" s="377"/>
      <c r="W42" s="375"/>
      <c r="X42" s="377"/>
      <c r="Y42" s="377"/>
      <c r="Z42" s="375">
        <f>SUM(E42,H42,K42,N42,Q42,T42,W42)</f>
        <v>0</v>
      </c>
      <c r="AA42" s="377"/>
      <c r="AB42" s="378"/>
      <c r="AC42" s="378"/>
      <c r="AD42" s="277"/>
      <c r="AE42" s="285"/>
      <c r="AF42" s="378"/>
      <c r="AG42" s="378"/>
      <c r="AH42" s="378"/>
      <c r="AI42" s="378"/>
      <c r="AJ42" s="378"/>
      <c r="AK42" s="378"/>
      <c r="AL42" s="378"/>
      <c r="AM42" s="378"/>
      <c r="AN42" s="378"/>
      <c r="AO42" s="378"/>
      <c r="AP42" s="378"/>
      <c r="AQ42" s="378"/>
      <c r="AR42" s="378"/>
      <c r="AS42" s="378"/>
      <c r="AT42" s="378"/>
      <c r="AU42" s="378"/>
      <c r="AV42" s="378"/>
      <c r="AW42" s="378"/>
      <c r="AX42" s="378"/>
      <c r="AY42" s="378"/>
      <c r="AZ42" s="378"/>
      <c r="BA42" s="378"/>
      <c r="BB42" s="378"/>
      <c r="BC42" s="378"/>
      <c r="BD42" s="378"/>
      <c r="BE42" s="378"/>
      <c r="BF42" s="378"/>
      <c r="BG42" s="378"/>
      <c r="BH42" s="378"/>
      <c r="BI42" s="378"/>
      <c r="BJ42" s="378"/>
      <c r="BK42" s="378"/>
      <c r="BL42" s="378"/>
      <c r="BM42" s="378"/>
      <c r="BN42" s="378"/>
      <c r="BO42" s="378"/>
      <c r="BP42" s="378"/>
      <c r="BQ42" s="378"/>
      <c r="BR42" s="378"/>
      <c r="BS42" s="378"/>
      <c r="BT42" s="378"/>
      <c r="BU42" s="378"/>
      <c r="BV42" s="378"/>
      <c r="BW42" s="378"/>
      <c r="BX42" s="378"/>
      <c r="BY42" s="378"/>
      <c r="BZ42" s="378"/>
      <c r="CA42" s="378"/>
      <c r="CB42" s="378"/>
      <c r="CC42" s="378"/>
      <c r="CD42" s="378"/>
      <c r="CE42" s="378"/>
      <c r="CF42" s="378"/>
      <c r="CG42" s="378"/>
      <c r="CH42" s="378"/>
      <c r="CI42" s="378"/>
      <c r="CJ42" s="378"/>
      <c r="CK42" s="378"/>
      <c r="CL42" s="378"/>
      <c r="CM42" s="378"/>
      <c r="CN42" s="378"/>
      <c r="CO42" s="378"/>
      <c r="CP42" s="378"/>
      <c r="CQ42" s="378"/>
      <c r="CR42" s="378"/>
      <c r="CS42" s="378"/>
      <c r="CT42" s="378"/>
      <c r="CU42" s="378"/>
      <c r="CV42" s="378"/>
      <c r="CW42" s="378"/>
      <c r="CX42" s="378"/>
      <c r="CY42" s="378"/>
      <c r="CZ42" s="378"/>
      <c r="DA42" s="378"/>
      <c r="DB42" s="378"/>
      <c r="DC42" s="378"/>
      <c r="DD42" s="378"/>
      <c r="DE42" s="378"/>
      <c r="DF42" s="378"/>
    </row>
    <row r="43" s="277" customFormat="1" ht="15.6" spans="1:110">
      <c r="A43" s="379"/>
      <c r="B43" s="373" t="s">
        <v>169</v>
      </c>
      <c r="C43" s="380"/>
      <c r="D43" s="381"/>
      <c r="E43" s="382">
        <f>E18-E42</f>
        <v>0</v>
      </c>
      <c r="F43" s="382"/>
      <c r="G43" s="382"/>
      <c r="H43" s="382">
        <f>H18-H42</f>
        <v>0</v>
      </c>
      <c r="I43" s="382"/>
      <c r="J43" s="382"/>
      <c r="K43" s="382">
        <f>K18-K42</f>
        <v>0</v>
      </c>
      <c r="L43" s="382"/>
      <c r="M43" s="382"/>
      <c r="N43" s="382">
        <f>N18-N42</f>
        <v>0</v>
      </c>
      <c r="O43" s="382"/>
      <c r="P43" s="382"/>
      <c r="Q43" s="382">
        <f>Q18-Q42</f>
        <v>0</v>
      </c>
      <c r="R43" s="382"/>
      <c r="S43" s="382"/>
      <c r="T43" s="382">
        <f>T18-T42</f>
        <v>0</v>
      </c>
      <c r="U43" s="383"/>
      <c r="V43" s="383"/>
      <c r="W43" s="382">
        <f>W18-W42</f>
        <v>0</v>
      </c>
      <c r="X43" s="383"/>
      <c r="Y43" s="383"/>
      <c r="Z43" s="382">
        <f>Z18-Z42</f>
        <v>0</v>
      </c>
      <c r="AA43" s="383"/>
      <c r="AB43" s="384"/>
      <c r="AC43" s="384"/>
      <c r="AE43" s="285"/>
      <c r="AF43" s="385"/>
      <c r="AG43" s="385"/>
      <c r="AH43" s="385"/>
      <c r="AI43" s="385"/>
      <c r="AJ43" s="385"/>
      <c r="AK43" s="385"/>
      <c r="AL43" s="385"/>
      <c r="AM43" s="385"/>
      <c r="AN43" s="385"/>
      <c r="AO43" s="385"/>
      <c r="AP43" s="385"/>
      <c r="AQ43" s="385"/>
      <c r="AR43" s="385"/>
      <c r="AS43" s="385"/>
      <c r="AT43" s="385"/>
      <c r="AU43" s="385"/>
      <c r="AV43" s="385"/>
      <c r="AW43" s="385"/>
      <c r="AX43" s="385"/>
      <c r="AY43" s="385"/>
      <c r="AZ43" s="385"/>
      <c r="BA43" s="385"/>
      <c r="BB43" s="385"/>
      <c r="BC43" s="385"/>
      <c r="BD43" s="385"/>
      <c r="BE43" s="385"/>
      <c r="BF43" s="385"/>
      <c r="BG43" s="385"/>
      <c r="BH43" s="385"/>
      <c r="BI43" s="385"/>
      <c r="BJ43" s="385"/>
      <c r="BK43" s="385"/>
      <c r="BL43" s="385"/>
      <c r="BM43" s="385"/>
      <c r="BN43" s="385"/>
      <c r="BO43" s="385"/>
      <c r="BP43" s="385"/>
      <c r="BQ43" s="385"/>
      <c r="BR43" s="385"/>
      <c r="BS43" s="385"/>
      <c r="BT43" s="385"/>
      <c r="BU43" s="385"/>
      <c r="BV43" s="385"/>
      <c r="BW43" s="385"/>
      <c r="BX43" s="385"/>
      <c r="BY43" s="385"/>
      <c r="BZ43" s="385"/>
      <c r="CA43" s="385"/>
      <c r="CB43" s="385"/>
      <c r="CC43" s="385"/>
      <c r="CD43" s="385"/>
      <c r="CE43" s="385"/>
      <c r="CF43" s="385"/>
      <c r="CG43" s="385"/>
      <c r="CH43" s="385"/>
      <c r="CI43" s="385"/>
      <c r="CJ43" s="385"/>
      <c r="CK43" s="385"/>
      <c r="CL43" s="385"/>
      <c r="CM43" s="385"/>
      <c r="CN43" s="385"/>
      <c r="CO43" s="385"/>
      <c r="CP43" s="385"/>
      <c r="CQ43" s="385"/>
      <c r="CR43" s="385"/>
      <c r="CS43" s="385"/>
      <c r="CT43" s="385"/>
      <c r="CU43" s="385"/>
      <c r="CV43" s="385"/>
      <c r="CW43" s="385"/>
      <c r="CX43" s="385"/>
      <c r="CY43" s="385"/>
      <c r="CZ43" s="385"/>
      <c r="DA43" s="385"/>
      <c r="DB43" s="385"/>
      <c r="DC43" s="385"/>
      <c r="DD43" s="385"/>
      <c r="DE43" s="385"/>
      <c r="DF43" s="385"/>
    </row>
    <row r="44" s="299" customFormat="1" ht="15.6" spans="1:110">
      <c r="A44" s="379"/>
      <c r="B44" s="373" t="s">
        <v>170</v>
      </c>
      <c r="C44" s="380"/>
      <c r="D44" s="381"/>
      <c r="E44" s="375"/>
      <c r="F44" s="376"/>
      <c r="G44" s="376"/>
      <c r="H44" s="375"/>
      <c r="I44" s="376"/>
      <c r="J44" s="374"/>
      <c r="K44" s="375"/>
      <c r="L44" s="374"/>
      <c r="M44" s="376"/>
      <c r="N44" s="375"/>
      <c r="O44" s="376"/>
      <c r="P44" s="376"/>
      <c r="Q44" s="375"/>
      <c r="R44" s="382"/>
      <c r="S44" s="382"/>
      <c r="T44" s="375"/>
      <c r="U44" s="383"/>
      <c r="V44" s="383"/>
      <c r="W44" s="375"/>
      <c r="X44" s="383"/>
      <c r="Y44" s="383"/>
      <c r="Z44" s="375">
        <f>SUM(E44,H44,K44,N44,Q44,T44,W44)</f>
        <v>0</v>
      </c>
      <c r="AA44" s="383"/>
      <c r="AB44" s="384"/>
      <c r="AC44" s="384"/>
      <c r="AD44" s="277"/>
      <c r="AE44" s="285"/>
      <c r="AF44" s="385"/>
      <c r="AG44" s="385"/>
      <c r="AH44" s="385"/>
      <c r="AI44" s="385"/>
      <c r="AJ44" s="385"/>
      <c r="AK44" s="385"/>
      <c r="AL44" s="385"/>
      <c r="AM44" s="385"/>
      <c r="AN44" s="385"/>
      <c r="AO44" s="385"/>
      <c r="AP44" s="385"/>
      <c r="AQ44" s="385"/>
      <c r="AR44" s="385"/>
      <c r="AS44" s="385"/>
      <c r="AT44" s="385"/>
      <c r="AU44" s="385"/>
      <c r="AV44" s="385"/>
      <c r="AW44" s="385"/>
      <c r="AX44" s="385"/>
      <c r="AY44" s="385"/>
      <c r="AZ44" s="385"/>
      <c r="BA44" s="385"/>
      <c r="BB44" s="385"/>
      <c r="BC44" s="385"/>
      <c r="BD44" s="385"/>
      <c r="BE44" s="385"/>
      <c r="BF44" s="385"/>
      <c r="BG44" s="385"/>
      <c r="BH44" s="385"/>
      <c r="BI44" s="385"/>
      <c r="BJ44" s="385"/>
      <c r="BK44" s="385"/>
      <c r="BL44" s="385"/>
      <c r="BM44" s="385"/>
      <c r="BN44" s="385"/>
      <c r="BO44" s="385"/>
      <c r="BP44" s="385"/>
      <c r="BQ44" s="385"/>
      <c r="BR44" s="385"/>
      <c r="BS44" s="385"/>
      <c r="BT44" s="385"/>
      <c r="BU44" s="385"/>
      <c r="BV44" s="385"/>
      <c r="BW44" s="385"/>
      <c r="BX44" s="385"/>
      <c r="BY44" s="385"/>
      <c r="BZ44" s="385"/>
      <c r="CA44" s="385"/>
      <c r="CB44" s="385"/>
      <c r="CC44" s="385"/>
      <c r="CD44" s="385"/>
      <c r="CE44" s="385"/>
      <c r="CF44" s="385"/>
      <c r="CG44" s="385"/>
      <c r="CH44" s="385"/>
      <c r="CI44" s="385"/>
      <c r="CJ44" s="385"/>
      <c r="CK44" s="385"/>
      <c r="CL44" s="385"/>
      <c r="CM44" s="385"/>
      <c r="CN44" s="385"/>
      <c r="CO44" s="385"/>
      <c r="CP44" s="385"/>
      <c r="CQ44" s="385"/>
      <c r="CR44" s="385"/>
      <c r="CS44" s="385"/>
      <c r="CT44" s="385"/>
      <c r="CU44" s="385"/>
      <c r="CV44" s="385"/>
      <c r="CW44" s="385"/>
      <c r="CX44" s="385"/>
      <c r="CY44" s="385"/>
      <c r="CZ44" s="385"/>
      <c r="DA44" s="385"/>
      <c r="DB44" s="385"/>
      <c r="DC44" s="385"/>
      <c r="DD44" s="385"/>
      <c r="DE44" s="385"/>
      <c r="DF44" s="385"/>
    </row>
    <row r="45" s="299" customFormat="1" ht="15.6" spans="1:110">
      <c r="A45" s="379"/>
      <c r="B45" s="373" t="s">
        <v>169</v>
      </c>
      <c r="C45" s="380"/>
      <c r="D45" s="381"/>
      <c r="E45" s="382">
        <f>E24-E44</f>
        <v>0</v>
      </c>
      <c r="F45" s="382"/>
      <c r="G45" s="382"/>
      <c r="H45" s="382">
        <f>H24-H44</f>
        <v>0</v>
      </c>
      <c r="I45" s="382"/>
      <c r="J45" s="382"/>
      <c r="K45" s="382">
        <f>K24-K44</f>
        <v>0</v>
      </c>
      <c r="L45" s="382"/>
      <c r="M45" s="382"/>
      <c r="N45" s="382">
        <f>N24-N44</f>
        <v>0</v>
      </c>
      <c r="O45" s="382"/>
      <c r="P45" s="382"/>
      <c r="Q45" s="382">
        <f>Q24-Q44</f>
        <v>0</v>
      </c>
      <c r="R45" s="382"/>
      <c r="S45" s="382"/>
      <c r="T45" s="382">
        <f>T24-T44</f>
        <v>0</v>
      </c>
      <c r="U45" s="383"/>
      <c r="V45" s="383"/>
      <c r="W45" s="382">
        <f>W24-W44</f>
        <v>0</v>
      </c>
      <c r="X45" s="383"/>
      <c r="Y45" s="383"/>
      <c r="Z45" s="382">
        <f>Z24-Z44</f>
        <v>0</v>
      </c>
      <c r="AA45" s="383"/>
      <c r="AB45" s="384"/>
      <c r="AC45" s="384"/>
      <c r="AD45" s="277"/>
      <c r="AE45" s="285"/>
      <c r="AF45" s="385"/>
      <c r="AG45" s="385"/>
      <c r="AH45" s="385"/>
      <c r="AI45" s="385"/>
      <c r="AJ45" s="385"/>
      <c r="AK45" s="385"/>
      <c r="AL45" s="385"/>
      <c r="AM45" s="385"/>
      <c r="AN45" s="385"/>
      <c r="AO45" s="385"/>
      <c r="AP45" s="385"/>
      <c r="AQ45" s="385"/>
      <c r="AR45" s="385"/>
      <c r="AS45" s="385"/>
      <c r="AT45" s="385"/>
      <c r="AU45" s="385"/>
      <c r="AV45" s="385"/>
      <c r="AW45" s="385"/>
      <c r="AX45" s="385"/>
      <c r="AY45" s="385"/>
      <c r="AZ45" s="385"/>
      <c r="BA45" s="385"/>
      <c r="BB45" s="385"/>
      <c r="BC45" s="385"/>
      <c r="BD45" s="385"/>
      <c r="BE45" s="385"/>
      <c r="BF45" s="385"/>
      <c r="BG45" s="385"/>
      <c r="BH45" s="385"/>
      <c r="BI45" s="385"/>
      <c r="BJ45" s="385"/>
      <c r="BK45" s="385"/>
      <c r="BL45" s="385"/>
      <c r="BM45" s="385"/>
      <c r="BN45" s="385"/>
      <c r="BO45" s="385"/>
      <c r="BP45" s="385"/>
      <c r="BQ45" s="385"/>
      <c r="BR45" s="385"/>
      <c r="BS45" s="385"/>
      <c r="BT45" s="385"/>
      <c r="BU45" s="385"/>
      <c r="BV45" s="385"/>
      <c r="BW45" s="385"/>
      <c r="BX45" s="385"/>
      <c r="BY45" s="385"/>
      <c r="BZ45" s="385"/>
      <c r="CA45" s="385"/>
      <c r="CB45" s="385"/>
      <c r="CC45" s="385"/>
      <c r="CD45" s="385"/>
      <c r="CE45" s="385"/>
      <c r="CF45" s="385"/>
      <c r="CG45" s="385"/>
      <c r="CH45" s="385"/>
      <c r="CI45" s="385"/>
      <c r="CJ45" s="385"/>
      <c r="CK45" s="385"/>
      <c r="CL45" s="385"/>
      <c r="CM45" s="385"/>
      <c r="CN45" s="385"/>
      <c r="CO45" s="385"/>
      <c r="CP45" s="385"/>
      <c r="CQ45" s="385"/>
      <c r="CR45" s="385"/>
      <c r="CS45" s="385"/>
      <c r="CT45" s="385"/>
      <c r="CU45" s="385"/>
      <c r="CV45" s="385"/>
      <c r="CW45" s="385"/>
      <c r="CX45" s="385"/>
      <c r="CY45" s="385"/>
      <c r="CZ45" s="385"/>
      <c r="DA45" s="385"/>
      <c r="DB45" s="385"/>
      <c r="DC45" s="385"/>
      <c r="DD45" s="385"/>
      <c r="DE45" s="385"/>
      <c r="DF45" s="385"/>
    </row>
    <row r="46" s="299" customFormat="1" ht="15.6" spans="1:110">
      <c r="A46" s="379"/>
      <c r="B46" s="373" t="s">
        <v>171</v>
      </c>
      <c r="C46" s="380"/>
      <c r="D46" s="381"/>
      <c r="E46" s="375"/>
      <c r="F46" s="376"/>
      <c r="G46" s="376"/>
      <c r="H46" s="375"/>
      <c r="I46" s="376"/>
      <c r="J46" s="374"/>
      <c r="K46" s="375"/>
      <c r="L46" s="374"/>
      <c r="M46" s="376"/>
      <c r="N46" s="375"/>
      <c r="O46" s="376"/>
      <c r="P46" s="376"/>
      <c r="Q46" s="375"/>
      <c r="R46" s="382"/>
      <c r="S46" s="382"/>
      <c r="T46" s="375"/>
      <c r="U46" s="383"/>
      <c r="V46" s="383"/>
      <c r="W46" s="375"/>
      <c r="X46" s="383"/>
      <c r="Y46" s="383"/>
      <c r="Z46" s="375">
        <f>SUM(E46,H46,K46,N46,Q46,T46,W46)</f>
        <v>0</v>
      </c>
      <c r="AA46" s="383"/>
      <c r="AB46" s="384"/>
      <c r="AC46" s="384"/>
      <c r="AD46" s="277"/>
      <c r="AE46" s="285"/>
      <c r="AF46" s="385"/>
      <c r="AG46" s="385"/>
      <c r="AH46" s="385"/>
      <c r="AI46" s="385"/>
      <c r="AJ46" s="385"/>
      <c r="AK46" s="385"/>
      <c r="AL46" s="385"/>
      <c r="AM46" s="385"/>
      <c r="AN46" s="385"/>
      <c r="AO46" s="385"/>
      <c r="AP46" s="385"/>
      <c r="AQ46" s="385"/>
      <c r="AR46" s="385"/>
      <c r="AS46" s="385"/>
      <c r="AT46" s="385"/>
      <c r="AU46" s="385"/>
      <c r="AV46" s="385"/>
      <c r="AW46" s="385"/>
      <c r="AX46" s="385"/>
      <c r="AY46" s="385"/>
      <c r="AZ46" s="385"/>
      <c r="BA46" s="385"/>
      <c r="BB46" s="385"/>
      <c r="BC46" s="385"/>
      <c r="BD46" s="385"/>
      <c r="BE46" s="385"/>
      <c r="BF46" s="385"/>
      <c r="BG46" s="385"/>
      <c r="BH46" s="385"/>
      <c r="BI46" s="385"/>
      <c r="BJ46" s="385"/>
      <c r="BK46" s="385"/>
      <c r="BL46" s="385"/>
      <c r="BM46" s="385"/>
      <c r="BN46" s="385"/>
      <c r="BO46" s="385"/>
      <c r="BP46" s="385"/>
      <c r="BQ46" s="385"/>
      <c r="BR46" s="385"/>
      <c r="BS46" s="385"/>
      <c r="BT46" s="385"/>
      <c r="BU46" s="385"/>
      <c r="BV46" s="385"/>
      <c r="BW46" s="385"/>
      <c r="BX46" s="385"/>
      <c r="BY46" s="385"/>
      <c r="BZ46" s="385"/>
      <c r="CA46" s="385"/>
      <c r="CB46" s="385"/>
      <c r="CC46" s="385"/>
      <c r="CD46" s="385"/>
      <c r="CE46" s="385"/>
      <c r="CF46" s="385"/>
      <c r="CG46" s="385"/>
      <c r="CH46" s="385"/>
      <c r="CI46" s="385"/>
      <c r="CJ46" s="385"/>
      <c r="CK46" s="385"/>
      <c r="CL46" s="385"/>
      <c r="CM46" s="385"/>
      <c r="CN46" s="385"/>
      <c r="CO46" s="385"/>
      <c r="CP46" s="385"/>
      <c r="CQ46" s="385"/>
      <c r="CR46" s="385"/>
      <c r="CS46" s="385"/>
      <c r="CT46" s="385"/>
      <c r="CU46" s="385"/>
      <c r="CV46" s="385"/>
      <c r="CW46" s="385"/>
      <c r="CX46" s="385"/>
      <c r="CY46" s="385"/>
      <c r="CZ46" s="385"/>
      <c r="DA46" s="385"/>
      <c r="DB46" s="385"/>
      <c r="DC46" s="385"/>
      <c r="DD46" s="385"/>
      <c r="DE46" s="385"/>
      <c r="DF46" s="385"/>
    </row>
    <row r="47" s="299" customFormat="1" ht="15.6" spans="1:110">
      <c r="A47" s="379"/>
      <c r="B47" s="373" t="s">
        <v>169</v>
      </c>
      <c r="C47" s="380"/>
      <c r="D47" s="381"/>
      <c r="E47" s="382">
        <f>E30-E46</f>
        <v>0</v>
      </c>
      <c r="F47" s="382"/>
      <c r="G47" s="382"/>
      <c r="H47" s="382">
        <f>H30-H46</f>
        <v>0</v>
      </c>
      <c r="I47" s="382"/>
      <c r="J47" s="382"/>
      <c r="K47" s="382">
        <f>K30-K46</f>
        <v>0</v>
      </c>
      <c r="L47" s="382"/>
      <c r="M47" s="382"/>
      <c r="N47" s="382">
        <f>N30-N46</f>
        <v>0</v>
      </c>
      <c r="O47" s="382"/>
      <c r="P47" s="382"/>
      <c r="Q47" s="382">
        <f>Q30-Q46</f>
        <v>0</v>
      </c>
      <c r="R47" s="382"/>
      <c r="S47" s="382"/>
      <c r="T47" s="382">
        <f>T30-T46</f>
        <v>0</v>
      </c>
      <c r="U47" s="383"/>
      <c r="V47" s="383"/>
      <c r="W47" s="382">
        <f>W30-W46</f>
        <v>0</v>
      </c>
      <c r="X47" s="383"/>
      <c r="Y47" s="383"/>
      <c r="Z47" s="382">
        <f>Z30-Z46</f>
        <v>0</v>
      </c>
      <c r="AA47" s="383"/>
      <c r="AB47" s="384"/>
      <c r="AC47" s="384"/>
      <c r="AD47" s="277"/>
      <c r="AE47" s="285"/>
      <c r="AF47" s="385"/>
      <c r="AG47" s="385"/>
      <c r="AH47" s="385"/>
      <c r="AI47" s="385"/>
      <c r="AJ47" s="385"/>
      <c r="AK47" s="385"/>
      <c r="AL47" s="385"/>
      <c r="AM47" s="385"/>
      <c r="AN47" s="385"/>
      <c r="AO47" s="385"/>
      <c r="AP47" s="385"/>
      <c r="AQ47" s="385"/>
      <c r="AR47" s="385"/>
      <c r="AS47" s="385"/>
      <c r="AT47" s="385"/>
      <c r="AU47" s="385"/>
      <c r="AV47" s="385"/>
      <c r="AW47" s="385"/>
      <c r="AX47" s="385"/>
      <c r="AY47" s="385"/>
      <c r="AZ47" s="385"/>
      <c r="BA47" s="385"/>
      <c r="BB47" s="385"/>
      <c r="BC47" s="385"/>
      <c r="BD47" s="385"/>
      <c r="BE47" s="385"/>
      <c r="BF47" s="385"/>
      <c r="BG47" s="385"/>
      <c r="BH47" s="385"/>
      <c r="BI47" s="385"/>
      <c r="BJ47" s="385"/>
      <c r="BK47" s="385"/>
      <c r="BL47" s="385"/>
      <c r="BM47" s="385"/>
      <c r="BN47" s="385"/>
      <c r="BO47" s="385"/>
      <c r="BP47" s="385"/>
      <c r="BQ47" s="385"/>
      <c r="BR47" s="385"/>
      <c r="BS47" s="385"/>
      <c r="BT47" s="385"/>
      <c r="BU47" s="385"/>
      <c r="BV47" s="385"/>
      <c r="BW47" s="385"/>
      <c r="BX47" s="385"/>
      <c r="BY47" s="385"/>
      <c r="BZ47" s="385"/>
      <c r="CA47" s="385"/>
      <c r="CB47" s="385"/>
      <c r="CC47" s="385"/>
      <c r="CD47" s="385"/>
      <c r="CE47" s="385"/>
      <c r="CF47" s="385"/>
      <c r="CG47" s="385"/>
      <c r="CH47" s="385"/>
      <c r="CI47" s="385"/>
      <c r="CJ47" s="385"/>
      <c r="CK47" s="385"/>
      <c r="CL47" s="385"/>
      <c r="CM47" s="385"/>
      <c r="CN47" s="385"/>
      <c r="CO47" s="385"/>
      <c r="CP47" s="385"/>
      <c r="CQ47" s="385"/>
      <c r="CR47" s="385"/>
      <c r="CS47" s="385"/>
      <c r="CT47" s="385"/>
      <c r="CU47" s="385"/>
      <c r="CV47" s="385"/>
      <c r="CW47" s="385"/>
      <c r="CX47" s="385"/>
      <c r="CY47" s="385"/>
      <c r="CZ47" s="385"/>
      <c r="DA47" s="385"/>
      <c r="DB47" s="385"/>
      <c r="DC47" s="385"/>
      <c r="DD47" s="385"/>
      <c r="DE47" s="385"/>
      <c r="DF47" s="385"/>
    </row>
    <row r="48" s="299" customFormat="1" ht="15.6" spans="1:110">
      <c r="A48" s="379"/>
      <c r="B48" s="373" t="s">
        <v>172</v>
      </c>
      <c r="C48" s="380"/>
      <c r="D48" s="381"/>
      <c r="E48" s="375"/>
      <c r="F48" s="376"/>
      <c r="G48" s="376"/>
      <c r="H48" s="375"/>
      <c r="I48" s="376"/>
      <c r="J48" s="374"/>
      <c r="K48" s="375"/>
      <c r="L48" s="374"/>
      <c r="M48" s="376"/>
      <c r="N48" s="375"/>
      <c r="O48" s="376"/>
      <c r="P48" s="376"/>
      <c r="Q48" s="375"/>
      <c r="R48" s="382"/>
      <c r="S48" s="382"/>
      <c r="T48" s="375"/>
      <c r="U48" s="383"/>
      <c r="V48" s="383"/>
      <c r="W48" s="375"/>
      <c r="X48" s="383"/>
      <c r="Y48" s="383"/>
      <c r="Z48" s="375">
        <f>SUM(E48,H48,K48,N48,Q48,T48,W48)</f>
        <v>0</v>
      </c>
      <c r="AA48" s="383"/>
      <c r="AB48" s="384"/>
      <c r="AC48" s="384"/>
      <c r="AD48" s="277"/>
      <c r="AE48" s="285"/>
      <c r="AF48" s="385"/>
      <c r="AG48" s="385"/>
      <c r="AH48" s="385"/>
      <c r="AI48" s="385"/>
      <c r="AJ48" s="385"/>
      <c r="AK48" s="385"/>
      <c r="AL48" s="385"/>
      <c r="AM48" s="385"/>
      <c r="AN48" s="385"/>
      <c r="AO48" s="385"/>
      <c r="AP48" s="385"/>
      <c r="AQ48" s="385"/>
      <c r="AR48" s="385"/>
      <c r="AS48" s="385"/>
      <c r="AT48" s="385"/>
      <c r="AU48" s="385"/>
      <c r="AV48" s="385"/>
      <c r="AW48" s="385"/>
      <c r="AX48" s="385"/>
      <c r="AY48" s="385"/>
      <c r="AZ48" s="385"/>
      <c r="BA48" s="385"/>
      <c r="BB48" s="385"/>
      <c r="BC48" s="385"/>
      <c r="BD48" s="385"/>
      <c r="BE48" s="385"/>
      <c r="BF48" s="385"/>
      <c r="BG48" s="385"/>
      <c r="BH48" s="385"/>
      <c r="BI48" s="385"/>
      <c r="BJ48" s="385"/>
      <c r="BK48" s="385"/>
      <c r="BL48" s="385"/>
      <c r="BM48" s="385"/>
      <c r="BN48" s="385"/>
      <c r="BO48" s="385"/>
      <c r="BP48" s="385"/>
      <c r="BQ48" s="385"/>
      <c r="BR48" s="385"/>
      <c r="BS48" s="385"/>
      <c r="BT48" s="385"/>
      <c r="BU48" s="385"/>
      <c r="BV48" s="385"/>
      <c r="BW48" s="385"/>
      <c r="BX48" s="385"/>
      <c r="BY48" s="385"/>
      <c r="BZ48" s="385"/>
      <c r="CA48" s="385"/>
      <c r="CB48" s="385"/>
      <c r="CC48" s="385"/>
      <c r="CD48" s="385"/>
      <c r="CE48" s="385"/>
      <c r="CF48" s="385"/>
      <c r="CG48" s="385"/>
      <c r="CH48" s="385"/>
      <c r="CI48" s="385"/>
      <c r="CJ48" s="385"/>
      <c r="CK48" s="385"/>
      <c r="CL48" s="385"/>
      <c r="CM48" s="385"/>
      <c r="CN48" s="385"/>
      <c r="CO48" s="385"/>
      <c r="CP48" s="385"/>
      <c r="CQ48" s="385"/>
      <c r="CR48" s="385"/>
      <c r="CS48" s="385"/>
      <c r="CT48" s="385"/>
      <c r="CU48" s="385"/>
      <c r="CV48" s="385"/>
      <c r="CW48" s="385"/>
      <c r="CX48" s="385"/>
      <c r="CY48" s="385"/>
      <c r="CZ48" s="385"/>
      <c r="DA48" s="385"/>
      <c r="DB48" s="385"/>
      <c r="DC48" s="385"/>
      <c r="DD48" s="385"/>
      <c r="DE48" s="385"/>
      <c r="DF48" s="385"/>
    </row>
    <row r="49" s="299" customFormat="1" ht="15.6" spans="1:110">
      <c r="A49" s="379"/>
      <c r="B49" s="373" t="s">
        <v>169</v>
      </c>
      <c r="C49" s="380"/>
      <c r="D49" s="381"/>
      <c r="E49" s="382">
        <f>E32-E48</f>
        <v>0</v>
      </c>
      <c r="F49" s="382"/>
      <c r="G49" s="382"/>
      <c r="H49" s="382">
        <f>H32-H48</f>
        <v>0</v>
      </c>
      <c r="I49" s="382"/>
      <c r="J49" s="382"/>
      <c r="K49" s="382">
        <f>K32-K48</f>
        <v>0</v>
      </c>
      <c r="L49" s="382"/>
      <c r="M49" s="382"/>
      <c r="N49" s="382">
        <f>N32-N48</f>
        <v>0</v>
      </c>
      <c r="O49" s="382"/>
      <c r="P49" s="382"/>
      <c r="Q49" s="382">
        <f>Q32-Q48</f>
        <v>0</v>
      </c>
      <c r="R49" s="382"/>
      <c r="S49" s="382"/>
      <c r="T49" s="382">
        <f>T32-T48</f>
        <v>0</v>
      </c>
      <c r="U49" s="383"/>
      <c r="V49" s="383"/>
      <c r="W49" s="382">
        <f>W32-W48</f>
        <v>0</v>
      </c>
      <c r="X49" s="383"/>
      <c r="Y49" s="383"/>
      <c r="Z49" s="382">
        <f>Z32-Z48</f>
        <v>0</v>
      </c>
      <c r="AA49" s="383"/>
      <c r="AB49" s="384"/>
      <c r="AC49" s="384"/>
      <c r="AD49" s="277"/>
      <c r="AE49" s="285"/>
      <c r="AF49" s="385"/>
      <c r="AG49" s="385"/>
      <c r="AH49" s="385"/>
      <c r="AI49" s="385"/>
      <c r="AJ49" s="385"/>
      <c r="AK49" s="385"/>
      <c r="AL49" s="385"/>
      <c r="AM49" s="385"/>
      <c r="AN49" s="385"/>
      <c r="AO49" s="385"/>
      <c r="AP49" s="385"/>
      <c r="AQ49" s="385"/>
      <c r="AR49" s="385"/>
      <c r="AS49" s="385"/>
      <c r="AT49" s="385"/>
      <c r="AU49" s="385"/>
      <c r="AV49" s="385"/>
      <c r="AW49" s="385"/>
      <c r="AX49" s="385"/>
      <c r="AY49" s="385"/>
      <c r="AZ49" s="385"/>
      <c r="BA49" s="385"/>
      <c r="BB49" s="385"/>
      <c r="BC49" s="385"/>
      <c r="BD49" s="385"/>
      <c r="BE49" s="385"/>
      <c r="BF49" s="385"/>
      <c r="BG49" s="385"/>
      <c r="BH49" s="385"/>
      <c r="BI49" s="385"/>
      <c r="BJ49" s="385"/>
      <c r="BK49" s="385"/>
      <c r="BL49" s="385"/>
      <c r="BM49" s="385"/>
      <c r="BN49" s="385"/>
      <c r="BO49" s="385"/>
      <c r="BP49" s="385"/>
      <c r="BQ49" s="385"/>
      <c r="BR49" s="385"/>
      <c r="BS49" s="385"/>
      <c r="BT49" s="385"/>
      <c r="BU49" s="385"/>
      <c r="BV49" s="385"/>
      <c r="BW49" s="385"/>
      <c r="BX49" s="385"/>
      <c r="BY49" s="385"/>
      <c r="BZ49" s="385"/>
      <c r="CA49" s="385"/>
      <c r="CB49" s="385"/>
      <c r="CC49" s="385"/>
      <c r="CD49" s="385"/>
      <c r="CE49" s="385"/>
      <c r="CF49" s="385"/>
      <c r="CG49" s="385"/>
      <c r="CH49" s="385"/>
      <c r="CI49" s="385"/>
      <c r="CJ49" s="385"/>
      <c r="CK49" s="385"/>
      <c r="CL49" s="385"/>
      <c r="CM49" s="385"/>
      <c r="CN49" s="385"/>
      <c r="CO49" s="385"/>
      <c r="CP49" s="385"/>
      <c r="CQ49" s="385"/>
      <c r="CR49" s="385"/>
      <c r="CS49" s="385"/>
      <c r="CT49" s="385"/>
      <c r="CU49" s="385"/>
      <c r="CV49" s="385"/>
      <c r="CW49" s="385"/>
      <c r="CX49" s="385"/>
      <c r="CY49" s="385"/>
      <c r="CZ49" s="385"/>
      <c r="DA49" s="385"/>
      <c r="DB49" s="385"/>
      <c r="DC49" s="385"/>
      <c r="DD49" s="385"/>
      <c r="DE49" s="385"/>
      <c r="DF49" s="385"/>
    </row>
    <row r="50" s="299" customFormat="1" ht="13.8" spans="1:110">
      <c r="A50" s="386"/>
      <c r="B50" s="387"/>
      <c r="C50" s="388"/>
      <c r="D50" s="389"/>
      <c r="E50" s="390"/>
      <c r="F50" s="390"/>
      <c r="G50" s="390"/>
      <c r="H50" s="390"/>
      <c r="I50" s="390"/>
      <c r="J50" s="390"/>
      <c r="K50" s="390"/>
      <c r="L50" s="390"/>
      <c r="M50" s="390"/>
      <c r="N50" s="390"/>
      <c r="O50" s="390"/>
      <c r="P50" s="390"/>
      <c r="Q50" s="390"/>
      <c r="R50" s="390"/>
      <c r="S50" s="390"/>
      <c r="T50" s="390"/>
      <c r="U50" s="216"/>
      <c r="V50" s="216"/>
      <c r="W50" s="390"/>
      <c r="X50" s="216"/>
      <c r="Y50" s="216"/>
      <c r="Z50" s="216"/>
      <c r="AA50" s="216"/>
      <c r="AB50" s="216"/>
      <c r="AC50" s="216"/>
      <c r="AD50" s="277"/>
      <c r="AE50" s="285"/>
    </row>
    <row r="51" s="299" customFormat="1" ht="15.6" spans="1:110">
      <c r="A51" s="386"/>
      <c r="B51" s="323" t="s">
        <v>173</v>
      </c>
      <c r="C51" s="388"/>
      <c r="D51" s="389"/>
      <c r="E51" s="390"/>
      <c r="F51" s="390"/>
      <c r="G51" s="390"/>
      <c r="H51" s="390"/>
      <c r="I51" s="390"/>
      <c r="J51" s="390"/>
      <c r="K51" s="390"/>
      <c r="L51" s="390"/>
      <c r="M51" s="390"/>
      <c r="N51" s="390"/>
      <c r="O51" s="390"/>
      <c r="P51" s="390"/>
      <c r="Q51" s="390"/>
      <c r="R51" s="390"/>
      <c r="S51" s="390"/>
      <c r="T51" s="390"/>
      <c r="U51" s="216"/>
      <c r="V51" s="216"/>
      <c r="W51" s="390"/>
      <c r="X51" s="216"/>
      <c r="Y51" s="216"/>
      <c r="Z51" s="216"/>
      <c r="AA51" s="216"/>
      <c r="AB51" s="216"/>
      <c r="AC51" s="216"/>
      <c r="AD51" s="277"/>
      <c r="AE51" s="285"/>
    </row>
    <row r="52" s="299" customFormat="1" ht="15.6" spans="1:110">
      <c r="A52" s="386"/>
      <c r="B52" s="286" t="s">
        <v>174</v>
      </c>
      <c r="C52" s="388"/>
      <c r="D52" s="389"/>
      <c r="E52" s="390"/>
      <c r="F52" s="390"/>
      <c r="H52" s="391" t="s">
        <v>175</v>
      </c>
      <c r="I52" s="390"/>
      <c r="J52" s="390"/>
      <c r="K52" s="390"/>
      <c r="L52" s="390"/>
      <c r="M52" s="390"/>
      <c r="N52" s="390"/>
      <c r="O52" s="390"/>
      <c r="P52" s="390"/>
      <c r="Q52" s="390"/>
      <c r="R52" s="390"/>
      <c r="S52" s="390"/>
      <c r="T52" s="390"/>
      <c r="U52" s="216"/>
      <c r="V52" s="216"/>
      <c r="W52" s="390"/>
      <c r="X52" s="216"/>
      <c r="Y52" s="216"/>
      <c r="Z52" s="216"/>
      <c r="AA52" s="216"/>
      <c r="AB52" s="216"/>
      <c r="AC52" s="216"/>
      <c r="AD52" s="277"/>
      <c r="AE52" s="285"/>
    </row>
    <row r="53" s="277" customFormat="1" ht="15.65" customHeight="1" spans="1:110">
      <c r="A53" s="286"/>
      <c r="B53" s="392"/>
      <c r="C53" s="393"/>
      <c r="D53" s="394" t="s">
        <v>176</v>
      </c>
      <c r="E53" s="393"/>
      <c r="F53" s="395"/>
      <c r="H53" s="396" t="s">
        <v>177</v>
      </c>
      <c r="I53" s="397"/>
      <c r="J53" s="397"/>
      <c r="K53" s="398"/>
      <c r="M53" s="399"/>
      <c r="AE53" s="285"/>
    </row>
    <row r="54" s="277" customFormat="1" ht="15.6" spans="1:110">
      <c r="A54" s="286"/>
      <c r="B54" s="400" t="s">
        <v>178</v>
      </c>
      <c r="C54" s="401" t="s">
        <v>179</v>
      </c>
      <c r="D54" s="401" t="s">
        <v>180</v>
      </c>
      <c r="E54" s="401" t="s">
        <v>181</v>
      </c>
      <c r="F54" s="401" t="s">
        <v>182</v>
      </c>
      <c r="G54" s="402"/>
      <c r="H54" s="401" t="s">
        <v>179</v>
      </c>
      <c r="I54" s="401" t="s">
        <v>180</v>
      </c>
      <c r="J54" s="401" t="s">
        <v>181</v>
      </c>
      <c r="K54" s="401" t="s">
        <v>182</v>
      </c>
      <c r="M54" s="399"/>
      <c r="AE54" s="285"/>
    </row>
    <row r="55" s="277" customFormat="1" ht="15.75" customHeight="1" spans="1:110">
      <c r="A55" s="286"/>
      <c r="B55" s="403" t="str">
        <f>F10</f>
        <v>【…】</v>
      </c>
      <c r="C55" s="404"/>
      <c r="D55" s="404"/>
      <c r="E55" s="404"/>
      <c r="F55" s="404"/>
      <c r="H55" s="405">
        <f>C55-E18</f>
        <v>0</v>
      </c>
      <c r="I55" s="405">
        <f>D55-E24</f>
        <v>0</v>
      </c>
      <c r="J55" s="405">
        <f>E55-E30</f>
        <v>0</v>
      </c>
      <c r="K55" s="405">
        <f>F55-E32</f>
        <v>0</v>
      </c>
      <c r="M55" s="399"/>
      <c r="AE55" s="285"/>
    </row>
    <row r="56" s="277" customFormat="1" ht="15.75" customHeight="1" spans="1:110">
      <c r="A56" s="286"/>
      <c r="B56" s="403" t="str">
        <f>I10</f>
        <v>【…】</v>
      </c>
      <c r="C56" s="404"/>
      <c r="D56" s="404"/>
      <c r="E56" s="404"/>
      <c r="F56" s="404"/>
      <c r="H56" s="405">
        <f>C56-H18</f>
        <v>0</v>
      </c>
      <c r="I56" s="405">
        <f>D56-H24</f>
        <v>0</v>
      </c>
      <c r="J56" s="405">
        <f>E56-H30</f>
        <v>0</v>
      </c>
      <c r="K56" s="405">
        <f>F56-H32</f>
        <v>0</v>
      </c>
      <c r="M56" s="399"/>
      <c r="AE56" s="285"/>
    </row>
    <row r="57" s="277" customFormat="1" ht="15.75" customHeight="1" spans="1:110">
      <c r="A57" s="286"/>
      <c r="B57" s="403" t="str">
        <f>L10</f>
        <v>【…】</v>
      </c>
      <c r="C57" s="404"/>
      <c r="D57" s="404"/>
      <c r="E57" s="404"/>
      <c r="F57" s="404"/>
      <c r="H57" s="406">
        <f>C57-K18</f>
        <v>0</v>
      </c>
      <c r="I57" s="406">
        <f>D57-K24</f>
        <v>0</v>
      </c>
      <c r="J57" s="406">
        <f>E57-K30</f>
        <v>0</v>
      </c>
      <c r="K57" s="406">
        <f>F57-K32</f>
        <v>0</v>
      </c>
      <c r="M57" s="399"/>
      <c r="AE57" s="285"/>
    </row>
    <row r="58" s="277" customFormat="1" ht="15.75" customHeight="1" spans="1:110">
      <c r="A58" s="286"/>
      <c r="B58" s="403" t="str">
        <f>O10</f>
        <v>【…】</v>
      </c>
      <c r="C58" s="404"/>
      <c r="D58" s="404"/>
      <c r="E58" s="404"/>
      <c r="F58" s="404"/>
      <c r="H58" s="405">
        <f>C58-N18</f>
        <v>0</v>
      </c>
      <c r="I58" s="405">
        <f>D58-N24</f>
        <v>0</v>
      </c>
      <c r="J58" s="405">
        <f>E58-N30</f>
        <v>0</v>
      </c>
      <c r="K58" s="405">
        <f>F58-N32</f>
        <v>0</v>
      </c>
      <c r="M58" s="399"/>
      <c r="AE58" s="285"/>
    </row>
    <row r="59" s="277" customFormat="1" ht="15.75" customHeight="1" spans="1:110">
      <c r="A59" s="286"/>
      <c r="B59" s="403" t="str">
        <f>R10</f>
        <v>【…】</v>
      </c>
      <c r="C59" s="404"/>
      <c r="D59" s="404"/>
      <c r="E59" s="404"/>
      <c r="F59" s="404"/>
      <c r="H59" s="405">
        <f>C59-Q18</f>
        <v>0</v>
      </c>
      <c r="I59" s="405">
        <f>D59-Q24</f>
        <v>0</v>
      </c>
      <c r="J59" s="405">
        <f>E59-Q30</f>
        <v>0</v>
      </c>
      <c r="K59" s="405">
        <f>F59-Q32</f>
        <v>0</v>
      </c>
      <c r="M59" s="399"/>
      <c r="AE59" s="285"/>
    </row>
    <row r="60" s="277" customFormat="1" ht="15.75" customHeight="1" spans="1:110">
      <c r="A60" s="407"/>
      <c r="B60" s="403" t="str">
        <f>U10</f>
        <v>【…】</v>
      </c>
      <c r="C60" s="404"/>
      <c r="D60" s="404"/>
      <c r="E60" s="404"/>
      <c r="F60" s="404"/>
      <c r="G60" s="300"/>
      <c r="H60" s="408">
        <f>C60-T18</f>
        <v>0</v>
      </c>
      <c r="I60" s="408">
        <f>D60-T24</f>
        <v>0</v>
      </c>
      <c r="J60" s="408">
        <f>E60-T30</f>
        <v>0</v>
      </c>
      <c r="K60" s="408">
        <f>F60-T32</f>
        <v>0</v>
      </c>
      <c r="M60" s="409"/>
      <c r="AE60" s="285"/>
    </row>
    <row r="61" s="300" customFormat="1" ht="15.75" customHeight="1" spans="1:110">
      <c r="A61" s="57"/>
      <c r="B61" s="403" t="str">
        <f>X10</f>
        <v>【…】</v>
      </c>
      <c r="C61" s="404"/>
      <c r="D61" s="404"/>
      <c r="E61" s="404"/>
      <c r="F61" s="404"/>
      <c r="H61" s="408">
        <f>C61-W18</f>
        <v>0</v>
      </c>
      <c r="I61" s="408">
        <f>D61-W24</f>
        <v>0</v>
      </c>
      <c r="J61" s="408">
        <f>E61-W30</f>
        <v>0</v>
      </c>
      <c r="K61" s="408">
        <f>F61-W32</f>
        <v>0</v>
      </c>
      <c r="M61" s="409"/>
      <c r="AD61" s="277"/>
      <c r="AE61" s="285"/>
    </row>
    <row r="62" s="277" customFormat="1" ht="15.65" customHeight="1" spans="1:110">
      <c r="A62" s="410"/>
      <c r="B62" s="411" t="s">
        <v>183</v>
      </c>
      <c r="C62" s="412">
        <f>SUM(C55:C61)</f>
        <v>0</v>
      </c>
      <c r="D62" s="412">
        <f>SUM(D55:D61)</f>
        <v>0</v>
      </c>
      <c r="E62" s="412">
        <f>SUM(E55:E61)</f>
        <v>0</v>
      </c>
      <c r="F62" s="412">
        <f>SUM(F55:F61)</f>
        <v>0</v>
      </c>
      <c r="G62" s="413"/>
      <c r="H62" s="132">
        <f>C62-Z18</f>
        <v>0</v>
      </c>
      <c r="I62" s="405">
        <f>D62-Z24</f>
        <v>0</v>
      </c>
      <c r="J62" s="405">
        <f>E62-Z30</f>
        <v>0</v>
      </c>
      <c r="K62" s="405">
        <f>F62-Z32</f>
        <v>0</v>
      </c>
      <c r="M62" s="409"/>
      <c r="AE62" s="285"/>
    </row>
    <row r="63" s="301" customFormat="1" ht="13.8" spans="1:110">
      <c r="A63" s="407"/>
      <c r="C63" s="414" t="s">
        <v>76</v>
      </c>
      <c r="D63" s="414" t="s">
        <v>76</v>
      </c>
      <c r="E63" s="414" t="s">
        <v>76</v>
      </c>
      <c r="F63" s="414" t="s">
        <v>76</v>
      </c>
      <c r="L63" s="415"/>
      <c r="M63" s="415"/>
      <c r="N63" s="415"/>
      <c r="AD63" s="277"/>
      <c r="AE63" s="285"/>
    </row>
    <row r="64" s="301" customFormat="1" ht="13.8" spans="1:110">
      <c r="A64" s="407"/>
      <c r="C64" s="414"/>
      <c r="D64" s="414"/>
      <c r="E64" s="414"/>
      <c r="F64" s="414"/>
      <c r="L64" s="415"/>
      <c r="M64" s="415"/>
      <c r="N64" s="415"/>
      <c r="AD64" s="277"/>
      <c r="AE64" s="285"/>
    </row>
    <row r="65" s="299" customFormat="1" ht="15" spans="1:31">
      <c r="A65" s="386"/>
      <c r="B65" s="416" t="s">
        <v>184</v>
      </c>
      <c r="C65" s="417"/>
      <c r="D65" s="418"/>
      <c r="E65" s="418"/>
      <c r="F65" s="418"/>
      <c r="G65" s="418"/>
      <c r="H65" s="418"/>
      <c r="I65" s="418"/>
      <c r="J65" s="418"/>
      <c r="K65" s="419"/>
      <c r="L65" s="418"/>
      <c r="M65" s="419"/>
      <c r="N65" s="419"/>
      <c r="O65" s="418"/>
      <c r="P65" s="418"/>
      <c r="Q65" s="418"/>
      <c r="R65" s="418"/>
      <c r="S65" s="419"/>
      <c r="T65" s="420"/>
      <c r="X65" s="421"/>
      <c r="Y65" s="422"/>
      <c r="AD65" s="277"/>
      <c r="AE65" s="285"/>
    </row>
    <row r="66" s="277" customFormat="1" ht="13.8" spans="1:31">
      <c r="A66" s="286"/>
      <c r="B66" s="70"/>
      <c r="C66" s="71"/>
      <c r="D66" s="71"/>
      <c r="E66" s="71"/>
      <c r="F66" s="72"/>
      <c r="G66" s="303"/>
      <c r="H66" s="303"/>
      <c r="I66" s="303"/>
      <c r="J66" s="303"/>
      <c r="K66" s="305"/>
      <c r="L66" s="303"/>
      <c r="M66" s="303"/>
      <c r="N66" s="303"/>
      <c r="O66" s="303"/>
      <c r="AE66" s="285"/>
    </row>
    <row r="67" s="277" customFormat="1" ht="13.8" spans="1:31">
      <c r="A67" s="286"/>
      <c r="B67" s="74"/>
      <c r="C67" s="75"/>
      <c r="D67" s="75"/>
      <c r="E67" s="75"/>
      <c r="F67" s="76"/>
      <c r="G67" s="303"/>
      <c r="H67" s="303"/>
      <c r="I67" s="303"/>
      <c r="J67" s="303"/>
      <c r="K67" s="305"/>
      <c r="L67" s="303"/>
      <c r="M67" s="303"/>
      <c r="N67" s="303"/>
      <c r="O67" s="303"/>
      <c r="AE67" s="285"/>
    </row>
    <row r="68" s="277" customFormat="1" ht="13.8" spans="1:31">
      <c r="A68" s="286"/>
      <c r="B68" s="74"/>
      <c r="C68" s="75"/>
      <c r="D68" s="75"/>
      <c r="E68" s="75"/>
      <c r="F68" s="76"/>
      <c r="G68" s="303"/>
      <c r="H68" s="303"/>
      <c r="I68" s="303"/>
      <c r="J68" s="303"/>
      <c r="K68" s="305"/>
      <c r="L68" s="303"/>
      <c r="M68" s="303"/>
      <c r="N68" s="303"/>
      <c r="O68" s="303"/>
      <c r="AE68" s="285"/>
    </row>
    <row r="69" s="277" customFormat="1" ht="13.8" spans="1:31">
      <c r="A69" s="286"/>
      <c r="B69" s="77"/>
      <c r="C69" s="78"/>
      <c r="D69" s="78"/>
      <c r="E69" s="78"/>
      <c r="F69" s="79"/>
      <c r="G69" s="303"/>
      <c r="H69" s="303"/>
      <c r="I69" s="303"/>
      <c r="J69" s="303"/>
      <c r="K69" s="305"/>
      <c r="L69" s="303"/>
      <c r="M69" s="303"/>
      <c r="N69" s="303"/>
      <c r="O69" s="303"/>
      <c r="AE69" s="285"/>
    </row>
    <row r="70" s="277" customFormat="1" ht="13.8" spans="1:31">
      <c r="A70" s="286"/>
      <c r="B70" s="423"/>
      <c r="C70" s="423"/>
      <c r="D70" s="423"/>
      <c r="E70" s="423"/>
      <c r="F70" s="423"/>
      <c r="G70" s="303"/>
      <c r="H70" s="303"/>
      <c r="I70" s="303"/>
      <c r="J70" s="303"/>
      <c r="K70" s="305"/>
      <c r="L70" s="303"/>
      <c r="M70" s="303"/>
      <c r="N70" s="303"/>
      <c r="O70" s="303"/>
      <c r="AE70" s="285"/>
    </row>
    <row r="71" s="58" customFormat="1" ht="15.6" spans="1:31">
      <c r="A71" s="57"/>
      <c r="B71" s="424" t="s">
        <v>185</v>
      </c>
      <c r="D71" s="425"/>
      <c r="E71" s="425"/>
      <c r="F71" s="425"/>
      <c r="G71" s="426"/>
      <c r="I71" s="427"/>
      <c r="J71" s="426"/>
      <c r="K71" s="426"/>
      <c r="M71" s="426"/>
      <c r="AE71" s="67"/>
    </row>
    <row r="72" s="58" customFormat="1" ht="15.6" spans="1:31">
      <c r="A72" s="57"/>
      <c r="B72" s="428" t="s">
        <v>186</v>
      </c>
      <c r="G72" s="59"/>
      <c r="J72" s="60"/>
      <c r="AE72" s="67"/>
    </row>
    <row r="73" s="58" customFormat="1" ht="15.6" spans="1:31">
      <c r="A73" s="286"/>
      <c r="B73" s="325" t="s">
        <v>187</v>
      </c>
      <c r="C73" s="429"/>
      <c r="D73" s="429"/>
      <c r="E73" s="430"/>
      <c r="F73" s="431"/>
      <c r="G73" s="432"/>
      <c r="I73" s="303"/>
      <c r="J73" s="303"/>
      <c r="K73" s="303"/>
      <c r="L73" s="277"/>
      <c r="M73" s="305"/>
      <c r="N73" s="303"/>
      <c r="P73" s="277"/>
      <c r="Q73" s="277"/>
      <c r="R73" s="277"/>
      <c r="S73" s="277"/>
      <c r="T73" s="277"/>
      <c r="AE73" s="67"/>
    </row>
    <row r="74" s="58" customFormat="1" ht="15.6" spans="1:31">
      <c r="A74" s="286"/>
      <c r="B74" s="433" t="s">
        <v>188</v>
      </c>
      <c r="C74" s="324" t="s">
        <v>189</v>
      </c>
      <c r="D74" s="214" t="s">
        <v>190</v>
      </c>
      <c r="E74" s="214" t="s">
        <v>191</v>
      </c>
      <c r="F74" s="324" t="s">
        <v>192</v>
      </c>
      <c r="G74" s="434"/>
      <c r="I74" s="303"/>
      <c r="J74" s="303"/>
      <c r="K74" s="303"/>
      <c r="L74" s="277"/>
      <c r="M74" s="305"/>
      <c r="N74" s="303"/>
      <c r="P74" s="277"/>
      <c r="Q74" s="277"/>
      <c r="R74" s="277"/>
      <c r="S74" s="277"/>
      <c r="T74" s="277"/>
      <c r="AE74" s="67"/>
    </row>
    <row r="75" s="58" customFormat="1" customHeight="1" spans="1:31">
      <c r="A75" s="286"/>
      <c r="B75" s="435"/>
      <c r="C75" s="84"/>
      <c r="D75" s="187"/>
      <c r="E75" s="300" t="s">
        <v>193</v>
      </c>
      <c r="F75" s="141"/>
      <c r="G75" s="434"/>
      <c r="I75" s="303"/>
      <c r="J75" s="303"/>
      <c r="K75" s="303"/>
      <c r="L75" s="277"/>
      <c r="M75" s="305"/>
      <c r="N75" s="303"/>
      <c r="P75" s="277"/>
      <c r="Q75" s="277"/>
      <c r="R75" s="277"/>
      <c r="S75" s="277"/>
      <c r="T75" s="277"/>
      <c r="AE75" s="67"/>
    </row>
    <row r="76" s="58" customFormat="1" customHeight="1" spans="1:31">
      <c r="A76" s="286"/>
      <c r="B76" s="435"/>
      <c r="C76" s="84"/>
      <c r="D76" s="436"/>
      <c r="E76" s="58" t="s">
        <v>194</v>
      </c>
      <c r="F76" s="141"/>
      <c r="G76" s="434"/>
      <c r="I76" s="303"/>
      <c r="J76" s="303"/>
      <c r="K76" s="303"/>
      <c r="L76" s="277"/>
      <c r="M76" s="305"/>
      <c r="N76" s="303"/>
      <c r="P76" s="277"/>
      <c r="Q76" s="277"/>
      <c r="R76" s="277"/>
      <c r="S76" s="277"/>
      <c r="T76" s="277"/>
      <c r="AE76" s="67"/>
    </row>
    <row r="77" s="58" customFormat="1" customHeight="1" spans="1:31">
      <c r="A77" s="286"/>
      <c r="B77" s="435"/>
      <c r="C77" s="84"/>
      <c r="D77" s="436"/>
      <c r="E77" s="58" t="s">
        <v>195</v>
      </c>
      <c r="F77" s="141"/>
      <c r="G77" s="434"/>
      <c r="I77" s="303"/>
      <c r="J77" s="303"/>
      <c r="K77" s="303"/>
      <c r="L77" s="277"/>
      <c r="M77" s="305"/>
      <c r="N77" s="303"/>
      <c r="P77" s="277"/>
      <c r="Q77" s="277"/>
      <c r="R77" s="277"/>
      <c r="S77" s="277"/>
      <c r="T77" s="277"/>
      <c r="AE77" s="67"/>
    </row>
    <row r="78" s="58" customFormat="1" customHeight="1" spans="1:31">
      <c r="A78" s="286"/>
      <c r="B78" s="435"/>
      <c r="C78" s="84"/>
      <c r="D78" s="436"/>
      <c r="E78" s="58" t="s">
        <v>196</v>
      </c>
      <c r="F78" s="141"/>
      <c r="G78" s="434"/>
      <c r="I78" s="303"/>
      <c r="J78" s="303"/>
      <c r="K78" s="303"/>
      <c r="L78" s="277"/>
      <c r="M78" s="305"/>
      <c r="N78" s="303"/>
      <c r="P78" s="277"/>
      <c r="Q78" s="277"/>
      <c r="R78" s="277"/>
      <c r="S78" s="277"/>
      <c r="T78" s="277"/>
      <c r="AE78" s="67"/>
    </row>
    <row r="79" s="58" customFormat="1" customHeight="1" spans="1:31">
      <c r="A79" s="286"/>
      <c r="B79" s="435"/>
      <c r="C79" s="84"/>
      <c r="D79" s="84"/>
      <c r="E79" s="58" t="s">
        <v>150</v>
      </c>
      <c r="F79" s="141"/>
      <c r="G79" s="434"/>
      <c r="I79" s="303"/>
      <c r="J79" s="303"/>
      <c r="K79" s="303"/>
      <c r="L79" s="277"/>
      <c r="M79" s="305"/>
      <c r="N79" s="303"/>
      <c r="P79" s="277"/>
      <c r="Q79" s="277"/>
      <c r="R79" s="277"/>
      <c r="S79" s="277"/>
      <c r="T79" s="277"/>
      <c r="AE79" s="67"/>
    </row>
    <row r="80" s="58" customFormat="1" customHeight="1" spans="1:31">
      <c r="A80" s="286"/>
      <c r="B80" s="437"/>
      <c r="E80" s="58" t="s">
        <v>197</v>
      </c>
      <c r="F80" s="438">
        <f>SUM(F75:F79)</f>
        <v>0</v>
      </c>
      <c r="G80" s="434"/>
      <c r="I80" s="303"/>
      <c r="J80" s="303"/>
      <c r="K80" s="303"/>
      <c r="L80" s="277"/>
      <c r="M80" s="305"/>
      <c r="N80" s="303"/>
      <c r="P80" s="277"/>
      <c r="Q80" s="277"/>
      <c r="R80" s="277"/>
      <c r="S80" s="277"/>
      <c r="T80" s="277"/>
      <c r="AE80" s="67"/>
    </row>
    <row r="81" s="58" customFormat="1" customHeight="1" spans="1:31">
      <c r="A81" s="286"/>
      <c r="B81" s="439" t="s">
        <v>198</v>
      </c>
      <c r="C81" s="57"/>
      <c r="D81" s="286" t="s">
        <v>58</v>
      </c>
      <c r="E81" s="58" t="s">
        <v>199</v>
      </c>
      <c r="F81" s="440">
        <f>Z20</f>
        <v>0</v>
      </c>
      <c r="G81" s="434"/>
      <c r="I81" s="303"/>
      <c r="J81" s="303"/>
      <c r="K81" s="303"/>
      <c r="L81" s="277"/>
      <c r="M81" s="305"/>
      <c r="N81" s="303"/>
      <c r="P81" s="277"/>
      <c r="Q81" s="277"/>
      <c r="R81" s="277"/>
      <c r="S81" s="277"/>
      <c r="T81" s="277"/>
      <c r="AE81" s="67"/>
    </row>
    <row r="82" s="58" customFormat="1" customHeight="1" spans="1:31">
      <c r="A82" s="286"/>
      <c r="B82" s="437"/>
      <c r="E82" s="58" t="s">
        <v>200</v>
      </c>
      <c r="F82" s="441">
        <f>F80-F81</f>
        <v>0</v>
      </c>
      <c r="G82" s="434"/>
      <c r="I82" s="303"/>
      <c r="J82" s="303"/>
      <c r="K82" s="303"/>
      <c r="L82" s="277"/>
      <c r="M82" s="305"/>
      <c r="N82" s="303"/>
      <c r="P82" s="277"/>
      <c r="Q82" s="277"/>
      <c r="R82" s="277"/>
      <c r="S82" s="277"/>
      <c r="T82" s="277"/>
      <c r="AE82" s="67"/>
    </row>
    <row r="83" s="58" customFormat="1" customHeight="1" spans="1:31">
      <c r="A83" s="286"/>
      <c r="B83" s="334"/>
      <c r="C83" s="442"/>
      <c r="D83" s="442"/>
      <c r="E83" s="442"/>
      <c r="F83" s="442"/>
      <c r="G83" s="443"/>
      <c r="I83" s="303"/>
      <c r="J83" s="303"/>
      <c r="K83" s="303"/>
      <c r="L83" s="277"/>
      <c r="M83" s="305"/>
      <c r="N83" s="303"/>
      <c r="P83" s="277"/>
      <c r="Q83" s="277"/>
      <c r="R83" s="277"/>
      <c r="S83" s="277"/>
      <c r="T83" s="277"/>
      <c r="AE83" s="67"/>
    </row>
    <row r="84" s="58" customFormat="1" customHeight="1" spans="1:31">
      <c r="A84" s="57"/>
      <c r="F84" s="59"/>
      <c r="I84" s="60"/>
      <c r="AE84" s="67"/>
    </row>
    <row r="85" s="58" customFormat="1" customHeight="1" spans="1:31">
      <c r="A85" s="57"/>
      <c r="B85" s="187" t="s">
        <v>116</v>
      </c>
      <c r="C85" s="444"/>
      <c r="D85" s="445"/>
      <c r="E85" s="445"/>
      <c r="F85" s="445"/>
      <c r="G85" s="445"/>
      <c r="H85" s="445"/>
      <c r="I85" s="445"/>
      <c r="J85" s="446"/>
      <c r="K85" s="445"/>
      <c r="N85" s="447"/>
      <c r="AE85" s="67"/>
    </row>
    <row r="86" s="58" customFormat="1" customHeight="1" spans="1:31">
      <c r="A86" s="57"/>
      <c r="B86" s="448"/>
      <c r="C86" s="449"/>
      <c r="D86" s="449"/>
      <c r="E86" s="449"/>
      <c r="F86" s="449"/>
      <c r="G86" s="450"/>
      <c r="H86" s="445"/>
      <c r="I86" s="57"/>
      <c r="AE86" s="67"/>
    </row>
    <row r="87" s="58" customFormat="1" customHeight="1" spans="1:31">
      <c r="B87" s="451"/>
      <c r="C87" s="452"/>
      <c r="D87" s="452"/>
      <c r="E87" s="452"/>
      <c r="F87" s="452"/>
      <c r="G87" s="453"/>
      <c r="H87" s="445"/>
      <c r="I87" s="57"/>
      <c r="J87" s="445"/>
      <c r="K87" s="445"/>
      <c r="AE87" s="67"/>
    </row>
    <row r="88" s="58" customFormat="1" customHeight="1" spans="1:31">
      <c r="B88" s="454"/>
      <c r="C88" s="455"/>
      <c r="D88" s="455"/>
      <c r="E88" s="455"/>
      <c r="F88" s="455"/>
      <c r="G88" s="456"/>
      <c r="I88" s="60"/>
      <c r="AE88" s="67"/>
    </row>
    <row r="89" s="277" customFormat="1" ht="15" customHeight="1" spans="1:31">
      <c r="A89" s="286"/>
      <c r="B89" s="303"/>
      <c r="C89" s="303"/>
      <c r="D89" s="303"/>
      <c r="E89" s="303"/>
      <c r="F89" s="304"/>
      <c r="G89" s="303"/>
      <c r="H89" s="303"/>
      <c r="I89" s="303"/>
      <c r="J89" s="303"/>
      <c r="K89" s="305"/>
      <c r="L89" s="303"/>
      <c r="M89" s="303"/>
      <c r="N89" s="303"/>
      <c r="O89" s="303"/>
      <c r="AE89" s="285"/>
    </row>
    <row r="90" ht="7.5" customHeight="1" spans="1:31">
      <c r="A90" s="285"/>
      <c r="B90" s="285"/>
      <c r="C90" s="285"/>
      <c r="D90" s="285"/>
      <c r="E90" s="285"/>
      <c r="F90" s="285"/>
      <c r="G90" s="285"/>
      <c r="H90" s="285"/>
      <c r="I90" s="285"/>
      <c r="J90" s="295"/>
      <c r="K90" s="285"/>
      <c r="L90" s="285"/>
      <c r="M90" s="285"/>
      <c r="N90" s="285"/>
      <c r="O90" s="285"/>
      <c r="P90" s="285"/>
      <c r="Q90" s="285"/>
      <c r="R90" s="285"/>
      <c r="S90" s="285"/>
      <c r="T90" s="285"/>
      <c r="U90" s="285"/>
      <c r="V90" s="285"/>
      <c r="W90" s="285"/>
      <c r="X90" s="285"/>
      <c r="Y90" s="285"/>
      <c r="Z90" s="285"/>
      <c r="AA90" s="285"/>
      <c r="AB90" s="285"/>
      <c r="AC90" s="285"/>
      <c r="AD90" s="285"/>
      <c r="AE90" s="285"/>
    </row>
    <row r="91" ht="22.5" customHeight="1"/>
    <row r="94" customHeight="1" spans="1:31">
      <c r="F94" s="457"/>
    </row>
    <row r="100" customHeight="1" spans="1:16">
      <c r="B100" s="458"/>
      <c r="C100" s="458"/>
      <c r="D100" s="458"/>
      <c r="E100" s="459"/>
      <c r="F100" s="458"/>
      <c r="G100" s="458"/>
      <c r="H100" s="458"/>
      <c r="I100" s="458"/>
      <c r="J100" s="460"/>
      <c r="K100" s="458"/>
      <c r="L100" s="458"/>
      <c r="M100" s="458"/>
    </row>
    <row r="101" customHeight="1" spans="1:16">
      <c r="B101" s="458"/>
      <c r="C101" s="458"/>
      <c r="D101" s="458"/>
      <c r="E101" s="459"/>
      <c r="F101" s="458"/>
      <c r="G101" s="458"/>
      <c r="H101" s="458"/>
      <c r="I101" s="458"/>
      <c r="J101" s="460"/>
      <c r="K101" s="458"/>
      <c r="L101" s="458"/>
      <c r="M101" s="458"/>
    </row>
    <row r="102" customHeight="1" spans="1:16">
      <c r="B102" s="458"/>
      <c r="C102" s="458"/>
      <c r="D102" s="458"/>
      <c r="E102" s="459"/>
      <c r="F102" s="458"/>
      <c r="G102" s="458"/>
      <c r="H102" s="458"/>
      <c r="I102" s="458"/>
      <c r="J102" s="460"/>
      <c r="K102" s="458"/>
      <c r="L102" s="458"/>
      <c r="M102" s="458"/>
    </row>
    <row r="103" customHeight="1" spans="1:16">
      <c r="B103" s="458"/>
      <c r="C103" s="458"/>
      <c r="D103" s="458"/>
      <c r="E103" s="459"/>
      <c r="F103" s="458"/>
      <c r="G103" s="458"/>
      <c r="H103" s="458"/>
      <c r="I103" s="458"/>
      <c r="J103" s="460"/>
      <c r="K103" s="458"/>
      <c r="L103" s="458"/>
      <c r="M103" s="458"/>
    </row>
    <row r="104" customHeight="1" spans="1:16">
      <c r="B104" s="458"/>
      <c r="C104" s="458"/>
      <c r="D104" s="458"/>
      <c r="E104" s="459"/>
      <c r="F104" s="458"/>
      <c r="G104" s="458"/>
      <c r="H104" s="458"/>
      <c r="I104" s="458"/>
      <c r="J104" s="460"/>
      <c r="K104" s="458"/>
      <c r="L104" s="458"/>
      <c r="M104" s="458"/>
    </row>
    <row r="105" customHeight="1" spans="1:16">
      <c r="B105" s="458"/>
      <c r="C105" s="458"/>
      <c r="D105" s="458"/>
      <c r="E105" s="459"/>
      <c r="F105" s="458"/>
      <c r="G105" s="458"/>
      <c r="H105" s="458"/>
      <c r="I105" s="458"/>
      <c r="J105" s="460"/>
      <c r="K105" s="458"/>
      <c r="L105" s="458"/>
      <c r="M105" s="458"/>
    </row>
    <row r="106" customHeight="1" spans="1:16">
      <c r="B106" s="458"/>
      <c r="C106" s="458"/>
      <c r="D106" s="458"/>
      <c r="E106" s="459"/>
      <c r="F106" s="458"/>
      <c r="G106" s="458"/>
      <c r="H106" s="458"/>
      <c r="I106" s="458"/>
      <c r="J106" s="460"/>
      <c r="K106" s="458"/>
      <c r="L106" s="458"/>
      <c r="M106" s="458"/>
    </row>
    <row r="107" customHeight="1" spans="1:16">
      <c r="B107" s="458"/>
      <c r="C107" s="458"/>
      <c r="D107" s="458"/>
      <c r="E107" s="459"/>
      <c r="F107" s="458"/>
      <c r="G107" s="458"/>
      <c r="H107" s="458"/>
      <c r="I107" s="458"/>
      <c r="J107" s="460"/>
      <c r="K107" s="458"/>
      <c r="L107" s="458"/>
      <c r="M107" s="458"/>
    </row>
    <row r="108" customHeight="1" spans="1:16">
      <c r="B108" s="458"/>
      <c r="C108" s="458"/>
      <c r="D108" s="458"/>
      <c r="E108" s="459"/>
      <c r="F108" s="458"/>
      <c r="G108" s="458"/>
      <c r="H108" s="458"/>
      <c r="I108" s="458"/>
      <c r="J108" s="460"/>
      <c r="K108" s="458"/>
      <c r="L108" s="458"/>
      <c r="M108" s="458"/>
    </row>
    <row r="109" customHeight="1" spans="1:16">
      <c r="B109" s="458"/>
      <c r="C109" s="458"/>
      <c r="D109" s="458"/>
      <c r="E109" s="459"/>
      <c r="F109" s="458"/>
      <c r="G109" s="458"/>
      <c r="H109" s="458"/>
      <c r="I109" s="458"/>
      <c r="J109" s="460"/>
      <c r="K109" s="458"/>
      <c r="L109" s="458"/>
      <c r="M109" s="458"/>
    </row>
    <row r="110" s="277" customFormat="1" customHeight="1" spans="1:16">
      <c r="A110" s="286"/>
      <c r="B110" s="461"/>
      <c r="C110" s="458"/>
      <c r="D110" s="458"/>
      <c r="E110" s="458"/>
      <c r="F110" s="459"/>
      <c r="G110" s="458"/>
      <c r="H110" s="458"/>
      <c r="I110" s="458"/>
      <c r="J110" s="458"/>
      <c r="K110" s="460"/>
      <c r="L110" s="458"/>
      <c r="M110" s="458"/>
      <c r="N110" s="458"/>
      <c r="P110" s="303"/>
    </row>
    <row r="120" s="277" customFormat="1" customHeight="1" spans="1:16">
      <c r="A120" s="286"/>
      <c r="C120" s="303"/>
      <c r="D120" s="303"/>
      <c r="E120" s="303"/>
      <c r="F120" s="303"/>
      <c r="G120" s="304"/>
      <c r="H120" s="303"/>
      <c r="I120" s="303"/>
      <c r="J120" s="303"/>
      <c r="K120" s="303"/>
      <c r="L120" s="305"/>
      <c r="M120" s="303"/>
      <c r="N120" s="303"/>
      <c r="O120" s="303"/>
      <c r="P120" s="303"/>
    </row>
    <row r="121" s="277" customFormat="1" customHeight="1" spans="1:16">
      <c r="A121" s="286"/>
      <c r="C121" s="303"/>
      <c r="D121" s="303"/>
      <c r="E121" s="303"/>
      <c r="F121" s="303"/>
      <c r="G121" s="304"/>
      <c r="H121" s="303"/>
      <c r="I121" s="303"/>
      <c r="J121" s="303"/>
      <c r="K121" s="303"/>
      <c r="L121" s="305"/>
      <c r="M121" s="303"/>
      <c r="N121" s="303"/>
      <c r="O121" s="303"/>
      <c r="P121" s="303"/>
    </row>
    <row r="122" s="277" customFormat="1" customHeight="1" spans="1:16">
      <c r="A122" s="286"/>
      <c r="C122" s="303"/>
      <c r="D122" s="303"/>
      <c r="E122" s="303"/>
      <c r="F122" s="303"/>
      <c r="G122" s="304"/>
      <c r="H122" s="303"/>
      <c r="I122" s="303"/>
      <c r="J122" s="303"/>
      <c r="K122" s="303"/>
      <c r="L122" s="305"/>
      <c r="M122" s="303"/>
      <c r="N122" s="303"/>
      <c r="O122" s="303"/>
      <c r="P122" s="303"/>
    </row>
    <row r="123" s="277" customFormat="1" customHeight="1" spans="1:16">
      <c r="A123" s="286"/>
      <c r="C123" s="303"/>
      <c r="D123" s="303"/>
      <c r="E123" s="303"/>
      <c r="F123" s="303"/>
      <c r="G123" s="304"/>
      <c r="H123" s="303"/>
      <c r="I123" s="303"/>
      <c r="J123" s="303"/>
      <c r="K123" s="303"/>
      <c r="L123" s="305"/>
      <c r="M123" s="303"/>
      <c r="N123" s="303"/>
      <c r="O123" s="303"/>
      <c r="P123" s="303"/>
    </row>
    <row r="124" s="277" customFormat="1" customHeight="1" spans="1:16">
      <c r="A124" s="286"/>
      <c r="C124" s="303"/>
      <c r="D124" s="303"/>
      <c r="E124" s="303"/>
      <c r="F124" s="303"/>
      <c r="G124" s="304"/>
      <c r="H124" s="303"/>
      <c r="I124" s="303"/>
      <c r="J124" s="303"/>
      <c r="K124" s="303"/>
      <c r="L124" s="305"/>
      <c r="M124" s="303"/>
      <c r="N124" s="303"/>
      <c r="O124" s="303"/>
      <c r="P124" s="303"/>
    </row>
    <row r="125" s="277" customFormat="1" customHeight="1" spans="1:16">
      <c r="A125" s="286"/>
      <c r="C125" s="303"/>
      <c r="D125" s="303"/>
      <c r="E125" s="303"/>
      <c r="F125" s="303"/>
      <c r="G125" s="304"/>
      <c r="H125" s="303"/>
      <c r="I125" s="303"/>
      <c r="J125" s="303"/>
      <c r="K125" s="303"/>
      <c r="L125" s="305"/>
      <c r="M125" s="303"/>
      <c r="N125" s="303"/>
      <c r="O125" s="303"/>
      <c r="P125" s="303"/>
    </row>
    <row r="126" s="277" customFormat="1" customHeight="1" spans="1:16">
      <c r="A126" s="286"/>
      <c r="C126" s="303"/>
      <c r="D126" s="303"/>
      <c r="E126" s="303"/>
      <c r="F126" s="303"/>
      <c r="G126" s="304"/>
      <c r="H126" s="303"/>
      <c r="I126" s="303"/>
      <c r="J126" s="303"/>
      <c r="K126" s="303"/>
      <c r="L126" s="305"/>
      <c r="M126" s="303"/>
      <c r="N126" s="303"/>
      <c r="O126" s="303"/>
      <c r="P126" s="303"/>
    </row>
    <row r="127" s="277" customFormat="1" customHeight="1" spans="1:16">
      <c r="A127" s="286"/>
      <c r="C127" s="303"/>
      <c r="D127" s="303"/>
      <c r="E127" s="303"/>
      <c r="F127" s="303"/>
      <c r="G127" s="304"/>
      <c r="H127" s="303"/>
      <c r="I127" s="303"/>
      <c r="J127" s="303"/>
      <c r="K127" s="303"/>
      <c r="L127" s="305"/>
      <c r="M127" s="303"/>
      <c r="N127" s="303"/>
      <c r="O127" s="303"/>
      <c r="P127" s="303"/>
    </row>
    <row r="128" s="277" customFormat="1" customHeight="1" spans="1:16">
      <c r="A128" s="286"/>
      <c r="C128" s="303"/>
      <c r="D128" s="303"/>
      <c r="E128" s="303"/>
      <c r="F128" s="303"/>
      <c r="G128" s="304"/>
      <c r="H128" s="303"/>
      <c r="I128" s="303"/>
      <c r="J128" s="303"/>
      <c r="K128" s="303"/>
      <c r="L128" s="305"/>
      <c r="M128" s="303"/>
      <c r="N128" s="303"/>
      <c r="O128" s="303"/>
      <c r="P128" s="303"/>
    </row>
    <row r="129" s="277" customFormat="1" customHeight="1" spans="1:16">
      <c r="A129" s="286"/>
      <c r="C129" s="303"/>
      <c r="D129" s="303"/>
      <c r="E129" s="303"/>
      <c r="F129" s="303"/>
      <c r="G129" s="304"/>
      <c r="H129" s="303"/>
      <c r="I129" s="303"/>
      <c r="J129" s="303"/>
      <c r="K129" s="303"/>
      <c r="L129" s="305"/>
      <c r="M129" s="303"/>
      <c r="N129" s="303"/>
      <c r="O129" s="303"/>
      <c r="P129" s="303"/>
    </row>
    <row r="130" s="277" customFormat="1" customHeight="1" spans="1:16">
      <c r="A130" s="286"/>
      <c r="C130" s="303"/>
      <c r="D130" s="303"/>
      <c r="E130" s="303"/>
      <c r="F130" s="303"/>
      <c r="G130" s="304"/>
      <c r="H130" s="303"/>
      <c r="I130" s="303"/>
      <c r="J130" s="303"/>
      <c r="K130" s="303"/>
      <c r="L130" s="305"/>
      <c r="M130" s="303"/>
      <c r="N130" s="303"/>
      <c r="O130" s="303"/>
      <c r="P130" s="303"/>
    </row>
    <row r="131" s="277" customFormat="1" customHeight="1" spans="1:16">
      <c r="A131" s="286"/>
      <c r="C131" s="303"/>
      <c r="D131" s="303"/>
      <c r="E131" s="303"/>
      <c r="F131" s="303"/>
      <c r="G131" s="304"/>
      <c r="H131" s="303"/>
      <c r="I131" s="303"/>
      <c r="J131" s="303"/>
      <c r="K131" s="303"/>
      <c r="L131" s="305"/>
      <c r="M131" s="303"/>
      <c r="N131" s="303"/>
      <c r="O131" s="303"/>
      <c r="P131" s="303"/>
    </row>
    <row r="132" s="277" customFormat="1" customHeight="1" spans="1:16">
      <c r="A132" s="286"/>
      <c r="C132" s="303"/>
      <c r="D132" s="303"/>
      <c r="E132" s="303"/>
      <c r="F132" s="303"/>
      <c r="G132" s="304"/>
      <c r="H132" s="303"/>
      <c r="I132" s="303"/>
      <c r="J132" s="303"/>
      <c r="K132" s="303"/>
      <c r="L132" s="305"/>
      <c r="M132" s="303"/>
      <c r="N132" s="303"/>
      <c r="O132" s="303"/>
      <c r="P132" s="303"/>
    </row>
    <row r="133" s="277" customFormat="1" customHeight="1" spans="1:16">
      <c r="A133" s="286"/>
      <c r="C133" s="303"/>
      <c r="D133" s="303"/>
      <c r="E133" s="303"/>
      <c r="F133" s="303"/>
      <c r="G133" s="304"/>
      <c r="H133" s="303"/>
      <c r="I133" s="303"/>
      <c r="J133" s="303"/>
      <c r="K133" s="303"/>
      <c r="L133" s="305"/>
      <c r="M133" s="303"/>
      <c r="N133" s="303"/>
      <c r="O133" s="303"/>
      <c r="P133" s="303"/>
    </row>
    <row r="134" s="277" customFormat="1" customHeight="1" spans="1:16">
      <c r="A134" s="286"/>
      <c r="C134" s="303"/>
      <c r="D134" s="303"/>
      <c r="E134" s="303"/>
      <c r="F134" s="303"/>
      <c r="G134" s="304"/>
      <c r="H134" s="303"/>
      <c r="I134" s="303"/>
      <c r="J134" s="303"/>
      <c r="K134" s="303"/>
      <c r="L134" s="305"/>
      <c r="M134" s="303"/>
      <c r="N134" s="303"/>
      <c r="O134" s="303"/>
      <c r="P134" s="303"/>
    </row>
    <row r="135" s="277" customFormat="1" customHeight="1" spans="1:16">
      <c r="A135" s="286"/>
      <c r="C135" s="303"/>
      <c r="D135" s="303"/>
      <c r="E135" s="303"/>
      <c r="F135" s="303"/>
      <c r="G135" s="304"/>
      <c r="H135" s="303"/>
      <c r="I135" s="303"/>
      <c r="J135" s="303"/>
      <c r="K135" s="303"/>
      <c r="L135" s="305"/>
      <c r="M135" s="303"/>
      <c r="N135" s="303"/>
      <c r="O135" s="303"/>
      <c r="P135" s="303"/>
    </row>
    <row r="136" s="277" customFormat="1" customHeight="1" spans="1:16">
      <c r="A136" s="286"/>
      <c r="C136" s="303"/>
      <c r="D136" s="303"/>
      <c r="E136" s="303"/>
      <c r="F136" s="303"/>
      <c r="G136" s="304"/>
      <c r="H136" s="303"/>
      <c r="I136" s="303"/>
      <c r="J136" s="303"/>
      <c r="K136" s="303"/>
      <c r="L136" s="305"/>
      <c r="M136" s="303"/>
      <c r="N136" s="303"/>
      <c r="O136" s="303"/>
      <c r="P136" s="303"/>
    </row>
    <row r="137" s="277" customFormat="1" customHeight="1" spans="1:16">
      <c r="A137" s="286"/>
      <c r="C137" s="303"/>
      <c r="D137" s="303"/>
      <c r="E137" s="303"/>
      <c r="F137" s="303"/>
      <c r="G137" s="304"/>
      <c r="H137" s="303"/>
      <c r="I137" s="303"/>
      <c r="J137" s="303"/>
      <c r="K137" s="303"/>
      <c r="L137" s="305"/>
      <c r="M137" s="303"/>
      <c r="N137" s="303"/>
      <c r="O137" s="303"/>
      <c r="P137" s="303"/>
    </row>
    <row r="138" s="277" customFormat="1" customHeight="1" spans="1:16">
      <c r="A138" s="286"/>
      <c r="C138" s="303"/>
      <c r="D138" s="303"/>
      <c r="E138" s="303"/>
      <c r="F138" s="303"/>
      <c r="G138" s="304"/>
      <c r="H138" s="303"/>
      <c r="I138" s="303"/>
      <c r="J138" s="303"/>
      <c r="K138" s="303"/>
      <c r="L138" s="305"/>
      <c r="M138" s="303"/>
      <c r="N138" s="303"/>
      <c r="O138" s="303"/>
      <c r="P138" s="303"/>
    </row>
    <row r="139" s="277" customFormat="1" customHeight="1" spans="1:16">
      <c r="A139" s="286"/>
      <c r="C139" s="303"/>
      <c r="D139" s="303"/>
      <c r="E139" s="303"/>
      <c r="F139" s="303"/>
      <c r="G139" s="304"/>
      <c r="H139" s="303"/>
      <c r="I139" s="303"/>
      <c r="J139" s="303"/>
      <c r="K139" s="303"/>
      <c r="L139" s="305"/>
      <c r="M139" s="303"/>
      <c r="N139" s="303"/>
      <c r="O139" s="303"/>
      <c r="P139" s="303"/>
    </row>
    <row r="140" s="277" customFormat="1" customHeight="1" spans="1:16">
      <c r="A140" s="286"/>
      <c r="C140" s="303"/>
      <c r="D140" s="303"/>
      <c r="E140" s="303"/>
      <c r="F140" s="303"/>
      <c r="G140" s="304"/>
      <c r="H140" s="303"/>
      <c r="I140" s="303"/>
      <c r="J140" s="303"/>
      <c r="K140" s="303"/>
      <c r="L140" s="305"/>
      <c r="M140" s="303"/>
      <c r="N140" s="303"/>
      <c r="O140" s="303"/>
      <c r="P140" s="303"/>
    </row>
    <row r="141" s="277" customFormat="1" customHeight="1" spans="1:16">
      <c r="A141" s="286"/>
      <c r="C141" s="303"/>
      <c r="D141" s="303"/>
      <c r="E141" s="303"/>
      <c r="F141" s="303"/>
      <c r="G141" s="304"/>
      <c r="H141" s="303"/>
      <c r="I141" s="303"/>
      <c r="J141" s="303"/>
      <c r="K141" s="303"/>
      <c r="L141" s="305"/>
      <c r="M141" s="303"/>
      <c r="N141" s="303"/>
      <c r="O141" s="303"/>
      <c r="P141" s="303"/>
    </row>
    <row r="142" s="277" customFormat="1" customHeight="1" spans="1:16">
      <c r="A142" s="286"/>
      <c r="C142" s="303"/>
      <c r="D142" s="303"/>
      <c r="E142" s="303"/>
      <c r="F142" s="303"/>
      <c r="G142" s="304"/>
      <c r="H142" s="303"/>
      <c r="I142" s="303"/>
      <c r="J142" s="303"/>
      <c r="K142" s="303"/>
      <c r="L142" s="305"/>
      <c r="M142" s="303"/>
      <c r="N142" s="303"/>
      <c r="O142" s="303"/>
      <c r="P142" s="303"/>
    </row>
    <row r="143" s="277" customFormat="1" customHeight="1" spans="1:16">
      <c r="A143" s="286"/>
      <c r="C143" s="303"/>
      <c r="D143" s="303"/>
      <c r="E143" s="303"/>
      <c r="F143" s="303"/>
      <c r="G143" s="304"/>
      <c r="H143" s="303"/>
      <c r="I143" s="303"/>
      <c r="J143" s="303"/>
      <c r="K143" s="303"/>
      <c r="L143" s="305"/>
      <c r="M143" s="303"/>
      <c r="N143" s="303"/>
      <c r="O143" s="303"/>
      <c r="P143" s="303"/>
    </row>
    <row r="144" s="277" customFormat="1" customHeight="1" spans="1:16">
      <c r="A144" s="286"/>
      <c r="C144" s="303"/>
      <c r="D144" s="303"/>
      <c r="E144" s="303"/>
      <c r="F144" s="303"/>
      <c r="G144" s="304"/>
      <c r="H144" s="303"/>
      <c r="I144" s="303"/>
      <c r="J144" s="303"/>
      <c r="K144" s="303"/>
      <c r="L144" s="305"/>
      <c r="M144" s="303"/>
      <c r="N144" s="303"/>
      <c r="O144" s="303"/>
      <c r="P144" s="303"/>
    </row>
    <row r="145" s="277" customFormat="1" customHeight="1" spans="1:16">
      <c r="A145" s="286"/>
      <c r="C145" s="303"/>
      <c r="D145" s="303"/>
      <c r="E145" s="303"/>
      <c r="F145" s="303"/>
      <c r="G145" s="304"/>
      <c r="H145" s="303"/>
      <c r="I145" s="303"/>
      <c r="J145" s="303"/>
      <c r="K145" s="303"/>
      <c r="L145" s="305"/>
      <c r="M145" s="303"/>
      <c r="N145" s="303"/>
      <c r="O145" s="303"/>
      <c r="P145" s="303"/>
    </row>
    <row r="146" s="277" customFormat="1" customHeight="1" spans="1:16">
      <c r="A146" s="286"/>
      <c r="C146" s="303"/>
      <c r="D146" s="303"/>
      <c r="E146" s="303"/>
      <c r="F146" s="303"/>
      <c r="G146" s="304"/>
      <c r="H146" s="303"/>
      <c r="I146" s="303"/>
      <c r="J146" s="303"/>
      <c r="K146" s="303"/>
      <c r="L146" s="305"/>
      <c r="M146" s="303"/>
      <c r="N146" s="303"/>
      <c r="O146" s="303"/>
      <c r="P146" s="303"/>
    </row>
    <row r="147" s="277" customFormat="1" customHeight="1" spans="1:16">
      <c r="A147" s="286"/>
      <c r="C147" s="303"/>
      <c r="D147" s="303"/>
      <c r="E147" s="303"/>
      <c r="F147" s="303"/>
      <c r="G147" s="304"/>
      <c r="H147" s="303"/>
      <c r="I147" s="303"/>
      <c r="J147" s="303"/>
      <c r="K147" s="303"/>
      <c r="L147" s="305"/>
      <c r="M147" s="303"/>
      <c r="N147" s="303"/>
      <c r="O147" s="303"/>
      <c r="P147" s="303"/>
    </row>
    <row r="148" s="277" customFormat="1" customHeight="1" spans="1:16">
      <c r="A148" s="286"/>
      <c r="C148" s="303"/>
      <c r="D148" s="303"/>
      <c r="E148" s="303"/>
      <c r="F148" s="303"/>
      <c r="G148" s="304"/>
      <c r="H148" s="303"/>
      <c r="I148" s="303"/>
      <c r="J148" s="303"/>
      <c r="K148" s="303"/>
      <c r="L148" s="305"/>
      <c r="M148" s="303"/>
      <c r="N148" s="303"/>
      <c r="O148" s="303"/>
      <c r="P148" s="303"/>
    </row>
    <row r="149" s="277" customFormat="1" customHeight="1" spans="1:16">
      <c r="A149" s="286"/>
      <c r="C149" s="303"/>
      <c r="D149" s="303"/>
      <c r="E149" s="303"/>
      <c r="F149" s="303"/>
      <c r="G149" s="304"/>
      <c r="H149" s="303"/>
      <c r="I149" s="303"/>
      <c r="J149" s="303"/>
      <c r="K149" s="303"/>
      <c r="L149" s="305"/>
      <c r="M149" s="303"/>
      <c r="N149" s="303"/>
      <c r="O149" s="303"/>
      <c r="P149" s="303"/>
    </row>
    <row r="150" s="277" customFormat="1" customHeight="1" spans="1:16">
      <c r="A150" s="286"/>
      <c r="C150" s="303"/>
      <c r="D150" s="303"/>
      <c r="E150" s="303"/>
      <c r="F150" s="303"/>
      <c r="G150" s="304"/>
      <c r="H150" s="303"/>
      <c r="I150" s="303"/>
      <c r="J150" s="303"/>
      <c r="K150" s="303"/>
      <c r="L150" s="305"/>
      <c r="M150" s="303"/>
      <c r="N150" s="303"/>
      <c r="O150" s="303"/>
      <c r="P150" s="303"/>
    </row>
    <row r="151" s="277" customFormat="1" customHeight="1" spans="1:16">
      <c r="A151" s="286"/>
      <c r="C151" s="303"/>
      <c r="D151" s="303"/>
      <c r="E151" s="303"/>
      <c r="F151" s="303"/>
      <c r="G151" s="304"/>
      <c r="H151" s="303"/>
      <c r="I151" s="303"/>
      <c r="J151" s="303"/>
      <c r="K151" s="303"/>
      <c r="L151" s="305"/>
      <c r="M151" s="303"/>
      <c r="N151" s="303"/>
      <c r="O151" s="303"/>
      <c r="P151" s="303"/>
    </row>
    <row r="152" s="277" customFormat="1" customHeight="1" spans="1:16">
      <c r="A152" s="286"/>
      <c r="C152" s="303"/>
      <c r="D152" s="303"/>
      <c r="E152" s="303"/>
      <c r="F152" s="303"/>
      <c r="G152" s="304"/>
      <c r="H152" s="303"/>
      <c r="I152" s="303"/>
      <c r="J152" s="303"/>
      <c r="K152" s="303"/>
      <c r="L152" s="305"/>
      <c r="M152" s="303"/>
      <c r="N152" s="303"/>
      <c r="O152" s="303"/>
      <c r="P152" s="303"/>
    </row>
    <row r="153" s="277" customFormat="1" customHeight="1" spans="1:16">
      <c r="A153" s="286"/>
      <c r="C153" s="303"/>
      <c r="D153" s="303"/>
      <c r="E153" s="303"/>
      <c r="F153" s="303"/>
      <c r="G153" s="304"/>
      <c r="H153" s="303"/>
      <c r="I153" s="303"/>
      <c r="J153" s="303"/>
      <c r="K153" s="303"/>
      <c r="L153" s="305"/>
      <c r="M153" s="303"/>
      <c r="N153" s="303"/>
      <c r="O153" s="303"/>
      <c r="P153" s="303"/>
    </row>
    <row r="154" s="277" customFormat="1" customHeight="1" spans="1:16">
      <c r="A154" s="286"/>
      <c r="C154" s="303"/>
      <c r="D154" s="303"/>
      <c r="E154" s="303"/>
      <c r="F154" s="303"/>
      <c r="G154" s="304"/>
      <c r="H154" s="303"/>
      <c r="I154" s="303"/>
      <c r="J154" s="303"/>
      <c r="K154" s="303"/>
      <c r="L154" s="305"/>
      <c r="M154" s="303"/>
      <c r="N154" s="303"/>
      <c r="O154" s="303"/>
      <c r="P154" s="303"/>
    </row>
    <row r="155" s="277" customFormat="1" customHeight="1" spans="1:16">
      <c r="A155" s="286"/>
      <c r="C155" s="303"/>
      <c r="D155" s="303"/>
      <c r="E155" s="303"/>
      <c r="F155" s="303"/>
      <c r="G155" s="304"/>
      <c r="H155" s="303"/>
      <c r="I155" s="303"/>
      <c r="J155" s="303"/>
      <c r="K155" s="303"/>
      <c r="L155" s="305"/>
      <c r="M155" s="303"/>
      <c r="N155" s="303"/>
      <c r="O155" s="303"/>
      <c r="P155" s="303"/>
    </row>
    <row r="156" s="277" customFormat="1" customHeight="1" spans="1:16">
      <c r="A156" s="286"/>
      <c r="C156" s="303"/>
      <c r="D156" s="303"/>
      <c r="E156" s="303"/>
      <c r="F156" s="303"/>
      <c r="G156" s="304"/>
      <c r="H156" s="303"/>
      <c r="I156" s="303"/>
      <c r="J156" s="303"/>
      <c r="K156" s="303"/>
      <c r="L156" s="305"/>
      <c r="M156" s="303"/>
      <c r="N156" s="303"/>
      <c r="O156" s="303"/>
      <c r="P156" s="303"/>
    </row>
    <row r="157" s="277" customFormat="1" customHeight="1" spans="1:16">
      <c r="A157" s="286"/>
      <c r="C157" s="303"/>
      <c r="D157" s="303"/>
      <c r="E157" s="303"/>
      <c r="F157" s="303"/>
      <c r="G157" s="304"/>
      <c r="H157" s="303"/>
      <c r="I157" s="303"/>
      <c r="J157" s="303"/>
      <c r="K157" s="303"/>
      <c r="L157" s="305"/>
      <c r="M157" s="303"/>
      <c r="N157" s="303"/>
      <c r="O157" s="303"/>
      <c r="P157" s="303"/>
    </row>
    <row r="158" s="277" customFormat="1" customHeight="1" spans="1:16">
      <c r="A158" s="286"/>
      <c r="C158" s="303"/>
      <c r="D158" s="303"/>
      <c r="E158" s="303"/>
      <c r="F158" s="303"/>
      <c r="G158" s="304"/>
      <c r="H158" s="303"/>
      <c r="I158" s="303"/>
      <c r="J158" s="303"/>
      <c r="K158" s="303"/>
      <c r="L158" s="305"/>
      <c r="M158" s="303"/>
      <c r="N158" s="303"/>
      <c r="O158" s="303"/>
      <c r="P158" s="303"/>
    </row>
    <row r="159" s="277" customFormat="1" customHeight="1" spans="1:16">
      <c r="A159" s="286"/>
      <c r="C159" s="303"/>
      <c r="D159" s="303"/>
      <c r="E159" s="303"/>
      <c r="F159" s="303"/>
      <c r="G159" s="304"/>
      <c r="H159" s="303"/>
      <c r="I159" s="303"/>
      <c r="J159" s="303"/>
      <c r="K159" s="303"/>
      <c r="L159" s="305"/>
      <c r="M159" s="303"/>
      <c r="N159" s="303"/>
      <c r="O159" s="303"/>
      <c r="P159" s="303"/>
    </row>
    <row r="160" s="277" customFormat="1" customHeight="1" spans="1:16">
      <c r="A160" s="286"/>
      <c r="C160" s="303"/>
      <c r="D160" s="303"/>
      <c r="E160" s="303"/>
      <c r="F160" s="303"/>
      <c r="G160" s="304"/>
      <c r="H160" s="303"/>
      <c r="I160" s="303"/>
      <c r="J160" s="303"/>
      <c r="K160" s="303"/>
      <c r="L160" s="305"/>
      <c r="M160" s="303"/>
      <c r="N160" s="303"/>
      <c r="O160" s="303"/>
      <c r="P160" s="303"/>
    </row>
    <row r="161" s="277" customFormat="1" customHeight="1" spans="1:16">
      <c r="A161" s="286"/>
      <c r="C161" s="303"/>
      <c r="D161" s="303"/>
      <c r="E161" s="303"/>
      <c r="F161" s="303"/>
      <c r="G161" s="304"/>
      <c r="H161" s="303"/>
      <c r="I161" s="303"/>
      <c r="J161" s="303"/>
      <c r="K161" s="303"/>
      <c r="L161" s="305"/>
      <c r="M161" s="303"/>
      <c r="N161" s="303"/>
      <c r="O161" s="303"/>
      <c r="P161" s="303"/>
    </row>
    <row r="162" s="277" customFormat="1" customHeight="1" spans="1:16">
      <c r="A162" s="286"/>
      <c r="C162" s="303"/>
      <c r="D162" s="303"/>
      <c r="E162" s="303"/>
      <c r="F162" s="303"/>
      <c r="G162" s="304"/>
      <c r="H162" s="303"/>
      <c r="I162" s="303"/>
      <c r="J162" s="303"/>
      <c r="K162" s="303"/>
      <c r="L162" s="305"/>
      <c r="M162" s="303"/>
      <c r="N162" s="303"/>
      <c r="O162" s="303"/>
      <c r="P162" s="303"/>
    </row>
    <row r="163" s="277" customFormat="1" customHeight="1" spans="1:16">
      <c r="A163" s="286"/>
      <c r="C163" s="303"/>
      <c r="D163" s="303"/>
      <c r="E163" s="303"/>
      <c r="F163" s="303"/>
      <c r="G163" s="304"/>
      <c r="H163" s="303"/>
      <c r="I163" s="303"/>
      <c r="J163" s="303"/>
      <c r="K163" s="303"/>
      <c r="L163" s="305"/>
      <c r="M163" s="303"/>
      <c r="N163" s="303"/>
      <c r="O163" s="303"/>
      <c r="P163" s="303"/>
    </row>
    <row r="164" s="277" customFormat="1" customHeight="1" spans="1:16">
      <c r="A164" s="286"/>
      <c r="C164" s="303"/>
      <c r="D164" s="303"/>
      <c r="E164" s="303"/>
      <c r="F164" s="303"/>
      <c r="G164" s="304"/>
      <c r="H164" s="303"/>
      <c r="I164" s="303"/>
      <c r="J164" s="303"/>
      <c r="K164" s="303"/>
      <c r="L164" s="305"/>
      <c r="M164" s="303"/>
      <c r="N164" s="303"/>
      <c r="O164" s="303"/>
      <c r="P164" s="303"/>
    </row>
    <row r="165" s="277" customFormat="1" customHeight="1" spans="1:16">
      <c r="A165" s="286"/>
      <c r="C165" s="303"/>
      <c r="D165" s="303"/>
      <c r="E165" s="303"/>
      <c r="F165" s="303"/>
      <c r="G165" s="304"/>
      <c r="H165" s="303"/>
      <c r="I165" s="303"/>
      <c r="J165" s="303"/>
      <c r="K165" s="303"/>
      <c r="L165" s="305"/>
      <c r="M165" s="303"/>
      <c r="N165" s="303"/>
      <c r="O165" s="303"/>
      <c r="P165" s="303"/>
    </row>
    <row r="166" s="277" customFormat="1" customHeight="1" spans="1:16">
      <c r="A166" s="286"/>
      <c r="C166" s="303"/>
      <c r="D166" s="303"/>
      <c r="E166" s="303"/>
      <c r="F166" s="303"/>
      <c r="G166" s="304"/>
      <c r="H166" s="303"/>
      <c r="I166" s="303"/>
      <c r="J166" s="303"/>
      <c r="K166" s="303"/>
      <c r="L166" s="305"/>
      <c r="M166" s="303"/>
      <c r="N166" s="303"/>
      <c r="O166" s="303"/>
      <c r="P166" s="303"/>
    </row>
    <row r="167" s="277" customFormat="1" customHeight="1" spans="1:16">
      <c r="A167" s="286"/>
      <c r="C167" s="303"/>
      <c r="D167" s="303"/>
      <c r="E167" s="303"/>
      <c r="F167" s="303"/>
      <c r="G167" s="304"/>
      <c r="H167" s="303"/>
      <c r="I167" s="303"/>
      <c r="J167" s="303"/>
      <c r="K167" s="303"/>
      <c r="L167" s="305"/>
      <c r="M167" s="303"/>
      <c r="N167" s="303"/>
      <c r="O167" s="303"/>
      <c r="P167" s="303"/>
    </row>
    <row r="168" s="277" customFormat="1" customHeight="1" spans="1:16">
      <c r="A168" s="286"/>
      <c r="C168" s="303"/>
      <c r="D168" s="303"/>
      <c r="E168" s="303"/>
      <c r="F168" s="303"/>
      <c r="G168" s="304"/>
      <c r="H168" s="303"/>
      <c r="I168" s="303"/>
      <c r="J168" s="303"/>
      <c r="K168" s="303"/>
      <c r="L168" s="305"/>
      <c r="M168" s="303"/>
      <c r="N168" s="303"/>
      <c r="O168" s="303"/>
      <c r="P168" s="303"/>
    </row>
    <row r="169" s="277" customFormat="1" customHeight="1" spans="1:16">
      <c r="A169" s="286"/>
      <c r="C169" s="303"/>
      <c r="D169" s="303"/>
      <c r="E169" s="303"/>
      <c r="F169" s="303"/>
      <c r="G169" s="304"/>
      <c r="H169" s="303"/>
      <c r="I169" s="303"/>
      <c r="J169" s="303"/>
      <c r="K169" s="303"/>
      <c r="L169" s="305"/>
      <c r="M169" s="303"/>
      <c r="N169" s="303"/>
      <c r="O169" s="303"/>
      <c r="P169" s="303"/>
    </row>
    <row r="170" s="277" customFormat="1" customHeight="1" spans="1:16">
      <c r="A170" s="286"/>
      <c r="C170" s="303"/>
      <c r="D170" s="303"/>
      <c r="E170" s="303"/>
      <c r="F170" s="303"/>
      <c r="G170" s="304"/>
      <c r="H170" s="303"/>
      <c r="I170" s="303"/>
      <c r="J170" s="303"/>
      <c r="K170" s="303"/>
      <c r="L170" s="305"/>
      <c r="M170" s="303"/>
      <c r="N170" s="303"/>
      <c r="O170" s="303"/>
      <c r="P170" s="303"/>
    </row>
    <row r="171" s="277" customFormat="1" customHeight="1" spans="1:16">
      <c r="A171" s="286"/>
      <c r="C171" s="303"/>
      <c r="D171" s="303"/>
      <c r="E171" s="303"/>
      <c r="F171" s="303"/>
      <c r="G171" s="304"/>
      <c r="H171" s="303"/>
      <c r="I171" s="303"/>
      <c r="J171" s="303"/>
      <c r="K171" s="303"/>
      <c r="L171" s="305"/>
      <c r="M171" s="303"/>
      <c r="N171" s="303"/>
      <c r="O171" s="303"/>
      <c r="P171" s="303"/>
    </row>
    <row r="172" s="277" customFormat="1" customHeight="1" spans="1:16">
      <c r="A172" s="286"/>
      <c r="C172" s="303"/>
      <c r="D172" s="303"/>
      <c r="E172" s="303"/>
      <c r="F172" s="303"/>
      <c r="G172" s="304"/>
      <c r="H172" s="303"/>
      <c r="I172" s="303"/>
      <c r="J172" s="303"/>
      <c r="K172" s="303"/>
      <c r="L172" s="305"/>
      <c r="M172" s="303"/>
      <c r="N172" s="303"/>
      <c r="O172" s="303"/>
      <c r="P172" s="303"/>
    </row>
    <row r="173" s="277" customFormat="1" customHeight="1" spans="1:16">
      <c r="A173" s="286"/>
      <c r="C173" s="303"/>
      <c r="D173" s="303"/>
      <c r="E173" s="303"/>
      <c r="F173" s="303"/>
      <c r="G173" s="304"/>
      <c r="H173" s="303"/>
      <c r="I173" s="303"/>
      <c r="J173" s="303"/>
      <c r="K173" s="303"/>
      <c r="L173" s="305"/>
      <c r="M173" s="303"/>
      <c r="N173" s="303"/>
      <c r="O173" s="303"/>
      <c r="P173" s="303"/>
    </row>
    <row r="174" s="277" customFormat="1" customHeight="1" spans="1:16">
      <c r="A174" s="286"/>
      <c r="C174" s="303"/>
      <c r="D174" s="303"/>
      <c r="E174" s="303"/>
      <c r="F174" s="303"/>
      <c r="G174" s="304"/>
      <c r="H174" s="303"/>
      <c r="I174" s="303"/>
      <c r="J174" s="303"/>
      <c r="K174" s="303"/>
      <c r="L174" s="305"/>
      <c r="M174" s="303"/>
      <c r="N174" s="303"/>
      <c r="O174" s="303"/>
      <c r="P174" s="303"/>
    </row>
    <row r="175" s="277" customFormat="1" customHeight="1" spans="1:16">
      <c r="A175" s="286"/>
      <c r="C175" s="303"/>
      <c r="D175" s="303"/>
      <c r="E175" s="303"/>
      <c r="F175" s="303"/>
      <c r="G175" s="304"/>
      <c r="H175" s="303"/>
      <c r="I175" s="303"/>
      <c r="J175" s="303"/>
      <c r="K175" s="303"/>
      <c r="L175" s="305"/>
      <c r="M175" s="303"/>
      <c r="N175" s="303"/>
      <c r="O175" s="303"/>
      <c r="P175" s="303"/>
    </row>
    <row r="176" s="277" customFormat="1" customHeight="1" spans="1:16">
      <c r="A176" s="286"/>
      <c r="C176" s="303"/>
      <c r="D176" s="303"/>
      <c r="E176" s="303"/>
      <c r="F176" s="303"/>
      <c r="G176" s="304"/>
      <c r="H176" s="303"/>
      <c r="I176" s="303"/>
      <c r="J176" s="303"/>
      <c r="K176" s="303"/>
      <c r="L176" s="305"/>
      <c r="M176" s="303"/>
      <c r="N176" s="303"/>
      <c r="O176" s="303"/>
      <c r="P176" s="303"/>
    </row>
    <row r="177" s="277" customFormat="1" customHeight="1" spans="1:19">
      <c r="A177" s="286"/>
      <c r="C177" s="303"/>
      <c r="D177" s="303"/>
      <c r="E177" s="303"/>
      <c r="F177" s="303"/>
      <c r="G177" s="304"/>
      <c r="H177" s="303"/>
      <c r="I177" s="303"/>
      <c r="J177" s="303"/>
      <c r="K177" s="303"/>
      <c r="L177" s="305"/>
      <c r="M177" s="303"/>
      <c r="N177" s="303"/>
      <c r="O177" s="303"/>
      <c r="P177" s="303"/>
    </row>
    <row r="178" s="277" customFormat="1" customHeight="1" spans="1:19">
      <c r="A178" s="286"/>
      <c r="C178" s="303"/>
      <c r="D178" s="303"/>
      <c r="E178" s="303"/>
      <c r="F178" s="303"/>
      <c r="G178" s="304"/>
      <c r="H178" s="303"/>
      <c r="I178" s="303"/>
      <c r="J178" s="303"/>
      <c r="K178" s="303"/>
      <c r="L178" s="305"/>
      <c r="M178" s="303"/>
      <c r="N178" s="303"/>
      <c r="O178" s="303"/>
      <c r="P178" s="303"/>
    </row>
    <row r="179" s="277" customFormat="1" customHeight="1" spans="1:19">
      <c r="A179" s="286"/>
      <c r="C179" s="303"/>
      <c r="D179" s="303"/>
      <c r="E179" s="303"/>
      <c r="F179" s="303"/>
      <c r="G179" s="304"/>
      <c r="H179" s="303"/>
      <c r="I179" s="303"/>
      <c r="J179" s="303"/>
      <c r="K179" s="303"/>
      <c r="L179" s="305"/>
      <c r="M179" s="303"/>
      <c r="N179" s="303"/>
      <c r="O179" s="303"/>
      <c r="P179" s="303"/>
      <c r="Q179" s="303"/>
      <c r="R179" s="303"/>
      <c r="S179" s="303"/>
    </row>
    <row r="180" s="277" customFormat="1" customHeight="1" spans="1:19">
      <c r="A180" s="286"/>
      <c r="C180" s="303"/>
      <c r="D180" s="303"/>
      <c r="E180" s="303"/>
      <c r="F180" s="303"/>
      <c r="G180" s="304"/>
      <c r="H180" s="303"/>
      <c r="I180" s="303"/>
      <c r="J180" s="303"/>
      <c r="K180" s="303"/>
      <c r="L180" s="305"/>
      <c r="M180" s="303"/>
      <c r="N180" s="303"/>
      <c r="O180" s="303"/>
      <c r="P180" s="303"/>
      <c r="Q180" s="303"/>
      <c r="R180" s="303"/>
      <c r="S180" s="303"/>
    </row>
    <row r="181" s="277" customFormat="1" customHeight="1" spans="1:19">
      <c r="A181" s="286"/>
      <c r="C181" s="303"/>
      <c r="D181" s="303"/>
      <c r="E181" s="303"/>
      <c r="F181" s="303"/>
      <c r="G181" s="304"/>
      <c r="H181" s="303"/>
      <c r="I181" s="303"/>
      <c r="J181" s="303"/>
      <c r="K181" s="303"/>
      <c r="L181" s="305"/>
      <c r="M181" s="303"/>
      <c r="N181" s="303"/>
      <c r="O181" s="303"/>
      <c r="P181" s="303"/>
      <c r="Q181" s="303"/>
      <c r="R181" s="303"/>
      <c r="S181" s="303"/>
    </row>
    <row r="182" s="277" customFormat="1" customHeight="1" spans="1:19">
      <c r="A182" s="286"/>
      <c r="B182" s="303"/>
      <c r="C182" s="303"/>
      <c r="D182" s="303"/>
      <c r="E182" s="303"/>
      <c r="F182" s="303"/>
      <c r="G182" s="304"/>
      <c r="H182" s="303"/>
      <c r="I182" s="303"/>
      <c r="J182" s="303"/>
      <c r="K182" s="303"/>
      <c r="L182" s="305"/>
      <c r="M182" s="303"/>
      <c r="N182" s="303"/>
      <c r="O182" s="303"/>
      <c r="P182" s="303"/>
      <c r="Q182" s="303"/>
      <c r="R182" s="303"/>
      <c r="S182" s="303"/>
    </row>
    <row r="183" s="277" customFormat="1" customHeight="1" spans="1:19">
      <c r="A183" s="286"/>
      <c r="B183" s="303"/>
      <c r="C183" s="303"/>
      <c r="D183" s="303"/>
      <c r="E183" s="303"/>
      <c r="F183" s="303"/>
      <c r="G183" s="304"/>
      <c r="H183" s="303"/>
      <c r="I183" s="303"/>
      <c r="J183" s="303"/>
      <c r="K183" s="303"/>
      <c r="L183" s="305"/>
      <c r="M183" s="303"/>
      <c r="N183" s="303"/>
      <c r="O183" s="303"/>
      <c r="P183" s="303"/>
      <c r="Q183" s="303"/>
      <c r="R183" s="303"/>
      <c r="S183" s="303"/>
    </row>
    <row r="184" s="277" customFormat="1" customHeight="1" spans="1:19">
      <c r="A184" s="286"/>
      <c r="B184" s="303"/>
      <c r="C184" s="303"/>
      <c r="D184" s="303"/>
      <c r="E184" s="303"/>
      <c r="F184" s="303"/>
      <c r="G184" s="304"/>
      <c r="H184" s="303"/>
      <c r="I184" s="303"/>
      <c r="J184" s="303"/>
      <c r="K184" s="303"/>
      <c r="L184" s="305"/>
      <c r="M184" s="303"/>
      <c r="N184" s="303"/>
      <c r="O184" s="303"/>
      <c r="P184" s="303"/>
      <c r="Q184" s="303"/>
      <c r="R184" s="303"/>
      <c r="S184" s="303"/>
    </row>
    <row r="185" s="277" customFormat="1" customHeight="1" spans="1:19">
      <c r="A185" s="286"/>
      <c r="B185" s="303"/>
      <c r="C185" s="303"/>
      <c r="D185" s="303"/>
      <c r="E185" s="303"/>
      <c r="F185" s="303"/>
      <c r="G185" s="304"/>
      <c r="H185" s="303"/>
      <c r="I185" s="303"/>
      <c r="J185" s="303"/>
      <c r="K185" s="303"/>
      <c r="L185" s="305"/>
      <c r="M185" s="303"/>
      <c r="N185" s="303"/>
      <c r="O185" s="303"/>
      <c r="P185" s="303"/>
      <c r="Q185" s="303"/>
      <c r="R185" s="303"/>
      <c r="S185" s="303"/>
    </row>
    <row r="186" s="277" customFormat="1" customHeight="1" spans="1:19">
      <c r="A186" s="286"/>
      <c r="B186" s="303"/>
      <c r="C186" s="303"/>
      <c r="D186" s="303"/>
      <c r="E186" s="303"/>
      <c r="F186" s="303"/>
      <c r="G186" s="304"/>
      <c r="H186" s="303"/>
      <c r="I186" s="303"/>
      <c r="J186" s="303"/>
      <c r="K186" s="303"/>
      <c r="L186" s="305"/>
      <c r="M186" s="303"/>
      <c r="N186" s="303"/>
      <c r="O186" s="303"/>
      <c r="P186" s="303"/>
      <c r="Q186" s="303"/>
      <c r="R186" s="303"/>
      <c r="S186" s="303"/>
    </row>
    <row r="187" s="277" customFormat="1" customHeight="1" spans="1:19">
      <c r="A187" s="286"/>
      <c r="B187" s="303"/>
      <c r="C187" s="303"/>
      <c r="D187" s="303"/>
      <c r="E187" s="303"/>
      <c r="F187" s="303"/>
      <c r="G187" s="304"/>
      <c r="H187" s="303"/>
      <c r="I187" s="303"/>
      <c r="J187" s="303"/>
      <c r="K187" s="303"/>
      <c r="L187" s="305"/>
      <c r="M187" s="303"/>
      <c r="N187" s="303"/>
      <c r="O187" s="303"/>
      <c r="P187" s="303"/>
      <c r="Q187" s="303"/>
      <c r="R187" s="303"/>
      <c r="S187" s="303"/>
    </row>
    <row r="188" s="277" customFormat="1" customHeight="1" spans="1:19">
      <c r="A188" s="286"/>
      <c r="B188" s="303"/>
      <c r="C188" s="303"/>
      <c r="D188" s="303"/>
      <c r="E188" s="303"/>
      <c r="F188" s="303"/>
      <c r="G188" s="304"/>
      <c r="H188" s="303"/>
      <c r="I188" s="303"/>
      <c r="J188" s="303"/>
      <c r="K188" s="303"/>
      <c r="L188" s="305"/>
      <c r="M188" s="303"/>
      <c r="N188" s="303"/>
      <c r="O188" s="303"/>
      <c r="P188" s="303"/>
      <c r="Q188" s="303"/>
      <c r="R188" s="303"/>
      <c r="S188" s="303"/>
    </row>
    <row r="189" s="277" customFormat="1" customHeight="1" spans="1:19">
      <c r="A189" s="286"/>
      <c r="B189" s="303"/>
      <c r="C189" s="303"/>
      <c r="D189" s="303"/>
      <c r="E189" s="303"/>
      <c r="F189" s="303"/>
      <c r="G189" s="304"/>
      <c r="H189" s="303"/>
      <c r="I189" s="303"/>
      <c r="J189" s="303"/>
      <c r="K189" s="303"/>
      <c r="L189" s="305"/>
      <c r="M189" s="303"/>
      <c r="N189" s="303"/>
      <c r="O189" s="303"/>
      <c r="P189" s="303"/>
      <c r="Q189" s="303"/>
      <c r="R189" s="303"/>
      <c r="S189" s="303"/>
    </row>
    <row r="190" s="277" customFormat="1" customHeight="1" spans="1:19">
      <c r="A190" s="286"/>
      <c r="B190" s="303"/>
      <c r="C190" s="303"/>
      <c r="D190" s="303"/>
      <c r="E190" s="303"/>
      <c r="F190" s="303"/>
      <c r="G190" s="304"/>
      <c r="H190" s="303"/>
      <c r="I190" s="303"/>
      <c r="J190" s="303"/>
      <c r="K190" s="303"/>
      <c r="L190" s="305"/>
      <c r="M190" s="303"/>
      <c r="N190" s="303"/>
      <c r="O190" s="303"/>
      <c r="P190" s="303"/>
      <c r="Q190" s="303"/>
      <c r="R190" s="303"/>
      <c r="S190" s="303"/>
    </row>
    <row r="191" s="277" customFormat="1" customHeight="1" spans="1:19">
      <c r="A191" s="286"/>
      <c r="B191" s="303"/>
      <c r="C191" s="303"/>
      <c r="D191" s="303"/>
      <c r="E191" s="303"/>
      <c r="F191" s="303"/>
      <c r="G191" s="304"/>
      <c r="H191" s="303"/>
      <c r="I191" s="303"/>
      <c r="J191" s="303"/>
      <c r="K191" s="303"/>
      <c r="L191" s="305"/>
      <c r="M191" s="303"/>
      <c r="N191" s="303"/>
      <c r="O191" s="303"/>
      <c r="P191" s="303"/>
      <c r="Q191" s="303"/>
      <c r="R191" s="303"/>
      <c r="S191" s="303"/>
    </row>
    <row r="192" s="277" customFormat="1" customHeight="1" spans="1:19">
      <c r="A192" s="286"/>
      <c r="B192" s="303"/>
      <c r="C192" s="303"/>
      <c r="D192" s="303"/>
      <c r="E192" s="303"/>
      <c r="F192" s="303"/>
      <c r="G192" s="304"/>
      <c r="H192" s="303"/>
      <c r="I192" s="303"/>
      <c r="J192" s="303"/>
      <c r="K192" s="303"/>
      <c r="L192" s="305"/>
      <c r="M192" s="303"/>
      <c r="N192" s="303"/>
      <c r="O192" s="303"/>
      <c r="P192" s="303"/>
      <c r="Q192" s="303"/>
      <c r="R192" s="303"/>
      <c r="S192" s="303"/>
    </row>
  </sheetData>
  <mergeCells count="5">
    <mergeCell ref="Z9:AB9"/>
    <mergeCell ref="H53:K53"/>
    <mergeCell ref="B33:B40"/>
    <mergeCell ref="B66:F69"/>
    <mergeCell ref="B86:G88"/>
  </mergeCells>
  <conditionalFormatting sqref="E42">
    <cfRule type="containsBlanks" dxfId="1" priority="43">
      <formula>LEN(TRIM(E42))=0</formula>
    </cfRule>
  </conditionalFormatting>
  <conditionalFormatting sqref="H42">
    <cfRule type="containsBlanks" dxfId="1" priority="37">
      <formula>LEN(TRIM(H42))=0</formula>
    </cfRule>
  </conditionalFormatting>
  <conditionalFormatting sqref="K42">
    <cfRule type="containsBlanks" dxfId="1" priority="33">
      <formula>LEN(TRIM(K42))=0</formula>
    </cfRule>
  </conditionalFormatting>
  <conditionalFormatting sqref="N42">
    <cfRule type="containsBlanks" dxfId="1" priority="29">
      <formula>LEN(TRIM(N42))=0</formula>
    </cfRule>
  </conditionalFormatting>
  <conditionalFormatting sqref="Q42">
    <cfRule type="containsBlanks" dxfId="1" priority="25">
      <formula>LEN(TRIM(Q42))=0</formula>
    </cfRule>
  </conditionalFormatting>
  <conditionalFormatting sqref="T42">
    <cfRule type="containsBlanks" dxfId="1" priority="21">
      <formula>LEN(TRIM(T42))=0</formula>
    </cfRule>
  </conditionalFormatting>
  <conditionalFormatting sqref="W42">
    <cfRule type="containsBlanks" dxfId="1" priority="17">
      <formula>LEN(TRIM(W42))=0</formula>
    </cfRule>
  </conditionalFormatting>
  <conditionalFormatting sqref="Z42">
    <cfRule type="containsBlanks" dxfId="1" priority="13">
      <formula>LEN(TRIM(Z42))=0</formula>
    </cfRule>
  </conditionalFormatting>
  <conditionalFormatting sqref="E44">
    <cfRule type="containsBlanks" dxfId="1" priority="40">
      <formula>LEN(TRIM(E44))=0</formula>
    </cfRule>
  </conditionalFormatting>
  <conditionalFormatting sqref="H44">
    <cfRule type="containsBlanks" dxfId="1" priority="36">
      <formula>LEN(TRIM(H44))=0</formula>
    </cfRule>
  </conditionalFormatting>
  <conditionalFormatting sqref="K44">
    <cfRule type="containsBlanks" dxfId="1" priority="32">
      <formula>LEN(TRIM(K44))=0</formula>
    </cfRule>
  </conditionalFormatting>
  <conditionalFormatting sqref="N44">
    <cfRule type="containsBlanks" dxfId="1" priority="28">
      <formula>LEN(TRIM(N44))=0</formula>
    </cfRule>
  </conditionalFormatting>
  <conditionalFormatting sqref="Q44">
    <cfRule type="containsBlanks" dxfId="1" priority="24">
      <formula>LEN(TRIM(Q44))=0</formula>
    </cfRule>
  </conditionalFormatting>
  <conditionalFormatting sqref="T44">
    <cfRule type="containsBlanks" dxfId="1" priority="20">
      <formula>LEN(TRIM(T44))=0</formula>
    </cfRule>
  </conditionalFormatting>
  <conditionalFormatting sqref="W44">
    <cfRule type="containsBlanks" dxfId="1" priority="16">
      <formula>LEN(TRIM(W44))=0</formula>
    </cfRule>
  </conditionalFormatting>
  <conditionalFormatting sqref="Z44">
    <cfRule type="containsBlanks" dxfId="1" priority="9">
      <formula>LEN(TRIM(Z44))=0</formula>
    </cfRule>
  </conditionalFormatting>
  <conditionalFormatting sqref="E46">
    <cfRule type="containsBlanks" dxfId="1" priority="39">
      <formula>LEN(TRIM(E46))=0</formula>
    </cfRule>
  </conditionalFormatting>
  <conditionalFormatting sqref="H46">
    <cfRule type="containsBlanks" dxfId="1" priority="35">
      <formula>LEN(TRIM(H46))=0</formula>
    </cfRule>
  </conditionalFormatting>
  <conditionalFormatting sqref="K46">
    <cfRule type="containsBlanks" dxfId="1" priority="31">
      <formula>LEN(TRIM(K46))=0</formula>
    </cfRule>
  </conditionalFormatting>
  <conditionalFormatting sqref="N46">
    <cfRule type="containsBlanks" dxfId="1" priority="27">
      <formula>LEN(TRIM(N46))=0</formula>
    </cfRule>
  </conditionalFormatting>
  <conditionalFormatting sqref="Q46">
    <cfRule type="containsBlanks" dxfId="1" priority="23">
      <formula>LEN(TRIM(Q46))=0</formula>
    </cfRule>
  </conditionalFormatting>
  <conditionalFormatting sqref="T46">
    <cfRule type="containsBlanks" dxfId="1" priority="19">
      <formula>LEN(TRIM(T46))=0</formula>
    </cfRule>
  </conditionalFormatting>
  <conditionalFormatting sqref="W46">
    <cfRule type="containsBlanks" dxfId="1" priority="15">
      <formula>LEN(TRIM(W46))=0</formula>
    </cfRule>
  </conditionalFormatting>
  <conditionalFormatting sqref="Z46">
    <cfRule type="containsBlanks" dxfId="1" priority="8">
      <formula>LEN(TRIM(Z46))=0</formula>
    </cfRule>
  </conditionalFormatting>
  <conditionalFormatting sqref="E48">
    <cfRule type="containsBlanks" dxfId="1" priority="38">
      <formula>LEN(TRIM(E48))=0</formula>
    </cfRule>
  </conditionalFormatting>
  <conditionalFormatting sqref="H48">
    <cfRule type="containsBlanks" dxfId="1" priority="34">
      <formula>LEN(TRIM(H48))=0</formula>
    </cfRule>
  </conditionalFormatting>
  <conditionalFormatting sqref="K48">
    <cfRule type="containsBlanks" dxfId="1" priority="30">
      <formula>LEN(TRIM(K48))=0</formula>
    </cfRule>
  </conditionalFormatting>
  <conditionalFormatting sqref="N48">
    <cfRule type="containsBlanks" dxfId="1" priority="26">
      <formula>LEN(TRIM(N48))=0</formula>
    </cfRule>
  </conditionalFormatting>
  <conditionalFormatting sqref="Q48">
    <cfRule type="containsBlanks" dxfId="1" priority="22">
      <formula>LEN(TRIM(Q48))=0</formula>
    </cfRule>
  </conditionalFormatting>
  <conditionalFormatting sqref="T48">
    <cfRule type="containsBlanks" dxfId="1" priority="18">
      <formula>LEN(TRIM(T48))=0</formula>
    </cfRule>
  </conditionalFormatting>
  <conditionalFormatting sqref="W48">
    <cfRule type="containsBlanks" dxfId="1" priority="14">
      <formula>LEN(TRIM(W48))=0</formula>
    </cfRule>
  </conditionalFormatting>
  <conditionalFormatting sqref="Z48">
    <cfRule type="containsBlanks" dxfId="1" priority="7">
      <formula>LEN(TRIM(Z48))=0</formula>
    </cfRule>
  </conditionalFormatting>
  <conditionalFormatting sqref="B66">
    <cfRule type="containsBlanks" dxfId="1" priority="4">
      <formula>LEN(TRIM(B66))=0</formula>
    </cfRule>
  </conditionalFormatting>
  <conditionalFormatting sqref="D75:D78">
    <cfRule type="containsBlanks" dxfId="1" priority="1">
      <formula>LEN(TRIM(D75))=0</formula>
    </cfRule>
  </conditionalFormatting>
  <conditionalFormatting sqref="F10 I10 L10 O10 R10 U10 X10">
    <cfRule type="containsBlanks" dxfId="1" priority="44">
      <formula>LEN(TRIM(F10))=0</formula>
    </cfRule>
  </conditionalFormatting>
  <conditionalFormatting sqref="E12:E17 H12:H17 K12:K17 N12:N17 Q12:Q17 T12:T17 W12:W17 E19:E23 H19:H23 K19:K23 N19:N23 Q19:Q23 T19:T23 W19:W23 E25:E29 H25:H29 K25:K29 N25:N29 Q25:Q29 T25:T29 W25:W29">
    <cfRule type="containsBlanks" dxfId="1" priority="45">
      <formula>LEN(TRIM(E12))=0</formula>
    </cfRule>
  </conditionalFormatting>
  <conditionalFormatting sqref="B55:F61">
    <cfRule type="containsBlanks" dxfId="1" priority="3">
      <formula>LEN(TRIM(B55))=0</formula>
    </cfRule>
  </conditionalFormatting>
  <conditionalFormatting sqref="F75:F78 B75:C79 D79:F79 B86">
    <cfRule type="containsBlanks" dxfId="1" priority="2">
      <formula>LEN(TRIM(B75))=0</formula>
    </cfRule>
  </conditionalFormatting>
  <hyperlinks>
    <hyperlink ref="B4" location="'汇总 '!A1" display="返回汇总页"/>
  </hyperlinks>
  <pageMargins left="0.7" right="0.7" top="0.75" bottom="0.75" header="0.3" footer="0.3"/>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24"/>
  <sheetViews>
    <sheetView showGridLines="0" zoomScale="70" zoomScaleNormal="70" zoomScaleSheetLayoutView="70" workbookViewId="0">
      <selection activeCell="N15" sqref="N15"/>
    </sheetView>
  </sheetViews>
  <sheetFormatPr defaultColWidth="8.09259259259259" defaultRowHeight="12.75" customHeight="1"/>
  <cols>
    <col min="1" max="1" width="2.62962962962963" style="57" customWidth="1"/>
    <col min="2" max="2" width="5.09259259259259" style="58" customWidth="1"/>
    <col min="3" max="3" width="15.3611111111111" style="58" customWidth="1"/>
    <col min="4" max="4" width="16.9074074074074" style="58" customWidth="1"/>
    <col min="5" max="5" width="12.3611111111111" style="58" customWidth="1"/>
    <col min="6" max="6" width="14.4537037037037" style="58" customWidth="1"/>
    <col min="7" max="7" width="17.9074074074074" style="58" customWidth="1"/>
    <col min="8" max="8" width="14" style="58" customWidth="1"/>
    <col min="9" max="12" width="13.9074074074074" style="58" customWidth="1"/>
    <col min="13" max="13" width="11.0925925925926" style="58" customWidth="1"/>
    <col min="14" max="14" width="15.4537037037037" style="58" customWidth="1"/>
    <col min="15" max="17" width="16.0925925925926" style="58" customWidth="1"/>
    <col min="18" max="18" width="15.0925925925926" style="58" customWidth="1"/>
    <col min="19" max="19" width="12.3611111111111" style="58" customWidth="1"/>
    <col min="20" max="20" width="2.62962962962963" style="58" customWidth="1"/>
    <col min="21" max="21" width="1.62962962962963" style="58" customWidth="1"/>
    <col min="22" max="22" width="10.9074074074074" style="58" customWidth="1"/>
    <col min="23" max="23" width="10.2685185185185" style="58" customWidth="1"/>
    <col min="24" max="24" width="11.3611111111111" style="58" customWidth="1"/>
    <col min="25" max="16384" width="8.09259259259259" style="58"/>
  </cols>
  <sheetData>
    <row r="1" s="277" customFormat="1" ht="10" customHeight="1" spans="1:35">
      <c r="A1" s="278" t="s">
        <v>201</v>
      </c>
      <c r="B1" s="279"/>
      <c r="C1" s="280"/>
      <c r="D1" s="280"/>
      <c r="E1" s="281"/>
      <c r="F1" s="282"/>
      <c r="G1" s="283"/>
      <c r="H1" s="283"/>
      <c r="I1" s="283"/>
      <c r="J1" s="284"/>
      <c r="K1" s="284"/>
      <c r="L1" s="284"/>
      <c r="M1" s="284"/>
      <c r="N1" s="284"/>
      <c r="O1" s="284"/>
      <c r="P1" s="284"/>
      <c r="Q1" s="284"/>
      <c r="R1" s="284"/>
      <c r="S1" s="284"/>
      <c r="T1" s="284"/>
      <c r="U1" s="285"/>
      <c r="V1" s="284"/>
      <c r="W1" s="284"/>
      <c r="X1" s="284"/>
      <c r="Y1" s="284"/>
      <c r="Z1" s="284"/>
      <c r="AA1" s="284"/>
      <c r="AB1" s="284"/>
      <c r="AC1" s="284"/>
      <c r="AD1" s="284"/>
      <c r="AE1" s="284"/>
      <c r="AF1" s="284"/>
      <c r="AG1" s="284"/>
      <c r="AH1" s="284"/>
      <c r="AI1" s="284"/>
    </row>
    <row r="2" s="277" customFormat="1" ht="20.15" customHeight="1" spans="1:35">
      <c r="A2" s="286"/>
      <c r="B2" s="287" t="s">
        <v>202</v>
      </c>
      <c r="D2" s="288"/>
      <c r="E2" s="288"/>
      <c r="F2" s="288"/>
      <c r="G2" s="288"/>
      <c r="H2" s="288"/>
      <c r="I2" s="288"/>
      <c r="J2" s="289"/>
      <c r="K2" s="288"/>
      <c r="L2" s="288"/>
      <c r="M2" s="288"/>
      <c r="U2" s="285"/>
      <c r="W2" s="18" t="s">
        <v>51</v>
      </c>
    </row>
    <row r="3" s="277" customFormat="1" ht="20.15" customHeight="1" spans="1:35">
      <c r="A3" s="286"/>
      <c r="B3" s="290" t="s">
        <v>203</v>
      </c>
      <c r="D3" s="291"/>
      <c r="E3" s="291"/>
      <c r="F3" s="291"/>
      <c r="G3" s="291"/>
      <c r="H3" s="291"/>
      <c r="I3" s="291"/>
      <c r="J3" s="292"/>
      <c r="K3" s="291"/>
      <c r="L3" s="291"/>
      <c r="M3" s="291"/>
      <c r="U3" s="285"/>
    </row>
    <row r="4" s="277" customFormat="1" ht="20.15" customHeight="1" spans="1:35">
      <c r="A4" s="286"/>
      <c r="B4" s="287" t="s">
        <v>204</v>
      </c>
      <c r="C4" s="293"/>
      <c r="D4" s="288"/>
      <c r="E4" s="288"/>
      <c r="F4" s="288"/>
      <c r="G4" s="288"/>
      <c r="H4" s="288"/>
      <c r="I4" s="288"/>
      <c r="J4" s="289"/>
      <c r="K4" s="288"/>
      <c r="L4" s="288"/>
      <c r="M4" s="288"/>
      <c r="U4" s="285"/>
    </row>
    <row r="5" s="277" customFormat="1" ht="20.15" customHeight="1" spans="1:35">
      <c r="A5" s="286"/>
      <c r="B5" s="287" t="s">
        <v>205</v>
      </c>
      <c r="D5" s="288"/>
      <c r="E5" s="288"/>
      <c r="F5" s="288"/>
      <c r="G5" s="288"/>
      <c r="H5" s="288"/>
      <c r="I5" s="288"/>
      <c r="J5" s="289"/>
      <c r="K5" s="288"/>
      <c r="L5" s="288"/>
      <c r="M5" s="288"/>
      <c r="U5" s="285"/>
    </row>
    <row r="6" ht="15" customHeight="1" spans="1:35">
      <c r="A6" s="294"/>
      <c r="U6" s="285"/>
    </row>
    <row r="7" ht="7.5" customHeight="1" spans="1:35">
      <c r="A7" s="285"/>
      <c r="B7" s="285"/>
      <c r="C7" s="285"/>
      <c r="D7" s="285"/>
      <c r="E7" s="285"/>
      <c r="F7" s="285"/>
      <c r="G7" s="285"/>
      <c r="H7" s="285"/>
      <c r="I7" s="285"/>
      <c r="J7" s="295"/>
      <c r="K7" s="285"/>
      <c r="L7" s="285"/>
      <c r="M7" s="285"/>
      <c r="N7" s="285"/>
      <c r="O7" s="285"/>
      <c r="P7" s="285"/>
      <c r="Q7" s="285"/>
      <c r="R7" s="285"/>
      <c r="S7" s="285"/>
      <c r="T7" s="285"/>
      <c r="U7" s="285"/>
    </row>
    <row r="8" ht="13.2" spans="1:35">
      <c r="A8" s="294"/>
    </row>
    <row r="9" ht="13.2" spans="1:35">
      <c r="A9" s="294"/>
    </row>
    <row r="10" ht="13.2" spans="1:35">
      <c r="A10" s="294"/>
    </row>
    <row r="11" customHeight="1" spans="1:35">
      <c r="A11" s="294"/>
    </row>
    <row r="12" ht="13.2" spans="1:35">
      <c r="A12" s="294"/>
    </row>
    <row r="13" ht="13.2" spans="1:35">
      <c r="A13" s="294"/>
    </row>
    <row r="14" ht="13.2" spans="1:35">
      <c r="A14" s="294"/>
    </row>
    <row r="15" ht="13.2" spans="1:35">
      <c r="A15" s="294"/>
    </row>
    <row r="16" ht="13.2" spans="1:35">
      <c r="A16" s="294"/>
    </row>
    <row r="17" ht="13.2" spans="1:1">
      <c r="A17" s="294"/>
    </row>
    <row r="18" ht="13.2" spans="1:1">
      <c r="A18" s="294"/>
    </row>
    <row r="19" ht="13.2" spans="1:1">
      <c r="A19" s="294"/>
    </row>
    <row r="20" ht="13.2" spans="1:1">
      <c r="A20" s="294"/>
    </row>
    <row r="21" ht="13.2" spans="1:1">
      <c r="A21" s="294"/>
    </row>
    <row r="22" ht="13.2" spans="1:1">
      <c r="A22" s="294"/>
    </row>
    <row r="23" ht="13.2" spans="1:1">
      <c r="A23" s="294"/>
    </row>
    <row r="24" ht="13.2" spans="1:1">
      <c r="A24" s="294"/>
    </row>
  </sheetData>
  <hyperlinks>
    <hyperlink ref="W2" location="'汇总 '!A1" display="返回汇总页"/>
  </hyperlinks>
  <pageMargins left="0.7" right="0.7" top="0.75" bottom="0.75" header="0.3" footer="0.3"/>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56"/>
  <sheetViews>
    <sheetView showGridLines="0" zoomScale="70" zoomScaleNormal="70" workbookViewId="0">
      <selection activeCell="N15" sqref="N15"/>
    </sheetView>
  </sheetViews>
  <sheetFormatPr defaultColWidth="9.09259259259259" defaultRowHeight="13.2"/>
  <cols>
    <col min="1" max="1" width="2.62962962962963" style="246" customWidth="1"/>
    <col min="2" max="2" width="21.0925925925926" style="53" customWidth="1"/>
    <col min="3" max="6" width="14.2685185185185" style="53" customWidth="1"/>
    <col min="7" max="7" width="10.6296296296296" style="53" customWidth="1"/>
    <col min="8" max="8" width="15.6296296296296" style="53" customWidth="1"/>
    <col min="9" max="9" width="13.4537037037037" style="53" customWidth="1"/>
    <col min="10" max="10" width="11.6296296296296" style="53" customWidth="1"/>
    <col min="11" max="11" width="10.0925925925926" style="53" customWidth="1"/>
    <col min="12" max="12" width="23.4537037037037" style="80" customWidth="1"/>
    <col min="13" max="13" width="22.7222222222222" style="53" customWidth="1"/>
    <col min="14" max="14" width="13.6296296296296" style="53" customWidth="1"/>
    <col min="15" max="18" width="8.09259259259259" style="53" customWidth="1"/>
    <col min="19" max="19" width="2.62962962962963" style="53" customWidth="1"/>
    <col min="20" max="20" width="1.62962962962963" style="247" customWidth="1"/>
    <col min="21" max="21" width="9.09259259259259" style="53"/>
    <col min="22" max="22" width="11.7222222222222" style="53" customWidth="1"/>
    <col min="23" max="16384" width="9.09259259259259" style="53"/>
  </cols>
  <sheetData>
    <row r="1" ht="50.15" customHeight="1" spans="1:20">
      <c r="A1" s="248"/>
      <c r="B1" s="171" t="s">
        <v>206</v>
      </c>
      <c r="C1" s="172"/>
      <c r="D1" s="172"/>
      <c r="E1" s="172"/>
      <c r="F1" s="172"/>
      <c r="G1" s="172"/>
      <c r="H1" s="172"/>
      <c r="I1" s="172"/>
      <c r="J1" s="172"/>
      <c r="K1" s="172"/>
      <c r="L1" s="172"/>
      <c r="M1" s="172"/>
      <c r="N1" s="172"/>
      <c r="O1" s="172"/>
      <c r="P1" s="172"/>
      <c r="Q1" s="172"/>
      <c r="R1" s="173"/>
      <c r="S1" s="65"/>
      <c r="T1" s="240"/>
    </row>
    <row r="2" ht="30" customHeight="1" spans="1:20">
      <c r="A2" s="248"/>
      <c r="B2" s="174" t="s">
        <v>207</v>
      </c>
      <c r="C2" s="249"/>
      <c r="D2" s="249"/>
      <c r="E2" s="249"/>
      <c r="F2" s="249"/>
      <c r="G2" s="249"/>
      <c r="H2" s="249"/>
      <c r="I2" s="249"/>
      <c r="J2" s="249"/>
      <c r="K2" s="249"/>
      <c r="L2" s="249"/>
      <c r="M2" s="249"/>
      <c r="N2" s="249"/>
      <c r="O2" s="249"/>
      <c r="P2" s="249"/>
      <c r="Q2" s="249"/>
      <c r="R2" s="250"/>
      <c r="S2" s="65"/>
      <c r="T2" s="240"/>
    </row>
    <row r="3" ht="15" customHeight="1" spans="1:20">
      <c r="A3" s="248"/>
      <c r="B3" s="65"/>
      <c r="C3" s="251"/>
      <c r="D3" s="251"/>
      <c r="E3" s="251"/>
      <c r="F3" s="251"/>
      <c r="G3" s="251"/>
      <c r="H3" s="251"/>
      <c r="I3" s="251"/>
      <c r="J3" s="251"/>
      <c r="K3" s="251"/>
      <c r="L3" s="251"/>
      <c r="M3" s="251"/>
      <c r="N3" s="251"/>
      <c r="O3" s="251"/>
      <c r="P3" s="251"/>
      <c r="S3" s="65"/>
      <c r="T3" s="240"/>
    </row>
    <row r="4" ht="15" customHeight="1" spans="1:20">
      <c r="A4" s="248"/>
      <c r="B4" s="18" t="s">
        <v>51</v>
      </c>
      <c r="C4" s="251"/>
      <c r="D4" s="251"/>
      <c r="E4" s="251"/>
      <c r="F4" s="251"/>
      <c r="G4" s="251"/>
      <c r="H4" s="251"/>
      <c r="I4" s="251"/>
      <c r="J4" s="251"/>
      <c r="K4" s="251"/>
      <c r="L4" s="251"/>
      <c r="M4" s="251"/>
      <c r="N4" s="251"/>
      <c r="O4" s="251"/>
      <c r="P4" s="251"/>
      <c r="S4" s="65"/>
      <c r="T4" s="240"/>
    </row>
    <row r="5" ht="15" customHeight="1" spans="1:20">
      <c r="A5" s="248"/>
      <c r="B5" s="65"/>
      <c r="C5" s="251"/>
      <c r="D5" s="251"/>
      <c r="E5" s="251"/>
      <c r="F5" s="251"/>
      <c r="G5" s="251"/>
      <c r="H5" s="251"/>
      <c r="I5" s="251"/>
      <c r="J5" s="251"/>
      <c r="K5" s="251"/>
      <c r="L5" s="251"/>
      <c r="M5" s="251"/>
      <c r="N5" s="251"/>
      <c r="O5" s="251"/>
      <c r="P5" s="251"/>
      <c r="S5" s="65"/>
      <c r="T5" s="240"/>
    </row>
    <row r="6" spans="1:20">
      <c r="A6" s="248"/>
      <c r="B6" s="66" t="s">
        <v>208</v>
      </c>
      <c r="C6" s="66"/>
      <c r="D6" s="66"/>
      <c r="E6" s="66"/>
      <c r="F6" s="66"/>
      <c r="G6" s="66"/>
      <c r="H6" s="66"/>
      <c r="I6" s="66"/>
      <c r="J6" s="66"/>
      <c r="K6" s="66"/>
      <c r="L6" s="66"/>
      <c r="M6" s="66"/>
      <c r="N6" s="66"/>
      <c r="O6" s="66"/>
      <c r="P6" s="66"/>
      <c r="Q6" s="66"/>
      <c r="R6" s="66"/>
      <c r="S6" s="65"/>
      <c r="T6" s="240"/>
    </row>
    <row r="7" ht="13.5" customHeight="1" spans="1:20">
      <c r="A7" s="248"/>
      <c r="B7" s="70"/>
      <c r="C7" s="71"/>
      <c r="D7" s="71"/>
      <c r="E7" s="71"/>
      <c r="F7" s="72"/>
      <c r="G7" s="180"/>
      <c r="H7" s="180"/>
      <c r="I7" s="180"/>
      <c r="J7" s="180"/>
      <c r="K7" s="180"/>
      <c r="L7" s="180"/>
      <c r="S7" s="65"/>
      <c r="T7" s="240"/>
    </row>
    <row r="8" ht="13.5" customHeight="1" spans="1:20">
      <c r="A8" s="248"/>
      <c r="B8" s="74"/>
      <c r="C8" s="75"/>
      <c r="D8" s="75"/>
      <c r="E8" s="75"/>
      <c r="F8" s="76"/>
      <c r="G8" s="180"/>
      <c r="H8" s="180"/>
      <c r="I8" s="180"/>
      <c r="J8" s="180"/>
      <c r="K8" s="180"/>
      <c r="L8" s="180"/>
      <c r="S8" s="65"/>
      <c r="T8" s="240"/>
    </row>
    <row r="9" ht="13.5" customHeight="1" spans="1:20">
      <c r="A9" s="248"/>
      <c r="B9" s="74"/>
      <c r="C9" s="75"/>
      <c r="D9" s="75"/>
      <c r="E9" s="75"/>
      <c r="F9" s="76"/>
      <c r="G9" s="180"/>
      <c r="H9" s="180"/>
      <c r="I9" s="180"/>
      <c r="J9" s="180"/>
      <c r="K9" s="180"/>
      <c r="L9" s="180"/>
      <c r="S9" s="65"/>
      <c r="T9" s="240"/>
    </row>
    <row r="10" ht="13.5" customHeight="1" spans="1:20">
      <c r="A10" s="248"/>
      <c r="B10" s="77"/>
      <c r="C10" s="78"/>
      <c r="D10" s="78"/>
      <c r="E10" s="78"/>
      <c r="F10" s="79"/>
      <c r="G10" s="180"/>
      <c r="H10" s="180"/>
      <c r="I10" s="180"/>
      <c r="J10" s="180"/>
      <c r="K10" s="180"/>
      <c r="L10" s="180"/>
      <c r="S10" s="65"/>
      <c r="T10" s="240"/>
    </row>
    <row r="11" spans="1:20">
      <c r="A11" s="248"/>
      <c r="B11" s="65"/>
      <c r="C11" s="181"/>
      <c r="D11" s="65"/>
      <c r="E11" s="65"/>
      <c r="F11" s="65"/>
      <c r="G11" s="65"/>
      <c r="H11" s="65"/>
      <c r="I11" s="65"/>
      <c r="J11" s="65"/>
      <c r="K11" s="65"/>
      <c r="L11" s="65"/>
      <c r="M11" s="65"/>
      <c r="N11" s="65"/>
      <c r="O11" s="65"/>
      <c r="P11" s="65"/>
      <c r="Q11" s="65"/>
      <c r="R11" s="65"/>
      <c r="S11" s="65"/>
      <c r="T11" s="240"/>
    </row>
    <row r="12" ht="15" spans="1:20">
      <c r="A12" s="248"/>
      <c r="B12" s="84" t="s">
        <v>209</v>
      </c>
      <c r="C12" s="84"/>
      <c r="D12" s="65"/>
      <c r="E12" s="65"/>
      <c r="F12" s="83"/>
      <c r="G12" s="65"/>
      <c r="H12" s="65"/>
      <c r="I12" s="65"/>
      <c r="J12" s="65"/>
      <c r="K12" s="65"/>
      <c r="L12" s="65"/>
      <c r="M12" s="65"/>
      <c r="N12" s="65"/>
      <c r="O12" s="65"/>
      <c r="P12" s="65"/>
      <c r="Q12" s="65"/>
      <c r="R12" s="65"/>
      <c r="S12" s="65"/>
      <c r="T12" s="240"/>
    </row>
    <row r="13" ht="15" spans="1:20">
      <c r="A13" s="248"/>
      <c r="B13" s="184" t="s">
        <v>210</v>
      </c>
      <c r="C13" s="84"/>
      <c r="D13" s="65"/>
      <c r="E13" s="65"/>
      <c r="F13" s="186">
        <f>'K.01 Agree SL to GL'!Z13</f>
        <v>0</v>
      </c>
      <c r="G13" s="187" t="s">
        <v>11</v>
      </c>
      <c r="H13" s="187"/>
      <c r="I13" s="65"/>
      <c r="J13" s="65"/>
      <c r="K13" s="187"/>
      <c r="L13" s="65"/>
      <c r="M13" s="65"/>
      <c r="N13" s="65"/>
      <c r="O13" s="65"/>
      <c r="P13" s="65"/>
      <c r="Q13" s="65"/>
      <c r="R13" s="65"/>
      <c r="S13" s="65"/>
      <c r="T13" s="240"/>
    </row>
    <row r="14" ht="15.6" spans="1:20">
      <c r="A14" s="248"/>
      <c r="B14" s="189" t="s">
        <v>200</v>
      </c>
      <c r="C14" s="189"/>
      <c r="D14" s="190"/>
      <c r="E14" s="190"/>
      <c r="F14" s="191">
        <f>F12-F13</f>
        <v>0</v>
      </c>
      <c r="G14" s="187" t="s">
        <v>76</v>
      </c>
      <c r="H14" s="252" t="s">
        <v>211</v>
      </c>
      <c r="I14" s="65"/>
      <c r="J14" s="193" t="str">
        <f>IF(ABS(F14)&gt;'K.00 Lead Sheet'!$C$6,"是","否")</f>
        <v>否</v>
      </c>
      <c r="L14" s="65"/>
      <c r="N14" s="65"/>
      <c r="O14" s="65"/>
      <c r="P14" s="65"/>
      <c r="Q14" s="65"/>
      <c r="R14" s="65"/>
      <c r="S14" s="65"/>
      <c r="T14" s="240"/>
    </row>
    <row r="15" spans="1:20">
      <c r="A15" s="248"/>
      <c r="B15" s="65"/>
      <c r="C15" s="84"/>
      <c r="D15" s="65"/>
      <c r="E15" s="65"/>
      <c r="F15" s="65"/>
      <c r="G15" s="65"/>
      <c r="H15" s="65"/>
      <c r="I15" s="65"/>
      <c r="J15" s="65"/>
      <c r="K15" s="65"/>
      <c r="L15" s="65"/>
      <c r="M15" s="65"/>
      <c r="N15" s="65"/>
      <c r="O15" s="65"/>
      <c r="P15" s="65"/>
      <c r="Q15" s="65"/>
      <c r="R15" s="65"/>
      <c r="S15" s="65"/>
      <c r="T15" s="240"/>
    </row>
    <row r="16" ht="15" spans="1:20">
      <c r="A16" s="248"/>
      <c r="B16" s="58" t="s">
        <v>212</v>
      </c>
      <c r="C16" s="58"/>
      <c r="D16" s="195"/>
      <c r="E16" s="195"/>
      <c r="F16" s="83"/>
      <c r="G16" s="65"/>
      <c r="H16" s="65"/>
      <c r="I16" s="195"/>
      <c r="J16" s="195"/>
      <c r="K16" s="65"/>
      <c r="L16" s="65"/>
      <c r="M16" s="195"/>
      <c r="N16" s="65"/>
      <c r="O16" s="65"/>
      <c r="P16" s="65"/>
      <c r="Q16" s="65"/>
      <c r="R16" s="65"/>
      <c r="S16" s="65"/>
      <c r="T16" s="240"/>
    </row>
    <row r="17" ht="15" spans="1:20">
      <c r="A17" s="248"/>
      <c r="B17" s="189" t="s">
        <v>213</v>
      </c>
      <c r="C17" s="189"/>
      <c r="D17" s="253"/>
      <c r="E17" s="253"/>
      <c r="F17" s="197">
        <f>F12-F16</f>
        <v>0</v>
      </c>
      <c r="G17" s="65"/>
      <c r="H17" s="65"/>
      <c r="I17" s="254"/>
      <c r="J17" s="101"/>
      <c r="K17" s="65"/>
      <c r="L17" s="65"/>
      <c r="M17" s="255"/>
      <c r="N17" s="65"/>
      <c r="S17" s="65"/>
      <c r="T17" s="240"/>
    </row>
    <row r="18" spans="1:20">
      <c r="L18" s="53"/>
      <c r="T18" s="240"/>
    </row>
    <row r="19" ht="15.6" spans="1:20">
      <c r="A19" s="256"/>
      <c r="B19" s="4" t="s">
        <v>214</v>
      </c>
      <c r="T19" s="240"/>
    </row>
    <row r="20" spans="1:20">
      <c r="B20" s="70"/>
      <c r="C20" s="71"/>
      <c r="D20" s="71"/>
      <c r="E20" s="71"/>
      <c r="F20" s="72"/>
      <c r="T20" s="240"/>
    </row>
    <row r="21" spans="1:20">
      <c r="B21" s="74"/>
      <c r="C21" s="75"/>
      <c r="D21" s="75"/>
      <c r="E21" s="75"/>
      <c r="F21" s="76"/>
      <c r="T21" s="240"/>
    </row>
    <row r="22" spans="1:20">
      <c r="B22" s="74"/>
      <c r="C22" s="75"/>
      <c r="D22" s="75"/>
      <c r="E22" s="75"/>
      <c r="F22" s="76"/>
      <c r="T22" s="240"/>
    </row>
    <row r="23" spans="1:20">
      <c r="B23" s="77"/>
      <c r="C23" s="78"/>
      <c r="D23" s="78"/>
      <c r="E23" s="78"/>
      <c r="F23" s="79"/>
      <c r="T23" s="240"/>
    </row>
    <row r="24" spans="1:20">
      <c r="B24" s="56"/>
      <c r="L24" s="53"/>
      <c r="T24" s="240"/>
    </row>
    <row r="25" ht="15.6" spans="1:20">
      <c r="A25" s="257"/>
      <c r="B25" s="258" t="s">
        <v>215</v>
      </c>
      <c r="C25" s="259"/>
      <c r="D25" s="259"/>
      <c r="E25" s="259"/>
      <c r="F25" s="260"/>
      <c r="L25" s="53"/>
      <c r="T25" s="240"/>
    </row>
    <row r="26" ht="15" spans="1:20">
      <c r="B26" s="261" t="s">
        <v>216</v>
      </c>
      <c r="C26" s="262"/>
      <c r="D26" s="262"/>
      <c r="E26" s="262"/>
      <c r="F26" s="263"/>
      <c r="L26" s="53"/>
      <c r="T26" s="240"/>
    </row>
    <row r="27" ht="15" spans="1:20">
      <c r="B27" s="264" t="s">
        <v>217</v>
      </c>
      <c r="C27" s="3"/>
      <c r="D27" s="3"/>
      <c r="E27" s="3"/>
      <c r="F27" s="265"/>
      <c r="L27" s="53"/>
      <c r="T27" s="240"/>
    </row>
    <row r="28" ht="16.15" customHeight="1" spans="1:20">
      <c r="B28" s="264" t="s">
        <v>218</v>
      </c>
      <c r="C28" s="266"/>
      <c r="D28" s="266"/>
      <c r="E28" s="266"/>
      <c r="F28" s="267"/>
      <c r="L28" s="53"/>
      <c r="T28" s="240"/>
    </row>
    <row r="29" ht="28" customHeight="1" spans="1:20">
      <c r="B29" s="112" t="s">
        <v>219</v>
      </c>
      <c r="C29" s="113"/>
      <c r="D29" s="113"/>
      <c r="E29" s="113"/>
      <c r="F29" s="114"/>
      <c r="L29" s="53"/>
      <c r="T29" s="240"/>
    </row>
    <row r="30" ht="15" customHeight="1" spans="1:20">
      <c r="B30" s="268" t="s">
        <v>220</v>
      </c>
      <c r="C30" s="269"/>
      <c r="D30" s="269"/>
      <c r="E30" s="269"/>
      <c r="F30" s="270"/>
      <c r="L30" s="53"/>
      <c r="T30" s="240"/>
    </row>
    <row r="31" spans="1:20">
      <c r="T31" s="240"/>
    </row>
    <row r="32" ht="14.15" customHeight="1" spans="1:20">
      <c r="C32" s="118"/>
      <c r="D32" s="118"/>
      <c r="E32" s="118"/>
      <c r="F32" s="118"/>
      <c r="G32" s="118"/>
      <c r="H32" s="118"/>
      <c r="I32" s="118"/>
      <c r="J32" s="118"/>
      <c r="K32" s="118"/>
      <c r="L32" s="118"/>
      <c r="M32" s="57"/>
      <c r="N32" s="271" t="s">
        <v>221</v>
      </c>
      <c r="O32" s="120" t="s">
        <v>222</v>
      </c>
      <c r="P32" s="217"/>
      <c r="Q32" s="217"/>
      <c r="R32" s="121"/>
      <c r="T32" s="240"/>
    </row>
    <row r="33" ht="62.4" spans="1:20">
      <c r="B33" s="123" t="s">
        <v>223</v>
      </c>
      <c r="C33" s="123" t="s">
        <v>135</v>
      </c>
      <c r="D33" s="125" t="s">
        <v>224</v>
      </c>
      <c r="E33" s="125" t="s">
        <v>225</v>
      </c>
      <c r="F33" s="125" t="s">
        <v>226</v>
      </c>
      <c r="G33" s="125" t="s">
        <v>227</v>
      </c>
      <c r="H33" s="125" t="s">
        <v>228</v>
      </c>
      <c r="I33" s="125" t="s">
        <v>229</v>
      </c>
      <c r="J33" s="125" t="s">
        <v>230</v>
      </c>
      <c r="K33" s="125" t="s">
        <v>231</v>
      </c>
      <c r="L33" s="125" t="s">
        <v>232</v>
      </c>
      <c r="M33" s="125" t="s">
        <v>233</v>
      </c>
      <c r="N33" s="125" t="s">
        <v>234</v>
      </c>
      <c r="O33" s="123">
        <v>1</v>
      </c>
      <c r="P33" s="123">
        <v>2</v>
      </c>
      <c r="Q33" s="123">
        <v>3</v>
      </c>
      <c r="R33" s="123">
        <v>4</v>
      </c>
      <c r="T33" s="240"/>
    </row>
    <row r="34" spans="1:20">
      <c r="B34" s="131"/>
      <c r="C34" s="131"/>
      <c r="D34" s="131"/>
      <c r="E34" s="131"/>
      <c r="F34" s="131"/>
      <c r="G34" s="222"/>
      <c r="H34" s="133"/>
      <c r="I34" s="131"/>
      <c r="J34" s="272"/>
      <c r="K34" s="131"/>
      <c r="L34" s="132"/>
      <c r="M34" s="131"/>
      <c r="N34" s="273">
        <f>G34-L34</f>
        <v>0</v>
      </c>
      <c r="O34" s="131"/>
      <c r="P34" s="131"/>
      <c r="Q34" s="131"/>
      <c r="R34" s="131"/>
      <c r="T34" s="240"/>
    </row>
    <row r="35" spans="1:20">
      <c r="B35" s="131"/>
      <c r="C35" s="131"/>
      <c r="D35" s="131"/>
      <c r="E35" s="131"/>
      <c r="F35" s="131"/>
      <c r="G35" s="222"/>
      <c r="H35" s="133"/>
      <c r="I35" s="131"/>
      <c r="J35" s="272"/>
      <c r="K35" s="131"/>
      <c r="L35" s="132"/>
      <c r="M35" s="131"/>
      <c r="N35" s="273">
        <f t="shared" ref="N35:N36" si="0">G35-L35</f>
        <v>0</v>
      </c>
      <c r="O35" s="131"/>
      <c r="P35" s="131"/>
      <c r="Q35" s="131"/>
      <c r="R35" s="131"/>
      <c r="T35" s="240"/>
    </row>
    <row r="36" spans="1:20">
      <c r="B36" s="131"/>
      <c r="C36" s="131"/>
      <c r="D36" s="131"/>
      <c r="E36" s="131"/>
      <c r="F36" s="131"/>
      <c r="G36" s="222"/>
      <c r="H36" s="133"/>
      <c r="I36" s="131"/>
      <c r="J36" s="272"/>
      <c r="K36" s="131"/>
      <c r="L36" s="132"/>
      <c r="M36" s="131"/>
      <c r="N36" s="273">
        <f t="shared" si="0"/>
        <v>0</v>
      </c>
      <c r="O36" s="131"/>
      <c r="P36" s="131"/>
      <c r="Q36" s="131"/>
      <c r="R36" s="131"/>
      <c r="T36" s="240"/>
    </row>
    <row r="37" spans="1:20">
      <c r="B37" s="129"/>
      <c r="C37" s="137"/>
      <c r="D37" s="137"/>
      <c r="E37" s="137"/>
      <c r="F37" s="137"/>
      <c r="G37" s="138"/>
      <c r="H37" s="138"/>
      <c r="I37" s="139"/>
      <c r="J37" s="140"/>
      <c r="K37" s="138"/>
      <c r="L37" s="141"/>
      <c r="M37" s="137"/>
      <c r="N37" s="137"/>
      <c r="O37" s="137"/>
      <c r="P37" s="137"/>
      <c r="T37" s="240"/>
    </row>
    <row r="38" ht="15.6" spans="1:20">
      <c r="B38" s="54" t="s">
        <v>235</v>
      </c>
      <c r="C38" s="137"/>
      <c r="D38" s="137"/>
      <c r="E38" s="137"/>
      <c r="F38" s="137"/>
      <c r="G38" s="138"/>
      <c r="H38" s="138"/>
      <c r="I38" s="139"/>
      <c r="J38" s="140"/>
      <c r="K38" s="138"/>
      <c r="L38" s="141"/>
      <c r="M38" s="137"/>
      <c r="N38" s="137"/>
      <c r="O38" s="137"/>
      <c r="P38" s="137"/>
      <c r="T38" s="240"/>
    </row>
    <row r="39" spans="1:20">
      <c r="B39" s="70"/>
      <c r="C39" s="71"/>
      <c r="D39" s="71"/>
      <c r="E39" s="71"/>
      <c r="F39" s="72"/>
      <c r="G39" s="138"/>
      <c r="H39" s="138"/>
      <c r="I39" s="139"/>
      <c r="J39" s="140"/>
      <c r="K39" s="138"/>
      <c r="L39" s="141"/>
      <c r="M39" s="137"/>
      <c r="N39" s="137"/>
      <c r="O39" s="137"/>
      <c r="P39" s="137"/>
      <c r="T39" s="240"/>
    </row>
    <row r="40" spans="1:20">
      <c r="B40" s="74"/>
      <c r="C40" s="75"/>
      <c r="D40" s="75"/>
      <c r="E40" s="75"/>
      <c r="F40" s="76"/>
      <c r="G40" s="138"/>
      <c r="H40" s="138"/>
      <c r="I40" s="139"/>
      <c r="J40" s="140"/>
      <c r="K40" s="138"/>
      <c r="L40" s="141"/>
      <c r="M40" s="137"/>
      <c r="N40" s="137"/>
      <c r="O40" s="137"/>
      <c r="P40" s="137"/>
      <c r="T40" s="240"/>
    </row>
    <row r="41" spans="1:20">
      <c r="B41" s="74"/>
      <c r="C41" s="75"/>
      <c r="D41" s="75"/>
      <c r="E41" s="75"/>
      <c r="F41" s="76"/>
      <c r="G41" s="138"/>
      <c r="H41" s="138"/>
      <c r="I41" s="139"/>
      <c r="J41" s="140"/>
      <c r="K41" s="138"/>
      <c r="L41" s="141"/>
      <c r="M41" s="137"/>
      <c r="N41" s="137"/>
      <c r="O41" s="137"/>
      <c r="P41" s="137"/>
      <c r="T41" s="240"/>
    </row>
    <row r="42" spans="1:20">
      <c r="A42" s="274"/>
      <c r="B42" s="77"/>
      <c r="C42" s="78"/>
      <c r="D42" s="78"/>
      <c r="E42" s="78"/>
      <c r="F42" s="79"/>
      <c r="G42" s="138"/>
      <c r="H42" s="138"/>
      <c r="I42" s="139"/>
      <c r="J42" s="140"/>
      <c r="K42" s="138"/>
      <c r="L42" s="53"/>
      <c r="T42" s="240"/>
    </row>
    <row r="43" ht="15" customHeight="1" spans="1:20">
      <c r="B43" s="275"/>
      <c r="C43" s="275"/>
      <c r="D43" s="275"/>
      <c r="E43" s="275"/>
      <c r="F43" s="275"/>
      <c r="G43" s="275"/>
      <c r="H43" s="275"/>
      <c r="K43" s="275"/>
      <c r="L43" s="53"/>
      <c r="T43" s="240"/>
    </row>
    <row r="44" ht="7.5" customHeight="1" spans="1:20">
      <c r="A44" s="240"/>
      <c r="B44" s="240"/>
      <c r="C44" s="240"/>
      <c r="D44" s="240"/>
      <c r="E44" s="240"/>
      <c r="F44" s="240"/>
      <c r="G44" s="240"/>
      <c r="H44" s="240"/>
      <c r="I44" s="240"/>
      <c r="J44" s="240"/>
      <c r="K44" s="240"/>
      <c r="L44" s="240"/>
      <c r="M44" s="240"/>
      <c r="N44" s="240"/>
      <c r="O44" s="240"/>
      <c r="P44" s="240"/>
      <c r="Q44" s="240"/>
      <c r="R44" s="240"/>
      <c r="S44" s="240"/>
      <c r="T44" s="240"/>
    </row>
    <row r="45" spans="1:20">
      <c r="A45" s="276"/>
      <c r="L45" s="53"/>
    </row>
    <row r="46" spans="1:20">
      <c r="L46" s="53"/>
    </row>
    <row r="47" spans="1:20">
      <c r="L47" s="53"/>
    </row>
    <row r="48" spans="1:20">
      <c r="L48" s="53"/>
    </row>
    <row r="49" spans="12:12">
      <c r="L49" s="53"/>
    </row>
    <row r="50" spans="12:12">
      <c r="L50" s="53"/>
    </row>
    <row r="51" spans="12:12">
      <c r="L51" s="53"/>
    </row>
    <row r="52" spans="12:12">
      <c r="L52" s="53"/>
    </row>
    <row r="53" spans="12:12">
      <c r="L53" s="53"/>
    </row>
    <row r="54" spans="12:12">
      <c r="L54" s="53"/>
    </row>
    <row r="55" spans="12:12">
      <c r="L55" s="53"/>
    </row>
    <row r="56" spans="12:12">
      <c r="L56" s="53"/>
    </row>
  </sheetData>
  <mergeCells count="21">
    <mergeCell ref="B1:R1"/>
    <mergeCell ref="O2:P2"/>
    <mergeCell ref="Q2:R2"/>
    <mergeCell ref="B6:R6"/>
    <mergeCell ref="O11:P11"/>
    <mergeCell ref="Q11:R11"/>
    <mergeCell ref="O12:P12"/>
    <mergeCell ref="Q12:R12"/>
    <mergeCell ref="O13:P13"/>
    <mergeCell ref="Q13:R13"/>
    <mergeCell ref="O14:P14"/>
    <mergeCell ref="Q14:R14"/>
    <mergeCell ref="O15:P15"/>
    <mergeCell ref="Q15:R15"/>
    <mergeCell ref="O16:P16"/>
    <mergeCell ref="Q16:R16"/>
    <mergeCell ref="B29:F29"/>
    <mergeCell ref="O32:R32"/>
    <mergeCell ref="B39:F42"/>
    <mergeCell ref="B20:F23"/>
    <mergeCell ref="B7:F10"/>
  </mergeCells>
  <conditionalFormatting sqref="B7">
    <cfRule type="containsBlanks" dxfId="1" priority="1">
      <formula>LEN(TRIM(B7))=0</formula>
    </cfRule>
  </conditionalFormatting>
  <conditionalFormatting sqref="F12">
    <cfRule type="containsBlanks" dxfId="1" priority="7">
      <formula>LEN(TRIM(F12))=0</formula>
    </cfRule>
  </conditionalFormatting>
  <conditionalFormatting sqref="F16">
    <cfRule type="containsBlanks" dxfId="1" priority="6">
      <formula>LEN(TRIM(F16))=0</formula>
    </cfRule>
  </conditionalFormatting>
  <conditionalFormatting sqref="B20">
    <cfRule type="containsBlanks" dxfId="1" priority="2">
      <formula>LEN(TRIM(B20))=0</formula>
    </cfRule>
  </conditionalFormatting>
  <conditionalFormatting sqref="B39">
    <cfRule type="containsBlanks" dxfId="1" priority="3">
      <formula>LEN(TRIM(B39))=0</formula>
    </cfRule>
  </conditionalFormatting>
  <conditionalFormatting sqref="B34:M36 O34:R36">
    <cfRule type="containsBlanks" dxfId="1" priority="8">
      <formula>LEN(TRIM(B34))=0</formula>
    </cfRule>
  </conditionalFormatting>
  <dataValidations count="2">
    <dataValidation type="list" allowBlank="1" showInputMessage="1" sqref="B34:B36">
      <formula1>"关键项（key item）,代表性样本"</formula1>
    </dataValidation>
    <dataValidation type="list" allowBlank="1" showInputMessage="1" sqref="O34:R36">
      <formula1>"Y,N"</formula1>
    </dataValidation>
  </dataValidations>
  <hyperlinks>
    <hyperlink ref="B4" location="'汇总 '!A1" display="返回汇总页"/>
  </hyperlinks>
  <pageMargins left="0.7" right="0.7" top="0.75" bottom="0.75" header="0.3" footer="0.3"/>
  <pageSetup paperSize="9" orientation="portrait" horizontalDpi="300" verticalDpi="300"/>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9"/>
  <sheetViews>
    <sheetView showGridLines="0" zoomScale="70" zoomScaleNormal="70" workbookViewId="0">
      <selection activeCell="N15" sqref="N15"/>
    </sheetView>
  </sheetViews>
  <sheetFormatPr defaultColWidth="8.72222222222222" defaultRowHeight="17.4"/>
  <cols>
    <col min="1" max="1" width="2.62962962962963" style="166" customWidth="1"/>
    <col min="2" max="10" width="8.72222222222222" style="166"/>
    <col min="11" max="11" width="2.62962962962963" style="54" customWidth="1"/>
    <col min="12" max="12" width="1.62962962962963" style="166" customWidth="1"/>
    <col min="13" max="13" width="8.72222222222222" style="166"/>
    <col min="14" max="14" width="12.4537037037037" style="166" customWidth="1"/>
    <col min="15" max="16384" width="8.72222222222222" style="166"/>
  </cols>
  <sheetData>
    <row r="1" ht="10" customHeight="1" spans="1:14">
      <c r="L1" s="167"/>
    </row>
    <row r="2" ht="20.4" spans="1:14">
      <c r="B2" s="161" t="s">
        <v>236</v>
      </c>
      <c r="C2" s="161"/>
      <c r="D2" s="161"/>
      <c r="E2" s="161"/>
      <c r="F2" s="161"/>
      <c r="G2" s="161"/>
      <c r="H2" s="161"/>
      <c r="I2" s="161"/>
      <c r="J2" s="163"/>
      <c r="L2" s="167"/>
      <c r="N2" s="18" t="s">
        <v>51</v>
      </c>
    </row>
    <row r="3" ht="15" customHeight="1" spans="1:14">
      <c r="L3" s="167"/>
    </row>
    <row r="4" ht="7.5" customHeight="1" spans="1:14">
      <c r="A4" s="167"/>
      <c r="B4" s="167"/>
      <c r="C4" s="167"/>
      <c r="D4" s="167"/>
      <c r="E4" s="167"/>
      <c r="F4" s="167"/>
      <c r="G4" s="167"/>
      <c r="H4" s="167"/>
      <c r="I4" s="167"/>
      <c r="J4" s="167"/>
      <c r="K4" s="168"/>
      <c r="L4" s="167"/>
    </row>
    <row r="9" spans="1:14">
      <c r="H9" s="245"/>
      <c r="I9" s="245"/>
    </row>
  </sheetData>
  <mergeCells count="1">
    <mergeCell ref="A4:B4"/>
  </mergeCells>
  <hyperlinks>
    <hyperlink ref="N2" location="'汇总 '!A1" display="返回汇总页"/>
  </hyperlinks>
  <pageMargins left="0.7" right="0.7" top="0.75" bottom="0.75" header="0.3" footer="0.3"/>
  <pageSetup paperSize="1"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6"/>
  <sheetViews>
    <sheetView showGridLines="0" zoomScale="70" zoomScaleNormal="70" workbookViewId="0">
      <selection activeCell="N15" sqref="N15"/>
    </sheetView>
  </sheetViews>
  <sheetFormatPr defaultColWidth="8.72222222222222" defaultRowHeight="13.8" outlineLevelRow="5"/>
  <cols>
    <col min="1" max="1" width="2.62962962962963" style="237" customWidth="1"/>
    <col min="2" max="2" width="14.7222222222222" style="4" customWidth="1"/>
    <col min="3" max="3" width="13.4537037037037" style="4" customWidth="1"/>
    <col min="4" max="4" width="14.4537037037037" style="4" customWidth="1"/>
    <col min="5" max="5" width="19.9074074074074" style="4" customWidth="1"/>
    <col min="6" max="6" width="17.9074074074074" style="4" customWidth="1"/>
    <col min="7" max="9" width="13.3611111111111" style="4" customWidth="1"/>
    <col min="10" max="10" width="14.3611111111111" style="54" customWidth="1"/>
    <col min="11" max="13" width="13.4537037037037" style="4" customWidth="1"/>
    <col min="14" max="14" width="17.0925925925926" style="4" customWidth="1"/>
    <col min="15" max="17" width="8.90740740740741" style="4" customWidth="1"/>
    <col min="18" max="18" width="2.62962962962963" style="4" customWidth="1"/>
    <col min="19" max="19" width="1.62962962962963" style="4" customWidth="1"/>
    <col min="20" max="16384" width="8.72222222222222" style="4"/>
  </cols>
  <sheetData>
    <row r="1" s="156" customFormat="1" ht="10" customHeight="1" spans="1:21">
      <c r="A1" s="238"/>
      <c r="B1" s="239"/>
      <c r="C1" s="239"/>
      <c r="D1" s="239"/>
      <c r="E1" s="239"/>
      <c r="F1" s="239"/>
      <c r="G1" s="239"/>
      <c r="H1" s="239"/>
      <c r="I1" s="239"/>
      <c r="J1" s="239"/>
      <c r="S1" s="240"/>
    </row>
    <row r="2" s="236" customFormat="1" ht="20.4" spans="1:21">
      <c r="A2" s="241"/>
      <c r="B2" s="242" t="s">
        <v>237</v>
      </c>
      <c r="C2" s="242"/>
      <c r="D2" s="242"/>
      <c r="E2" s="242"/>
      <c r="F2" s="242"/>
      <c r="G2" s="242"/>
      <c r="H2" s="242"/>
      <c r="I2" s="242"/>
      <c r="J2" s="242"/>
      <c r="K2" s="242"/>
      <c r="L2" s="242"/>
      <c r="M2" s="242"/>
      <c r="N2" s="242"/>
      <c r="O2" s="242"/>
      <c r="S2" s="240"/>
      <c r="U2" s="18" t="s">
        <v>51</v>
      </c>
    </row>
    <row r="3" s="156" customFormat="1" ht="13.2" spans="1:21">
      <c r="A3" s="243"/>
      <c r="S3" s="240"/>
    </row>
    <row r="4" s="159" customFormat="1" ht="20.4" spans="1:21">
      <c r="A4" s="57"/>
      <c r="B4" s="161" t="s">
        <v>238</v>
      </c>
      <c r="C4" s="161"/>
      <c r="D4" s="161"/>
      <c r="E4" s="161"/>
      <c r="F4" s="161"/>
      <c r="G4" s="161"/>
      <c r="H4" s="161"/>
      <c r="I4" s="161"/>
      <c r="J4" s="163"/>
      <c r="K4" s="161"/>
      <c r="L4" s="161"/>
      <c r="M4" s="161"/>
      <c r="N4" s="244"/>
      <c r="O4" s="244"/>
      <c r="P4" s="244"/>
      <c r="Q4" s="244"/>
      <c r="S4" s="240"/>
    </row>
    <row r="5" ht="15" customHeight="1" spans="1:21">
      <c r="S5" s="240"/>
    </row>
    <row r="6" ht="7.5" customHeight="1" spans="1:21">
      <c r="A6" s="240"/>
      <c r="B6" s="240"/>
      <c r="C6" s="240"/>
      <c r="D6" s="240"/>
      <c r="E6" s="240"/>
      <c r="F6" s="240"/>
      <c r="G6" s="240"/>
      <c r="H6" s="240"/>
      <c r="I6" s="240"/>
      <c r="J6" s="240"/>
      <c r="K6" s="240"/>
      <c r="L6" s="240"/>
      <c r="M6" s="240"/>
      <c r="N6" s="240"/>
      <c r="O6" s="240"/>
      <c r="P6" s="240"/>
      <c r="Q6" s="240"/>
      <c r="R6" s="240"/>
      <c r="S6" s="240"/>
    </row>
  </sheetData>
  <hyperlinks>
    <hyperlink ref="U2" location="'汇总 '!A1" display="返回汇总页"/>
  </hyperlinks>
  <pageMargins left="0.7" right="0.7" top="0.75" bottom="0.75" header="0.3" footer="0.3"/>
  <pageSetup paperSize="9" orientation="portrait" horizontalDpi="300"/>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46"/>
  <sheetViews>
    <sheetView showGridLines="0" zoomScale="70" zoomScaleNormal="70" workbookViewId="0">
      <selection activeCell="N15" sqref="N15"/>
    </sheetView>
  </sheetViews>
  <sheetFormatPr defaultColWidth="8.90740740740741" defaultRowHeight="13.2"/>
  <cols>
    <col min="1" max="1" width="2.62962962962963" style="169" customWidth="1"/>
    <col min="2" max="2" width="17.9074074074074" style="54" customWidth="1"/>
    <col min="3" max="4" width="27" style="54" customWidth="1"/>
    <col min="5" max="5" width="15.7222222222222" style="54" customWidth="1"/>
    <col min="6" max="6" width="25" style="54" customWidth="1"/>
    <col min="7" max="8" width="15.6296296296296" style="54" customWidth="1"/>
    <col min="9" max="9" width="13.3611111111111" style="54" customWidth="1"/>
    <col min="10" max="10" width="12.6296296296296" style="54" customWidth="1"/>
    <col min="11" max="11" width="13" style="54" customWidth="1"/>
    <col min="12" max="12" width="13.2685185185185" style="54" customWidth="1"/>
    <col min="13" max="13" width="11.0925925925926" style="54" customWidth="1"/>
    <col min="14" max="14" width="11.3611111111111" style="54" customWidth="1"/>
    <col min="15" max="15" width="13.0925925925926" style="54" customWidth="1"/>
    <col min="16" max="16" width="13.3611111111111" style="54" customWidth="1"/>
    <col min="17" max="17" width="12.0925925925926" style="54" customWidth="1"/>
    <col min="18" max="18" width="15.6296296296296" style="54" customWidth="1"/>
    <col min="19" max="21" width="5.72222222222222" style="54" customWidth="1"/>
    <col min="22" max="22" width="2.62962962962963" style="54" customWidth="1"/>
    <col min="23" max="23" width="1.62962962962963" style="54" customWidth="1"/>
    <col min="24" max="16384" width="8.90740740740741" style="54"/>
  </cols>
  <sheetData>
    <row r="1" ht="50.15" customHeight="1" spans="1:23">
      <c r="A1" s="170"/>
      <c r="B1" s="171" t="s">
        <v>206</v>
      </c>
      <c r="C1" s="172"/>
      <c r="D1" s="172"/>
      <c r="E1" s="172"/>
      <c r="F1" s="172"/>
      <c r="G1" s="172"/>
      <c r="H1" s="172"/>
      <c r="I1" s="172"/>
      <c r="J1" s="172"/>
      <c r="K1" s="172"/>
      <c r="L1" s="172"/>
      <c r="M1" s="172"/>
      <c r="N1" s="172"/>
      <c r="O1" s="172"/>
      <c r="P1" s="172"/>
      <c r="Q1" s="172"/>
      <c r="R1" s="172"/>
      <c r="S1" s="172"/>
      <c r="T1" s="172"/>
      <c r="U1" s="173"/>
      <c r="V1" s="53"/>
      <c r="W1" s="67"/>
    </row>
    <row r="2" ht="30" customHeight="1" spans="1:23">
      <c r="A2" s="170"/>
      <c r="B2" s="174" t="s">
        <v>239</v>
      </c>
      <c r="C2" s="175"/>
      <c r="D2" s="175"/>
      <c r="E2" s="175"/>
      <c r="F2" s="175"/>
      <c r="G2" s="175"/>
      <c r="H2" s="175"/>
      <c r="I2" s="175"/>
      <c r="J2" s="175"/>
      <c r="K2" s="175"/>
      <c r="L2" s="175"/>
      <c r="M2" s="175"/>
      <c r="N2" s="175"/>
      <c r="O2" s="175"/>
      <c r="P2" s="175"/>
      <c r="Q2" s="175"/>
      <c r="R2" s="175"/>
      <c r="S2" s="175"/>
      <c r="T2" s="175"/>
      <c r="U2" s="176"/>
      <c r="V2" s="53"/>
      <c r="W2" s="67"/>
    </row>
    <row r="3" spans="1:23">
      <c r="A3" s="177"/>
      <c r="B3" s="57"/>
      <c r="C3" s="65"/>
      <c r="D3" s="65"/>
      <c r="E3" s="65"/>
      <c r="F3" s="65"/>
      <c r="G3" s="65"/>
      <c r="H3" s="65"/>
      <c r="I3" s="65"/>
      <c r="J3" s="65"/>
      <c r="K3" s="65"/>
      <c r="L3" s="65"/>
      <c r="M3" s="65"/>
      <c r="N3" s="65"/>
      <c r="O3" s="65"/>
      <c r="P3" s="65"/>
      <c r="Q3" s="65"/>
      <c r="R3" s="65"/>
      <c r="S3" s="178"/>
      <c r="T3" s="179"/>
      <c r="U3" s="53"/>
      <c r="V3" s="53"/>
      <c r="W3" s="67"/>
    </row>
    <row r="4" spans="1:23">
      <c r="A4" s="177"/>
      <c r="B4" s="18" t="s">
        <v>51</v>
      </c>
      <c r="C4" s="65"/>
      <c r="D4" s="65"/>
      <c r="E4" s="65"/>
      <c r="F4" s="65"/>
      <c r="G4" s="65"/>
      <c r="H4" s="65"/>
      <c r="I4" s="65"/>
      <c r="J4" s="65"/>
      <c r="K4" s="65"/>
      <c r="L4" s="65"/>
      <c r="M4" s="65"/>
      <c r="N4" s="65"/>
      <c r="O4" s="65"/>
      <c r="P4" s="65"/>
      <c r="Q4" s="65"/>
      <c r="R4" s="65"/>
      <c r="S4" s="178"/>
      <c r="T4" s="179"/>
      <c r="U4" s="53"/>
      <c r="V4" s="53"/>
      <c r="W4" s="67"/>
    </row>
    <row r="5" spans="1:23">
      <c r="A5" s="177"/>
      <c r="B5" s="57"/>
      <c r="C5" s="65"/>
      <c r="D5" s="65"/>
      <c r="E5" s="65"/>
      <c r="F5" s="65"/>
      <c r="G5" s="65"/>
      <c r="H5" s="65"/>
      <c r="I5" s="65"/>
      <c r="J5" s="65"/>
      <c r="K5" s="65"/>
      <c r="L5" s="65"/>
      <c r="M5" s="65"/>
      <c r="N5" s="65"/>
      <c r="O5" s="65"/>
      <c r="P5" s="65"/>
      <c r="Q5" s="65"/>
      <c r="R5" s="65"/>
      <c r="S5" s="178"/>
      <c r="T5" s="179"/>
      <c r="U5" s="53"/>
      <c r="V5" s="53"/>
      <c r="W5" s="67"/>
    </row>
    <row r="6" s="53" customFormat="1" spans="1:23">
      <c r="A6" s="170"/>
      <c r="B6" s="66" t="s">
        <v>208</v>
      </c>
      <c r="C6" s="66"/>
      <c r="D6" s="66"/>
      <c r="E6" s="66"/>
      <c r="F6" s="66"/>
      <c r="G6" s="66"/>
      <c r="H6" s="66"/>
      <c r="I6" s="66"/>
      <c r="J6" s="66"/>
      <c r="K6" s="66"/>
      <c r="L6" s="66"/>
      <c r="M6" s="66"/>
      <c r="N6" s="66"/>
      <c r="O6" s="66"/>
      <c r="P6" s="66"/>
      <c r="Q6" s="65"/>
      <c r="R6" s="65"/>
      <c r="W6" s="67"/>
    </row>
    <row r="7" s="53" customFormat="1" ht="13.5" customHeight="1" spans="1:23">
      <c r="A7" s="170"/>
      <c r="B7" s="70"/>
      <c r="C7" s="71"/>
      <c r="D7" s="71"/>
      <c r="E7" s="71"/>
      <c r="F7" s="72"/>
      <c r="G7" s="180"/>
      <c r="H7" s="180"/>
      <c r="I7" s="180"/>
      <c r="J7" s="180"/>
      <c r="K7" s="180"/>
      <c r="L7" s="180"/>
      <c r="M7" s="180"/>
      <c r="N7" s="180"/>
      <c r="Q7" s="65"/>
      <c r="R7" s="65"/>
      <c r="W7" s="67"/>
    </row>
    <row r="8" s="53" customFormat="1" ht="13.5" customHeight="1" spans="1:23">
      <c r="A8" s="170"/>
      <c r="B8" s="74"/>
      <c r="C8" s="75"/>
      <c r="D8" s="75"/>
      <c r="E8" s="75"/>
      <c r="F8" s="76"/>
      <c r="G8" s="180"/>
      <c r="H8" s="180"/>
      <c r="I8" s="180"/>
      <c r="J8" s="180"/>
      <c r="K8" s="180"/>
      <c r="L8" s="180"/>
      <c r="M8" s="180"/>
      <c r="N8" s="180"/>
      <c r="Q8" s="65"/>
      <c r="R8" s="65"/>
      <c r="W8" s="67"/>
    </row>
    <row r="9" s="53" customFormat="1" ht="13.5" customHeight="1" spans="1:23">
      <c r="A9" s="170"/>
      <c r="B9" s="74"/>
      <c r="C9" s="75"/>
      <c r="D9" s="75"/>
      <c r="E9" s="75"/>
      <c r="F9" s="76"/>
      <c r="G9" s="180"/>
      <c r="H9" s="180"/>
      <c r="I9" s="180"/>
      <c r="J9" s="180"/>
      <c r="K9" s="180"/>
      <c r="L9" s="180"/>
      <c r="M9" s="180"/>
      <c r="N9" s="180"/>
      <c r="Q9" s="65"/>
      <c r="R9" s="65"/>
      <c r="W9" s="67"/>
    </row>
    <row r="10" s="53" customFormat="1" ht="13.5" customHeight="1" spans="1:23">
      <c r="A10" s="170"/>
      <c r="B10" s="77"/>
      <c r="C10" s="78"/>
      <c r="D10" s="78"/>
      <c r="E10" s="78"/>
      <c r="F10" s="79"/>
      <c r="G10" s="180"/>
      <c r="H10" s="180"/>
      <c r="I10" s="180"/>
      <c r="J10" s="180"/>
      <c r="K10" s="180"/>
      <c r="L10" s="180"/>
      <c r="M10" s="180"/>
      <c r="N10" s="180"/>
      <c r="Q10" s="65"/>
      <c r="R10" s="65"/>
      <c r="W10" s="67"/>
    </row>
    <row r="11" spans="1:23">
      <c r="A11" s="170"/>
      <c r="B11" s="65"/>
      <c r="C11" s="181"/>
      <c r="D11" s="182"/>
      <c r="E11" s="182"/>
      <c r="F11" s="182"/>
      <c r="G11" s="182"/>
      <c r="H11" s="183"/>
      <c r="I11" s="184"/>
      <c r="J11" s="184"/>
      <c r="K11" s="184"/>
      <c r="L11" s="184"/>
      <c r="M11" s="65"/>
      <c r="N11" s="65"/>
      <c r="O11" s="65"/>
      <c r="P11" s="65"/>
      <c r="Q11" s="65"/>
      <c r="R11" s="65"/>
      <c r="S11" s="65"/>
      <c r="T11" s="65"/>
      <c r="U11" s="65"/>
      <c r="V11" s="65"/>
      <c r="W11" s="67"/>
    </row>
    <row r="12" spans="1:23">
      <c r="A12" s="170"/>
      <c r="B12" s="65"/>
      <c r="C12" s="181"/>
      <c r="D12" s="182"/>
      <c r="E12" s="119" t="s">
        <v>221</v>
      </c>
      <c r="F12" s="182"/>
      <c r="G12" s="182"/>
      <c r="H12" s="183"/>
      <c r="I12" s="184"/>
      <c r="J12" s="184"/>
      <c r="K12" s="184"/>
      <c r="L12" s="184"/>
      <c r="M12" s="65"/>
      <c r="N12" s="65"/>
      <c r="O12" s="65"/>
      <c r="P12" s="65"/>
      <c r="Q12" s="65"/>
      <c r="R12" s="65"/>
      <c r="S12" s="65"/>
      <c r="T12" s="65"/>
      <c r="U12" s="65"/>
      <c r="V12" s="65"/>
      <c r="W12" s="67"/>
    </row>
    <row r="13" ht="15.6" spans="1:23">
      <c r="A13" s="170"/>
      <c r="B13" s="65"/>
      <c r="C13" s="181"/>
      <c r="D13" s="182"/>
      <c r="E13" s="185" t="s">
        <v>240</v>
      </c>
      <c r="F13" s="182"/>
      <c r="G13" s="185" t="s">
        <v>117</v>
      </c>
      <c r="H13" s="66"/>
      <c r="I13" s="185" t="s">
        <v>119</v>
      </c>
      <c r="J13" s="184"/>
      <c r="K13" s="185" t="s">
        <v>120</v>
      </c>
      <c r="L13" s="184"/>
      <c r="M13" s="65"/>
      <c r="N13" s="65"/>
      <c r="O13" s="65"/>
      <c r="P13" s="65"/>
      <c r="Q13" s="65"/>
      <c r="R13" s="65"/>
      <c r="S13" s="65"/>
      <c r="T13" s="65"/>
      <c r="U13" s="65"/>
      <c r="V13" s="65"/>
      <c r="W13" s="67"/>
    </row>
    <row r="14" ht="15" spans="1:23">
      <c r="A14" s="170"/>
      <c r="B14" s="84" t="s">
        <v>241</v>
      </c>
      <c r="C14" s="84"/>
      <c r="D14" s="65"/>
      <c r="E14" s="83">
        <f>G14-I14-K14</f>
        <v>0</v>
      </c>
      <c r="F14" s="65"/>
      <c r="G14" s="83"/>
      <c r="H14" s="65"/>
      <c r="I14" s="83"/>
      <c r="J14" s="65"/>
      <c r="K14" s="83"/>
      <c r="L14" s="65"/>
      <c r="M14" s="65"/>
      <c r="N14" s="65"/>
      <c r="O14" s="65"/>
      <c r="P14" s="65"/>
      <c r="Q14" s="65"/>
      <c r="R14" s="65"/>
      <c r="S14" s="65"/>
      <c r="T14" s="65"/>
      <c r="U14" s="65"/>
      <c r="V14" s="65"/>
      <c r="W14" s="67"/>
    </row>
    <row r="15" ht="15" spans="1:23">
      <c r="A15" s="170"/>
      <c r="B15" s="84" t="s">
        <v>242</v>
      </c>
      <c r="C15" s="84"/>
      <c r="D15" s="65"/>
      <c r="E15" s="186">
        <f>G15-I15-K15</f>
        <v>0</v>
      </c>
      <c r="F15" s="187" t="s">
        <v>11</v>
      </c>
      <c r="G15" s="188">
        <f>-'K.01 Agree SL to GL'!Z15</f>
        <v>0</v>
      </c>
      <c r="H15" s="187" t="s">
        <v>11</v>
      </c>
      <c r="I15" s="188">
        <f>-'K.01 Agree SL to GL'!Z21</f>
        <v>0</v>
      </c>
      <c r="J15" s="187" t="s">
        <v>11</v>
      </c>
      <c r="K15" s="188">
        <f>-'K.01 Agree SL to GL'!Z27</f>
        <v>0</v>
      </c>
      <c r="L15" s="187" t="s">
        <v>11</v>
      </c>
      <c r="M15" s="65"/>
      <c r="N15" s="65"/>
      <c r="O15" s="65"/>
      <c r="P15" s="65"/>
      <c r="Q15" s="65"/>
      <c r="R15" s="65"/>
      <c r="S15" s="65"/>
      <c r="T15" s="65"/>
      <c r="U15" s="65"/>
      <c r="V15" s="65"/>
      <c r="W15" s="67"/>
    </row>
    <row r="16" ht="15" spans="1:23">
      <c r="A16" s="170"/>
      <c r="B16" s="189" t="s">
        <v>200</v>
      </c>
      <c r="C16" s="189"/>
      <c r="D16" s="190"/>
      <c r="E16" s="191">
        <f>E14-E15</f>
        <v>0</v>
      </c>
      <c r="F16" s="187" t="s">
        <v>76</v>
      </c>
      <c r="G16" s="191">
        <f>G14-G15</f>
        <v>0</v>
      </c>
      <c r="H16" s="187" t="s">
        <v>76</v>
      </c>
      <c r="I16" s="191">
        <f>I14-I15</f>
        <v>0</v>
      </c>
      <c r="J16" s="187" t="s">
        <v>76</v>
      </c>
      <c r="K16" s="191">
        <f>K14-K15</f>
        <v>0</v>
      </c>
      <c r="L16" s="187" t="s">
        <v>76</v>
      </c>
      <c r="M16" s="65"/>
      <c r="N16" s="65"/>
      <c r="O16" s="65"/>
      <c r="P16" s="65"/>
      <c r="Q16" s="65"/>
      <c r="R16" s="65"/>
      <c r="S16" s="65"/>
      <c r="T16" s="65"/>
      <c r="U16" s="65"/>
      <c r="V16" s="65"/>
      <c r="W16" s="67"/>
    </row>
    <row r="17" ht="15.6" spans="1:23">
      <c r="A17" s="170"/>
      <c r="B17" s="192" t="s">
        <v>211</v>
      </c>
      <c r="C17" s="65"/>
      <c r="D17" s="65"/>
      <c r="E17" s="193" t="str">
        <f>IF(ABS(E16)&gt;'K.00 Lead Sheet'!$C$6,"是","否")</f>
        <v>否</v>
      </c>
      <c r="F17" s="187"/>
      <c r="G17" s="193" t="str">
        <f>IF(ABS(G16)&gt;'K.00 Lead Sheet'!$C$6,"是","否")</f>
        <v>否</v>
      </c>
      <c r="H17" s="65"/>
      <c r="I17" s="193" t="str">
        <f>IF(ABS(I16)&gt;'K.00 Lead Sheet'!$C$6,"是","否")</f>
        <v>否</v>
      </c>
      <c r="J17" s="65"/>
      <c r="K17" s="193" t="str">
        <f>IF(ABS(K16)&gt;'K.00 Lead Sheet'!$C$6,"是","否")</f>
        <v>否</v>
      </c>
      <c r="L17" s="65"/>
      <c r="M17" s="65"/>
      <c r="N17" s="65"/>
      <c r="O17" s="65"/>
      <c r="P17" s="65"/>
      <c r="Q17" s="65"/>
      <c r="R17" s="65"/>
      <c r="S17" s="65"/>
      <c r="T17" s="65"/>
      <c r="U17" s="65"/>
      <c r="V17" s="65"/>
      <c r="W17" s="67"/>
    </row>
    <row r="18" spans="1:23">
      <c r="A18" s="170"/>
      <c r="B18" s="84"/>
      <c r="C18" s="84"/>
      <c r="D18" s="65"/>
      <c r="E18" s="194"/>
      <c r="F18" s="187"/>
      <c r="M18" s="65"/>
      <c r="N18" s="65"/>
      <c r="O18" s="65"/>
      <c r="P18" s="65"/>
      <c r="Q18" s="65"/>
      <c r="R18" s="65"/>
      <c r="S18" s="65"/>
      <c r="T18" s="65"/>
      <c r="U18" s="65"/>
      <c r="V18" s="65"/>
      <c r="W18" s="67"/>
    </row>
    <row r="19" ht="15" spans="1:23">
      <c r="A19" s="170"/>
      <c r="B19" s="58" t="s">
        <v>212</v>
      </c>
      <c r="C19" s="195"/>
      <c r="D19" s="195"/>
      <c r="E19" s="83"/>
      <c r="F19" s="65"/>
      <c r="G19" s="65"/>
      <c r="H19" s="65"/>
      <c r="I19" s="65"/>
      <c r="J19" s="65"/>
      <c r="K19" s="65"/>
      <c r="L19" s="65"/>
      <c r="M19" s="65"/>
      <c r="N19" s="65"/>
      <c r="O19" s="65"/>
      <c r="P19" s="65"/>
      <c r="Q19" s="65"/>
      <c r="R19" s="65"/>
      <c r="S19" s="65"/>
      <c r="T19" s="65"/>
      <c r="U19" s="65"/>
      <c r="V19" s="65"/>
      <c r="W19" s="67"/>
    </row>
    <row r="20" ht="15" spans="1:23">
      <c r="A20" s="170"/>
      <c r="B20" s="189" t="s">
        <v>213</v>
      </c>
      <c r="C20" s="189"/>
      <c r="D20" s="196"/>
      <c r="E20" s="197">
        <f>E14-E19</f>
        <v>0</v>
      </c>
      <c r="F20" s="65"/>
      <c r="G20" s="65"/>
      <c r="H20" s="65"/>
      <c r="I20" s="65"/>
      <c r="J20" s="65"/>
      <c r="K20" s="65"/>
      <c r="L20" s="65"/>
      <c r="M20" s="65"/>
      <c r="N20" s="65"/>
      <c r="O20" s="65"/>
      <c r="P20" s="65"/>
      <c r="Q20" s="65"/>
      <c r="R20" s="65"/>
      <c r="S20" s="65"/>
      <c r="T20" s="65"/>
      <c r="U20" s="65"/>
      <c r="V20" s="65"/>
      <c r="W20" s="67"/>
    </row>
    <row r="21" spans="1:23">
      <c r="B21" s="53"/>
      <c r="C21" s="57"/>
      <c r="D21" s="198"/>
      <c r="E21" s="198"/>
      <c r="F21" s="198"/>
      <c r="G21" s="198"/>
      <c r="H21" s="198"/>
      <c r="I21" s="198"/>
      <c r="J21" s="198"/>
      <c r="K21" s="198"/>
      <c r="L21" s="198"/>
      <c r="M21" s="198"/>
      <c r="N21" s="199"/>
      <c r="O21" s="199"/>
      <c r="W21" s="67"/>
    </row>
    <row r="22" ht="15.6" spans="1:23">
      <c r="A22" s="200"/>
      <c r="B22" s="54" t="s">
        <v>214</v>
      </c>
      <c r="C22" s="53"/>
      <c r="D22" s="53"/>
      <c r="E22" s="53"/>
      <c r="F22" s="53"/>
      <c r="G22" s="53"/>
      <c r="H22" s="53"/>
      <c r="I22" s="80"/>
      <c r="J22" s="53"/>
      <c r="K22" s="53"/>
      <c r="L22" s="53"/>
      <c r="M22" s="53"/>
      <c r="N22" s="53"/>
      <c r="O22" s="53"/>
      <c r="P22" s="53"/>
      <c r="W22" s="67"/>
    </row>
    <row r="23" ht="14.25" customHeight="1" spans="1:23">
      <c r="A23" s="201"/>
      <c r="B23" s="70"/>
      <c r="C23" s="71"/>
      <c r="D23" s="71"/>
      <c r="E23" s="71"/>
      <c r="F23" s="72"/>
      <c r="G23" s="202"/>
      <c r="H23" s="202"/>
      <c r="I23" s="202"/>
      <c r="J23" s="202"/>
      <c r="K23" s="202"/>
      <c r="L23" s="202"/>
      <c r="M23" s="202"/>
      <c r="N23" s="202"/>
      <c r="O23" s="53"/>
      <c r="P23" s="53"/>
      <c r="W23" s="67"/>
    </row>
    <row r="24" ht="14.25" customHeight="1" spans="1:23">
      <c r="A24" s="201"/>
      <c r="B24" s="74"/>
      <c r="C24" s="75"/>
      <c r="D24" s="75"/>
      <c r="E24" s="75"/>
      <c r="F24" s="76"/>
      <c r="G24" s="202"/>
      <c r="H24" s="202"/>
      <c r="I24" s="202"/>
      <c r="J24" s="202"/>
      <c r="K24" s="202"/>
      <c r="L24" s="202"/>
      <c r="M24" s="202"/>
      <c r="N24" s="202"/>
      <c r="O24" s="53"/>
      <c r="P24" s="53"/>
      <c r="W24" s="67"/>
    </row>
    <row r="25" ht="14.25" customHeight="1" spans="1:23">
      <c r="A25" s="201"/>
      <c r="B25" s="74"/>
      <c r="C25" s="75"/>
      <c r="D25" s="75"/>
      <c r="E25" s="75"/>
      <c r="F25" s="76"/>
      <c r="G25" s="202"/>
      <c r="H25" s="202"/>
      <c r="I25" s="202"/>
      <c r="J25" s="202"/>
      <c r="K25" s="202"/>
      <c r="L25" s="202"/>
      <c r="M25" s="202"/>
      <c r="N25" s="202"/>
      <c r="O25" s="53"/>
      <c r="P25" s="53"/>
      <c r="W25" s="67"/>
    </row>
    <row r="26" ht="14.25" customHeight="1" spans="1:23">
      <c r="A26" s="201"/>
      <c r="B26" s="77"/>
      <c r="C26" s="78"/>
      <c r="D26" s="78"/>
      <c r="E26" s="78"/>
      <c r="F26" s="79"/>
      <c r="G26" s="202"/>
      <c r="H26" s="202"/>
      <c r="I26" s="202"/>
      <c r="J26" s="202"/>
      <c r="K26" s="202"/>
      <c r="L26" s="202"/>
      <c r="M26" s="202"/>
      <c r="N26" s="202"/>
      <c r="O26" s="53"/>
      <c r="P26" s="53"/>
      <c r="W26" s="67"/>
    </row>
    <row r="27" spans="1:23">
      <c r="A27" s="201"/>
      <c r="B27" s="53"/>
      <c r="C27" s="53"/>
      <c r="D27" s="53"/>
      <c r="E27" s="53"/>
      <c r="F27" s="53"/>
      <c r="G27" s="53"/>
      <c r="H27" s="53"/>
      <c r="I27" s="80"/>
      <c r="J27" s="53"/>
      <c r="K27" s="53"/>
      <c r="L27" s="53"/>
      <c r="M27" s="53"/>
      <c r="N27" s="53"/>
      <c r="O27" s="53"/>
      <c r="P27" s="53"/>
      <c r="W27" s="67"/>
    </row>
    <row r="28" ht="15.6" spans="1:23">
      <c r="A28" s="203"/>
      <c r="B28" s="104" t="s">
        <v>215</v>
      </c>
      <c r="C28" s="105"/>
      <c r="D28" s="105"/>
      <c r="E28" s="105"/>
      <c r="F28" s="106"/>
      <c r="G28" s="202"/>
      <c r="H28" s="202"/>
      <c r="I28" s="202"/>
      <c r="J28" s="202"/>
      <c r="K28" s="202"/>
      <c r="L28" s="202"/>
      <c r="M28" s="202"/>
      <c r="N28" s="202"/>
      <c r="W28" s="67"/>
    </row>
    <row r="29" ht="15" spans="1:23">
      <c r="A29" s="201"/>
      <c r="B29" s="204" t="s">
        <v>216</v>
      </c>
      <c r="C29" s="205"/>
      <c r="D29" s="205"/>
      <c r="E29" s="205"/>
      <c r="F29" s="206"/>
      <c r="G29" s="202"/>
      <c r="H29" s="202"/>
      <c r="I29" s="202"/>
      <c r="J29" s="202"/>
      <c r="K29" s="202"/>
      <c r="L29" s="202"/>
      <c r="M29" s="202"/>
      <c r="N29" s="202"/>
      <c r="W29" s="67"/>
    </row>
    <row r="30" spans="1:23">
      <c r="A30" s="201"/>
      <c r="B30" s="207" t="s">
        <v>243</v>
      </c>
      <c r="C30" s="208"/>
      <c r="D30" s="208"/>
      <c r="E30" s="208"/>
      <c r="F30" s="209"/>
      <c r="G30" s="202"/>
      <c r="H30" s="202"/>
      <c r="I30" s="202"/>
      <c r="J30" s="202"/>
      <c r="K30" s="202"/>
      <c r="L30" s="202"/>
      <c r="M30" s="202"/>
      <c r="N30" s="202"/>
      <c r="W30" s="67"/>
    </row>
    <row r="31" spans="1:23">
      <c r="A31" s="201"/>
      <c r="B31" s="210" t="s">
        <v>244</v>
      </c>
      <c r="C31" s="208"/>
      <c r="D31" s="208"/>
      <c r="E31" s="208"/>
      <c r="F31" s="209"/>
      <c r="G31" s="202"/>
      <c r="H31" s="202"/>
      <c r="I31" s="202"/>
      <c r="J31" s="202"/>
      <c r="K31" s="202"/>
      <c r="L31" s="202"/>
      <c r="M31" s="202"/>
      <c r="N31" s="202"/>
      <c r="W31" s="67"/>
    </row>
    <row r="32" ht="29.15" customHeight="1" spans="1:23">
      <c r="A32" s="201"/>
      <c r="B32" s="211" t="s">
        <v>245</v>
      </c>
      <c r="C32" s="212"/>
      <c r="D32" s="212"/>
      <c r="E32" s="212"/>
      <c r="F32" s="213"/>
      <c r="G32" s="202"/>
      <c r="H32" s="202"/>
      <c r="I32" s="202"/>
      <c r="J32" s="202"/>
      <c r="K32" s="202"/>
      <c r="L32" s="202"/>
      <c r="M32" s="202"/>
      <c r="N32" s="202"/>
      <c r="W32" s="67"/>
    </row>
    <row r="33" spans="1:23">
      <c r="W33" s="67"/>
    </row>
    <row r="34" ht="16.15" customHeight="1" spans="1:23">
      <c r="B34" s="214" t="s">
        <v>246</v>
      </c>
      <c r="C34" s="214"/>
      <c r="D34" s="58"/>
      <c r="E34" s="58"/>
      <c r="F34" s="58"/>
      <c r="G34" s="58"/>
      <c r="H34" s="58"/>
      <c r="I34" s="215"/>
      <c r="J34" s="215"/>
      <c r="K34" s="215"/>
      <c r="L34" s="119" t="s">
        <v>221</v>
      </c>
      <c r="M34" s="215"/>
      <c r="N34" s="216"/>
      <c r="O34" s="119" t="s">
        <v>221</v>
      </c>
      <c r="P34" s="215"/>
      <c r="Q34" s="119" t="s">
        <v>221</v>
      </c>
      <c r="S34" s="120" t="s">
        <v>222</v>
      </c>
      <c r="T34" s="217"/>
      <c r="U34" s="121"/>
      <c r="W34" s="67"/>
    </row>
    <row r="35" ht="78" spans="1:23">
      <c r="B35" s="125" t="s">
        <v>247</v>
      </c>
      <c r="C35" s="125" t="s">
        <v>223</v>
      </c>
      <c r="D35" s="125" t="s">
        <v>135</v>
      </c>
      <c r="E35" s="125" t="s">
        <v>248</v>
      </c>
      <c r="F35" s="125" t="s">
        <v>225</v>
      </c>
      <c r="G35" s="125" t="s">
        <v>226</v>
      </c>
      <c r="H35" s="125" t="s">
        <v>249</v>
      </c>
      <c r="I35" s="125" t="s">
        <v>117</v>
      </c>
      <c r="J35" s="125" t="s">
        <v>119</v>
      </c>
      <c r="K35" s="125" t="s">
        <v>120</v>
      </c>
      <c r="L35" s="125" t="s">
        <v>250</v>
      </c>
      <c r="M35" s="125" t="s">
        <v>251</v>
      </c>
      <c r="N35" s="125" t="s">
        <v>252</v>
      </c>
      <c r="O35" s="125" t="s">
        <v>253</v>
      </c>
      <c r="P35" s="125" t="s">
        <v>254</v>
      </c>
      <c r="Q35" s="125" t="s">
        <v>255</v>
      </c>
      <c r="R35" s="125" t="s">
        <v>256</v>
      </c>
      <c r="S35" s="218">
        <v>1</v>
      </c>
      <c r="T35" s="218">
        <v>2</v>
      </c>
      <c r="U35" s="218">
        <v>3</v>
      </c>
      <c r="W35" s="67"/>
    </row>
    <row r="36" spans="1:23">
      <c r="B36" s="219">
        <v>1</v>
      </c>
      <c r="C36" s="220"/>
      <c r="D36" s="131"/>
      <c r="E36" s="131"/>
      <c r="F36" s="131"/>
      <c r="G36" s="131"/>
      <c r="H36" s="133"/>
      <c r="I36" s="221"/>
      <c r="J36" s="222"/>
      <c r="K36" s="222"/>
      <c r="L36" s="222">
        <f>I36-J36-K36</f>
        <v>0</v>
      </c>
      <c r="M36" s="222"/>
      <c r="N36" s="136"/>
      <c r="O36" s="222">
        <f>M36-L36</f>
        <v>0</v>
      </c>
      <c r="P36" s="222"/>
      <c r="Q36" s="222">
        <f>P36-M36</f>
        <v>0</v>
      </c>
      <c r="R36" s="223"/>
      <c r="S36" s="224"/>
      <c r="T36" s="224"/>
      <c r="U36" s="224"/>
      <c r="W36" s="67"/>
    </row>
    <row r="37" spans="1:23">
      <c r="B37" s="219">
        <v>2</v>
      </c>
      <c r="C37" s="220"/>
      <c r="D37" s="131"/>
      <c r="E37" s="131"/>
      <c r="F37" s="131"/>
      <c r="G37" s="131"/>
      <c r="H37" s="133"/>
      <c r="I37" s="221"/>
      <c r="J37" s="222"/>
      <c r="K37" s="222"/>
      <c r="L37" s="222">
        <f>I37-J37-K37</f>
        <v>0</v>
      </c>
      <c r="M37" s="222"/>
      <c r="N37" s="136"/>
      <c r="O37" s="222">
        <f t="shared" ref="O37:O38" si="0">M37-L37</f>
        <v>0</v>
      </c>
      <c r="P37" s="222"/>
      <c r="Q37" s="222">
        <f t="shared" ref="Q37:Q38" si="1">P37-M37</f>
        <v>0</v>
      </c>
      <c r="R37" s="223"/>
      <c r="S37" s="224"/>
      <c r="T37" s="224"/>
      <c r="U37" s="224"/>
      <c r="W37" s="67"/>
    </row>
    <row r="38" spans="1:23">
      <c r="B38" s="219">
        <v>3</v>
      </c>
      <c r="C38" s="220"/>
      <c r="D38" s="131"/>
      <c r="E38" s="131"/>
      <c r="F38" s="131"/>
      <c r="G38" s="131"/>
      <c r="H38" s="133"/>
      <c r="I38" s="132"/>
      <c r="J38" s="132"/>
      <c r="K38" s="132"/>
      <c r="L38" s="222">
        <f>I38-J38-K38</f>
        <v>0</v>
      </c>
      <c r="M38" s="132"/>
      <c r="N38" s="131"/>
      <c r="O38" s="222">
        <f t="shared" si="0"/>
        <v>0</v>
      </c>
      <c r="P38" s="222"/>
      <c r="Q38" s="222">
        <f t="shared" si="1"/>
        <v>0</v>
      </c>
      <c r="R38" s="131"/>
      <c r="S38" s="224"/>
      <c r="T38" s="224"/>
      <c r="U38" s="224"/>
      <c r="W38" s="67"/>
    </row>
    <row r="39" spans="1:23">
      <c r="H39" s="225"/>
      <c r="W39" s="67"/>
    </row>
    <row r="40" ht="15.6" spans="1:23">
      <c r="B40" s="54" t="s">
        <v>257</v>
      </c>
      <c r="W40" s="67"/>
    </row>
    <row r="41" spans="1:23">
      <c r="B41" s="226"/>
      <c r="C41" s="227"/>
      <c r="D41" s="227"/>
      <c r="E41" s="227"/>
      <c r="F41" s="228"/>
      <c r="W41" s="67"/>
    </row>
    <row r="42" spans="1:23">
      <c r="B42" s="229"/>
      <c r="C42" s="230"/>
      <c r="D42" s="230"/>
      <c r="E42" s="230"/>
      <c r="F42" s="231"/>
      <c r="W42" s="67"/>
    </row>
    <row r="43" spans="1:23">
      <c r="B43" s="229"/>
      <c r="C43" s="230"/>
      <c r="D43" s="230"/>
      <c r="E43" s="230"/>
      <c r="F43" s="231"/>
      <c r="W43" s="67"/>
    </row>
    <row r="44" spans="1:23">
      <c r="B44" s="232"/>
      <c r="C44" s="233"/>
      <c r="D44" s="233"/>
      <c r="E44" s="233"/>
      <c r="F44" s="234"/>
      <c r="W44" s="67"/>
    </row>
    <row r="45" ht="15" customHeight="1" spans="1:23">
      <c r="W45" s="67"/>
    </row>
    <row r="46" ht="7.5" customHeight="1" spans="1:23">
      <c r="A46" s="235"/>
      <c r="B46" s="235"/>
      <c r="C46" s="235"/>
      <c r="D46" s="235"/>
      <c r="E46" s="235"/>
      <c r="F46" s="235"/>
      <c r="G46" s="235"/>
      <c r="H46" s="235"/>
      <c r="I46" s="235"/>
      <c r="J46" s="235"/>
      <c r="K46" s="235"/>
      <c r="L46" s="235"/>
      <c r="M46" s="235"/>
      <c r="N46" s="235"/>
      <c r="O46" s="235"/>
      <c r="P46" s="235"/>
      <c r="Q46" s="235"/>
      <c r="R46" s="235"/>
      <c r="S46" s="235"/>
      <c r="T46" s="235"/>
      <c r="U46" s="235"/>
      <c r="V46" s="235"/>
      <c r="W46" s="235"/>
    </row>
  </sheetData>
  <mergeCells count="16">
    <mergeCell ref="B1:U1"/>
    <mergeCell ref="B6:P6"/>
    <mergeCell ref="Q6:R6"/>
    <mergeCell ref="U11:V11"/>
    <mergeCell ref="U14:V14"/>
    <mergeCell ref="U15:V15"/>
    <mergeCell ref="U16:V16"/>
    <mergeCell ref="U19:V19"/>
    <mergeCell ref="U20:V20"/>
    <mergeCell ref="B30:F30"/>
    <mergeCell ref="B31:F31"/>
    <mergeCell ref="B32:F32"/>
    <mergeCell ref="S34:U34"/>
    <mergeCell ref="B41:F44"/>
    <mergeCell ref="B23:F26"/>
    <mergeCell ref="B7:F10"/>
  </mergeCells>
  <conditionalFormatting sqref="B7">
    <cfRule type="containsBlanks" dxfId="1" priority="3">
      <formula>LEN(TRIM(B7))=0</formula>
    </cfRule>
  </conditionalFormatting>
  <conditionalFormatting sqref="E14">
    <cfRule type="containsBlanks" dxfId="1" priority="14">
      <formula>LEN(TRIM(E14))=0</formula>
    </cfRule>
  </conditionalFormatting>
  <conditionalFormatting sqref="G14">
    <cfRule type="containsBlanks" dxfId="1" priority="12">
      <formula>LEN(TRIM(G14))=0</formula>
    </cfRule>
  </conditionalFormatting>
  <conditionalFormatting sqref="I14">
    <cfRule type="containsBlanks" dxfId="1" priority="11">
      <formula>LEN(TRIM(I14))=0</formula>
    </cfRule>
  </conditionalFormatting>
  <conditionalFormatting sqref="K14">
    <cfRule type="containsBlanks" dxfId="1" priority="10">
      <formula>LEN(TRIM(K14))=0</formula>
    </cfRule>
  </conditionalFormatting>
  <conditionalFormatting sqref="E19">
    <cfRule type="containsBlanks" dxfId="1" priority="13">
      <formula>LEN(TRIM(E19))=0</formula>
    </cfRule>
  </conditionalFormatting>
  <conditionalFormatting sqref="B23">
    <cfRule type="containsBlanks" dxfId="1" priority="4">
      <formula>LEN(TRIM(B23))=0</formula>
    </cfRule>
  </conditionalFormatting>
  <conditionalFormatting sqref="B41">
    <cfRule type="containsBlanks" dxfId="1" priority="2">
      <formula>LEN(TRIM(B41))=0</formula>
    </cfRule>
  </conditionalFormatting>
  <conditionalFormatting sqref="B36:K38">
    <cfRule type="containsBlanks" dxfId="1" priority="8">
      <formula>LEN(TRIM(B36))=0</formula>
    </cfRule>
  </conditionalFormatting>
  <conditionalFormatting sqref="M36:N38">
    <cfRule type="containsBlanks" dxfId="1" priority="15">
      <formula>LEN(TRIM(M36))=0</formula>
    </cfRule>
  </conditionalFormatting>
  <conditionalFormatting sqref="P36:U38">
    <cfRule type="containsBlanks" dxfId="1" priority="1">
      <formula>LEN(TRIM(P36))=0</formula>
    </cfRule>
  </conditionalFormatting>
  <dataValidations count="2">
    <dataValidation type="list" allowBlank="1" showInputMessage="1" sqref="C36:C38">
      <formula1>"关键项（key item）,代表性样本"</formula1>
    </dataValidation>
    <dataValidation type="list" allowBlank="1" showInputMessage="1" sqref="S36:U38">
      <formula1>"Y,N"</formula1>
    </dataValidation>
  </dataValidations>
  <hyperlinks>
    <hyperlink ref="B4" location="'汇总 '!A1" display="返回汇总页"/>
  </hyperlinks>
  <pageMargins left="0.7" right="0.7" top="0.75" bottom="0.75" header="0.3" footer="0.3"/>
  <pageSetup paperSize="9" orientation="portrait" horizontalDpi="300" verticalDpi="300"/>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
  <sheetViews>
    <sheetView showGridLines="0" zoomScale="70" zoomScaleNormal="70" workbookViewId="0">
      <selection activeCell="N15" sqref="N15"/>
    </sheetView>
  </sheetViews>
  <sheetFormatPr defaultColWidth="8.72222222222222" defaultRowHeight="17.4" outlineLevelRow="3"/>
  <cols>
    <col min="1" max="1" width="2.62962962962963" style="166" customWidth="1"/>
    <col min="2" max="10" width="8.72222222222222" style="166"/>
    <col min="11" max="11" width="2.62962962962963" style="54" customWidth="1"/>
    <col min="12" max="12" width="1.62962962962963" style="166" customWidth="1"/>
    <col min="13" max="16384" width="8.72222222222222" style="166"/>
  </cols>
  <sheetData>
    <row r="1" ht="10" customHeight="1" spans="1:14">
      <c r="L1" s="167"/>
    </row>
    <row r="2" ht="20.4" spans="1:14">
      <c r="B2" s="161" t="s">
        <v>236</v>
      </c>
      <c r="C2" s="161"/>
      <c r="D2" s="161"/>
      <c r="E2" s="161"/>
      <c r="F2" s="161"/>
      <c r="G2" s="161"/>
      <c r="H2" s="161"/>
      <c r="I2" s="163"/>
      <c r="J2" s="163"/>
      <c r="L2" s="167"/>
      <c r="N2" s="18" t="s">
        <v>51</v>
      </c>
    </row>
    <row r="3" ht="15" customHeight="1" spans="1:14">
      <c r="L3" s="167"/>
    </row>
    <row r="4" ht="7.5" customHeight="1" spans="1:14">
      <c r="A4" s="167"/>
      <c r="B4" s="167"/>
      <c r="C4" s="167"/>
      <c r="D4" s="167"/>
      <c r="E4" s="167"/>
      <c r="F4" s="167"/>
      <c r="G4" s="167"/>
      <c r="H4" s="167"/>
      <c r="I4" s="167"/>
      <c r="J4" s="167"/>
      <c r="K4" s="168"/>
      <c r="L4" s="167"/>
    </row>
  </sheetData>
  <mergeCells count="1">
    <mergeCell ref="A4:B4"/>
  </mergeCells>
  <hyperlinks>
    <hyperlink ref="N2" location="'汇总 '!A1" display="返回汇总页"/>
  </hyperlinks>
  <pageMargins left="0.7" right="0.7" top="0.75" bottom="0.75" header="0.3" footer="0.3"/>
  <pageSetup paperSize="9" orientation="portrait" horizontalDpi="300"/>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H73"/>
  <sheetViews>
    <sheetView workbookViewId="0">
      <selection activeCell="N15" sqref="N15"/>
    </sheetView>
  </sheetViews>
  <sheetFormatPr defaultColWidth="9" defaultRowHeight="14.4"/>
  <cols>
    <col min="1" max="1" width="0.0925925925925926" customWidth="1"/>
  </cols>
  <sheetData>
    <row r="1" spans="1:86">
      <c r="A1" t="s">
        <v>258</v>
      </c>
    </row>
    <row r="3" spans="1:86">
      <c r="A3" t="s">
        <v>259</v>
      </c>
    </row>
    <row r="4" spans="1:86">
      <c r="A4" t="b">
        <v>1</v>
      </c>
    </row>
    <row r="6" spans="1:86">
      <c r="E6" t="s">
        <v>260</v>
      </c>
      <c r="Y6" t="s">
        <v>261</v>
      </c>
      <c r="Z6" t="s">
        <v>262</v>
      </c>
      <c r="AA6" t="s">
        <v>263</v>
      </c>
      <c r="AB6" t="s">
        <v>264</v>
      </c>
      <c r="AC6" t="s">
        <v>265</v>
      </c>
      <c r="AD6" t="s">
        <v>266</v>
      </c>
      <c r="AE6" t="s">
        <v>267</v>
      </c>
      <c r="AF6" t="s">
        <v>268</v>
      </c>
      <c r="AG6" t="s">
        <v>269</v>
      </c>
      <c r="AH6" t="s">
        <v>270</v>
      </c>
      <c r="AI6" t="s">
        <v>271</v>
      </c>
      <c r="AJ6" t="s">
        <v>272</v>
      </c>
      <c r="AK6" t="s">
        <v>273</v>
      </c>
      <c r="AL6" t="s">
        <v>274</v>
      </c>
      <c r="AM6" t="s">
        <v>275</v>
      </c>
      <c r="AN6" t="s">
        <v>276</v>
      </c>
      <c r="AO6" t="s">
        <v>277</v>
      </c>
      <c r="AP6" t="s">
        <v>278</v>
      </c>
      <c r="AQ6" t="s">
        <v>279</v>
      </c>
      <c r="AR6" t="s">
        <v>280</v>
      </c>
      <c r="AS6" t="s">
        <v>281</v>
      </c>
      <c r="AT6" t="s">
        <v>282</v>
      </c>
      <c r="AU6" t="s">
        <v>283</v>
      </c>
      <c r="AV6" t="s">
        <v>284</v>
      </c>
      <c r="AW6" t="s">
        <v>285</v>
      </c>
      <c r="AX6" t="s">
        <v>286</v>
      </c>
      <c r="AY6" t="s">
        <v>287</v>
      </c>
      <c r="AZ6" t="s">
        <v>288</v>
      </c>
      <c r="BA6" t="s">
        <v>289</v>
      </c>
      <c r="BB6" t="s">
        <v>290</v>
      </c>
      <c r="BC6" t="s">
        <v>291</v>
      </c>
      <c r="BD6" t="s">
        <v>292</v>
      </c>
      <c r="BE6" t="s">
        <v>293</v>
      </c>
      <c r="BF6" t="s">
        <v>294</v>
      </c>
      <c r="BG6" t="s">
        <v>295</v>
      </c>
      <c r="BH6" t="s">
        <v>296</v>
      </c>
      <c r="BI6" t="s">
        <v>297</v>
      </c>
      <c r="BJ6" t="s">
        <v>298</v>
      </c>
      <c r="BK6" t="s">
        <v>299</v>
      </c>
      <c r="BL6" t="s">
        <v>300</v>
      </c>
      <c r="BM6" t="s">
        <v>301</v>
      </c>
      <c r="BN6" t="s">
        <v>302</v>
      </c>
      <c r="BO6" t="s">
        <v>303</v>
      </c>
      <c r="BP6" t="s">
        <v>304</v>
      </c>
      <c r="BQ6" t="s">
        <v>305</v>
      </c>
      <c r="BR6" t="s">
        <v>306</v>
      </c>
      <c r="BS6" t="s">
        <v>307</v>
      </c>
      <c r="BT6" t="s">
        <v>308</v>
      </c>
      <c r="BU6" t="s">
        <v>309</v>
      </c>
      <c r="BV6" t="s">
        <v>310</v>
      </c>
      <c r="BW6" t="s">
        <v>311</v>
      </c>
      <c r="BX6" t="s">
        <v>312</v>
      </c>
      <c r="BY6" t="s">
        <v>313</v>
      </c>
      <c r="BZ6" t="s">
        <v>314</v>
      </c>
      <c r="CA6" t="s">
        <v>315</v>
      </c>
      <c r="CB6" t="s">
        <v>316</v>
      </c>
      <c r="CC6" t="s">
        <v>317</v>
      </c>
      <c r="CD6" t="s">
        <v>318</v>
      </c>
      <c r="CE6" t="s">
        <v>319</v>
      </c>
      <c r="CF6" t="s">
        <v>320</v>
      </c>
      <c r="CG6" t="s">
        <v>321</v>
      </c>
      <c r="CH6" t="s">
        <v>322</v>
      </c>
    </row>
    <row r="7" spans="1:86">
      <c r="A7" t="s">
        <v>323</v>
      </c>
    </row>
    <row r="10" spans="1:86">
      <c r="F10" t="e">
        <f>#REF!</f>
        <v>#REF!</v>
      </c>
      <c r="G10" t="s">
        <v>324</v>
      </c>
      <c r="H10" t="e">
        <f>#REF!</f>
        <v>#REF!</v>
      </c>
      <c r="I10" t="s">
        <v>325</v>
      </c>
    </row>
    <row r="11" spans="1:86">
      <c r="A11" s="165">
        <v>73</v>
      </c>
      <c r="F11" t="e">
        <f>#REF!</f>
        <v>#REF!</v>
      </c>
      <c r="G11" t="s">
        <v>326</v>
      </c>
      <c r="H11" t="e">
        <f>#REF!</f>
        <v>#REF!</v>
      </c>
      <c r="I11" t="s">
        <v>327</v>
      </c>
    </row>
    <row r="12" spans="1:86">
      <c r="A12" s="165">
        <v>18</v>
      </c>
      <c r="F12" t="e">
        <f>#REF!</f>
        <v>#REF!</v>
      </c>
      <c r="G12" t="s">
        <v>328</v>
      </c>
      <c r="H12" t="e">
        <f>#REF!</f>
        <v>#REF!</v>
      </c>
      <c r="I12" t="s">
        <v>329</v>
      </c>
    </row>
    <row r="13" spans="1:86">
      <c r="F13" t="e">
        <f>#REF!</f>
        <v>#REF!</v>
      </c>
      <c r="G13" t="s">
        <v>330</v>
      </c>
      <c r="H13" t="e">
        <f>#REF!</f>
        <v>#REF!</v>
      </c>
      <c r="I13" t="s">
        <v>331</v>
      </c>
    </row>
    <row r="14" spans="1:86">
      <c r="F14" t="e">
        <f>#REF!</f>
        <v>#REF!</v>
      </c>
      <c r="G14" t="s">
        <v>332</v>
      </c>
      <c r="H14" t="e">
        <f>#REF!</f>
        <v>#REF!</v>
      </c>
      <c r="I14" t="s">
        <v>333</v>
      </c>
    </row>
    <row r="15" spans="1:86">
      <c r="A15" s="165">
        <v>26</v>
      </c>
      <c r="F15" t="e">
        <f>#REF!</f>
        <v>#REF!</v>
      </c>
      <c r="G15" t="s">
        <v>334</v>
      </c>
      <c r="H15" t="e">
        <f>#REF!</f>
        <v>#REF!</v>
      </c>
      <c r="I15" t="s">
        <v>335</v>
      </c>
      <c r="R15" t="e">
        <f>#REF!</f>
        <v>#REF!</v>
      </c>
      <c r="S15" t="s">
        <v>336</v>
      </c>
    </row>
    <row r="16" spans="1:86">
      <c r="F16" t="e">
        <f>#REF!</f>
        <v>#REF!</v>
      </c>
      <c r="G16" t="s">
        <v>337</v>
      </c>
      <c r="H16" t="e">
        <f>#REF!</f>
        <v>#REF!</v>
      </c>
      <c r="I16" t="s">
        <v>338</v>
      </c>
      <c r="R16" t="e">
        <f>#REF!</f>
        <v>#REF!</v>
      </c>
      <c r="S16" t="s">
        <v>339</v>
      </c>
    </row>
    <row r="17" spans="6:19">
      <c r="F17" t="e">
        <f>#REF!</f>
        <v>#REF!</v>
      </c>
      <c r="G17" t="s">
        <v>340</v>
      </c>
      <c r="H17" t="e">
        <f>#REF!</f>
        <v>#REF!</v>
      </c>
      <c r="I17" t="s">
        <v>341</v>
      </c>
      <c r="R17" t="e">
        <f>#REF!</f>
        <v>#REF!</v>
      </c>
      <c r="S17" t="s">
        <v>342</v>
      </c>
    </row>
    <row r="18" spans="6:19">
      <c r="F18" t="e">
        <f>#REF!</f>
        <v>#REF!</v>
      </c>
      <c r="G18" t="s">
        <v>343</v>
      </c>
      <c r="R18" t="e">
        <f>#REF!</f>
        <v>#REF!</v>
      </c>
      <c r="S18" t="s">
        <v>344</v>
      </c>
    </row>
    <row r="19" spans="6:19">
      <c r="F19" t="e">
        <f>#REF!</f>
        <v>#REF!</v>
      </c>
      <c r="G19" t="s">
        <v>345</v>
      </c>
      <c r="R19" t="e">
        <f>#REF!</f>
        <v>#REF!</v>
      </c>
      <c r="S19" t="s">
        <v>346</v>
      </c>
    </row>
    <row r="20" spans="6:19">
      <c r="F20" t="e">
        <f>#REF!</f>
        <v>#REF!</v>
      </c>
      <c r="G20" t="s">
        <v>347</v>
      </c>
      <c r="R20" s="165" t="e">
        <f>#REF!</f>
        <v>#REF!</v>
      </c>
      <c r="S20" t="s">
        <v>348</v>
      </c>
    </row>
    <row r="21" spans="6:19">
      <c r="F21" t="e">
        <f>#REF!</f>
        <v>#REF!</v>
      </c>
      <c r="G21" t="s">
        <v>349</v>
      </c>
      <c r="R21" t="e">
        <f>#REF!</f>
        <v>#REF!</v>
      </c>
      <c r="S21" t="s">
        <v>350</v>
      </c>
    </row>
    <row r="22" spans="6:19">
      <c r="F22" t="e">
        <f>#REF!</f>
        <v>#REF!</v>
      </c>
      <c r="G22" t="s">
        <v>351</v>
      </c>
      <c r="R22" t="e">
        <f>#REF!</f>
        <v>#REF!</v>
      </c>
      <c r="S22" t="s">
        <v>352</v>
      </c>
    </row>
    <row r="23" spans="6:19">
      <c r="F23" t="e">
        <f>#REF!</f>
        <v>#REF!</v>
      </c>
      <c r="G23" t="s">
        <v>353</v>
      </c>
      <c r="R23" t="e">
        <f>#REF!</f>
        <v>#REF!</v>
      </c>
      <c r="S23" t="s">
        <v>354</v>
      </c>
    </row>
    <row r="24" spans="6:19">
      <c r="F24" t="e">
        <f>#REF!</f>
        <v>#REF!</v>
      </c>
      <c r="G24" t="s">
        <v>355</v>
      </c>
      <c r="R24" t="e">
        <f>#REF!</f>
        <v>#REF!</v>
      </c>
      <c r="S24" t="s">
        <v>356</v>
      </c>
    </row>
    <row r="25" spans="6:19">
      <c r="F25" t="e">
        <f>#REF!</f>
        <v>#REF!</v>
      </c>
      <c r="G25" t="s">
        <v>357</v>
      </c>
      <c r="R25" t="e">
        <f>'FA list'!#REF!</f>
        <v>#REF!</v>
      </c>
      <c r="S25" t="s">
        <v>358</v>
      </c>
    </row>
    <row r="26" spans="6:19">
      <c r="F26" t="e">
        <f>#REF!</f>
        <v>#REF!</v>
      </c>
      <c r="G26" t="s">
        <v>359</v>
      </c>
      <c r="R26" t="e">
        <f>'FA list'!#REF!</f>
        <v>#REF!</v>
      </c>
      <c r="S26" t="s">
        <v>360</v>
      </c>
    </row>
    <row r="27" spans="6:19">
      <c r="F27" t="e">
        <f>#REF!</f>
        <v>#REF!</v>
      </c>
      <c r="G27" t="s">
        <v>361</v>
      </c>
    </row>
    <row r="28" spans="6:19">
      <c r="F28" t="e">
        <f>#REF!</f>
        <v>#REF!</v>
      </c>
      <c r="G28" t="s">
        <v>362</v>
      </c>
    </row>
    <row r="29" spans="6:19">
      <c r="F29" t="e">
        <f>#REF!</f>
        <v>#REF!</v>
      </c>
      <c r="G29" t="s">
        <v>363</v>
      </c>
    </row>
    <row r="30" spans="6:19">
      <c r="F30" t="e">
        <f>#REF!</f>
        <v>#REF!</v>
      </c>
      <c r="G30" t="s">
        <v>364</v>
      </c>
    </row>
    <row r="31" spans="6:19">
      <c r="F31" t="e">
        <f>#REF!</f>
        <v>#REF!</v>
      </c>
      <c r="G31" t="s">
        <v>365</v>
      </c>
    </row>
    <row r="32" spans="6:19">
      <c r="F32" t="e">
        <f>#REF!</f>
        <v>#REF!</v>
      </c>
      <c r="G32" t="s">
        <v>366</v>
      </c>
    </row>
    <row r="33" spans="6:7">
      <c r="F33" t="e">
        <f>#REF!</f>
        <v>#REF!</v>
      </c>
      <c r="G33" t="s">
        <v>367</v>
      </c>
    </row>
    <row r="34" spans="6:7">
      <c r="F34" t="e">
        <f>#REF!</f>
        <v>#REF!</v>
      </c>
      <c r="G34" t="s">
        <v>368</v>
      </c>
    </row>
    <row r="35" spans="6:7">
      <c r="F35" t="e">
        <f>#REF!</f>
        <v>#REF!</v>
      </c>
      <c r="G35" t="s">
        <v>369</v>
      </c>
    </row>
    <row r="36" spans="6:7">
      <c r="F36" t="e">
        <f>#REF!</f>
        <v>#REF!</v>
      </c>
      <c r="G36" t="s">
        <v>370</v>
      </c>
    </row>
    <row r="37" spans="6:7">
      <c r="F37" t="e">
        <f>#REF!</f>
        <v>#REF!</v>
      </c>
      <c r="G37" t="s">
        <v>371</v>
      </c>
    </row>
    <row r="38" spans="6:7">
      <c r="F38" t="e">
        <f>#REF!</f>
        <v>#REF!</v>
      </c>
      <c r="G38" t="s">
        <v>372</v>
      </c>
    </row>
    <row r="39" spans="6:7">
      <c r="F39" t="e">
        <f>#REF!</f>
        <v>#REF!</v>
      </c>
      <c r="G39" t="s">
        <v>373</v>
      </c>
    </row>
    <row r="40" spans="6:7">
      <c r="F40" t="e">
        <f>#REF!</f>
        <v>#REF!</v>
      </c>
      <c r="G40" t="s">
        <v>374</v>
      </c>
    </row>
    <row r="41" spans="6:7">
      <c r="F41" t="e">
        <f>#REF!</f>
        <v>#REF!</v>
      </c>
      <c r="G41" t="s">
        <v>375</v>
      </c>
    </row>
    <row r="42" spans="6:7">
      <c r="F42" t="e">
        <f>#REF!</f>
        <v>#REF!</v>
      </c>
      <c r="G42" t="s">
        <v>376</v>
      </c>
    </row>
    <row r="68" spans="6:7">
      <c r="F68" t="e">
        <f>'FA list'!#REF!</f>
        <v>#REF!</v>
      </c>
      <c r="G68" t="s">
        <v>377</v>
      </c>
    </row>
    <row r="69" spans="6:7">
      <c r="F69" t="e">
        <f>'FA list'!#REF!</f>
        <v>#REF!</v>
      </c>
      <c r="G69" t="s">
        <v>378</v>
      </c>
    </row>
    <row r="70" spans="6:7">
      <c r="F70" t="e">
        <f>'FA list'!#REF!</f>
        <v>#REF!</v>
      </c>
      <c r="G70" t="s">
        <v>379</v>
      </c>
    </row>
    <row r="71" spans="6:7">
      <c r="F71" t="e">
        <f>'FA list'!#REF!</f>
        <v>#REF!</v>
      </c>
      <c r="G71" t="s">
        <v>380</v>
      </c>
    </row>
    <row r="73" spans="6:7">
      <c r="F73" t="e">
        <f>#REF!</f>
        <v>#REF!</v>
      </c>
      <c r="G73" t="s">
        <v>381</v>
      </c>
    </row>
  </sheetData>
  <pageMargins left="0.7" right="0.7" top="0.75" bottom="0.75" header="0.3" footer="0.3"/>
  <pageSetup paperSize="1"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7"/>
  <sheetViews>
    <sheetView showGridLines="0" zoomScale="70" zoomScaleNormal="70" workbookViewId="0">
      <selection activeCell="N15" sqref="N15"/>
    </sheetView>
  </sheetViews>
  <sheetFormatPr defaultColWidth="8.72222222222222" defaultRowHeight="13.8" outlineLevelRow="6"/>
  <cols>
    <col min="1" max="1" width="2.62962962962963" style="4" customWidth="1"/>
    <col min="2" max="2" width="15.7222222222222" style="4" customWidth="1"/>
    <col min="3" max="3" width="11.3611111111111" style="4" customWidth="1"/>
    <col min="4" max="9" width="12" style="4" customWidth="1"/>
    <col min="10" max="10" width="12" style="54" customWidth="1"/>
    <col min="11" max="11" width="12" style="4" customWidth="1"/>
    <col min="12" max="12" width="13.4537037037037" style="4" customWidth="1"/>
    <col min="13" max="17" width="8.90740740740741" style="4" customWidth="1"/>
    <col min="18" max="18" width="1.62962962962963" style="4" customWidth="1"/>
    <col min="19" max="24" width="8.72222222222222" style="4"/>
    <col min="25" max="25" width="2.62962962962963" style="4" customWidth="1"/>
    <col min="26" max="26" width="1.62962962962963" style="4" customWidth="1"/>
    <col min="27" max="27" width="8.72222222222222" style="4"/>
    <col min="28" max="28" width="11" style="4" customWidth="1"/>
    <col min="29" max="16384" width="8.72222222222222" style="4"/>
  </cols>
  <sheetData>
    <row r="1" ht="10" customHeight="1" spans="1:28">
      <c r="Z1" s="67"/>
    </row>
    <row r="2" s="58" customFormat="1" ht="20.4" spans="1:28">
      <c r="B2" s="157" t="s">
        <v>382</v>
      </c>
      <c r="C2" s="158"/>
      <c r="D2" s="158"/>
      <c r="E2" s="158"/>
      <c r="F2" s="158"/>
      <c r="G2" s="158"/>
      <c r="H2" s="158"/>
      <c r="I2" s="158"/>
      <c r="J2" s="159"/>
      <c r="K2" s="159"/>
      <c r="L2" s="54"/>
      <c r="M2" s="159"/>
      <c r="N2" s="159"/>
      <c r="O2" s="159"/>
      <c r="P2" s="159"/>
      <c r="Q2" s="159"/>
      <c r="R2" s="159"/>
      <c r="S2" s="159"/>
      <c r="T2" s="159"/>
      <c r="U2" s="159"/>
      <c r="V2" s="159"/>
      <c r="W2" s="159"/>
      <c r="X2" s="159"/>
      <c r="Y2" s="159"/>
      <c r="Z2" s="67"/>
      <c r="AA2" s="159"/>
      <c r="AB2" s="18" t="s">
        <v>51</v>
      </c>
    </row>
    <row r="3" s="156" customFormat="1" ht="17.4" spans="1:28">
      <c r="B3" s="160" t="s">
        <v>383</v>
      </c>
      <c r="Z3" s="67"/>
    </row>
    <row r="4" s="156" customFormat="1" ht="13.2" spans="1:28">
      <c r="Z4" s="67"/>
    </row>
    <row r="5" s="156" customFormat="1" ht="20.4" spans="1:28">
      <c r="B5" s="161" t="s">
        <v>384</v>
      </c>
      <c r="C5" s="162"/>
      <c r="D5" s="162"/>
      <c r="E5" s="162"/>
      <c r="F5" s="162"/>
      <c r="G5" s="162"/>
      <c r="H5" s="162"/>
      <c r="I5" s="162"/>
      <c r="J5" s="163"/>
      <c r="K5" s="164"/>
      <c r="L5" s="164"/>
      <c r="M5" s="164"/>
      <c r="N5" s="164"/>
      <c r="O5" s="164"/>
      <c r="P5" s="164"/>
      <c r="Q5" s="164"/>
      <c r="R5" s="164"/>
      <c r="S5" s="164"/>
      <c r="T5" s="164"/>
      <c r="U5" s="164"/>
      <c r="V5" s="164"/>
      <c r="W5" s="164"/>
      <c r="X5" s="164"/>
      <c r="Z5" s="67"/>
    </row>
    <row r="6" ht="15" customHeight="1" spans="1:28">
      <c r="Z6" s="67"/>
    </row>
    <row r="7" ht="7.5" customHeight="1" spans="1:28">
      <c r="A7" s="67"/>
      <c r="B7" s="67"/>
      <c r="C7" s="67"/>
      <c r="D7" s="67"/>
      <c r="E7" s="67"/>
      <c r="F7" s="67"/>
      <c r="G7" s="67"/>
      <c r="H7" s="67"/>
      <c r="I7" s="67"/>
      <c r="J7" s="67"/>
      <c r="K7" s="67"/>
      <c r="L7" s="67"/>
      <c r="M7" s="67"/>
      <c r="N7" s="67"/>
      <c r="O7" s="67"/>
      <c r="P7" s="67"/>
      <c r="Q7" s="67"/>
      <c r="R7" s="67"/>
      <c r="S7" s="67"/>
      <c r="T7" s="67"/>
      <c r="U7" s="67"/>
      <c r="V7" s="67"/>
      <c r="W7" s="67"/>
      <c r="X7" s="67"/>
      <c r="Y7" s="67"/>
      <c r="Z7" s="67"/>
    </row>
  </sheetData>
  <hyperlinks>
    <hyperlink ref="AB2" location="'汇总 '!A1" display="返回汇总页"/>
  </hyperlinks>
  <pageMargins left="0.7" right="0.7" top="0.75" bottom="0.75" header="0.3" footer="0.3"/>
  <pageSetup paperSize="9" orientation="portrait" horizontalDpi="300"/>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4"/>
  <sheetViews>
    <sheetView showGridLines="0" tabSelected="1" zoomScale="70" zoomScaleNormal="70" workbookViewId="0">
      <selection activeCell="R18" sqref="R18"/>
    </sheetView>
  </sheetViews>
  <sheetFormatPr defaultColWidth="9" defaultRowHeight="13.8"/>
  <cols>
    <col min="1" max="1" width="2.62962962962963" style="4" customWidth="1"/>
    <col min="2" max="9" width="22.6296296296296" style="4" customWidth="1"/>
    <col min="10" max="10" width="2.62962962962963" style="4" customWidth="1"/>
    <col min="11" max="11" width="1.62962962962963" style="4" customWidth="1"/>
    <col min="12" max="16384" width="9" style="4"/>
  </cols>
  <sheetData>
    <row r="1" ht="50.15" customHeight="1" spans="1:11">
      <c r="A1" s="5"/>
      <c r="B1" s="6" t="s">
        <v>127</v>
      </c>
      <c r="C1" s="7"/>
      <c r="D1" s="7"/>
      <c r="E1" s="7"/>
      <c r="F1" s="7"/>
      <c r="G1" s="7"/>
      <c r="H1" s="7"/>
      <c r="I1" s="8"/>
      <c r="J1" s="17"/>
      <c r="K1" s="9"/>
    </row>
    <row r="2" s="1" customFormat="1" ht="30" customHeight="1" spans="1:11">
      <c r="A2" s="10"/>
      <c r="B2" s="11" t="s">
        <v>385</v>
      </c>
      <c r="C2" s="12"/>
      <c r="D2" s="12"/>
      <c r="E2" s="12"/>
      <c r="F2" s="12"/>
      <c r="G2" s="12"/>
      <c r="H2" s="12"/>
      <c r="I2" s="13"/>
      <c r="J2" s="142"/>
      <c r="K2" s="14"/>
    </row>
    <row r="3" spans="1:11">
      <c r="A3" s="5"/>
      <c r="B3" s="15"/>
      <c r="C3" s="15"/>
      <c r="D3" s="5"/>
      <c r="E3" s="15"/>
      <c r="F3" s="16"/>
      <c r="G3" s="16"/>
      <c r="H3" s="15"/>
      <c r="I3" s="5"/>
      <c r="J3" s="17"/>
      <c r="K3" s="9"/>
    </row>
    <row r="4" spans="1:11">
      <c r="A4" s="5"/>
      <c r="B4" s="18" t="s">
        <v>51</v>
      </c>
      <c r="C4" s="19"/>
      <c r="D4" s="5"/>
      <c r="E4" s="15"/>
      <c r="F4" s="16"/>
      <c r="G4" s="16"/>
      <c r="H4" s="15"/>
      <c r="I4" s="5"/>
      <c r="J4" s="17"/>
      <c r="K4" s="9"/>
    </row>
    <row r="5" spans="1:11">
      <c r="A5" s="5"/>
      <c r="B5" s="20"/>
      <c r="C5" s="19"/>
      <c r="D5" s="5"/>
      <c r="E5" s="15"/>
      <c r="F5" s="16"/>
      <c r="G5" s="16"/>
      <c r="H5" s="15"/>
      <c r="I5" s="5"/>
      <c r="J5" s="17"/>
      <c r="K5" s="9"/>
    </row>
    <row r="6" ht="15.6" spans="1:11">
      <c r="A6" s="5"/>
      <c r="B6" s="143" t="s">
        <v>386</v>
      </c>
      <c r="C6" s="19"/>
      <c r="D6" s="5"/>
      <c r="E6" s="15"/>
      <c r="F6" s="16"/>
      <c r="G6" s="16"/>
      <c r="H6" s="15"/>
      <c r="I6" s="5"/>
      <c r="J6" s="17"/>
      <c r="K6" s="9"/>
    </row>
    <row r="7" spans="1:11">
      <c r="A7" s="5"/>
      <c r="B7" s="144"/>
      <c r="C7" s="145"/>
      <c r="D7" s="145"/>
      <c r="E7" s="145"/>
      <c r="F7" s="145"/>
      <c r="G7" s="145"/>
      <c r="H7" s="145"/>
      <c r="I7" s="146"/>
      <c r="J7" s="17"/>
      <c r="K7" s="9"/>
    </row>
    <row r="8" spans="1:11">
      <c r="A8" s="5"/>
      <c r="B8" s="15"/>
      <c r="C8" s="15"/>
      <c r="D8" s="5"/>
      <c r="E8" s="15"/>
      <c r="F8" s="16"/>
      <c r="G8" s="16"/>
      <c r="H8" s="15"/>
      <c r="I8" s="5"/>
      <c r="J8" s="17"/>
      <c r="K8" s="9"/>
    </row>
    <row r="9" ht="14.15" customHeight="1" spans="1:11">
      <c r="A9" s="5"/>
      <c r="B9" s="147"/>
      <c r="C9" s="148"/>
      <c r="D9" s="148"/>
      <c r="E9" s="148"/>
      <c r="F9" s="148"/>
      <c r="G9" s="148"/>
      <c r="H9" s="148"/>
      <c r="I9" s="149"/>
      <c r="J9" s="17"/>
      <c r="K9" s="9"/>
    </row>
    <row r="10" spans="1:11">
      <c r="A10" s="5"/>
      <c r="B10" s="150"/>
      <c r="C10" s="151"/>
      <c r="D10" s="151"/>
      <c r="E10" s="151"/>
      <c r="F10" s="151"/>
      <c r="G10" s="151"/>
      <c r="H10" s="151"/>
      <c r="I10" s="152"/>
      <c r="J10" s="17"/>
      <c r="K10" s="9"/>
    </row>
    <row r="11" spans="1:11">
      <c r="A11" s="5"/>
      <c r="B11" s="150"/>
      <c r="C11" s="151"/>
      <c r="D11" s="151"/>
      <c r="E11" s="151"/>
      <c r="F11" s="151"/>
      <c r="G11" s="151"/>
      <c r="H11" s="151"/>
      <c r="I11" s="152"/>
      <c r="J11" s="17"/>
      <c r="K11" s="9"/>
    </row>
    <row r="12" spans="1:11">
      <c r="A12" s="5"/>
      <c r="B12" s="150"/>
      <c r="C12" s="151"/>
      <c r="D12" s="151"/>
      <c r="E12" s="151"/>
      <c r="F12" s="151"/>
      <c r="G12" s="151"/>
      <c r="H12" s="151"/>
      <c r="I12" s="152"/>
      <c r="J12" s="17"/>
      <c r="K12" s="9"/>
    </row>
    <row r="13" spans="1:11">
      <c r="A13" s="5"/>
      <c r="B13" s="150"/>
      <c r="C13" s="151"/>
      <c r="D13" s="151"/>
      <c r="E13" s="151"/>
      <c r="F13" s="151"/>
      <c r="G13" s="151"/>
      <c r="H13" s="151"/>
      <c r="I13" s="152"/>
      <c r="J13" s="17"/>
      <c r="K13" s="9"/>
    </row>
    <row r="14" spans="1:11">
      <c r="A14" s="5"/>
      <c r="B14" s="150"/>
      <c r="C14" s="151"/>
      <c r="D14" s="151"/>
      <c r="E14" s="151"/>
      <c r="F14" s="151"/>
      <c r="G14" s="151"/>
      <c r="H14" s="151"/>
      <c r="I14" s="152"/>
      <c r="J14" s="17"/>
      <c r="K14" s="9"/>
    </row>
    <row r="15" spans="1:11">
      <c r="A15" s="5"/>
      <c r="B15" s="150"/>
      <c r="C15" s="151"/>
      <c r="D15" s="151"/>
      <c r="E15" s="151"/>
      <c r="F15" s="151"/>
      <c r="G15" s="151"/>
      <c r="H15" s="151"/>
      <c r="I15" s="152"/>
      <c r="J15" s="17"/>
      <c r="K15" s="9"/>
    </row>
    <row r="16" spans="1:11">
      <c r="A16" s="5"/>
      <c r="B16" s="150"/>
      <c r="C16" s="151"/>
      <c r="D16" s="151"/>
      <c r="E16" s="151"/>
      <c r="F16" s="151"/>
      <c r="G16" s="151"/>
      <c r="H16" s="151"/>
      <c r="I16" s="152"/>
      <c r="J16" s="17"/>
      <c r="K16" s="9"/>
    </row>
    <row r="17" spans="1:11">
      <c r="A17" s="5"/>
      <c r="B17" s="150"/>
      <c r="C17" s="151"/>
      <c r="D17" s="151"/>
      <c r="E17" s="151"/>
      <c r="F17" s="151"/>
      <c r="G17" s="151"/>
      <c r="H17" s="151"/>
      <c r="I17" s="152"/>
      <c r="J17" s="17"/>
      <c r="K17" s="9"/>
    </row>
    <row r="18" spans="1:11">
      <c r="A18" s="5"/>
      <c r="B18" s="150"/>
      <c r="C18" s="151"/>
      <c r="D18" s="151"/>
      <c r="E18" s="151"/>
      <c r="F18" s="151"/>
      <c r="G18" s="151"/>
      <c r="H18" s="151"/>
      <c r="I18" s="152"/>
      <c r="J18" s="17"/>
      <c r="K18" s="9"/>
    </row>
    <row r="19" spans="1:11">
      <c r="A19" s="5"/>
      <c r="B19" s="150"/>
      <c r="C19" s="151"/>
      <c r="D19" s="151"/>
      <c r="E19" s="151"/>
      <c r="F19" s="151"/>
      <c r="G19" s="151"/>
      <c r="H19" s="151"/>
      <c r="I19" s="152"/>
      <c r="J19" s="17"/>
      <c r="K19" s="9"/>
    </row>
    <row r="20" spans="1:11">
      <c r="A20" s="5"/>
      <c r="B20" s="150"/>
      <c r="C20" s="151"/>
      <c r="D20" s="151"/>
      <c r="E20" s="151"/>
      <c r="F20" s="151"/>
      <c r="G20" s="151"/>
      <c r="H20" s="151"/>
      <c r="I20" s="152"/>
      <c r="J20" s="17"/>
      <c r="K20" s="9"/>
    </row>
    <row r="21" ht="8.25" customHeight="1" spans="1:11">
      <c r="A21" s="17"/>
      <c r="B21" s="150"/>
      <c r="C21" s="151"/>
      <c r="D21" s="151"/>
      <c r="E21" s="151"/>
      <c r="F21" s="151"/>
      <c r="G21" s="151"/>
      <c r="H21" s="151"/>
      <c r="I21" s="152"/>
      <c r="J21" s="17"/>
      <c r="K21" s="9"/>
    </row>
    <row r="22" spans="1:11">
      <c r="B22" s="153"/>
      <c r="C22" s="154"/>
      <c r="D22" s="154"/>
      <c r="E22" s="154"/>
      <c r="F22" s="154"/>
      <c r="G22" s="154"/>
      <c r="H22" s="154"/>
      <c r="I22" s="155"/>
      <c r="K22" s="9"/>
    </row>
    <row r="23" ht="15" customHeight="1" spans="1:11">
      <c r="B23" s="52"/>
      <c r="K23" s="9"/>
    </row>
    <row r="24" ht="7.5" customHeight="1" spans="1:11">
      <c r="A24" s="9"/>
      <c r="B24" s="9"/>
      <c r="C24" s="9"/>
      <c r="D24" s="9"/>
      <c r="E24" s="9"/>
      <c r="F24" s="9"/>
      <c r="G24" s="9"/>
      <c r="H24" s="9"/>
      <c r="I24" s="9"/>
      <c r="J24" s="9"/>
      <c r="K24" s="9"/>
    </row>
  </sheetData>
  <mergeCells count="2">
    <mergeCell ref="B7:I7"/>
    <mergeCell ref="B9:I22"/>
  </mergeCells>
  <conditionalFormatting sqref="B7:I7">
    <cfRule type="containsBlanks" dxfId="1" priority="2">
      <formula>LEN(TRIM(B7))=0</formula>
    </cfRule>
  </conditionalFormatting>
  <conditionalFormatting sqref="B9">
    <cfRule type="containsBlanks" dxfId="1" priority="1">
      <formula>LEN(TRIM(B9))=0</formula>
    </cfRule>
  </conditionalFormatting>
  <hyperlinks>
    <hyperlink ref="B4" location="'汇总 '!A1" display="返回汇总页"/>
  </hyperlinks>
  <pageMargins left="0.7" right="0.7" top="0.75" bottom="0.75" header="0.3" footer="0.3"/>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U42"/>
  <sheetViews>
    <sheetView showGridLines="0" zoomScale="70" zoomScaleNormal="70" workbookViewId="0">
      <selection activeCell="N15" sqref="N15"/>
    </sheetView>
  </sheetViews>
  <sheetFormatPr defaultColWidth="8.90740740740741" defaultRowHeight="12.75" customHeight="1"/>
  <cols>
    <col min="1" max="1" width="2.62962962962963" style="57" customWidth="1"/>
    <col min="2" max="2" width="10.0925925925926" style="58" customWidth="1"/>
    <col min="3" max="3" width="16.4537037037037" style="58" customWidth="1"/>
    <col min="4" max="4" width="13.9074074074074" style="58" customWidth="1"/>
    <col min="5" max="5" width="15.2685185185185" style="58" customWidth="1"/>
    <col min="6" max="6" width="13.9074074074074" style="59" customWidth="1"/>
    <col min="7" max="7" width="13.9074074074074" style="58" customWidth="1"/>
    <col min="8" max="8" width="15" style="58" customWidth="1"/>
    <col min="9" max="9" width="18.6296296296296" style="60" customWidth="1"/>
    <col min="10" max="10" width="23" style="58" customWidth="1"/>
    <col min="11" max="11" width="11.4537037037037" style="58" customWidth="1"/>
    <col min="12" max="12" width="8.26851851851852" style="58" customWidth="1"/>
    <col min="13" max="13" width="13.6296296296296" style="58" customWidth="1"/>
    <col min="14" max="14" width="10.9074074074074" style="58" customWidth="1"/>
    <col min="15" max="15" width="15.6296296296296" style="58" customWidth="1"/>
    <col min="16" max="16" width="13.4537037037037" style="58" customWidth="1"/>
    <col min="17" max="17" width="12.9074074074074" style="58" customWidth="1"/>
    <col min="18" max="18" width="8.72222222222222" style="58" customWidth="1"/>
    <col min="19" max="19" width="7.90740740740741" style="58" customWidth="1"/>
    <col min="20" max="20" width="2.62962962962963" style="58" customWidth="1"/>
    <col min="21" max="21" width="1.62962962962963" style="58" customWidth="1"/>
    <col min="22" max="30" width="12.9074074074074" style="58" customWidth="1"/>
    <col min="31" max="16384" width="8.90740740740741" style="58"/>
  </cols>
  <sheetData>
    <row r="1" s="4" customFormat="1" ht="50.15" customHeight="1" spans="1:21">
      <c r="A1" s="5"/>
      <c r="B1" s="6" t="s">
        <v>127</v>
      </c>
      <c r="C1" s="7"/>
      <c r="D1" s="7"/>
      <c r="E1" s="7"/>
      <c r="F1" s="7"/>
      <c r="G1" s="7"/>
      <c r="H1" s="7"/>
      <c r="I1" s="7"/>
      <c r="J1" s="61"/>
      <c r="K1" s="7"/>
      <c r="L1" s="7"/>
      <c r="M1" s="7"/>
      <c r="N1" s="7"/>
      <c r="O1" s="7"/>
      <c r="P1" s="7"/>
      <c r="Q1" s="7"/>
      <c r="R1" s="7"/>
      <c r="S1" s="8"/>
      <c r="U1" s="62"/>
    </row>
    <row r="2" s="4" customFormat="1" ht="30" customHeight="1" spans="1:21">
      <c r="A2" s="63"/>
      <c r="B2" s="11" t="s">
        <v>387</v>
      </c>
      <c r="C2" s="12"/>
      <c r="D2" s="12"/>
      <c r="E2" s="12"/>
      <c r="F2" s="12"/>
      <c r="G2" s="12"/>
      <c r="H2" s="12"/>
      <c r="I2" s="12"/>
      <c r="J2" s="64"/>
      <c r="K2" s="12"/>
      <c r="L2" s="12"/>
      <c r="M2" s="12"/>
      <c r="N2" s="12"/>
      <c r="O2" s="12"/>
      <c r="P2" s="12"/>
      <c r="Q2" s="12"/>
      <c r="R2" s="12"/>
      <c r="S2" s="13"/>
      <c r="U2" s="62"/>
    </row>
    <row r="3" s="53" customFormat="1" ht="13.2" spans="1:21">
      <c r="A3" s="65"/>
      <c r="B3" s="66"/>
      <c r="C3" s="66"/>
      <c r="D3" s="66"/>
      <c r="E3" s="66"/>
      <c r="F3" s="66"/>
      <c r="G3" s="66"/>
      <c r="H3" s="66"/>
      <c r="I3" s="66"/>
      <c r="J3" s="66"/>
      <c r="K3" s="66"/>
      <c r="L3" s="66"/>
      <c r="M3" s="66"/>
      <c r="N3" s="66"/>
      <c r="O3" s="66"/>
      <c r="P3" s="66"/>
      <c r="Q3" s="65"/>
      <c r="R3" s="65"/>
      <c r="U3" s="67"/>
    </row>
    <row r="4" s="53" customFormat="1" ht="13" customHeight="1" spans="1:21">
      <c r="A4" s="65"/>
      <c r="B4" s="18" t="s">
        <v>51</v>
      </c>
      <c r="C4"/>
      <c r="D4" s="68"/>
      <c r="E4" s="68"/>
      <c r="F4" s="68"/>
      <c r="G4" s="68"/>
      <c r="H4" s="68"/>
      <c r="I4" s="68"/>
      <c r="J4" s="68"/>
      <c r="K4" s="68"/>
      <c r="L4" s="68"/>
      <c r="M4" s="68"/>
      <c r="N4" s="68"/>
      <c r="O4" s="68"/>
      <c r="P4" s="68"/>
      <c r="Q4" s="65"/>
      <c r="R4" s="65"/>
      <c r="U4" s="67"/>
    </row>
    <row r="5" s="53" customFormat="1" ht="13.2" spans="1:21">
      <c r="A5" s="65"/>
      <c r="B5" s="66"/>
      <c r="C5" s="66"/>
      <c r="D5" s="66"/>
      <c r="E5" s="66"/>
      <c r="F5" s="66"/>
      <c r="G5" s="66"/>
      <c r="H5" s="66"/>
      <c r="I5" s="66"/>
      <c r="J5" s="66"/>
      <c r="K5" s="66"/>
      <c r="L5" s="66"/>
      <c r="M5" s="66"/>
      <c r="N5" s="66"/>
      <c r="O5" s="66"/>
      <c r="P5" s="66"/>
      <c r="Q5" s="65"/>
      <c r="R5" s="65"/>
      <c r="U5" s="67"/>
    </row>
    <row r="6" s="53" customFormat="1" ht="13.2" spans="1:21">
      <c r="A6" s="65"/>
      <c r="B6" s="66" t="s">
        <v>208</v>
      </c>
      <c r="C6" s="66"/>
      <c r="D6" s="66"/>
      <c r="E6" s="66"/>
      <c r="F6" s="66"/>
      <c r="G6" s="66"/>
      <c r="H6" s="66"/>
      <c r="I6" s="66"/>
      <c r="J6" s="66"/>
      <c r="K6" s="66"/>
      <c r="L6" s="66"/>
      <c r="M6" s="66"/>
      <c r="N6" s="66"/>
      <c r="O6" s="66"/>
      <c r="P6" s="66"/>
      <c r="Q6" s="65"/>
      <c r="R6" s="65"/>
      <c r="U6" s="67"/>
    </row>
    <row r="7" s="53" customFormat="1" ht="13.2" spans="1:21">
      <c r="A7" s="69"/>
      <c r="B7" s="70"/>
      <c r="C7" s="71"/>
      <c r="D7" s="71"/>
      <c r="E7" s="71"/>
      <c r="F7" s="72"/>
      <c r="G7" s="73"/>
      <c r="H7" s="73"/>
      <c r="I7" s="73"/>
      <c r="J7" s="73"/>
      <c r="K7" s="73"/>
      <c r="L7" s="73"/>
      <c r="U7" s="67"/>
    </row>
    <row r="8" s="53" customFormat="1" ht="13.2" spans="1:21">
      <c r="A8" s="69"/>
      <c r="B8" s="74"/>
      <c r="C8" s="75"/>
      <c r="D8" s="75"/>
      <c r="E8" s="75"/>
      <c r="F8" s="76"/>
      <c r="G8" s="73"/>
      <c r="H8" s="73"/>
      <c r="I8" s="73"/>
      <c r="J8" s="73"/>
      <c r="K8" s="73"/>
      <c r="L8" s="73"/>
      <c r="U8" s="67"/>
    </row>
    <row r="9" s="53" customFormat="1" ht="13.2" spans="1:21">
      <c r="A9" s="69"/>
      <c r="B9" s="74"/>
      <c r="C9" s="75"/>
      <c r="D9" s="75"/>
      <c r="E9" s="75"/>
      <c r="F9" s="76"/>
      <c r="G9" s="73"/>
      <c r="H9" s="73"/>
      <c r="I9" s="73"/>
      <c r="J9" s="73"/>
      <c r="K9" s="73"/>
      <c r="L9" s="73"/>
      <c r="U9" s="67"/>
    </row>
    <row r="10" s="53" customFormat="1" ht="13.2" spans="1:21">
      <c r="A10" s="69"/>
      <c r="B10" s="77"/>
      <c r="C10" s="78"/>
      <c r="D10" s="78"/>
      <c r="E10" s="78"/>
      <c r="F10" s="79"/>
      <c r="G10" s="73"/>
      <c r="H10" s="73"/>
      <c r="I10" s="73"/>
      <c r="J10" s="73"/>
      <c r="K10" s="73"/>
      <c r="L10" s="73"/>
      <c r="U10" s="67"/>
    </row>
    <row r="11" s="53" customFormat="1" ht="13.2" spans="1:21">
      <c r="A11" s="69"/>
      <c r="J11" s="80"/>
      <c r="U11" s="67"/>
    </row>
    <row r="12" s="53" customFormat="1" ht="15" spans="1:21">
      <c r="A12" s="69"/>
      <c r="B12" s="81" t="s">
        <v>388</v>
      </c>
      <c r="C12" s="81"/>
      <c r="D12" s="82"/>
      <c r="E12" s="82"/>
      <c r="F12" s="83"/>
      <c r="G12" s="82"/>
      <c r="H12" s="82"/>
      <c r="I12" s="82"/>
      <c r="J12" s="82"/>
      <c r="U12" s="67"/>
    </row>
    <row r="13" s="53" customFormat="1" ht="15" spans="1:21">
      <c r="A13" s="69"/>
      <c r="B13" s="84" t="s">
        <v>389</v>
      </c>
      <c r="C13" s="81"/>
      <c r="D13" s="82"/>
      <c r="E13" s="82"/>
      <c r="F13" s="85">
        <f>'K.01 Agree SL to GL'!Z20</f>
        <v>0</v>
      </c>
      <c r="G13" s="86" t="s">
        <v>390</v>
      </c>
      <c r="H13" s="82"/>
      <c r="I13" s="82"/>
      <c r="J13" s="82"/>
      <c r="U13" s="67"/>
    </row>
    <row r="14" s="53" customFormat="1" ht="15.6" spans="1:21">
      <c r="A14" s="69"/>
      <c r="B14" s="87" t="s">
        <v>200</v>
      </c>
      <c r="C14" s="87"/>
      <c r="D14" s="88"/>
      <c r="E14" s="88"/>
      <c r="F14" s="89">
        <f>F12-F13</f>
        <v>0</v>
      </c>
      <c r="G14" s="86" t="s">
        <v>76</v>
      </c>
      <c r="H14" s="90" t="s">
        <v>391</v>
      </c>
      <c r="I14" s="82"/>
      <c r="J14" s="91" t="str">
        <f>IF(ABS(F14)&gt;'K.00 Lead Sheet'!$C$6,"是","否")</f>
        <v>否</v>
      </c>
      <c r="U14" s="67"/>
    </row>
    <row r="15" s="53" customFormat="1" ht="13.2" spans="1:21">
      <c r="A15" s="69"/>
      <c r="B15" s="92"/>
      <c r="C15" s="92"/>
      <c r="D15" s="93"/>
      <c r="E15" s="93"/>
      <c r="F15" s="94"/>
      <c r="G15" s="93"/>
      <c r="H15" s="93"/>
      <c r="I15" s="93"/>
      <c r="J15" s="93"/>
      <c r="U15" s="67"/>
    </row>
    <row r="16" s="53" customFormat="1" ht="15" spans="1:21">
      <c r="A16" s="69"/>
      <c r="B16" s="95" t="s">
        <v>212</v>
      </c>
      <c r="C16" s="19"/>
      <c r="D16" s="19"/>
      <c r="E16" s="19"/>
      <c r="F16" s="83"/>
      <c r="G16" s="82"/>
      <c r="H16" s="19"/>
      <c r="I16" s="19"/>
      <c r="J16" s="19"/>
      <c r="U16" s="67"/>
    </row>
    <row r="17" s="53" customFormat="1" ht="15" spans="1:21">
      <c r="A17" s="69"/>
      <c r="B17" s="87" t="s">
        <v>213</v>
      </c>
      <c r="C17" s="87"/>
      <c r="D17" s="96"/>
      <c r="E17" s="96"/>
      <c r="F17" s="97">
        <f>F12-F16</f>
        <v>0</v>
      </c>
      <c r="G17" s="82"/>
      <c r="H17" s="98"/>
      <c r="I17" s="99"/>
      <c r="J17" s="82"/>
      <c r="U17" s="67"/>
    </row>
    <row r="18" s="53" customFormat="1" ht="13.2" spans="1:21">
      <c r="A18" s="69"/>
      <c r="B18" s="81"/>
      <c r="C18" s="81"/>
      <c r="D18" s="19"/>
      <c r="E18" s="19"/>
      <c r="F18" s="100"/>
      <c r="G18" s="82"/>
      <c r="H18" s="98"/>
      <c r="I18" s="99"/>
      <c r="J18" s="82"/>
      <c r="U18" s="67"/>
    </row>
    <row r="19" s="54" customFormat="1" ht="15.6" spans="1:21">
      <c r="A19" s="101"/>
      <c r="B19" s="102" t="s">
        <v>214</v>
      </c>
      <c r="C19" s="53"/>
      <c r="D19" s="53"/>
      <c r="E19" s="53"/>
      <c r="F19" s="53"/>
      <c r="G19" s="53"/>
      <c r="H19" s="53"/>
      <c r="I19" s="80"/>
      <c r="J19" s="53"/>
      <c r="K19" s="53"/>
      <c r="L19" s="53"/>
      <c r="M19" s="53"/>
      <c r="N19" s="53"/>
      <c r="O19" s="53"/>
      <c r="P19" s="53"/>
      <c r="U19" s="67"/>
    </row>
    <row r="20" s="54" customFormat="1" ht="14.25" customHeight="1" spans="1:21">
      <c r="A20" s="53"/>
      <c r="B20" s="70"/>
      <c r="C20" s="71"/>
      <c r="D20" s="71"/>
      <c r="E20" s="71"/>
      <c r="F20" s="72"/>
      <c r="G20" s="73"/>
      <c r="H20" s="73"/>
      <c r="I20" s="73"/>
      <c r="J20" s="73"/>
      <c r="K20" s="73"/>
      <c r="L20" s="73"/>
      <c r="M20" s="53"/>
      <c r="N20" s="53"/>
      <c r="O20" s="53"/>
      <c r="P20" s="53"/>
      <c r="U20" s="67"/>
    </row>
    <row r="21" s="54" customFormat="1" ht="14.25" customHeight="1" spans="1:21">
      <c r="A21" s="53"/>
      <c r="B21" s="74"/>
      <c r="C21" s="75"/>
      <c r="D21" s="75"/>
      <c r="E21" s="75"/>
      <c r="F21" s="76"/>
      <c r="G21" s="73"/>
      <c r="H21" s="73"/>
      <c r="I21" s="73"/>
      <c r="J21" s="73"/>
      <c r="K21" s="73"/>
      <c r="L21" s="73"/>
      <c r="M21" s="53"/>
      <c r="N21" s="53"/>
      <c r="O21" s="53"/>
      <c r="P21" s="53"/>
      <c r="U21" s="67"/>
    </row>
    <row r="22" s="54" customFormat="1" ht="14.25" customHeight="1" spans="1:21">
      <c r="A22" s="53"/>
      <c r="B22" s="74"/>
      <c r="C22" s="75"/>
      <c r="D22" s="75"/>
      <c r="E22" s="75"/>
      <c r="F22" s="76"/>
      <c r="G22" s="73"/>
      <c r="H22" s="73"/>
      <c r="I22" s="73"/>
      <c r="J22" s="73"/>
      <c r="K22" s="73"/>
      <c r="L22" s="73"/>
      <c r="M22" s="53"/>
      <c r="N22" s="53"/>
      <c r="O22" s="53"/>
      <c r="P22" s="53"/>
      <c r="U22" s="67"/>
    </row>
    <row r="23" s="54" customFormat="1" ht="14.25" customHeight="1" spans="1:21">
      <c r="A23" s="53"/>
      <c r="B23" s="77"/>
      <c r="C23" s="78"/>
      <c r="D23" s="78"/>
      <c r="E23" s="78"/>
      <c r="F23" s="79"/>
      <c r="G23" s="73"/>
      <c r="H23" s="73"/>
      <c r="I23" s="73"/>
      <c r="J23" s="73"/>
      <c r="K23" s="73"/>
      <c r="L23" s="73"/>
      <c r="M23" s="53"/>
      <c r="N23" s="53"/>
      <c r="O23" s="53"/>
      <c r="P23" s="53"/>
      <c r="U23" s="67"/>
    </row>
    <row r="24" s="53" customFormat="1" ht="13.2" spans="1:21">
      <c r="A24" s="69"/>
      <c r="B24" s="81"/>
      <c r="C24" s="81"/>
      <c r="D24" s="19"/>
      <c r="E24" s="19"/>
      <c r="F24" s="100"/>
      <c r="G24" s="73"/>
      <c r="H24" s="73"/>
      <c r="I24" s="73"/>
      <c r="J24" s="73"/>
      <c r="K24" s="73"/>
      <c r="L24" s="73"/>
      <c r="M24" s="73"/>
      <c r="U24" s="67"/>
    </row>
    <row r="25" s="53" customFormat="1" ht="15.6" spans="1:21">
      <c r="A25" s="103"/>
      <c r="B25" s="104" t="s">
        <v>215</v>
      </c>
      <c r="C25" s="105"/>
      <c r="D25" s="105"/>
      <c r="E25" s="105"/>
      <c r="F25" s="106"/>
      <c r="G25" s="73"/>
      <c r="H25" s="73"/>
      <c r="I25" s="73"/>
      <c r="J25" s="73"/>
      <c r="K25" s="73"/>
      <c r="L25" s="73"/>
      <c r="M25" s="73"/>
      <c r="U25" s="67"/>
    </row>
    <row r="26" s="55" customFormat="1" ht="30" customHeight="1" spans="1:21">
      <c r="B26" s="107" t="s">
        <v>216</v>
      </c>
      <c r="C26" s="108"/>
      <c r="D26" s="108"/>
      <c r="E26" s="108"/>
      <c r="F26" s="109"/>
      <c r="G26" s="110"/>
      <c r="H26" s="110"/>
      <c r="I26" s="110"/>
      <c r="J26" s="110"/>
      <c r="K26" s="110"/>
      <c r="L26" s="110"/>
      <c r="M26" s="110"/>
      <c r="U26" s="111"/>
    </row>
    <row r="27" s="55" customFormat="1" ht="33" customHeight="1" spans="1:21">
      <c r="B27" s="112" t="s">
        <v>392</v>
      </c>
      <c r="C27" s="113"/>
      <c r="D27" s="113"/>
      <c r="E27" s="113"/>
      <c r="F27" s="114"/>
      <c r="G27" s="110"/>
      <c r="H27" s="110"/>
      <c r="I27" s="110"/>
      <c r="J27" s="110"/>
      <c r="K27" s="110"/>
      <c r="L27" s="110"/>
      <c r="M27" s="110"/>
      <c r="U27" s="111"/>
    </row>
    <row r="28" s="55" customFormat="1" ht="44.5" customHeight="1" spans="1:21">
      <c r="B28" s="115" t="s">
        <v>393</v>
      </c>
      <c r="C28" s="116"/>
      <c r="D28" s="116"/>
      <c r="E28" s="116"/>
      <c r="F28" s="117"/>
      <c r="G28" s="110"/>
      <c r="H28" s="110"/>
      <c r="I28" s="110"/>
      <c r="J28" s="110"/>
      <c r="K28" s="110"/>
      <c r="L28" s="110"/>
      <c r="M28" s="110"/>
      <c r="U28" s="111"/>
    </row>
    <row r="29" s="53" customFormat="1" ht="13.2" spans="1:21">
      <c r="G29" s="73"/>
      <c r="H29" s="73"/>
      <c r="I29" s="73"/>
      <c r="J29" s="73"/>
      <c r="K29" s="73"/>
      <c r="L29" s="73"/>
      <c r="M29" s="73"/>
      <c r="U29" s="67"/>
    </row>
    <row r="30" s="53" customFormat="1" ht="21" customHeight="1" spans="1:21">
      <c r="D30" s="118"/>
      <c r="E30" s="118"/>
      <c r="F30" s="118"/>
      <c r="G30" s="118"/>
      <c r="H30" s="118"/>
      <c r="I30" s="118"/>
      <c r="J30" s="118"/>
      <c r="K30" s="118"/>
      <c r="L30" s="57"/>
      <c r="M30" s="57"/>
      <c r="N30" s="57"/>
      <c r="O30" s="57"/>
      <c r="P30" s="119" t="s">
        <v>221</v>
      </c>
      <c r="Q30" s="57"/>
      <c r="R30" s="120" t="s">
        <v>222</v>
      </c>
      <c r="S30" s="121"/>
      <c r="U30" s="62"/>
    </row>
    <row r="31" s="56" customFormat="1" ht="48.6" spans="1:21">
      <c r="A31" s="122"/>
      <c r="B31" s="123" t="s">
        <v>394</v>
      </c>
      <c r="C31" s="123" t="s">
        <v>223</v>
      </c>
      <c r="D31" s="124" t="s">
        <v>135</v>
      </c>
      <c r="E31" s="125" t="s">
        <v>224</v>
      </c>
      <c r="F31" s="123" t="s">
        <v>225</v>
      </c>
      <c r="G31" s="123" t="s">
        <v>226</v>
      </c>
      <c r="H31" s="123" t="s">
        <v>117</v>
      </c>
      <c r="I31" s="126" t="s">
        <v>395</v>
      </c>
      <c r="J31" s="123" t="s">
        <v>396</v>
      </c>
      <c r="K31" s="123" t="s">
        <v>229</v>
      </c>
      <c r="L31" s="123" t="s">
        <v>231</v>
      </c>
      <c r="M31" s="127" t="s">
        <v>397</v>
      </c>
      <c r="N31" s="127" t="s">
        <v>398</v>
      </c>
      <c r="O31" s="127" t="s">
        <v>399</v>
      </c>
      <c r="P31" s="127" t="s">
        <v>400</v>
      </c>
      <c r="Q31" s="123" t="s">
        <v>401</v>
      </c>
      <c r="R31" s="123">
        <v>1</v>
      </c>
      <c r="S31" s="123">
        <v>2</v>
      </c>
      <c r="U31" s="128"/>
    </row>
    <row r="32" s="53" customFormat="1" ht="13.2" spans="1:21">
      <c r="A32" s="129"/>
      <c r="B32" s="130">
        <v>1</v>
      </c>
      <c r="C32" s="131"/>
      <c r="D32" s="131"/>
      <c r="E32" s="131"/>
      <c r="F32" s="131"/>
      <c r="G32" s="131"/>
      <c r="H32" s="132"/>
      <c r="I32" s="132"/>
      <c r="J32" s="133"/>
      <c r="K32" s="131"/>
      <c r="L32" s="131"/>
      <c r="M32" s="134"/>
      <c r="N32" s="135"/>
      <c r="O32" s="135"/>
      <c r="P32" s="132">
        <f>N32-O32</f>
        <v>0</v>
      </c>
      <c r="Q32" s="136"/>
      <c r="R32" s="131"/>
      <c r="S32" s="131"/>
      <c r="U32" s="67"/>
    </row>
    <row r="33" s="53" customFormat="1" ht="13.2" spans="1:21">
      <c r="A33" s="129"/>
      <c r="B33" s="130">
        <v>2</v>
      </c>
      <c r="C33" s="131"/>
      <c r="D33" s="131"/>
      <c r="E33" s="131"/>
      <c r="F33" s="131"/>
      <c r="G33" s="131"/>
      <c r="H33" s="132"/>
      <c r="I33" s="132"/>
      <c r="J33" s="133"/>
      <c r="K33" s="131"/>
      <c r="L33" s="131"/>
      <c r="M33" s="134"/>
      <c r="N33" s="135"/>
      <c r="O33" s="135"/>
      <c r="P33" s="132">
        <f>N33-O33</f>
        <v>0</v>
      </c>
      <c r="Q33" s="136"/>
      <c r="R33" s="131"/>
      <c r="S33" s="131"/>
      <c r="U33" s="67"/>
    </row>
    <row r="34" s="53" customFormat="1" ht="13.2" spans="1:21">
      <c r="A34" s="129"/>
      <c r="B34" s="130">
        <v>3</v>
      </c>
      <c r="C34" s="131"/>
      <c r="D34" s="131"/>
      <c r="E34" s="131"/>
      <c r="F34" s="131"/>
      <c r="G34" s="131"/>
      <c r="H34" s="132"/>
      <c r="I34" s="132"/>
      <c r="J34" s="133"/>
      <c r="K34" s="131"/>
      <c r="L34" s="131"/>
      <c r="M34" s="134"/>
      <c r="N34" s="135"/>
      <c r="O34" s="135"/>
      <c r="P34" s="132">
        <f>N34-O34</f>
        <v>0</v>
      </c>
      <c r="Q34" s="131"/>
      <c r="R34" s="131"/>
      <c r="S34" s="131"/>
      <c r="U34" s="67"/>
    </row>
    <row r="35" s="53" customFormat="1" ht="13.2" spans="1:21">
      <c r="A35" s="129"/>
      <c r="B35" s="129"/>
      <c r="C35" s="137"/>
      <c r="D35" s="137"/>
      <c r="E35" s="137"/>
      <c r="F35" s="138"/>
      <c r="G35" s="139"/>
      <c r="H35" s="140"/>
      <c r="I35" s="141"/>
      <c r="J35" s="137"/>
      <c r="K35" s="137"/>
      <c r="L35" s="137"/>
      <c r="M35" s="137"/>
      <c r="O35" s="137"/>
      <c r="U35" s="67"/>
    </row>
    <row r="36" ht="17.15" customHeight="1" spans="1:21">
      <c r="A36" s="58"/>
      <c r="B36" s="54" t="s">
        <v>257</v>
      </c>
      <c r="E36" s="59"/>
      <c r="F36" s="58"/>
      <c r="H36" s="60"/>
      <c r="I36" s="58"/>
      <c r="U36" s="62"/>
    </row>
    <row r="37" customHeight="1" spans="1:21">
      <c r="A37" s="58"/>
      <c r="B37" s="70"/>
      <c r="C37" s="71"/>
      <c r="D37" s="71"/>
      <c r="E37" s="71"/>
      <c r="F37" s="72"/>
      <c r="H37" s="60"/>
      <c r="I37" s="58"/>
      <c r="U37" s="62"/>
    </row>
    <row r="38" customHeight="1" spans="1:21">
      <c r="A38" s="58"/>
      <c r="B38" s="74"/>
      <c r="C38" s="75"/>
      <c r="D38" s="75"/>
      <c r="E38" s="75"/>
      <c r="F38" s="76"/>
      <c r="H38" s="60"/>
      <c r="I38" s="58"/>
      <c r="U38" s="62"/>
    </row>
    <row r="39" customHeight="1" spans="1:21">
      <c r="A39" s="58"/>
      <c r="B39" s="74"/>
      <c r="C39" s="75"/>
      <c r="D39" s="75"/>
      <c r="E39" s="75"/>
      <c r="F39" s="76"/>
      <c r="H39" s="60"/>
      <c r="I39" s="58"/>
      <c r="U39" s="62"/>
    </row>
    <row r="40" customHeight="1" spans="1:21">
      <c r="A40" s="58"/>
      <c r="B40" s="77"/>
      <c r="C40" s="78"/>
      <c r="D40" s="78"/>
      <c r="E40" s="78"/>
      <c r="F40" s="79"/>
      <c r="H40" s="60"/>
      <c r="I40" s="58"/>
      <c r="U40" s="62"/>
    </row>
    <row r="41" ht="15" customHeight="1" spans="1:21">
      <c r="A41" s="58"/>
      <c r="E41" s="59"/>
      <c r="F41" s="58"/>
      <c r="H41" s="60"/>
      <c r="I41" s="58"/>
      <c r="U41" s="62"/>
    </row>
    <row r="42" ht="7.5" customHeight="1" spans="1:21">
      <c r="A42" s="62"/>
      <c r="B42" s="62"/>
      <c r="C42" s="62"/>
      <c r="D42" s="62"/>
      <c r="E42" s="62"/>
      <c r="F42" s="62"/>
      <c r="G42" s="62"/>
      <c r="H42" s="62"/>
      <c r="I42" s="62"/>
      <c r="J42" s="67"/>
      <c r="K42" s="62"/>
      <c r="L42" s="62"/>
      <c r="M42" s="62"/>
      <c r="N42" s="62"/>
      <c r="O42" s="62"/>
      <c r="P42" s="62"/>
      <c r="Q42" s="62"/>
      <c r="R42" s="62"/>
      <c r="S42" s="62"/>
      <c r="T42" s="62"/>
      <c r="U42" s="62"/>
    </row>
  </sheetData>
  <mergeCells count="14">
    <mergeCell ref="B3:P3"/>
    <mergeCell ref="Q3:R3"/>
    <mergeCell ref="Q4:R4"/>
    <mergeCell ref="B5:P5"/>
    <mergeCell ref="Q5:R5"/>
    <mergeCell ref="B6:P6"/>
    <mergeCell ref="Q6:R6"/>
    <mergeCell ref="B26:F26"/>
    <mergeCell ref="B27:F27"/>
    <mergeCell ref="B28:F28"/>
    <mergeCell ref="R30:S30"/>
    <mergeCell ref="B37:F40"/>
    <mergeCell ref="B20:F23"/>
    <mergeCell ref="B7:F10"/>
  </mergeCells>
  <conditionalFormatting sqref="B7">
    <cfRule type="containsBlanks" dxfId="1" priority="2">
      <formula>LEN(TRIM(B7))=0</formula>
    </cfRule>
  </conditionalFormatting>
  <conditionalFormatting sqref="F12">
    <cfRule type="containsBlanks" dxfId="1" priority="6">
      <formula>LEN(TRIM(F12))=0</formula>
    </cfRule>
  </conditionalFormatting>
  <conditionalFormatting sqref="F16">
    <cfRule type="containsBlanks" dxfId="1" priority="1">
      <formula>LEN(TRIM(F16))=0</formula>
    </cfRule>
  </conditionalFormatting>
  <conditionalFormatting sqref="B20">
    <cfRule type="containsBlanks" dxfId="1" priority="3">
      <formula>LEN(TRIM(B20))=0</formula>
    </cfRule>
  </conditionalFormatting>
  <conditionalFormatting sqref="B37">
    <cfRule type="containsBlanks" dxfId="1" priority="4">
      <formula>LEN(TRIM(B37))=0</formula>
    </cfRule>
  </conditionalFormatting>
  <conditionalFormatting sqref="B32:S34">
    <cfRule type="containsBlanks" dxfId="1" priority="5">
      <formula>LEN(TRIM(B32))=0</formula>
    </cfRule>
  </conditionalFormatting>
  <dataValidations count="3">
    <dataValidation allowBlank="1" showInputMessage="1" sqref="B32:B34"/>
    <dataValidation type="list" allowBlank="1" showInputMessage="1" sqref="C32:C34">
      <formula1>"关键项（key item）,代表性样本"</formula1>
    </dataValidation>
    <dataValidation type="list" allowBlank="1" showInputMessage="1" sqref="R32:S34">
      <formula1>"Y,N"</formula1>
    </dataValidation>
  </dataValidations>
  <hyperlinks>
    <hyperlink ref="B4" location="'汇总 '!A1" display="返回汇总页"/>
  </hyperlinks>
  <pageMargins left="0.7" right="0.7" top="0.75" bottom="0.75" header="0.3" footer="0.3"/>
  <pageSetup paperSize="9" orientation="portrait" horizontalDpi="300" verticalDpi="300"/>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27"/>
  <sheetViews>
    <sheetView showGridLines="0" zoomScale="70" zoomScaleNormal="70" workbookViewId="0">
      <selection activeCell="N15" sqref="N15"/>
    </sheetView>
  </sheetViews>
  <sheetFormatPr defaultColWidth="9" defaultRowHeight="13.8"/>
  <cols>
    <col min="1" max="1" width="2.62962962962963" style="4" customWidth="1"/>
    <col min="2" max="9" width="22.6296296296296" style="4" customWidth="1"/>
    <col min="10" max="10" width="7.62962962962963" style="4" customWidth="1"/>
    <col min="11" max="11" width="8.90740740740741" style="4" customWidth="1"/>
    <col min="12" max="12" width="2.62962962962963" style="4" customWidth="1"/>
    <col min="13" max="13" width="1.62962962962963" style="4" customWidth="1"/>
    <col min="14" max="16384" width="9" style="4"/>
  </cols>
  <sheetData>
    <row r="1" ht="50.15" customHeight="1" spans="1:24">
      <c r="A1" s="5"/>
      <c r="B1" s="6" t="s">
        <v>127</v>
      </c>
      <c r="C1" s="7"/>
      <c r="D1" s="7"/>
      <c r="E1" s="7"/>
      <c r="F1" s="7"/>
      <c r="G1" s="7"/>
      <c r="H1" s="7"/>
      <c r="I1" s="7"/>
      <c r="J1" s="7"/>
      <c r="K1" s="8"/>
      <c r="M1" s="9"/>
    </row>
    <row r="2" s="1" customFormat="1" ht="30" customHeight="1" spans="1:24">
      <c r="A2" s="10"/>
      <c r="B2" s="11" t="s">
        <v>402</v>
      </c>
      <c r="C2" s="12"/>
      <c r="D2" s="12"/>
      <c r="E2" s="12"/>
      <c r="F2" s="12"/>
      <c r="G2" s="12"/>
      <c r="H2" s="12"/>
      <c r="I2" s="12"/>
      <c r="J2" s="12"/>
      <c r="K2" s="13"/>
      <c r="M2" s="14"/>
    </row>
    <row r="3" spans="1:24">
      <c r="A3" s="5"/>
      <c r="B3" s="15"/>
      <c r="C3" s="15"/>
      <c r="D3" s="5"/>
      <c r="E3" s="15"/>
      <c r="F3" s="16"/>
      <c r="G3" s="16"/>
      <c r="H3" s="15"/>
      <c r="I3" s="5"/>
      <c r="J3" s="17"/>
      <c r="M3" s="9"/>
    </row>
    <row r="4" spans="1:24">
      <c r="A4" s="5"/>
      <c r="B4" s="18" t="s">
        <v>51</v>
      </c>
      <c r="C4" s="19"/>
      <c r="D4" s="5"/>
      <c r="E4" s="15"/>
      <c r="F4" s="16"/>
      <c r="G4" s="16"/>
      <c r="H4" s="15"/>
      <c r="I4" s="5"/>
      <c r="J4" s="17"/>
      <c r="M4" s="9"/>
    </row>
    <row r="5" spans="1:24">
      <c r="A5" s="5"/>
      <c r="B5" s="20"/>
      <c r="C5" s="19"/>
      <c r="D5" s="5"/>
      <c r="E5" s="15"/>
      <c r="F5" s="16"/>
      <c r="G5" s="16"/>
      <c r="H5" s="15"/>
      <c r="I5" s="5"/>
      <c r="J5" s="17"/>
      <c r="M5" s="9"/>
    </row>
    <row r="6" s="2" customFormat="1" ht="15.6" spans="1:24">
      <c r="B6" s="21" t="s">
        <v>403</v>
      </c>
      <c r="M6" s="9"/>
      <c r="X6" s="22"/>
    </row>
    <row r="7" s="3" customFormat="1" ht="15" spans="1:24">
      <c r="B7" s="23" t="s">
        <v>35</v>
      </c>
      <c r="H7" s="24"/>
      <c r="M7" s="9"/>
      <c r="X7" s="22"/>
    </row>
    <row r="8" s="3" customFormat="1" spans="1:24">
      <c r="A8" s="25"/>
      <c r="B8" s="26"/>
      <c r="C8" s="27"/>
      <c r="D8" s="27"/>
      <c r="E8" s="27"/>
      <c r="F8" s="27"/>
      <c r="G8" s="27"/>
      <c r="H8" s="27"/>
      <c r="I8" s="25"/>
      <c r="J8" s="25"/>
      <c r="K8" s="25"/>
      <c r="L8" s="25"/>
      <c r="M8" s="9"/>
      <c r="X8" s="22"/>
    </row>
    <row r="9" s="3" customFormat="1" ht="15.6" spans="1:24">
      <c r="B9" s="28" t="s">
        <v>133</v>
      </c>
      <c r="C9" s="29" t="s">
        <v>404</v>
      </c>
      <c r="D9" s="30"/>
      <c r="E9" s="30"/>
      <c r="F9" s="30"/>
      <c r="G9" s="30"/>
      <c r="H9" s="31"/>
      <c r="M9" s="9"/>
      <c r="X9" s="22"/>
    </row>
    <row r="10" s="3" customFormat="1" ht="14.15" customHeight="1" spans="1:24">
      <c r="B10" s="32"/>
      <c r="C10" s="33">
        <f>'K.00 Lead Sheet'!C3</f>
        <v>46022</v>
      </c>
      <c r="D10" s="33"/>
      <c r="E10" s="33"/>
      <c r="F10" s="33">
        <f>C10-365</f>
        <v>45657</v>
      </c>
      <c r="G10" s="33"/>
      <c r="H10" s="33"/>
      <c r="I10" s="33" t="s">
        <v>200</v>
      </c>
      <c r="J10" s="33"/>
      <c r="K10" s="33"/>
      <c r="L10" s="25"/>
      <c r="M10" s="9"/>
      <c r="X10" s="22"/>
    </row>
    <row r="11" s="3" customFormat="1" ht="14.15" customHeight="1" spans="1:24">
      <c r="B11" s="34" t="s">
        <v>231</v>
      </c>
      <c r="C11" s="35" t="s">
        <v>405</v>
      </c>
      <c r="D11" s="35"/>
      <c r="E11" s="35"/>
      <c r="F11" s="35" t="s">
        <v>405</v>
      </c>
      <c r="G11" s="35"/>
      <c r="H11" s="35"/>
      <c r="I11" s="35" t="b">
        <f>C11=F11</f>
        <v>1</v>
      </c>
      <c r="J11" s="35"/>
      <c r="K11" s="35"/>
      <c r="L11" s="25"/>
      <c r="M11" s="9"/>
      <c r="X11" s="22"/>
    </row>
    <row r="12" s="3" customFormat="1" ht="14.15" customHeight="1" spans="1:24">
      <c r="B12" s="35" t="s">
        <v>406</v>
      </c>
      <c r="C12" s="36" t="s">
        <v>407</v>
      </c>
      <c r="D12" s="36" t="s">
        <v>408</v>
      </c>
      <c r="E12" s="36" t="s">
        <v>409</v>
      </c>
      <c r="F12" s="36" t="s">
        <v>407</v>
      </c>
      <c r="G12" s="36" t="s">
        <v>408</v>
      </c>
      <c r="H12" s="36" t="s">
        <v>409</v>
      </c>
      <c r="I12" s="37" t="s">
        <v>407</v>
      </c>
      <c r="J12" s="37" t="s">
        <v>408</v>
      </c>
      <c r="K12" s="37" t="s">
        <v>410</v>
      </c>
      <c r="L12" s="25"/>
      <c r="M12" s="9"/>
      <c r="X12" s="22"/>
    </row>
    <row r="13" s="3" customFormat="1" ht="14.15" customHeight="1" spans="1:24">
      <c r="B13" s="38"/>
      <c r="C13" s="38"/>
      <c r="D13" s="39"/>
      <c r="E13" s="40" t="e">
        <f t="shared" ref="E13:E20" si="0">(1-D13)/C13</f>
        <v>#DIV/0!</v>
      </c>
      <c r="F13" s="38"/>
      <c r="G13" s="39"/>
      <c r="H13" s="40" t="e">
        <f t="shared" ref="H13:H20" si="1">(1-G13)/F13</f>
        <v>#DIV/0!</v>
      </c>
      <c r="I13" s="41" t="b">
        <f t="shared" ref="I13:I20" si="2">C13=F13</f>
        <v>1</v>
      </c>
      <c r="J13" s="41" t="b">
        <f t="shared" ref="J13:J20" si="3">C13=F13</f>
        <v>1</v>
      </c>
      <c r="K13" s="42"/>
      <c r="L13" s="25"/>
      <c r="M13" s="9"/>
      <c r="X13" s="22"/>
    </row>
    <row r="14" s="3" customFormat="1" spans="1:24">
      <c r="B14" s="38"/>
      <c r="C14" s="38"/>
      <c r="D14" s="39"/>
      <c r="E14" s="40" t="e">
        <f t="shared" si="0"/>
        <v>#DIV/0!</v>
      </c>
      <c r="F14" s="38"/>
      <c r="G14" s="39"/>
      <c r="H14" s="40" t="e">
        <f t="shared" si="1"/>
        <v>#DIV/0!</v>
      </c>
      <c r="I14" s="41" t="b">
        <f t="shared" si="2"/>
        <v>1</v>
      </c>
      <c r="J14" s="41" t="b">
        <f t="shared" si="3"/>
        <v>1</v>
      </c>
      <c r="K14" s="42"/>
      <c r="L14" s="25"/>
      <c r="M14" s="9"/>
      <c r="X14" s="22"/>
    </row>
    <row r="15" s="3" customFormat="1" spans="1:24">
      <c r="B15" s="38"/>
      <c r="C15" s="38"/>
      <c r="D15" s="39"/>
      <c r="E15" s="40" t="e">
        <f t="shared" si="0"/>
        <v>#DIV/0!</v>
      </c>
      <c r="F15" s="38"/>
      <c r="G15" s="39"/>
      <c r="H15" s="40" t="e">
        <f t="shared" si="1"/>
        <v>#DIV/0!</v>
      </c>
      <c r="I15" s="41" t="b">
        <f t="shared" si="2"/>
        <v>1</v>
      </c>
      <c r="J15" s="41" t="b">
        <f t="shared" si="3"/>
        <v>1</v>
      </c>
      <c r="K15" s="42"/>
      <c r="L15" s="25"/>
      <c r="M15" s="9"/>
      <c r="X15" s="22"/>
    </row>
    <row r="16" s="3" customFormat="1" spans="1:24">
      <c r="B16" s="38"/>
      <c r="C16" s="38"/>
      <c r="D16" s="39"/>
      <c r="E16" s="43" t="e">
        <f t="shared" si="0"/>
        <v>#DIV/0!</v>
      </c>
      <c r="F16" s="38"/>
      <c r="G16" s="39"/>
      <c r="H16" s="43" t="e">
        <f t="shared" si="1"/>
        <v>#DIV/0!</v>
      </c>
      <c r="I16" s="41" t="b">
        <f t="shared" si="2"/>
        <v>1</v>
      </c>
      <c r="J16" s="41" t="b">
        <f t="shared" si="3"/>
        <v>1</v>
      </c>
      <c r="K16" s="42"/>
      <c r="L16" s="25"/>
      <c r="M16" s="9"/>
      <c r="X16" s="22"/>
    </row>
    <row r="17" s="3" customFormat="1" spans="1:24">
      <c r="B17" s="38"/>
      <c r="C17" s="38"/>
      <c r="D17" s="39"/>
      <c r="E17" s="43" t="e">
        <f t="shared" si="0"/>
        <v>#DIV/0!</v>
      </c>
      <c r="F17" s="38"/>
      <c r="G17" s="39"/>
      <c r="H17" s="43" t="e">
        <f t="shared" si="1"/>
        <v>#DIV/0!</v>
      </c>
      <c r="I17" s="41" t="b">
        <f t="shared" si="2"/>
        <v>1</v>
      </c>
      <c r="J17" s="41" t="b">
        <f t="shared" si="3"/>
        <v>1</v>
      </c>
      <c r="K17" s="42"/>
      <c r="L17" s="25"/>
      <c r="M17" s="9"/>
      <c r="X17" s="22"/>
    </row>
    <row r="18" s="3" customFormat="1" spans="1:24">
      <c r="B18" s="38"/>
      <c r="C18" s="38"/>
      <c r="D18" s="39"/>
      <c r="E18" s="43" t="e">
        <f t="shared" si="0"/>
        <v>#DIV/0!</v>
      </c>
      <c r="F18" s="38"/>
      <c r="G18" s="39"/>
      <c r="H18" s="43" t="e">
        <f t="shared" si="1"/>
        <v>#DIV/0!</v>
      </c>
      <c r="I18" s="41" t="b">
        <f t="shared" si="2"/>
        <v>1</v>
      </c>
      <c r="J18" s="41" t="b">
        <f t="shared" si="3"/>
        <v>1</v>
      </c>
      <c r="K18" s="42"/>
      <c r="L18" s="25"/>
      <c r="M18" s="9"/>
      <c r="X18" s="22"/>
    </row>
    <row r="19" s="3" customFormat="1" spans="1:24">
      <c r="B19" s="38"/>
      <c r="C19" s="38"/>
      <c r="D19" s="39"/>
      <c r="E19" s="43" t="e">
        <f t="shared" si="0"/>
        <v>#DIV/0!</v>
      </c>
      <c r="F19" s="38"/>
      <c r="G19" s="39"/>
      <c r="H19" s="43" t="e">
        <f t="shared" si="1"/>
        <v>#DIV/0!</v>
      </c>
      <c r="I19" s="41" t="b">
        <f t="shared" si="2"/>
        <v>1</v>
      </c>
      <c r="J19" s="41" t="b">
        <f t="shared" si="3"/>
        <v>1</v>
      </c>
      <c r="K19" s="42"/>
      <c r="L19" s="25"/>
      <c r="M19" s="9"/>
      <c r="X19" s="22"/>
    </row>
    <row r="20" s="3" customFormat="1" spans="1:24">
      <c r="B20" s="38"/>
      <c r="C20" s="38"/>
      <c r="D20" s="39"/>
      <c r="E20" s="43" t="e">
        <f t="shared" si="0"/>
        <v>#DIV/0!</v>
      </c>
      <c r="F20" s="38"/>
      <c r="G20" s="39"/>
      <c r="H20" s="43" t="e">
        <f t="shared" si="1"/>
        <v>#DIV/0!</v>
      </c>
      <c r="I20" s="41" t="b">
        <f t="shared" si="2"/>
        <v>1</v>
      </c>
      <c r="J20" s="41" t="b">
        <f t="shared" si="3"/>
        <v>1</v>
      </c>
      <c r="K20" s="42"/>
      <c r="L20" s="25"/>
      <c r="M20" s="9"/>
      <c r="R20" s="2"/>
      <c r="S20" s="2"/>
      <c r="T20" s="2"/>
      <c r="U20" s="2"/>
      <c r="X20" s="22"/>
    </row>
    <row r="21" s="2" customFormat="1" ht="15" spans="1:24">
      <c r="I21" s="44"/>
      <c r="J21" s="44"/>
      <c r="K21" s="44"/>
      <c r="M21" s="9"/>
      <c r="X21" s="22"/>
    </row>
    <row r="22" s="2" customFormat="1" ht="15" spans="1:24">
      <c r="B22" s="45" t="s">
        <v>116</v>
      </c>
      <c r="C22" s="46"/>
      <c r="D22" s="46"/>
      <c r="I22" s="44"/>
      <c r="J22" s="44"/>
      <c r="K22" s="44"/>
      <c r="M22" s="9"/>
      <c r="X22" s="22"/>
    </row>
    <row r="23" s="2" customFormat="1" ht="65.5" customHeight="1" spans="1:24">
      <c r="B23" s="47"/>
      <c r="C23" s="48"/>
      <c r="D23" s="48"/>
      <c r="E23" s="48"/>
      <c r="F23" s="48"/>
      <c r="G23" s="48"/>
      <c r="H23" s="49"/>
      <c r="I23" s="44"/>
      <c r="J23" s="44"/>
      <c r="K23" s="44"/>
      <c r="L23" s="50"/>
      <c r="M23" s="9"/>
      <c r="N23" s="44"/>
      <c r="O23" s="44"/>
      <c r="P23" s="44"/>
      <c r="Q23" s="44"/>
      <c r="R23" s="51"/>
      <c r="S23" s="22"/>
      <c r="T23" s="22"/>
      <c r="X23" s="22"/>
    </row>
    <row r="24" ht="15" customHeight="1" spans="1:24">
      <c r="A24" s="5"/>
      <c r="B24" s="5"/>
      <c r="C24" s="5"/>
      <c r="D24" s="5"/>
      <c r="E24" s="5"/>
      <c r="F24" s="5"/>
      <c r="G24" s="5"/>
      <c r="H24" s="5"/>
      <c r="I24" s="5"/>
      <c r="M24" s="9"/>
    </row>
    <row r="25" ht="7.5" customHeight="1" spans="1:24">
      <c r="A25" s="9"/>
      <c r="B25" s="9"/>
      <c r="C25" s="9"/>
      <c r="D25" s="9"/>
      <c r="E25" s="9"/>
      <c r="F25" s="9"/>
      <c r="G25" s="9"/>
      <c r="H25" s="9"/>
      <c r="I25" s="9"/>
      <c r="J25" s="9"/>
      <c r="K25" s="9"/>
      <c r="L25" s="9"/>
      <c r="M25" s="9"/>
    </row>
    <row r="27" ht="14.4" spans="1:24">
      <c r="B27" s="52"/>
    </row>
  </sheetData>
  <mergeCells count="8">
    <mergeCell ref="C9:H9"/>
    <mergeCell ref="C10:E10"/>
    <mergeCell ref="F10:H10"/>
    <mergeCell ref="I10:K10"/>
    <mergeCell ref="C11:E11"/>
    <mergeCell ref="F11:H11"/>
    <mergeCell ref="I11:K11"/>
    <mergeCell ref="B23:H23"/>
  </mergeCells>
  <conditionalFormatting sqref="C11:K11">
    <cfRule type="containsBlanks" dxfId="1" priority="4">
      <formula>LEN(TRIM(C11))=0</formula>
    </cfRule>
  </conditionalFormatting>
  <conditionalFormatting sqref="B23">
    <cfRule type="containsBlanks" dxfId="1" priority="1">
      <formula>LEN(TRIM(B23))=0</formula>
    </cfRule>
  </conditionalFormatting>
  <conditionalFormatting sqref="B13:D20">
    <cfRule type="containsBlanks" dxfId="1" priority="2">
      <formula>LEN(TRIM(B13))=0</formula>
    </cfRule>
  </conditionalFormatting>
  <conditionalFormatting sqref="F13:G20 I13:J20">
    <cfRule type="containsBlanks" dxfId="1" priority="3">
      <formula>LEN(TRIM(F13))=0</formula>
    </cfRule>
  </conditionalFormatting>
  <hyperlinks>
    <hyperlink ref="B4" location="'汇总 '!A1" display="返回汇总页"/>
  </hyperlinks>
  <pageMargins left="0.7" right="0.7" top="0.75" bottom="0.75" header="0.3" footer="0.3"/>
  <headerFooter/>
  <drawing r:id="rId1"/>
</worksheet>
</file>

<file path=customUI/_rels/customUI.xml.rels><?xml version="1.0" encoding="UTF-8" standalone="yes"?>
<Relationships xmlns="http://schemas.openxmlformats.org/package/2006/relationships"><Relationship Id="Extract" Type="http://schemas.openxmlformats.org/officeDocument/2006/relationships/image" Target="images/Extract.jpg"/><Relationship Id="DeleteRow" Type="http://schemas.openxmlformats.org/officeDocument/2006/relationships/image" Target="images/DeleteRow.jpg"/><Relationship Id="AddRow" Type="http://schemas.openxmlformats.org/officeDocument/2006/relationships/image" Target="images/AddRow.jpg"/></Relationships>
</file>

<file path=customUI/customUI.xml><?xml version="1.0" encoding="utf-8"?>
<customUI xmlns="http://schemas.microsoft.com/office/2009/07/customui">
  <ribbon>
    <tabs>
      <tab id="Enabler" label="AuditStandardization" visible="true">
        <group id="Func" label="ExcelFunction" visible="true">
          <button description="Extract Data for PPELead" enabled="true" id="Copy_Data" image="Extract" size="large" label="Extract Data For Lead" screentip="Extract Data For PPE Lead" showImage="true" showLabel="true" supertip="Extract Data For PPE Lead" visible="true" onAction="UploadPPEData"/>
          <button description="Extract CRA Data from Canvas" enabled="true" id="Extract_Data" image="Extract" size="large" label="Extract CRA Data From Canvas" screentip="Extract CRA Data From Canvas" showImage="true" showLabel="true" supertip="Extract CRA Data From Canvas" visible="true" onAction="UpdateCRA"/>
          <button description="Generate OSP" enabled="true" id="Generate_OSP" image="Extract" size="large" label="Generate OSP" screentip="Generate OSP Sheet" showImage="true" showLabel="true" supertip="Generate the OSP Sheet" visible="true" onAction="OSPforPPEButton"/>
          <button description="Goto PSP Selection" enabled="true" id="PSP_Selection" image="Extract" size="large" label="Goto PSP Selection" screentip="Goto PSP" showImage="true" showLabel="true" supertip="Goto PSP" visible="true" onAction="GotoPSPSelection"/>
          <button description="Generate New Macro" enabled="true" id="Generate_New" image="Extract" size="large" label="Generate New Macro" screentip="Generate New Macro" showImage="true" showLabel="true" supertip="Generate New Macro" visible="true" onAction="GenerateNewMacro"/>
          <button description="Extact Excel" enabled="true" id="Extract_Excel" image="Extract" size="large" label="Extract Excel" screentip="Saves workbook" showImage="true" showLabel="true" supertip="Save As Workbook" visible="true" onAction="ExtractExcel"/>
        </group>
      </tab>
    </tabs>
  </ribbon>
</customUI>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���ech�e�^�ech0qQ�N�[a�qQ�N�[a���~�Oo`�Q�[{|�Wh��
</file>

<file path=customXml/item2.xml>��
</file>

<file path=customXml/item3.xml>��
</file>

<file path=customXml/itemProps1.xml><?xml version="1.0" encoding="utf-8"?>
<ds:datastoreItem xmlns:ds="http://schemas.openxmlformats.org/officeDocument/2006/customXml" ds:itemID="{D47EC8FE-5A08-4D1B-B742-4724F4AA77F5}">
  <ds:schemaRefs/>
</ds:datastoreItem>
</file>

<file path=customXml/itemProps2.xml><?xml version="1.0" encoding="utf-8"?>
<ds:datastoreItem xmlns:ds="http://schemas.openxmlformats.org/officeDocument/2006/customXml" ds:itemID="{634E35E6-5B3F-4278-A13E-A6A53437F838}">
  <ds:schemaRefs/>
</ds:datastoreItem>
</file>

<file path=customXml/itemProps3.xml><?xml version="1.0" encoding="utf-8"?>
<ds:datastoreItem xmlns:ds="http://schemas.openxmlformats.org/officeDocument/2006/customXml" ds:itemID="{F24E9DA6-74DD-488C-9C89-98AE865032C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14</vt:i4>
      </vt:variant>
    </vt:vector>
  </HeadingPairs>
  <TitlesOfParts>
    <vt:vector size="14" baseType="lpstr">
      <vt:lpstr>汇总 </vt:lpstr>
      <vt:lpstr>K.00 Lead Sheet</vt:lpstr>
      <vt:lpstr>K.01 Agree SL to GL</vt:lpstr>
      <vt:lpstr>FA list</vt:lpstr>
      <vt:lpstr>K.02.1 新增测试 </vt:lpstr>
      <vt:lpstr>K.02.1a 新增选样输出</vt:lpstr>
      <vt:lpstr>新增清单</vt:lpstr>
      <vt:lpstr>K.02.2 处置测试</vt:lpstr>
      <vt:lpstr>K.02.2a 处置选样输出</vt:lpstr>
      <vt:lpstr>SkywindSettingSheet</vt:lpstr>
      <vt:lpstr>处置清单</vt:lpstr>
      <vt:lpstr>K.03.1 SAP</vt:lpstr>
      <vt:lpstr>K.03.2 折旧测试TOD</vt:lpstr>
      <vt:lpstr>K.03.3 折旧政策复核</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Skywind_K1_固定资产_20201231_sihan13.xlsx</dc:title>
  <dc:creator>Jyothi Prakash A</dc:creator>
  <cp:keywords>Final Audit.V6.K1.0922</cp:keywords>
  <dc:description>8C639849-B002-4EB7-A119-1A38F8B535F1</dc:description>
  <cp:lastModifiedBy>aloha oe</cp:lastModifiedBy>
  <dcterms:created xsi:type="dcterms:W3CDTF">2006-09-16T00:00:00Z</dcterms:created>
  <dcterms:modified xsi:type="dcterms:W3CDTF">2026-05-21T12:34:57Z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0x01010062989BB664902542A04262E315E25772</vt:lpwstr>
  </property>
  <property fmtid="{D5CDD505-2E9C-101B-9397-08002B2CF9AE}" pid="3" name="ICV">
    <vt:lpwstr>3247C443212D424F97122896DA341A9B_12</vt:lpwstr>
  </property>
  <property fmtid="{D5CDD505-2E9C-101B-9397-08002B2CF9AE}" pid="4" name="KSOProductBuildVer">
    <vt:lpwstr>2052-12.1.0.26375</vt:lpwstr>
  </property>
  <property fmtid="{D5CDD505-2E9C-101B-9397-08002B2CF9AE}" pid="5" name="CalculationRule">
    <vt:i4>0</vt:i4>
  </property>
</Properties>
</file>